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DC22DE-81A5-434C-B2EC-4FA95FFE062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P269" i="1"/>
  <c r="BO268" i="1"/>
  <c r="BM268" i="1"/>
  <c r="Z268" i="1"/>
  <c r="Y268" i="1"/>
  <c r="P268" i="1"/>
  <c r="X266" i="1"/>
  <c r="X265" i="1"/>
  <c r="BO264" i="1"/>
  <c r="BM264" i="1"/>
  <c r="Z264" i="1"/>
  <c r="Y264" i="1"/>
  <c r="BN264" i="1" s="1"/>
  <c r="P264" i="1"/>
  <c r="BO263" i="1"/>
  <c r="BM263" i="1"/>
  <c r="Z263" i="1"/>
  <c r="Y263" i="1"/>
  <c r="P263" i="1"/>
  <c r="BO262" i="1"/>
  <c r="BM262" i="1"/>
  <c r="Z262" i="1"/>
  <c r="Y262" i="1"/>
  <c r="BN262" i="1" s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Y249" i="1" s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Y239" i="1" s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Y227" i="1" s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O214" i="1"/>
  <c r="BM214" i="1"/>
  <c r="Z214" i="1"/>
  <c r="Y214" i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Y211" i="1" s="1"/>
  <c r="P207" i="1"/>
  <c r="X205" i="1"/>
  <c r="X204" i="1"/>
  <c r="BO203" i="1"/>
  <c r="BM203" i="1"/>
  <c r="Z203" i="1"/>
  <c r="Z204" i="1" s="1"/>
  <c r="Y203" i="1"/>
  <c r="Y205" i="1" s="1"/>
  <c r="P203" i="1"/>
  <c r="X199" i="1"/>
  <c r="X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X178" i="1"/>
  <c r="X177" i="1"/>
  <c r="BO176" i="1"/>
  <c r="BM176" i="1"/>
  <c r="Z176" i="1"/>
  <c r="Z177" i="1" s="1"/>
  <c r="Y176" i="1"/>
  <c r="Y178" i="1" s="1"/>
  <c r="P176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X157" i="1"/>
  <c r="X156" i="1"/>
  <c r="BO155" i="1"/>
  <c r="BM155" i="1"/>
  <c r="Z155" i="1"/>
  <c r="Z156" i="1" s="1"/>
  <c r="Y155" i="1"/>
  <c r="P155" i="1"/>
  <c r="BO154" i="1"/>
  <c r="BM154" i="1"/>
  <c r="Z154" i="1"/>
  <c r="Y154" i="1"/>
  <c r="Y156" i="1" s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BP142" i="1" s="1"/>
  <c r="P142" i="1"/>
  <c r="BO141" i="1"/>
  <c r="BM141" i="1"/>
  <c r="Z141" i="1"/>
  <c r="Y141" i="1"/>
  <c r="P141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N115" i="1"/>
  <c r="BM115" i="1"/>
  <c r="Z115" i="1"/>
  <c r="Y115" i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Z111" i="1" s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N99" i="1"/>
  <c r="BM99" i="1"/>
  <c r="Z99" i="1"/>
  <c r="Y99" i="1"/>
  <c r="P99" i="1"/>
  <c r="X96" i="1"/>
  <c r="X95" i="1"/>
  <c r="BO94" i="1"/>
  <c r="BM94" i="1"/>
  <c r="Z94" i="1"/>
  <c r="Y94" i="1"/>
  <c r="BN94" i="1" s="1"/>
  <c r="P94" i="1"/>
  <c r="BO93" i="1"/>
  <c r="BM93" i="1"/>
  <c r="Z93" i="1"/>
  <c r="Z95" i="1" s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N82" i="1"/>
  <c r="BM82" i="1"/>
  <c r="Z82" i="1"/>
  <c r="Y82" i="1"/>
  <c r="Y84" i="1" s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Y79" i="1" s="1"/>
  <c r="P75" i="1"/>
  <c r="X73" i="1"/>
  <c r="X72" i="1"/>
  <c r="BO71" i="1"/>
  <c r="BM71" i="1"/>
  <c r="Z71" i="1"/>
  <c r="Y71" i="1"/>
  <c r="BN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P55" i="1"/>
  <c r="BO54" i="1"/>
  <c r="BM54" i="1"/>
  <c r="Z54" i="1"/>
  <c r="Y54" i="1"/>
  <c r="BN54" i="1" s="1"/>
  <c r="P54" i="1"/>
  <c r="X51" i="1"/>
  <c r="X50" i="1"/>
  <c r="BO49" i="1"/>
  <c r="BM49" i="1"/>
  <c r="Z49" i="1"/>
  <c r="Y49" i="1"/>
  <c r="BN49" i="1" s="1"/>
  <c r="P49" i="1"/>
  <c r="BO48" i="1"/>
  <c r="BM48" i="1"/>
  <c r="Z48" i="1"/>
  <c r="Y48" i="1"/>
  <c r="P48" i="1"/>
  <c r="BO47" i="1"/>
  <c r="BM47" i="1"/>
  <c r="Z47" i="1"/>
  <c r="Y47" i="1"/>
  <c r="BN47" i="1" s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BN41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6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P23" i="1"/>
  <c r="BO22" i="1"/>
  <c r="BM22" i="1"/>
  <c r="Z22" i="1"/>
  <c r="Y22" i="1"/>
  <c r="Y30" i="1" s="1"/>
  <c r="P22" i="1"/>
  <c r="H10" i="1"/>
  <c r="A9" i="1"/>
  <c r="F10" i="1" s="1"/>
  <c r="D7" i="1"/>
  <c r="Q6" i="1"/>
  <c r="P2" i="1"/>
  <c r="BP22" i="1" l="1"/>
  <c r="BP26" i="1"/>
  <c r="BP47" i="1"/>
  <c r="BP71" i="1"/>
  <c r="BP129" i="1"/>
  <c r="BP149" i="1"/>
  <c r="BP166" i="1"/>
  <c r="BP207" i="1"/>
  <c r="Z30" i="1"/>
  <c r="BP24" i="1"/>
  <c r="BP28" i="1"/>
  <c r="Z43" i="1"/>
  <c r="Y43" i="1"/>
  <c r="Z50" i="1"/>
  <c r="BP49" i="1"/>
  <c r="BN101" i="1"/>
  <c r="BN117" i="1"/>
  <c r="BN125" i="1"/>
  <c r="BP125" i="1"/>
  <c r="Y126" i="1"/>
  <c r="Z138" i="1"/>
  <c r="BN134" i="1"/>
  <c r="BN136" i="1"/>
  <c r="Z144" i="1"/>
  <c r="BP176" i="1"/>
  <c r="BN203" i="1"/>
  <c r="BP203" i="1"/>
  <c r="Y204" i="1"/>
  <c r="Z210" i="1"/>
  <c r="BP209" i="1"/>
  <c r="Y216" i="1"/>
  <c r="Z216" i="1"/>
  <c r="BN258" i="1"/>
  <c r="BP258" i="1"/>
  <c r="Y259" i="1"/>
  <c r="Z265" i="1"/>
  <c r="Y278" i="1"/>
  <c r="BN103" i="1"/>
  <c r="BN119" i="1"/>
  <c r="BN121" i="1"/>
  <c r="Y144" i="1"/>
  <c r="BN142" i="1"/>
  <c r="Z150" i="1"/>
  <c r="BN154" i="1"/>
  <c r="BN171" i="1"/>
  <c r="Y172" i="1"/>
  <c r="BN182" i="1"/>
  <c r="BN195" i="1"/>
  <c r="BN197" i="1"/>
  <c r="BN214" i="1"/>
  <c r="BN254" i="1"/>
  <c r="BN268" i="1"/>
  <c r="Y279" i="1"/>
  <c r="BN270" i="1"/>
  <c r="BN272" i="1"/>
  <c r="BN274" i="1"/>
  <c r="BN276" i="1"/>
  <c r="Z58" i="1"/>
  <c r="BP54" i="1"/>
  <c r="BP56" i="1"/>
  <c r="Z78" i="1"/>
  <c r="BP75" i="1"/>
  <c r="BP77" i="1"/>
  <c r="BP94" i="1"/>
  <c r="Y105" i="1"/>
  <c r="BP110" i="1"/>
  <c r="Y123" i="1"/>
  <c r="BP262" i="1"/>
  <c r="BP264" i="1"/>
  <c r="BN22" i="1"/>
  <c r="Y31" i="1"/>
  <c r="X284" i="1"/>
  <c r="Z36" i="1"/>
  <c r="Y73" i="1"/>
  <c r="Z84" i="1"/>
  <c r="BP82" i="1"/>
  <c r="Z105" i="1"/>
  <c r="BP99" i="1"/>
  <c r="Z122" i="1"/>
  <c r="BP115" i="1"/>
  <c r="Y138" i="1"/>
  <c r="BP154" i="1"/>
  <c r="BN166" i="1"/>
  <c r="Y167" i="1"/>
  <c r="BP171" i="1"/>
  <c r="BN176" i="1"/>
  <c r="Y177" i="1"/>
  <c r="Z184" i="1"/>
  <c r="BP214" i="1"/>
  <c r="Z278" i="1"/>
  <c r="BP268" i="1"/>
  <c r="Z72" i="1"/>
  <c r="BN75" i="1"/>
  <c r="Y96" i="1"/>
  <c r="Y112" i="1"/>
  <c r="BN129" i="1"/>
  <c r="Y130" i="1"/>
  <c r="Y157" i="1"/>
  <c r="BN207" i="1"/>
  <c r="Y217" i="1"/>
  <c r="H9" i="1"/>
  <c r="A10" i="1"/>
  <c r="X281" i="1"/>
  <c r="X282" i="1"/>
  <c r="BN23" i="1"/>
  <c r="BP23" i="1"/>
  <c r="BN25" i="1"/>
  <c r="BN27" i="1"/>
  <c r="BN29" i="1"/>
  <c r="X280" i="1"/>
  <c r="BN34" i="1"/>
  <c r="BP34" i="1"/>
  <c r="Y37" i="1"/>
  <c r="Y44" i="1"/>
  <c r="BP41" i="1"/>
  <c r="Y51" i="1"/>
  <c r="Y58" i="1"/>
  <c r="F9" i="1"/>
  <c r="J9" i="1"/>
  <c r="BP48" i="1"/>
  <c r="BN48" i="1"/>
  <c r="Y50" i="1"/>
  <c r="BP55" i="1"/>
  <c r="BN55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Y266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0" i="1" l="1"/>
  <c r="Y281" i="1"/>
  <c r="Z285" i="1"/>
  <c r="Y284" i="1"/>
  <c r="Y282" i="1"/>
  <c r="X283" i="1"/>
  <c r="Y283" i="1" l="1"/>
  <c r="B293" i="1"/>
  <c r="C293" i="1" l="1"/>
  <c r="A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<sst xmlns="http://schemas.openxmlformats.org/spreadsheetml/2006/main" count="1294" uniqueCount="418">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</sst>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2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136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40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1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0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2" t="s">
        <v>0</v>
      </c>
      <c r="E1" s="314"/>
      <c r="F1" s="314"/>
      <c r="G1" s="12" t="s">
        <v>1</v>
      </c>
      <c r="H1" s="342" t="s">
        <v>2</v>
      </c>
      <c r="I1" s="314"/>
      <c r="J1" s="314"/>
      <c r="K1" s="314"/>
      <c r="L1" s="314"/>
      <c r="M1" s="314"/>
      <c r="N1" s="314"/>
      <c r="O1" s="314"/>
      <c r="P1" s="314"/>
      <c r="Q1" s="314"/>
      <c r="R1" s="313" t="s">
        <v>3</v>
      </c>
      <c r="S1" s="314"/>
      <c r="T1" s="31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12"/>
      <c r="R2" s="312"/>
      <c r="S2" s="312"/>
      <c r="T2" s="312"/>
      <c r="U2" s="312"/>
      <c r="V2" s="312"/>
      <c r="W2" s="312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12"/>
      <c r="Q3" s="312"/>
      <c r="R3" s="312"/>
      <c r="S3" s="312"/>
      <c r="T3" s="312"/>
      <c r="U3" s="312"/>
      <c r="V3" s="312"/>
      <c r="W3" s="312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63" t="s">
        <v>8</v>
      </c>
      <c r="B5" s="304"/>
      <c r="C5" s="305"/>
      <c r="D5" s="345"/>
      <c r="E5" s="346"/>
      <c r="F5" s="445" t="s">
        <v>9</v>
      </c>
      <c r="G5" s="305"/>
      <c r="H5" s="345" t="s">
        <v>417</v>
      </c>
      <c r="I5" s="420"/>
      <c r="J5" s="420"/>
      <c r="K5" s="420"/>
      <c r="L5" s="420"/>
      <c r="M5" s="346"/>
      <c r="N5" s="61"/>
      <c r="P5" s="24" t="s">
        <v>10</v>
      </c>
      <c r="Q5" s="439">
        <v>46228</v>
      </c>
      <c r="R5" s="359"/>
      <c r="T5" s="385" t="s">
        <v>11</v>
      </c>
      <c r="U5" s="386"/>
      <c r="V5" s="388" t="s">
        <v>12</v>
      </c>
      <c r="W5" s="359"/>
      <c r="AB5" s="51"/>
      <c r="AC5" s="51"/>
      <c r="AD5" s="51"/>
      <c r="AE5" s="51"/>
    </row>
    <row r="6" spans="1:32" s="275" customFormat="1" ht="24" customHeight="1" x14ac:dyDescent="0.2">
      <c r="A6" s="363" t="s">
        <v>13</v>
      </c>
      <c r="B6" s="304"/>
      <c r="C6" s="305"/>
      <c r="D6" s="422" t="s">
        <v>398</v>
      </c>
      <c r="E6" s="423"/>
      <c r="F6" s="423"/>
      <c r="G6" s="423"/>
      <c r="H6" s="423"/>
      <c r="I6" s="423"/>
      <c r="J6" s="423"/>
      <c r="K6" s="423"/>
      <c r="L6" s="423"/>
      <c r="M6" s="359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Суббота</v>
      </c>
      <c r="R6" s="307"/>
      <c r="T6" s="390" t="s">
        <v>15</v>
      </c>
      <c r="U6" s="386"/>
      <c r="V6" s="409" t="s">
        <v>16</v>
      </c>
      <c r="W6" s="294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28" t="str">
        <f>IFERROR(VLOOKUP(DeliveryAddress,Table,3,0),1)</f>
        <v>5</v>
      </c>
      <c r="E7" s="329"/>
      <c r="F7" s="329"/>
      <c r="G7" s="329"/>
      <c r="H7" s="329"/>
      <c r="I7" s="329"/>
      <c r="J7" s="329"/>
      <c r="K7" s="329"/>
      <c r="L7" s="329"/>
      <c r="M7" s="330"/>
      <c r="N7" s="63"/>
      <c r="P7" s="24"/>
      <c r="Q7" s="42"/>
      <c r="R7" s="42"/>
      <c r="T7" s="312"/>
      <c r="U7" s="386"/>
      <c r="V7" s="410"/>
      <c r="W7" s="411"/>
      <c r="AB7" s="51"/>
      <c r="AC7" s="51"/>
      <c r="AD7" s="51"/>
      <c r="AE7" s="51"/>
    </row>
    <row r="8" spans="1:32" s="275" customFormat="1" ht="25.5" customHeight="1" x14ac:dyDescent="0.2">
      <c r="A8" s="470" t="s">
        <v>17</v>
      </c>
      <c r="B8" s="287"/>
      <c r="C8" s="288"/>
      <c r="D8" s="335"/>
      <c r="E8" s="336"/>
      <c r="F8" s="336"/>
      <c r="G8" s="336"/>
      <c r="H8" s="336"/>
      <c r="I8" s="336"/>
      <c r="J8" s="336"/>
      <c r="K8" s="336"/>
      <c r="L8" s="336"/>
      <c r="M8" s="337"/>
      <c r="N8" s="64"/>
      <c r="P8" s="24" t="s">
        <v>18</v>
      </c>
      <c r="Q8" s="369">
        <v>0.41666666666666669</v>
      </c>
      <c r="R8" s="330"/>
      <c r="T8" s="312"/>
      <c r="U8" s="386"/>
      <c r="V8" s="410"/>
      <c r="W8" s="411"/>
      <c r="AB8" s="51"/>
      <c r="AC8" s="51"/>
      <c r="AD8" s="51"/>
      <c r="AE8" s="51"/>
    </row>
    <row r="9" spans="1:32" s="275" customFormat="1" ht="39.950000000000003" customHeight="1" x14ac:dyDescent="0.2">
      <c r="A9" s="3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2"/>
      <c r="C9" s="312"/>
      <c r="D9" s="375"/>
      <c r="E9" s="285"/>
      <c r="F9" s="3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2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6"/>
      <c r="P9" s="26" t="s">
        <v>19</v>
      </c>
      <c r="Q9" s="356"/>
      <c r="R9" s="357"/>
      <c r="T9" s="312"/>
      <c r="U9" s="386"/>
      <c r="V9" s="412"/>
      <c r="W9" s="413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2"/>
      <c r="C10" s="312"/>
      <c r="D10" s="375"/>
      <c r="E10" s="285"/>
      <c r="F10" s="3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2"/>
      <c r="H10" s="460" t="str">
        <f>IFERROR(VLOOKUP($D$10,Proxy,2,FALSE),"")</f>
        <v/>
      </c>
      <c r="I10" s="312"/>
      <c r="J10" s="312"/>
      <c r="K10" s="312"/>
      <c r="L10" s="312"/>
      <c r="M10" s="312"/>
      <c r="N10" s="274"/>
      <c r="P10" s="26" t="s">
        <v>20</v>
      </c>
      <c r="Q10" s="391"/>
      <c r="R10" s="392"/>
      <c r="U10" s="24" t="s">
        <v>21</v>
      </c>
      <c r="V10" s="293" t="s">
        <v>22</v>
      </c>
      <c r="W10" s="294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8"/>
      <c r="R11" s="359"/>
      <c r="U11" s="24" t="s">
        <v>25</v>
      </c>
      <c r="V11" s="447" t="s">
        <v>26</v>
      </c>
      <c r="W11" s="357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83" t="s">
        <v>27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5"/>
      <c r="N12" s="65"/>
      <c r="P12" s="24" t="s">
        <v>28</v>
      </c>
      <c r="Q12" s="369"/>
      <c r="R12" s="330"/>
      <c r="S12" s="23"/>
      <c r="U12" s="24"/>
      <c r="V12" s="314"/>
      <c r="W12" s="312"/>
      <c r="AB12" s="51"/>
      <c r="AC12" s="51"/>
      <c r="AD12" s="51"/>
      <c r="AE12" s="51"/>
    </row>
    <row r="13" spans="1:32" s="275" customFormat="1" ht="23.25" customHeight="1" x14ac:dyDescent="0.2">
      <c r="A13" s="383" t="s">
        <v>29</v>
      </c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5"/>
      <c r="N13" s="65"/>
      <c r="O13" s="26"/>
      <c r="P13" s="26" t="s">
        <v>30</v>
      </c>
      <c r="Q13" s="447"/>
      <c r="R13" s="3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83" t="s">
        <v>31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03" t="s">
        <v>32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5"/>
      <c r="N15" s="66"/>
      <c r="P15" s="378" t="s">
        <v>33</v>
      </c>
      <c r="Q15" s="314"/>
      <c r="R15" s="314"/>
      <c r="S15" s="314"/>
      <c r="T15" s="31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9"/>
      <c r="Q16" s="379"/>
      <c r="R16" s="379"/>
      <c r="S16" s="379"/>
      <c r="T16" s="3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5" t="s">
        <v>34</v>
      </c>
      <c r="B17" s="295" t="s">
        <v>35</v>
      </c>
      <c r="C17" s="373" t="s">
        <v>36</v>
      </c>
      <c r="D17" s="295" t="s">
        <v>37</v>
      </c>
      <c r="E17" s="298"/>
      <c r="F17" s="295" t="s">
        <v>38</v>
      </c>
      <c r="G17" s="295" t="s">
        <v>39</v>
      </c>
      <c r="H17" s="295" t="s">
        <v>40</v>
      </c>
      <c r="I17" s="295" t="s">
        <v>41</v>
      </c>
      <c r="J17" s="295" t="s">
        <v>42</v>
      </c>
      <c r="K17" s="295" t="s">
        <v>43</v>
      </c>
      <c r="L17" s="295" t="s">
        <v>44</v>
      </c>
      <c r="M17" s="295" t="s">
        <v>45</v>
      </c>
      <c r="N17" s="295" t="s">
        <v>46</v>
      </c>
      <c r="O17" s="295" t="s">
        <v>47</v>
      </c>
      <c r="P17" s="295" t="s">
        <v>48</v>
      </c>
      <c r="Q17" s="297"/>
      <c r="R17" s="297"/>
      <c r="S17" s="297"/>
      <c r="T17" s="298"/>
      <c r="U17" s="462" t="s">
        <v>49</v>
      </c>
      <c r="V17" s="305"/>
      <c r="W17" s="295" t="s">
        <v>50</v>
      </c>
      <c r="X17" s="295" t="s">
        <v>51</v>
      </c>
      <c r="Y17" s="463" t="s">
        <v>52</v>
      </c>
      <c r="Z17" s="417" t="s">
        <v>53</v>
      </c>
      <c r="AA17" s="406" t="s">
        <v>54</v>
      </c>
      <c r="AB17" s="406" t="s">
        <v>55</v>
      </c>
      <c r="AC17" s="406" t="s">
        <v>56</v>
      </c>
      <c r="AD17" s="406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296"/>
      <c r="B18" s="296"/>
      <c r="C18" s="296"/>
      <c r="D18" s="299"/>
      <c r="E18" s="301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9"/>
      <c r="Q18" s="300"/>
      <c r="R18" s="300"/>
      <c r="S18" s="300"/>
      <c r="T18" s="301"/>
      <c r="U18" s="70" t="s">
        <v>59</v>
      </c>
      <c r="V18" s="70" t="s">
        <v>60</v>
      </c>
      <c r="W18" s="296"/>
      <c r="X18" s="296"/>
      <c r="Y18" s="464"/>
      <c r="Z18" s="418"/>
      <c r="AA18" s="407"/>
      <c r="AB18" s="407"/>
      <c r="AC18" s="407"/>
      <c r="AD18" s="442"/>
      <c r="AE18" s="443"/>
      <c r="AF18" s="444"/>
      <c r="AG18" s="69"/>
      <c r="BD18" s="68"/>
    </row>
    <row r="19" spans="1:68" ht="27.75" hidden="1" customHeight="1" x14ac:dyDescent="0.2">
      <c r="A19" s="309" t="s">
        <v>61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48"/>
      <c r="AB19" s="48"/>
      <c r="AC19" s="48"/>
    </row>
    <row r="20" spans="1:68" ht="16.5" hidden="1" customHeight="1" x14ac:dyDescent="0.25">
      <c r="A20" s="320" t="s">
        <v>61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273"/>
      <c r="AB20" s="273"/>
      <c r="AC20" s="273"/>
    </row>
    <row r="21" spans="1:68" ht="14.25" hidden="1" customHeight="1" x14ac:dyDescent="0.25">
      <c r="A21" s="311" t="s">
        <v>62</v>
      </c>
      <c r="B21" s="312"/>
      <c r="C21" s="312"/>
      <c r="D21" s="312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06">
        <v>4620207491508</v>
      </c>
      <c r="E22" s="307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306">
        <v>4620207491256</v>
      </c>
      <c r="E23" s="307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06">
        <v>4620207491713</v>
      </c>
      <c r="E24" s="307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06">
        <v>4620207491720</v>
      </c>
      <c r="E25" s="307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7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06">
        <v>4607111035912</v>
      </c>
      <c r="E26" s="307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306">
        <v>4607111035929</v>
      </c>
      <c r="E27" s="307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3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06">
        <v>4607111035882</v>
      </c>
      <c r="E28" s="307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306">
        <v>4607111035905</v>
      </c>
      <c r="E29" s="307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17"/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312"/>
      <c r="B31" s="312"/>
      <c r="C31" s="312"/>
      <c r="D31" s="312"/>
      <c r="E31" s="312"/>
      <c r="F31" s="312"/>
      <c r="G31" s="312"/>
      <c r="H31" s="312"/>
      <c r="I31" s="312"/>
      <c r="J31" s="312"/>
      <c r="K31" s="312"/>
      <c r="L31" s="312"/>
      <c r="M31" s="312"/>
      <c r="N31" s="312"/>
      <c r="O31" s="31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230.4</v>
      </c>
      <c r="Y31" s="280">
        <f>IFERROR(SUMPRODUCT(Y22:Y29*H22:H29),"0")</f>
        <v>230.4</v>
      </c>
      <c r="Z31" s="37"/>
      <c r="AA31" s="281"/>
      <c r="AB31" s="281"/>
      <c r="AC31" s="281"/>
    </row>
    <row r="32" spans="1:68" ht="16.5" hidden="1" customHeight="1" x14ac:dyDescent="0.25">
      <c r="A32" s="320" t="s">
        <v>89</v>
      </c>
      <c r="B32" s="312"/>
      <c r="C32" s="312"/>
      <c r="D32" s="312"/>
      <c r="E32" s="312"/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273"/>
      <c r="AB32" s="273"/>
      <c r="AC32" s="273"/>
    </row>
    <row r="33" spans="1:68" ht="14.25" hidden="1" customHeight="1" x14ac:dyDescent="0.25">
      <c r="A33" s="311" t="s">
        <v>62</v>
      </c>
      <c r="B33" s="312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06">
        <v>4607111039019</v>
      </c>
      <c r="E34" s="307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06">
        <v>4607111038708</v>
      </c>
      <c r="E35" s="307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17"/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12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9" t="s">
        <v>95</v>
      </c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48"/>
      <c r="AB38" s="48"/>
      <c r="AC38" s="48"/>
    </row>
    <row r="39" spans="1:68" ht="16.5" hidden="1" customHeight="1" x14ac:dyDescent="0.25">
      <c r="A39" s="320" t="s">
        <v>96</v>
      </c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273"/>
      <c r="AB39" s="273"/>
      <c r="AC39" s="273"/>
    </row>
    <row r="40" spans="1:68" ht="14.25" hidden="1" customHeight="1" x14ac:dyDescent="0.25">
      <c r="A40" s="311" t="s">
        <v>97</v>
      </c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306">
        <v>4607111036537</v>
      </c>
      <c r="E41" s="307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5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306">
        <v>4607111036605</v>
      </c>
      <c r="E42" s="307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6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317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hidden="1" customHeight="1" x14ac:dyDescent="0.25">
      <c r="A45" s="320" t="s">
        <v>107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273"/>
      <c r="AB45" s="273"/>
      <c r="AC45" s="273"/>
    </row>
    <row r="46" spans="1:68" ht="14.25" hidden="1" customHeight="1" x14ac:dyDescent="0.25">
      <c r="A46" s="311" t="s">
        <v>62</v>
      </c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306">
        <v>4620207490075</v>
      </c>
      <c r="E47" s="307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306">
        <v>4620207490174</v>
      </c>
      <c r="E48" s="307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306">
        <v>4620207490044</v>
      </c>
      <c r="E49" s="307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317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8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24</v>
      </c>
      <c r="Y50" s="280">
        <f>IFERROR(SUM(Y47:Y49),"0")</f>
        <v>24</v>
      </c>
      <c r="Z50" s="280">
        <f>IFERROR(IF(Z47="",0,Z47),"0")+IFERROR(IF(Z48="",0,Z48),"0")+IFERROR(IF(Z49="",0,Z49),"0")</f>
        <v>0.372</v>
      </c>
      <c r="AA50" s="281"/>
      <c r="AB50" s="281"/>
      <c r="AC50" s="281"/>
    </row>
    <row r="51" spans="1:68" x14ac:dyDescent="0.2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8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134.39999999999998</v>
      </c>
      <c r="Y51" s="280">
        <f>IFERROR(SUMPRODUCT(Y47:Y49*H47:H49),"0")</f>
        <v>134.39999999999998</v>
      </c>
      <c r="Z51" s="37"/>
      <c r="AA51" s="281"/>
      <c r="AB51" s="281"/>
      <c r="AC51" s="281"/>
    </row>
    <row r="52" spans="1:68" ht="16.5" hidden="1" customHeight="1" x14ac:dyDescent="0.25">
      <c r="A52" s="320" t="s">
        <v>117</v>
      </c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  <c r="Z52" s="312"/>
      <c r="AA52" s="273"/>
      <c r="AB52" s="273"/>
      <c r="AC52" s="273"/>
    </row>
    <row r="53" spans="1:68" ht="14.25" hidden="1" customHeight="1" x14ac:dyDescent="0.25">
      <c r="A53" s="311" t="s">
        <v>62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272"/>
      <c r="AB53" s="272"/>
      <c r="AC53" s="272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306">
        <v>4607111039385</v>
      </c>
      <c r="E54" s="307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06">
        <v>4607111038982</v>
      </c>
      <c r="E55" s="307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12</v>
      </c>
      <c r="Y55" s="27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87.431999999999988</v>
      </c>
      <c r="BN55" s="67">
        <f>IFERROR(Y55*I55,"0")</f>
        <v>87.431999999999988</v>
      </c>
      <c r="BO55" s="67">
        <f>IFERROR(X55/J55,"0")</f>
        <v>0.14285714285714285</v>
      </c>
      <c r="BP55" s="67">
        <f>IFERROR(Y55/J55,"0")</f>
        <v>0.14285714285714285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06">
        <v>4607111039354</v>
      </c>
      <c r="E56" s="307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2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306">
        <v>4607111039330</v>
      </c>
      <c r="E57" s="307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4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317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8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12</v>
      </c>
      <c r="Y58" s="280">
        <f>IFERROR(SUM(Y54:Y57),"0")</f>
        <v>12</v>
      </c>
      <c r="Z58" s="280">
        <f>IFERROR(IF(Z54="",0,Z54),"0")+IFERROR(IF(Z55="",0,Z55),"0")+IFERROR(IF(Z56="",0,Z56),"0")+IFERROR(IF(Z57="",0,Z57),"0")</f>
        <v>0.186</v>
      </c>
      <c r="AA58" s="281"/>
      <c r="AB58" s="281"/>
      <c r="AC58" s="281"/>
    </row>
    <row r="59" spans="1:68" x14ac:dyDescent="0.2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8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84</v>
      </c>
      <c r="Y59" s="280">
        <f>IFERROR(SUMPRODUCT(Y54:Y57*H54:H57),"0")</f>
        <v>84</v>
      </c>
      <c r="Z59" s="37"/>
      <c r="AA59" s="281"/>
      <c r="AB59" s="281"/>
      <c r="AC59" s="281"/>
    </row>
    <row r="60" spans="1:68" ht="16.5" hidden="1" customHeight="1" x14ac:dyDescent="0.25">
      <c r="A60" s="320" t="s">
        <v>128</v>
      </c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273"/>
      <c r="AB60" s="273"/>
      <c r="AC60" s="273"/>
    </row>
    <row r="61" spans="1:68" ht="14.25" hidden="1" customHeight="1" x14ac:dyDescent="0.25">
      <c r="A61" s="311" t="s">
        <v>62</v>
      </c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272"/>
      <c r="AB61" s="272"/>
      <c r="AC61" s="272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06">
        <v>4620207490822</v>
      </c>
      <c r="E62" s="307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0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17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8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8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11" t="s">
        <v>97</v>
      </c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272"/>
      <c r="AB65" s="272"/>
      <c r="AC65" s="272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06">
        <v>4607111039712</v>
      </c>
      <c r="E66" s="307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17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8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8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11" t="s">
        <v>135</v>
      </c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  <c r="AA69" s="272"/>
      <c r="AB69" s="272"/>
      <c r="AC69" s="272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06">
        <v>4607111037008</v>
      </c>
      <c r="E70" s="307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06">
        <v>4607111037398</v>
      </c>
      <c r="E71" s="307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17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11" t="s">
        <v>141</v>
      </c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  <c r="Z74" s="312"/>
      <c r="AA74" s="272"/>
      <c r="AB74" s="272"/>
      <c r="AC74" s="272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06">
        <v>4607111039705</v>
      </c>
      <c r="E75" s="307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06">
        <v>4607111039729</v>
      </c>
      <c r="E76" s="307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306">
        <v>4620207490228</v>
      </c>
      <c r="E77" s="307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17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320" t="s">
        <v>149</v>
      </c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273"/>
      <c r="AB80" s="273"/>
      <c r="AC80" s="273"/>
    </row>
    <row r="81" spans="1:68" ht="14.25" hidden="1" customHeight="1" x14ac:dyDescent="0.25">
      <c r="A81" s="311" t="s">
        <v>62</v>
      </c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  <c r="Z81" s="312"/>
      <c r="AA81" s="272"/>
      <c r="AB81" s="272"/>
      <c r="AC81" s="272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06">
        <v>4607111037411</v>
      </c>
      <c r="E82" s="307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4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06">
        <v>4607111036728</v>
      </c>
      <c r="E83" s="307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120</v>
      </c>
      <c r="Y83" s="279">
        <f>IFERROR(IF(X83="","",X83),"")</f>
        <v>120</v>
      </c>
      <c r="Z83" s="36">
        <f>IFERROR(IF(X83="","",X83*0.00866),"")</f>
        <v>1.0391999999999999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625.58399999999995</v>
      </c>
      <c r="BN83" s="67">
        <f>IFERROR(Y83*I83,"0")</f>
        <v>625.58399999999995</v>
      </c>
      <c r="BO83" s="67">
        <f>IFERROR(X83/J83,"0")</f>
        <v>0.83333333333333337</v>
      </c>
      <c r="BP83" s="67">
        <f>IFERROR(Y83/J83,"0")</f>
        <v>0.83333333333333337</v>
      </c>
    </row>
    <row r="84" spans="1:68" x14ac:dyDescent="0.2">
      <c r="A84" s="317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8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120</v>
      </c>
      <c r="Y84" s="280">
        <f>IFERROR(SUM(Y82:Y83),"0")</f>
        <v>120</v>
      </c>
      <c r="Z84" s="280">
        <f>IFERROR(IF(Z82="",0,Z82),"0")+IFERROR(IF(Z83="",0,Z83),"0")</f>
        <v>1.0391999999999999</v>
      </c>
      <c r="AA84" s="281"/>
      <c r="AB84" s="281"/>
      <c r="AC84" s="281"/>
    </row>
    <row r="85" spans="1:68" x14ac:dyDescent="0.2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8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600</v>
      </c>
      <c r="Y85" s="280">
        <f>IFERROR(SUMPRODUCT(Y82:Y83*H82:H83),"0")</f>
        <v>600</v>
      </c>
      <c r="Z85" s="37"/>
      <c r="AA85" s="281"/>
      <c r="AB85" s="281"/>
      <c r="AC85" s="281"/>
    </row>
    <row r="86" spans="1:68" ht="16.5" hidden="1" customHeight="1" x14ac:dyDescent="0.25">
      <c r="A86" s="320" t="s">
        <v>156</v>
      </c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  <c r="Z86" s="312"/>
      <c r="AA86" s="273"/>
      <c r="AB86" s="273"/>
      <c r="AC86" s="273"/>
    </row>
    <row r="87" spans="1:68" ht="14.25" hidden="1" customHeight="1" x14ac:dyDescent="0.25">
      <c r="A87" s="311" t="s">
        <v>141</v>
      </c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  <c r="Z87" s="312"/>
      <c r="AA87" s="272"/>
      <c r="AB87" s="272"/>
      <c r="AC87" s="272"/>
    </row>
    <row r="88" spans="1:68" ht="27" hidden="1" customHeight="1" x14ac:dyDescent="0.25">
      <c r="A88" s="54" t="s">
        <v>157</v>
      </c>
      <c r="B88" s="54" t="s">
        <v>158</v>
      </c>
      <c r="C88" s="31">
        <v>4301135574</v>
      </c>
      <c r="D88" s="306">
        <v>4607111033659</v>
      </c>
      <c r="E88" s="307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17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320" t="s">
        <v>160</v>
      </c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  <c r="Z91" s="312"/>
      <c r="AA91" s="273"/>
      <c r="AB91" s="273"/>
      <c r="AC91" s="273"/>
    </row>
    <row r="92" spans="1:68" ht="14.25" hidden="1" customHeight="1" x14ac:dyDescent="0.25">
      <c r="A92" s="311" t="s">
        <v>161</v>
      </c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  <c r="Z92" s="312"/>
      <c r="AA92" s="272"/>
      <c r="AB92" s="272"/>
      <c r="AC92" s="272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306">
        <v>4607111034120</v>
      </c>
      <c r="E93" s="307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28</v>
      </c>
      <c r="Y93" s="279">
        <f>IFERROR(IF(X93="","",X93),"")</f>
        <v>28</v>
      </c>
      <c r="Z93" s="36">
        <f>IFERROR(IF(X93="","",X93*0.01788),"")</f>
        <v>0.50063999999999997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120.50080000000001</v>
      </c>
      <c r="BN93" s="67">
        <f>IFERROR(Y93*I93,"0")</f>
        <v>120.50080000000001</v>
      </c>
      <c r="BO93" s="67">
        <f>IFERROR(X93/J93,"0")</f>
        <v>0.4</v>
      </c>
      <c r="BP93" s="67">
        <f>IFERROR(Y93/J93,"0")</f>
        <v>0.4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306">
        <v>4607111034137</v>
      </c>
      <c r="E94" s="307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14</v>
      </c>
      <c r="Y94" s="279">
        <f>IFERROR(IF(X94="","",X94),"")</f>
        <v>14</v>
      </c>
      <c r="Z94" s="36">
        <f>IFERROR(IF(X94="","",X94*0.01788),"")</f>
        <v>0.25031999999999999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60.250400000000006</v>
      </c>
      <c r="BN94" s="67">
        <f>IFERROR(Y94*I94,"0")</f>
        <v>60.250400000000006</v>
      </c>
      <c r="BO94" s="67">
        <f>IFERROR(X94/J94,"0")</f>
        <v>0.2</v>
      </c>
      <c r="BP94" s="67">
        <f>IFERROR(Y94/J94,"0")</f>
        <v>0.2</v>
      </c>
    </row>
    <row r="95" spans="1:68" x14ac:dyDescent="0.2">
      <c r="A95" s="317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8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42</v>
      </c>
      <c r="Y95" s="280">
        <f>IFERROR(SUM(Y93:Y94),"0")</f>
        <v>42</v>
      </c>
      <c r="Z95" s="280">
        <f>IFERROR(IF(Z93="",0,Z93),"0")+IFERROR(IF(Z94="",0,Z94),"0")</f>
        <v>0.75095999999999996</v>
      </c>
      <c r="AA95" s="281"/>
      <c r="AB95" s="281"/>
      <c r="AC95" s="281"/>
    </row>
    <row r="96" spans="1:68" x14ac:dyDescent="0.2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8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151.19999999999999</v>
      </c>
      <c r="Y96" s="280">
        <f>IFERROR(SUMPRODUCT(Y93:Y94*H93:H94),"0")</f>
        <v>151.19999999999999</v>
      </c>
      <c r="Z96" s="37"/>
      <c r="AA96" s="281"/>
      <c r="AB96" s="281"/>
      <c r="AC96" s="281"/>
    </row>
    <row r="97" spans="1:68" ht="16.5" hidden="1" customHeight="1" x14ac:dyDescent="0.25">
      <c r="A97" s="320" t="s">
        <v>168</v>
      </c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  <c r="Z97" s="312"/>
      <c r="AA97" s="273"/>
      <c r="AB97" s="273"/>
      <c r="AC97" s="273"/>
    </row>
    <row r="98" spans="1:68" ht="14.25" hidden="1" customHeight="1" x14ac:dyDescent="0.25">
      <c r="A98" s="311" t="s">
        <v>141</v>
      </c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272"/>
      <c r="AB98" s="272"/>
      <c r="AC98" s="272"/>
    </row>
    <row r="99" spans="1:68" ht="27" hidden="1" customHeight="1" x14ac:dyDescent="0.25">
      <c r="A99" s="54" t="s">
        <v>169</v>
      </c>
      <c r="B99" s="54" t="s">
        <v>170</v>
      </c>
      <c r="C99" s="31">
        <v>4301135763</v>
      </c>
      <c r="D99" s="306">
        <v>4620207491027</v>
      </c>
      <c r="E99" s="307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3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4301135793</v>
      </c>
      <c r="D100" s="306">
        <v>4620207491003</v>
      </c>
      <c r="E100" s="307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0</v>
      </c>
      <c r="Y100" s="279">
        <f t="shared" si="6"/>
        <v>0</v>
      </c>
      <c r="Z100" s="36">
        <f t="shared" si="7"/>
        <v>0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4301135768</v>
      </c>
      <c r="D101" s="306">
        <v>4620207491034</v>
      </c>
      <c r="E101" s="307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0</v>
      </c>
      <c r="Y101" s="279">
        <f t="shared" si="6"/>
        <v>0</v>
      </c>
      <c r="Z101" s="36">
        <f t="shared" si="7"/>
        <v>0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06">
        <v>4620207491010</v>
      </c>
      <c r="E102" s="307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39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14</v>
      </c>
      <c r="Y102" s="279">
        <f t="shared" si="6"/>
        <v>14</v>
      </c>
      <c r="Z102" s="36">
        <f t="shared" si="7"/>
        <v>0.25031999999999999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50.170400000000001</v>
      </c>
      <c r="BN102" s="67">
        <f t="shared" si="9"/>
        <v>50.170400000000001</v>
      </c>
      <c r="BO102" s="67">
        <f t="shared" si="10"/>
        <v>0.2</v>
      </c>
      <c r="BP102" s="67">
        <f t="shared" si="11"/>
        <v>0.2</v>
      </c>
    </row>
    <row r="103" spans="1:68" ht="27" hidden="1" customHeight="1" x14ac:dyDescent="0.25">
      <c r="A103" s="54" t="s">
        <v>178</v>
      </c>
      <c r="B103" s="54" t="s">
        <v>179</v>
      </c>
      <c r="C103" s="31">
        <v>4301135571</v>
      </c>
      <c r="D103" s="306">
        <v>4607111035028</v>
      </c>
      <c r="E103" s="307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5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306">
        <v>4607111036407</v>
      </c>
      <c r="E104" s="307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17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14</v>
      </c>
      <c r="Y105" s="280">
        <f>IFERROR(SUM(Y99:Y104),"0")</f>
        <v>14</v>
      </c>
      <c r="Z105" s="280">
        <f>IFERROR(IF(Z99="",0,Z99),"0")+IFERROR(IF(Z100="",0,Z100),"0")+IFERROR(IF(Z101="",0,Z101),"0")+IFERROR(IF(Z102="",0,Z102),"0")+IFERROR(IF(Z103="",0,Z103),"0")+IFERROR(IF(Z104="",0,Z104),"0")</f>
        <v>0.25031999999999999</v>
      </c>
      <c r="AA105" s="281"/>
      <c r="AB105" s="281"/>
      <c r="AC105" s="281"/>
    </row>
    <row r="106" spans="1:68" x14ac:dyDescent="0.2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40.32</v>
      </c>
      <c r="Y106" s="280">
        <f>IFERROR(SUMPRODUCT(Y99:Y104*H99:H104),"0")</f>
        <v>40.32</v>
      </c>
      <c r="Z106" s="37"/>
      <c r="AA106" s="281"/>
      <c r="AB106" s="281"/>
      <c r="AC106" s="281"/>
    </row>
    <row r="107" spans="1:68" ht="16.5" hidden="1" customHeight="1" x14ac:dyDescent="0.25">
      <c r="A107" s="320" t="s">
        <v>183</v>
      </c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  <c r="Z107" s="312"/>
      <c r="AA107" s="273"/>
      <c r="AB107" s="273"/>
      <c r="AC107" s="273"/>
    </row>
    <row r="108" spans="1:68" ht="14.25" hidden="1" customHeight="1" x14ac:dyDescent="0.25">
      <c r="A108" s="311" t="s">
        <v>135</v>
      </c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  <c r="Z108" s="312"/>
      <c r="AA108" s="272"/>
      <c r="AB108" s="272"/>
      <c r="AC108" s="272"/>
    </row>
    <row r="109" spans="1:68" ht="27" hidden="1" customHeight="1" x14ac:dyDescent="0.25">
      <c r="A109" s="54" t="s">
        <v>184</v>
      </c>
      <c r="B109" s="54" t="s">
        <v>185</v>
      </c>
      <c r="C109" s="31">
        <v>4301136070</v>
      </c>
      <c r="D109" s="306">
        <v>4607025784012</v>
      </c>
      <c r="E109" s="307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hidden="1" customHeight="1" x14ac:dyDescent="0.25">
      <c r="A110" s="54" t="s">
        <v>187</v>
      </c>
      <c r="B110" s="54" t="s">
        <v>188</v>
      </c>
      <c r="C110" s="31">
        <v>4301136079</v>
      </c>
      <c r="D110" s="306">
        <v>4607025784319</v>
      </c>
      <c r="E110" s="307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17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8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hidden="1" x14ac:dyDescent="0.2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8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hidden="1" customHeight="1" x14ac:dyDescent="0.25">
      <c r="A113" s="320" t="s">
        <v>189</v>
      </c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  <c r="Z113" s="312"/>
      <c r="AA113" s="273"/>
      <c r="AB113" s="273"/>
      <c r="AC113" s="273"/>
    </row>
    <row r="114" spans="1:68" ht="14.25" hidden="1" customHeight="1" x14ac:dyDescent="0.25">
      <c r="A114" s="311" t="s">
        <v>62</v>
      </c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  <c r="Z114" s="312"/>
      <c r="AA114" s="272"/>
      <c r="AB114" s="272"/>
      <c r="AC114" s="272"/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306">
        <v>4620207491157</v>
      </c>
      <c r="E115" s="307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06">
        <v>4620207491393</v>
      </c>
      <c r="E116" s="307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5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306">
        <v>4607111039262</v>
      </c>
      <c r="E117" s="307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06">
        <v>4607111039248</v>
      </c>
      <c r="E118" s="307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48</v>
      </c>
      <c r="Y118" s="279">
        <f t="shared" si="12"/>
        <v>48</v>
      </c>
      <c r="Z118" s="36">
        <f t="shared" si="13"/>
        <v>0.74399999999999999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350.4</v>
      </c>
      <c r="BN118" s="67">
        <f t="shared" si="15"/>
        <v>350.4</v>
      </c>
      <c r="BO118" s="67">
        <f t="shared" si="16"/>
        <v>0.5714285714285714</v>
      </c>
      <c r="BP118" s="67">
        <f t="shared" si="17"/>
        <v>0.5714285714285714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06">
        <v>4607111037145</v>
      </c>
      <c r="E119" s="307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4301071049</v>
      </c>
      <c r="D120" s="306">
        <v>4607111039293</v>
      </c>
      <c r="E120" s="307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06">
        <v>4607111039279</v>
      </c>
      <c r="E121" s="307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24</v>
      </c>
      <c r="Y121" s="279">
        <f t="shared" si="12"/>
        <v>24</v>
      </c>
      <c r="Z121" s="36">
        <f t="shared" si="13"/>
        <v>0.372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175.2</v>
      </c>
      <c r="BN121" s="67">
        <f t="shared" si="15"/>
        <v>175.2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317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8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72</v>
      </c>
      <c r="Y122" s="280">
        <f>IFERROR(SUM(Y115:Y121),"0")</f>
        <v>72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1.1160000000000001</v>
      </c>
      <c r="AA122" s="281"/>
      <c r="AB122" s="281"/>
      <c r="AC122" s="281"/>
    </row>
    <row r="123" spans="1:68" x14ac:dyDescent="0.2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8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504</v>
      </c>
      <c r="Y123" s="280">
        <f>IFERROR(SUMPRODUCT(Y115:Y121*H115:H121),"0")</f>
        <v>504</v>
      </c>
      <c r="Z123" s="37"/>
      <c r="AA123" s="281"/>
      <c r="AB123" s="281"/>
      <c r="AC123" s="281"/>
    </row>
    <row r="124" spans="1:68" ht="14.25" hidden="1" customHeight="1" x14ac:dyDescent="0.25">
      <c r="A124" s="311" t="s">
        <v>141</v>
      </c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  <c r="Z124" s="312"/>
      <c r="AA124" s="272"/>
      <c r="AB124" s="272"/>
      <c r="AC124" s="272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06">
        <v>4620207490983</v>
      </c>
      <c r="E125" s="307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6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17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8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8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11" t="s">
        <v>210</v>
      </c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  <c r="Z128" s="312"/>
      <c r="AA128" s="272"/>
      <c r="AB128" s="272"/>
      <c r="AC128" s="272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06">
        <v>4620207491140</v>
      </c>
      <c r="E129" s="307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17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8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8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20" t="s">
        <v>214</v>
      </c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273"/>
      <c r="AB132" s="273"/>
      <c r="AC132" s="273"/>
    </row>
    <row r="133" spans="1:68" ht="14.25" hidden="1" customHeight="1" x14ac:dyDescent="0.25">
      <c r="A133" s="311" t="s">
        <v>141</v>
      </c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272"/>
      <c r="AB133" s="272"/>
      <c r="AC133" s="272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06">
        <v>4620207491799</v>
      </c>
      <c r="E134" s="307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306">
        <v>4620207491492</v>
      </c>
      <c r="E135" s="307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3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06">
        <v>4620207491461</v>
      </c>
      <c r="E136" s="307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4301135865</v>
      </c>
      <c r="D137" s="306">
        <v>4620207491485</v>
      </c>
      <c r="E137" s="307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317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8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0</v>
      </c>
      <c r="Y138" s="280">
        <f>IFERROR(SUM(Y134:Y137),"0")</f>
        <v>0</v>
      </c>
      <c r="Z138" s="280">
        <f>IFERROR(IF(Z134="",0,Z134),"0")+IFERROR(IF(Z135="",0,Z135),"0")+IFERROR(IF(Z136="",0,Z136),"0")+IFERROR(IF(Z137="",0,Z137),"0")</f>
        <v>0</v>
      </c>
      <c r="AA138" s="281"/>
      <c r="AB138" s="281"/>
      <c r="AC138" s="281"/>
    </row>
    <row r="139" spans="1:68" hidden="1" x14ac:dyDescent="0.2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8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0</v>
      </c>
      <c r="Y139" s="280">
        <f>IFERROR(SUMPRODUCT(Y134:Y137*H134:H137),"0")</f>
        <v>0</v>
      </c>
      <c r="Z139" s="37"/>
      <c r="AA139" s="281"/>
      <c r="AB139" s="281"/>
      <c r="AC139" s="281"/>
    </row>
    <row r="140" spans="1:68" ht="14.25" hidden="1" customHeight="1" x14ac:dyDescent="0.25">
      <c r="A140" s="311" t="s">
        <v>224</v>
      </c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272"/>
      <c r="AB140" s="272"/>
      <c r="AC140" s="272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306">
        <v>4620207491386</v>
      </c>
      <c r="E141" s="307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306">
        <v>4620207491362</v>
      </c>
      <c r="E142" s="307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06">
        <v>4620207491379</v>
      </c>
      <c r="E143" s="307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0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17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8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hidden="1" x14ac:dyDescent="0.2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8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hidden="1" customHeight="1" x14ac:dyDescent="0.25">
      <c r="A146" s="320" t="s">
        <v>232</v>
      </c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  <c r="Z146" s="312"/>
      <c r="AA146" s="273"/>
      <c r="AB146" s="273"/>
      <c r="AC146" s="273"/>
    </row>
    <row r="147" spans="1:68" ht="14.25" hidden="1" customHeight="1" x14ac:dyDescent="0.25">
      <c r="A147" s="311" t="s">
        <v>141</v>
      </c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  <c r="Z147" s="312"/>
      <c r="AA147" s="272"/>
      <c r="AB147" s="272"/>
      <c r="AC147" s="272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06">
        <v>4607111034014</v>
      </c>
      <c r="E148" s="307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6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28</v>
      </c>
      <c r="Y148" s="279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103.70079999999999</v>
      </c>
      <c r="BN148" s="67">
        <f>IFERROR(Y148*I148,"0")</f>
        <v>103.70079999999999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06">
        <v>4607111033994</v>
      </c>
      <c r="E149" s="307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42</v>
      </c>
      <c r="Y149" s="279">
        <f>IFERROR(IF(X149="","",X149),"")</f>
        <v>42</v>
      </c>
      <c r="Z149" s="36">
        <f>IFERROR(IF(X149="","",X149*0.01788),"")</f>
        <v>0.75095999999999996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155.55119999999999</v>
      </c>
      <c r="BN149" s="67">
        <f>IFERROR(Y149*I149,"0")</f>
        <v>155.55119999999999</v>
      </c>
      <c r="BO149" s="67">
        <f>IFERROR(X149/J149,"0")</f>
        <v>0.6</v>
      </c>
      <c r="BP149" s="67">
        <f>IFERROR(Y149/J149,"0")</f>
        <v>0.6</v>
      </c>
    </row>
    <row r="150" spans="1:68" x14ac:dyDescent="0.2">
      <c r="A150" s="317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8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70</v>
      </c>
      <c r="Y150" s="280">
        <f>IFERROR(SUM(Y148:Y149),"0")</f>
        <v>70</v>
      </c>
      <c r="Z150" s="280">
        <f>IFERROR(IF(Z148="",0,Z148),"0")+IFERROR(IF(Z149="",0,Z149),"0")</f>
        <v>1.2515999999999998</v>
      </c>
      <c r="AA150" s="281"/>
      <c r="AB150" s="281"/>
      <c r="AC150" s="281"/>
    </row>
    <row r="151" spans="1:68" x14ac:dyDescent="0.2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8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210</v>
      </c>
      <c r="Y151" s="280">
        <f>IFERROR(SUMPRODUCT(Y148:Y149*H148:H149),"0")</f>
        <v>210</v>
      </c>
      <c r="Z151" s="37"/>
      <c r="AA151" s="281"/>
      <c r="AB151" s="281"/>
      <c r="AC151" s="281"/>
    </row>
    <row r="152" spans="1:68" ht="16.5" hidden="1" customHeight="1" x14ac:dyDescent="0.25">
      <c r="A152" s="320" t="s">
        <v>238</v>
      </c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  <c r="Z152" s="312"/>
      <c r="AA152" s="273"/>
      <c r="AB152" s="273"/>
      <c r="AC152" s="273"/>
    </row>
    <row r="153" spans="1:68" ht="14.25" hidden="1" customHeight="1" x14ac:dyDescent="0.25">
      <c r="A153" s="311" t="s">
        <v>141</v>
      </c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  <c r="Z153" s="312"/>
      <c r="AA153" s="272"/>
      <c r="AB153" s="272"/>
      <c r="AC153" s="272"/>
    </row>
    <row r="154" spans="1:68" ht="27" hidden="1" customHeight="1" x14ac:dyDescent="0.25">
      <c r="A154" s="54" t="s">
        <v>239</v>
      </c>
      <c r="B154" s="54" t="s">
        <v>240</v>
      </c>
      <c r="C154" s="31">
        <v>4301135824</v>
      </c>
      <c r="D154" s="306">
        <v>4607111039095</v>
      </c>
      <c r="E154" s="307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hidden="1" customHeight="1" x14ac:dyDescent="0.25">
      <c r="A155" s="54" t="s">
        <v>242</v>
      </c>
      <c r="B155" s="54" t="s">
        <v>243</v>
      </c>
      <c r="C155" s="31">
        <v>4301135550</v>
      </c>
      <c r="D155" s="306">
        <v>4607111034199</v>
      </c>
      <c r="E155" s="307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17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8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0</v>
      </c>
      <c r="Y156" s="280">
        <f>IFERROR(SUM(Y154:Y155),"0")</f>
        <v>0</v>
      </c>
      <c r="Z156" s="280">
        <f>IFERROR(IF(Z154="",0,Z154),"0")+IFERROR(IF(Z155="",0,Z155),"0")</f>
        <v>0</v>
      </c>
      <c r="AA156" s="281"/>
      <c r="AB156" s="281"/>
      <c r="AC156" s="281"/>
    </row>
    <row r="157" spans="1:68" hidden="1" x14ac:dyDescent="0.2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8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0</v>
      </c>
      <c r="Y157" s="280">
        <f>IFERROR(SUMPRODUCT(Y154:Y155*H154:H155),"0")</f>
        <v>0</v>
      </c>
      <c r="Z157" s="37"/>
      <c r="AA157" s="281"/>
      <c r="AB157" s="281"/>
      <c r="AC157" s="281"/>
    </row>
    <row r="158" spans="1:68" ht="16.5" hidden="1" customHeight="1" x14ac:dyDescent="0.25">
      <c r="A158" s="320" t="s">
        <v>245</v>
      </c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  <c r="Z158" s="312"/>
      <c r="AA158" s="273"/>
      <c r="AB158" s="273"/>
      <c r="AC158" s="273"/>
    </row>
    <row r="159" spans="1:68" ht="14.25" hidden="1" customHeight="1" x14ac:dyDescent="0.25">
      <c r="A159" s="311" t="s">
        <v>141</v>
      </c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272"/>
      <c r="AB159" s="272"/>
      <c r="AC159" s="272"/>
    </row>
    <row r="160" spans="1:68" ht="27" hidden="1" customHeight="1" x14ac:dyDescent="0.25">
      <c r="A160" s="54" t="s">
        <v>246</v>
      </c>
      <c r="B160" s="54" t="s">
        <v>247</v>
      </c>
      <c r="C160" s="31">
        <v>4301135753</v>
      </c>
      <c r="D160" s="306">
        <v>4620207490914</v>
      </c>
      <c r="E160" s="307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248</v>
      </c>
      <c r="B161" s="54" t="s">
        <v>249</v>
      </c>
      <c r="C161" s="31">
        <v>4301135778</v>
      </c>
      <c r="D161" s="306">
        <v>4620207490853</v>
      </c>
      <c r="E161" s="307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3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0</v>
      </c>
      <c r="Y161" s="279">
        <f>IFERROR(IF(X161="","",X161),"")</f>
        <v>0</v>
      </c>
      <c r="Z161" s="36">
        <f>IFERROR(IF(X161="","",X161*0.01788),"")</f>
        <v>0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17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8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0</v>
      </c>
      <c r="Y162" s="280">
        <f>IFERROR(SUM(Y160:Y161),"0")</f>
        <v>0</v>
      </c>
      <c r="Z162" s="280">
        <f>IFERROR(IF(Z160="",0,Z160),"0")+IFERROR(IF(Z161="",0,Z161),"0")</f>
        <v>0</v>
      </c>
      <c r="AA162" s="281"/>
      <c r="AB162" s="281"/>
      <c r="AC162" s="281"/>
    </row>
    <row r="163" spans="1:68" hidden="1" x14ac:dyDescent="0.2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8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0</v>
      </c>
      <c r="Y163" s="280">
        <f>IFERROR(SUMPRODUCT(Y160:Y161*H160:H161),"0")</f>
        <v>0</v>
      </c>
      <c r="Z163" s="37"/>
      <c r="AA163" s="281"/>
      <c r="AB163" s="281"/>
      <c r="AC163" s="281"/>
    </row>
    <row r="164" spans="1:68" ht="16.5" hidden="1" customHeight="1" x14ac:dyDescent="0.25">
      <c r="A164" s="320" t="s">
        <v>250</v>
      </c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273"/>
      <c r="AB164" s="273"/>
      <c r="AC164" s="273"/>
    </row>
    <row r="165" spans="1:68" ht="14.25" hidden="1" customHeight="1" x14ac:dyDescent="0.25">
      <c r="A165" s="311" t="s">
        <v>141</v>
      </c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  <c r="Z165" s="312"/>
      <c r="AA165" s="272"/>
      <c r="AB165" s="272"/>
      <c r="AC165" s="272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306">
        <v>4607111035806</v>
      </c>
      <c r="E166" s="307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5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14</v>
      </c>
      <c r="Y166" s="279">
        <f>IFERROR(IF(X166="","",X166),"")</f>
        <v>14</v>
      </c>
      <c r="Z166" s="36">
        <f>IFERROR(IF(X166="","",X166*0.01788),"")</f>
        <v>0.25031999999999999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51.850399999999993</v>
      </c>
      <c r="BN166" s="67">
        <f>IFERROR(Y166*I166,"0")</f>
        <v>51.850399999999993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317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8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14</v>
      </c>
      <c r="Y167" s="280">
        <f>IFERROR(SUM(Y166:Y166),"0")</f>
        <v>14</v>
      </c>
      <c r="Z167" s="280">
        <f>IFERROR(IF(Z166="",0,Z166),"0")</f>
        <v>0.25031999999999999</v>
      </c>
      <c r="AA167" s="281"/>
      <c r="AB167" s="281"/>
      <c r="AC167" s="281"/>
    </row>
    <row r="168" spans="1:68" x14ac:dyDescent="0.2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8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42</v>
      </c>
      <c r="Y168" s="280">
        <f>IFERROR(SUMPRODUCT(Y166:Y166*H166:H166),"0")</f>
        <v>42</v>
      </c>
      <c r="Z168" s="37"/>
      <c r="AA168" s="281"/>
      <c r="AB168" s="281"/>
      <c r="AC168" s="281"/>
    </row>
    <row r="169" spans="1:68" ht="16.5" hidden="1" customHeight="1" x14ac:dyDescent="0.25">
      <c r="A169" s="320" t="s">
        <v>254</v>
      </c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  <c r="Z169" s="312"/>
      <c r="AA169" s="273"/>
      <c r="AB169" s="273"/>
      <c r="AC169" s="273"/>
    </row>
    <row r="170" spans="1:68" ht="14.25" hidden="1" customHeight="1" x14ac:dyDescent="0.25">
      <c r="A170" s="311" t="s">
        <v>141</v>
      </c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272"/>
      <c r="AB170" s="272"/>
      <c r="AC170" s="272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306">
        <v>4607111039613</v>
      </c>
      <c r="E171" s="307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17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8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8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20" t="s">
        <v>257</v>
      </c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  <c r="Z174" s="312"/>
      <c r="AA174" s="273"/>
      <c r="AB174" s="273"/>
      <c r="AC174" s="273"/>
    </row>
    <row r="175" spans="1:68" ht="14.25" hidden="1" customHeight="1" x14ac:dyDescent="0.25">
      <c r="A175" s="311" t="s">
        <v>141</v>
      </c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  <c r="Z175" s="312"/>
      <c r="AA175" s="272"/>
      <c r="AB175" s="272"/>
      <c r="AC175" s="272"/>
    </row>
    <row r="176" spans="1:68" ht="27" hidden="1" customHeight="1" x14ac:dyDescent="0.25">
      <c r="A176" s="54" t="s">
        <v>258</v>
      </c>
      <c r="B176" s="54" t="s">
        <v>259</v>
      </c>
      <c r="C176" s="31">
        <v>4301135591</v>
      </c>
      <c r="D176" s="306">
        <v>4607111036568</v>
      </c>
      <c r="E176" s="307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5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0</v>
      </c>
      <c r="Y176" s="279">
        <f>IFERROR(IF(X176="","",X176),"")</f>
        <v>0</v>
      </c>
      <c r="Z176" s="36">
        <f>IFERROR(IF(X176="","",X176*0.00941),"")</f>
        <v>0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17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8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0</v>
      </c>
      <c r="Y177" s="280">
        <f>IFERROR(SUM(Y176:Y176),"0")</f>
        <v>0</v>
      </c>
      <c r="Z177" s="280">
        <f>IFERROR(IF(Z176="",0,Z176),"0")</f>
        <v>0</v>
      </c>
      <c r="AA177" s="281"/>
      <c r="AB177" s="281"/>
      <c r="AC177" s="281"/>
    </row>
    <row r="178" spans="1:68" hidden="1" x14ac:dyDescent="0.2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8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0</v>
      </c>
      <c r="Y178" s="280">
        <f>IFERROR(SUMPRODUCT(Y176:Y176*H176:H176),"0")</f>
        <v>0</v>
      </c>
      <c r="Z178" s="37"/>
      <c r="AA178" s="281"/>
      <c r="AB178" s="281"/>
      <c r="AC178" s="281"/>
    </row>
    <row r="179" spans="1:68" ht="27.75" hidden="1" customHeight="1" x14ac:dyDescent="0.2">
      <c r="A179" s="309" t="s">
        <v>261</v>
      </c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48"/>
      <c r="AB179" s="48"/>
      <c r="AC179" s="48"/>
    </row>
    <row r="180" spans="1:68" ht="16.5" hidden="1" customHeight="1" x14ac:dyDescent="0.25">
      <c r="A180" s="320" t="s">
        <v>262</v>
      </c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  <c r="Z180" s="312"/>
      <c r="AA180" s="273"/>
      <c r="AB180" s="273"/>
      <c r="AC180" s="273"/>
    </row>
    <row r="181" spans="1:68" ht="14.25" hidden="1" customHeight="1" x14ac:dyDescent="0.25">
      <c r="A181" s="311" t="s">
        <v>62</v>
      </c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  <c r="Z181" s="312"/>
      <c r="AA181" s="272"/>
      <c r="AB181" s="272"/>
      <c r="AC181" s="272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06">
        <v>4607111036384</v>
      </c>
      <c r="E182" s="307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306">
        <v>4607111036216</v>
      </c>
      <c r="E183" s="307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39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72</v>
      </c>
      <c r="Y183" s="279">
        <f>IFERROR(IF(X183="","",X183),"")</f>
        <v>72</v>
      </c>
      <c r="Z183" s="36">
        <f>IFERROR(IF(X183="","",X183*0.00866),"")</f>
        <v>0.62351999999999996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375.35039999999998</v>
      </c>
      <c r="BN183" s="67">
        <f>IFERROR(Y183*I183,"0")</f>
        <v>375.35039999999998</v>
      </c>
      <c r="BO183" s="67">
        <f>IFERROR(X183/J183,"0")</f>
        <v>0.5</v>
      </c>
      <c r="BP183" s="67">
        <f>IFERROR(Y183/J183,"0")</f>
        <v>0.5</v>
      </c>
    </row>
    <row r="184" spans="1:68" x14ac:dyDescent="0.2">
      <c r="A184" s="317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8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72</v>
      </c>
      <c r="Y184" s="280">
        <f>IFERROR(SUM(Y182:Y183),"0")</f>
        <v>72</v>
      </c>
      <c r="Z184" s="280">
        <f>IFERROR(IF(Z182="",0,Z182),"0")+IFERROR(IF(Z183="",0,Z183),"0")</f>
        <v>0.62351999999999996</v>
      </c>
      <c r="AA184" s="281"/>
      <c r="AB184" s="281"/>
      <c r="AC184" s="281"/>
    </row>
    <row r="185" spans="1:68" x14ac:dyDescent="0.2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8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360</v>
      </c>
      <c r="Y185" s="280">
        <f>IFERROR(SUMPRODUCT(Y182:Y183*H182:H183),"0")</f>
        <v>360</v>
      </c>
      <c r="Z185" s="37"/>
      <c r="AA185" s="281"/>
      <c r="AB185" s="281"/>
      <c r="AC185" s="281"/>
    </row>
    <row r="186" spans="1:68" ht="16.5" hidden="1" customHeight="1" x14ac:dyDescent="0.25">
      <c r="A186" s="320" t="s">
        <v>269</v>
      </c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  <c r="Z186" s="312"/>
      <c r="AA186" s="273"/>
      <c r="AB186" s="273"/>
      <c r="AC186" s="273"/>
    </row>
    <row r="187" spans="1:68" ht="14.25" hidden="1" customHeight="1" x14ac:dyDescent="0.25">
      <c r="A187" s="311" t="s">
        <v>62</v>
      </c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  <c r="Z187" s="312"/>
      <c r="AA187" s="272"/>
      <c r="AB187" s="272"/>
      <c r="AC187" s="272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306">
        <v>4620207491737</v>
      </c>
      <c r="E188" s="307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240</v>
      </c>
      <c r="Y188" s="279">
        <f>IFERROR(IF(X188="","",X188),"")</f>
        <v>240</v>
      </c>
      <c r="Z188" s="36">
        <f>IFERROR(IF(X188="","",X188*0.0155),"")</f>
        <v>3.7199999999999998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1262.8799999999999</v>
      </c>
      <c r="BN188" s="67">
        <f>IFERROR(Y188*I188,"0")</f>
        <v>1262.8799999999999</v>
      </c>
      <c r="BO188" s="67">
        <f>IFERROR(X188/J188,"0")</f>
        <v>2.8571428571428572</v>
      </c>
      <c r="BP188" s="67">
        <f>IFERROR(Y188/J188,"0")</f>
        <v>2.8571428571428572</v>
      </c>
    </row>
    <row r="189" spans="1:68" x14ac:dyDescent="0.2">
      <c r="A189" s="317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8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240</v>
      </c>
      <c r="Y189" s="280">
        <f>IFERROR(SUM(Y188:Y188),"0")</f>
        <v>240</v>
      </c>
      <c r="Z189" s="280">
        <f>IFERROR(IF(Z188="",0,Z188),"0")</f>
        <v>3.7199999999999998</v>
      </c>
      <c r="AA189" s="281"/>
      <c r="AB189" s="281"/>
      <c r="AC189" s="281"/>
    </row>
    <row r="190" spans="1:68" x14ac:dyDescent="0.2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8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1200</v>
      </c>
      <c r="Y190" s="280">
        <f>IFERROR(SUMPRODUCT(Y188:Y188*H188:H188),"0")</f>
        <v>1200</v>
      </c>
      <c r="Z190" s="37"/>
      <c r="AA190" s="281"/>
      <c r="AB190" s="281"/>
      <c r="AC190" s="281"/>
    </row>
    <row r="191" spans="1:68" ht="27.75" hidden="1" customHeight="1" x14ac:dyDescent="0.2">
      <c r="A191" s="309" t="s">
        <v>272</v>
      </c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48"/>
      <c r="AB191" s="48"/>
      <c r="AC191" s="48"/>
    </row>
    <row r="192" spans="1:68" ht="16.5" hidden="1" customHeight="1" x14ac:dyDescent="0.25">
      <c r="A192" s="320" t="s">
        <v>273</v>
      </c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  <c r="Z192" s="312"/>
      <c r="AA192" s="273"/>
      <c r="AB192" s="273"/>
      <c r="AC192" s="273"/>
    </row>
    <row r="193" spans="1:68" ht="14.25" hidden="1" customHeight="1" x14ac:dyDescent="0.25">
      <c r="A193" s="311" t="s">
        <v>97</v>
      </c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  <c r="Z193" s="312"/>
      <c r="AA193" s="272"/>
      <c r="AB193" s="272"/>
      <c r="AC193" s="272"/>
    </row>
    <row r="194" spans="1:68" ht="16.5" hidden="1" customHeight="1" x14ac:dyDescent="0.25">
      <c r="A194" s="54" t="s">
        <v>274</v>
      </c>
      <c r="B194" s="54" t="s">
        <v>275</v>
      </c>
      <c r="C194" s="31">
        <v>4301132179</v>
      </c>
      <c r="D194" s="306">
        <v>4607111035691</v>
      </c>
      <c r="E194" s="307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2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0</v>
      </c>
      <c r="Y194" s="279">
        <f>IFERROR(IF(X194="","",X194),"")</f>
        <v>0</v>
      </c>
      <c r="Z194" s="36">
        <f>IFERROR(IF(X194="","",X194*0.01788),"")</f>
        <v>0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06">
        <v>4607111035721</v>
      </c>
      <c r="E195" s="307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14</v>
      </c>
      <c r="Y195" s="27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47.432000000000002</v>
      </c>
      <c r="BN195" s="67">
        <f>IFERROR(Y195*I195,"0")</f>
        <v>47.432000000000002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06">
        <v>4607111038487</v>
      </c>
      <c r="E196" s="307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39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14</v>
      </c>
      <c r="Y196" s="279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52.304000000000002</v>
      </c>
      <c r="BN196" s="67">
        <f>IFERROR(Y196*I196,"0")</f>
        <v>52.304000000000002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06">
        <v>4620207491195</v>
      </c>
      <c r="E197" s="307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17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8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28</v>
      </c>
      <c r="Y198" s="280">
        <f>IFERROR(SUM(Y194:Y197),"0")</f>
        <v>28</v>
      </c>
      <c r="Z198" s="280">
        <f>IFERROR(IF(Z194="",0,Z194),"0")+IFERROR(IF(Z195="",0,Z195),"0")+IFERROR(IF(Z196="",0,Z196),"0")+IFERROR(IF(Z197="",0,Z197),"0")</f>
        <v>0.50063999999999997</v>
      </c>
      <c r="AA198" s="281"/>
      <c r="AB198" s="281"/>
      <c r="AC198" s="281"/>
    </row>
    <row r="199" spans="1:68" x14ac:dyDescent="0.2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8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84</v>
      </c>
      <c r="Y199" s="280">
        <f>IFERROR(SUMPRODUCT(Y194:Y197*H194:H197),"0")</f>
        <v>84</v>
      </c>
      <c r="Z199" s="37"/>
      <c r="AA199" s="281"/>
      <c r="AB199" s="281"/>
      <c r="AC199" s="281"/>
    </row>
    <row r="200" spans="1:68" ht="27.75" hidden="1" customHeight="1" x14ac:dyDescent="0.2">
      <c r="A200" s="309" t="s">
        <v>286</v>
      </c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48"/>
      <c r="AB200" s="48"/>
      <c r="AC200" s="48"/>
    </row>
    <row r="201" spans="1:68" ht="16.5" hidden="1" customHeight="1" x14ac:dyDescent="0.25">
      <c r="A201" s="320" t="s">
        <v>287</v>
      </c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  <c r="Z201" s="312"/>
      <c r="AA201" s="273"/>
      <c r="AB201" s="273"/>
      <c r="AC201" s="273"/>
    </row>
    <row r="202" spans="1:68" ht="14.25" hidden="1" customHeight="1" x14ac:dyDescent="0.25">
      <c r="A202" s="311" t="s">
        <v>97</v>
      </c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272"/>
      <c r="AB202" s="272"/>
      <c r="AC202" s="272"/>
    </row>
    <row r="203" spans="1:68" ht="27" hidden="1" customHeight="1" x14ac:dyDescent="0.25">
      <c r="A203" s="54" t="s">
        <v>288</v>
      </c>
      <c r="B203" s="54" t="s">
        <v>289</v>
      </c>
      <c r="C203" s="31">
        <v>4301132227</v>
      </c>
      <c r="D203" s="306">
        <v>4620207491133</v>
      </c>
      <c r="E203" s="307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idden="1" x14ac:dyDescent="0.2">
      <c r="A204" s="317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8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hidden="1" x14ac:dyDescent="0.2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8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hidden="1" customHeight="1" x14ac:dyDescent="0.25">
      <c r="A206" s="311" t="s">
        <v>141</v>
      </c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  <c r="Z206" s="312"/>
      <c r="AA206" s="272"/>
      <c r="AB206" s="272"/>
      <c r="AC206" s="272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306">
        <v>4620207491188</v>
      </c>
      <c r="E207" s="307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40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06">
        <v>4620207490235</v>
      </c>
      <c r="E208" s="307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0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06">
        <v>4620207490259</v>
      </c>
      <c r="E209" s="307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17"/>
      <c r="B210" s="312"/>
      <c r="C210" s="312"/>
      <c r="D210" s="312"/>
      <c r="E210" s="312"/>
      <c r="F210" s="312"/>
      <c r="G210" s="312"/>
      <c r="H210" s="312"/>
      <c r="I210" s="312"/>
      <c r="J210" s="312"/>
      <c r="K210" s="312"/>
      <c r="L210" s="312"/>
      <c r="M210" s="312"/>
      <c r="N210" s="312"/>
      <c r="O210" s="318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312"/>
      <c r="B211" s="312"/>
      <c r="C211" s="312"/>
      <c r="D211" s="312"/>
      <c r="E211" s="312"/>
      <c r="F211" s="312"/>
      <c r="G211" s="312"/>
      <c r="H211" s="312"/>
      <c r="I211" s="312"/>
      <c r="J211" s="312"/>
      <c r="K211" s="312"/>
      <c r="L211" s="312"/>
      <c r="M211" s="312"/>
      <c r="N211" s="312"/>
      <c r="O211" s="318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20" t="s">
        <v>300</v>
      </c>
      <c r="B212" s="312"/>
      <c r="C212" s="312"/>
      <c r="D212" s="312"/>
      <c r="E212" s="312"/>
      <c r="F212" s="312"/>
      <c r="G212" s="312"/>
      <c r="H212" s="312"/>
      <c r="I212" s="312"/>
      <c r="J212" s="312"/>
      <c r="K212" s="312"/>
      <c r="L212" s="312"/>
      <c r="M212" s="312"/>
      <c r="N212" s="312"/>
      <c r="O212" s="312"/>
      <c r="P212" s="312"/>
      <c r="Q212" s="312"/>
      <c r="R212" s="312"/>
      <c r="S212" s="312"/>
      <c r="T212" s="312"/>
      <c r="U212" s="312"/>
      <c r="V212" s="312"/>
      <c r="W212" s="312"/>
      <c r="X212" s="312"/>
      <c r="Y212" s="312"/>
      <c r="Z212" s="312"/>
      <c r="AA212" s="273"/>
      <c r="AB212" s="273"/>
      <c r="AC212" s="273"/>
    </row>
    <row r="213" spans="1:68" ht="14.25" hidden="1" customHeight="1" x14ac:dyDescent="0.25">
      <c r="A213" s="311" t="s">
        <v>141</v>
      </c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2"/>
      <c r="S213" s="312"/>
      <c r="T213" s="312"/>
      <c r="U213" s="312"/>
      <c r="V213" s="312"/>
      <c r="W213" s="312"/>
      <c r="X213" s="312"/>
      <c r="Y213" s="312"/>
      <c r="Z213" s="312"/>
      <c r="AA213" s="272"/>
      <c r="AB213" s="272"/>
      <c r="AC213" s="272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06">
        <v>4620207491706</v>
      </c>
      <c r="E214" s="307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06">
        <v>4620207491522</v>
      </c>
      <c r="E215" s="307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17"/>
      <c r="B216" s="312"/>
      <c r="C216" s="312"/>
      <c r="D216" s="312"/>
      <c r="E216" s="312"/>
      <c r="F216" s="312"/>
      <c r="G216" s="312"/>
      <c r="H216" s="312"/>
      <c r="I216" s="312"/>
      <c r="J216" s="312"/>
      <c r="K216" s="312"/>
      <c r="L216" s="312"/>
      <c r="M216" s="312"/>
      <c r="N216" s="312"/>
      <c r="O216" s="318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12"/>
      <c r="B217" s="312"/>
      <c r="C217" s="312"/>
      <c r="D217" s="312"/>
      <c r="E217" s="312"/>
      <c r="F217" s="312"/>
      <c r="G217" s="312"/>
      <c r="H217" s="312"/>
      <c r="I217" s="312"/>
      <c r="J217" s="312"/>
      <c r="K217" s="312"/>
      <c r="L217" s="312"/>
      <c r="M217" s="312"/>
      <c r="N217" s="312"/>
      <c r="O217" s="318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20" t="s">
        <v>307</v>
      </c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273"/>
      <c r="AB218" s="273"/>
      <c r="AC218" s="273"/>
    </row>
    <row r="219" spans="1:68" ht="14.25" hidden="1" customHeight="1" x14ac:dyDescent="0.25">
      <c r="A219" s="311" t="s">
        <v>62</v>
      </c>
      <c r="B219" s="312"/>
      <c r="C219" s="312"/>
      <c r="D219" s="312"/>
      <c r="E219" s="312"/>
      <c r="F219" s="312"/>
      <c r="G219" s="312"/>
      <c r="H219" s="312"/>
      <c r="I219" s="312"/>
      <c r="J219" s="312"/>
      <c r="K219" s="312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2"/>
      <c r="Y219" s="312"/>
      <c r="Z219" s="312"/>
      <c r="AA219" s="272"/>
      <c r="AB219" s="272"/>
      <c r="AC219" s="272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306">
        <v>4620207491096</v>
      </c>
      <c r="E220" s="307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36</v>
      </c>
      <c r="Y220" s="279">
        <f>IFERROR(IF(X220="","",X220),"")</f>
        <v>36</v>
      </c>
      <c r="Z220" s="36">
        <f>IFERROR(IF(X220="","",X220*0.0155),"")</f>
        <v>0.55800000000000005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188.28000000000003</v>
      </c>
      <c r="BN220" s="67">
        <f>IFERROR(Y220*I220,"0")</f>
        <v>188.28000000000003</v>
      </c>
      <c r="BO220" s="67">
        <f>IFERROR(X220/J220,"0")</f>
        <v>0.42857142857142855</v>
      </c>
      <c r="BP220" s="67">
        <f>IFERROR(Y220/J220,"0")</f>
        <v>0.42857142857142855</v>
      </c>
    </row>
    <row r="221" spans="1:68" x14ac:dyDescent="0.2">
      <c r="A221" s="317"/>
      <c r="B221" s="312"/>
      <c r="C221" s="312"/>
      <c r="D221" s="312"/>
      <c r="E221" s="312"/>
      <c r="F221" s="312"/>
      <c r="G221" s="312"/>
      <c r="H221" s="312"/>
      <c r="I221" s="312"/>
      <c r="J221" s="312"/>
      <c r="K221" s="312"/>
      <c r="L221" s="312"/>
      <c r="M221" s="312"/>
      <c r="N221" s="312"/>
      <c r="O221" s="318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36</v>
      </c>
      <c r="Y221" s="280">
        <f>IFERROR(SUM(Y220:Y220),"0")</f>
        <v>36</v>
      </c>
      <c r="Z221" s="280">
        <f>IFERROR(IF(Z220="",0,Z220),"0")</f>
        <v>0.55800000000000005</v>
      </c>
      <c r="AA221" s="281"/>
      <c r="AB221" s="281"/>
      <c r="AC221" s="281"/>
    </row>
    <row r="222" spans="1:68" x14ac:dyDescent="0.2">
      <c r="A222" s="312"/>
      <c r="B222" s="312"/>
      <c r="C222" s="312"/>
      <c r="D222" s="312"/>
      <c r="E222" s="312"/>
      <c r="F222" s="312"/>
      <c r="G222" s="312"/>
      <c r="H222" s="312"/>
      <c r="I222" s="312"/>
      <c r="J222" s="312"/>
      <c r="K222" s="312"/>
      <c r="L222" s="312"/>
      <c r="M222" s="312"/>
      <c r="N222" s="312"/>
      <c r="O222" s="318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180</v>
      </c>
      <c r="Y222" s="280">
        <f>IFERROR(SUMPRODUCT(Y220:Y220*H220:H220),"0")</f>
        <v>180</v>
      </c>
      <c r="Z222" s="37"/>
      <c r="AA222" s="281"/>
      <c r="AB222" s="281"/>
      <c r="AC222" s="281"/>
    </row>
    <row r="223" spans="1:68" ht="16.5" hidden="1" customHeight="1" x14ac:dyDescent="0.25">
      <c r="A223" s="320" t="s">
        <v>311</v>
      </c>
      <c r="B223" s="312"/>
      <c r="C223" s="312"/>
      <c r="D223" s="312"/>
      <c r="E223" s="312"/>
      <c r="F223" s="312"/>
      <c r="G223" s="312"/>
      <c r="H223" s="312"/>
      <c r="I223" s="312"/>
      <c r="J223" s="312"/>
      <c r="K223" s="312"/>
      <c r="L223" s="312"/>
      <c r="M223" s="312"/>
      <c r="N223" s="312"/>
      <c r="O223" s="312"/>
      <c r="P223" s="312"/>
      <c r="Q223" s="312"/>
      <c r="R223" s="312"/>
      <c r="S223" s="312"/>
      <c r="T223" s="312"/>
      <c r="U223" s="312"/>
      <c r="V223" s="312"/>
      <c r="W223" s="312"/>
      <c r="X223" s="312"/>
      <c r="Y223" s="312"/>
      <c r="Z223" s="312"/>
      <c r="AA223" s="273"/>
      <c r="AB223" s="273"/>
      <c r="AC223" s="273"/>
    </row>
    <row r="224" spans="1:68" ht="14.25" hidden="1" customHeight="1" x14ac:dyDescent="0.25">
      <c r="A224" s="311" t="s">
        <v>141</v>
      </c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272"/>
      <c r="AB224" s="272"/>
      <c r="AC224" s="272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06">
        <v>4620207490501</v>
      </c>
      <c r="E225" s="307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17"/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8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12"/>
      <c r="B227" s="312"/>
      <c r="C227" s="312"/>
      <c r="D227" s="312"/>
      <c r="E227" s="312"/>
      <c r="F227" s="312"/>
      <c r="G227" s="312"/>
      <c r="H227" s="312"/>
      <c r="I227" s="312"/>
      <c r="J227" s="312"/>
      <c r="K227" s="312"/>
      <c r="L227" s="312"/>
      <c r="M227" s="312"/>
      <c r="N227" s="312"/>
      <c r="O227" s="318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9" t="s">
        <v>315</v>
      </c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48"/>
      <c r="AB228" s="48"/>
      <c r="AC228" s="48"/>
    </row>
    <row r="229" spans="1:68" ht="16.5" hidden="1" customHeight="1" x14ac:dyDescent="0.25">
      <c r="A229" s="320" t="s">
        <v>316</v>
      </c>
      <c r="B229" s="312"/>
      <c r="C229" s="312"/>
      <c r="D229" s="312"/>
      <c r="E229" s="312"/>
      <c r="F229" s="312"/>
      <c r="G229" s="312"/>
      <c r="H229" s="312"/>
      <c r="I229" s="312"/>
      <c r="J229" s="312"/>
      <c r="K229" s="312"/>
      <c r="L229" s="312"/>
      <c r="M229" s="312"/>
      <c r="N229" s="312"/>
      <c r="O229" s="312"/>
      <c r="P229" s="312"/>
      <c r="Q229" s="312"/>
      <c r="R229" s="312"/>
      <c r="S229" s="312"/>
      <c r="T229" s="312"/>
      <c r="U229" s="312"/>
      <c r="V229" s="312"/>
      <c r="W229" s="312"/>
      <c r="X229" s="312"/>
      <c r="Y229" s="312"/>
      <c r="Z229" s="312"/>
      <c r="AA229" s="273"/>
      <c r="AB229" s="273"/>
      <c r="AC229" s="273"/>
    </row>
    <row r="230" spans="1:68" ht="14.25" hidden="1" customHeight="1" x14ac:dyDescent="0.25">
      <c r="A230" s="311" t="s">
        <v>62</v>
      </c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272"/>
      <c r="AB230" s="272"/>
      <c r="AC230" s="272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06">
        <v>4607111036162</v>
      </c>
      <c r="E231" s="307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17"/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8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12"/>
      <c r="B233" s="312"/>
      <c r="C233" s="312"/>
      <c r="D233" s="312"/>
      <c r="E233" s="312"/>
      <c r="F233" s="312"/>
      <c r="G233" s="312"/>
      <c r="H233" s="312"/>
      <c r="I233" s="312"/>
      <c r="J233" s="312"/>
      <c r="K233" s="312"/>
      <c r="L233" s="312"/>
      <c r="M233" s="312"/>
      <c r="N233" s="312"/>
      <c r="O233" s="318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9" t="s">
        <v>320</v>
      </c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48"/>
      <c r="AB234" s="48"/>
      <c r="AC234" s="48"/>
    </row>
    <row r="235" spans="1:68" ht="16.5" hidden="1" customHeight="1" x14ac:dyDescent="0.25">
      <c r="A235" s="320" t="s">
        <v>321</v>
      </c>
      <c r="B235" s="312"/>
      <c r="C235" s="312"/>
      <c r="D235" s="312"/>
      <c r="E235" s="312"/>
      <c r="F235" s="312"/>
      <c r="G235" s="312"/>
      <c r="H235" s="312"/>
      <c r="I235" s="312"/>
      <c r="J235" s="312"/>
      <c r="K235" s="312"/>
      <c r="L235" s="312"/>
      <c r="M235" s="312"/>
      <c r="N235" s="312"/>
      <c r="O235" s="312"/>
      <c r="P235" s="312"/>
      <c r="Q235" s="312"/>
      <c r="R235" s="312"/>
      <c r="S235" s="312"/>
      <c r="T235" s="312"/>
      <c r="U235" s="312"/>
      <c r="V235" s="312"/>
      <c r="W235" s="312"/>
      <c r="X235" s="312"/>
      <c r="Y235" s="312"/>
      <c r="Z235" s="312"/>
      <c r="AA235" s="273"/>
      <c r="AB235" s="273"/>
      <c r="AC235" s="273"/>
    </row>
    <row r="236" spans="1:68" ht="14.25" hidden="1" customHeight="1" x14ac:dyDescent="0.25">
      <c r="A236" s="311" t="s">
        <v>322</v>
      </c>
      <c r="B236" s="312"/>
      <c r="C236" s="312"/>
      <c r="D236" s="312"/>
      <c r="E236" s="312"/>
      <c r="F236" s="312"/>
      <c r="G236" s="312"/>
      <c r="H236" s="312"/>
      <c r="I236" s="312"/>
      <c r="J236" s="312"/>
      <c r="K236" s="312"/>
      <c r="L236" s="312"/>
      <c r="M236" s="312"/>
      <c r="N236" s="312"/>
      <c r="O236" s="312"/>
      <c r="P236" s="312"/>
      <c r="Q236" s="312"/>
      <c r="R236" s="312"/>
      <c r="S236" s="312"/>
      <c r="T236" s="312"/>
      <c r="U236" s="312"/>
      <c r="V236" s="312"/>
      <c r="W236" s="312"/>
      <c r="X236" s="312"/>
      <c r="Y236" s="312"/>
      <c r="Z236" s="312"/>
      <c r="AA236" s="272"/>
      <c r="AB236" s="272"/>
      <c r="AC236" s="272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06">
        <v>4607111039774</v>
      </c>
      <c r="E237" s="307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17"/>
      <c r="B238" s="312"/>
      <c r="C238" s="312"/>
      <c r="D238" s="312"/>
      <c r="E238" s="312"/>
      <c r="F238" s="312"/>
      <c r="G238" s="312"/>
      <c r="H238" s="312"/>
      <c r="I238" s="312"/>
      <c r="J238" s="312"/>
      <c r="K238" s="312"/>
      <c r="L238" s="312"/>
      <c r="M238" s="312"/>
      <c r="N238" s="312"/>
      <c r="O238" s="318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12"/>
      <c r="B239" s="312"/>
      <c r="C239" s="312"/>
      <c r="D239" s="312"/>
      <c r="E239" s="312"/>
      <c r="F239" s="312"/>
      <c r="G239" s="312"/>
      <c r="H239" s="312"/>
      <c r="I239" s="312"/>
      <c r="J239" s="312"/>
      <c r="K239" s="312"/>
      <c r="L239" s="312"/>
      <c r="M239" s="312"/>
      <c r="N239" s="312"/>
      <c r="O239" s="318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1" t="s">
        <v>141</v>
      </c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2"/>
      <c r="Y240" s="312"/>
      <c r="Z240" s="312"/>
      <c r="AA240" s="272"/>
      <c r="AB240" s="272"/>
      <c r="AC240" s="272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06">
        <v>4607111039361</v>
      </c>
      <c r="E241" s="307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5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17"/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8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12"/>
      <c r="B243" s="312"/>
      <c r="C243" s="312"/>
      <c r="D243" s="312"/>
      <c r="E243" s="312"/>
      <c r="F243" s="312"/>
      <c r="G243" s="312"/>
      <c r="H243" s="312"/>
      <c r="I243" s="312"/>
      <c r="J243" s="312"/>
      <c r="K243" s="312"/>
      <c r="L243" s="312"/>
      <c r="M243" s="312"/>
      <c r="N243" s="312"/>
      <c r="O243" s="318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9" t="s">
        <v>328</v>
      </c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48"/>
      <c r="AB244" s="48"/>
      <c r="AC244" s="48"/>
    </row>
    <row r="245" spans="1:68" ht="16.5" hidden="1" customHeight="1" x14ac:dyDescent="0.25">
      <c r="A245" s="320" t="s">
        <v>328</v>
      </c>
      <c r="B245" s="312"/>
      <c r="C245" s="312"/>
      <c r="D245" s="312"/>
      <c r="E245" s="312"/>
      <c r="F245" s="312"/>
      <c r="G245" s="312"/>
      <c r="H245" s="312"/>
      <c r="I245" s="312"/>
      <c r="J245" s="312"/>
      <c r="K245" s="312"/>
      <c r="L245" s="312"/>
      <c r="M245" s="312"/>
      <c r="N245" s="312"/>
      <c r="O245" s="312"/>
      <c r="P245" s="312"/>
      <c r="Q245" s="312"/>
      <c r="R245" s="312"/>
      <c r="S245" s="312"/>
      <c r="T245" s="312"/>
      <c r="U245" s="312"/>
      <c r="V245" s="312"/>
      <c r="W245" s="312"/>
      <c r="X245" s="312"/>
      <c r="Y245" s="312"/>
      <c r="Z245" s="312"/>
      <c r="AA245" s="273"/>
      <c r="AB245" s="273"/>
      <c r="AC245" s="273"/>
    </row>
    <row r="246" spans="1:68" ht="14.25" hidden="1" customHeight="1" x14ac:dyDescent="0.25">
      <c r="A246" s="311" t="s">
        <v>135</v>
      </c>
      <c r="B246" s="312"/>
      <c r="C246" s="312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  <c r="AA246" s="272"/>
      <c r="AB246" s="272"/>
      <c r="AC246" s="272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06">
        <v>4640242181943</v>
      </c>
      <c r="E247" s="307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5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17"/>
      <c r="B248" s="312"/>
      <c r="C248" s="312"/>
      <c r="D248" s="312"/>
      <c r="E248" s="312"/>
      <c r="F248" s="312"/>
      <c r="G248" s="312"/>
      <c r="H248" s="312"/>
      <c r="I248" s="312"/>
      <c r="J248" s="312"/>
      <c r="K248" s="312"/>
      <c r="L248" s="312"/>
      <c r="M248" s="312"/>
      <c r="N248" s="312"/>
      <c r="O248" s="318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12"/>
      <c r="B249" s="312"/>
      <c r="C249" s="312"/>
      <c r="D249" s="312"/>
      <c r="E249" s="312"/>
      <c r="F249" s="312"/>
      <c r="G249" s="312"/>
      <c r="H249" s="312"/>
      <c r="I249" s="312"/>
      <c r="J249" s="312"/>
      <c r="K249" s="312"/>
      <c r="L249" s="312"/>
      <c r="M249" s="312"/>
      <c r="N249" s="312"/>
      <c r="O249" s="318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9" t="s">
        <v>332</v>
      </c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48"/>
      <c r="AB250" s="48"/>
      <c r="AC250" s="48"/>
    </row>
    <row r="251" spans="1:68" ht="16.5" hidden="1" customHeight="1" x14ac:dyDescent="0.25">
      <c r="A251" s="320" t="s">
        <v>332</v>
      </c>
      <c r="B251" s="312"/>
      <c r="C251" s="312"/>
      <c r="D251" s="312"/>
      <c r="E251" s="312"/>
      <c r="F251" s="312"/>
      <c r="G251" s="312"/>
      <c r="H251" s="312"/>
      <c r="I251" s="312"/>
      <c r="J251" s="312"/>
      <c r="K251" s="312"/>
      <c r="L251" s="312"/>
      <c r="M251" s="312"/>
      <c r="N251" s="312"/>
      <c r="O251" s="312"/>
      <c r="P251" s="312"/>
      <c r="Q251" s="312"/>
      <c r="R251" s="312"/>
      <c r="S251" s="312"/>
      <c r="T251" s="312"/>
      <c r="U251" s="312"/>
      <c r="V251" s="312"/>
      <c r="W251" s="312"/>
      <c r="X251" s="312"/>
      <c r="Y251" s="312"/>
      <c r="Z251" s="312"/>
      <c r="AA251" s="273"/>
      <c r="AB251" s="273"/>
      <c r="AC251" s="273"/>
    </row>
    <row r="252" spans="1:68" ht="14.25" hidden="1" customHeight="1" x14ac:dyDescent="0.25">
      <c r="A252" s="311" t="s">
        <v>62</v>
      </c>
      <c r="B252" s="312"/>
      <c r="C252" s="312"/>
      <c r="D252" s="312"/>
      <c r="E252" s="312"/>
      <c r="F252" s="312"/>
      <c r="G252" s="312"/>
      <c r="H252" s="312"/>
      <c r="I252" s="312"/>
      <c r="J252" s="312"/>
      <c r="K252" s="312"/>
      <c r="L252" s="312"/>
      <c r="M252" s="312"/>
      <c r="N252" s="312"/>
      <c r="O252" s="312"/>
      <c r="P252" s="312"/>
      <c r="Q252" s="312"/>
      <c r="R252" s="312"/>
      <c r="S252" s="312"/>
      <c r="T252" s="312"/>
      <c r="U252" s="312"/>
      <c r="V252" s="312"/>
      <c r="W252" s="312"/>
      <c r="X252" s="312"/>
      <c r="Y252" s="312"/>
      <c r="Z252" s="312"/>
      <c r="AA252" s="272"/>
      <c r="AB252" s="272"/>
      <c r="AC252" s="272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06">
        <v>4640242181264</v>
      </c>
      <c r="E253" s="307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306">
        <v>4640242181325</v>
      </c>
      <c r="E254" s="307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72</v>
      </c>
      <c r="Y254" s="279">
        <f>IFERROR(IF(X254="","",X254),"")</f>
        <v>72</v>
      </c>
      <c r="Z254" s="36">
        <f>IFERROR(IF(X254="","",X254*0.0155),"")</f>
        <v>1.1160000000000001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524.16</v>
      </c>
      <c r="BN254" s="67">
        <f>IFERROR(Y254*I254,"0")</f>
        <v>524.16</v>
      </c>
      <c r="BO254" s="67">
        <f>IFERROR(X254/J254,"0")</f>
        <v>0.8571428571428571</v>
      </c>
      <c r="BP254" s="67">
        <f>IFERROR(Y254/J254,"0")</f>
        <v>0.8571428571428571</v>
      </c>
    </row>
    <row r="255" spans="1:68" x14ac:dyDescent="0.2">
      <c r="A255" s="317"/>
      <c r="B255" s="312"/>
      <c r="C255" s="312"/>
      <c r="D255" s="312"/>
      <c r="E255" s="312"/>
      <c r="F255" s="312"/>
      <c r="G255" s="312"/>
      <c r="H255" s="312"/>
      <c r="I255" s="312"/>
      <c r="J255" s="312"/>
      <c r="K255" s="312"/>
      <c r="L255" s="312"/>
      <c r="M255" s="312"/>
      <c r="N255" s="312"/>
      <c r="O255" s="318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72</v>
      </c>
      <c r="Y255" s="280">
        <f>IFERROR(SUM(Y253:Y254),"0")</f>
        <v>72</v>
      </c>
      <c r="Z255" s="280">
        <f>IFERROR(IF(Z253="",0,Z253),"0")+IFERROR(IF(Z254="",0,Z254),"0")</f>
        <v>1.1160000000000001</v>
      </c>
      <c r="AA255" s="281"/>
      <c r="AB255" s="281"/>
      <c r="AC255" s="281"/>
    </row>
    <row r="256" spans="1:68" x14ac:dyDescent="0.2">
      <c r="A256" s="312"/>
      <c r="B256" s="312"/>
      <c r="C256" s="312"/>
      <c r="D256" s="312"/>
      <c r="E256" s="312"/>
      <c r="F256" s="312"/>
      <c r="G256" s="312"/>
      <c r="H256" s="312"/>
      <c r="I256" s="312"/>
      <c r="J256" s="312"/>
      <c r="K256" s="312"/>
      <c r="L256" s="312"/>
      <c r="M256" s="312"/>
      <c r="N256" s="312"/>
      <c r="O256" s="318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504</v>
      </c>
      <c r="Y256" s="280">
        <f>IFERROR(SUMPRODUCT(Y253:Y254*H253:H254),"0")</f>
        <v>504</v>
      </c>
      <c r="Z256" s="37"/>
      <c r="AA256" s="281"/>
      <c r="AB256" s="281"/>
      <c r="AC256" s="281"/>
    </row>
    <row r="257" spans="1:68" ht="14.25" hidden="1" customHeight="1" x14ac:dyDescent="0.25">
      <c r="A257" s="311" t="s">
        <v>97</v>
      </c>
      <c r="B257" s="312"/>
      <c r="C257" s="312"/>
      <c r="D257" s="312"/>
      <c r="E257" s="312"/>
      <c r="F257" s="312"/>
      <c r="G257" s="312"/>
      <c r="H257" s="312"/>
      <c r="I257" s="312"/>
      <c r="J257" s="312"/>
      <c r="K257" s="312"/>
      <c r="L257" s="312"/>
      <c r="M257" s="312"/>
      <c r="N257" s="312"/>
      <c r="O257" s="312"/>
      <c r="P257" s="312"/>
      <c r="Q257" s="312"/>
      <c r="R257" s="312"/>
      <c r="S257" s="312"/>
      <c r="T257" s="312"/>
      <c r="U257" s="312"/>
      <c r="V257" s="312"/>
      <c r="W257" s="312"/>
      <c r="X257" s="312"/>
      <c r="Y257" s="312"/>
      <c r="Z257" s="312"/>
      <c r="AA257" s="272"/>
      <c r="AB257" s="272"/>
      <c r="AC257" s="272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306">
        <v>4640242180397</v>
      </c>
      <c r="E258" s="307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2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48</v>
      </c>
      <c r="Y258" s="279">
        <f>IFERROR(IF(X258="","",X258),"")</f>
        <v>48</v>
      </c>
      <c r="Z258" s="36">
        <f>IFERROR(IF(X258="","",X258*0.0155),"")</f>
        <v>0.74399999999999999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300.48</v>
      </c>
      <c r="BN258" s="67">
        <f>IFERROR(Y258*I258,"0")</f>
        <v>300.48</v>
      </c>
      <c r="BO258" s="67">
        <f>IFERROR(X258/J258,"0")</f>
        <v>0.5714285714285714</v>
      </c>
      <c r="BP258" s="67">
        <f>IFERROR(Y258/J258,"0")</f>
        <v>0.5714285714285714</v>
      </c>
    </row>
    <row r="259" spans="1:68" x14ac:dyDescent="0.2">
      <c r="A259" s="317"/>
      <c r="B259" s="312"/>
      <c r="C259" s="312"/>
      <c r="D259" s="312"/>
      <c r="E259" s="312"/>
      <c r="F259" s="312"/>
      <c r="G259" s="312"/>
      <c r="H259" s="312"/>
      <c r="I259" s="312"/>
      <c r="J259" s="312"/>
      <c r="K259" s="312"/>
      <c r="L259" s="312"/>
      <c r="M259" s="312"/>
      <c r="N259" s="312"/>
      <c r="O259" s="318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48</v>
      </c>
      <c r="Y259" s="280">
        <f>IFERROR(SUM(Y258:Y258),"0")</f>
        <v>48</v>
      </c>
      <c r="Z259" s="280">
        <f>IFERROR(IF(Z258="",0,Z258),"0")</f>
        <v>0.74399999999999999</v>
      </c>
      <c r="AA259" s="281"/>
      <c r="AB259" s="281"/>
      <c r="AC259" s="281"/>
    </row>
    <row r="260" spans="1:68" x14ac:dyDescent="0.2">
      <c r="A260" s="312"/>
      <c r="B260" s="312"/>
      <c r="C260" s="312"/>
      <c r="D260" s="312"/>
      <c r="E260" s="312"/>
      <c r="F260" s="312"/>
      <c r="G260" s="312"/>
      <c r="H260" s="312"/>
      <c r="I260" s="312"/>
      <c r="J260" s="312"/>
      <c r="K260" s="312"/>
      <c r="L260" s="312"/>
      <c r="M260" s="312"/>
      <c r="N260" s="312"/>
      <c r="O260" s="318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288</v>
      </c>
      <c r="Y260" s="280">
        <f>IFERROR(SUMPRODUCT(Y258:Y258*H258:H258),"0")</f>
        <v>288</v>
      </c>
      <c r="Z260" s="37"/>
      <c r="AA260" s="281"/>
      <c r="AB260" s="281"/>
      <c r="AC260" s="281"/>
    </row>
    <row r="261" spans="1:68" ht="14.25" hidden="1" customHeight="1" x14ac:dyDescent="0.25">
      <c r="A261" s="311" t="s">
        <v>135</v>
      </c>
      <c r="B261" s="312"/>
      <c r="C261" s="312"/>
      <c r="D261" s="312"/>
      <c r="E261" s="312"/>
      <c r="F261" s="312"/>
      <c r="G261" s="312"/>
      <c r="H261" s="312"/>
      <c r="I261" s="312"/>
      <c r="J261" s="312"/>
      <c r="K261" s="312"/>
      <c r="L261" s="312"/>
      <c r="M261" s="312"/>
      <c r="N261" s="312"/>
      <c r="O261" s="312"/>
      <c r="P261" s="312"/>
      <c r="Q261" s="312"/>
      <c r="R261" s="312"/>
      <c r="S261" s="312"/>
      <c r="T261" s="312"/>
      <c r="U261" s="312"/>
      <c r="V261" s="312"/>
      <c r="W261" s="312"/>
      <c r="X261" s="312"/>
      <c r="Y261" s="312"/>
      <c r="Z261" s="312"/>
      <c r="AA261" s="272"/>
      <c r="AB261" s="272"/>
      <c r="AC261" s="272"/>
    </row>
    <row r="262" spans="1:68" ht="27" hidden="1" customHeight="1" x14ac:dyDescent="0.25">
      <c r="A262" s="54" t="s">
        <v>341</v>
      </c>
      <c r="B262" s="54" t="s">
        <v>342</v>
      </c>
      <c r="C262" s="31">
        <v>4301136051</v>
      </c>
      <c r="D262" s="306">
        <v>4640242180304</v>
      </c>
      <c r="E262" s="307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06">
        <v>4640242180236</v>
      </c>
      <c r="E263" s="307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60</v>
      </c>
      <c r="Y263" s="279">
        <f>IFERROR(IF(X263="","",X263),"")</f>
        <v>60</v>
      </c>
      <c r="Z263" s="36">
        <f>IFERROR(IF(X263="","",X263*0.0155),"")</f>
        <v>0.92999999999999994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314.10000000000002</v>
      </c>
      <c r="BN263" s="67">
        <f>IFERROR(Y263*I263,"0")</f>
        <v>314.10000000000002</v>
      </c>
      <c r="BO263" s="67">
        <f>IFERROR(X263/J263,"0")</f>
        <v>0.7142857142857143</v>
      </c>
      <c r="BP263" s="67">
        <f>IFERROR(Y263/J263,"0")</f>
        <v>0.7142857142857143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06">
        <v>4640242180410</v>
      </c>
      <c r="E264" s="307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17"/>
      <c r="B265" s="312"/>
      <c r="C265" s="312"/>
      <c r="D265" s="312"/>
      <c r="E265" s="312"/>
      <c r="F265" s="312"/>
      <c r="G265" s="312"/>
      <c r="H265" s="312"/>
      <c r="I265" s="312"/>
      <c r="J265" s="312"/>
      <c r="K265" s="312"/>
      <c r="L265" s="312"/>
      <c r="M265" s="312"/>
      <c r="N265" s="312"/>
      <c r="O265" s="318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60</v>
      </c>
      <c r="Y265" s="280">
        <f>IFERROR(SUM(Y262:Y264),"0")</f>
        <v>60</v>
      </c>
      <c r="Z265" s="280">
        <f>IFERROR(IF(Z262="",0,Z262),"0")+IFERROR(IF(Z263="",0,Z263),"0")+IFERROR(IF(Z264="",0,Z264),"0")</f>
        <v>0.92999999999999994</v>
      </c>
      <c r="AA265" s="281"/>
      <c r="AB265" s="281"/>
      <c r="AC265" s="281"/>
    </row>
    <row r="266" spans="1:68" x14ac:dyDescent="0.2">
      <c r="A266" s="312"/>
      <c r="B266" s="312"/>
      <c r="C266" s="312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8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300</v>
      </c>
      <c r="Y266" s="280">
        <f>IFERROR(SUMPRODUCT(Y262:Y264*H262:H264),"0")</f>
        <v>300</v>
      </c>
      <c r="Z266" s="37"/>
      <c r="AA266" s="281"/>
      <c r="AB266" s="281"/>
      <c r="AC266" s="281"/>
    </row>
    <row r="267" spans="1:68" ht="14.25" hidden="1" customHeight="1" x14ac:dyDescent="0.25">
      <c r="A267" s="311" t="s">
        <v>141</v>
      </c>
      <c r="B267" s="312"/>
      <c r="C267" s="312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2"/>
      <c r="S267" s="312"/>
      <c r="T267" s="312"/>
      <c r="U267" s="312"/>
      <c r="V267" s="312"/>
      <c r="W267" s="312"/>
      <c r="X267" s="312"/>
      <c r="Y267" s="312"/>
      <c r="Z267" s="312"/>
      <c r="AA267" s="272"/>
      <c r="AB267" s="272"/>
      <c r="AC267" s="272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06">
        <v>4640242181554</v>
      </c>
      <c r="E268" s="307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306">
        <v>4640242182087</v>
      </c>
      <c r="E269" s="307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36</v>
      </c>
      <c r="Y269" s="279">
        <f t="shared" si="18"/>
        <v>36</v>
      </c>
      <c r="Z269" s="36">
        <f>IFERROR(IF(X269="","",X269*0.0155),"")</f>
        <v>0.55800000000000005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188.28000000000003</v>
      </c>
      <c r="BN269" s="67">
        <f t="shared" si="20"/>
        <v>188.28000000000003</v>
      </c>
      <c r="BO269" s="67">
        <f t="shared" si="21"/>
        <v>0.42857142857142855</v>
      </c>
      <c r="BP269" s="67">
        <f t="shared" si="22"/>
        <v>0.42857142857142855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306">
        <v>4640242181424</v>
      </c>
      <c r="E270" s="307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24</v>
      </c>
      <c r="Y270" s="279">
        <f t="shared" si="18"/>
        <v>24</v>
      </c>
      <c r="Z270" s="36">
        <f>IFERROR(IF(X270="","",X270*0.0155),"")</f>
        <v>0.372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137.64000000000001</v>
      </c>
      <c r="BN270" s="67">
        <f t="shared" si="20"/>
        <v>137.64000000000001</v>
      </c>
      <c r="BO270" s="67">
        <f t="shared" si="21"/>
        <v>0.2857142857142857</v>
      </c>
      <c r="BP270" s="67">
        <f t="shared" si="22"/>
        <v>0.2857142857142857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306">
        <v>4640242181523</v>
      </c>
      <c r="E271" s="307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28</v>
      </c>
      <c r="Y271" s="279">
        <f t="shared" si="18"/>
        <v>28</v>
      </c>
      <c r="Z271" s="36">
        <f t="shared" ref="Z271:Z276" si="23">IFERROR(IF(X271="","",X271*0.00936),"")</f>
        <v>0.26207999999999998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4301135375</v>
      </c>
      <c r="D272" s="306">
        <v>4640242181486</v>
      </c>
      <c r="E272" s="307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4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06">
        <v>4640242181493</v>
      </c>
      <c r="E273" s="307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06">
        <v>4640242181509</v>
      </c>
      <c r="E274" s="307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06">
        <v>4640242181240</v>
      </c>
      <c r="E275" s="307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06">
        <v>4640242181318</v>
      </c>
      <c r="E276" s="307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2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06">
        <v>4640242181387</v>
      </c>
      <c r="E277" s="307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40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17"/>
      <c r="B278" s="312"/>
      <c r="C278" s="312"/>
      <c r="D278" s="312"/>
      <c r="E278" s="312"/>
      <c r="F278" s="312"/>
      <c r="G278" s="312"/>
      <c r="H278" s="312"/>
      <c r="I278" s="312"/>
      <c r="J278" s="312"/>
      <c r="K278" s="312"/>
      <c r="L278" s="312"/>
      <c r="M278" s="312"/>
      <c r="N278" s="312"/>
      <c r="O278" s="318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88</v>
      </c>
      <c r="Y278" s="280">
        <f>IFERROR(SUM(Y268:Y277),"0")</f>
        <v>88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1.19208</v>
      </c>
      <c r="AA278" s="281"/>
      <c r="AB278" s="281"/>
      <c r="AC278" s="281"/>
    </row>
    <row r="279" spans="1:68" x14ac:dyDescent="0.2">
      <c r="A279" s="312"/>
      <c r="B279" s="312"/>
      <c r="C279" s="312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8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396</v>
      </c>
      <c r="Y279" s="280">
        <f>IFERROR(SUMPRODUCT(Y268:Y277*H268:H277),"0")</f>
        <v>396</v>
      </c>
      <c r="Z279" s="37"/>
      <c r="AA279" s="281"/>
      <c r="AB279" s="281"/>
      <c r="AC279" s="281"/>
    </row>
    <row r="280" spans="1:68" ht="15" customHeight="1" x14ac:dyDescent="0.2">
      <c r="A280" s="399"/>
      <c r="B280" s="312"/>
      <c r="C280" s="312"/>
      <c r="D280" s="312"/>
      <c r="E280" s="312"/>
      <c r="F280" s="312"/>
      <c r="G280" s="312"/>
      <c r="H280" s="312"/>
      <c r="I280" s="312"/>
      <c r="J280" s="312"/>
      <c r="K280" s="312"/>
      <c r="L280" s="312"/>
      <c r="M280" s="312"/>
      <c r="N280" s="312"/>
      <c r="O280" s="386"/>
      <c r="P280" s="323" t="s">
        <v>370</v>
      </c>
      <c r="Q280" s="304"/>
      <c r="R280" s="304"/>
      <c r="S280" s="304"/>
      <c r="T280" s="304"/>
      <c r="U280" s="304"/>
      <c r="V280" s="305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5308.32</v>
      </c>
      <c r="Y280" s="280">
        <f>IFERROR(Y31+Y37+Y44+Y51+Y59+Y64+Y68+Y73+Y79+Y85+Y90+Y96+Y106+Y112+Y123+Y127+Y131+Y139+Y145+Y151+Y157+Y163+Y168+Y173+Y178+Y185+Y190+Y199+Y205+Y211+Y217+Y222+Y227+Y233+Y239+Y243+Y249+Y256+Y260+Y266+Y279,"0")</f>
        <v>5308.32</v>
      </c>
      <c r="Z280" s="37"/>
      <c r="AA280" s="281"/>
      <c r="AB280" s="281"/>
      <c r="AC280" s="281"/>
    </row>
    <row r="281" spans="1:68" x14ac:dyDescent="0.2">
      <c r="A281" s="312"/>
      <c r="B281" s="312"/>
      <c r="C281" s="312"/>
      <c r="D281" s="312"/>
      <c r="E281" s="312"/>
      <c r="F281" s="312"/>
      <c r="G281" s="312"/>
      <c r="H281" s="312"/>
      <c r="I281" s="312"/>
      <c r="J281" s="312"/>
      <c r="K281" s="312"/>
      <c r="L281" s="312"/>
      <c r="M281" s="312"/>
      <c r="N281" s="312"/>
      <c r="O281" s="386"/>
      <c r="P281" s="323" t="s">
        <v>371</v>
      </c>
      <c r="Q281" s="304"/>
      <c r="R281" s="304"/>
      <c r="S281" s="304"/>
      <c r="T281" s="304"/>
      <c r="U281" s="304"/>
      <c r="V281" s="305"/>
      <c r="W281" s="37" t="s">
        <v>88</v>
      </c>
      <c r="X281" s="280">
        <f>IFERROR(SUM(BM22:BM277),"0")</f>
        <v>5640.4824000000008</v>
      </c>
      <c r="Y281" s="280">
        <f>IFERROR(SUM(BN22:BN277),"0")</f>
        <v>5640.4824000000008</v>
      </c>
      <c r="Z281" s="37"/>
      <c r="AA281" s="281"/>
      <c r="AB281" s="281"/>
      <c r="AC281" s="281"/>
    </row>
    <row r="282" spans="1:68" x14ac:dyDescent="0.2">
      <c r="A282" s="312"/>
      <c r="B282" s="312"/>
      <c r="C282" s="312"/>
      <c r="D282" s="312"/>
      <c r="E282" s="312"/>
      <c r="F282" s="312"/>
      <c r="G282" s="312"/>
      <c r="H282" s="312"/>
      <c r="I282" s="312"/>
      <c r="J282" s="312"/>
      <c r="K282" s="312"/>
      <c r="L282" s="312"/>
      <c r="M282" s="312"/>
      <c r="N282" s="312"/>
      <c r="O282" s="386"/>
      <c r="P282" s="323" t="s">
        <v>372</v>
      </c>
      <c r="Q282" s="304"/>
      <c r="R282" s="304"/>
      <c r="S282" s="304"/>
      <c r="T282" s="304"/>
      <c r="U282" s="304"/>
      <c r="V282" s="305"/>
      <c r="W282" s="37" t="s">
        <v>373</v>
      </c>
      <c r="X282" s="38">
        <f>ROUNDUP(SUM(BO22:BO277),0)</f>
        <v>12</v>
      </c>
      <c r="Y282" s="38">
        <f>ROUNDUP(SUM(BP22:BP277),0)</f>
        <v>12</v>
      </c>
      <c r="Z282" s="37"/>
      <c r="AA282" s="281"/>
      <c r="AB282" s="281"/>
      <c r="AC282" s="281"/>
    </row>
    <row r="283" spans="1:68" x14ac:dyDescent="0.2">
      <c r="A283" s="312"/>
      <c r="B283" s="312"/>
      <c r="C283" s="312"/>
      <c r="D283" s="312"/>
      <c r="E283" s="312"/>
      <c r="F283" s="312"/>
      <c r="G283" s="312"/>
      <c r="H283" s="312"/>
      <c r="I283" s="312"/>
      <c r="J283" s="312"/>
      <c r="K283" s="312"/>
      <c r="L283" s="312"/>
      <c r="M283" s="312"/>
      <c r="N283" s="312"/>
      <c r="O283" s="386"/>
      <c r="P283" s="323" t="s">
        <v>374</v>
      </c>
      <c r="Q283" s="304"/>
      <c r="R283" s="304"/>
      <c r="S283" s="304"/>
      <c r="T283" s="304"/>
      <c r="U283" s="304"/>
      <c r="V283" s="305"/>
      <c r="W283" s="37" t="s">
        <v>88</v>
      </c>
      <c r="X283" s="280">
        <f>GrossWeightTotal+PalletQtyTotal*25</f>
        <v>5940.4824000000008</v>
      </c>
      <c r="Y283" s="280">
        <f>GrossWeightTotalR+PalletQtyTotalR*25</f>
        <v>5940.4824000000008</v>
      </c>
      <c r="Z283" s="37"/>
      <c r="AA283" s="281"/>
      <c r="AB283" s="281"/>
      <c r="AC283" s="281"/>
    </row>
    <row r="284" spans="1:68" x14ac:dyDescent="0.2">
      <c r="A284" s="312"/>
      <c r="B284" s="312"/>
      <c r="C284" s="312"/>
      <c r="D284" s="312"/>
      <c r="E284" s="312"/>
      <c r="F284" s="312"/>
      <c r="G284" s="312"/>
      <c r="H284" s="312"/>
      <c r="I284" s="312"/>
      <c r="J284" s="312"/>
      <c r="K284" s="312"/>
      <c r="L284" s="312"/>
      <c r="M284" s="312"/>
      <c r="N284" s="312"/>
      <c r="O284" s="386"/>
      <c r="P284" s="323" t="s">
        <v>375</v>
      </c>
      <c r="Q284" s="304"/>
      <c r="R284" s="304"/>
      <c r="S284" s="304"/>
      <c r="T284" s="304"/>
      <c r="U284" s="304"/>
      <c r="V284" s="305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1048</v>
      </c>
      <c r="Y284" s="280">
        <f>IFERROR(Y30+Y36+Y43+Y50+Y58+Y63+Y67+Y72+Y78+Y84+Y89+Y95+Y105+Y111+Y122+Y126+Y130+Y138+Y144+Y150+Y156+Y162+Y167+Y172+Y177+Y184+Y189+Y198+Y204+Y210+Y216+Y221+Y226+Y232+Y238+Y242+Y248+Y255+Y259+Y265+Y278,"0")</f>
        <v>1048</v>
      </c>
      <c r="Z284" s="37"/>
      <c r="AA284" s="281"/>
      <c r="AB284" s="281"/>
      <c r="AC284" s="281"/>
    </row>
    <row r="285" spans="1:68" ht="14.25" hidden="1" customHeight="1" x14ac:dyDescent="0.2">
      <c r="A285" s="312"/>
      <c r="B285" s="312"/>
      <c r="C285" s="312"/>
      <c r="D285" s="312"/>
      <c r="E285" s="312"/>
      <c r="F285" s="312"/>
      <c r="G285" s="312"/>
      <c r="H285" s="312"/>
      <c r="I285" s="312"/>
      <c r="J285" s="312"/>
      <c r="K285" s="312"/>
      <c r="L285" s="312"/>
      <c r="M285" s="312"/>
      <c r="N285" s="312"/>
      <c r="O285" s="386"/>
      <c r="P285" s="323" t="s">
        <v>376</v>
      </c>
      <c r="Q285" s="304"/>
      <c r="R285" s="304"/>
      <c r="S285" s="304"/>
      <c r="T285" s="304"/>
      <c r="U285" s="304"/>
      <c r="V285" s="305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15.15864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55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55"/>
      <c r="V287" s="282" t="s">
        <v>261</v>
      </c>
      <c r="W287" s="355"/>
      <c r="X287" s="270" t="s">
        <v>272</v>
      </c>
      <c r="Y287" s="282" t="s">
        <v>286</v>
      </c>
      <c r="Z287" s="382"/>
      <c r="AA287" s="382"/>
      <c r="AB287" s="355"/>
      <c r="AC287" s="270" t="s">
        <v>315</v>
      </c>
      <c r="AD287" s="270" t="s">
        <v>320</v>
      </c>
      <c r="AE287" s="270" t="s">
        <v>328</v>
      </c>
      <c r="AF287" s="270" t="s">
        <v>332</v>
      </c>
    </row>
    <row r="288" spans="1:68" ht="14.25" customHeight="1" thickTop="1" x14ac:dyDescent="0.2">
      <c r="A288" s="353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1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1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230.4</v>
      </c>
      <c r="C290" s="46">
        <f>IFERROR(X34*H34,"0")+IFERROR(X35*H35,"0")</f>
        <v>0</v>
      </c>
      <c r="D290" s="46">
        <f>IFERROR(X41*H41,"0")+IFERROR(X42*H42,"0")</f>
        <v>0</v>
      </c>
      <c r="E290" s="46">
        <f>IFERROR(X47*H47,"0")+IFERROR(X48*H48,"0")+IFERROR(X49*H49,"0")</f>
        <v>134.39999999999998</v>
      </c>
      <c r="F290" s="46">
        <f>IFERROR(X54*H54,"0")+IFERROR(X55*H55,"0")+IFERROR(X56*H56,"0")+IFERROR(X57*H57,"0")</f>
        <v>84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600</v>
      </c>
      <c r="I290" s="46">
        <f>IFERROR(X88*H88,"0")</f>
        <v>0</v>
      </c>
      <c r="J290" s="46">
        <f>IFERROR(X93*H93,"0")+IFERROR(X94*H94,"0")</f>
        <v>151.19999999999999</v>
      </c>
      <c r="K290" s="46">
        <f>IFERROR(X99*H99,"0")+IFERROR(X100*H100,"0")+IFERROR(X101*H101,"0")+IFERROR(X102*H102,"0")+IFERROR(X103*H103,"0")+IFERROR(X104*H104,"0")</f>
        <v>40.32</v>
      </c>
      <c r="L290" s="46">
        <f>IFERROR(X109*H109,"0")+IFERROR(X110*H110,"0")</f>
        <v>0</v>
      </c>
      <c r="M290" s="46">
        <f>IFERROR(X115*H115,"0")+IFERROR(X116*H116,"0")+IFERROR(X117*H117,"0")+IFERROR(X118*H118,"0")+IFERROR(X119*H119,"0")+IFERROR(X120*H120,"0")+IFERROR(X121*H121,"0")+IFERROR(X125*H125,"0")+IFERROR(X129*H129,"0")</f>
        <v>504</v>
      </c>
      <c r="N290" s="271"/>
      <c r="O290" s="46">
        <f>IFERROR(X134*H134,"0")+IFERROR(X135*H135,"0")+IFERROR(X136*H136,"0")+IFERROR(X137*H137,"0")+IFERROR(X141*H141,"0")+IFERROR(X142*H142,"0")+IFERROR(X143*H143,"0")</f>
        <v>0</v>
      </c>
      <c r="P290" s="46">
        <f>IFERROR(X148*H148,"0")+IFERROR(X149*H149,"0")</f>
        <v>210</v>
      </c>
      <c r="Q290" s="46">
        <f>IFERROR(X154*H154,"0")+IFERROR(X155*H155,"0")</f>
        <v>0</v>
      </c>
      <c r="R290" s="46">
        <f>IFERROR(X160*H160,"0")+IFERROR(X161*H161,"0")</f>
        <v>0</v>
      </c>
      <c r="S290" s="46">
        <f>IFERROR(X166*H166,"0")</f>
        <v>42</v>
      </c>
      <c r="T290" s="46">
        <f>IFERROR(X171*H171,"0")</f>
        <v>0</v>
      </c>
      <c r="U290" s="46">
        <f>IFERROR(X176*H176,"0")</f>
        <v>0</v>
      </c>
      <c r="V290" s="46">
        <f>IFERROR(X182*H182,"0")+IFERROR(X183*H183,"0")</f>
        <v>360</v>
      </c>
      <c r="W290" s="46">
        <f>IFERROR(X188*H188,"0")</f>
        <v>1200</v>
      </c>
      <c r="X290" s="46">
        <f>IFERROR(X194*H194,"0")+IFERROR(X195*H195,"0")+IFERROR(X196*H196,"0")+IFERROR(X197*H197,"0")</f>
        <v>84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180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1488</v>
      </c>
    </row>
    <row r="291" spans="1:32" ht="13.5" customHeight="1" thickTop="1" x14ac:dyDescent="0.2">
      <c r="C291" s="271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3796.8</v>
      </c>
      <c r="B293" s="60">
        <f>SUMPRODUCT(--(BB:BB="ПГП"),--(W:W="кор"),H:H,Y:Y)+SUMPRODUCT(--(BB:BB="ПГП"),--(W:W="кг"),Y:Y)</f>
        <v>1511.52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8,00"/>
        <filter val="1 200,00"/>
        <filter val="12"/>
        <filter val="12,00"/>
        <filter val="120,00"/>
        <filter val="134,40"/>
        <filter val="14,00"/>
        <filter val="151,20"/>
        <filter val="180,00"/>
        <filter val="210,00"/>
        <filter val="230,40"/>
        <filter val="24,00"/>
        <filter val="240,00"/>
        <filter val="28,00"/>
        <filter val="288,00"/>
        <filter val="300,00"/>
        <filter val="36,00"/>
        <filter val="360,00"/>
        <filter val="396,00"/>
        <filter val="40,32"/>
        <filter val="42,00"/>
        <filter val="48,00"/>
        <filter val="5 308,32"/>
        <filter val="5 640,48"/>
        <filter val="5 940,48"/>
        <filter val="504,00"/>
        <filter val="60,00"/>
        <filter val="600,00"/>
        <filter val="70,00"/>
        <filter val="72,00"/>
        <filter val="84,00"/>
        <filter val="88,00"/>
      </filters>
    </filterColumn>
    <filterColumn colId="29" showButton="0"/>
    <filterColumn colId="30" showButton="0"/>
  </autoFilter>
  <mergeCells count="509">
    <mergeCell ref="A8:C8"/>
    <mergeCell ref="P163:V163"/>
    <mergeCell ref="A153:Z153"/>
    <mergeCell ref="P138:V138"/>
    <mergeCell ref="D268:E268"/>
    <mergeCell ref="A128:Z128"/>
    <mergeCell ref="A10:C10"/>
    <mergeCell ref="A21:Z21"/>
    <mergeCell ref="A192:Z192"/>
    <mergeCell ref="D121:E121"/>
    <mergeCell ref="D42:E42"/>
    <mergeCell ref="A181:Z181"/>
    <mergeCell ref="D17:E18"/>
    <mergeCell ref="P71:T71"/>
    <mergeCell ref="X17:X18"/>
    <mergeCell ref="A52:Z52"/>
    <mergeCell ref="D110:E110"/>
    <mergeCell ref="P216:V216"/>
    <mergeCell ref="A265:O266"/>
    <mergeCell ref="A245:Z245"/>
    <mergeCell ref="P43:V43"/>
    <mergeCell ref="A39:Z39"/>
    <mergeCell ref="D237:E237"/>
    <mergeCell ref="P25:T25"/>
    <mergeCell ref="P285:V285"/>
    <mergeCell ref="P149:T149"/>
    <mergeCell ref="U17:V17"/>
    <mergeCell ref="Y17:Y18"/>
    <mergeCell ref="D57:E57"/>
    <mergeCell ref="P288:P289"/>
    <mergeCell ref="P136:T136"/>
    <mergeCell ref="P70:T70"/>
    <mergeCell ref="P263:T263"/>
    <mergeCell ref="D171:E171"/>
    <mergeCell ref="P283:V283"/>
    <mergeCell ref="D271:E271"/>
    <mergeCell ref="H17:H18"/>
    <mergeCell ref="A84:O85"/>
    <mergeCell ref="P154:T154"/>
    <mergeCell ref="A78:O79"/>
    <mergeCell ref="A50:O51"/>
    <mergeCell ref="A158:Z158"/>
    <mergeCell ref="A221:O222"/>
    <mergeCell ref="P105:V105"/>
    <mergeCell ref="A144:O145"/>
    <mergeCell ref="P125:T125"/>
    <mergeCell ref="A242:O243"/>
    <mergeCell ref="A179:Z179"/>
    <mergeCell ref="Q6:R6"/>
    <mergeCell ref="A267:Z267"/>
    <mergeCell ref="P134:T134"/>
    <mergeCell ref="A189:O190"/>
    <mergeCell ref="D102:E102"/>
    <mergeCell ref="A33:Z33"/>
    <mergeCell ref="D25:E25"/>
    <mergeCell ref="D196:E196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Q13:R13"/>
    <mergeCell ref="P176:T176"/>
    <mergeCell ref="P247:T247"/>
    <mergeCell ref="P241:T241"/>
    <mergeCell ref="P41:T41"/>
    <mergeCell ref="M17:M18"/>
    <mergeCell ref="H10:M10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82:T82"/>
    <mergeCell ref="A223:Z223"/>
    <mergeCell ref="V11:W11"/>
    <mergeCell ref="P253:T253"/>
    <mergeCell ref="P57:T57"/>
    <mergeCell ref="P75:T75"/>
    <mergeCell ref="P121:T121"/>
    <mergeCell ref="D29:E29"/>
    <mergeCell ref="D23:E23"/>
    <mergeCell ref="Z288:Z289"/>
    <mergeCell ref="A20:Z20"/>
    <mergeCell ref="AB288:AB289"/>
    <mergeCell ref="P110:T110"/>
    <mergeCell ref="P2:W3"/>
    <mergeCell ref="D241:E241"/>
    <mergeCell ref="P54:T54"/>
    <mergeCell ref="D35:E35"/>
    <mergeCell ref="A170:Z170"/>
    <mergeCell ref="D10:E10"/>
    <mergeCell ref="F10:G10"/>
    <mergeCell ref="P135:T135"/>
    <mergeCell ref="D34:E34"/>
    <mergeCell ref="D99:E99"/>
    <mergeCell ref="P78:V78"/>
    <mergeCell ref="P205:V205"/>
    <mergeCell ref="A201:Z201"/>
    <mergeCell ref="A114:Z114"/>
    <mergeCell ref="P68:V68"/>
    <mergeCell ref="P239:V239"/>
    <mergeCell ref="A191:Z191"/>
    <mergeCell ref="A107:Z107"/>
    <mergeCell ref="N17:N18"/>
    <mergeCell ref="D49:E49"/>
    <mergeCell ref="Q5:R5"/>
    <mergeCell ref="F17:F18"/>
    <mergeCell ref="A58:O59"/>
    <mergeCell ref="D120:E120"/>
    <mergeCell ref="AA288:AA289"/>
    <mergeCell ref="D22:E22"/>
    <mergeCell ref="D155:E155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63:V63"/>
    <mergeCell ref="P101:T101"/>
    <mergeCell ref="D215:E215"/>
    <mergeCell ref="A255:O256"/>
    <mergeCell ref="P50:V50"/>
    <mergeCell ref="A246:Z246"/>
    <mergeCell ref="A146:Z146"/>
    <mergeCell ref="P161:T161"/>
    <mergeCell ref="D269:E269"/>
    <mergeCell ref="A252:Z252"/>
    <mergeCell ref="P27:T27"/>
    <mergeCell ref="D75:E75"/>
    <mergeCell ref="H5:M5"/>
    <mergeCell ref="P31:V31"/>
    <mergeCell ref="S288:S289"/>
    <mergeCell ref="K288:K289"/>
    <mergeCell ref="P225:T225"/>
    <mergeCell ref="U288:U289"/>
    <mergeCell ref="D6:M6"/>
    <mergeCell ref="P95:V95"/>
    <mergeCell ref="P266:V266"/>
    <mergeCell ref="D83:E83"/>
    <mergeCell ref="D143:E143"/>
    <mergeCell ref="P93:T93"/>
    <mergeCell ref="D207:E207"/>
    <mergeCell ref="A150:O151"/>
    <mergeCell ref="P269:T269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AA17:AA18"/>
    <mergeCell ref="AC17:AC18"/>
    <mergeCell ref="A224:Z224"/>
    <mergeCell ref="P254:T254"/>
    <mergeCell ref="V6:W9"/>
    <mergeCell ref="P109:T109"/>
    <mergeCell ref="P274:T274"/>
    <mergeCell ref="A226:O227"/>
    <mergeCell ref="P22:T22"/>
    <mergeCell ref="A61:Z61"/>
    <mergeCell ref="D194:E194"/>
    <mergeCell ref="Z17:Z18"/>
    <mergeCell ref="P173:V173"/>
    <mergeCell ref="AB17:AB18"/>
    <mergeCell ref="A172:O173"/>
    <mergeCell ref="P265:V265"/>
    <mergeCell ref="A212:Z212"/>
    <mergeCell ref="P44:V44"/>
    <mergeCell ref="D154:E154"/>
    <mergeCell ref="D225:E225"/>
    <mergeCell ref="P48:T48"/>
    <mergeCell ref="A105:O106"/>
    <mergeCell ref="A9:C9"/>
    <mergeCell ref="P30:V30"/>
    <mergeCell ref="O17:O18"/>
    <mergeCell ref="P131:V131"/>
    <mergeCell ref="A175:Z175"/>
    <mergeCell ref="P207:T207"/>
    <mergeCell ref="P249:V249"/>
    <mergeCell ref="P172:V172"/>
    <mergeCell ref="P150:V150"/>
    <mergeCell ref="P221:V221"/>
    <mergeCell ref="A40:Z40"/>
    <mergeCell ref="D203:E203"/>
    <mergeCell ref="P62:T62"/>
    <mergeCell ref="P23:T23"/>
    <mergeCell ref="D93:E93"/>
    <mergeCell ref="P72:V72"/>
    <mergeCell ref="P79:V79"/>
    <mergeCell ref="P73:V73"/>
    <mergeCell ref="A69:Z69"/>
    <mergeCell ref="I17:I18"/>
    <mergeCell ref="A45:Z45"/>
    <mergeCell ref="D287:U287"/>
    <mergeCell ref="A186:Z186"/>
    <mergeCell ref="D273:E273"/>
    <mergeCell ref="A235:Z235"/>
    <mergeCell ref="P102:T102"/>
    <mergeCell ref="P189:V189"/>
    <mergeCell ref="P196:T196"/>
    <mergeCell ref="P281:V281"/>
    <mergeCell ref="P183:T183"/>
    <mergeCell ref="D270:E270"/>
    <mergeCell ref="D247:E247"/>
    <mergeCell ref="A257:Z257"/>
    <mergeCell ref="P262:T262"/>
    <mergeCell ref="D276:E276"/>
    <mergeCell ref="A280:O285"/>
    <mergeCell ref="P122:V122"/>
    <mergeCell ref="D116:E116"/>
    <mergeCell ref="A164:Z164"/>
    <mergeCell ref="P272:T272"/>
    <mergeCell ref="D264:E264"/>
    <mergeCell ref="D220:E220"/>
    <mergeCell ref="P277:T277"/>
    <mergeCell ref="P199:V199"/>
    <mergeCell ref="P115:T115"/>
    <mergeCell ref="T5:U5"/>
    <mergeCell ref="P76:T76"/>
    <mergeCell ref="D119:E119"/>
    <mergeCell ref="V5:W5"/>
    <mergeCell ref="P203:T203"/>
    <mergeCell ref="Q8:R8"/>
    <mergeCell ref="D183:E183"/>
    <mergeCell ref="D104:E104"/>
    <mergeCell ref="D275:E275"/>
    <mergeCell ref="T6:U9"/>
    <mergeCell ref="Q10:R10"/>
    <mergeCell ref="A30:O31"/>
    <mergeCell ref="D41:E41"/>
    <mergeCell ref="P85:V85"/>
    <mergeCell ref="P256:V256"/>
    <mergeCell ref="P84:V84"/>
    <mergeCell ref="D137:E137"/>
    <mergeCell ref="P151:V151"/>
    <mergeCell ref="A204:O205"/>
    <mergeCell ref="P126:V126"/>
    <mergeCell ref="D188:E188"/>
    <mergeCell ref="P24:T24"/>
    <mergeCell ref="P88:T88"/>
    <mergeCell ref="A156:O157"/>
    <mergeCell ref="AE288:AE289"/>
    <mergeCell ref="A198:O199"/>
    <mergeCell ref="A251:Z251"/>
    <mergeCell ref="Y287:AB287"/>
    <mergeCell ref="A12:M12"/>
    <mergeCell ref="A53:Z53"/>
    <mergeCell ref="A180:Z180"/>
    <mergeCell ref="A240:Z240"/>
    <mergeCell ref="P243:V243"/>
    <mergeCell ref="A19:Z19"/>
    <mergeCell ref="D182:E182"/>
    <mergeCell ref="A14:M14"/>
    <mergeCell ref="D109:E109"/>
    <mergeCell ref="L288:L289"/>
    <mergeCell ref="D288:D289"/>
    <mergeCell ref="D277:E277"/>
    <mergeCell ref="I288:I289"/>
    <mergeCell ref="P26:T26"/>
    <mergeCell ref="A72:O73"/>
    <mergeCell ref="A261:Z261"/>
    <mergeCell ref="A92:Z92"/>
    <mergeCell ref="P227:V227"/>
    <mergeCell ref="P58:V58"/>
    <mergeCell ref="A13:M13"/>
    <mergeCell ref="D56:E56"/>
    <mergeCell ref="D160:E160"/>
    <mergeCell ref="P139:V139"/>
    <mergeCell ref="D141:E141"/>
    <mergeCell ref="D135:E135"/>
    <mergeCell ref="P178:V178"/>
    <mergeCell ref="P162:V162"/>
    <mergeCell ref="P106:V106"/>
    <mergeCell ref="P177:V177"/>
    <mergeCell ref="P96:V96"/>
    <mergeCell ref="D77:E77"/>
    <mergeCell ref="D70:E70"/>
    <mergeCell ref="A65:Z65"/>
    <mergeCell ref="A80:Z80"/>
    <mergeCell ref="A91:Z91"/>
    <mergeCell ref="AD288:AD289"/>
    <mergeCell ref="D88:E88"/>
    <mergeCell ref="P142:T142"/>
    <mergeCell ref="D26:E26"/>
    <mergeCell ref="D148:E148"/>
    <mergeCell ref="AF288:AF289"/>
    <mergeCell ref="A259:O260"/>
    <mergeCell ref="P117:T117"/>
    <mergeCell ref="P55:T55"/>
    <mergeCell ref="D115:E115"/>
    <mergeCell ref="P182:T182"/>
    <mergeCell ref="A130:O131"/>
    <mergeCell ref="P119:T119"/>
    <mergeCell ref="A43:O44"/>
    <mergeCell ref="P127:V127"/>
    <mergeCell ref="P198:V198"/>
    <mergeCell ref="A250:Z250"/>
    <mergeCell ref="P195:T195"/>
    <mergeCell ref="M288:M289"/>
    <mergeCell ref="V287:W287"/>
    <mergeCell ref="P197:T197"/>
    <mergeCell ref="P64:V64"/>
    <mergeCell ref="A187:Z187"/>
    <mergeCell ref="P51:V51"/>
    <mergeCell ref="B288:B289"/>
    <mergeCell ref="A177:O178"/>
    <mergeCell ref="Q9:R9"/>
    <mergeCell ref="A113:Z113"/>
    <mergeCell ref="P36:V36"/>
    <mergeCell ref="A32:Z32"/>
    <mergeCell ref="P278:V278"/>
    <mergeCell ref="D24:E24"/>
    <mergeCell ref="A159:Z159"/>
    <mergeCell ref="A97:Z97"/>
    <mergeCell ref="Q11:R11"/>
    <mergeCell ref="A219:Z219"/>
    <mergeCell ref="A248:O249"/>
    <mergeCell ref="A210:O211"/>
    <mergeCell ref="P238:V238"/>
    <mergeCell ref="P264:T264"/>
    <mergeCell ref="P204:V204"/>
    <mergeCell ref="J288:J289"/>
    <mergeCell ref="C288:C289"/>
    <mergeCell ref="A238:O239"/>
    <mergeCell ref="P42:T42"/>
    <mergeCell ref="D94:E94"/>
    <mergeCell ref="A278:O279"/>
    <mergeCell ref="P148:T148"/>
    <mergeCell ref="V288:V289"/>
    <mergeCell ref="A87:Z87"/>
    <mergeCell ref="X288:X289"/>
    <mergeCell ref="P273:T273"/>
    <mergeCell ref="A218:Z218"/>
    <mergeCell ref="D272:E272"/>
    <mergeCell ref="A46:Z46"/>
    <mergeCell ref="P166:T166"/>
    <mergeCell ref="D209:E209"/>
    <mergeCell ref="D274:E274"/>
    <mergeCell ref="P116:T116"/>
    <mergeCell ref="A162:O163"/>
    <mergeCell ref="P103:T103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P279:V279"/>
    <mergeCell ref="A288:A289"/>
    <mergeCell ref="B287:C287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P59:V59"/>
    <mergeCell ref="P268:T268"/>
    <mergeCell ref="P130:V130"/>
    <mergeCell ref="P190:V190"/>
    <mergeCell ref="P47:T47"/>
    <mergeCell ref="P111:V111"/>
    <mergeCell ref="A234:Z234"/>
    <mergeCell ref="D82:E82"/>
    <mergeCell ref="P118:T118"/>
    <mergeCell ref="A174:Z174"/>
    <mergeCell ref="A108:Z108"/>
    <mergeCell ref="D166:E166"/>
    <mergeCell ref="D103:E103"/>
    <mergeCell ref="P271:T271"/>
    <mergeCell ref="P94:T94"/>
    <mergeCell ref="D208:E208"/>
    <mergeCell ref="D8:M8"/>
    <mergeCell ref="P237:T237"/>
    <mergeCell ref="A228:Z228"/>
    <mergeCell ref="D195:E195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J17:J18"/>
    <mergeCell ref="L17:L18"/>
    <mergeCell ref="Q12:R12"/>
    <mergeCell ref="A17:A18"/>
    <mergeCell ref="K17:K18"/>
    <mergeCell ref="C17:C18"/>
    <mergeCell ref="P66:T66"/>
    <mergeCell ref="D9:E9"/>
    <mergeCell ref="D263:E263"/>
    <mergeCell ref="A216:O217"/>
    <mergeCell ref="D134:E134"/>
    <mergeCell ref="P248:V248"/>
    <mergeCell ref="D258:E258"/>
    <mergeCell ref="D7:M7"/>
    <mergeCell ref="D129:E129"/>
    <mergeCell ref="A81:Z81"/>
    <mergeCell ref="P156:V156"/>
    <mergeCell ref="A152:Z152"/>
    <mergeCell ref="A184:O185"/>
    <mergeCell ref="P29:T29"/>
    <mergeCell ref="P100:T100"/>
    <mergeCell ref="P137:T137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P15:T16"/>
    <mergeCell ref="A244:Z244"/>
    <mergeCell ref="A165:Z165"/>
    <mergeCell ref="P112:V112"/>
    <mergeCell ref="D100:E100"/>
    <mergeCell ref="A229:Z229"/>
    <mergeCell ref="P129:T129"/>
    <mergeCell ref="P194:T194"/>
    <mergeCell ref="A167:O168"/>
    <mergeCell ref="P258:T258"/>
    <mergeCell ref="A111:O112"/>
    <mergeCell ref="P220:T220"/>
    <mergeCell ref="D254:E254"/>
    <mergeCell ref="A232:O233"/>
    <mergeCell ref="A133:Z133"/>
    <mergeCell ref="A193:Z193"/>
    <mergeCell ref="D125:E125"/>
    <mergeCell ref="P141:T141"/>
    <mergeCell ref="P226:V226"/>
    <mergeCell ref="D231:E231"/>
    <mergeCell ref="R1:T1"/>
    <mergeCell ref="P28:T28"/>
    <mergeCell ref="D71:E71"/>
    <mergeCell ref="P215:T215"/>
    <mergeCell ref="A89:O90"/>
    <mergeCell ref="A200:Z200"/>
    <mergeCell ref="A202:Z202"/>
    <mergeCell ref="P233:V233"/>
    <mergeCell ref="P37:V37"/>
    <mergeCell ref="A63:O64"/>
    <mergeCell ref="P104:T104"/>
    <mergeCell ref="P168:V168"/>
    <mergeCell ref="B17:B18"/>
    <mergeCell ref="A60:Z60"/>
    <mergeCell ref="P56:T56"/>
    <mergeCell ref="P231:T231"/>
    <mergeCell ref="H1:Q1"/>
    <mergeCell ref="D5:E5"/>
    <mergeCell ref="D1:F1"/>
    <mergeCell ref="A6:C6"/>
    <mergeCell ref="A5:C5"/>
    <mergeCell ref="D48:E48"/>
    <mergeCell ref="P77:T77"/>
    <mergeCell ref="D62:E62"/>
    <mergeCell ref="O288:O289"/>
    <mergeCell ref="Q288:Q289"/>
    <mergeCell ref="H9:I9"/>
    <mergeCell ref="P89:V89"/>
    <mergeCell ref="P211:V211"/>
    <mergeCell ref="P260:V260"/>
    <mergeCell ref="P259:V259"/>
    <mergeCell ref="P155:T155"/>
    <mergeCell ref="P275:T275"/>
    <mergeCell ref="V10:W10"/>
    <mergeCell ref="W17:W18"/>
    <mergeCell ref="W288:W289"/>
    <mergeCell ref="P17:T18"/>
    <mergeCell ref="P208:T208"/>
    <mergeCell ref="A15:M15"/>
    <mergeCell ref="J9:M9"/>
    <mergeCell ref="D176:E176"/>
    <mergeCell ref="P143:T143"/>
    <mergeCell ref="R288:R289"/>
    <mergeCell ref="T288:T289"/>
    <mergeCell ref="P157:V157"/>
    <mergeCell ref="A38:Z38"/>
    <mergeCell ref="A147:Z147"/>
    <mergeCell ref="P282:V28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