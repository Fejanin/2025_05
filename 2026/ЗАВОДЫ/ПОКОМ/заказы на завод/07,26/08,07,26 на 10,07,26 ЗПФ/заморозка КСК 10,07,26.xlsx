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5B8CE4E-8B10-4A47-9E7E-59AF898F0C0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заказа'!$X$290:$X$290</definedName>
    <definedName name="GrossWeightTotalR">'Бланк заказа'!$Y$290:$Y$290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заказа'!$X$291:$X$291</definedName>
    <definedName name="PalletQtyTotalR">'Бланк заказа'!$Y$291:$Y$291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заказа'!$B$285:$B$285</definedName>
    <definedName name="ProductId101">'Бланк заказа'!$B$286:$B$286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заказа'!$B$193:$B$193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заказа'!$B$202:$B$202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заказа'!$B$213:$B$213</definedName>
    <definedName name="ProductId77">'Бланк заказа'!$B$214:$B$214</definedName>
    <definedName name="ProductId78">'Бланк заказа'!$B$219:$B$219</definedName>
    <definedName name="ProductId79">'Бланк заказа'!$B$224:$B$224</definedName>
    <definedName name="ProductId8">'Бланк заказа'!$B$29:$B$29</definedName>
    <definedName name="ProductId80">'Бланк заказа'!$B$230:$B$230</definedName>
    <definedName name="ProductId81">'Бланк заказа'!$B$236:$B$236</definedName>
    <definedName name="ProductId82">'Бланк заказа'!$B$242:$B$242</definedName>
    <definedName name="ProductId83">'Бланк заказа'!$B$246:$B$246</definedName>
    <definedName name="ProductId84">'Бланк заказа'!$B$252:$B$252</definedName>
    <definedName name="ProductId85">'Бланк заказа'!$B$256:$B$256</definedName>
    <definedName name="ProductId86">'Бланк заказа'!$B$262:$B$262</definedName>
    <definedName name="ProductId87">'Бланк заказа'!$B$263:$B$263</definedName>
    <definedName name="ProductId88">'Бланк заказа'!$B$267:$B$267</definedName>
    <definedName name="ProductId89">'Бланк заказа'!$B$271:$B$271</definedName>
    <definedName name="ProductId9">'Бланк заказа'!$B$34:$B$34</definedName>
    <definedName name="ProductId90">'Бланк заказа'!$B$272:$B$272</definedName>
    <definedName name="ProductId91">'Бланк заказа'!$B$273:$B$273</definedName>
    <definedName name="ProductId92">'Бланк заказа'!$B$277:$B$277</definedName>
    <definedName name="ProductId93">'Бланк заказа'!$B$278:$B$278</definedName>
    <definedName name="ProductId94">'Бланк заказа'!$B$279:$B$279</definedName>
    <definedName name="ProductId95">'Бланк заказа'!$B$280:$B$280</definedName>
    <definedName name="ProductId96">'Бланк заказа'!$B$281:$B$281</definedName>
    <definedName name="ProductId97">'Бланк заказа'!$B$282:$B$282</definedName>
    <definedName name="ProductId98">'Бланк заказа'!$B$283:$B$283</definedName>
    <definedName name="ProductId99">'Бланк заказа'!$B$284:$B$284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заказа'!$X$285:$X$285</definedName>
    <definedName name="SalesQty101">'Бланк заказа'!$X$286:$X$286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заказа'!$X$193:$X$193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заказа'!$X$202:$X$202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заказа'!$X$213:$X$213</definedName>
    <definedName name="SalesQty77">'Бланк заказа'!$X$214:$X$214</definedName>
    <definedName name="SalesQty78">'Бланк заказа'!$X$219:$X$219</definedName>
    <definedName name="SalesQty79">'Бланк заказа'!$X$224:$X$224</definedName>
    <definedName name="SalesQty8">'Бланк заказа'!$X$29:$X$29</definedName>
    <definedName name="SalesQty80">'Бланк заказа'!$X$230:$X$230</definedName>
    <definedName name="SalesQty81">'Бланк заказа'!$X$236:$X$236</definedName>
    <definedName name="SalesQty82">'Бланк заказа'!$X$242:$X$242</definedName>
    <definedName name="SalesQty83">'Бланк заказа'!$X$246:$X$246</definedName>
    <definedName name="SalesQty84">'Бланк заказа'!$X$252:$X$252</definedName>
    <definedName name="SalesQty85">'Бланк заказа'!$X$256:$X$256</definedName>
    <definedName name="SalesQty86">'Бланк заказа'!$X$262:$X$262</definedName>
    <definedName name="SalesQty87">'Бланк заказа'!$X$263:$X$263</definedName>
    <definedName name="SalesQty88">'Бланк заказа'!$X$267:$X$267</definedName>
    <definedName name="SalesQty89">'Бланк заказа'!$X$271:$X$271</definedName>
    <definedName name="SalesQty9">'Бланк заказа'!$X$34:$X$34</definedName>
    <definedName name="SalesQty90">'Бланк заказа'!$X$272:$X$272</definedName>
    <definedName name="SalesQty91">'Бланк заказа'!$X$273:$X$273</definedName>
    <definedName name="SalesQty92">'Бланк заказа'!$X$277:$X$277</definedName>
    <definedName name="SalesQty93">'Бланк заказа'!$X$278:$X$278</definedName>
    <definedName name="SalesQty94">'Бланк заказа'!$X$279:$X$279</definedName>
    <definedName name="SalesQty95">'Бланк заказа'!$X$280:$X$280</definedName>
    <definedName name="SalesQty96">'Бланк заказа'!$X$281:$X$281</definedName>
    <definedName name="SalesQty97">'Бланк заказа'!$X$282:$X$282</definedName>
    <definedName name="SalesQty98">'Бланк заказа'!$X$283:$X$283</definedName>
    <definedName name="SalesQty99">'Бланк заказа'!$X$284:$X$284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заказа'!$Y$285:$Y$285</definedName>
    <definedName name="SalesRoundBox101">'Бланк заказа'!$Y$286:$Y$286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заказа'!$Y$193:$Y$193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заказа'!$Y$202:$Y$202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заказа'!$Y$213:$Y$213</definedName>
    <definedName name="SalesRoundBox77">'Бланк заказа'!$Y$214:$Y$214</definedName>
    <definedName name="SalesRoundBox78">'Бланк заказа'!$Y$219:$Y$219</definedName>
    <definedName name="SalesRoundBox79">'Бланк заказа'!$Y$224:$Y$224</definedName>
    <definedName name="SalesRoundBox8">'Бланк заказа'!$Y$29:$Y$29</definedName>
    <definedName name="SalesRoundBox80">'Бланк заказа'!$Y$230:$Y$230</definedName>
    <definedName name="SalesRoundBox81">'Бланк заказа'!$Y$236:$Y$236</definedName>
    <definedName name="SalesRoundBox82">'Бланк заказа'!$Y$242:$Y$242</definedName>
    <definedName name="SalesRoundBox83">'Бланк заказа'!$Y$246:$Y$246</definedName>
    <definedName name="SalesRoundBox84">'Бланк заказа'!$Y$252:$Y$252</definedName>
    <definedName name="SalesRoundBox85">'Бланк заказа'!$Y$256:$Y$256</definedName>
    <definedName name="SalesRoundBox86">'Бланк заказа'!$Y$262:$Y$262</definedName>
    <definedName name="SalesRoundBox87">'Бланк заказа'!$Y$263:$Y$263</definedName>
    <definedName name="SalesRoundBox88">'Бланк заказа'!$Y$267:$Y$267</definedName>
    <definedName name="SalesRoundBox89">'Бланк заказа'!$Y$271:$Y$271</definedName>
    <definedName name="SalesRoundBox9">'Бланк заказа'!$Y$34:$Y$34</definedName>
    <definedName name="SalesRoundBox90">'Бланк заказа'!$Y$272:$Y$272</definedName>
    <definedName name="SalesRoundBox91">'Бланк заказа'!$Y$273:$Y$273</definedName>
    <definedName name="SalesRoundBox92">'Бланк заказа'!$Y$277:$Y$277</definedName>
    <definedName name="SalesRoundBox93">'Бланк заказа'!$Y$278:$Y$278</definedName>
    <definedName name="SalesRoundBox94">'Бланк заказа'!$Y$279:$Y$279</definedName>
    <definedName name="SalesRoundBox95">'Бланк заказа'!$Y$280:$Y$280</definedName>
    <definedName name="SalesRoundBox96">'Бланк заказа'!$Y$281:$Y$281</definedName>
    <definedName name="SalesRoundBox97">'Бланк заказа'!$Y$282:$Y$282</definedName>
    <definedName name="SalesRoundBox98">'Бланк заказа'!$Y$283:$Y$283</definedName>
    <definedName name="SalesRoundBox99">'Бланк заказа'!$Y$284:$Y$284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заказа'!$W$285:$W$285</definedName>
    <definedName name="UnitOfMeasure101">'Бланк заказа'!$W$286:$W$286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заказа'!$W$193:$W$193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заказа'!$W$202:$W$202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заказа'!$W$213:$W$213</definedName>
    <definedName name="UnitOfMeasure77">'Бланк заказа'!$W$214:$W$214</definedName>
    <definedName name="UnitOfMeasure78">'Бланк заказа'!$W$219:$W$219</definedName>
    <definedName name="UnitOfMeasure79">'Бланк заказа'!$W$224:$W$224</definedName>
    <definedName name="UnitOfMeasure8">'Бланк заказа'!$W$29:$W$29</definedName>
    <definedName name="UnitOfMeasure80">'Бланк заказа'!$W$230:$W$230</definedName>
    <definedName name="UnitOfMeasure81">'Бланк заказа'!$W$236:$W$236</definedName>
    <definedName name="UnitOfMeasure82">'Бланк заказа'!$W$242:$W$242</definedName>
    <definedName name="UnitOfMeasure83">'Бланк заказа'!$W$246:$W$246</definedName>
    <definedName name="UnitOfMeasure84">'Бланк заказа'!$W$252:$W$252</definedName>
    <definedName name="UnitOfMeasure85">'Бланк заказа'!$W$256:$W$256</definedName>
    <definedName name="UnitOfMeasure86">'Бланк заказа'!$W$262:$W$262</definedName>
    <definedName name="UnitOfMeasure87">'Бланк заказа'!$W$263:$W$263</definedName>
    <definedName name="UnitOfMeasure88">'Бланк заказа'!$W$267:$W$267</definedName>
    <definedName name="UnitOfMeasure89">'Бланк заказа'!$W$271:$W$271</definedName>
    <definedName name="UnitOfMeasure9">'Бланк заказа'!$W$34:$W$34</definedName>
    <definedName name="UnitOfMeasure90">'Бланк заказа'!$W$272:$W$272</definedName>
    <definedName name="UnitOfMeasure91">'Бланк заказа'!$W$273:$W$273</definedName>
    <definedName name="UnitOfMeasure92">'Бланк заказа'!$W$277:$W$277</definedName>
    <definedName name="UnitOfMeasure93">'Бланк заказа'!$W$278:$W$278</definedName>
    <definedName name="UnitOfMeasure94">'Бланк заказа'!$W$279:$W$279</definedName>
    <definedName name="UnitOfMeasure95">'Бланк заказа'!$W$280:$W$280</definedName>
    <definedName name="UnitOfMeasure96">'Бланк заказа'!$W$281:$W$281</definedName>
    <definedName name="UnitOfMeasure97">'Бланк заказа'!$W$282:$W$282</definedName>
    <definedName name="UnitOfMeasure98">'Бланк заказа'!$W$283:$W$283</definedName>
    <definedName name="UnitOfMeasure99">'Бланк заказа'!$W$284:$W$284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9" i="2" l="1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X288" i="2"/>
  <c r="X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N281" i="2"/>
  <c r="BM281" i="2"/>
  <c r="Z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X275" i="2"/>
  <c r="X274" i="2"/>
  <c r="BO273" i="2"/>
  <c r="BN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P271" i="2"/>
  <c r="X269" i="2"/>
  <c r="X268" i="2"/>
  <c r="BO267" i="2"/>
  <c r="BM267" i="2"/>
  <c r="Z267" i="2"/>
  <c r="Z268" i="2" s="1"/>
  <c r="Y267" i="2"/>
  <c r="BN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P262" i="2"/>
  <c r="X258" i="2"/>
  <c r="X257" i="2"/>
  <c r="BO256" i="2"/>
  <c r="BM256" i="2"/>
  <c r="Z256" i="2"/>
  <c r="Z257" i="2" s="1"/>
  <c r="Y256" i="2"/>
  <c r="BN256" i="2" s="1"/>
  <c r="P256" i="2"/>
  <c r="X254" i="2"/>
  <c r="X253" i="2"/>
  <c r="BO252" i="2"/>
  <c r="BM252" i="2"/>
  <c r="Z252" i="2"/>
  <c r="Z253" i="2" s="1"/>
  <c r="Y252" i="2"/>
  <c r="Y254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Y244" i="2" s="1"/>
  <c r="P242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1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Z220" i="2" s="1"/>
  <c r="Y219" i="2"/>
  <c r="Y221" i="2" s="1"/>
  <c r="P219" i="2"/>
  <c r="X216" i="2"/>
  <c r="X215" i="2"/>
  <c r="BO214" i="2"/>
  <c r="BM214" i="2"/>
  <c r="Z214" i="2"/>
  <c r="Y214" i="2"/>
  <c r="BN214" i="2" s="1"/>
  <c r="P214" i="2"/>
  <c r="BO213" i="2"/>
  <c r="BM213" i="2"/>
  <c r="Z213" i="2"/>
  <c r="Y213" i="2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4" i="2"/>
  <c r="X203" i="2"/>
  <c r="BO202" i="2"/>
  <c r="BM202" i="2"/>
  <c r="Z202" i="2"/>
  <c r="Z203" i="2" s="1"/>
  <c r="Y202" i="2"/>
  <c r="Y204" i="2" s="1"/>
  <c r="P202" i="2"/>
  <c r="X198" i="2"/>
  <c r="X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BO193" i="2"/>
  <c r="BM193" i="2"/>
  <c r="Z193" i="2"/>
  <c r="Y193" i="2"/>
  <c r="P193" i="2"/>
  <c r="X189" i="2"/>
  <c r="X188" i="2"/>
  <c r="BO187" i="2"/>
  <c r="BN187" i="2"/>
  <c r="BM187" i="2"/>
  <c r="Z187" i="2"/>
  <c r="Z188" i="2" s="1"/>
  <c r="Y187" i="2"/>
  <c r="Y188" i="2" s="1"/>
  <c r="P187" i="2"/>
  <c r="X185" i="2"/>
  <c r="X184" i="2"/>
  <c r="BO183" i="2"/>
  <c r="BM183" i="2"/>
  <c r="Z183" i="2"/>
  <c r="Y183" i="2"/>
  <c r="P183" i="2"/>
  <c r="BO182" i="2"/>
  <c r="BM182" i="2"/>
  <c r="Z182" i="2"/>
  <c r="Y182" i="2"/>
  <c r="BP182" i="2" s="1"/>
  <c r="P182" i="2"/>
  <c r="X178" i="2"/>
  <c r="X177" i="2"/>
  <c r="BO176" i="2"/>
  <c r="BM176" i="2"/>
  <c r="Z176" i="2"/>
  <c r="Z177" i="2" s="1"/>
  <c r="Y176" i="2"/>
  <c r="BP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BN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P135" i="2"/>
  <c r="X132" i="2"/>
  <c r="X131" i="2"/>
  <c r="BO130" i="2"/>
  <c r="BM130" i="2"/>
  <c r="Z130" i="2"/>
  <c r="Z131" i="2" s="1"/>
  <c r="Y130" i="2"/>
  <c r="BN130" i="2" s="1"/>
  <c r="P130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Y122" i="2"/>
  <c r="BN122" i="2" s="1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Y72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3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P48" i="2" s="1"/>
  <c r="P48" i="2"/>
  <c r="BO47" i="2"/>
  <c r="BM47" i="2"/>
  <c r="Z47" i="2"/>
  <c r="Y47" i="2"/>
  <c r="Y51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Y64" i="2"/>
  <c r="Y68" i="2"/>
  <c r="Y248" i="2"/>
  <c r="Y265" i="2"/>
  <c r="Z264" i="2"/>
  <c r="BN263" i="2"/>
  <c r="Z84" i="2"/>
  <c r="Z209" i="2"/>
  <c r="BP246" i="2"/>
  <c r="Y274" i="2"/>
  <c r="BN272" i="2"/>
  <c r="Y96" i="2"/>
  <c r="Z156" i="2"/>
  <c r="BN48" i="2"/>
  <c r="BN279" i="2"/>
  <c r="BN246" i="2"/>
  <c r="BN236" i="2"/>
  <c r="Y216" i="2"/>
  <c r="BP214" i="2"/>
  <c r="Y215" i="2"/>
  <c r="Z215" i="2"/>
  <c r="Y198" i="2"/>
  <c r="Z197" i="2"/>
  <c r="BP187" i="2"/>
  <c r="Y189" i="2"/>
  <c r="Z184" i="2"/>
  <c r="Y138" i="2"/>
  <c r="BN137" i="2"/>
  <c r="Z138" i="2"/>
  <c r="Z105" i="2"/>
  <c r="Z95" i="2"/>
  <c r="BN76" i="2"/>
  <c r="Z72" i="2"/>
  <c r="Z58" i="2"/>
  <c r="Z50" i="2"/>
  <c r="Z43" i="2"/>
  <c r="Y44" i="2"/>
  <c r="BP35" i="2"/>
  <c r="Y31" i="2"/>
  <c r="BP135" i="2"/>
  <c r="BP267" i="2"/>
  <c r="Y269" i="2"/>
  <c r="BP280" i="2"/>
  <c r="BP284" i="2"/>
  <c r="X291" i="2"/>
  <c r="BP24" i="2"/>
  <c r="X293" i="2"/>
  <c r="BN42" i="2"/>
  <c r="Y43" i="2"/>
  <c r="BP62" i="2"/>
  <c r="BP82" i="2"/>
  <c r="BN88" i="2"/>
  <c r="Y89" i="2"/>
  <c r="Y95" i="2"/>
  <c r="Y106" i="2"/>
  <c r="BN100" i="2"/>
  <c r="BN102" i="2"/>
  <c r="Z111" i="2"/>
  <c r="Z123" i="2"/>
  <c r="BN117" i="2"/>
  <c r="BN119" i="2"/>
  <c r="Y128" i="2"/>
  <c r="Y139" i="2"/>
  <c r="BP142" i="2"/>
  <c r="BN148" i="2"/>
  <c r="Z150" i="2"/>
  <c r="Y163" i="2"/>
  <c r="BP166" i="2"/>
  <c r="Y168" i="2"/>
  <c r="Y173" i="2"/>
  <c r="BN182" i="2"/>
  <c r="BN193" i="2"/>
  <c r="BP230" i="2"/>
  <c r="Y232" i="2"/>
  <c r="BN252" i="2"/>
  <c r="BN262" i="2"/>
  <c r="BP271" i="2"/>
  <c r="BN282" i="2"/>
  <c r="J9" i="2"/>
  <c r="Z30" i="2"/>
  <c r="BN26" i="2"/>
  <c r="Y37" i="2"/>
  <c r="BP42" i="2"/>
  <c r="BP56" i="2"/>
  <c r="BN62" i="2"/>
  <c r="Z78" i="2"/>
  <c r="Y84" i="2"/>
  <c r="BP88" i="2"/>
  <c r="BP94" i="2"/>
  <c r="BP122" i="2"/>
  <c r="BP160" i="2"/>
  <c r="BN166" i="2"/>
  <c r="BN208" i="2"/>
  <c r="BN219" i="2"/>
  <c r="BN230" i="2"/>
  <c r="BP262" i="2"/>
  <c r="BN271" i="2"/>
  <c r="Z287" i="2"/>
  <c r="BN283" i="2"/>
  <c r="X289" i="2"/>
  <c r="X290" i="2"/>
  <c r="BP29" i="2"/>
  <c r="Y36" i="2"/>
  <c r="Y73" i="2"/>
  <c r="Y124" i="2"/>
  <c r="Z144" i="2"/>
  <c r="Z162" i="2"/>
  <c r="Y185" i="2"/>
  <c r="BP194" i="2"/>
  <c r="Y268" i="2"/>
  <c r="Z274" i="2"/>
  <c r="BN27" i="2"/>
  <c r="BN77" i="2"/>
  <c r="Y123" i="2"/>
  <c r="BN115" i="2"/>
  <c r="Y209" i="2"/>
  <c r="BN57" i="2"/>
  <c r="BN70" i="2"/>
  <c r="Y78" i="2"/>
  <c r="BN101" i="2"/>
  <c r="BP115" i="2"/>
  <c r="BN161" i="2"/>
  <c r="BN176" i="2"/>
  <c r="BP277" i="2"/>
  <c r="BP70" i="2"/>
  <c r="BN118" i="2"/>
  <c r="Y144" i="2"/>
  <c r="BN183" i="2"/>
  <c r="Y210" i="2"/>
  <c r="BN242" i="2"/>
  <c r="BP25" i="2"/>
  <c r="BP285" i="2"/>
  <c r="Y58" i="2"/>
  <c r="BN34" i="2"/>
  <c r="BN99" i="2"/>
  <c r="BN121" i="2"/>
  <c r="Y145" i="2"/>
  <c r="Y162" i="2"/>
  <c r="Y177" i="2"/>
  <c r="BN202" i="2"/>
  <c r="F9" i="2"/>
  <c r="BP28" i="2"/>
  <c r="BN41" i="2"/>
  <c r="BP55" i="2"/>
  <c r="BN66" i="2"/>
  <c r="BP93" i="2"/>
  <c r="BP104" i="2"/>
  <c r="BN116" i="2"/>
  <c r="BN126" i="2"/>
  <c r="Y151" i="2"/>
  <c r="Y184" i="2"/>
  <c r="BP195" i="2"/>
  <c r="BN207" i="2"/>
  <c r="Y225" i="2"/>
  <c r="Y243" i="2"/>
  <c r="Y257" i="2"/>
  <c r="BN278" i="2"/>
  <c r="BN83" i="2"/>
  <c r="BP54" i="2"/>
  <c r="BP103" i="2"/>
  <c r="BP83" i="2"/>
  <c r="BN75" i="2"/>
  <c r="BN224" i="2"/>
  <c r="BP136" i="2"/>
  <c r="Y150" i="2"/>
  <c r="Y79" i="2"/>
  <c r="BN93" i="2"/>
  <c r="Y131" i="2"/>
  <c r="BP141" i="2"/>
  <c r="Y156" i="2"/>
  <c r="BP183" i="2"/>
  <c r="BP224" i="2"/>
  <c r="BP242" i="2"/>
  <c r="BP256" i="2"/>
  <c r="BN23" i="2"/>
  <c r="BP49" i="2"/>
  <c r="Y85" i="2"/>
  <c r="BN110" i="2"/>
  <c r="H9" i="2"/>
  <c r="BN47" i="2"/>
  <c r="Y50" i="2"/>
  <c r="Y59" i="2"/>
  <c r="BN71" i="2"/>
  <c r="BP99" i="2"/>
  <c r="Y132" i="2"/>
  <c r="Y157" i="2"/>
  <c r="BN171" i="2"/>
  <c r="BP202" i="2"/>
  <c r="BN213" i="2"/>
  <c r="Y264" i="2"/>
  <c r="BN286" i="2"/>
  <c r="BN120" i="2"/>
  <c r="BN143" i="2"/>
  <c r="BN149" i="2"/>
  <c r="BP22" i="2"/>
  <c r="BP66" i="2"/>
  <c r="Y178" i="2"/>
  <c r="BP171" i="2"/>
  <c r="Y203" i="2"/>
  <c r="BP213" i="2"/>
  <c r="Y258" i="2"/>
  <c r="Y30" i="2"/>
  <c r="BN22" i="2"/>
  <c r="BN109" i="2"/>
  <c r="BN206" i="2"/>
  <c r="BP130" i="2"/>
  <c r="BP155" i="2"/>
  <c r="BP161" i="2"/>
  <c r="Y105" i="2"/>
  <c r="BP126" i="2"/>
  <c r="A10" i="2"/>
  <c r="BP47" i="2"/>
  <c r="Y111" i="2"/>
  <c r="BP193" i="2"/>
  <c r="BP219" i="2"/>
  <c r="BP236" i="2"/>
  <c r="BP252" i="2"/>
  <c r="BN154" i="2"/>
  <c r="BN196" i="2"/>
  <c r="Y112" i="2"/>
  <c r="BN135" i="2"/>
  <c r="Y220" i="2"/>
  <c r="Y237" i="2"/>
  <c r="Y253" i="2"/>
  <c r="Y275" i="2"/>
  <c r="Y287" i="2"/>
  <c r="Y197" i="2"/>
  <c r="Y288" i="2"/>
  <c r="X292" i="2" l="1"/>
  <c r="Z294" i="2"/>
  <c r="Y289" i="2"/>
  <c r="Y293" i="2"/>
  <c r="Y290" i="2"/>
  <c r="Y291" i="2"/>
  <c r="Y292" i="2" l="1"/>
  <c r="A302" i="2" l="1"/>
  <c r="C302" i="2"/>
  <c r="B302" i="2"/>
</calcChain>
</file>

<file path=xl/sharedStrings.xml><?xml version="1.0" encoding="utf-8"?>
<sst xmlns="http://schemas.openxmlformats.org/spreadsheetml/2006/main" count="1772" uniqueCount="411">
  <si>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</si>
  <si>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</si>
  <si>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</si>
  <si>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</si>
  <si>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</si>
  <si>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</si>
  <si>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</si>
  <si>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</si>
  <si>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</si>
  <si>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</si>
  <si>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</si>
  <si>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</si>
  <si>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</si>
  <si>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</si>
  <si>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</si>
  <si>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</si>
  <si>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</si>
  <si>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</si>
  <si>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</si>
  <si>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</si>
  <si>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</si>
  <si>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</si>
  <si>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</si>
  <si>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</si>
  <si>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</si>
  <si>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</si>
  <si>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</si>
  <si>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</si>
  <si>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</si>
  <si>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</si>
  <si>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</si>
  <si>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</si>
  <si>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</si>
  <si>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</si>
  <si>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</si>
  <si>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</si>
  <si>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</si>
  <si>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</si>
  <si>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</si>
  <si>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</si>
  <si>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</si>
  <si>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</si>
  <si>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</si>
  <si>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</si>
  <si>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</si>
  <si>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</si>
  <si>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</si>
  <si>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</si>
  <si>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</si>
  <si>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</si>
  <si>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</si>
  <si>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</si>
  <si>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</si>
  <si>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</si>
  <si>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</si>
  <si>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</si>
  <si>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</si>
  <si>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</si>
  <si>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</si>
  <si>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</si>
  <si>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</si>
  <si>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</si>
  <si>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</si>
  <si>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</si>
  <si>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</si>
  <si>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</si>
  <si>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</si>
  <si>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</si>
  <si>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</si>
  <si>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</si>
  <si>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</si>
  <si>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02.07.2026</t>
  </si>
  <si>
    <t>30.06.2026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</si>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</sst>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46213</v>
      </c>
      <c r="R5" s="298"/>
      <c r="T5" s="299" t="s">
        <v>3</v>
      </c>
      <c r="U5" s="300"/>
      <c r="V5" s="301" t="s">
        <v>397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Пятница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0.375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12</v>
      </c>
      <c r="Y30" s="43">
        <f>IFERROR(SUM(Y22:Y29),"0")</f>
        <v>12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86.4</v>
      </c>
      <c r="Y31" s="43">
        <f>IFERROR(SUMPRODUCT(Y22:Y29*H22:H29),"0")</f>
        <v>86.4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196</v>
      </c>
      <c r="Y41" s="55">
        <f>IFERROR(IF(X41="","",X41),"")</f>
        <v>196</v>
      </c>
      <c r="Z41" s="41">
        <f>IFERROR(IF(X41="","",X41*0.00941),"")</f>
        <v>1.84436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376.6728</v>
      </c>
      <c r="BN41" s="81">
        <f>IFERROR(Y41*I41,"0")</f>
        <v>376.6728</v>
      </c>
      <c r="BO41" s="81">
        <f>IFERROR(X41/J41,"0")</f>
        <v>1.4</v>
      </c>
      <c r="BP41" s="81">
        <f>IFERROR(Y41/J41,"0")</f>
        <v>1.4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196</v>
      </c>
      <c r="Y43" s="43">
        <f>IFERROR(SUM(Y41:Y42),"0")</f>
        <v>196</v>
      </c>
      <c r="Z43" s="43">
        <f>IFERROR(IF(Z41="",0,Z41),"0")+IFERROR(IF(Z42="",0,Z42),"0")</f>
        <v>1.84436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294</v>
      </c>
      <c r="Y44" s="43">
        <f>IFERROR(SUMPRODUCT(Y41:Y42*H41:H42),"0")</f>
        <v>294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ht="27" hidden="1" customHeight="1" x14ac:dyDescent="0.25">
      <c r="A49" s="63" t="s">
        <v>130</v>
      </c>
      <c r="B49" s="63" t="s">
        <v>131</v>
      </c>
      <c r="C49" s="36">
        <v>4301071091</v>
      </c>
      <c r="D49" s="362">
        <v>4620207490044</v>
      </c>
      <c r="E49" s="362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8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4"/>
      <c r="R49" s="364"/>
      <c r="S49" s="364"/>
      <c r="T49" s="365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39</v>
      </c>
      <c r="X50" s="43">
        <f>IFERROR(SUM(X47:X49),"0")</f>
        <v>24</v>
      </c>
      <c r="Y50" s="43">
        <f>IFERROR(SUM(Y47:Y49),"0")</f>
        <v>24</v>
      </c>
      <c r="Z50" s="43">
        <f>IFERROR(IF(Z47="",0,Z47),"0")+IFERROR(IF(Z48="",0,Z48),"0")+IFERROR(IF(Z49="",0,Z49),"0")</f>
        <v>0.372</v>
      </c>
      <c r="AA50" s="67"/>
      <c r="AB50" s="67"/>
      <c r="AC50" s="67"/>
    </row>
    <row r="51" spans="1:68" x14ac:dyDescent="0.2">
      <c r="A51" s="376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7"/>
      <c r="P51" s="373" t="s">
        <v>40</v>
      </c>
      <c r="Q51" s="374"/>
      <c r="R51" s="374"/>
      <c r="S51" s="374"/>
      <c r="T51" s="374"/>
      <c r="U51" s="374"/>
      <c r="V51" s="375"/>
      <c r="W51" s="42" t="s">
        <v>0</v>
      </c>
      <c r="X51" s="43">
        <f>IFERROR(SUMPRODUCT(X47:X49*H47:H49),"0")</f>
        <v>134.39999999999998</v>
      </c>
      <c r="Y51" s="43">
        <f>IFERROR(SUMPRODUCT(Y47:Y49*H47:H49),"0")</f>
        <v>134.39999999999998</v>
      </c>
      <c r="Z51" s="42"/>
      <c r="AA51" s="67"/>
      <c r="AB51" s="67"/>
      <c r="AC51" s="67"/>
    </row>
    <row r="52" spans="1:68" ht="16.5" hidden="1" customHeight="1" x14ac:dyDescent="0.25">
      <c r="A52" s="360" t="s">
        <v>133</v>
      </c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65"/>
      <c r="AB52" s="65"/>
      <c r="AC52" s="82"/>
    </row>
    <row r="53" spans="1:68" ht="14.25" hidden="1" customHeight="1" x14ac:dyDescent="0.25">
      <c r="A53" s="361" t="s">
        <v>82</v>
      </c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362">
        <v>4607111039385</v>
      </c>
      <c r="E54" s="362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350.4</v>
      </c>
      <c r="BN54" s="81">
        <f>IFERROR(Y54*I54,"0")</f>
        <v>350.4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362">
        <v>4607111038982</v>
      </c>
      <c r="E55" s="362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60</v>
      </c>
      <c r="Y55" s="55">
        <f>IFERROR(IF(X55="","",X55),"")</f>
        <v>60</v>
      </c>
      <c r="Z55" s="41">
        <f>IFERROR(IF(X55="","",X55*0.0155),"")</f>
        <v>0.92999999999999994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437.15999999999997</v>
      </c>
      <c r="BN55" s="81">
        <f>IFERROR(Y55*I55,"0")</f>
        <v>437.15999999999997</v>
      </c>
      <c r="BO55" s="81">
        <f>IFERROR(X55/J55,"0")</f>
        <v>0.7142857142857143</v>
      </c>
      <c r="BP55" s="81">
        <f>IFERROR(Y55/J55,"0")</f>
        <v>0.7142857142857143</v>
      </c>
    </row>
    <row r="56" spans="1:68" ht="27" hidden="1" customHeight="1" x14ac:dyDescent="0.25">
      <c r="A56" s="63" t="s">
        <v>140</v>
      </c>
      <c r="B56" s="63" t="s">
        <v>141</v>
      </c>
      <c r="C56" s="36">
        <v>4301071046</v>
      </c>
      <c r="D56" s="362">
        <v>4607111039354</v>
      </c>
      <c r="E56" s="362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362">
        <v>4607111039330</v>
      </c>
      <c r="E57" s="36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8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4"/>
      <c r="R57" s="364"/>
      <c r="S57" s="364"/>
      <c r="T57" s="365"/>
      <c r="U57" s="39" t="s">
        <v>46</v>
      </c>
      <c r="V57" s="39" t="s">
        <v>46</v>
      </c>
      <c r="W57" s="40" t="s">
        <v>39</v>
      </c>
      <c r="X57" s="58">
        <v>84</v>
      </c>
      <c r="Y57" s="55">
        <f>IFERROR(IF(X57="","",X57),"")</f>
        <v>84</v>
      </c>
      <c r="Z57" s="41">
        <f>IFERROR(IF(X57="","",X57*0.0155),"")</f>
        <v>1.302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613.19999999999993</v>
      </c>
      <c r="BN57" s="81">
        <f>IFERROR(Y57*I57,"0")</f>
        <v>613.19999999999993</v>
      </c>
      <c r="BO57" s="81">
        <f>IFERROR(X57/J57,"0")</f>
        <v>1</v>
      </c>
      <c r="BP57" s="81">
        <f>IFERROR(Y57/J57,"0")</f>
        <v>1</v>
      </c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39</v>
      </c>
      <c r="X58" s="43">
        <f>IFERROR(SUM(X54:X57),"0")</f>
        <v>192</v>
      </c>
      <c r="Y58" s="43">
        <f>IFERROR(SUM(Y54:Y57),"0")</f>
        <v>192</v>
      </c>
      <c r="Z58" s="43">
        <f>IFERROR(IF(Z54="",0,Z54),"0")+IFERROR(IF(Z55="",0,Z55),"0")+IFERROR(IF(Z56="",0,Z56),"0")+IFERROR(IF(Z57="",0,Z57),"0")</f>
        <v>2.976</v>
      </c>
      <c r="AA58" s="67"/>
      <c r="AB58" s="67"/>
      <c r="AC58" s="67"/>
    </row>
    <row r="59" spans="1:68" x14ac:dyDescent="0.2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7"/>
      <c r="P59" s="373" t="s">
        <v>40</v>
      </c>
      <c r="Q59" s="374"/>
      <c r="R59" s="374"/>
      <c r="S59" s="374"/>
      <c r="T59" s="374"/>
      <c r="U59" s="374"/>
      <c r="V59" s="375"/>
      <c r="W59" s="42" t="s">
        <v>0</v>
      </c>
      <c r="X59" s="43">
        <f>IFERROR(SUMPRODUCT(X54:X57*H54:H57),"0")</f>
        <v>1344</v>
      </c>
      <c r="Y59" s="43">
        <f>IFERROR(SUMPRODUCT(Y54:Y57*H54:H57),"0")</f>
        <v>1344</v>
      </c>
      <c r="Z59" s="42"/>
      <c r="AA59" s="67"/>
      <c r="AB59" s="67"/>
      <c r="AC59" s="67"/>
    </row>
    <row r="60" spans="1:68" ht="16.5" hidden="1" customHeight="1" x14ac:dyDescent="0.25">
      <c r="A60" s="360" t="s">
        <v>144</v>
      </c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65"/>
      <c r="AB60" s="65"/>
      <c r="AC60" s="82"/>
    </row>
    <row r="61" spans="1:68" ht="14.25" hidden="1" customHeight="1" x14ac:dyDescent="0.25">
      <c r="A61" s="361" t="s">
        <v>82</v>
      </c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66"/>
      <c r="AB61" s="66"/>
      <c r="AC61" s="83"/>
    </row>
    <row r="62" spans="1:68" ht="16.5" hidden="1" customHeight="1" x14ac:dyDescent="0.25">
      <c r="A62" s="63" t="s">
        <v>145</v>
      </c>
      <c r="B62" s="63" t="s">
        <v>146</v>
      </c>
      <c r="C62" s="36">
        <v>4301071073</v>
      </c>
      <c r="D62" s="362">
        <v>4620207490822</v>
      </c>
      <c r="E62" s="362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4"/>
      <c r="R62" s="364"/>
      <c r="S62" s="364"/>
      <c r="T62" s="365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76"/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7"/>
      <c r="P64" s="373" t="s">
        <v>40</v>
      </c>
      <c r="Q64" s="374"/>
      <c r="R64" s="374"/>
      <c r="S64" s="374"/>
      <c r="T64" s="374"/>
      <c r="U64" s="374"/>
      <c r="V64" s="375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61" t="s">
        <v>113</v>
      </c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66"/>
      <c r="AB65" s="66"/>
      <c r="AC65" s="83"/>
    </row>
    <row r="66" spans="1:68" ht="27" hidden="1" customHeight="1" x14ac:dyDescent="0.25">
      <c r="A66" s="63" t="s">
        <v>148</v>
      </c>
      <c r="B66" s="63" t="s">
        <v>149</v>
      </c>
      <c r="C66" s="36">
        <v>4301132194</v>
      </c>
      <c r="D66" s="362">
        <v>4607111039712</v>
      </c>
      <c r="E66" s="36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16.5" hidden="1" customHeight="1" x14ac:dyDescent="0.25">
      <c r="A70" s="63" t="s">
        <v>152</v>
      </c>
      <c r="B70" s="63" t="s">
        <v>153</v>
      </c>
      <c r="C70" s="36">
        <v>4301136018</v>
      </c>
      <c r="D70" s="362">
        <v>4607111037008</v>
      </c>
      <c r="E70" s="362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155</v>
      </c>
      <c r="B71" s="63" t="s">
        <v>156</v>
      </c>
      <c r="C71" s="36">
        <v>4301136015</v>
      </c>
      <c r="D71" s="362">
        <v>4607111037398</v>
      </c>
      <c r="E71" s="362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6"/>
      <c r="B72" s="376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7"/>
      <c r="P72" s="373" t="s">
        <v>40</v>
      </c>
      <c r="Q72" s="374"/>
      <c r="R72" s="374"/>
      <c r="S72" s="374"/>
      <c r="T72" s="374"/>
      <c r="U72" s="374"/>
      <c r="V72" s="375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61" t="s">
        <v>157</v>
      </c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  <c r="AA74" s="66"/>
      <c r="AB74" s="66"/>
      <c r="AC74" s="83"/>
    </row>
    <row r="75" spans="1:68" ht="27" hidden="1" customHeight="1" x14ac:dyDescent="0.25">
      <c r="A75" s="63" t="s">
        <v>158</v>
      </c>
      <c r="B75" s="63" t="s">
        <v>159</v>
      </c>
      <c r="C75" s="36">
        <v>4301135664</v>
      </c>
      <c r="D75" s="362">
        <v>4607111039705</v>
      </c>
      <c r="E75" s="36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4"/>
      <c r="R75" s="364"/>
      <c r="S75" s="364"/>
      <c r="T75" s="36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362">
        <v>4607111039729</v>
      </c>
      <c r="E76" s="362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9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4"/>
      <c r="R76" s="364"/>
      <c r="S76" s="364"/>
      <c r="T76" s="365"/>
      <c r="U76" s="39" t="s">
        <v>46</v>
      </c>
      <c r="V76" s="39" t="s">
        <v>46</v>
      </c>
      <c r="W76" s="40" t="s">
        <v>39</v>
      </c>
      <c r="X76" s="58">
        <v>28</v>
      </c>
      <c r="Y76" s="55">
        <f>IFERROR(IF(X76="","",X76),"")</f>
        <v>28</v>
      </c>
      <c r="Z76" s="41">
        <f>IFERROR(IF(X76="","",X76*0.00941),"")</f>
        <v>0.26347999999999999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43.68</v>
      </c>
      <c r="BN76" s="81">
        <f>IFERROR(Y76*I76,"0")</f>
        <v>43.68</v>
      </c>
      <c r="BO76" s="81">
        <f>IFERROR(X76/J76,"0")</f>
        <v>0.2</v>
      </c>
      <c r="BP76" s="81">
        <f>IFERROR(Y76/J76,"0")</f>
        <v>0.2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362">
        <v>4620207490228</v>
      </c>
      <c r="E77" s="362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28</v>
      </c>
      <c r="Y77" s="55">
        <f>IFERROR(IF(X77="","",X77),"")</f>
        <v>28</v>
      </c>
      <c r="Z77" s="41">
        <f>IFERROR(IF(X77="","",X77*0.00941),"")</f>
        <v>0.26347999999999999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43.68</v>
      </c>
      <c r="BN77" s="81">
        <f>IFERROR(Y77*I77,"0")</f>
        <v>43.68</v>
      </c>
      <c r="BO77" s="81">
        <f>IFERROR(X77/J77,"0")</f>
        <v>0.2</v>
      </c>
      <c r="BP77" s="81">
        <f>IFERROR(Y77/J77,"0")</f>
        <v>0.2</v>
      </c>
    </row>
    <row r="78" spans="1:68" x14ac:dyDescent="0.2">
      <c r="A78" s="376"/>
      <c r="B78" s="376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7"/>
      <c r="P78" s="373" t="s">
        <v>40</v>
      </c>
      <c r="Q78" s="374"/>
      <c r="R78" s="374"/>
      <c r="S78" s="374"/>
      <c r="T78" s="374"/>
      <c r="U78" s="374"/>
      <c r="V78" s="375"/>
      <c r="W78" s="42" t="s">
        <v>39</v>
      </c>
      <c r="X78" s="43">
        <f>IFERROR(SUM(X75:X77),"0")</f>
        <v>56</v>
      </c>
      <c r="Y78" s="43">
        <f>IFERROR(SUM(Y75:Y77),"0")</f>
        <v>56</v>
      </c>
      <c r="Z78" s="43">
        <f>IFERROR(IF(Z75="",0,Z75),"0")+IFERROR(IF(Z76="",0,Z76),"0")+IFERROR(IF(Z77="",0,Z77),"0")</f>
        <v>0.52695999999999998</v>
      </c>
      <c r="AA78" s="67"/>
      <c r="AB78" s="67"/>
      <c r="AC78" s="67"/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0</v>
      </c>
      <c r="X79" s="43">
        <f>IFERROR(SUMPRODUCT(X75:X77*H75:H77),"0")</f>
        <v>67.2</v>
      </c>
      <c r="Y79" s="43">
        <f>IFERROR(SUMPRODUCT(Y75:Y77*H75:H77),"0")</f>
        <v>67.2</v>
      </c>
      <c r="Z79" s="42"/>
      <c r="AA79" s="67"/>
      <c r="AB79" s="67"/>
      <c r="AC79" s="67"/>
    </row>
    <row r="80" spans="1:68" ht="16.5" hidden="1" customHeight="1" x14ac:dyDescent="0.25">
      <c r="A80" s="360" t="s">
        <v>165</v>
      </c>
      <c r="B80" s="360"/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65"/>
      <c r="AB80" s="65"/>
      <c r="AC80" s="82"/>
    </row>
    <row r="81" spans="1:68" ht="14.25" hidden="1" customHeight="1" x14ac:dyDescent="0.25">
      <c r="A81" s="361" t="s">
        <v>82</v>
      </c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  <c r="AA81" s="66"/>
      <c r="AB81" s="66"/>
      <c r="AC81" s="83"/>
    </row>
    <row r="82" spans="1:68" ht="27" hidden="1" customHeight="1" x14ac:dyDescent="0.25">
      <c r="A82" s="63" t="s">
        <v>166</v>
      </c>
      <c r="B82" s="63" t="s">
        <v>167</v>
      </c>
      <c r="C82" s="36">
        <v>4301070977</v>
      </c>
      <c r="D82" s="362">
        <v>4607111037411</v>
      </c>
      <c r="E82" s="362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4"/>
      <c r="R82" s="364"/>
      <c r="S82" s="364"/>
      <c r="T82" s="365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362">
        <v>4607111036728</v>
      </c>
      <c r="E83" s="362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192</v>
      </c>
      <c r="Y83" s="55">
        <f>IFERROR(IF(X83="","",X83),"")</f>
        <v>192</v>
      </c>
      <c r="Z83" s="41">
        <f>IFERROR(IF(X83="","",X83*0.00866),"")</f>
        <v>1.6627199999999998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1000.9343999999999</v>
      </c>
      <c r="BN83" s="81">
        <f>IFERROR(Y83*I83,"0")</f>
        <v>1000.9343999999999</v>
      </c>
      <c r="BO83" s="81">
        <f>IFERROR(X83/J83,"0")</f>
        <v>1.3333333333333333</v>
      </c>
      <c r="BP83" s="81">
        <f>IFERROR(Y83/J83,"0")</f>
        <v>1.3333333333333333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IFERROR(SUM(X82:X83),"0")</f>
        <v>192</v>
      </c>
      <c r="Y84" s="43">
        <f>IFERROR(SUM(Y82:Y83),"0")</f>
        <v>192</v>
      </c>
      <c r="Z84" s="43">
        <f>IFERROR(IF(Z82="",0,Z82),"0")+IFERROR(IF(Z83="",0,Z83),"0")</f>
        <v>1.6627199999999998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IFERROR(SUMPRODUCT(X82:X83*H82:H83),"0")</f>
        <v>960</v>
      </c>
      <c r="Y85" s="43">
        <f>IFERROR(SUMPRODUCT(Y82:Y83*H82:H83),"0")</f>
        <v>960</v>
      </c>
      <c r="Z85" s="42"/>
      <c r="AA85" s="67"/>
      <c r="AB85" s="67"/>
      <c r="AC85" s="67"/>
    </row>
    <row r="86" spans="1:68" ht="16.5" hidden="1" customHeight="1" x14ac:dyDescent="0.25">
      <c r="A86" s="360" t="s">
        <v>172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157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362">
        <v>4607111033659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7"/>
      <c r="P89" s="373" t="s">
        <v>40</v>
      </c>
      <c r="Q89" s="374"/>
      <c r="R89" s="374"/>
      <c r="S89" s="374"/>
      <c r="T89" s="374"/>
      <c r="U89" s="374"/>
      <c r="V89" s="375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hidden="1" customHeight="1" x14ac:dyDescent="0.25">
      <c r="A91" s="360" t="s">
        <v>176</v>
      </c>
      <c r="B91" s="360"/>
      <c r="C91" s="360"/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65"/>
      <c r="AB91" s="65"/>
      <c r="AC91" s="82"/>
    </row>
    <row r="92" spans="1:68" ht="14.25" hidden="1" customHeight="1" x14ac:dyDescent="0.25">
      <c r="A92" s="361" t="s">
        <v>177</v>
      </c>
      <c r="B92" s="361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  <c r="Z92" s="361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362">
        <v>4607111034120</v>
      </c>
      <c r="E93" s="362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4"/>
      <c r="R93" s="364"/>
      <c r="S93" s="364"/>
      <c r="T93" s="365"/>
      <c r="U93" s="39" t="s">
        <v>46</v>
      </c>
      <c r="V93" s="39" t="s">
        <v>46</v>
      </c>
      <c r="W93" s="40" t="s">
        <v>39</v>
      </c>
      <c r="X93" s="58">
        <v>28</v>
      </c>
      <c r="Y93" s="55">
        <f>IFERROR(IF(X93="","",X93),"")</f>
        <v>28</v>
      </c>
      <c r="Z93" s="41">
        <f>IFERROR(IF(X93="","",X93*0.01788),"")</f>
        <v>0.50063999999999997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120.50080000000001</v>
      </c>
      <c r="BN93" s="81">
        <f>IFERROR(Y93*I93,"0")</f>
        <v>120.50080000000001</v>
      </c>
      <c r="BO93" s="81">
        <f>IFERROR(X93/J93,"0")</f>
        <v>0.4</v>
      </c>
      <c r="BP93" s="81">
        <f>IFERROR(Y93/J93,"0")</f>
        <v>0.4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362">
        <v>4607111034137</v>
      </c>
      <c r="E94" s="362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4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7"/>
      <c r="P95" s="373" t="s">
        <v>40</v>
      </c>
      <c r="Q95" s="374"/>
      <c r="R95" s="374"/>
      <c r="S95" s="374"/>
      <c r="T95" s="374"/>
      <c r="U95" s="374"/>
      <c r="V95" s="375"/>
      <c r="W95" s="42" t="s">
        <v>39</v>
      </c>
      <c r="X95" s="43">
        <f>IFERROR(SUM(X93:X94),"0")</f>
        <v>84</v>
      </c>
      <c r="Y95" s="43">
        <f>IFERROR(SUM(Y93:Y94),"0")</f>
        <v>84</v>
      </c>
      <c r="Z95" s="43">
        <f>IFERROR(IF(Z93="",0,Z93),"0")+IFERROR(IF(Z94="",0,Z94),"0")</f>
        <v>1.5019199999999999</v>
      </c>
      <c r="AA95" s="67"/>
      <c r="AB95" s="67"/>
      <c r="AC95" s="67"/>
    </row>
    <row r="96" spans="1:68" x14ac:dyDescent="0.2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7"/>
      <c r="P96" s="373" t="s">
        <v>40</v>
      </c>
      <c r="Q96" s="374"/>
      <c r="R96" s="374"/>
      <c r="S96" s="374"/>
      <c r="T96" s="374"/>
      <c r="U96" s="374"/>
      <c r="V96" s="375"/>
      <c r="W96" s="42" t="s">
        <v>0</v>
      </c>
      <c r="X96" s="43">
        <f>IFERROR(SUMPRODUCT(X93:X94*H93:H94),"0")</f>
        <v>302.39999999999998</v>
      </c>
      <c r="Y96" s="43">
        <f>IFERROR(SUMPRODUCT(Y93:Y94*H93:H94),"0")</f>
        <v>302.39999999999998</v>
      </c>
      <c r="Z96" s="42"/>
      <c r="AA96" s="67"/>
      <c r="AB96" s="67"/>
      <c r="AC96" s="67"/>
    </row>
    <row r="97" spans="1:68" ht="16.5" hidden="1" customHeight="1" x14ac:dyDescent="0.25">
      <c r="A97" s="360" t="s">
        <v>184</v>
      </c>
      <c r="B97" s="360"/>
      <c r="C97" s="360"/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65"/>
      <c r="AB97" s="65"/>
      <c r="AC97" s="82"/>
    </row>
    <row r="98" spans="1:68" ht="14.25" hidden="1" customHeight="1" x14ac:dyDescent="0.25">
      <c r="A98" s="361" t="s">
        <v>157</v>
      </c>
      <c r="B98" s="361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  <c r="Z98" s="361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362">
        <v>4620207491027</v>
      </c>
      <c r="E99" s="36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ref="Y99:Y104" si="6">IFERROR(IF(X99="","",X99),"")</f>
        <v>14</v>
      </c>
      <c r="Z99" s="41">
        <f t="shared" ref="Z99:Z104" si="7">IFERROR(IF(X99="","",X99*0.01788),"")</f>
        <v>0.25031999999999999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50.170400000000001</v>
      </c>
      <c r="BN99" s="81">
        <f t="shared" ref="BN99:BN104" si="9">IFERROR(Y99*I99,"0")</f>
        <v>50.170400000000001</v>
      </c>
      <c r="BO99" s="81">
        <f t="shared" ref="BO99:BO104" si="10">IFERROR(X99/J99,"0")</f>
        <v>0.2</v>
      </c>
      <c r="BP99" s="81">
        <f t="shared" ref="BP99:BP104" si="11">IFERROR(Y99/J99,"0")</f>
        <v>0.2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362">
        <v>4620207491003</v>
      </c>
      <c r="E100" s="36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40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4"/>
      <c r="R100" s="364"/>
      <c r="S100" s="364"/>
      <c r="T100" s="365"/>
      <c r="U100" s="39" t="s">
        <v>46</v>
      </c>
      <c r="V100" s="39" t="s">
        <v>46</v>
      </c>
      <c r="W100" s="40" t="s">
        <v>39</v>
      </c>
      <c r="X100" s="58">
        <v>70</v>
      </c>
      <c r="Y100" s="55">
        <f t="shared" si="6"/>
        <v>70</v>
      </c>
      <c r="Z100" s="41">
        <f t="shared" si="7"/>
        <v>1.2516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250.852</v>
      </c>
      <c r="BN100" s="81">
        <f t="shared" si="9"/>
        <v>250.852</v>
      </c>
      <c r="BO100" s="81">
        <f t="shared" si="10"/>
        <v>1</v>
      </c>
      <c r="BP100" s="81">
        <f t="shared" si="11"/>
        <v>1</v>
      </c>
    </row>
    <row r="101" spans="1:68" ht="27" hidden="1" customHeight="1" x14ac:dyDescent="0.25">
      <c r="A101" s="63" t="s">
        <v>189</v>
      </c>
      <c r="B101" s="63" t="s">
        <v>190</v>
      </c>
      <c r="C101" s="36">
        <v>4301135768</v>
      </c>
      <c r="D101" s="362">
        <v>4620207491034</v>
      </c>
      <c r="E101" s="362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4"/>
      <c r="R101" s="364"/>
      <c r="S101" s="364"/>
      <c r="T101" s="36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362">
        <v>4620207491010</v>
      </c>
      <c r="E102" s="362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40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4"/>
      <c r="R102" s="364"/>
      <c r="S102" s="364"/>
      <c r="T102" s="365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si="6"/>
        <v>84</v>
      </c>
      <c r="Z102" s="41">
        <f t="shared" si="7"/>
        <v>1.5019199999999999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301.0224</v>
      </c>
      <c r="BN102" s="81">
        <f t="shared" si="9"/>
        <v>301.0224</v>
      </c>
      <c r="BO102" s="81">
        <f t="shared" si="10"/>
        <v>1.2</v>
      </c>
      <c r="BP102" s="81">
        <f t="shared" si="11"/>
        <v>1.2</v>
      </c>
    </row>
    <row r="103" spans="1:68" ht="27" hidden="1" customHeight="1" x14ac:dyDescent="0.25">
      <c r="A103" s="63" t="s">
        <v>194</v>
      </c>
      <c r="B103" s="63" t="s">
        <v>195</v>
      </c>
      <c r="C103" s="36">
        <v>4301135571</v>
      </c>
      <c r="D103" s="362">
        <v>4607111035028</v>
      </c>
      <c r="E103" s="362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4"/>
      <c r="R103" s="364"/>
      <c r="S103" s="364"/>
      <c r="T103" s="36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196</v>
      </c>
      <c r="B104" s="63" t="s">
        <v>197</v>
      </c>
      <c r="C104" s="36">
        <v>4301135285</v>
      </c>
      <c r="D104" s="362">
        <v>4607111036407</v>
      </c>
      <c r="E104" s="362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7"/>
      <c r="P105" s="373" t="s">
        <v>40</v>
      </c>
      <c r="Q105" s="374"/>
      <c r="R105" s="374"/>
      <c r="S105" s="374"/>
      <c r="T105" s="374"/>
      <c r="U105" s="374"/>
      <c r="V105" s="375"/>
      <c r="W105" s="42" t="s">
        <v>39</v>
      </c>
      <c r="X105" s="43">
        <f>IFERROR(SUM(X99:X104),"0")</f>
        <v>168</v>
      </c>
      <c r="Y105" s="43">
        <f>IFERROR(SUM(Y99:Y104),"0")</f>
        <v>168</v>
      </c>
      <c r="Z105" s="43">
        <f>IFERROR(IF(Z99="",0,Z99),"0")+IFERROR(IF(Z100="",0,Z100),"0")+IFERROR(IF(Z101="",0,Z101),"0")+IFERROR(IF(Z102="",0,Z102),"0")+IFERROR(IF(Z103="",0,Z103),"0")+IFERROR(IF(Z104="",0,Z104),"0")</f>
        <v>3.0038400000000003</v>
      </c>
      <c r="AA105" s="67"/>
      <c r="AB105" s="67"/>
      <c r="AC105" s="67"/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0</v>
      </c>
      <c r="X106" s="43">
        <f>IFERROR(SUMPRODUCT(X99:X104*H99:H104),"0")</f>
        <v>483.84</v>
      </c>
      <c r="Y106" s="43">
        <f>IFERROR(SUMPRODUCT(Y99:Y104*H99:H104),"0")</f>
        <v>483.84</v>
      </c>
      <c r="Z106" s="42"/>
      <c r="AA106" s="67"/>
      <c r="AB106" s="67"/>
      <c r="AC106" s="67"/>
    </row>
    <row r="107" spans="1:68" ht="16.5" hidden="1" customHeight="1" x14ac:dyDescent="0.25">
      <c r="A107" s="360" t="s">
        <v>199</v>
      </c>
      <c r="B107" s="360"/>
      <c r="C107" s="360"/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65"/>
      <c r="AB107" s="65"/>
      <c r="AC107" s="82"/>
    </row>
    <row r="108" spans="1:68" ht="14.25" hidden="1" customHeight="1" x14ac:dyDescent="0.25">
      <c r="A108" s="361" t="s">
        <v>151</v>
      </c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  <c r="Z108" s="361"/>
      <c r="AA108" s="66"/>
      <c r="AB108" s="66"/>
      <c r="AC108" s="83"/>
    </row>
    <row r="109" spans="1:68" ht="27" customHeight="1" x14ac:dyDescent="0.25">
      <c r="A109" s="63" t="s">
        <v>200</v>
      </c>
      <c r="B109" s="63" t="s">
        <v>201</v>
      </c>
      <c r="C109" s="36">
        <v>4301136070</v>
      </c>
      <c r="D109" s="362">
        <v>4607025784012</v>
      </c>
      <c r="E109" s="362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40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4"/>
      <c r="R109" s="364"/>
      <c r="S109" s="364"/>
      <c r="T109" s="365"/>
      <c r="U109" s="39" t="s">
        <v>46</v>
      </c>
      <c r="V109" s="39" t="s">
        <v>46</v>
      </c>
      <c r="W109" s="40" t="s">
        <v>39</v>
      </c>
      <c r="X109" s="58">
        <v>14</v>
      </c>
      <c r="Y109" s="55">
        <f>IFERROR(IF(X109="","",X109),"")</f>
        <v>14</v>
      </c>
      <c r="Z109" s="41">
        <f>IFERROR(IF(X109="","",X109*0.00936),"")</f>
        <v>0.13103999999999999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34.876800000000003</v>
      </c>
      <c r="BN109" s="81">
        <f>IFERROR(Y109*I109,"0")</f>
        <v>34.876800000000003</v>
      </c>
      <c r="BO109" s="81">
        <f>IFERROR(X109/J109,"0")</f>
        <v>0.1111111111111111</v>
      </c>
      <c r="BP109" s="81">
        <f>IFERROR(Y109/J109,"0")</f>
        <v>0.1111111111111111</v>
      </c>
    </row>
    <row r="110" spans="1:68" ht="27" hidden="1" customHeight="1" x14ac:dyDescent="0.25">
      <c r="A110" s="63" t="s">
        <v>203</v>
      </c>
      <c r="B110" s="63" t="s">
        <v>204</v>
      </c>
      <c r="C110" s="36">
        <v>4301136079</v>
      </c>
      <c r="D110" s="362">
        <v>4607025784319</v>
      </c>
      <c r="E110" s="362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7"/>
      <c r="P111" s="373" t="s">
        <v>40</v>
      </c>
      <c r="Q111" s="374"/>
      <c r="R111" s="374"/>
      <c r="S111" s="374"/>
      <c r="T111" s="374"/>
      <c r="U111" s="374"/>
      <c r="V111" s="375"/>
      <c r="W111" s="42" t="s">
        <v>39</v>
      </c>
      <c r="X111" s="43">
        <f>IFERROR(SUM(X109:X110),"0")</f>
        <v>14</v>
      </c>
      <c r="Y111" s="43">
        <f>IFERROR(SUM(Y109:Y110),"0")</f>
        <v>14</v>
      </c>
      <c r="Z111" s="43">
        <f>IFERROR(IF(Z109="",0,Z109),"0")+IFERROR(IF(Z110="",0,Z110),"0")</f>
        <v>0.13103999999999999</v>
      </c>
      <c r="AA111" s="67"/>
      <c r="AB111" s="67"/>
      <c r="AC111" s="67"/>
    </row>
    <row r="112" spans="1:68" x14ac:dyDescent="0.2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7"/>
      <c r="P112" s="373" t="s">
        <v>40</v>
      </c>
      <c r="Q112" s="374"/>
      <c r="R112" s="374"/>
      <c r="S112" s="374"/>
      <c r="T112" s="374"/>
      <c r="U112" s="374"/>
      <c r="V112" s="375"/>
      <c r="W112" s="42" t="s">
        <v>0</v>
      </c>
      <c r="X112" s="43">
        <f>IFERROR(SUMPRODUCT(X109:X110*H109:H110),"0")</f>
        <v>30.240000000000002</v>
      </c>
      <c r="Y112" s="43">
        <f>IFERROR(SUMPRODUCT(Y109:Y110*H109:H110),"0")</f>
        <v>30.240000000000002</v>
      </c>
      <c r="Z112" s="42"/>
      <c r="AA112" s="67"/>
      <c r="AB112" s="67"/>
      <c r="AC112" s="67"/>
    </row>
    <row r="113" spans="1:68" ht="16.5" hidden="1" customHeight="1" x14ac:dyDescent="0.25">
      <c r="A113" s="360" t="s">
        <v>205</v>
      </c>
      <c r="B113" s="360"/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65"/>
      <c r="AB113" s="65"/>
      <c r="AC113" s="82"/>
    </row>
    <row r="114" spans="1:68" ht="14.25" hidden="1" customHeight="1" x14ac:dyDescent="0.25">
      <c r="A114" s="361" t="s">
        <v>82</v>
      </c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  <c r="Z114" s="361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362">
        <v>4620207491157</v>
      </c>
      <c r="E115" s="362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60</v>
      </c>
      <c r="Y115" s="55">
        <f t="shared" ref="Y115:Y122" si="12">IFERROR(IF(X115="","",X115),"")</f>
        <v>60</v>
      </c>
      <c r="Z115" s="41">
        <f t="shared" ref="Z115:Z122" si="13">IFERROR(IF(X115="","",X115*0.0155),"")</f>
        <v>0.92999999999999994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436.8</v>
      </c>
      <c r="BN115" s="81">
        <f t="shared" ref="BN115:BN122" si="15">IFERROR(Y115*I115,"0")</f>
        <v>436.8</v>
      </c>
      <c r="BO115" s="81">
        <f t="shared" ref="BO115:BO122" si="16">IFERROR(X115/J115,"0")</f>
        <v>0.7142857142857143</v>
      </c>
      <c r="BP115" s="81">
        <f t="shared" ref="BP115:BP122" si="17">IFERROR(Y115/J115,"0")</f>
        <v>0.7142857142857143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362">
        <v>4620207491393</v>
      </c>
      <c r="E116" s="362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12</v>
      </c>
      <c r="Y116" s="55">
        <f t="shared" si="12"/>
        <v>12</v>
      </c>
      <c r="Z116" s="41">
        <f t="shared" si="13"/>
        <v>0.186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80.52</v>
      </c>
      <c r="BN116" s="81">
        <f t="shared" si="15"/>
        <v>80.52</v>
      </c>
      <c r="BO116" s="81">
        <f t="shared" si="16"/>
        <v>0.14285714285714285</v>
      </c>
      <c r="BP116" s="81">
        <f t="shared" si="17"/>
        <v>0.14285714285714285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362">
        <v>4607111039262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362">
        <v>4607111039248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120</v>
      </c>
      <c r="Y118" s="55">
        <f t="shared" si="12"/>
        <v>120</v>
      </c>
      <c r="Z118" s="41">
        <f t="shared" si="13"/>
        <v>1.8599999999999999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876</v>
      </c>
      <c r="BN118" s="81">
        <f t="shared" si="15"/>
        <v>876</v>
      </c>
      <c r="BO118" s="81">
        <f t="shared" si="16"/>
        <v>1.4285714285714286</v>
      </c>
      <c r="BP118" s="81">
        <f t="shared" si="17"/>
        <v>1.4285714285714286</v>
      </c>
    </row>
    <row r="119" spans="1:68" ht="27" hidden="1" customHeight="1" x14ac:dyDescent="0.25">
      <c r="A119" s="63" t="s">
        <v>216</v>
      </c>
      <c r="B119" s="63" t="s">
        <v>217</v>
      </c>
      <c r="C119" s="36">
        <v>4301070979</v>
      </c>
      <c r="D119" s="362">
        <v>4607111037145</v>
      </c>
      <c r="E119" s="362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4"/>
      <c r="R119" s="364"/>
      <c r="S119" s="364"/>
      <c r="T119" s="36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62">
        <v>4620207491102</v>
      </c>
      <c r="E120" s="362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4"/>
      <c r="R120" s="364"/>
      <c r="S120" s="364"/>
      <c r="T120" s="365"/>
      <c r="U120" s="39" t="s">
        <v>46</v>
      </c>
      <c r="V120" s="39" t="s">
        <v>46</v>
      </c>
      <c r="W120" s="40" t="s">
        <v>39</v>
      </c>
      <c r="X120" s="58">
        <v>24</v>
      </c>
      <c r="Y120" s="55">
        <f t="shared" si="12"/>
        <v>24</v>
      </c>
      <c r="Z120" s="41">
        <f t="shared" si="13"/>
        <v>0.372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173.52</v>
      </c>
      <c r="BN120" s="81">
        <f t="shared" si="15"/>
        <v>173.52</v>
      </c>
      <c r="BO120" s="81">
        <f t="shared" si="16"/>
        <v>0.2857142857142857</v>
      </c>
      <c r="BP120" s="81">
        <f t="shared" si="17"/>
        <v>0.2857142857142857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362">
        <v>4607111039293</v>
      </c>
      <c r="E121" s="362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4"/>
      <c r="R121" s="364"/>
      <c r="S121" s="364"/>
      <c r="T121" s="365"/>
      <c r="U121" s="39" t="s">
        <v>46</v>
      </c>
      <c r="V121" s="39" t="s">
        <v>46</v>
      </c>
      <c r="W121" s="40" t="s">
        <v>39</v>
      </c>
      <c r="X121" s="58">
        <v>48</v>
      </c>
      <c r="Y121" s="55">
        <f t="shared" si="12"/>
        <v>48</v>
      </c>
      <c r="Z121" s="41">
        <f t="shared" si="13"/>
        <v>0.74399999999999999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322.54079999999999</v>
      </c>
      <c r="BN121" s="81">
        <f t="shared" si="15"/>
        <v>322.54079999999999</v>
      </c>
      <c r="BO121" s="81">
        <f t="shared" si="16"/>
        <v>0.5714285714285714</v>
      </c>
      <c r="BP121" s="81">
        <f t="shared" si="17"/>
        <v>0.5714285714285714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362">
        <v>4607111039279</v>
      </c>
      <c r="E122" s="362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204</v>
      </c>
      <c r="Y122" s="55">
        <f t="shared" si="12"/>
        <v>204</v>
      </c>
      <c r="Z122" s="41">
        <f t="shared" si="13"/>
        <v>3.1619999999999999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1489.2</v>
      </c>
      <c r="BN122" s="81">
        <f t="shared" si="15"/>
        <v>1489.2</v>
      </c>
      <c r="BO122" s="81">
        <f t="shared" si="16"/>
        <v>2.4285714285714284</v>
      </c>
      <c r="BP122" s="81">
        <f t="shared" si="17"/>
        <v>2.4285714285714284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IFERROR(SUM(X115:X122),"0")</f>
        <v>504</v>
      </c>
      <c r="Y123" s="43">
        <f>IFERROR(SUM(Y115:Y122),"0")</f>
        <v>504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7.8119999999999994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IFERROR(SUMPRODUCT(X115:X122*H115:H122),"0")</f>
        <v>3470.4</v>
      </c>
      <c r="Y124" s="43">
        <f>IFERROR(SUMPRODUCT(Y115:Y122*H115:H122),"0")</f>
        <v>3470.4</v>
      </c>
      <c r="Z124" s="42"/>
      <c r="AA124" s="67"/>
      <c r="AB124" s="67"/>
      <c r="AC124" s="67"/>
    </row>
    <row r="125" spans="1:68" ht="14.25" hidden="1" customHeight="1" x14ac:dyDescent="0.25">
      <c r="A125" s="361" t="s">
        <v>157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4301135826</v>
      </c>
      <c r="D126" s="362">
        <v>4620207490983</v>
      </c>
      <c r="E126" s="362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61" t="s">
        <v>229</v>
      </c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  <c r="Z129" s="361"/>
      <c r="AA129" s="66"/>
      <c r="AB129" s="66"/>
      <c r="AC129" s="83"/>
    </row>
    <row r="130" spans="1:68" ht="27" hidden="1" customHeight="1" x14ac:dyDescent="0.25">
      <c r="A130" s="63" t="s">
        <v>230</v>
      </c>
      <c r="B130" s="63" t="s">
        <v>231</v>
      </c>
      <c r="C130" s="36">
        <v>4301071094</v>
      </c>
      <c r="D130" s="362">
        <v>4620207491140</v>
      </c>
      <c r="E130" s="362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4"/>
      <c r="R130" s="364"/>
      <c r="S130" s="364"/>
      <c r="T130" s="365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idden="1" x14ac:dyDescent="0.2">
      <c r="A131" s="376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7"/>
      <c r="P131" s="373" t="s">
        <v>40</v>
      </c>
      <c r="Q131" s="374"/>
      <c r="R131" s="374"/>
      <c r="S131" s="374"/>
      <c r="T131" s="374"/>
      <c r="U131" s="374"/>
      <c r="V131" s="375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376"/>
      <c r="B132" s="376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7"/>
      <c r="P132" s="373" t="s">
        <v>40</v>
      </c>
      <c r="Q132" s="374"/>
      <c r="R132" s="374"/>
      <c r="S132" s="374"/>
      <c r="T132" s="374"/>
      <c r="U132" s="374"/>
      <c r="V132" s="375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hidden="1" customHeight="1" x14ac:dyDescent="0.25">
      <c r="A133" s="360" t="s">
        <v>233</v>
      </c>
      <c r="B133" s="360"/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65"/>
      <c r="AB133" s="65"/>
      <c r="AC133" s="82"/>
    </row>
    <row r="134" spans="1:68" ht="14.25" hidden="1" customHeight="1" x14ac:dyDescent="0.25">
      <c r="A134" s="361" t="s">
        <v>157</v>
      </c>
      <c r="B134" s="361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  <c r="Z134" s="361"/>
      <c r="AA134" s="66"/>
      <c r="AB134" s="66"/>
      <c r="AC134" s="83"/>
    </row>
    <row r="135" spans="1:68" ht="27" customHeight="1" x14ac:dyDescent="0.25">
      <c r="A135" s="63" t="s">
        <v>234</v>
      </c>
      <c r="B135" s="63" t="s">
        <v>235</v>
      </c>
      <c r="C135" s="36">
        <v>4301135850</v>
      </c>
      <c r="D135" s="362">
        <v>4620207491492</v>
      </c>
      <c r="E135" s="362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4"/>
      <c r="R135" s="364"/>
      <c r="S135" s="364"/>
      <c r="T135" s="365"/>
      <c r="U135" s="39" t="s">
        <v>46</v>
      </c>
      <c r="V135" s="39" t="s">
        <v>46</v>
      </c>
      <c r="W135" s="40" t="s">
        <v>39</v>
      </c>
      <c r="X135" s="58">
        <v>42</v>
      </c>
      <c r="Y135" s="55">
        <f>IFERROR(IF(X135="","",X135),"")</f>
        <v>42</v>
      </c>
      <c r="Z135" s="41">
        <f>IFERROR(IF(X135="","",X135*0.00941),"")</f>
        <v>0.39522000000000002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75.600000000000009</v>
      </c>
      <c r="BN135" s="81">
        <f>IFERROR(Y135*I135,"0")</f>
        <v>75.600000000000009</v>
      </c>
      <c r="BO135" s="81">
        <f>IFERROR(X135/J135,"0")</f>
        <v>0.3</v>
      </c>
      <c r="BP135" s="81">
        <f>IFERROR(Y135/J135,"0")</f>
        <v>0.3</v>
      </c>
    </row>
    <row r="136" spans="1:68" ht="27" customHeight="1" x14ac:dyDescent="0.25">
      <c r="A136" s="63" t="s">
        <v>237</v>
      </c>
      <c r="B136" s="63" t="s">
        <v>238</v>
      </c>
      <c r="C136" s="36">
        <v>4301190118</v>
      </c>
      <c r="D136" s="362">
        <v>4620207491461</v>
      </c>
      <c r="E136" s="362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4"/>
      <c r="R136" s="364"/>
      <c r="S136" s="364"/>
      <c r="T136" s="365"/>
      <c r="U136" s="39" t="s">
        <v>46</v>
      </c>
      <c r="V136" s="39" t="s">
        <v>46</v>
      </c>
      <c r="W136" s="40" t="s">
        <v>39</v>
      </c>
      <c r="X136" s="58">
        <v>98</v>
      </c>
      <c r="Y136" s="55">
        <f>IFERROR(IF(X136="","",X136),"")</f>
        <v>98</v>
      </c>
      <c r="Z136" s="41">
        <f>IFERROR(IF(X136="","",X136*0.00941),"")</f>
        <v>0.92218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170.52</v>
      </c>
      <c r="BN136" s="81">
        <f>IFERROR(Y136*I136,"0")</f>
        <v>170.52</v>
      </c>
      <c r="BO136" s="81">
        <f>IFERROR(X136/J136,"0")</f>
        <v>0.7</v>
      </c>
      <c r="BP136" s="81">
        <f>IFERROR(Y136/J136,"0")</f>
        <v>0.7</v>
      </c>
    </row>
    <row r="137" spans="1:68" ht="27" customHeight="1" x14ac:dyDescent="0.25">
      <c r="A137" s="63" t="s">
        <v>239</v>
      </c>
      <c r="B137" s="63" t="s">
        <v>240</v>
      </c>
      <c r="C137" s="36">
        <v>4301135865</v>
      </c>
      <c r="D137" s="362">
        <v>4620207491485</v>
      </c>
      <c r="E137" s="36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4"/>
      <c r="R137" s="364"/>
      <c r="S137" s="364"/>
      <c r="T137" s="365"/>
      <c r="U137" s="39" t="s">
        <v>46</v>
      </c>
      <c r="V137" s="39" t="s">
        <v>46</v>
      </c>
      <c r="W137" s="40" t="s">
        <v>39</v>
      </c>
      <c r="X137" s="58">
        <v>98</v>
      </c>
      <c r="Y137" s="55">
        <f>IFERROR(IF(X137="","",X137),"")</f>
        <v>98</v>
      </c>
      <c r="Z137" s="41">
        <f>IFERROR(IF(X137="","",X137*0.00941),"")</f>
        <v>0.92218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176.4</v>
      </c>
      <c r="BN137" s="81">
        <f>IFERROR(Y137*I137,"0")</f>
        <v>176.4</v>
      </c>
      <c r="BO137" s="81">
        <f>IFERROR(X137/J137,"0")</f>
        <v>0.7</v>
      </c>
      <c r="BP137" s="81">
        <f>IFERROR(Y137/J137,"0")</f>
        <v>0.7</v>
      </c>
    </row>
    <row r="138" spans="1:68" x14ac:dyDescent="0.2">
      <c r="A138" s="376"/>
      <c r="B138" s="376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7"/>
      <c r="P138" s="373" t="s">
        <v>40</v>
      </c>
      <c r="Q138" s="374"/>
      <c r="R138" s="374"/>
      <c r="S138" s="374"/>
      <c r="T138" s="374"/>
      <c r="U138" s="374"/>
      <c r="V138" s="375"/>
      <c r="W138" s="42" t="s">
        <v>39</v>
      </c>
      <c r="X138" s="43">
        <f>IFERROR(SUM(X135:X137),"0")</f>
        <v>238</v>
      </c>
      <c r="Y138" s="43">
        <f>IFERROR(SUM(Y135:Y137),"0")</f>
        <v>238</v>
      </c>
      <c r="Z138" s="43">
        <f>IFERROR(IF(Z135="",0,Z135),"0")+IFERROR(IF(Z136="",0,Z136),"0")+IFERROR(IF(Z137="",0,Z137),"0")</f>
        <v>2.2395800000000001</v>
      </c>
      <c r="AA138" s="67"/>
      <c r="AB138" s="67"/>
      <c r="AC138" s="67"/>
    </row>
    <row r="139" spans="1:68" x14ac:dyDescent="0.2">
      <c r="A139" s="376"/>
      <c r="B139" s="376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7"/>
      <c r="P139" s="373" t="s">
        <v>40</v>
      </c>
      <c r="Q139" s="374"/>
      <c r="R139" s="374"/>
      <c r="S139" s="374"/>
      <c r="T139" s="374"/>
      <c r="U139" s="374"/>
      <c r="V139" s="375"/>
      <c r="W139" s="42" t="s">
        <v>0</v>
      </c>
      <c r="X139" s="43">
        <f>IFERROR(SUMPRODUCT(X135:X137*H135:H137),"0")</f>
        <v>322.55999999999995</v>
      </c>
      <c r="Y139" s="43">
        <f>IFERROR(SUMPRODUCT(Y135:Y137*H135:H137),"0")</f>
        <v>322.55999999999995</v>
      </c>
      <c r="Z139" s="42"/>
      <c r="AA139" s="67"/>
      <c r="AB139" s="67"/>
      <c r="AC139" s="67"/>
    </row>
    <row r="140" spans="1:68" ht="14.25" hidden="1" customHeight="1" x14ac:dyDescent="0.25">
      <c r="A140" s="361" t="s">
        <v>241</v>
      </c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  <c r="AA140" s="66"/>
      <c r="AB140" s="66"/>
      <c r="AC140" s="83"/>
    </row>
    <row r="141" spans="1:68" ht="27" hidden="1" customHeight="1" x14ac:dyDescent="0.25">
      <c r="A141" s="63" t="s">
        <v>242</v>
      </c>
      <c r="B141" s="63" t="s">
        <v>243</v>
      </c>
      <c r="C141" s="36">
        <v>4301190117</v>
      </c>
      <c r="D141" s="362">
        <v>4620207491386</v>
      </c>
      <c r="E141" s="36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4"/>
      <c r="R141" s="364"/>
      <c r="S141" s="364"/>
      <c r="T141" s="36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244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245</v>
      </c>
      <c r="B142" s="63" t="s">
        <v>246</v>
      </c>
      <c r="C142" s="36">
        <v>4301190115</v>
      </c>
      <c r="D142" s="362">
        <v>4620207491362</v>
      </c>
      <c r="E142" s="36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4"/>
      <c r="R142" s="364"/>
      <c r="S142" s="364"/>
      <c r="T142" s="36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244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247</v>
      </c>
      <c r="B143" s="63" t="s">
        <v>248</v>
      </c>
      <c r="C143" s="36">
        <v>4301190116</v>
      </c>
      <c r="D143" s="362">
        <v>4620207491379</v>
      </c>
      <c r="E143" s="36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4"/>
      <c r="R143" s="364"/>
      <c r="S143" s="364"/>
      <c r="T143" s="36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244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76"/>
      <c r="B144" s="376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7"/>
      <c r="P144" s="373" t="s">
        <v>40</v>
      </c>
      <c r="Q144" s="374"/>
      <c r="R144" s="374"/>
      <c r="S144" s="374"/>
      <c r="T144" s="374"/>
      <c r="U144" s="374"/>
      <c r="V144" s="37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76"/>
      <c r="B145" s="376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7"/>
      <c r="P145" s="373" t="s">
        <v>40</v>
      </c>
      <c r="Q145" s="374"/>
      <c r="R145" s="374"/>
      <c r="S145" s="374"/>
      <c r="T145" s="374"/>
      <c r="U145" s="374"/>
      <c r="V145" s="37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60" t="s">
        <v>249</v>
      </c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  <c r="Z146" s="360"/>
      <c r="AA146" s="65"/>
      <c r="AB146" s="65"/>
      <c r="AC146" s="82"/>
    </row>
    <row r="147" spans="1:68" ht="14.25" hidden="1" customHeight="1" x14ac:dyDescent="0.25">
      <c r="A147" s="361" t="s">
        <v>157</v>
      </c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  <c r="AA147" s="66"/>
      <c r="AB147" s="66"/>
      <c r="AC147" s="83"/>
    </row>
    <row r="148" spans="1:68" ht="27" customHeight="1" x14ac:dyDescent="0.25">
      <c r="A148" s="63" t="s">
        <v>250</v>
      </c>
      <c r="B148" s="63" t="s">
        <v>251</v>
      </c>
      <c r="C148" s="36">
        <v>4301135555</v>
      </c>
      <c r="D148" s="362">
        <v>4607111034014</v>
      </c>
      <c r="E148" s="36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119</v>
      </c>
      <c r="M148" s="38" t="s">
        <v>86</v>
      </c>
      <c r="N148" s="38"/>
      <c r="O148" s="37">
        <v>180</v>
      </c>
      <c r="P148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4"/>
      <c r="R148" s="364"/>
      <c r="S148" s="364"/>
      <c r="T148" s="365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9" t="s">
        <v>252</v>
      </c>
      <c r="AG148" s="81"/>
      <c r="AJ148" s="87" t="s">
        <v>120</v>
      </c>
      <c r="AK148" s="87">
        <v>14</v>
      </c>
      <c r="BB148" s="200" t="s">
        <v>117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ht="27" customHeight="1" x14ac:dyDescent="0.25">
      <c r="A149" s="63" t="s">
        <v>253</v>
      </c>
      <c r="B149" s="63" t="s">
        <v>254</v>
      </c>
      <c r="C149" s="36">
        <v>4301135532</v>
      </c>
      <c r="D149" s="362">
        <v>4607111033994</v>
      </c>
      <c r="E149" s="36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4"/>
      <c r="R149" s="364"/>
      <c r="S149" s="364"/>
      <c r="T149" s="365"/>
      <c r="U149" s="39" t="s">
        <v>46</v>
      </c>
      <c r="V149" s="39" t="s">
        <v>46</v>
      </c>
      <c r="W149" s="40" t="s">
        <v>39</v>
      </c>
      <c r="X149" s="58">
        <v>140</v>
      </c>
      <c r="Y149" s="55">
        <f>IFERROR(IF(X149="","",X149),"")</f>
        <v>140</v>
      </c>
      <c r="Z149" s="41">
        <f>IFERROR(IF(X149="","",X149*0.01788),"")</f>
        <v>2.5032000000000001</v>
      </c>
      <c r="AA149" s="68" t="s">
        <v>46</v>
      </c>
      <c r="AB149" s="69" t="s">
        <v>46</v>
      </c>
      <c r="AC149" s="201" t="s">
        <v>175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518.50400000000002</v>
      </c>
      <c r="BN149" s="81">
        <f>IFERROR(Y149*I149,"0")</f>
        <v>518.50400000000002</v>
      </c>
      <c r="BO149" s="81">
        <f>IFERROR(X149/J149,"0")</f>
        <v>2</v>
      </c>
      <c r="BP149" s="81">
        <f>IFERROR(Y149/J149,"0")</f>
        <v>2</v>
      </c>
    </row>
    <row r="150" spans="1:68" x14ac:dyDescent="0.2">
      <c r="A150" s="376"/>
      <c r="B150" s="376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7"/>
      <c r="P150" s="373" t="s">
        <v>40</v>
      </c>
      <c r="Q150" s="374"/>
      <c r="R150" s="374"/>
      <c r="S150" s="374"/>
      <c r="T150" s="374"/>
      <c r="U150" s="374"/>
      <c r="V150" s="375"/>
      <c r="W150" s="42" t="s">
        <v>39</v>
      </c>
      <c r="X150" s="43">
        <f>IFERROR(SUM(X148:X149),"0")</f>
        <v>196</v>
      </c>
      <c r="Y150" s="43">
        <f>IFERROR(SUM(Y148:Y149),"0")</f>
        <v>196</v>
      </c>
      <c r="Z150" s="43">
        <f>IFERROR(IF(Z148="",0,Z148),"0")+IFERROR(IF(Z149="",0,Z149),"0")</f>
        <v>3.50448</v>
      </c>
      <c r="AA150" s="67"/>
      <c r="AB150" s="67"/>
      <c r="AC150" s="67"/>
    </row>
    <row r="151" spans="1:68" x14ac:dyDescent="0.2">
      <c r="A151" s="376"/>
      <c r="B151" s="376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7"/>
      <c r="P151" s="373" t="s">
        <v>40</v>
      </c>
      <c r="Q151" s="374"/>
      <c r="R151" s="374"/>
      <c r="S151" s="374"/>
      <c r="T151" s="374"/>
      <c r="U151" s="374"/>
      <c r="V151" s="375"/>
      <c r="W151" s="42" t="s">
        <v>0</v>
      </c>
      <c r="X151" s="43">
        <f>IFERROR(SUMPRODUCT(X148:X149*H148:H149),"0")</f>
        <v>588</v>
      </c>
      <c r="Y151" s="43">
        <f>IFERROR(SUMPRODUCT(Y148:Y149*H148:H149),"0")</f>
        <v>588</v>
      </c>
      <c r="Z151" s="42"/>
      <c r="AA151" s="67"/>
      <c r="AB151" s="67"/>
      <c r="AC151" s="67"/>
    </row>
    <row r="152" spans="1:68" ht="16.5" hidden="1" customHeight="1" x14ac:dyDescent="0.25">
      <c r="A152" s="360" t="s">
        <v>255</v>
      </c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65"/>
      <c r="AB152" s="65"/>
      <c r="AC152" s="82"/>
    </row>
    <row r="153" spans="1:68" ht="14.25" hidden="1" customHeight="1" x14ac:dyDescent="0.25">
      <c r="A153" s="361" t="s">
        <v>157</v>
      </c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66"/>
      <c r="AB153" s="66"/>
      <c r="AC153" s="83"/>
    </row>
    <row r="154" spans="1:68" ht="27" customHeight="1" x14ac:dyDescent="0.25">
      <c r="A154" s="63" t="s">
        <v>256</v>
      </c>
      <c r="B154" s="63" t="s">
        <v>257</v>
      </c>
      <c r="C154" s="36">
        <v>4301135824</v>
      </c>
      <c r="D154" s="362">
        <v>4607111039095</v>
      </c>
      <c r="E154" s="36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4"/>
      <c r="R154" s="364"/>
      <c r="S154" s="364"/>
      <c r="T154" s="365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3" t="s">
        <v>258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52.472000000000001</v>
      </c>
      <c r="BN154" s="81">
        <f>IFERROR(Y154*I154,"0")</f>
        <v>52.472000000000001</v>
      </c>
      <c r="BO154" s="81">
        <f>IFERROR(X154/J154,"0")</f>
        <v>0.2</v>
      </c>
      <c r="BP154" s="81">
        <f>IFERROR(Y154/J154,"0")</f>
        <v>0.2</v>
      </c>
    </row>
    <row r="155" spans="1:68" ht="16.5" customHeight="1" x14ac:dyDescent="0.25">
      <c r="A155" s="63" t="s">
        <v>259</v>
      </c>
      <c r="B155" s="63" t="s">
        <v>260</v>
      </c>
      <c r="C155" s="36">
        <v>4301135550</v>
      </c>
      <c r="D155" s="362">
        <v>4607111034199</v>
      </c>
      <c r="E155" s="36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119</v>
      </c>
      <c r="M155" s="38" t="s">
        <v>86</v>
      </c>
      <c r="N155" s="38"/>
      <c r="O155" s="37">
        <v>180</v>
      </c>
      <c r="P155" s="42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4"/>
      <c r="R155" s="364"/>
      <c r="S155" s="364"/>
      <c r="T155" s="365"/>
      <c r="U155" s="39" t="s">
        <v>46</v>
      </c>
      <c r="V155" s="39" t="s">
        <v>46</v>
      </c>
      <c r="W155" s="40" t="s">
        <v>39</v>
      </c>
      <c r="X155" s="58">
        <v>70</v>
      </c>
      <c r="Y155" s="55">
        <f>IFERROR(IF(X155="","",X155),"")</f>
        <v>70</v>
      </c>
      <c r="Z155" s="41">
        <f>IFERROR(IF(X155="","",X155*0.01788),"")</f>
        <v>1.2516</v>
      </c>
      <c r="AA155" s="68" t="s">
        <v>46</v>
      </c>
      <c r="AB155" s="69" t="s">
        <v>46</v>
      </c>
      <c r="AC155" s="205" t="s">
        <v>261</v>
      </c>
      <c r="AG155" s="81"/>
      <c r="AJ155" s="87" t="s">
        <v>120</v>
      </c>
      <c r="AK155" s="87">
        <v>14</v>
      </c>
      <c r="BB155" s="206" t="s">
        <v>117</v>
      </c>
      <c r="BM155" s="81">
        <f>IFERROR(X155*I155,"0")</f>
        <v>259.25200000000001</v>
      </c>
      <c r="BN155" s="81">
        <f>IFERROR(Y155*I155,"0")</f>
        <v>259.25200000000001</v>
      </c>
      <c r="BO155" s="81">
        <f>IFERROR(X155/J155,"0")</f>
        <v>1</v>
      </c>
      <c r="BP155" s="81">
        <f>IFERROR(Y155/J155,"0")</f>
        <v>1</v>
      </c>
    </row>
    <row r="156" spans="1:68" x14ac:dyDescent="0.2">
      <c r="A156" s="376"/>
      <c r="B156" s="376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7"/>
      <c r="P156" s="373" t="s">
        <v>40</v>
      </c>
      <c r="Q156" s="374"/>
      <c r="R156" s="374"/>
      <c r="S156" s="374"/>
      <c r="T156" s="374"/>
      <c r="U156" s="374"/>
      <c r="V156" s="375"/>
      <c r="W156" s="42" t="s">
        <v>39</v>
      </c>
      <c r="X156" s="43">
        <f>IFERROR(SUM(X154:X155),"0")</f>
        <v>84</v>
      </c>
      <c r="Y156" s="43">
        <f>IFERROR(SUM(Y154:Y155),"0")</f>
        <v>84</v>
      </c>
      <c r="Z156" s="43">
        <f>IFERROR(IF(Z154="",0,Z154),"0")+IFERROR(IF(Z155="",0,Z155),"0")</f>
        <v>1.5019200000000001</v>
      </c>
      <c r="AA156" s="67"/>
      <c r="AB156" s="67"/>
      <c r="AC156" s="67"/>
    </row>
    <row r="157" spans="1:68" x14ac:dyDescent="0.2">
      <c r="A157" s="376"/>
      <c r="B157" s="376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7"/>
      <c r="P157" s="373" t="s">
        <v>40</v>
      </c>
      <c r="Q157" s="374"/>
      <c r="R157" s="374"/>
      <c r="S157" s="374"/>
      <c r="T157" s="374"/>
      <c r="U157" s="374"/>
      <c r="V157" s="375"/>
      <c r="W157" s="42" t="s">
        <v>0</v>
      </c>
      <c r="X157" s="43">
        <f>IFERROR(SUMPRODUCT(X154:X155*H154:H155),"0")</f>
        <v>252</v>
      </c>
      <c r="Y157" s="43">
        <f>IFERROR(SUMPRODUCT(Y154:Y155*H154:H155),"0")</f>
        <v>252</v>
      </c>
      <c r="Z157" s="42"/>
      <c r="AA157" s="67"/>
      <c r="AB157" s="67"/>
      <c r="AC157" s="67"/>
    </row>
    <row r="158" spans="1:68" ht="16.5" hidden="1" customHeight="1" x14ac:dyDescent="0.25">
      <c r="A158" s="360" t="s">
        <v>262</v>
      </c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  <c r="Z158" s="360"/>
      <c r="AA158" s="65"/>
      <c r="AB158" s="65"/>
      <c r="AC158" s="82"/>
    </row>
    <row r="159" spans="1:68" ht="14.25" hidden="1" customHeight="1" x14ac:dyDescent="0.25">
      <c r="A159" s="361" t="s">
        <v>157</v>
      </c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  <c r="AA159" s="66"/>
      <c r="AB159" s="66"/>
      <c r="AC159" s="83"/>
    </row>
    <row r="160" spans="1:68" ht="27" customHeight="1" x14ac:dyDescent="0.25">
      <c r="A160" s="63" t="s">
        <v>263</v>
      </c>
      <c r="B160" s="63" t="s">
        <v>264</v>
      </c>
      <c r="C160" s="36">
        <v>4301135753</v>
      </c>
      <c r="D160" s="362">
        <v>4620207490914</v>
      </c>
      <c r="E160" s="36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4"/>
      <c r="R160" s="364"/>
      <c r="S160" s="364"/>
      <c r="T160" s="365"/>
      <c r="U160" s="39" t="s">
        <v>46</v>
      </c>
      <c r="V160" s="39" t="s">
        <v>46</v>
      </c>
      <c r="W160" s="40" t="s">
        <v>39</v>
      </c>
      <c r="X160" s="58">
        <v>56</v>
      </c>
      <c r="Y160" s="55">
        <f>IFERROR(IF(X160="","",X160),"")</f>
        <v>56</v>
      </c>
      <c r="Z160" s="41">
        <f>IFERROR(IF(X160="","",X160*0.01788),"")</f>
        <v>1.0012799999999999</v>
      </c>
      <c r="AA160" s="68" t="s">
        <v>46</v>
      </c>
      <c r="AB160" s="69" t="s">
        <v>46</v>
      </c>
      <c r="AC160" s="207" t="s">
        <v>252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150.08000000000001</v>
      </c>
      <c r="BN160" s="81">
        <f>IFERROR(Y160*I160,"0")</f>
        <v>150.08000000000001</v>
      </c>
      <c r="BO160" s="81">
        <f>IFERROR(X160/J160,"0")</f>
        <v>0.8</v>
      </c>
      <c r="BP160" s="81">
        <f>IFERROR(Y160/J160,"0")</f>
        <v>0.8</v>
      </c>
    </row>
    <row r="161" spans="1:68" ht="27" customHeight="1" x14ac:dyDescent="0.25">
      <c r="A161" s="63" t="s">
        <v>265</v>
      </c>
      <c r="B161" s="63" t="s">
        <v>266</v>
      </c>
      <c r="C161" s="36">
        <v>4301135778</v>
      </c>
      <c r="D161" s="362">
        <v>4620207490853</v>
      </c>
      <c r="E161" s="36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119</v>
      </c>
      <c r="M161" s="38" t="s">
        <v>86</v>
      </c>
      <c r="N161" s="38"/>
      <c r="O161" s="37">
        <v>180</v>
      </c>
      <c r="P161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4"/>
      <c r="R161" s="364"/>
      <c r="S161" s="364"/>
      <c r="T161" s="365"/>
      <c r="U161" s="39" t="s">
        <v>46</v>
      </c>
      <c r="V161" s="39" t="s">
        <v>46</v>
      </c>
      <c r="W161" s="40" t="s">
        <v>39</v>
      </c>
      <c r="X161" s="58">
        <v>56</v>
      </c>
      <c r="Y161" s="55">
        <f>IFERROR(IF(X161="","",X161),"")</f>
        <v>56</v>
      </c>
      <c r="Z161" s="41">
        <f>IFERROR(IF(X161="","",X161*0.01788),"")</f>
        <v>1.0012799999999999</v>
      </c>
      <c r="AA161" s="68" t="s">
        <v>46</v>
      </c>
      <c r="AB161" s="69" t="s">
        <v>46</v>
      </c>
      <c r="AC161" s="209" t="s">
        <v>252</v>
      </c>
      <c r="AG161" s="81"/>
      <c r="AJ161" s="87" t="s">
        <v>120</v>
      </c>
      <c r="AK161" s="87">
        <v>14</v>
      </c>
      <c r="BB161" s="210" t="s">
        <v>117</v>
      </c>
      <c r="BM161" s="81">
        <f>IFERROR(X161*I161,"0")</f>
        <v>150.08000000000001</v>
      </c>
      <c r="BN161" s="81">
        <f>IFERROR(Y161*I161,"0")</f>
        <v>150.08000000000001</v>
      </c>
      <c r="BO161" s="81">
        <f>IFERROR(X161/J161,"0")</f>
        <v>0.8</v>
      </c>
      <c r="BP161" s="81">
        <f>IFERROR(Y161/J161,"0")</f>
        <v>0.8</v>
      </c>
    </row>
    <row r="162" spans="1:68" x14ac:dyDescent="0.2">
      <c r="A162" s="376"/>
      <c r="B162" s="376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7"/>
      <c r="P162" s="373" t="s">
        <v>40</v>
      </c>
      <c r="Q162" s="374"/>
      <c r="R162" s="374"/>
      <c r="S162" s="374"/>
      <c r="T162" s="374"/>
      <c r="U162" s="374"/>
      <c r="V162" s="375"/>
      <c r="W162" s="42" t="s">
        <v>39</v>
      </c>
      <c r="X162" s="43">
        <f>IFERROR(SUM(X160:X161),"0")</f>
        <v>112</v>
      </c>
      <c r="Y162" s="43">
        <f>IFERROR(SUM(Y160:Y161),"0")</f>
        <v>112</v>
      </c>
      <c r="Z162" s="43">
        <f>IFERROR(IF(Z160="",0,Z160),"0")+IFERROR(IF(Z161="",0,Z161),"0")</f>
        <v>2.0025599999999999</v>
      </c>
      <c r="AA162" s="67"/>
      <c r="AB162" s="67"/>
      <c r="AC162" s="67"/>
    </row>
    <row r="163" spans="1:68" x14ac:dyDescent="0.2">
      <c r="A163" s="376"/>
      <c r="B163" s="376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7"/>
      <c r="P163" s="373" t="s">
        <v>40</v>
      </c>
      <c r="Q163" s="374"/>
      <c r="R163" s="374"/>
      <c r="S163" s="374"/>
      <c r="T163" s="374"/>
      <c r="U163" s="374"/>
      <c r="V163" s="375"/>
      <c r="W163" s="42" t="s">
        <v>0</v>
      </c>
      <c r="X163" s="43">
        <f>IFERROR(SUMPRODUCT(X160:X161*H160:H161),"0")</f>
        <v>268.8</v>
      </c>
      <c r="Y163" s="43">
        <f>IFERROR(SUMPRODUCT(Y160:Y161*H160:H161),"0")</f>
        <v>268.8</v>
      </c>
      <c r="Z163" s="42"/>
      <c r="AA163" s="67"/>
      <c r="AB163" s="67"/>
      <c r="AC163" s="67"/>
    </row>
    <row r="164" spans="1:68" ht="16.5" hidden="1" customHeight="1" x14ac:dyDescent="0.25">
      <c r="A164" s="360" t="s">
        <v>267</v>
      </c>
      <c r="B164" s="360"/>
      <c r="C164" s="360"/>
      <c r="D164" s="360"/>
      <c r="E164" s="360"/>
      <c r="F164" s="360"/>
      <c r="G164" s="360"/>
      <c r="H164" s="360"/>
      <c r="I164" s="360"/>
      <c r="J164" s="360"/>
      <c r="K164" s="360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0"/>
      <c r="W164" s="360"/>
      <c r="X164" s="360"/>
      <c r="Y164" s="360"/>
      <c r="Z164" s="360"/>
      <c r="AA164" s="65"/>
      <c r="AB164" s="65"/>
      <c r="AC164" s="82"/>
    </row>
    <row r="165" spans="1:68" ht="14.25" hidden="1" customHeight="1" x14ac:dyDescent="0.25">
      <c r="A165" s="361" t="s">
        <v>157</v>
      </c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  <c r="AA165" s="66"/>
      <c r="AB165" s="66"/>
      <c r="AC165" s="83"/>
    </row>
    <row r="166" spans="1:68" ht="27" customHeight="1" x14ac:dyDescent="0.25">
      <c r="A166" s="63" t="s">
        <v>268</v>
      </c>
      <c r="B166" s="63" t="s">
        <v>269</v>
      </c>
      <c r="C166" s="36">
        <v>4301135570</v>
      </c>
      <c r="D166" s="362">
        <v>4607111035806</v>
      </c>
      <c r="E166" s="362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118</v>
      </c>
      <c r="L166" s="37" t="s">
        <v>119</v>
      </c>
      <c r="M166" s="38" t="s">
        <v>86</v>
      </c>
      <c r="N166" s="38"/>
      <c r="O166" s="37">
        <v>180</v>
      </c>
      <c r="P166" s="43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4"/>
      <c r="R166" s="364"/>
      <c r="S166" s="364"/>
      <c r="T166" s="365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1" t="s">
        <v>270</v>
      </c>
      <c r="AG166" s="81"/>
      <c r="AJ166" s="87" t="s">
        <v>120</v>
      </c>
      <c r="AK166" s="87">
        <v>14</v>
      </c>
      <c r="BB166" s="212" t="s">
        <v>117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376"/>
      <c r="B167" s="376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7"/>
      <c r="P167" s="373" t="s">
        <v>40</v>
      </c>
      <c r="Q167" s="374"/>
      <c r="R167" s="374"/>
      <c r="S167" s="374"/>
      <c r="T167" s="374"/>
      <c r="U167" s="374"/>
      <c r="V167" s="375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376"/>
      <c r="B168" s="376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7"/>
      <c r="P168" s="373" t="s">
        <v>40</v>
      </c>
      <c r="Q168" s="374"/>
      <c r="R168" s="374"/>
      <c r="S168" s="374"/>
      <c r="T168" s="374"/>
      <c r="U168" s="374"/>
      <c r="V168" s="375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hidden="1" customHeight="1" x14ac:dyDescent="0.25">
      <c r="A169" s="360" t="s">
        <v>271</v>
      </c>
      <c r="B169" s="360"/>
      <c r="C169" s="360"/>
      <c r="D169" s="360"/>
      <c r="E169" s="360"/>
      <c r="F169" s="360"/>
      <c r="G169" s="360"/>
      <c r="H169" s="360"/>
      <c r="I169" s="360"/>
      <c r="J169" s="360"/>
      <c r="K169" s="360"/>
      <c r="L169" s="360"/>
      <c r="M169" s="360"/>
      <c r="N169" s="360"/>
      <c r="O169" s="360"/>
      <c r="P169" s="360"/>
      <c r="Q169" s="360"/>
      <c r="R169" s="360"/>
      <c r="S169" s="360"/>
      <c r="T169" s="360"/>
      <c r="U169" s="360"/>
      <c r="V169" s="360"/>
      <c r="W169" s="360"/>
      <c r="X169" s="360"/>
      <c r="Y169" s="360"/>
      <c r="Z169" s="360"/>
      <c r="AA169" s="65"/>
      <c r="AB169" s="65"/>
      <c r="AC169" s="82"/>
    </row>
    <row r="170" spans="1:68" ht="14.25" hidden="1" customHeight="1" x14ac:dyDescent="0.25">
      <c r="A170" s="361" t="s">
        <v>157</v>
      </c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  <c r="AA170" s="66"/>
      <c r="AB170" s="66"/>
      <c r="AC170" s="83"/>
    </row>
    <row r="171" spans="1:68" ht="16.5" hidden="1" customHeight="1" x14ac:dyDescent="0.25">
      <c r="A171" s="63" t="s">
        <v>272</v>
      </c>
      <c r="B171" s="63" t="s">
        <v>273</v>
      </c>
      <c r="C171" s="36">
        <v>4301135607</v>
      </c>
      <c r="D171" s="362">
        <v>4607111039613</v>
      </c>
      <c r="E171" s="362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118</v>
      </c>
      <c r="L171" s="37" t="s">
        <v>119</v>
      </c>
      <c r="M171" s="38" t="s">
        <v>86</v>
      </c>
      <c r="N171" s="38"/>
      <c r="O171" s="37">
        <v>180</v>
      </c>
      <c r="P171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4"/>
      <c r="R171" s="364"/>
      <c r="S171" s="364"/>
      <c r="T171" s="365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258</v>
      </c>
      <c r="AG171" s="81"/>
      <c r="AJ171" s="87" t="s">
        <v>120</v>
      </c>
      <c r="AK171" s="87">
        <v>14</v>
      </c>
      <c r="BB171" s="214" t="s">
        <v>117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76"/>
      <c r="B172" s="376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7"/>
      <c r="P172" s="373" t="s">
        <v>40</v>
      </c>
      <c r="Q172" s="374"/>
      <c r="R172" s="374"/>
      <c r="S172" s="374"/>
      <c r="T172" s="374"/>
      <c r="U172" s="374"/>
      <c r="V172" s="37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76"/>
      <c r="B173" s="376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7"/>
      <c r="P173" s="373" t="s">
        <v>40</v>
      </c>
      <c r="Q173" s="374"/>
      <c r="R173" s="374"/>
      <c r="S173" s="374"/>
      <c r="T173" s="374"/>
      <c r="U173" s="374"/>
      <c r="V173" s="37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60" t="s">
        <v>274</v>
      </c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65"/>
      <c r="AB174" s="65"/>
      <c r="AC174" s="82"/>
    </row>
    <row r="175" spans="1:68" ht="14.25" hidden="1" customHeight="1" x14ac:dyDescent="0.25">
      <c r="A175" s="361" t="s">
        <v>157</v>
      </c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66"/>
      <c r="AB175" s="66"/>
      <c r="AC175" s="83"/>
    </row>
    <row r="176" spans="1:68" ht="27" hidden="1" customHeight="1" x14ac:dyDescent="0.25">
      <c r="A176" s="63" t="s">
        <v>275</v>
      </c>
      <c r="B176" s="63" t="s">
        <v>276</v>
      </c>
      <c r="C176" s="36">
        <v>4301135591</v>
      </c>
      <c r="D176" s="362">
        <v>4607111036568</v>
      </c>
      <c r="E176" s="362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118</v>
      </c>
      <c r="L176" s="37" t="s">
        <v>88</v>
      </c>
      <c r="M176" s="38" t="s">
        <v>86</v>
      </c>
      <c r="N176" s="38"/>
      <c r="O176" s="37">
        <v>180</v>
      </c>
      <c r="P176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4"/>
      <c r="R176" s="364"/>
      <c r="S176" s="364"/>
      <c r="T176" s="365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277</v>
      </c>
      <c r="AG176" s="81"/>
      <c r="AJ176" s="87" t="s">
        <v>89</v>
      </c>
      <c r="AK176" s="87">
        <v>1</v>
      </c>
      <c r="BB176" s="216" t="s">
        <v>117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idden="1" x14ac:dyDescent="0.2">
      <c r="A177" s="376"/>
      <c r="B177" s="376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7"/>
      <c r="P177" s="373" t="s">
        <v>40</v>
      </c>
      <c r="Q177" s="374"/>
      <c r="R177" s="374"/>
      <c r="S177" s="374"/>
      <c r="T177" s="374"/>
      <c r="U177" s="374"/>
      <c r="V177" s="375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hidden="1" x14ac:dyDescent="0.2">
      <c r="A178" s="376"/>
      <c r="B178" s="376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7"/>
      <c r="P178" s="373" t="s">
        <v>40</v>
      </c>
      <c r="Q178" s="374"/>
      <c r="R178" s="374"/>
      <c r="S178" s="374"/>
      <c r="T178" s="374"/>
      <c r="U178" s="374"/>
      <c r="V178" s="375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hidden="1" customHeight="1" x14ac:dyDescent="0.2">
      <c r="A179" s="359" t="s">
        <v>278</v>
      </c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  <c r="AA179" s="54"/>
      <c r="AB179" s="54"/>
      <c r="AC179" s="54"/>
    </row>
    <row r="180" spans="1:68" ht="16.5" hidden="1" customHeight="1" x14ac:dyDescent="0.25">
      <c r="A180" s="360" t="s">
        <v>279</v>
      </c>
      <c r="B180" s="360"/>
      <c r="C180" s="360"/>
      <c r="D180" s="360"/>
      <c r="E180" s="360"/>
      <c r="F180" s="360"/>
      <c r="G180" s="360"/>
      <c r="H180" s="360"/>
      <c r="I180" s="360"/>
      <c r="J180" s="360"/>
      <c r="K180" s="360"/>
      <c r="L180" s="360"/>
      <c r="M180" s="360"/>
      <c r="N180" s="360"/>
      <c r="O180" s="360"/>
      <c r="P180" s="360"/>
      <c r="Q180" s="360"/>
      <c r="R180" s="360"/>
      <c r="S180" s="360"/>
      <c r="T180" s="360"/>
      <c r="U180" s="360"/>
      <c r="V180" s="360"/>
      <c r="W180" s="360"/>
      <c r="X180" s="360"/>
      <c r="Y180" s="360"/>
      <c r="Z180" s="360"/>
      <c r="AA180" s="65"/>
      <c r="AB180" s="65"/>
      <c r="AC180" s="82"/>
    </row>
    <row r="181" spans="1:68" ht="14.25" hidden="1" customHeight="1" x14ac:dyDescent="0.25">
      <c r="A181" s="361" t="s">
        <v>82</v>
      </c>
      <c r="B181" s="361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  <c r="AA181" s="66"/>
      <c r="AB181" s="66"/>
      <c r="AC181" s="83"/>
    </row>
    <row r="182" spans="1:68" ht="16.5" hidden="1" customHeight="1" x14ac:dyDescent="0.25">
      <c r="A182" s="63" t="s">
        <v>280</v>
      </c>
      <c r="B182" s="63" t="s">
        <v>281</v>
      </c>
      <c r="C182" s="36">
        <v>4301071062</v>
      </c>
      <c r="D182" s="362">
        <v>4607111036384</v>
      </c>
      <c r="E182" s="362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87</v>
      </c>
      <c r="L182" s="37" t="s">
        <v>119</v>
      </c>
      <c r="M182" s="38" t="s">
        <v>86</v>
      </c>
      <c r="N182" s="38"/>
      <c r="O182" s="37">
        <v>180</v>
      </c>
      <c r="P182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4"/>
      <c r="R182" s="364"/>
      <c r="S182" s="364"/>
      <c r="T182" s="36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120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4301071050</v>
      </c>
      <c r="D183" s="362">
        <v>4607111036216</v>
      </c>
      <c r="E183" s="362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4"/>
      <c r="R183" s="364"/>
      <c r="S183" s="364"/>
      <c r="T183" s="365"/>
      <c r="U183" s="39" t="s">
        <v>46</v>
      </c>
      <c r="V183" s="39" t="s">
        <v>46</v>
      </c>
      <c r="W183" s="40" t="s">
        <v>39</v>
      </c>
      <c r="X183" s="58">
        <v>36</v>
      </c>
      <c r="Y183" s="55">
        <f>IFERROR(IF(X183="","",X183),"")</f>
        <v>36</v>
      </c>
      <c r="Z183" s="41">
        <f>IFERROR(IF(X183="","",X183*0.00866),"")</f>
        <v>0.31175999999999998</v>
      </c>
      <c r="AA183" s="68" t="s">
        <v>46</v>
      </c>
      <c r="AB183" s="69" t="s">
        <v>46</v>
      </c>
      <c r="AC183" s="219" t="s">
        <v>285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187.67519999999999</v>
      </c>
      <c r="BN183" s="81">
        <f>IFERROR(Y183*I183,"0")</f>
        <v>187.67519999999999</v>
      </c>
      <c r="BO183" s="81">
        <f>IFERROR(X183/J183,"0")</f>
        <v>0.25</v>
      </c>
      <c r="BP183" s="81">
        <f>IFERROR(Y183/J183,"0")</f>
        <v>0.25</v>
      </c>
    </row>
    <row r="184" spans="1:68" x14ac:dyDescent="0.2">
      <c r="A184" s="376"/>
      <c r="B184" s="376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7"/>
      <c r="P184" s="373" t="s">
        <v>40</v>
      </c>
      <c r="Q184" s="374"/>
      <c r="R184" s="374"/>
      <c r="S184" s="374"/>
      <c r="T184" s="374"/>
      <c r="U184" s="374"/>
      <c r="V184" s="375"/>
      <c r="W184" s="42" t="s">
        <v>39</v>
      </c>
      <c r="X184" s="43">
        <f>IFERROR(SUM(X182:X183),"0")</f>
        <v>36</v>
      </c>
      <c r="Y184" s="43">
        <f>IFERROR(SUM(Y182:Y183),"0")</f>
        <v>36</v>
      </c>
      <c r="Z184" s="43">
        <f>IFERROR(IF(Z182="",0,Z182),"0")+IFERROR(IF(Z183="",0,Z183),"0")</f>
        <v>0.31175999999999998</v>
      </c>
      <c r="AA184" s="67"/>
      <c r="AB184" s="67"/>
      <c r="AC184" s="67"/>
    </row>
    <row r="185" spans="1:68" x14ac:dyDescent="0.2">
      <c r="A185" s="376"/>
      <c r="B185" s="376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7"/>
      <c r="P185" s="373" t="s">
        <v>40</v>
      </c>
      <c r="Q185" s="374"/>
      <c r="R185" s="374"/>
      <c r="S185" s="374"/>
      <c r="T185" s="374"/>
      <c r="U185" s="374"/>
      <c r="V185" s="375"/>
      <c r="W185" s="42" t="s">
        <v>0</v>
      </c>
      <c r="X185" s="43">
        <f>IFERROR(SUMPRODUCT(X182:X183*H182:H183),"0")</f>
        <v>180</v>
      </c>
      <c r="Y185" s="43">
        <f>IFERROR(SUMPRODUCT(Y182:Y183*H182:H183),"0")</f>
        <v>180</v>
      </c>
      <c r="Z185" s="42"/>
      <c r="AA185" s="67"/>
      <c r="AB185" s="67"/>
      <c r="AC185" s="67"/>
    </row>
    <row r="186" spans="1:68" ht="14.25" hidden="1" customHeight="1" x14ac:dyDescent="0.25">
      <c r="A186" s="361" t="s">
        <v>286</v>
      </c>
      <c r="B186" s="361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  <c r="AA186" s="66"/>
      <c r="AB186" s="66"/>
      <c r="AC186" s="83"/>
    </row>
    <row r="187" spans="1:68" ht="27" hidden="1" customHeight="1" x14ac:dyDescent="0.25">
      <c r="A187" s="63" t="s">
        <v>287</v>
      </c>
      <c r="B187" s="63" t="s">
        <v>288</v>
      </c>
      <c r="C187" s="36">
        <v>4301080153</v>
      </c>
      <c r="D187" s="362">
        <v>4607111036827</v>
      </c>
      <c r="E187" s="362"/>
      <c r="F187" s="62">
        <v>1</v>
      </c>
      <c r="G187" s="37">
        <v>5</v>
      </c>
      <c r="H187" s="62">
        <v>5</v>
      </c>
      <c r="I187" s="62">
        <v>5.2</v>
      </c>
      <c r="J187" s="37">
        <v>144</v>
      </c>
      <c r="K187" s="37" t="s">
        <v>87</v>
      </c>
      <c r="L187" s="37" t="s">
        <v>88</v>
      </c>
      <c r="M187" s="38" t="s">
        <v>86</v>
      </c>
      <c r="N187" s="38"/>
      <c r="O187" s="37">
        <v>90</v>
      </c>
      <c r="P187" s="436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364"/>
      <c r="R187" s="364"/>
      <c r="S187" s="364"/>
      <c r="T187" s="36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1" t="s">
        <v>289</v>
      </c>
      <c r="AG187" s="81"/>
      <c r="AJ187" s="87" t="s">
        <v>89</v>
      </c>
      <c r="AK187" s="87">
        <v>1</v>
      </c>
      <c r="BB187" s="222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idden="1" x14ac:dyDescent="0.2">
      <c r="A188" s="376"/>
      <c r="B188" s="376"/>
      <c r="C188" s="376"/>
      <c r="D188" s="376"/>
      <c r="E188" s="376"/>
      <c r="F188" s="376"/>
      <c r="G188" s="376"/>
      <c r="H188" s="376"/>
      <c r="I188" s="376"/>
      <c r="J188" s="376"/>
      <c r="K188" s="376"/>
      <c r="L188" s="376"/>
      <c r="M188" s="376"/>
      <c r="N188" s="376"/>
      <c r="O188" s="377"/>
      <c r="P188" s="373" t="s">
        <v>40</v>
      </c>
      <c r="Q188" s="374"/>
      <c r="R188" s="374"/>
      <c r="S188" s="374"/>
      <c r="T188" s="374"/>
      <c r="U188" s="374"/>
      <c r="V188" s="375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hidden="1" x14ac:dyDescent="0.2">
      <c r="A189" s="376"/>
      <c r="B189" s="376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7"/>
      <c r="P189" s="373" t="s">
        <v>40</v>
      </c>
      <c r="Q189" s="374"/>
      <c r="R189" s="374"/>
      <c r="S189" s="374"/>
      <c r="T189" s="374"/>
      <c r="U189" s="374"/>
      <c r="V189" s="375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hidden="1" customHeight="1" x14ac:dyDescent="0.2">
      <c r="A190" s="359" t="s">
        <v>290</v>
      </c>
      <c r="B190" s="359"/>
      <c r="C190" s="359"/>
      <c r="D190" s="359"/>
      <c r="E190" s="359"/>
      <c r="F190" s="359"/>
      <c r="G190" s="359"/>
      <c r="H190" s="359"/>
      <c r="I190" s="359"/>
      <c r="J190" s="359"/>
      <c r="K190" s="359"/>
      <c r="L190" s="359"/>
      <c r="M190" s="359"/>
      <c r="N190" s="359"/>
      <c r="O190" s="359"/>
      <c r="P190" s="359"/>
      <c r="Q190" s="359"/>
      <c r="R190" s="359"/>
      <c r="S190" s="359"/>
      <c r="T190" s="359"/>
      <c r="U190" s="359"/>
      <c r="V190" s="359"/>
      <c r="W190" s="359"/>
      <c r="X190" s="359"/>
      <c r="Y190" s="359"/>
      <c r="Z190" s="359"/>
      <c r="AA190" s="54"/>
      <c r="AB190" s="54"/>
      <c r="AC190" s="54"/>
    </row>
    <row r="191" spans="1:68" ht="16.5" hidden="1" customHeight="1" x14ac:dyDescent="0.25">
      <c r="A191" s="360" t="s">
        <v>291</v>
      </c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0"/>
      <c r="P191" s="360"/>
      <c r="Q191" s="360"/>
      <c r="R191" s="360"/>
      <c r="S191" s="360"/>
      <c r="T191" s="360"/>
      <c r="U191" s="360"/>
      <c r="V191" s="360"/>
      <c r="W191" s="360"/>
      <c r="X191" s="360"/>
      <c r="Y191" s="360"/>
      <c r="Z191" s="360"/>
      <c r="AA191" s="65"/>
      <c r="AB191" s="65"/>
      <c r="AC191" s="82"/>
    </row>
    <row r="192" spans="1:68" ht="14.25" hidden="1" customHeight="1" x14ac:dyDescent="0.25">
      <c r="A192" s="361" t="s">
        <v>113</v>
      </c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1"/>
      <c r="S192" s="361"/>
      <c r="T192" s="361"/>
      <c r="U192" s="361"/>
      <c r="V192" s="361"/>
      <c r="W192" s="361"/>
      <c r="X192" s="361"/>
      <c r="Y192" s="361"/>
      <c r="Z192" s="361"/>
      <c r="AA192" s="66"/>
      <c r="AB192" s="66"/>
      <c r="AC192" s="83"/>
    </row>
    <row r="193" spans="1:68" ht="16.5" customHeight="1" x14ac:dyDescent="0.25">
      <c r="A193" s="63" t="s">
        <v>292</v>
      </c>
      <c r="B193" s="63" t="s">
        <v>293</v>
      </c>
      <c r="C193" s="36">
        <v>4301132179</v>
      </c>
      <c r="D193" s="362">
        <v>4607111035691</v>
      </c>
      <c r="E193" s="362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365</v>
      </c>
      <c r="P193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154</v>
      </c>
      <c r="Y193" s="55">
        <f>IFERROR(IF(X193="","",X193),"")</f>
        <v>154</v>
      </c>
      <c r="Z193" s="41">
        <f>IFERROR(IF(X193="","",X193*0.01788),"")</f>
        <v>2.75352</v>
      </c>
      <c r="AA193" s="68" t="s">
        <v>46</v>
      </c>
      <c r="AB193" s="69" t="s">
        <v>46</v>
      </c>
      <c r="AC193" s="223" t="s">
        <v>294</v>
      </c>
      <c r="AG193" s="81"/>
      <c r="AJ193" s="87" t="s">
        <v>120</v>
      </c>
      <c r="AK193" s="87">
        <v>14</v>
      </c>
      <c r="BB193" s="224" t="s">
        <v>117</v>
      </c>
      <c r="BM193" s="81">
        <f>IFERROR(X193*I193,"0")</f>
        <v>521.75199999999995</v>
      </c>
      <c r="BN193" s="81">
        <f>IFERROR(Y193*I193,"0")</f>
        <v>521.75199999999995</v>
      </c>
      <c r="BO193" s="81">
        <f>IFERROR(X193/J193,"0")</f>
        <v>2.2000000000000002</v>
      </c>
      <c r="BP193" s="81">
        <f>IFERROR(Y193/J193,"0")</f>
        <v>2.2000000000000002</v>
      </c>
    </row>
    <row r="194" spans="1:68" ht="27" customHeight="1" x14ac:dyDescent="0.25">
      <c r="A194" s="63" t="s">
        <v>295</v>
      </c>
      <c r="B194" s="63" t="s">
        <v>296</v>
      </c>
      <c r="C194" s="36">
        <v>4301132182</v>
      </c>
      <c r="D194" s="362">
        <v>4607111035721</v>
      </c>
      <c r="E194" s="362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118</v>
      </c>
      <c r="L194" s="37" t="s">
        <v>119</v>
      </c>
      <c r="M194" s="38" t="s">
        <v>86</v>
      </c>
      <c r="N194" s="38"/>
      <c r="O194" s="37">
        <v>365</v>
      </c>
      <c r="P194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168</v>
      </c>
      <c r="Y194" s="55">
        <f>IFERROR(IF(X194="","",X194),"")</f>
        <v>168</v>
      </c>
      <c r="Z194" s="41">
        <f>IFERROR(IF(X194="","",X194*0.01788),"")</f>
        <v>3.0038399999999998</v>
      </c>
      <c r="AA194" s="68" t="s">
        <v>46</v>
      </c>
      <c r="AB194" s="69" t="s">
        <v>46</v>
      </c>
      <c r="AC194" s="225" t="s">
        <v>297</v>
      </c>
      <c r="AG194" s="81"/>
      <c r="AJ194" s="87" t="s">
        <v>120</v>
      </c>
      <c r="AK194" s="87">
        <v>14</v>
      </c>
      <c r="BB194" s="226" t="s">
        <v>117</v>
      </c>
      <c r="BM194" s="81">
        <f>IFERROR(X194*I194,"0")</f>
        <v>569.18399999999997</v>
      </c>
      <c r="BN194" s="81">
        <f>IFERROR(Y194*I194,"0")</f>
        <v>569.18399999999997</v>
      </c>
      <c r="BO194" s="81">
        <f>IFERROR(X194/J194,"0")</f>
        <v>2.4</v>
      </c>
      <c r="BP194" s="81">
        <f>IFERROR(Y194/J194,"0")</f>
        <v>2.4</v>
      </c>
    </row>
    <row r="195" spans="1:68" ht="27" customHeight="1" x14ac:dyDescent="0.25">
      <c r="A195" s="63" t="s">
        <v>298</v>
      </c>
      <c r="B195" s="63" t="s">
        <v>299</v>
      </c>
      <c r="C195" s="36">
        <v>4301132170</v>
      </c>
      <c r="D195" s="362">
        <v>4607111038487</v>
      </c>
      <c r="E195" s="362"/>
      <c r="F195" s="62">
        <v>0.25</v>
      </c>
      <c r="G195" s="37">
        <v>12</v>
      </c>
      <c r="H195" s="62">
        <v>3</v>
      </c>
      <c r="I195" s="62">
        <v>3.7360000000000002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180</v>
      </c>
      <c r="P195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364"/>
      <c r="R195" s="364"/>
      <c r="S195" s="364"/>
      <c r="T195" s="365"/>
      <c r="U195" s="39" t="s">
        <v>46</v>
      </c>
      <c r="V195" s="39" t="s">
        <v>46</v>
      </c>
      <c r="W195" s="40" t="s">
        <v>39</v>
      </c>
      <c r="X195" s="58">
        <v>112</v>
      </c>
      <c r="Y195" s="55">
        <f>IFERROR(IF(X195="","",X195),"")</f>
        <v>112</v>
      </c>
      <c r="Z195" s="41">
        <f>IFERROR(IF(X195="","",X195*0.01788),"")</f>
        <v>2.0025599999999999</v>
      </c>
      <c r="AA195" s="68" t="s">
        <v>46</v>
      </c>
      <c r="AB195" s="69" t="s">
        <v>46</v>
      </c>
      <c r="AC195" s="227" t="s">
        <v>300</v>
      </c>
      <c r="AG195" s="81"/>
      <c r="AJ195" s="87" t="s">
        <v>120</v>
      </c>
      <c r="AK195" s="87">
        <v>14</v>
      </c>
      <c r="BB195" s="228" t="s">
        <v>117</v>
      </c>
      <c r="BM195" s="81">
        <f>IFERROR(X195*I195,"0")</f>
        <v>418.43200000000002</v>
      </c>
      <c r="BN195" s="81">
        <f>IFERROR(Y195*I195,"0")</f>
        <v>418.43200000000002</v>
      </c>
      <c r="BO195" s="81">
        <f>IFERROR(X195/J195,"0")</f>
        <v>1.6</v>
      </c>
      <c r="BP195" s="81">
        <f>IFERROR(Y195/J195,"0")</f>
        <v>1.6</v>
      </c>
    </row>
    <row r="196" spans="1:68" ht="27" customHeight="1" x14ac:dyDescent="0.25">
      <c r="A196" s="63" t="s">
        <v>301</v>
      </c>
      <c r="B196" s="63" t="s">
        <v>302</v>
      </c>
      <c r="C196" s="36">
        <v>4301132243</v>
      </c>
      <c r="D196" s="362">
        <v>4620207491195</v>
      </c>
      <c r="E196" s="362"/>
      <c r="F196" s="62">
        <v>0.23</v>
      </c>
      <c r="G196" s="37">
        <v>12</v>
      </c>
      <c r="H196" s="62">
        <v>2.76</v>
      </c>
      <c r="I196" s="62">
        <v>3.1480000000000001</v>
      </c>
      <c r="J196" s="37">
        <v>70</v>
      </c>
      <c r="K196" s="37" t="s">
        <v>118</v>
      </c>
      <c r="L196" s="37" t="s">
        <v>88</v>
      </c>
      <c r="M196" s="38" t="s">
        <v>86</v>
      </c>
      <c r="N196" s="38"/>
      <c r="O196" s="37">
        <v>180</v>
      </c>
      <c r="P196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364"/>
      <c r="R196" s="364"/>
      <c r="S196" s="364"/>
      <c r="T196" s="365"/>
      <c r="U196" s="39" t="s">
        <v>46</v>
      </c>
      <c r="V196" s="39" t="s">
        <v>46</v>
      </c>
      <c r="W196" s="40" t="s">
        <v>39</v>
      </c>
      <c r="X196" s="58">
        <v>28</v>
      </c>
      <c r="Y196" s="55">
        <f>IFERROR(IF(X196="","",X196),"")</f>
        <v>28</v>
      </c>
      <c r="Z196" s="41">
        <f>IFERROR(IF(X196="","",X196*0.01788),"")</f>
        <v>0.50063999999999997</v>
      </c>
      <c r="AA196" s="68" t="s">
        <v>46</v>
      </c>
      <c r="AB196" s="69" t="s">
        <v>46</v>
      </c>
      <c r="AC196" s="229" t="s">
        <v>303</v>
      </c>
      <c r="AG196" s="81"/>
      <c r="AJ196" s="87" t="s">
        <v>89</v>
      </c>
      <c r="AK196" s="87">
        <v>1</v>
      </c>
      <c r="BB196" s="230" t="s">
        <v>117</v>
      </c>
      <c r="BM196" s="81">
        <f>IFERROR(X196*I196,"0")</f>
        <v>88.144000000000005</v>
      </c>
      <c r="BN196" s="81">
        <f>IFERROR(Y196*I196,"0")</f>
        <v>88.144000000000005</v>
      </c>
      <c r="BO196" s="81">
        <f>IFERROR(X196/J196,"0")</f>
        <v>0.4</v>
      </c>
      <c r="BP196" s="81">
        <f>IFERROR(Y196/J196,"0")</f>
        <v>0.4</v>
      </c>
    </row>
    <row r="197" spans="1:68" x14ac:dyDescent="0.2">
      <c r="A197" s="376"/>
      <c r="B197" s="376"/>
      <c r="C197" s="376"/>
      <c r="D197" s="376"/>
      <c r="E197" s="376"/>
      <c r="F197" s="376"/>
      <c r="G197" s="376"/>
      <c r="H197" s="376"/>
      <c r="I197" s="376"/>
      <c r="J197" s="376"/>
      <c r="K197" s="376"/>
      <c r="L197" s="376"/>
      <c r="M197" s="376"/>
      <c r="N197" s="376"/>
      <c r="O197" s="377"/>
      <c r="P197" s="373" t="s">
        <v>40</v>
      </c>
      <c r="Q197" s="374"/>
      <c r="R197" s="374"/>
      <c r="S197" s="374"/>
      <c r="T197" s="374"/>
      <c r="U197" s="374"/>
      <c r="V197" s="375"/>
      <c r="W197" s="42" t="s">
        <v>39</v>
      </c>
      <c r="X197" s="43">
        <f>IFERROR(SUM(X193:X196),"0")</f>
        <v>462</v>
      </c>
      <c r="Y197" s="43">
        <f>IFERROR(SUM(Y193:Y196),"0")</f>
        <v>462</v>
      </c>
      <c r="Z197" s="43">
        <f>IFERROR(IF(Z193="",0,Z193),"0")+IFERROR(IF(Z194="",0,Z194),"0")+IFERROR(IF(Z195="",0,Z195),"0")+IFERROR(IF(Z196="",0,Z196),"0")</f>
        <v>8.2605599999999999</v>
      </c>
      <c r="AA197" s="67"/>
      <c r="AB197" s="67"/>
      <c r="AC197" s="67"/>
    </row>
    <row r="198" spans="1:68" x14ac:dyDescent="0.2">
      <c r="A198" s="376"/>
      <c r="B198" s="376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7"/>
      <c r="P198" s="373" t="s">
        <v>40</v>
      </c>
      <c r="Q198" s="374"/>
      <c r="R198" s="374"/>
      <c r="S198" s="374"/>
      <c r="T198" s="374"/>
      <c r="U198" s="374"/>
      <c r="V198" s="375"/>
      <c r="W198" s="42" t="s">
        <v>0</v>
      </c>
      <c r="X198" s="43">
        <f>IFERROR(SUMPRODUCT(X193:X196*H193:H196),"0")</f>
        <v>1379.28</v>
      </c>
      <c r="Y198" s="43">
        <f>IFERROR(SUMPRODUCT(Y193:Y196*H193:H196),"0")</f>
        <v>1379.28</v>
      </c>
      <c r="Z198" s="42"/>
      <c r="AA198" s="67"/>
      <c r="AB198" s="67"/>
      <c r="AC198" s="67"/>
    </row>
    <row r="199" spans="1:68" ht="27.75" hidden="1" customHeight="1" x14ac:dyDescent="0.2">
      <c r="A199" s="359" t="s">
        <v>304</v>
      </c>
      <c r="B199" s="359"/>
      <c r="C199" s="359"/>
      <c r="D199" s="359"/>
      <c r="E199" s="359"/>
      <c r="F199" s="359"/>
      <c r="G199" s="359"/>
      <c r="H199" s="359"/>
      <c r="I199" s="359"/>
      <c r="J199" s="359"/>
      <c r="K199" s="359"/>
      <c r="L199" s="359"/>
      <c r="M199" s="359"/>
      <c r="N199" s="359"/>
      <c r="O199" s="359"/>
      <c r="P199" s="359"/>
      <c r="Q199" s="359"/>
      <c r="R199" s="359"/>
      <c r="S199" s="359"/>
      <c r="T199" s="359"/>
      <c r="U199" s="359"/>
      <c r="V199" s="359"/>
      <c r="W199" s="359"/>
      <c r="X199" s="359"/>
      <c r="Y199" s="359"/>
      <c r="Z199" s="359"/>
      <c r="AA199" s="54"/>
      <c r="AB199" s="54"/>
      <c r="AC199" s="54"/>
    </row>
    <row r="200" spans="1:68" ht="16.5" hidden="1" customHeight="1" x14ac:dyDescent="0.25">
      <c r="A200" s="360" t="s">
        <v>305</v>
      </c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0"/>
      <c r="P200" s="360"/>
      <c r="Q200" s="360"/>
      <c r="R200" s="360"/>
      <c r="S200" s="360"/>
      <c r="T200" s="360"/>
      <c r="U200" s="360"/>
      <c r="V200" s="360"/>
      <c r="W200" s="360"/>
      <c r="X200" s="360"/>
      <c r="Y200" s="360"/>
      <c r="Z200" s="360"/>
      <c r="AA200" s="65"/>
      <c r="AB200" s="65"/>
      <c r="AC200" s="82"/>
    </row>
    <row r="201" spans="1:68" ht="14.25" hidden="1" customHeight="1" x14ac:dyDescent="0.25">
      <c r="A201" s="361" t="s">
        <v>113</v>
      </c>
      <c r="B201" s="361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361"/>
      <c r="S201" s="361"/>
      <c r="T201" s="361"/>
      <c r="U201" s="361"/>
      <c r="V201" s="361"/>
      <c r="W201" s="361"/>
      <c r="X201" s="361"/>
      <c r="Y201" s="361"/>
      <c r="Z201" s="361"/>
      <c r="AA201" s="66"/>
      <c r="AB201" s="66"/>
      <c r="AC201" s="83"/>
    </row>
    <row r="202" spans="1:68" ht="27" customHeight="1" x14ac:dyDescent="0.25">
      <c r="A202" s="63" t="s">
        <v>306</v>
      </c>
      <c r="B202" s="63" t="s">
        <v>307</v>
      </c>
      <c r="C202" s="36">
        <v>4301132227</v>
      </c>
      <c r="D202" s="362">
        <v>4620207491133</v>
      </c>
      <c r="E202" s="362"/>
      <c r="F202" s="62">
        <v>0.23</v>
      </c>
      <c r="G202" s="37">
        <v>12</v>
      </c>
      <c r="H202" s="62">
        <v>2.76</v>
      </c>
      <c r="I202" s="62">
        <v>2.98</v>
      </c>
      <c r="J202" s="37">
        <v>70</v>
      </c>
      <c r="K202" s="37" t="s">
        <v>118</v>
      </c>
      <c r="L202" s="37" t="s">
        <v>119</v>
      </c>
      <c r="M202" s="38" t="s">
        <v>86</v>
      </c>
      <c r="N202" s="38"/>
      <c r="O202" s="37">
        <v>180</v>
      </c>
      <c r="P202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364"/>
      <c r="R202" s="364"/>
      <c r="S202" s="364"/>
      <c r="T202" s="365"/>
      <c r="U202" s="39" t="s">
        <v>46</v>
      </c>
      <c r="V202" s="39" t="s">
        <v>46</v>
      </c>
      <c r="W202" s="40" t="s">
        <v>39</v>
      </c>
      <c r="X202" s="58">
        <v>56</v>
      </c>
      <c r="Y202" s="55">
        <f>IFERROR(IF(X202="","",X202),"")</f>
        <v>56</v>
      </c>
      <c r="Z202" s="41">
        <f>IFERROR(IF(X202="","",X202*0.01788),"")</f>
        <v>1.0012799999999999</v>
      </c>
      <c r="AA202" s="68" t="s">
        <v>46</v>
      </c>
      <c r="AB202" s="69" t="s">
        <v>46</v>
      </c>
      <c r="AC202" s="231" t="s">
        <v>308</v>
      </c>
      <c r="AG202" s="81"/>
      <c r="AJ202" s="87" t="s">
        <v>120</v>
      </c>
      <c r="AK202" s="87">
        <v>14</v>
      </c>
      <c r="BB202" s="232" t="s">
        <v>117</v>
      </c>
      <c r="BM202" s="81">
        <f>IFERROR(X202*I202,"0")</f>
        <v>166.88</v>
      </c>
      <c r="BN202" s="81">
        <f>IFERROR(Y202*I202,"0")</f>
        <v>166.88</v>
      </c>
      <c r="BO202" s="81">
        <f>IFERROR(X202/J202,"0")</f>
        <v>0.8</v>
      </c>
      <c r="BP202" s="81">
        <f>IFERROR(Y202/J202,"0")</f>
        <v>0.8</v>
      </c>
    </row>
    <row r="203" spans="1:68" x14ac:dyDescent="0.2">
      <c r="A203" s="376"/>
      <c r="B203" s="376"/>
      <c r="C203" s="376"/>
      <c r="D203" s="376"/>
      <c r="E203" s="376"/>
      <c r="F203" s="376"/>
      <c r="G203" s="376"/>
      <c r="H203" s="376"/>
      <c r="I203" s="376"/>
      <c r="J203" s="376"/>
      <c r="K203" s="376"/>
      <c r="L203" s="376"/>
      <c r="M203" s="376"/>
      <c r="N203" s="376"/>
      <c r="O203" s="377"/>
      <c r="P203" s="373" t="s">
        <v>40</v>
      </c>
      <c r="Q203" s="374"/>
      <c r="R203" s="374"/>
      <c r="S203" s="374"/>
      <c r="T203" s="374"/>
      <c r="U203" s="374"/>
      <c r="V203" s="375"/>
      <c r="W203" s="42" t="s">
        <v>39</v>
      </c>
      <c r="X203" s="43">
        <f>IFERROR(SUM(X202:X202),"0")</f>
        <v>56</v>
      </c>
      <c r="Y203" s="43">
        <f>IFERROR(SUM(Y202:Y202),"0")</f>
        <v>56</v>
      </c>
      <c r="Z203" s="43">
        <f>IFERROR(IF(Z202="",0,Z202),"0")</f>
        <v>1.0012799999999999</v>
      </c>
      <c r="AA203" s="67"/>
      <c r="AB203" s="67"/>
      <c r="AC203" s="67"/>
    </row>
    <row r="204" spans="1:68" x14ac:dyDescent="0.2">
      <c r="A204" s="376"/>
      <c r="B204" s="376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7"/>
      <c r="P204" s="373" t="s">
        <v>40</v>
      </c>
      <c r="Q204" s="374"/>
      <c r="R204" s="374"/>
      <c r="S204" s="374"/>
      <c r="T204" s="374"/>
      <c r="U204" s="374"/>
      <c r="V204" s="375"/>
      <c r="W204" s="42" t="s">
        <v>0</v>
      </c>
      <c r="X204" s="43">
        <f>IFERROR(SUMPRODUCT(X202:X202*H202:H202),"0")</f>
        <v>154.56</v>
      </c>
      <c r="Y204" s="43">
        <f>IFERROR(SUMPRODUCT(Y202:Y202*H202:H202),"0")</f>
        <v>154.56</v>
      </c>
      <c r="Z204" s="42"/>
      <c r="AA204" s="67"/>
      <c r="AB204" s="67"/>
      <c r="AC204" s="67"/>
    </row>
    <row r="205" spans="1:68" ht="14.25" hidden="1" customHeight="1" x14ac:dyDescent="0.25">
      <c r="A205" s="361" t="s">
        <v>157</v>
      </c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1"/>
      <c r="P205" s="361"/>
      <c r="Q205" s="361"/>
      <c r="R205" s="361"/>
      <c r="S205" s="361"/>
      <c r="T205" s="361"/>
      <c r="U205" s="361"/>
      <c r="V205" s="361"/>
      <c r="W205" s="361"/>
      <c r="X205" s="361"/>
      <c r="Y205" s="361"/>
      <c r="Z205" s="361"/>
      <c r="AA205" s="66"/>
      <c r="AB205" s="66"/>
      <c r="AC205" s="83"/>
    </row>
    <row r="206" spans="1:68" ht="27" hidden="1" customHeight="1" x14ac:dyDescent="0.25">
      <c r="A206" s="63" t="s">
        <v>309</v>
      </c>
      <c r="B206" s="63" t="s">
        <v>310</v>
      </c>
      <c r="C206" s="36">
        <v>4301135834</v>
      </c>
      <c r="D206" s="362">
        <v>4620207491188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311</v>
      </c>
      <c r="AG206" s="81"/>
      <c r="AJ206" s="87" t="s">
        <v>89</v>
      </c>
      <c r="AK206" s="87">
        <v>1</v>
      </c>
      <c r="BB206" s="234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362">
        <v>4620207490235</v>
      </c>
      <c r="E207" s="362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118</v>
      </c>
      <c r="L207" s="37" t="s">
        <v>88</v>
      </c>
      <c r="M207" s="38" t="s">
        <v>86</v>
      </c>
      <c r="N207" s="38"/>
      <c r="O207" s="37">
        <v>180</v>
      </c>
      <c r="P207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64"/>
      <c r="R207" s="364"/>
      <c r="S207" s="364"/>
      <c r="T207" s="365"/>
      <c r="U207" s="39" t="s">
        <v>46</v>
      </c>
      <c r="V207" s="39" t="s">
        <v>46</v>
      </c>
      <c r="W207" s="40" t="s">
        <v>39</v>
      </c>
      <c r="X207" s="58">
        <v>14</v>
      </c>
      <c r="Y207" s="55">
        <f>IFERROR(IF(X207="","",X207),"")</f>
        <v>14</v>
      </c>
      <c r="Z207" s="41">
        <f>IFERROR(IF(X207="","",X207*0.01788),"")</f>
        <v>0.25031999999999999</v>
      </c>
      <c r="AA207" s="68" t="s">
        <v>46</v>
      </c>
      <c r="AB207" s="69" t="s">
        <v>46</v>
      </c>
      <c r="AC207" s="235" t="s">
        <v>314</v>
      </c>
      <c r="AG207" s="81"/>
      <c r="AJ207" s="87" t="s">
        <v>89</v>
      </c>
      <c r="AK207" s="87">
        <v>1</v>
      </c>
      <c r="BB207" s="236" t="s">
        <v>117</v>
      </c>
      <c r="BM207" s="81">
        <f>IFERROR(X207*I207,"0")</f>
        <v>43.450400000000002</v>
      </c>
      <c r="BN207" s="81">
        <f>IFERROR(Y207*I207,"0")</f>
        <v>43.450400000000002</v>
      </c>
      <c r="BO207" s="81">
        <f>IFERROR(X207/J207,"0")</f>
        <v>0.2</v>
      </c>
      <c r="BP207" s="81">
        <f>IFERROR(Y207/J207,"0")</f>
        <v>0.2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62">
        <v>4620207490259</v>
      </c>
      <c r="E208" s="362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119</v>
      </c>
      <c r="M208" s="38" t="s">
        <v>86</v>
      </c>
      <c r="N208" s="38"/>
      <c r="O208" s="37">
        <v>180</v>
      </c>
      <c r="P208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64"/>
      <c r="R208" s="364"/>
      <c r="S208" s="364"/>
      <c r="T208" s="365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317</v>
      </c>
      <c r="AG208" s="81"/>
      <c r="AJ208" s="87" t="s">
        <v>120</v>
      </c>
      <c r="AK208" s="87">
        <v>14</v>
      </c>
      <c r="BB208" s="238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6"/>
      <c r="B209" s="376"/>
      <c r="C209" s="376"/>
      <c r="D209" s="376"/>
      <c r="E209" s="376"/>
      <c r="F209" s="376"/>
      <c r="G209" s="376"/>
      <c r="H209" s="376"/>
      <c r="I209" s="376"/>
      <c r="J209" s="376"/>
      <c r="K209" s="376"/>
      <c r="L209" s="376"/>
      <c r="M209" s="376"/>
      <c r="N209" s="376"/>
      <c r="O209" s="377"/>
      <c r="P209" s="373" t="s">
        <v>40</v>
      </c>
      <c r="Q209" s="374"/>
      <c r="R209" s="374"/>
      <c r="S209" s="374"/>
      <c r="T209" s="374"/>
      <c r="U209" s="374"/>
      <c r="V209" s="375"/>
      <c r="W209" s="42" t="s">
        <v>39</v>
      </c>
      <c r="X209" s="43">
        <f>IFERROR(SUM(X206:X208),"0")</f>
        <v>14</v>
      </c>
      <c r="Y209" s="43">
        <f>IFERROR(SUM(Y206:Y208),"0")</f>
        <v>14</v>
      </c>
      <c r="Z209" s="43">
        <f>IFERROR(IF(Z206="",0,Z206),"0")+IFERROR(IF(Z207="",0,Z207),"0")+IFERROR(IF(Z208="",0,Z208),"0")</f>
        <v>0.25031999999999999</v>
      </c>
      <c r="AA209" s="67"/>
      <c r="AB209" s="67"/>
      <c r="AC209" s="67"/>
    </row>
    <row r="210" spans="1:68" x14ac:dyDescent="0.2">
      <c r="A210" s="376"/>
      <c r="B210" s="376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7"/>
      <c r="P210" s="373" t="s">
        <v>40</v>
      </c>
      <c r="Q210" s="374"/>
      <c r="R210" s="374"/>
      <c r="S210" s="374"/>
      <c r="T210" s="374"/>
      <c r="U210" s="374"/>
      <c r="V210" s="375"/>
      <c r="W210" s="42" t="s">
        <v>0</v>
      </c>
      <c r="X210" s="43">
        <f>IFERROR(SUMPRODUCT(X206:X208*H206:H208),"0")</f>
        <v>33.6</v>
      </c>
      <c r="Y210" s="43">
        <f>IFERROR(SUMPRODUCT(Y206:Y208*H206:H208),"0")</f>
        <v>33.6</v>
      </c>
      <c r="Z210" s="42"/>
      <c r="AA210" s="67"/>
      <c r="AB210" s="67"/>
      <c r="AC210" s="67"/>
    </row>
    <row r="211" spans="1:68" ht="16.5" hidden="1" customHeight="1" x14ac:dyDescent="0.25">
      <c r="A211" s="360" t="s">
        <v>318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0"/>
      <c r="Q211" s="360"/>
      <c r="R211" s="360"/>
      <c r="S211" s="360"/>
      <c r="T211" s="360"/>
      <c r="U211" s="360"/>
      <c r="V211" s="360"/>
      <c r="W211" s="360"/>
      <c r="X211" s="360"/>
      <c r="Y211" s="360"/>
      <c r="Z211" s="360"/>
      <c r="AA211" s="65"/>
      <c r="AB211" s="65"/>
      <c r="AC211" s="82"/>
    </row>
    <row r="212" spans="1:68" ht="14.25" hidden="1" customHeight="1" x14ac:dyDescent="0.25">
      <c r="A212" s="361" t="s">
        <v>157</v>
      </c>
      <c r="B212" s="361"/>
      <c r="C212" s="361"/>
      <c r="D212" s="361"/>
      <c r="E212" s="361"/>
      <c r="F212" s="361"/>
      <c r="G212" s="361"/>
      <c r="H212" s="361"/>
      <c r="I212" s="361"/>
      <c r="J212" s="361"/>
      <c r="K212" s="361"/>
      <c r="L212" s="361"/>
      <c r="M212" s="361"/>
      <c r="N212" s="361"/>
      <c r="O212" s="361"/>
      <c r="P212" s="361"/>
      <c r="Q212" s="361"/>
      <c r="R212" s="361"/>
      <c r="S212" s="361"/>
      <c r="T212" s="361"/>
      <c r="U212" s="361"/>
      <c r="V212" s="361"/>
      <c r="W212" s="361"/>
      <c r="X212" s="361"/>
      <c r="Y212" s="361"/>
      <c r="Z212" s="361"/>
      <c r="AA212" s="66"/>
      <c r="AB212" s="66"/>
      <c r="AC212" s="83"/>
    </row>
    <row r="213" spans="1:68" ht="27" hidden="1" customHeight="1" x14ac:dyDescent="0.25">
      <c r="A213" s="63" t="s">
        <v>319</v>
      </c>
      <c r="B213" s="63" t="s">
        <v>320</v>
      </c>
      <c r="C213" s="36">
        <v>4301135854</v>
      </c>
      <c r="D213" s="362">
        <v>4620207491706</v>
      </c>
      <c r="E213" s="362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118</v>
      </c>
      <c r="L213" s="37" t="s">
        <v>88</v>
      </c>
      <c r="M213" s="38" t="s">
        <v>86</v>
      </c>
      <c r="N213" s="38"/>
      <c r="O213" s="37">
        <v>180</v>
      </c>
      <c r="P213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364"/>
      <c r="R213" s="364"/>
      <c r="S213" s="364"/>
      <c r="T213" s="365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9" t="s">
        <v>321</v>
      </c>
      <c r="AG213" s="81"/>
      <c r="AJ213" s="87" t="s">
        <v>89</v>
      </c>
      <c r="AK213" s="87">
        <v>1</v>
      </c>
      <c r="BB213" s="240" t="s">
        <v>117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hidden="1" customHeight="1" x14ac:dyDescent="0.25">
      <c r="A214" s="63" t="s">
        <v>322</v>
      </c>
      <c r="B214" s="63" t="s">
        <v>323</v>
      </c>
      <c r="C214" s="36">
        <v>4301135895</v>
      </c>
      <c r="D214" s="362">
        <v>4620207491522</v>
      </c>
      <c r="E214" s="362"/>
      <c r="F214" s="62">
        <v>0.28000000000000003</v>
      </c>
      <c r="G214" s="37">
        <v>12</v>
      </c>
      <c r="H214" s="62">
        <v>3.36</v>
      </c>
      <c r="I214" s="62">
        <v>4.0636000000000001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364"/>
      <c r="R214" s="364"/>
      <c r="S214" s="364"/>
      <c r="T214" s="365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1" t="s">
        <v>324</v>
      </c>
      <c r="AG214" s="81"/>
      <c r="AJ214" s="87" t="s">
        <v>89</v>
      </c>
      <c r="AK214" s="87">
        <v>1</v>
      </c>
      <c r="BB214" s="242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idden="1" x14ac:dyDescent="0.2">
      <c r="A215" s="376"/>
      <c r="B215" s="376"/>
      <c r="C215" s="376"/>
      <c r="D215" s="376"/>
      <c r="E215" s="376"/>
      <c r="F215" s="376"/>
      <c r="G215" s="376"/>
      <c r="H215" s="376"/>
      <c r="I215" s="376"/>
      <c r="J215" s="376"/>
      <c r="K215" s="376"/>
      <c r="L215" s="376"/>
      <c r="M215" s="376"/>
      <c r="N215" s="376"/>
      <c r="O215" s="377"/>
      <c r="P215" s="373" t="s">
        <v>40</v>
      </c>
      <c r="Q215" s="374"/>
      <c r="R215" s="374"/>
      <c r="S215" s="374"/>
      <c r="T215" s="374"/>
      <c r="U215" s="374"/>
      <c r="V215" s="375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hidden="1" x14ac:dyDescent="0.2">
      <c r="A216" s="376"/>
      <c r="B216" s="376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7"/>
      <c r="P216" s="373" t="s">
        <v>40</v>
      </c>
      <c r="Q216" s="374"/>
      <c r="R216" s="374"/>
      <c r="S216" s="374"/>
      <c r="T216" s="374"/>
      <c r="U216" s="374"/>
      <c r="V216" s="375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16.5" hidden="1" customHeight="1" x14ac:dyDescent="0.25">
      <c r="A217" s="360" t="s">
        <v>325</v>
      </c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0"/>
      <c r="P217" s="360"/>
      <c r="Q217" s="360"/>
      <c r="R217" s="360"/>
      <c r="S217" s="360"/>
      <c r="T217" s="360"/>
      <c r="U217" s="360"/>
      <c r="V217" s="360"/>
      <c r="W217" s="360"/>
      <c r="X217" s="360"/>
      <c r="Y217" s="360"/>
      <c r="Z217" s="360"/>
      <c r="AA217" s="65"/>
      <c r="AB217" s="65"/>
      <c r="AC217" s="82"/>
    </row>
    <row r="218" spans="1:68" ht="14.25" hidden="1" customHeight="1" x14ac:dyDescent="0.25">
      <c r="A218" s="361" t="s">
        <v>82</v>
      </c>
      <c r="B218" s="361"/>
      <c r="C218" s="361"/>
      <c r="D218" s="361"/>
      <c r="E218" s="361"/>
      <c r="F218" s="361"/>
      <c r="G218" s="361"/>
      <c r="H218" s="361"/>
      <c r="I218" s="361"/>
      <c r="J218" s="361"/>
      <c r="K218" s="361"/>
      <c r="L218" s="361"/>
      <c r="M218" s="361"/>
      <c r="N218" s="361"/>
      <c r="O218" s="361"/>
      <c r="P218" s="361"/>
      <c r="Q218" s="361"/>
      <c r="R218" s="361"/>
      <c r="S218" s="361"/>
      <c r="T218" s="361"/>
      <c r="U218" s="361"/>
      <c r="V218" s="361"/>
      <c r="W218" s="361"/>
      <c r="X218" s="361"/>
      <c r="Y218" s="361"/>
      <c r="Z218" s="361"/>
      <c r="AA218" s="66"/>
      <c r="AB218" s="66"/>
      <c r="AC218" s="83"/>
    </row>
    <row r="219" spans="1:68" ht="27" customHeight="1" x14ac:dyDescent="0.25">
      <c r="A219" s="63" t="s">
        <v>326</v>
      </c>
      <c r="B219" s="63" t="s">
        <v>327</v>
      </c>
      <c r="C219" s="36">
        <v>4301071097</v>
      </c>
      <c r="D219" s="362">
        <v>4620207491096</v>
      </c>
      <c r="E219" s="362"/>
      <c r="F219" s="62">
        <v>1</v>
      </c>
      <c r="G219" s="37">
        <v>5</v>
      </c>
      <c r="H219" s="62">
        <v>5</v>
      </c>
      <c r="I219" s="62">
        <v>5.23</v>
      </c>
      <c r="J219" s="37">
        <v>84</v>
      </c>
      <c r="K219" s="37" t="s">
        <v>87</v>
      </c>
      <c r="L219" s="37" t="s">
        <v>119</v>
      </c>
      <c r="M219" s="38" t="s">
        <v>86</v>
      </c>
      <c r="N219" s="38"/>
      <c r="O219" s="37">
        <v>180</v>
      </c>
      <c r="P219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364"/>
      <c r="R219" s="364"/>
      <c r="S219" s="364"/>
      <c r="T219" s="365"/>
      <c r="U219" s="39" t="s">
        <v>46</v>
      </c>
      <c r="V219" s="39" t="s">
        <v>46</v>
      </c>
      <c r="W219" s="40" t="s">
        <v>39</v>
      </c>
      <c r="X219" s="58">
        <v>48</v>
      </c>
      <c r="Y219" s="55">
        <f>IFERROR(IF(X219="","",X219),"")</f>
        <v>48</v>
      </c>
      <c r="Z219" s="41">
        <f>IFERROR(IF(X219="","",X219*0.0155),"")</f>
        <v>0.74399999999999999</v>
      </c>
      <c r="AA219" s="68" t="s">
        <v>46</v>
      </c>
      <c r="AB219" s="69" t="s">
        <v>46</v>
      </c>
      <c r="AC219" s="243" t="s">
        <v>328</v>
      </c>
      <c r="AG219" s="81"/>
      <c r="AJ219" s="87" t="s">
        <v>120</v>
      </c>
      <c r="AK219" s="87">
        <v>12</v>
      </c>
      <c r="BB219" s="244" t="s">
        <v>70</v>
      </c>
      <c r="BM219" s="81">
        <f>IFERROR(X219*I219,"0")</f>
        <v>251.04000000000002</v>
      </c>
      <c r="BN219" s="81">
        <f>IFERROR(Y219*I219,"0")</f>
        <v>251.04000000000002</v>
      </c>
      <c r="BO219" s="81">
        <f>IFERROR(X219/J219,"0")</f>
        <v>0.5714285714285714</v>
      </c>
      <c r="BP219" s="81">
        <f>IFERROR(Y219/J219,"0")</f>
        <v>0.5714285714285714</v>
      </c>
    </row>
    <row r="220" spans="1:68" x14ac:dyDescent="0.2">
      <c r="A220" s="376"/>
      <c r="B220" s="376"/>
      <c r="C220" s="376"/>
      <c r="D220" s="376"/>
      <c r="E220" s="376"/>
      <c r="F220" s="376"/>
      <c r="G220" s="376"/>
      <c r="H220" s="376"/>
      <c r="I220" s="376"/>
      <c r="J220" s="376"/>
      <c r="K220" s="376"/>
      <c r="L220" s="376"/>
      <c r="M220" s="376"/>
      <c r="N220" s="376"/>
      <c r="O220" s="377"/>
      <c r="P220" s="373" t="s">
        <v>40</v>
      </c>
      <c r="Q220" s="374"/>
      <c r="R220" s="374"/>
      <c r="S220" s="374"/>
      <c r="T220" s="374"/>
      <c r="U220" s="374"/>
      <c r="V220" s="375"/>
      <c r="W220" s="42" t="s">
        <v>39</v>
      </c>
      <c r="X220" s="43">
        <f>IFERROR(SUM(X219:X219),"0")</f>
        <v>48</v>
      </c>
      <c r="Y220" s="43">
        <f>IFERROR(SUM(Y219:Y219),"0")</f>
        <v>48</v>
      </c>
      <c r="Z220" s="43">
        <f>IFERROR(IF(Z219="",0,Z219),"0")</f>
        <v>0.74399999999999999</v>
      </c>
      <c r="AA220" s="67"/>
      <c r="AB220" s="67"/>
      <c r="AC220" s="67"/>
    </row>
    <row r="221" spans="1:68" x14ac:dyDescent="0.2">
      <c r="A221" s="376"/>
      <c r="B221" s="376"/>
      <c r="C221" s="376"/>
      <c r="D221" s="376"/>
      <c r="E221" s="376"/>
      <c r="F221" s="376"/>
      <c r="G221" s="376"/>
      <c r="H221" s="376"/>
      <c r="I221" s="376"/>
      <c r="J221" s="376"/>
      <c r="K221" s="376"/>
      <c r="L221" s="376"/>
      <c r="M221" s="376"/>
      <c r="N221" s="376"/>
      <c r="O221" s="377"/>
      <c r="P221" s="373" t="s">
        <v>40</v>
      </c>
      <c r="Q221" s="374"/>
      <c r="R221" s="374"/>
      <c r="S221" s="374"/>
      <c r="T221" s="374"/>
      <c r="U221" s="374"/>
      <c r="V221" s="375"/>
      <c r="W221" s="42" t="s">
        <v>0</v>
      </c>
      <c r="X221" s="43">
        <f>IFERROR(SUMPRODUCT(X219:X219*H219:H219),"0")</f>
        <v>240</v>
      </c>
      <c r="Y221" s="43">
        <f>IFERROR(SUMPRODUCT(Y219:Y219*H219:H219),"0")</f>
        <v>240</v>
      </c>
      <c r="Z221" s="42"/>
      <c r="AA221" s="67"/>
      <c r="AB221" s="67"/>
      <c r="AC221" s="67"/>
    </row>
    <row r="222" spans="1:68" ht="16.5" hidden="1" customHeight="1" x14ac:dyDescent="0.25">
      <c r="A222" s="360" t="s">
        <v>329</v>
      </c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0"/>
      <c r="P222" s="360"/>
      <c r="Q222" s="360"/>
      <c r="R222" s="360"/>
      <c r="S222" s="360"/>
      <c r="T222" s="360"/>
      <c r="U222" s="360"/>
      <c r="V222" s="360"/>
      <c r="W222" s="360"/>
      <c r="X222" s="360"/>
      <c r="Y222" s="360"/>
      <c r="Z222" s="360"/>
      <c r="AA222" s="65"/>
      <c r="AB222" s="65"/>
      <c r="AC222" s="82"/>
    </row>
    <row r="223" spans="1:68" ht="14.25" hidden="1" customHeight="1" x14ac:dyDescent="0.25">
      <c r="A223" s="361" t="s">
        <v>157</v>
      </c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1"/>
      <c r="P223" s="361"/>
      <c r="Q223" s="361"/>
      <c r="R223" s="361"/>
      <c r="S223" s="361"/>
      <c r="T223" s="361"/>
      <c r="U223" s="361"/>
      <c r="V223" s="361"/>
      <c r="W223" s="361"/>
      <c r="X223" s="361"/>
      <c r="Y223" s="361"/>
      <c r="Z223" s="361"/>
      <c r="AA223" s="66"/>
      <c r="AB223" s="66"/>
      <c r="AC223" s="83"/>
    </row>
    <row r="224" spans="1:68" ht="27" hidden="1" customHeight="1" x14ac:dyDescent="0.25">
      <c r="A224" s="63" t="s">
        <v>330</v>
      </c>
      <c r="B224" s="63" t="s">
        <v>331</v>
      </c>
      <c r="C224" s="36">
        <v>4301135694</v>
      </c>
      <c r="D224" s="362">
        <v>4620207490501</v>
      </c>
      <c r="E224" s="362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364"/>
      <c r="R224" s="364"/>
      <c r="S224" s="364"/>
      <c r="T224" s="365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5" t="s">
        <v>332</v>
      </c>
      <c r="AG224" s="81"/>
      <c r="AJ224" s="87" t="s">
        <v>89</v>
      </c>
      <c r="AK224" s="87">
        <v>1</v>
      </c>
      <c r="BB224" s="246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376"/>
      <c r="B225" s="376"/>
      <c r="C225" s="376"/>
      <c r="D225" s="376"/>
      <c r="E225" s="376"/>
      <c r="F225" s="376"/>
      <c r="G225" s="376"/>
      <c r="H225" s="376"/>
      <c r="I225" s="376"/>
      <c r="J225" s="376"/>
      <c r="K225" s="376"/>
      <c r="L225" s="376"/>
      <c r="M225" s="376"/>
      <c r="N225" s="376"/>
      <c r="O225" s="377"/>
      <c r="P225" s="373" t="s">
        <v>40</v>
      </c>
      <c r="Q225" s="374"/>
      <c r="R225" s="374"/>
      <c r="S225" s="374"/>
      <c r="T225" s="374"/>
      <c r="U225" s="374"/>
      <c r="V225" s="375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hidden="1" x14ac:dyDescent="0.2">
      <c r="A226" s="376"/>
      <c r="B226" s="376"/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7"/>
      <c r="P226" s="373" t="s">
        <v>40</v>
      </c>
      <c r="Q226" s="374"/>
      <c r="R226" s="374"/>
      <c r="S226" s="374"/>
      <c r="T226" s="374"/>
      <c r="U226" s="374"/>
      <c r="V226" s="375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hidden="1" customHeight="1" x14ac:dyDescent="0.2">
      <c r="A227" s="359" t="s">
        <v>333</v>
      </c>
      <c r="B227" s="359"/>
      <c r="C227" s="359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  <c r="R227" s="359"/>
      <c r="S227" s="359"/>
      <c r="T227" s="359"/>
      <c r="U227" s="359"/>
      <c r="V227" s="359"/>
      <c r="W227" s="359"/>
      <c r="X227" s="359"/>
      <c r="Y227" s="359"/>
      <c r="Z227" s="359"/>
      <c r="AA227" s="54"/>
      <c r="AB227" s="54"/>
      <c r="AC227" s="54"/>
    </row>
    <row r="228" spans="1:68" ht="16.5" hidden="1" customHeight="1" x14ac:dyDescent="0.25">
      <c r="A228" s="360" t="s">
        <v>334</v>
      </c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0"/>
      <c r="P228" s="360"/>
      <c r="Q228" s="360"/>
      <c r="R228" s="360"/>
      <c r="S228" s="360"/>
      <c r="T228" s="360"/>
      <c r="U228" s="360"/>
      <c r="V228" s="360"/>
      <c r="W228" s="360"/>
      <c r="X228" s="360"/>
      <c r="Y228" s="360"/>
      <c r="Z228" s="360"/>
      <c r="AA228" s="65"/>
      <c r="AB228" s="65"/>
      <c r="AC228" s="82"/>
    </row>
    <row r="229" spans="1:68" ht="14.25" hidden="1" customHeight="1" x14ac:dyDescent="0.25">
      <c r="A229" s="361" t="s">
        <v>82</v>
      </c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1"/>
      <c r="P229" s="361"/>
      <c r="Q229" s="361"/>
      <c r="R229" s="361"/>
      <c r="S229" s="361"/>
      <c r="T229" s="361"/>
      <c r="U229" s="361"/>
      <c r="V229" s="361"/>
      <c r="W229" s="361"/>
      <c r="X229" s="361"/>
      <c r="Y229" s="361"/>
      <c r="Z229" s="361"/>
      <c r="AA229" s="66"/>
      <c r="AB229" s="66"/>
      <c r="AC229" s="83"/>
    </row>
    <row r="230" spans="1:68" ht="27" hidden="1" customHeight="1" x14ac:dyDescent="0.25">
      <c r="A230" s="63" t="s">
        <v>335</v>
      </c>
      <c r="B230" s="63" t="s">
        <v>336</v>
      </c>
      <c r="C230" s="36">
        <v>4301071036</v>
      </c>
      <c r="D230" s="362">
        <v>4607111036162</v>
      </c>
      <c r="E230" s="362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87</v>
      </c>
      <c r="L230" s="37" t="s">
        <v>88</v>
      </c>
      <c r="M230" s="38" t="s">
        <v>86</v>
      </c>
      <c r="N230" s="38"/>
      <c r="O230" s="37">
        <v>90</v>
      </c>
      <c r="P230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64"/>
      <c r="R230" s="364"/>
      <c r="S230" s="364"/>
      <c r="T230" s="365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7" t="s">
        <v>337</v>
      </c>
      <c r="AG230" s="81"/>
      <c r="AJ230" s="87" t="s">
        <v>89</v>
      </c>
      <c r="AK230" s="87">
        <v>1</v>
      </c>
      <c r="BB230" s="248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76"/>
      <c r="B231" s="376"/>
      <c r="C231" s="376"/>
      <c r="D231" s="376"/>
      <c r="E231" s="376"/>
      <c r="F231" s="376"/>
      <c r="G231" s="376"/>
      <c r="H231" s="376"/>
      <c r="I231" s="376"/>
      <c r="J231" s="376"/>
      <c r="K231" s="376"/>
      <c r="L231" s="376"/>
      <c r="M231" s="376"/>
      <c r="N231" s="376"/>
      <c r="O231" s="377"/>
      <c r="P231" s="373" t="s">
        <v>40</v>
      </c>
      <c r="Q231" s="374"/>
      <c r="R231" s="374"/>
      <c r="S231" s="374"/>
      <c r="T231" s="374"/>
      <c r="U231" s="374"/>
      <c r="V231" s="375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76"/>
      <c r="B232" s="376"/>
      <c r="C232" s="376"/>
      <c r="D232" s="376"/>
      <c r="E232" s="376"/>
      <c r="F232" s="376"/>
      <c r="G232" s="376"/>
      <c r="H232" s="376"/>
      <c r="I232" s="376"/>
      <c r="J232" s="376"/>
      <c r="K232" s="376"/>
      <c r="L232" s="376"/>
      <c r="M232" s="376"/>
      <c r="N232" s="376"/>
      <c r="O232" s="377"/>
      <c r="P232" s="373" t="s">
        <v>40</v>
      </c>
      <c r="Q232" s="374"/>
      <c r="R232" s="374"/>
      <c r="S232" s="374"/>
      <c r="T232" s="374"/>
      <c r="U232" s="374"/>
      <c r="V232" s="375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59" t="s">
        <v>338</v>
      </c>
      <c r="B233" s="359"/>
      <c r="C233" s="359"/>
      <c r="D233" s="359"/>
      <c r="E233" s="359"/>
      <c r="F233" s="359"/>
      <c r="G233" s="359"/>
      <c r="H233" s="359"/>
      <c r="I233" s="359"/>
      <c r="J233" s="359"/>
      <c r="K233" s="359"/>
      <c r="L233" s="359"/>
      <c r="M233" s="359"/>
      <c r="N233" s="359"/>
      <c r="O233" s="359"/>
      <c r="P233" s="359"/>
      <c r="Q233" s="359"/>
      <c r="R233" s="359"/>
      <c r="S233" s="359"/>
      <c r="T233" s="359"/>
      <c r="U233" s="359"/>
      <c r="V233" s="359"/>
      <c r="W233" s="359"/>
      <c r="X233" s="359"/>
      <c r="Y233" s="359"/>
      <c r="Z233" s="359"/>
      <c r="AA233" s="54"/>
      <c r="AB233" s="54"/>
      <c r="AC233" s="54"/>
    </row>
    <row r="234" spans="1:68" ht="16.5" hidden="1" customHeight="1" x14ac:dyDescent="0.25">
      <c r="A234" s="360" t="s">
        <v>339</v>
      </c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0"/>
      <c r="P234" s="360"/>
      <c r="Q234" s="360"/>
      <c r="R234" s="360"/>
      <c r="S234" s="360"/>
      <c r="T234" s="360"/>
      <c r="U234" s="360"/>
      <c r="V234" s="360"/>
      <c r="W234" s="360"/>
      <c r="X234" s="360"/>
      <c r="Y234" s="360"/>
      <c r="Z234" s="360"/>
      <c r="AA234" s="65"/>
      <c r="AB234" s="65"/>
      <c r="AC234" s="82"/>
    </row>
    <row r="235" spans="1:68" ht="14.25" hidden="1" customHeight="1" x14ac:dyDescent="0.25">
      <c r="A235" s="361" t="s">
        <v>82</v>
      </c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1"/>
      <c r="P235" s="361"/>
      <c r="Q235" s="361"/>
      <c r="R235" s="361"/>
      <c r="S235" s="361"/>
      <c r="T235" s="361"/>
      <c r="U235" s="361"/>
      <c r="V235" s="361"/>
      <c r="W235" s="361"/>
      <c r="X235" s="361"/>
      <c r="Y235" s="361"/>
      <c r="Z235" s="361"/>
      <c r="AA235" s="66"/>
      <c r="AB235" s="66"/>
      <c r="AC235" s="83"/>
    </row>
    <row r="236" spans="1:68" ht="27" customHeight="1" x14ac:dyDescent="0.25">
      <c r="A236" s="63" t="s">
        <v>340</v>
      </c>
      <c r="B236" s="63" t="s">
        <v>341</v>
      </c>
      <c r="C236" s="36">
        <v>4301071029</v>
      </c>
      <c r="D236" s="362">
        <v>4607111035899</v>
      </c>
      <c r="E236" s="362"/>
      <c r="F236" s="62">
        <v>1</v>
      </c>
      <c r="G236" s="37">
        <v>5</v>
      </c>
      <c r="H236" s="62">
        <v>5</v>
      </c>
      <c r="I236" s="62">
        <v>5.2619999999999996</v>
      </c>
      <c r="J236" s="37">
        <v>84</v>
      </c>
      <c r="K236" s="37" t="s">
        <v>87</v>
      </c>
      <c r="L236" s="37" t="s">
        <v>119</v>
      </c>
      <c r="M236" s="38" t="s">
        <v>86</v>
      </c>
      <c r="N236" s="38"/>
      <c r="O236" s="37">
        <v>180</v>
      </c>
      <c r="P236" s="45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364"/>
      <c r="R236" s="364"/>
      <c r="S236" s="364"/>
      <c r="T236" s="365"/>
      <c r="U236" s="39" t="s">
        <v>46</v>
      </c>
      <c r="V236" s="39" t="s">
        <v>46</v>
      </c>
      <c r="W236" s="40" t="s">
        <v>39</v>
      </c>
      <c r="X236" s="58">
        <v>108</v>
      </c>
      <c r="Y236" s="55">
        <f>IFERROR(IF(X236="","",X236),"")</f>
        <v>108</v>
      </c>
      <c r="Z236" s="41">
        <f>IFERROR(IF(X236="","",X236*0.0155),"")</f>
        <v>1.6739999999999999</v>
      </c>
      <c r="AA236" s="68" t="s">
        <v>46</v>
      </c>
      <c r="AB236" s="69" t="s">
        <v>46</v>
      </c>
      <c r="AC236" s="249" t="s">
        <v>285</v>
      </c>
      <c r="AG236" s="81"/>
      <c r="AJ236" s="87" t="s">
        <v>120</v>
      </c>
      <c r="AK236" s="87">
        <v>12</v>
      </c>
      <c r="BB236" s="250" t="s">
        <v>70</v>
      </c>
      <c r="BM236" s="81">
        <f>IFERROR(X236*I236,"0")</f>
        <v>568.29599999999994</v>
      </c>
      <c r="BN236" s="81">
        <f>IFERROR(Y236*I236,"0")</f>
        <v>568.29599999999994</v>
      </c>
      <c r="BO236" s="81">
        <f>IFERROR(X236/J236,"0")</f>
        <v>1.2857142857142858</v>
      </c>
      <c r="BP236" s="81">
        <f>IFERROR(Y236/J236,"0")</f>
        <v>1.2857142857142858</v>
      </c>
    </row>
    <row r="237" spans="1:68" x14ac:dyDescent="0.2">
      <c r="A237" s="376"/>
      <c r="B237" s="376"/>
      <c r="C237" s="376"/>
      <c r="D237" s="376"/>
      <c r="E237" s="376"/>
      <c r="F237" s="376"/>
      <c r="G237" s="376"/>
      <c r="H237" s="376"/>
      <c r="I237" s="376"/>
      <c r="J237" s="376"/>
      <c r="K237" s="376"/>
      <c r="L237" s="376"/>
      <c r="M237" s="376"/>
      <c r="N237" s="376"/>
      <c r="O237" s="377"/>
      <c r="P237" s="373" t="s">
        <v>40</v>
      </c>
      <c r="Q237" s="374"/>
      <c r="R237" s="374"/>
      <c r="S237" s="374"/>
      <c r="T237" s="374"/>
      <c r="U237" s="374"/>
      <c r="V237" s="375"/>
      <c r="W237" s="42" t="s">
        <v>39</v>
      </c>
      <c r="X237" s="43">
        <f>IFERROR(SUM(X236:X236),"0")</f>
        <v>108</v>
      </c>
      <c r="Y237" s="43">
        <f>IFERROR(SUM(Y236:Y236),"0")</f>
        <v>108</v>
      </c>
      <c r="Z237" s="43">
        <f>IFERROR(IF(Z236="",0,Z236),"0")</f>
        <v>1.6739999999999999</v>
      </c>
      <c r="AA237" s="67"/>
      <c r="AB237" s="67"/>
      <c r="AC237" s="67"/>
    </row>
    <row r="238" spans="1:68" x14ac:dyDescent="0.2">
      <c r="A238" s="376"/>
      <c r="B238" s="376"/>
      <c r="C238" s="376"/>
      <c r="D238" s="376"/>
      <c r="E238" s="376"/>
      <c r="F238" s="376"/>
      <c r="G238" s="376"/>
      <c r="H238" s="376"/>
      <c r="I238" s="376"/>
      <c r="J238" s="376"/>
      <c r="K238" s="376"/>
      <c r="L238" s="376"/>
      <c r="M238" s="376"/>
      <c r="N238" s="376"/>
      <c r="O238" s="377"/>
      <c r="P238" s="373" t="s">
        <v>40</v>
      </c>
      <c r="Q238" s="374"/>
      <c r="R238" s="374"/>
      <c r="S238" s="374"/>
      <c r="T238" s="374"/>
      <c r="U238" s="374"/>
      <c r="V238" s="375"/>
      <c r="W238" s="42" t="s">
        <v>0</v>
      </c>
      <c r="X238" s="43">
        <f>IFERROR(SUMPRODUCT(X236:X236*H236:H236),"0")</f>
        <v>540</v>
      </c>
      <c r="Y238" s="43">
        <f>IFERROR(SUMPRODUCT(Y236:Y236*H236:H236),"0")</f>
        <v>540</v>
      </c>
      <c r="Z238" s="42"/>
      <c r="AA238" s="67"/>
      <c r="AB238" s="67"/>
      <c r="AC238" s="67"/>
    </row>
    <row r="239" spans="1:68" ht="27.75" hidden="1" customHeight="1" x14ac:dyDescent="0.2">
      <c r="A239" s="359" t="s">
        <v>342</v>
      </c>
      <c r="B239" s="359"/>
      <c r="C239" s="359"/>
      <c r="D239" s="359"/>
      <c r="E239" s="359"/>
      <c r="F239" s="359"/>
      <c r="G239" s="359"/>
      <c r="H239" s="359"/>
      <c r="I239" s="359"/>
      <c r="J239" s="359"/>
      <c r="K239" s="359"/>
      <c r="L239" s="359"/>
      <c r="M239" s="359"/>
      <c r="N239" s="359"/>
      <c r="O239" s="359"/>
      <c r="P239" s="359"/>
      <c r="Q239" s="359"/>
      <c r="R239" s="359"/>
      <c r="S239" s="359"/>
      <c r="T239" s="359"/>
      <c r="U239" s="359"/>
      <c r="V239" s="359"/>
      <c r="W239" s="359"/>
      <c r="X239" s="359"/>
      <c r="Y239" s="359"/>
      <c r="Z239" s="359"/>
      <c r="AA239" s="54"/>
      <c r="AB239" s="54"/>
      <c r="AC239" s="54"/>
    </row>
    <row r="240" spans="1:68" ht="16.5" hidden="1" customHeight="1" x14ac:dyDescent="0.25">
      <c r="A240" s="360" t="s">
        <v>343</v>
      </c>
      <c r="B240" s="360"/>
      <c r="C240" s="360"/>
      <c r="D240" s="360"/>
      <c r="E240" s="360"/>
      <c r="F240" s="360"/>
      <c r="G240" s="360"/>
      <c r="H240" s="360"/>
      <c r="I240" s="360"/>
      <c r="J240" s="360"/>
      <c r="K240" s="360"/>
      <c r="L240" s="360"/>
      <c r="M240" s="360"/>
      <c r="N240" s="360"/>
      <c r="O240" s="360"/>
      <c r="P240" s="360"/>
      <c r="Q240" s="360"/>
      <c r="R240" s="360"/>
      <c r="S240" s="360"/>
      <c r="T240" s="360"/>
      <c r="U240" s="360"/>
      <c r="V240" s="360"/>
      <c r="W240" s="360"/>
      <c r="X240" s="360"/>
      <c r="Y240" s="360"/>
      <c r="Z240" s="360"/>
      <c r="AA240" s="65"/>
      <c r="AB240" s="65"/>
      <c r="AC240" s="82"/>
    </row>
    <row r="241" spans="1:68" ht="14.25" hidden="1" customHeight="1" x14ac:dyDescent="0.25">
      <c r="A241" s="361" t="s">
        <v>344</v>
      </c>
      <c r="B241" s="361"/>
      <c r="C241" s="361"/>
      <c r="D241" s="361"/>
      <c r="E241" s="361"/>
      <c r="F241" s="361"/>
      <c r="G241" s="361"/>
      <c r="H241" s="361"/>
      <c r="I241" s="361"/>
      <c r="J241" s="361"/>
      <c r="K241" s="361"/>
      <c r="L241" s="361"/>
      <c r="M241" s="361"/>
      <c r="N241" s="361"/>
      <c r="O241" s="361"/>
      <c r="P241" s="361"/>
      <c r="Q241" s="361"/>
      <c r="R241" s="361"/>
      <c r="S241" s="361"/>
      <c r="T241" s="361"/>
      <c r="U241" s="361"/>
      <c r="V241" s="361"/>
      <c r="W241" s="361"/>
      <c r="X241" s="361"/>
      <c r="Y241" s="361"/>
      <c r="Z241" s="361"/>
      <c r="AA241" s="66"/>
      <c r="AB241" s="66"/>
      <c r="AC241" s="83"/>
    </row>
    <row r="242" spans="1:68" ht="27" hidden="1" customHeight="1" x14ac:dyDescent="0.25">
      <c r="A242" s="63" t="s">
        <v>345</v>
      </c>
      <c r="B242" s="63" t="s">
        <v>346</v>
      </c>
      <c r="C242" s="36">
        <v>4301133004</v>
      </c>
      <c r="D242" s="362">
        <v>4607111039774</v>
      </c>
      <c r="E242" s="362"/>
      <c r="F242" s="62">
        <v>0.25</v>
      </c>
      <c r="G242" s="37">
        <v>12</v>
      </c>
      <c r="H242" s="62">
        <v>3</v>
      </c>
      <c r="I242" s="62">
        <v>3.22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45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364"/>
      <c r="R242" s="364"/>
      <c r="S242" s="364"/>
      <c r="T242" s="365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1" t="s">
        <v>347</v>
      </c>
      <c r="AG242" s="81"/>
      <c r="AJ242" s="87" t="s">
        <v>89</v>
      </c>
      <c r="AK242" s="87">
        <v>1</v>
      </c>
      <c r="BB242" s="252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6"/>
      <c r="B243" s="376"/>
      <c r="C243" s="376"/>
      <c r="D243" s="376"/>
      <c r="E243" s="376"/>
      <c r="F243" s="376"/>
      <c r="G243" s="376"/>
      <c r="H243" s="376"/>
      <c r="I243" s="376"/>
      <c r="J243" s="376"/>
      <c r="K243" s="376"/>
      <c r="L243" s="376"/>
      <c r="M243" s="376"/>
      <c r="N243" s="376"/>
      <c r="O243" s="377"/>
      <c r="P243" s="373" t="s">
        <v>40</v>
      </c>
      <c r="Q243" s="374"/>
      <c r="R243" s="374"/>
      <c r="S243" s="374"/>
      <c r="T243" s="374"/>
      <c r="U243" s="374"/>
      <c r="V243" s="37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6"/>
      <c r="B244" s="376"/>
      <c r="C244" s="376"/>
      <c r="D244" s="376"/>
      <c r="E244" s="376"/>
      <c r="F244" s="376"/>
      <c r="G244" s="376"/>
      <c r="H244" s="376"/>
      <c r="I244" s="376"/>
      <c r="J244" s="376"/>
      <c r="K244" s="376"/>
      <c r="L244" s="376"/>
      <c r="M244" s="376"/>
      <c r="N244" s="376"/>
      <c r="O244" s="377"/>
      <c r="P244" s="373" t="s">
        <v>40</v>
      </c>
      <c r="Q244" s="374"/>
      <c r="R244" s="374"/>
      <c r="S244" s="374"/>
      <c r="T244" s="374"/>
      <c r="U244" s="374"/>
      <c r="V244" s="37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61" t="s">
        <v>157</v>
      </c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1"/>
      <c r="P245" s="361"/>
      <c r="Q245" s="361"/>
      <c r="R245" s="361"/>
      <c r="S245" s="361"/>
      <c r="T245" s="361"/>
      <c r="U245" s="361"/>
      <c r="V245" s="361"/>
      <c r="W245" s="361"/>
      <c r="X245" s="361"/>
      <c r="Y245" s="361"/>
      <c r="Z245" s="361"/>
      <c r="AA245" s="66"/>
      <c r="AB245" s="66"/>
      <c r="AC245" s="83"/>
    </row>
    <row r="246" spans="1:68" ht="37.5" hidden="1" customHeight="1" x14ac:dyDescent="0.25">
      <c r="A246" s="63" t="s">
        <v>348</v>
      </c>
      <c r="B246" s="63" t="s">
        <v>349</v>
      </c>
      <c r="C246" s="36">
        <v>4301135400</v>
      </c>
      <c r="D246" s="362">
        <v>4607111039361</v>
      </c>
      <c r="E246" s="362"/>
      <c r="F246" s="62">
        <v>0.25</v>
      </c>
      <c r="G246" s="37">
        <v>12</v>
      </c>
      <c r="H246" s="62">
        <v>3</v>
      </c>
      <c r="I246" s="62">
        <v>3.7035999999999998</v>
      </c>
      <c r="J246" s="37">
        <v>70</v>
      </c>
      <c r="K246" s="37" t="s">
        <v>118</v>
      </c>
      <c r="L246" s="37" t="s">
        <v>88</v>
      </c>
      <c r="M246" s="38" t="s">
        <v>86</v>
      </c>
      <c r="N246" s="38"/>
      <c r="O246" s="37">
        <v>180</v>
      </c>
      <c r="P246" s="45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364"/>
      <c r="R246" s="364"/>
      <c r="S246" s="364"/>
      <c r="T246" s="365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3" t="s">
        <v>347</v>
      </c>
      <c r="AG246" s="81"/>
      <c r="AJ246" s="87" t="s">
        <v>89</v>
      </c>
      <c r="AK246" s="87">
        <v>1</v>
      </c>
      <c r="BB246" s="254" t="s">
        <v>117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6"/>
      <c r="B247" s="376"/>
      <c r="C247" s="376"/>
      <c r="D247" s="376"/>
      <c r="E247" s="376"/>
      <c r="F247" s="376"/>
      <c r="G247" s="376"/>
      <c r="H247" s="376"/>
      <c r="I247" s="376"/>
      <c r="J247" s="376"/>
      <c r="K247" s="376"/>
      <c r="L247" s="376"/>
      <c r="M247" s="376"/>
      <c r="N247" s="376"/>
      <c r="O247" s="377"/>
      <c r="P247" s="373" t="s">
        <v>40</v>
      </c>
      <c r="Q247" s="374"/>
      <c r="R247" s="374"/>
      <c r="S247" s="374"/>
      <c r="T247" s="374"/>
      <c r="U247" s="374"/>
      <c r="V247" s="37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6"/>
      <c r="B248" s="376"/>
      <c r="C248" s="376"/>
      <c r="D248" s="376"/>
      <c r="E248" s="376"/>
      <c r="F248" s="376"/>
      <c r="G248" s="376"/>
      <c r="H248" s="376"/>
      <c r="I248" s="376"/>
      <c r="J248" s="376"/>
      <c r="K248" s="376"/>
      <c r="L248" s="376"/>
      <c r="M248" s="376"/>
      <c r="N248" s="376"/>
      <c r="O248" s="377"/>
      <c r="P248" s="373" t="s">
        <v>40</v>
      </c>
      <c r="Q248" s="374"/>
      <c r="R248" s="374"/>
      <c r="S248" s="374"/>
      <c r="T248" s="374"/>
      <c r="U248" s="374"/>
      <c r="V248" s="37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9" t="s">
        <v>350</v>
      </c>
      <c r="B249" s="359"/>
      <c r="C249" s="359"/>
      <c r="D249" s="359"/>
      <c r="E249" s="359"/>
      <c r="F249" s="359"/>
      <c r="G249" s="359"/>
      <c r="H249" s="359"/>
      <c r="I249" s="359"/>
      <c r="J249" s="359"/>
      <c r="K249" s="359"/>
      <c r="L249" s="359"/>
      <c r="M249" s="359"/>
      <c r="N249" s="359"/>
      <c r="O249" s="359"/>
      <c r="P249" s="359"/>
      <c r="Q249" s="359"/>
      <c r="R249" s="359"/>
      <c r="S249" s="359"/>
      <c r="T249" s="359"/>
      <c r="U249" s="359"/>
      <c r="V249" s="359"/>
      <c r="W249" s="359"/>
      <c r="X249" s="359"/>
      <c r="Y249" s="359"/>
      <c r="Z249" s="359"/>
      <c r="AA249" s="54"/>
      <c r="AB249" s="54"/>
      <c r="AC249" s="54"/>
    </row>
    <row r="250" spans="1:68" ht="16.5" hidden="1" customHeight="1" x14ac:dyDescent="0.25">
      <c r="A250" s="360" t="s">
        <v>350</v>
      </c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0"/>
      <c r="P250" s="360"/>
      <c r="Q250" s="360"/>
      <c r="R250" s="360"/>
      <c r="S250" s="360"/>
      <c r="T250" s="360"/>
      <c r="U250" s="360"/>
      <c r="V250" s="360"/>
      <c r="W250" s="360"/>
      <c r="X250" s="360"/>
      <c r="Y250" s="360"/>
      <c r="Z250" s="360"/>
      <c r="AA250" s="65"/>
      <c r="AB250" s="65"/>
      <c r="AC250" s="82"/>
    </row>
    <row r="251" spans="1:68" ht="14.25" hidden="1" customHeight="1" x14ac:dyDescent="0.25">
      <c r="A251" s="361" t="s">
        <v>113</v>
      </c>
      <c r="B251" s="361"/>
      <c r="C251" s="361"/>
      <c r="D251" s="361"/>
      <c r="E251" s="361"/>
      <c r="F251" s="361"/>
      <c r="G251" s="361"/>
      <c r="H251" s="361"/>
      <c r="I251" s="361"/>
      <c r="J251" s="361"/>
      <c r="K251" s="361"/>
      <c r="L251" s="361"/>
      <c r="M251" s="361"/>
      <c r="N251" s="361"/>
      <c r="O251" s="361"/>
      <c r="P251" s="361"/>
      <c r="Q251" s="361"/>
      <c r="R251" s="361"/>
      <c r="S251" s="361"/>
      <c r="T251" s="361"/>
      <c r="U251" s="361"/>
      <c r="V251" s="361"/>
      <c r="W251" s="361"/>
      <c r="X251" s="361"/>
      <c r="Y251" s="361"/>
      <c r="Z251" s="361"/>
      <c r="AA251" s="66"/>
      <c r="AB251" s="66"/>
      <c r="AC251" s="83"/>
    </row>
    <row r="252" spans="1:68" ht="27" hidden="1" customHeight="1" x14ac:dyDescent="0.25">
      <c r="A252" s="63" t="s">
        <v>351</v>
      </c>
      <c r="B252" s="63" t="s">
        <v>352</v>
      </c>
      <c r="C252" s="36">
        <v>4301132228</v>
      </c>
      <c r="D252" s="362">
        <v>4640242181950</v>
      </c>
      <c r="E252" s="362"/>
      <c r="F252" s="62">
        <v>0.23</v>
      </c>
      <c r="G252" s="37">
        <v>12</v>
      </c>
      <c r="H252" s="62">
        <v>2.76</v>
      </c>
      <c r="I252" s="62">
        <v>3.22</v>
      </c>
      <c r="J252" s="37">
        <v>70</v>
      </c>
      <c r="K252" s="37" t="s">
        <v>118</v>
      </c>
      <c r="L252" s="37" t="s">
        <v>88</v>
      </c>
      <c r="M252" s="38" t="s">
        <v>86</v>
      </c>
      <c r="N252" s="38"/>
      <c r="O252" s="37">
        <v>365</v>
      </c>
      <c r="P252" s="45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2" s="364"/>
      <c r="R252" s="364"/>
      <c r="S252" s="364"/>
      <c r="T252" s="365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IFERROR(IF(X252="","",X252*0.01788),"")</f>
        <v>0</v>
      </c>
      <c r="AA252" s="68" t="s">
        <v>46</v>
      </c>
      <c r="AB252" s="69" t="s">
        <v>46</v>
      </c>
      <c r="AC252" s="255" t="s">
        <v>353</v>
      </c>
      <c r="AG252" s="81"/>
      <c r="AJ252" s="87" t="s">
        <v>89</v>
      </c>
      <c r="AK252" s="87">
        <v>1</v>
      </c>
      <c r="BB252" s="256" t="s">
        <v>117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idden="1" x14ac:dyDescent="0.2">
      <c r="A253" s="376"/>
      <c r="B253" s="376"/>
      <c r="C253" s="376"/>
      <c r="D253" s="376"/>
      <c r="E253" s="376"/>
      <c r="F253" s="376"/>
      <c r="G253" s="376"/>
      <c r="H253" s="376"/>
      <c r="I253" s="376"/>
      <c r="J253" s="376"/>
      <c r="K253" s="376"/>
      <c r="L253" s="376"/>
      <c r="M253" s="376"/>
      <c r="N253" s="376"/>
      <c r="O253" s="377"/>
      <c r="P253" s="373" t="s">
        <v>40</v>
      </c>
      <c r="Q253" s="374"/>
      <c r="R253" s="374"/>
      <c r="S253" s="374"/>
      <c r="T253" s="374"/>
      <c r="U253" s="374"/>
      <c r="V253" s="375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376"/>
      <c r="B254" s="376"/>
      <c r="C254" s="376"/>
      <c r="D254" s="376"/>
      <c r="E254" s="376"/>
      <c r="F254" s="376"/>
      <c r="G254" s="376"/>
      <c r="H254" s="376"/>
      <c r="I254" s="376"/>
      <c r="J254" s="376"/>
      <c r="K254" s="376"/>
      <c r="L254" s="376"/>
      <c r="M254" s="376"/>
      <c r="N254" s="376"/>
      <c r="O254" s="377"/>
      <c r="P254" s="373" t="s">
        <v>40</v>
      </c>
      <c r="Q254" s="374"/>
      <c r="R254" s="374"/>
      <c r="S254" s="374"/>
      <c r="T254" s="374"/>
      <c r="U254" s="374"/>
      <c r="V254" s="375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14.25" hidden="1" customHeight="1" x14ac:dyDescent="0.25">
      <c r="A255" s="361" t="s">
        <v>151</v>
      </c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1"/>
      <c r="P255" s="361"/>
      <c r="Q255" s="361"/>
      <c r="R255" s="361"/>
      <c r="S255" s="361"/>
      <c r="T255" s="361"/>
      <c r="U255" s="361"/>
      <c r="V255" s="361"/>
      <c r="W255" s="361"/>
      <c r="X255" s="361"/>
      <c r="Y255" s="361"/>
      <c r="Z255" s="361"/>
      <c r="AA255" s="66"/>
      <c r="AB255" s="66"/>
      <c r="AC255" s="83"/>
    </row>
    <row r="256" spans="1:68" ht="27" hidden="1" customHeight="1" x14ac:dyDescent="0.25">
      <c r="A256" s="63" t="s">
        <v>354</v>
      </c>
      <c r="B256" s="63" t="s">
        <v>355</v>
      </c>
      <c r="C256" s="36">
        <v>4301136098</v>
      </c>
      <c r="D256" s="362">
        <v>4640242181943</v>
      </c>
      <c r="E256" s="362"/>
      <c r="F256" s="62">
        <v>0.09</v>
      </c>
      <c r="G256" s="37">
        <v>24</v>
      </c>
      <c r="H256" s="62">
        <v>2.16</v>
      </c>
      <c r="I256" s="62">
        <v>2.34</v>
      </c>
      <c r="J256" s="37">
        <v>126</v>
      </c>
      <c r="K256" s="37" t="s">
        <v>118</v>
      </c>
      <c r="L256" s="37" t="s">
        <v>88</v>
      </c>
      <c r="M256" s="38" t="s">
        <v>86</v>
      </c>
      <c r="N256" s="38"/>
      <c r="O256" s="37">
        <v>180</v>
      </c>
      <c r="P256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356</v>
      </c>
      <c r="AG256" s="81"/>
      <c r="AJ256" s="87" t="s">
        <v>89</v>
      </c>
      <c r="AK256" s="87">
        <v>1</v>
      </c>
      <c r="BB256" s="258" t="s">
        <v>117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IFERROR(SUM(X256:X256),"0")</f>
        <v>0</v>
      </c>
      <c r="Y257" s="43">
        <f>IFERROR(SUM(Y256:Y256),"0")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IFERROR(SUMPRODUCT(X256:X256*H256:H256),"0")</f>
        <v>0</v>
      </c>
      <c r="Y258" s="43">
        <f>IFERROR(SUMPRODUCT(Y256:Y256*H256:H256),"0")</f>
        <v>0</v>
      </c>
      <c r="Z258" s="42"/>
      <c r="AA258" s="67"/>
      <c r="AB258" s="67"/>
      <c r="AC258" s="67"/>
    </row>
    <row r="259" spans="1:68" ht="27.75" hidden="1" customHeight="1" x14ac:dyDescent="0.2">
      <c r="A259" s="359" t="s">
        <v>357</v>
      </c>
      <c r="B259" s="359"/>
      <c r="C259" s="359"/>
      <c r="D259" s="359"/>
      <c r="E259" s="359"/>
      <c r="F259" s="359"/>
      <c r="G259" s="359"/>
      <c r="H259" s="359"/>
      <c r="I259" s="359"/>
      <c r="J259" s="359"/>
      <c r="K259" s="359"/>
      <c r="L259" s="359"/>
      <c r="M259" s="359"/>
      <c r="N259" s="359"/>
      <c r="O259" s="359"/>
      <c r="P259" s="359"/>
      <c r="Q259" s="359"/>
      <c r="R259" s="359"/>
      <c r="S259" s="359"/>
      <c r="T259" s="359"/>
      <c r="U259" s="359"/>
      <c r="V259" s="359"/>
      <c r="W259" s="359"/>
      <c r="X259" s="359"/>
      <c r="Y259" s="359"/>
      <c r="Z259" s="359"/>
      <c r="AA259" s="54"/>
      <c r="AB259" s="54"/>
      <c r="AC259" s="54"/>
    </row>
    <row r="260" spans="1:68" ht="16.5" hidden="1" customHeight="1" x14ac:dyDescent="0.25">
      <c r="A260" s="360" t="s">
        <v>357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0"/>
      <c r="Q260" s="360"/>
      <c r="R260" s="360"/>
      <c r="S260" s="360"/>
      <c r="T260" s="360"/>
      <c r="U260" s="360"/>
      <c r="V260" s="360"/>
      <c r="W260" s="360"/>
      <c r="X260" s="360"/>
      <c r="Y260" s="360"/>
      <c r="Z260" s="360"/>
      <c r="AA260" s="65"/>
      <c r="AB260" s="65"/>
      <c r="AC260" s="82"/>
    </row>
    <row r="261" spans="1:68" ht="14.25" hidden="1" customHeight="1" x14ac:dyDescent="0.25">
      <c r="A261" s="361" t="s">
        <v>82</v>
      </c>
      <c r="B261" s="361"/>
      <c r="C261" s="361"/>
      <c r="D261" s="361"/>
      <c r="E261" s="361"/>
      <c r="F261" s="361"/>
      <c r="G261" s="361"/>
      <c r="H261" s="361"/>
      <c r="I261" s="361"/>
      <c r="J261" s="361"/>
      <c r="K261" s="361"/>
      <c r="L261" s="361"/>
      <c r="M261" s="361"/>
      <c r="N261" s="361"/>
      <c r="O261" s="361"/>
      <c r="P261" s="361"/>
      <c r="Q261" s="361"/>
      <c r="R261" s="361"/>
      <c r="S261" s="361"/>
      <c r="T261" s="361"/>
      <c r="U261" s="361"/>
      <c r="V261" s="361"/>
      <c r="W261" s="361"/>
      <c r="X261" s="361"/>
      <c r="Y261" s="361"/>
      <c r="Z261" s="361"/>
      <c r="AA261" s="66"/>
      <c r="AB261" s="66"/>
      <c r="AC261" s="83"/>
    </row>
    <row r="262" spans="1:68" ht="27" hidden="1" customHeight="1" x14ac:dyDescent="0.25">
      <c r="A262" s="63" t="s">
        <v>358</v>
      </c>
      <c r="B262" s="63" t="s">
        <v>359</v>
      </c>
      <c r="C262" s="36">
        <v>4301071014</v>
      </c>
      <c r="D262" s="362">
        <v>4640242181264</v>
      </c>
      <c r="E262" s="362"/>
      <c r="F262" s="62">
        <v>0.7</v>
      </c>
      <c r="G262" s="37">
        <v>10</v>
      </c>
      <c r="H262" s="62">
        <v>7</v>
      </c>
      <c r="I262" s="62">
        <v>7.28</v>
      </c>
      <c r="J262" s="37">
        <v>84</v>
      </c>
      <c r="K262" s="37" t="s">
        <v>87</v>
      </c>
      <c r="L262" s="37" t="s">
        <v>88</v>
      </c>
      <c r="M262" s="38" t="s">
        <v>86</v>
      </c>
      <c r="N262" s="38"/>
      <c r="O262" s="37">
        <v>180</v>
      </c>
      <c r="P262" s="4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2" s="364"/>
      <c r="R262" s="364"/>
      <c r="S262" s="364"/>
      <c r="T262" s="365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59" t="s">
        <v>360</v>
      </c>
      <c r="AG262" s="81"/>
      <c r="AJ262" s="87" t="s">
        <v>89</v>
      </c>
      <c r="AK262" s="87">
        <v>1</v>
      </c>
      <c r="BB262" s="260" t="s">
        <v>70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361</v>
      </c>
      <c r="B263" s="63" t="s">
        <v>362</v>
      </c>
      <c r="C263" s="36">
        <v>4301071021</v>
      </c>
      <c r="D263" s="362">
        <v>4640242181325</v>
      </c>
      <c r="E263" s="362"/>
      <c r="F263" s="62">
        <v>0.7</v>
      </c>
      <c r="G263" s="37">
        <v>10</v>
      </c>
      <c r="H263" s="62">
        <v>7</v>
      </c>
      <c r="I263" s="62">
        <v>7.28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3" s="364"/>
      <c r="R263" s="364"/>
      <c r="S263" s="364"/>
      <c r="T263" s="365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1" t="s">
        <v>360</v>
      </c>
      <c r="AG263" s="81"/>
      <c r="AJ263" s="87" t="s">
        <v>89</v>
      </c>
      <c r="AK263" s="87">
        <v>1</v>
      </c>
      <c r="BB263" s="262" t="s">
        <v>70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6"/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7"/>
      <c r="P264" s="373" t="s">
        <v>40</v>
      </c>
      <c r="Q264" s="374"/>
      <c r="R264" s="374"/>
      <c r="S264" s="374"/>
      <c r="T264" s="374"/>
      <c r="U264" s="374"/>
      <c r="V264" s="375"/>
      <c r="W264" s="42" t="s">
        <v>39</v>
      </c>
      <c r="X264" s="43">
        <f>IFERROR(SUM(X262:X263),"0")</f>
        <v>0</v>
      </c>
      <c r="Y264" s="43">
        <f>IFERROR(SUM(Y262:Y263),"0")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376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7"/>
      <c r="P265" s="373" t="s">
        <v>40</v>
      </c>
      <c r="Q265" s="374"/>
      <c r="R265" s="374"/>
      <c r="S265" s="374"/>
      <c r="T265" s="374"/>
      <c r="U265" s="374"/>
      <c r="V265" s="375"/>
      <c r="W265" s="42" t="s">
        <v>0</v>
      </c>
      <c r="X265" s="43">
        <f>IFERROR(SUMPRODUCT(X262:X263*H262:H263),"0")</f>
        <v>0</v>
      </c>
      <c r="Y265" s="43">
        <f>IFERROR(SUMPRODUCT(Y262:Y263*H262:H263),"0")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61" t="s">
        <v>113</v>
      </c>
      <c r="B266" s="361"/>
      <c r="C266" s="361"/>
      <c r="D266" s="361"/>
      <c r="E266" s="361"/>
      <c r="F266" s="361"/>
      <c r="G266" s="361"/>
      <c r="H266" s="361"/>
      <c r="I266" s="361"/>
      <c r="J266" s="361"/>
      <c r="K266" s="361"/>
      <c r="L266" s="361"/>
      <c r="M266" s="361"/>
      <c r="N266" s="361"/>
      <c r="O266" s="361"/>
      <c r="P266" s="361"/>
      <c r="Q266" s="361"/>
      <c r="R266" s="361"/>
      <c r="S266" s="361"/>
      <c r="T266" s="361"/>
      <c r="U266" s="361"/>
      <c r="V266" s="361"/>
      <c r="W266" s="361"/>
      <c r="X266" s="361"/>
      <c r="Y266" s="361"/>
      <c r="Z266" s="361"/>
      <c r="AA266" s="66"/>
      <c r="AB266" s="66"/>
      <c r="AC266" s="83"/>
    </row>
    <row r="267" spans="1:68" ht="27" customHeight="1" x14ac:dyDescent="0.25">
      <c r="A267" s="63" t="s">
        <v>363</v>
      </c>
      <c r="B267" s="63" t="s">
        <v>364</v>
      </c>
      <c r="C267" s="36">
        <v>4301132080</v>
      </c>
      <c r="D267" s="362">
        <v>4640242180397</v>
      </c>
      <c r="E267" s="362"/>
      <c r="F267" s="62">
        <v>1</v>
      </c>
      <c r="G267" s="37">
        <v>6</v>
      </c>
      <c r="H267" s="62">
        <v>6</v>
      </c>
      <c r="I267" s="62">
        <v>6.26</v>
      </c>
      <c r="J267" s="37">
        <v>84</v>
      </c>
      <c r="K267" s="37" t="s">
        <v>87</v>
      </c>
      <c r="L267" s="37" t="s">
        <v>119</v>
      </c>
      <c r="M267" s="38" t="s">
        <v>86</v>
      </c>
      <c r="N267" s="38"/>
      <c r="O267" s="37">
        <v>180</v>
      </c>
      <c r="P267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7" s="364"/>
      <c r="R267" s="364"/>
      <c r="S267" s="364"/>
      <c r="T267" s="365"/>
      <c r="U267" s="39" t="s">
        <v>46</v>
      </c>
      <c r="V267" s="39" t="s">
        <v>46</v>
      </c>
      <c r="W267" s="40" t="s">
        <v>39</v>
      </c>
      <c r="X267" s="58">
        <v>24</v>
      </c>
      <c r="Y267" s="55">
        <f>IFERROR(IF(X267="","",X267),"")</f>
        <v>24</v>
      </c>
      <c r="Z267" s="41">
        <f>IFERROR(IF(X267="","",X267*0.0155),"")</f>
        <v>0.372</v>
      </c>
      <c r="AA267" s="68" t="s">
        <v>46</v>
      </c>
      <c r="AB267" s="69" t="s">
        <v>46</v>
      </c>
      <c r="AC267" s="263" t="s">
        <v>365</v>
      </c>
      <c r="AG267" s="81"/>
      <c r="AJ267" s="87" t="s">
        <v>120</v>
      </c>
      <c r="AK267" s="87">
        <v>12</v>
      </c>
      <c r="BB267" s="264" t="s">
        <v>117</v>
      </c>
      <c r="BM267" s="81">
        <f>IFERROR(X267*I267,"0")</f>
        <v>150.24</v>
      </c>
      <c r="BN267" s="81">
        <f>IFERROR(Y267*I267,"0")</f>
        <v>150.24</v>
      </c>
      <c r="BO267" s="81">
        <f>IFERROR(X267/J267,"0")</f>
        <v>0.2857142857142857</v>
      </c>
      <c r="BP267" s="81">
        <f>IFERROR(Y267/J267,"0")</f>
        <v>0.2857142857142857</v>
      </c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39</v>
      </c>
      <c r="X268" s="43">
        <f>IFERROR(SUM(X267:X267),"0")</f>
        <v>24</v>
      </c>
      <c r="Y268" s="43">
        <f>IFERROR(SUM(Y267:Y267),"0")</f>
        <v>24</v>
      </c>
      <c r="Z268" s="43">
        <f>IFERROR(IF(Z267="",0,Z267),"0")</f>
        <v>0.372</v>
      </c>
      <c r="AA268" s="67"/>
      <c r="AB268" s="67"/>
      <c r="AC268" s="67"/>
    </row>
    <row r="269" spans="1:68" x14ac:dyDescent="0.2">
      <c r="A269" s="376"/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7"/>
      <c r="P269" s="373" t="s">
        <v>40</v>
      </c>
      <c r="Q269" s="374"/>
      <c r="R269" s="374"/>
      <c r="S269" s="374"/>
      <c r="T269" s="374"/>
      <c r="U269" s="374"/>
      <c r="V269" s="375"/>
      <c r="W269" s="42" t="s">
        <v>0</v>
      </c>
      <c r="X269" s="43">
        <f>IFERROR(SUMPRODUCT(X267:X267*H267:H267),"0")</f>
        <v>144</v>
      </c>
      <c r="Y269" s="43">
        <f>IFERROR(SUMPRODUCT(Y267:Y267*H267:H267),"0")</f>
        <v>144</v>
      </c>
      <c r="Z269" s="42"/>
      <c r="AA269" s="67"/>
      <c r="AB269" s="67"/>
      <c r="AC269" s="67"/>
    </row>
    <row r="270" spans="1:68" ht="14.25" hidden="1" customHeight="1" x14ac:dyDescent="0.25">
      <c r="A270" s="361" t="s">
        <v>151</v>
      </c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361"/>
      <c r="P270" s="361"/>
      <c r="Q270" s="361"/>
      <c r="R270" s="361"/>
      <c r="S270" s="361"/>
      <c r="T270" s="361"/>
      <c r="U270" s="361"/>
      <c r="V270" s="361"/>
      <c r="W270" s="361"/>
      <c r="X270" s="361"/>
      <c r="Y270" s="361"/>
      <c r="Z270" s="361"/>
      <c r="AA270" s="66"/>
      <c r="AB270" s="66"/>
      <c r="AC270" s="83"/>
    </row>
    <row r="271" spans="1:68" ht="27" hidden="1" customHeight="1" x14ac:dyDescent="0.25">
      <c r="A271" s="63" t="s">
        <v>366</v>
      </c>
      <c r="B271" s="63" t="s">
        <v>367</v>
      </c>
      <c r="C271" s="36">
        <v>4301136051</v>
      </c>
      <c r="D271" s="362">
        <v>4640242180304</v>
      </c>
      <c r="E271" s="362"/>
      <c r="F271" s="62">
        <v>2.7</v>
      </c>
      <c r="G271" s="37">
        <v>1</v>
      </c>
      <c r="H271" s="62">
        <v>2.7</v>
      </c>
      <c r="I271" s="62">
        <v>2.8906000000000001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5" t="s">
        <v>368</v>
      </c>
      <c r="AG271" s="81"/>
      <c r="AJ271" s="87" t="s">
        <v>120</v>
      </c>
      <c r="AK271" s="87">
        <v>14</v>
      </c>
      <c r="BB271" s="266" t="s">
        <v>117</v>
      </c>
      <c r="BM271" s="81">
        <f>IFERROR(X271*I271,"0")</f>
        <v>0</v>
      </c>
      <c r="BN271" s="81">
        <f>IFERROR(Y271*I271,"0")</f>
        <v>0</v>
      </c>
      <c r="BO271" s="81">
        <f>IFERROR(X271/J271,"0")</f>
        <v>0</v>
      </c>
      <c r="BP271" s="81">
        <f>IFERROR(Y271/J271,"0")</f>
        <v>0</v>
      </c>
    </row>
    <row r="272" spans="1:68" ht="27" customHeight="1" x14ac:dyDescent="0.25">
      <c r="A272" s="63" t="s">
        <v>369</v>
      </c>
      <c r="B272" s="63" t="s">
        <v>370</v>
      </c>
      <c r="C272" s="36">
        <v>4301136053</v>
      </c>
      <c r="D272" s="362">
        <v>4640242180236</v>
      </c>
      <c r="E272" s="362"/>
      <c r="F272" s="62">
        <v>5</v>
      </c>
      <c r="G272" s="37">
        <v>1</v>
      </c>
      <c r="H272" s="62">
        <v>5</v>
      </c>
      <c r="I272" s="62">
        <v>5.2350000000000003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60</v>
      </c>
      <c r="Y272" s="55">
        <f>IFERROR(IF(X272="","",X272),"")</f>
        <v>60</v>
      </c>
      <c r="Z272" s="41">
        <f>IFERROR(IF(X272="","",X272*0.0155),"")</f>
        <v>0.92999999999999994</v>
      </c>
      <c r="AA272" s="68" t="s">
        <v>46</v>
      </c>
      <c r="AB272" s="69" t="s">
        <v>46</v>
      </c>
      <c r="AC272" s="267" t="s">
        <v>368</v>
      </c>
      <c r="AG272" s="81"/>
      <c r="AJ272" s="87" t="s">
        <v>120</v>
      </c>
      <c r="AK272" s="87">
        <v>12</v>
      </c>
      <c r="BB272" s="268" t="s">
        <v>117</v>
      </c>
      <c r="BM272" s="81">
        <f>IFERROR(X272*I272,"0")</f>
        <v>314.10000000000002</v>
      </c>
      <c r="BN272" s="81">
        <f>IFERROR(Y272*I272,"0")</f>
        <v>314.10000000000002</v>
      </c>
      <c r="BO272" s="81">
        <f>IFERROR(X272/J272,"0")</f>
        <v>0.7142857142857143</v>
      </c>
      <c r="BP272" s="81">
        <f>IFERROR(Y272/J272,"0")</f>
        <v>0.7142857142857143</v>
      </c>
    </row>
    <row r="273" spans="1:68" ht="27" hidden="1" customHeight="1" x14ac:dyDescent="0.25">
      <c r="A273" s="63" t="s">
        <v>371</v>
      </c>
      <c r="B273" s="63" t="s">
        <v>372</v>
      </c>
      <c r="C273" s="36">
        <v>4301136052</v>
      </c>
      <c r="D273" s="362">
        <v>4640242180410</v>
      </c>
      <c r="E273" s="362"/>
      <c r="F273" s="62">
        <v>2.2400000000000002</v>
      </c>
      <c r="G273" s="37">
        <v>1</v>
      </c>
      <c r="H273" s="62">
        <v>2.2400000000000002</v>
      </c>
      <c r="I273" s="62">
        <v>2.4319999999999999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0</v>
      </c>
      <c r="Y273" s="55">
        <f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69" t="s">
        <v>368</v>
      </c>
      <c r="AG273" s="81"/>
      <c r="AJ273" s="87" t="s">
        <v>120</v>
      </c>
      <c r="AK273" s="87">
        <v>14</v>
      </c>
      <c r="BB273" s="270" t="s">
        <v>117</v>
      </c>
      <c r="BM273" s="81">
        <f>IFERROR(X273*I273,"0")</f>
        <v>0</v>
      </c>
      <c r="BN273" s="81">
        <f>IFERROR(Y273*I273,"0")</f>
        <v>0</v>
      </c>
      <c r="BO273" s="81">
        <f>IFERROR(X273/J273,"0")</f>
        <v>0</v>
      </c>
      <c r="BP273" s="81">
        <f>IFERROR(Y273/J273,"0")</f>
        <v>0</v>
      </c>
    </row>
    <row r="274" spans="1:68" x14ac:dyDescent="0.2">
      <c r="A274" s="376"/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7"/>
      <c r="P274" s="373" t="s">
        <v>40</v>
      </c>
      <c r="Q274" s="374"/>
      <c r="R274" s="374"/>
      <c r="S274" s="374"/>
      <c r="T274" s="374"/>
      <c r="U274" s="374"/>
      <c r="V274" s="375"/>
      <c r="W274" s="42" t="s">
        <v>39</v>
      </c>
      <c r="X274" s="43">
        <f>IFERROR(SUM(X271:X273),"0")</f>
        <v>60</v>
      </c>
      <c r="Y274" s="43">
        <f>IFERROR(SUM(Y271:Y273),"0")</f>
        <v>60</v>
      </c>
      <c r="Z274" s="43">
        <f>IFERROR(IF(Z271="",0,Z271),"0")+IFERROR(IF(Z272="",0,Z272),"0")+IFERROR(IF(Z273="",0,Z273),"0")</f>
        <v>0.92999999999999994</v>
      </c>
      <c r="AA274" s="67"/>
      <c r="AB274" s="67"/>
      <c r="AC274" s="67"/>
    </row>
    <row r="275" spans="1:68" x14ac:dyDescent="0.2">
      <c r="A275" s="376"/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7"/>
      <c r="P275" s="373" t="s">
        <v>40</v>
      </c>
      <c r="Q275" s="374"/>
      <c r="R275" s="374"/>
      <c r="S275" s="374"/>
      <c r="T275" s="374"/>
      <c r="U275" s="374"/>
      <c r="V275" s="375"/>
      <c r="W275" s="42" t="s">
        <v>0</v>
      </c>
      <c r="X275" s="43">
        <f>IFERROR(SUMPRODUCT(X271:X273*H271:H273),"0")</f>
        <v>300</v>
      </c>
      <c r="Y275" s="43">
        <f>IFERROR(SUMPRODUCT(Y271:Y273*H271:H273),"0")</f>
        <v>300</v>
      </c>
      <c r="Z275" s="42"/>
      <c r="AA275" s="67"/>
      <c r="AB275" s="67"/>
      <c r="AC275" s="67"/>
    </row>
    <row r="276" spans="1:68" ht="14.25" hidden="1" customHeight="1" x14ac:dyDescent="0.25">
      <c r="A276" s="361" t="s">
        <v>157</v>
      </c>
      <c r="B276" s="361"/>
      <c r="C276" s="361"/>
      <c r="D276" s="361"/>
      <c r="E276" s="361"/>
      <c r="F276" s="361"/>
      <c r="G276" s="361"/>
      <c r="H276" s="361"/>
      <c r="I276" s="361"/>
      <c r="J276" s="361"/>
      <c r="K276" s="361"/>
      <c r="L276" s="361"/>
      <c r="M276" s="361"/>
      <c r="N276" s="361"/>
      <c r="O276" s="361"/>
      <c r="P276" s="361"/>
      <c r="Q276" s="361"/>
      <c r="R276" s="361"/>
      <c r="S276" s="361"/>
      <c r="T276" s="361"/>
      <c r="U276" s="361"/>
      <c r="V276" s="361"/>
      <c r="W276" s="361"/>
      <c r="X276" s="361"/>
      <c r="Y276" s="361"/>
      <c r="Z276" s="361"/>
      <c r="AA276" s="66"/>
      <c r="AB276" s="66"/>
      <c r="AC276" s="83"/>
    </row>
    <row r="277" spans="1:68" ht="37.5" hidden="1" customHeight="1" x14ac:dyDescent="0.25">
      <c r="A277" s="63" t="s">
        <v>373</v>
      </c>
      <c r="B277" s="63" t="s">
        <v>374</v>
      </c>
      <c r="C277" s="36">
        <v>4301135504</v>
      </c>
      <c r="D277" s="362">
        <v>4640242181554</v>
      </c>
      <c r="E277" s="362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ref="Y277:Y286" si="18">IFERROR(IF(X277="","",X277),"")</f>
        <v>0</v>
      </c>
      <c r="Z277" s="41">
        <f>IFERROR(IF(X277="","",X277*0.00936),"")</f>
        <v>0</v>
      </c>
      <c r="AA277" s="68" t="s">
        <v>46</v>
      </c>
      <c r="AB277" s="69" t="s">
        <v>46</v>
      </c>
      <c r="AC277" s="271" t="s">
        <v>375</v>
      </c>
      <c r="AG277" s="81"/>
      <c r="AJ277" s="87" t="s">
        <v>89</v>
      </c>
      <c r="AK277" s="87">
        <v>1</v>
      </c>
      <c r="BB277" s="272" t="s">
        <v>117</v>
      </c>
      <c r="BM277" s="81">
        <f t="shared" ref="BM277:BM286" si="19">IFERROR(X277*I277,"0")</f>
        <v>0</v>
      </c>
      <c r="BN277" s="81">
        <f t="shared" ref="BN277:BN286" si="20">IFERROR(Y277*I277,"0")</f>
        <v>0</v>
      </c>
      <c r="BO277" s="81">
        <f t="shared" ref="BO277:BO286" si="21">IFERROR(X277/J277,"0")</f>
        <v>0</v>
      </c>
      <c r="BP277" s="81">
        <f t="shared" ref="BP277:BP286" si="22">IFERROR(Y277/J277,"0")</f>
        <v>0</v>
      </c>
    </row>
    <row r="278" spans="1:68" ht="27" hidden="1" customHeight="1" x14ac:dyDescent="0.25">
      <c r="A278" s="63" t="s">
        <v>376</v>
      </c>
      <c r="B278" s="63" t="s">
        <v>377</v>
      </c>
      <c r="C278" s="36">
        <v>4301135518</v>
      </c>
      <c r="D278" s="362">
        <v>4640242181561</v>
      </c>
      <c r="E278" s="362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IFERROR(IF(X278="","",X278*0.00936),"")</f>
        <v>0</v>
      </c>
      <c r="AA278" s="68" t="s">
        <v>46</v>
      </c>
      <c r="AB278" s="69" t="s">
        <v>46</v>
      </c>
      <c r="AC278" s="273" t="s">
        <v>378</v>
      </c>
      <c r="AG278" s="81"/>
      <c r="AJ278" s="87" t="s">
        <v>120</v>
      </c>
      <c r="AK278" s="87">
        <v>14</v>
      </c>
      <c r="BB278" s="274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379</v>
      </c>
      <c r="B279" s="63" t="s">
        <v>380</v>
      </c>
      <c r="C279" s="36">
        <v>4301135374</v>
      </c>
      <c r="D279" s="362">
        <v>4640242181424</v>
      </c>
      <c r="E279" s="362"/>
      <c r="F279" s="62">
        <v>5.5</v>
      </c>
      <c r="G279" s="37">
        <v>1</v>
      </c>
      <c r="H279" s="62">
        <v>5.5</v>
      </c>
      <c r="I279" s="62">
        <v>5.7350000000000003</v>
      </c>
      <c r="J279" s="37">
        <v>84</v>
      </c>
      <c r="K279" s="37" t="s">
        <v>87</v>
      </c>
      <c r="L279" s="37" t="s">
        <v>119</v>
      </c>
      <c r="M279" s="38" t="s">
        <v>86</v>
      </c>
      <c r="N279" s="38"/>
      <c r="O279" s="37">
        <v>180</v>
      </c>
      <c r="P279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IFERROR(IF(X279="","",X279*0.0155),"")</f>
        <v>0</v>
      </c>
      <c r="AA279" s="68" t="s">
        <v>46</v>
      </c>
      <c r="AB279" s="69" t="s">
        <v>46</v>
      </c>
      <c r="AC279" s="275" t="s">
        <v>375</v>
      </c>
      <c r="AG279" s="81"/>
      <c r="AJ279" s="87" t="s">
        <v>120</v>
      </c>
      <c r="AK279" s="87">
        <v>12</v>
      </c>
      <c r="BB279" s="276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hidden="1" customHeight="1" x14ac:dyDescent="0.25">
      <c r="A280" s="63" t="s">
        <v>381</v>
      </c>
      <c r="B280" s="63" t="s">
        <v>382</v>
      </c>
      <c r="C280" s="36">
        <v>4301135405</v>
      </c>
      <c r="D280" s="362">
        <v>4640242181523</v>
      </c>
      <c r="E280" s="362"/>
      <c r="F280" s="62">
        <v>3</v>
      </c>
      <c r="G280" s="37">
        <v>1</v>
      </c>
      <c r="H280" s="62">
        <v>3</v>
      </c>
      <c r="I280" s="62">
        <v>3.1920000000000002</v>
      </c>
      <c r="J280" s="37">
        <v>126</v>
      </c>
      <c r="K280" s="37" t="s">
        <v>118</v>
      </c>
      <c r="L280" s="37" t="s">
        <v>119</v>
      </c>
      <c r="M280" s="38" t="s">
        <v>86</v>
      </c>
      <c r="N280" s="38"/>
      <c r="O280" s="37">
        <v>180</v>
      </c>
      <c r="P280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0" s="364"/>
      <c r="R280" s="364"/>
      <c r="S280" s="364"/>
      <c r="T280" s="36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ref="Z280:Z285" si="23">IFERROR(IF(X280="","",X280*0.00936),"")</f>
        <v>0</v>
      </c>
      <c r="AA280" s="68" t="s">
        <v>46</v>
      </c>
      <c r="AB280" s="69" t="s">
        <v>46</v>
      </c>
      <c r="AC280" s="277" t="s">
        <v>378</v>
      </c>
      <c r="AG280" s="81"/>
      <c r="AJ280" s="87" t="s">
        <v>120</v>
      </c>
      <c r="AK280" s="87">
        <v>14</v>
      </c>
      <c r="BB280" s="278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hidden="1" customHeight="1" x14ac:dyDescent="0.25">
      <c r="A281" s="63" t="s">
        <v>383</v>
      </c>
      <c r="B281" s="63" t="s">
        <v>384</v>
      </c>
      <c r="C281" s="36">
        <v>4301135375</v>
      </c>
      <c r="D281" s="362">
        <v>4640242181486</v>
      </c>
      <c r="E281" s="362"/>
      <c r="F281" s="62">
        <v>3.7</v>
      </c>
      <c r="G281" s="37">
        <v>1</v>
      </c>
      <c r="H281" s="62">
        <v>3.7</v>
      </c>
      <c r="I281" s="62">
        <v>3.8919999999999999</v>
      </c>
      <c r="J281" s="37">
        <v>126</v>
      </c>
      <c r="K281" s="37" t="s">
        <v>118</v>
      </c>
      <c r="L281" s="37" t="s">
        <v>119</v>
      </c>
      <c r="M281" s="38" t="s">
        <v>86</v>
      </c>
      <c r="N281" s="38"/>
      <c r="O281" s="37">
        <v>180</v>
      </c>
      <c r="P281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1" s="364"/>
      <c r="R281" s="364"/>
      <c r="S281" s="364"/>
      <c r="T281" s="36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79" t="s">
        <v>375</v>
      </c>
      <c r="AG281" s="81"/>
      <c r="AJ281" s="87" t="s">
        <v>120</v>
      </c>
      <c r="AK281" s="87">
        <v>14</v>
      </c>
      <c r="BB281" s="280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37.5" hidden="1" customHeight="1" x14ac:dyDescent="0.25">
      <c r="A282" s="63" t="s">
        <v>385</v>
      </c>
      <c r="B282" s="63" t="s">
        <v>386</v>
      </c>
      <c r="C282" s="36">
        <v>4301135402</v>
      </c>
      <c r="D282" s="362">
        <v>4640242181493</v>
      </c>
      <c r="E282" s="362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2" s="364"/>
      <c r="R282" s="364"/>
      <c r="S282" s="364"/>
      <c r="T282" s="36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1" t="s">
        <v>375</v>
      </c>
      <c r="AG282" s="81"/>
      <c r="AJ282" s="87" t="s">
        <v>89</v>
      </c>
      <c r="AK282" s="87">
        <v>1</v>
      </c>
      <c r="BB282" s="282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37.5" hidden="1" customHeight="1" x14ac:dyDescent="0.25">
      <c r="A283" s="63" t="s">
        <v>387</v>
      </c>
      <c r="B283" s="63" t="s">
        <v>388</v>
      </c>
      <c r="C283" s="36">
        <v>4301135403</v>
      </c>
      <c r="D283" s="362">
        <v>4640242181509</v>
      </c>
      <c r="E283" s="362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47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3" s="364"/>
      <c r="R283" s="364"/>
      <c r="S283" s="364"/>
      <c r="T283" s="36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83" t="s">
        <v>375</v>
      </c>
      <c r="AG283" s="81"/>
      <c r="AJ283" s="87" t="s">
        <v>89</v>
      </c>
      <c r="AK283" s="87">
        <v>1</v>
      </c>
      <c r="BB283" s="284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27" hidden="1" customHeight="1" x14ac:dyDescent="0.25">
      <c r="A284" s="63" t="s">
        <v>389</v>
      </c>
      <c r="B284" s="63" t="s">
        <v>390</v>
      </c>
      <c r="C284" s="36">
        <v>4301135304</v>
      </c>
      <c r="D284" s="362">
        <v>4640242181240</v>
      </c>
      <c r="E284" s="362"/>
      <c r="F284" s="62">
        <v>0.3</v>
      </c>
      <c r="G284" s="37">
        <v>9</v>
      </c>
      <c r="H284" s="62">
        <v>2.7</v>
      </c>
      <c r="I284" s="62">
        <v>2.88</v>
      </c>
      <c r="J284" s="37">
        <v>126</v>
      </c>
      <c r="K284" s="37" t="s">
        <v>118</v>
      </c>
      <c r="L284" s="37" t="s">
        <v>88</v>
      </c>
      <c r="M284" s="38" t="s">
        <v>86</v>
      </c>
      <c r="N284" s="38"/>
      <c r="O284" s="37">
        <v>180</v>
      </c>
      <c r="P284" s="4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4" s="364"/>
      <c r="R284" s="364"/>
      <c r="S284" s="364"/>
      <c r="T284" s="365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85" t="s">
        <v>375</v>
      </c>
      <c r="AG284" s="81"/>
      <c r="AJ284" s="87" t="s">
        <v>89</v>
      </c>
      <c r="AK284" s="87">
        <v>1</v>
      </c>
      <c r="BB284" s="286" t="s">
        <v>117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27" hidden="1" customHeight="1" x14ac:dyDescent="0.25">
      <c r="A285" s="63" t="s">
        <v>391</v>
      </c>
      <c r="B285" s="63" t="s">
        <v>392</v>
      </c>
      <c r="C285" s="36">
        <v>4301135610</v>
      </c>
      <c r="D285" s="362">
        <v>4640242181318</v>
      </c>
      <c r="E285" s="362"/>
      <c r="F285" s="62">
        <v>0.3</v>
      </c>
      <c r="G285" s="37">
        <v>9</v>
      </c>
      <c r="H285" s="62">
        <v>2.7</v>
      </c>
      <c r="I285" s="62">
        <v>2.988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47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5" s="364"/>
      <c r="R285" s="364"/>
      <c r="S285" s="364"/>
      <c r="T285" s="365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7" t="s">
        <v>378</v>
      </c>
      <c r="AG285" s="81"/>
      <c r="AJ285" s="87" t="s">
        <v>89</v>
      </c>
      <c r="AK285" s="87">
        <v>1</v>
      </c>
      <c r="BB285" s="288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27" hidden="1" customHeight="1" x14ac:dyDescent="0.25">
      <c r="A286" s="63" t="s">
        <v>393</v>
      </c>
      <c r="B286" s="63" t="s">
        <v>394</v>
      </c>
      <c r="C286" s="36">
        <v>4301135306</v>
      </c>
      <c r="D286" s="362">
        <v>4640242181387</v>
      </c>
      <c r="E286" s="362"/>
      <c r="F286" s="62">
        <v>0.3</v>
      </c>
      <c r="G286" s="37">
        <v>9</v>
      </c>
      <c r="H286" s="62">
        <v>2.7</v>
      </c>
      <c r="I286" s="62">
        <v>2.8450000000000002</v>
      </c>
      <c r="J286" s="37">
        <v>234</v>
      </c>
      <c r="K286" s="37" t="s">
        <v>169</v>
      </c>
      <c r="L286" s="37" t="s">
        <v>88</v>
      </c>
      <c r="M286" s="38" t="s">
        <v>86</v>
      </c>
      <c r="N286" s="38"/>
      <c r="O286" s="37">
        <v>180</v>
      </c>
      <c r="P286" s="47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6" s="364"/>
      <c r="R286" s="364"/>
      <c r="S286" s="364"/>
      <c r="T286" s="365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>IFERROR(IF(X286="","",X286*0.00502),"")</f>
        <v>0</v>
      </c>
      <c r="AA286" s="68" t="s">
        <v>46</v>
      </c>
      <c r="AB286" s="69" t="s">
        <v>46</v>
      </c>
      <c r="AC286" s="289" t="s">
        <v>375</v>
      </c>
      <c r="AG286" s="81"/>
      <c r="AJ286" s="87" t="s">
        <v>89</v>
      </c>
      <c r="AK286" s="87">
        <v>1</v>
      </c>
      <c r="BB286" s="290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7"/>
      <c r="P287" s="373" t="s">
        <v>40</v>
      </c>
      <c r="Q287" s="374"/>
      <c r="R287" s="374"/>
      <c r="S287" s="374"/>
      <c r="T287" s="374"/>
      <c r="U287" s="374"/>
      <c r="V287" s="375"/>
      <c r="W287" s="42" t="s">
        <v>39</v>
      </c>
      <c r="X287" s="43">
        <f>IFERROR(SUM(X277:X286),"0")</f>
        <v>0</v>
      </c>
      <c r="Y287" s="43">
        <f>IFERROR(SUM(Y277:Y286),"0")</f>
        <v>0</v>
      </c>
      <c r="Z287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</f>
        <v>0</v>
      </c>
      <c r="AA287" s="67"/>
      <c r="AB287" s="67"/>
      <c r="AC287" s="67"/>
    </row>
    <row r="288" spans="1:68" hidden="1" x14ac:dyDescent="0.2">
      <c r="A288" s="376"/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7"/>
      <c r="P288" s="373" t="s">
        <v>40</v>
      </c>
      <c r="Q288" s="374"/>
      <c r="R288" s="374"/>
      <c r="S288" s="374"/>
      <c r="T288" s="374"/>
      <c r="U288" s="374"/>
      <c r="V288" s="375"/>
      <c r="W288" s="42" t="s">
        <v>0</v>
      </c>
      <c r="X288" s="43">
        <f>IFERROR(SUMPRODUCT(X277:X286*H277:H286),"0")</f>
        <v>0</v>
      </c>
      <c r="Y288" s="43">
        <f>IFERROR(SUMPRODUCT(Y277:Y286*H277:H286),"0")</f>
        <v>0</v>
      </c>
      <c r="Z288" s="42"/>
      <c r="AA288" s="67"/>
      <c r="AB288" s="67"/>
      <c r="AC288" s="67"/>
    </row>
    <row r="289" spans="1:32" ht="15" customHeight="1" x14ac:dyDescent="0.2">
      <c r="A289" s="376"/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477"/>
      <c r="P289" s="474" t="s">
        <v>33</v>
      </c>
      <c r="Q289" s="475"/>
      <c r="R289" s="475"/>
      <c r="S289" s="475"/>
      <c r="T289" s="475"/>
      <c r="U289" s="475"/>
      <c r="V289" s="476"/>
      <c r="W289" s="42" t="s">
        <v>0</v>
      </c>
      <c r="X289" s="43">
        <f>IFERROR(X31+X37+X44+X51+X59+X64+X68+X73+X79+X85+X90+X96+X106+X112+X124+X128+X132+X139+X145+X151+X157+X163+X168+X173+X178+X185+X189+X198+X204+X210+X216+X221+X226+X232+X238+X244+X248+X254+X258+X265+X269+X275+X288,"0")</f>
        <v>11744.88</v>
      </c>
      <c r="Y289" s="43">
        <f>IFERROR(Y31+Y37+Y44+Y51+Y59+Y64+Y68+Y73+Y79+Y85+Y90+Y96+Y106+Y112+Y124+Y128+Y132+Y139+Y145+Y151+Y157+Y163+Y168+Y173+Y178+Y185+Y189+Y198+Y204+Y210+Y216+Y221+Y226+Y232+Y238+Y244+Y248+Y254+Y258+Y265+Y269+Y275+Y288,"0")</f>
        <v>11744.88</v>
      </c>
      <c r="Z289" s="42"/>
      <c r="AA289" s="67"/>
      <c r="AB289" s="67"/>
      <c r="AC289" s="67"/>
    </row>
    <row r="290" spans="1:32" x14ac:dyDescent="0.2">
      <c r="A290" s="376"/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477"/>
      <c r="P290" s="474" t="s">
        <v>34</v>
      </c>
      <c r="Q290" s="475"/>
      <c r="R290" s="475"/>
      <c r="S290" s="475"/>
      <c r="T290" s="475"/>
      <c r="U290" s="475"/>
      <c r="V290" s="476"/>
      <c r="W290" s="42" t="s">
        <v>0</v>
      </c>
      <c r="X290" s="43">
        <f>IFERROR(SUM(BM22:BM286),"0")</f>
        <v>12946.801600000001</v>
      </c>
      <c r="Y290" s="43">
        <f>IFERROR(SUM(BN22:BN286),"0")</f>
        <v>12946.801600000001</v>
      </c>
      <c r="Z290" s="42"/>
      <c r="AA290" s="67"/>
      <c r="AB290" s="67"/>
      <c r="AC290" s="67"/>
    </row>
    <row r="291" spans="1:32" x14ac:dyDescent="0.2">
      <c r="A291" s="376"/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477"/>
      <c r="P291" s="474" t="s">
        <v>35</v>
      </c>
      <c r="Q291" s="475"/>
      <c r="R291" s="475"/>
      <c r="S291" s="475"/>
      <c r="T291" s="475"/>
      <c r="U291" s="475"/>
      <c r="V291" s="476"/>
      <c r="W291" s="42" t="s">
        <v>20</v>
      </c>
      <c r="X291" s="44">
        <f>ROUNDUP(SUM(BO22:BO286),0)</f>
        <v>35</v>
      </c>
      <c r="Y291" s="44">
        <f>ROUNDUP(SUM(BP22:BP286),0)</f>
        <v>35</v>
      </c>
      <c r="Z291" s="42"/>
      <c r="AA291" s="67"/>
      <c r="AB291" s="67"/>
      <c r="AC291" s="67"/>
    </row>
    <row r="292" spans="1:32" x14ac:dyDescent="0.2">
      <c r="A292" s="376"/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477"/>
      <c r="P292" s="474" t="s">
        <v>36</v>
      </c>
      <c r="Q292" s="475"/>
      <c r="R292" s="475"/>
      <c r="S292" s="475"/>
      <c r="T292" s="475"/>
      <c r="U292" s="475"/>
      <c r="V292" s="476"/>
      <c r="W292" s="42" t="s">
        <v>0</v>
      </c>
      <c r="X292" s="43">
        <f>GrossWeightTotal+PalletQtyTotal*25</f>
        <v>13821.801600000001</v>
      </c>
      <c r="Y292" s="43">
        <f>GrossWeightTotalR+PalletQtyTotalR*25</f>
        <v>13821.801600000001</v>
      </c>
      <c r="Z292" s="42"/>
      <c r="AA292" s="67"/>
      <c r="AB292" s="67"/>
      <c r="AC292" s="67"/>
    </row>
    <row r="293" spans="1:32" x14ac:dyDescent="0.2">
      <c r="A293" s="376"/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477"/>
      <c r="P293" s="474" t="s">
        <v>37</v>
      </c>
      <c r="Q293" s="475"/>
      <c r="R293" s="475"/>
      <c r="S293" s="475"/>
      <c r="T293" s="475"/>
      <c r="U293" s="475"/>
      <c r="V293" s="476"/>
      <c r="W293" s="42" t="s">
        <v>20</v>
      </c>
      <c r="X293" s="43">
        <f>IFERROR(X30+X36+X43+X50+X58+X63+X67+X72+X78+X84+X89+X95+X105+X111+X123+X127+X131+X138+X144+X150+X156+X162+X167+X172+X177+X184+X188+X197+X203+X209+X215+X220+X225+X231+X237+X243+X247+X253+X257+X264+X268+X274+X287,"0")</f>
        <v>2920</v>
      </c>
      <c r="Y293" s="43">
        <f>IFERROR(Y30+Y36+Y43+Y50+Y58+Y63+Y67+Y72+Y78+Y84+Y89+Y95+Y105+Y111+Y123+Y127+Y131+Y138+Y144+Y150+Y156+Y162+Y167+Y172+Y177+Y184+Y188+Y197+Y203+Y209+Y215+Y220+Y225+Y231+Y237+Y243+Y247+Y253+Y257+Y264+Y268+Y274+Y287,"0")</f>
        <v>2920</v>
      </c>
      <c r="Z293" s="42"/>
      <c r="AA293" s="67"/>
      <c r="AB293" s="67"/>
      <c r="AC293" s="67"/>
    </row>
    <row r="294" spans="1:32" ht="14.25" hidden="1" x14ac:dyDescent="0.2">
      <c r="A294" s="376"/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477"/>
      <c r="P294" s="474" t="s">
        <v>38</v>
      </c>
      <c r="Q294" s="475"/>
      <c r="R294" s="475"/>
      <c r="S294" s="475"/>
      <c r="T294" s="475"/>
      <c r="U294" s="475"/>
      <c r="V294" s="476"/>
      <c r="W294" s="45" t="s">
        <v>52</v>
      </c>
      <c r="X294" s="42"/>
      <c r="Y294" s="42"/>
      <c r="Z294" s="42">
        <f>IFERROR(Z30+Z36+Z43+Z50+Z58+Z63+Z67+Z72+Z78+Z84+Z89+Z95+Z105+Z111+Z123+Z127+Z131+Z138+Z144+Z150+Z156+Z162+Z167+Z172+Z177+Z184+Z188+Z197+Z203+Z209+Z215+Z220+Z225+Z231+Z237+Z243+Z247+Z253+Z257+Z264+Z268+Z274+Z287,"0")</f>
        <v>43.495939999999997</v>
      </c>
      <c r="AA294" s="67"/>
      <c r="AB294" s="67"/>
      <c r="AC294" s="67"/>
    </row>
    <row r="295" spans="1:32" ht="13.5" thickBot="1" x14ac:dyDescent="0.25"/>
    <row r="296" spans="1:32" ht="27" thickTop="1" thickBot="1" x14ac:dyDescent="0.25">
      <c r="A296" s="46" t="s">
        <v>9</v>
      </c>
      <c r="B296" s="467" t="s">
        <v>81</v>
      </c>
      <c r="C296" s="467" t="s">
        <v>81</v>
      </c>
      <c r="D296" s="467" t="s">
        <v>45</v>
      </c>
      <c r="E296" s="467" t="s">
        <v>45</v>
      </c>
      <c r="F296" s="467" t="s">
        <v>45</v>
      </c>
      <c r="G296" s="467" t="s">
        <v>45</v>
      </c>
      <c r="H296" s="467" t="s">
        <v>45</v>
      </c>
      <c r="I296" s="467" t="s">
        <v>45</v>
      </c>
      <c r="J296" s="467" t="s">
        <v>45</v>
      </c>
      <c r="K296" s="467" t="s">
        <v>45</v>
      </c>
      <c r="L296" s="467" t="s">
        <v>45</v>
      </c>
      <c r="M296" s="467" t="s">
        <v>45</v>
      </c>
      <c r="N296" s="478"/>
      <c r="O296" s="467" t="s">
        <v>45</v>
      </c>
      <c r="P296" s="467" t="s">
        <v>45</v>
      </c>
      <c r="Q296" s="467" t="s">
        <v>45</v>
      </c>
      <c r="R296" s="467" t="s">
        <v>45</v>
      </c>
      <c r="S296" s="467" t="s">
        <v>45</v>
      </c>
      <c r="T296" s="467" t="s">
        <v>45</v>
      </c>
      <c r="U296" s="467" t="s">
        <v>45</v>
      </c>
      <c r="V296" s="88" t="s">
        <v>278</v>
      </c>
      <c r="W296" s="88" t="s">
        <v>290</v>
      </c>
      <c r="X296" s="467" t="s">
        <v>304</v>
      </c>
      <c r="Y296" s="467" t="s">
        <v>304</v>
      </c>
      <c r="Z296" s="467" t="s">
        <v>304</v>
      </c>
      <c r="AA296" s="467" t="s">
        <v>304</v>
      </c>
      <c r="AB296" s="88" t="s">
        <v>333</v>
      </c>
      <c r="AC296" s="88" t="s">
        <v>338</v>
      </c>
      <c r="AD296" s="88" t="s">
        <v>342</v>
      </c>
      <c r="AE296" s="88" t="s">
        <v>350</v>
      </c>
      <c r="AF296" s="88" t="s">
        <v>357</v>
      </c>
    </row>
    <row r="297" spans="1:32" ht="14.25" customHeight="1" thickTop="1" x14ac:dyDescent="0.2">
      <c r="A297" s="468" t="s">
        <v>10</v>
      </c>
      <c r="B297" s="467" t="s">
        <v>81</v>
      </c>
      <c r="C297" s="467" t="s">
        <v>106</v>
      </c>
      <c r="D297" s="467" t="s">
        <v>112</v>
      </c>
      <c r="E297" s="467" t="s">
        <v>123</v>
      </c>
      <c r="F297" s="467" t="s">
        <v>133</v>
      </c>
      <c r="G297" s="467" t="s">
        <v>144</v>
      </c>
      <c r="H297" s="467" t="s">
        <v>165</v>
      </c>
      <c r="I297" s="467" t="s">
        <v>172</v>
      </c>
      <c r="J297" s="467" t="s">
        <v>176</v>
      </c>
      <c r="K297" s="467" t="s">
        <v>184</v>
      </c>
      <c r="L297" s="467" t="s">
        <v>199</v>
      </c>
      <c r="M297" s="467" t="s">
        <v>205</v>
      </c>
      <c r="N297" s="1"/>
      <c r="O297" s="467" t="s">
        <v>233</v>
      </c>
      <c r="P297" s="467" t="s">
        <v>249</v>
      </c>
      <c r="Q297" s="467" t="s">
        <v>255</v>
      </c>
      <c r="R297" s="467" t="s">
        <v>262</v>
      </c>
      <c r="S297" s="467" t="s">
        <v>267</v>
      </c>
      <c r="T297" s="467" t="s">
        <v>271</v>
      </c>
      <c r="U297" s="467" t="s">
        <v>274</v>
      </c>
      <c r="V297" s="467" t="s">
        <v>279</v>
      </c>
      <c r="W297" s="467" t="s">
        <v>291</v>
      </c>
      <c r="X297" s="467" t="s">
        <v>305</v>
      </c>
      <c r="Y297" s="467" t="s">
        <v>318</v>
      </c>
      <c r="Z297" s="467" t="s">
        <v>325</v>
      </c>
      <c r="AA297" s="467" t="s">
        <v>329</v>
      </c>
      <c r="AB297" s="467" t="s">
        <v>334</v>
      </c>
      <c r="AC297" s="467" t="s">
        <v>339</v>
      </c>
      <c r="AD297" s="467" t="s">
        <v>343</v>
      </c>
      <c r="AE297" s="467" t="s">
        <v>350</v>
      </c>
      <c r="AF297" s="467" t="s">
        <v>357</v>
      </c>
    </row>
    <row r="298" spans="1:32" ht="13.5" thickBot="1" x14ac:dyDescent="0.25">
      <c r="A298" s="469"/>
      <c r="B298" s="467"/>
      <c r="C298" s="467"/>
      <c r="D298" s="467"/>
      <c r="E298" s="467"/>
      <c r="F298" s="467"/>
      <c r="G298" s="467"/>
      <c r="H298" s="467"/>
      <c r="I298" s="467"/>
      <c r="J298" s="467"/>
      <c r="K298" s="467"/>
      <c r="L298" s="467"/>
      <c r="M298" s="467"/>
      <c r="N298" s="1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  <c r="AA298" s="467"/>
      <c r="AB298" s="467"/>
      <c r="AC298" s="467"/>
      <c r="AD298" s="467"/>
      <c r="AE298" s="467"/>
      <c r="AF298" s="467"/>
    </row>
    <row r="299" spans="1:32" ht="18" thickTop="1" thickBot="1" x14ac:dyDescent="0.25">
      <c r="A299" s="46" t="s">
        <v>13</v>
      </c>
      <c r="B299" s="52">
        <f>IFERROR(X22*H22,"0")+IFERROR(X23*H23,"0")+IFERROR(X24*H24,"0")+IFERROR(X25*H25,"0")+IFERROR(X26*H26,"0")+IFERROR(X27*H27,"0")+IFERROR(X28*H28,"0")+IFERROR(X29*H29,"0")</f>
        <v>86.4</v>
      </c>
      <c r="C299" s="52">
        <f>IFERROR(X34*H34,"0")+IFERROR(X35*H35,"0")</f>
        <v>76.800000000000011</v>
      </c>
      <c r="D299" s="52">
        <f>IFERROR(X41*H41,"0")+IFERROR(X42*H42,"0")</f>
        <v>294</v>
      </c>
      <c r="E299" s="52">
        <f>IFERROR(X47*H47,"0")+IFERROR(X48*H48,"0")+IFERROR(X49*H49,"0")</f>
        <v>134.39999999999998</v>
      </c>
      <c r="F299" s="52">
        <f>IFERROR(X54*H54,"0")+IFERROR(X55*H55,"0")+IFERROR(X56*H56,"0")+IFERROR(X57*H57,"0")</f>
        <v>1344</v>
      </c>
      <c r="G299" s="52">
        <f>IFERROR(X62*H62,"0")+IFERROR(X66*H66,"0")+IFERROR(X70*H70,"0")+IFERROR(X71*H71,"0")+IFERROR(X75*H75,"0")+IFERROR(X76*H76,"0")+IFERROR(X77*H77,"0")</f>
        <v>67.2</v>
      </c>
      <c r="H299" s="52">
        <f>IFERROR(X82*H82,"0")+IFERROR(X83*H83,"0")</f>
        <v>960</v>
      </c>
      <c r="I299" s="52">
        <f>IFERROR(X88*H88,"0")</f>
        <v>50.4</v>
      </c>
      <c r="J299" s="52">
        <f>IFERROR(X93*H93,"0")+IFERROR(X94*H94,"0")</f>
        <v>302.39999999999998</v>
      </c>
      <c r="K299" s="52">
        <f>IFERROR(X99*H99,"0")+IFERROR(X100*H100,"0")+IFERROR(X101*H101,"0")+IFERROR(X102*H102,"0")+IFERROR(X103*H103,"0")+IFERROR(X104*H104,"0")</f>
        <v>483.84</v>
      </c>
      <c r="L299" s="52">
        <f>IFERROR(X109*H109,"0")+IFERROR(X110*H110,"0")</f>
        <v>30.240000000000002</v>
      </c>
      <c r="M299" s="52">
        <f>IFERROR(X115*H115,"0")+IFERROR(X116*H116,"0")+IFERROR(X117*H117,"0")+IFERROR(X118*H118,"0")+IFERROR(X119*H119,"0")+IFERROR(X120*H120,"0")+IFERROR(X121*H121,"0")+IFERROR(X122*H122,"0")+IFERROR(X126*H126,"0")+IFERROR(X130*H130,"0")</f>
        <v>3470.4</v>
      </c>
      <c r="N299" s="1"/>
      <c r="O299" s="52">
        <f>IFERROR(X135*H135,"0")+IFERROR(X136*H136,"0")+IFERROR(X137*H137,"0")+IFERROR(X141*H141,"0")+IFERROR(X142*H142,"0")+IFERROR(X143*H143,"0")</f>
        <v>322.55999999999995</v>
      </c>
      <c r="P299" s="52">
        <f>IFERROR(X148*H148,"0")+IFERROR(X149*H149,"0")</f>
        <v>588</v>
      </c>
      <c r="Q299" s="52">
        <f>IFERROR(X154*H154,"0")+IFERROR(X155*H155,"0")</f>
        <v>252</v>
      </c>
      <c r="R299" s="52">
        <f>IFERROR(X160*H160,"0")+IFERROR(X161*H161,"0")</f>
        <v>268.8</v>
      </c>
      <c r="S299" s="52">
        <f>IFERROR(X166*H166,"0")</f>
        <v>42</v>
      </c>
      <c r="T299" s="52">
        <f>IFERROR(X171*H171,"0")</f>
        <v>0</v>
      </c>
      <c r="U299" s="52">
        <f>IFERROR(X176*H176,"0")</f>
        <v>0</v>
      </c>
      <c r="V299" s="52">
        <f>IFERROR(X182*H182,"0")+IFERROR(X183*H183,"0")+IFERROR(X187*H187,"0")</f>
        <v>180</v>
      </c>
      <c r="W299" s="52">
        <f>IFERROR(X193*H193,"0")+IFERROR(X194*H194,"0")+IFERROR(X195*H195,"0")+IFERROR(X196*H196,"0")</f>
        <v>1379.28</v>
      </c>
      <c r="X299" s="52">
        <f>IFERROR(X202*H202,"0")+IFERROR(X206*H206,"0")+IFERROR(X207*H207,"0")+IFERROR(X208*H208,"0")</f>
        <v>188.16</v>
      </c>
      <c r="Y299" s="52">
        <f>IFERROR(X213*H213,"0")+IFERROR(X214*H214,"0")</f>
        <v>0</v>
      </c>
      <c r="Z299" s="52">
        <f>IFERROR(X219*H219,"0")</f>
        <v>240</v>
      </c>
      <c r="AA299" s="52">
        <f>IFERROR(X224*H224,"0")</f>
        <v>0</v>
      </c>
      <c r="AB299" s="52">
        <f>IFERROR(X230*H230,"0")</f>
        <v>0</v>
      </c>
      <c r="AC299" s="52">
        <f>IFERROR(X236*H236,"0")</f>
        <v>540</v>
      </c>
      <c r="AD299" s="52">
        <f>IFERROR(X242*H242,"0")+IFERROR(X246*H246,"0")</f>
        <v>0</v>
      </c>
      <c r="AE299" s="52">
        <f>IFERROR(X252*H252,"0")+IFERROR(X256*H256,"0")</f>
        <v>0</v>
      </c>
      <c r="AF299" s="52">
        <f>IFERROR(X262*H262,"0")+IFERROR(X263*H263,"0")+IFERROR(X267*H267,"0")+IFERROR(X271*H271,"0")+IFERROR(X272*H272,"0")+IFERROR(X273*H273,"0")+IFERROR(X277*H277,"0")+IFERROR(X278*H278,"0")+IFERROR(X279*H279,"0")+IFERROR(X280*H280,"0")+IFERROR(X281*H281,"0")+IFERROR(X282*H282,"0")+IFERROR(X283*H283,"0")+IFERROR(X284*H284,"0")+IFERROR(X285*H285,"0")+IFERROR(X286*H286,"0")</f>
        <v>444</v>
      </c>
    </row>
    <row r="300" spans="1:32" ht="13.5" thickTop="1" x14ac:dyDescent="0.2">
      <c r="C300" s="1"/>
    </row>
    <row r="301" spans="1:32" ht="19.5" customHeight="1" x14ac:dyDescent="0.2">
      <c r="A301" s="70" t="s">
        <v>62</v>
      </c>
      <c r="B301" s="70" t="s">
        <v>63</v>
      </c>
      <c r="C301" s="70" t="s">
        <v>65</v>
      </c>
    </row>
    <row r="302" spans="1:32" x14ac:dyDescent="0.2">
      <c r="A302" s="71">
        <f>SUMPRODUCT(--(BB:BB="ЗПФ"),--(W:W="кор"),H:H,Y:Y)+SUMPRODUCT(--(BB:BB="ЗПФ"),--(W:W="кг"),Y:Y)</f>
        <v>7032</v>
      </c>
      <c r="B302" s="72">
        <f>SUMPRODUCT(--(BB:BB="ПГП"),--(W:W="кор"),H:H,Y:Y)+SUMPRODUCT(--(BB:BB="ПГП"),--(W:W="кг"),Y:Y)</f>
        <v>4712.880000000001</v>
      </c>
      <c r="C302" s="72">
        <f>SUMPRODUCT(--(BB:BB="КИЗ"),--(W:W="кор"),H:H,Y:Y)+SUMPRODUCT(--(BB:BB="КИЗ"),--(W:W="кг"),Y:Y)</f>
        <v>0</v>
      </c>
    </row>
  </sheetData>
  <sheetProtection algorithmName="SHA-512" hashValue="ysk36lN3aMycoe8/CZG/Odk9z5s337qqNfZjFb7I+imyvCzfyz9a+JflMXNoctaxaYAQlsCiM+F1mIcpjXW9yA==" saltValue="rAQepDocPUdONdmPHkxj2Q==" spinCount="100000" sheet="1" objects="1" scenarios="1" sort="0" autoFilter="0" pivotTables="0"/>
  <autoFilter ref="A18:AF2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44,00"/>
        <filter val="1 379,28"/>
        <filter val="108,00"/>
        <filter val="11 744,88"/>
        <filter val="112,00"/>
        <filter val="12 946,80"/>
        <filter val="12,00"/>
        <filter val="120,00"/>
        <filter val="13 821,80"/>
        <filter val="134,40"/>
        <filter val="14,00"/>
        <filter val="140,00"/>
        <filter val="144,00"/>
        <filter val="154,00"/>
        <filter val="154,56"/>
        <filter val="168,00"/>
        <filter val="180,00"/>
        <filter val="192,00"/>
        <filter val="196,00"/>
        <filter val="2 920,00"/>
        <filter val="204,00"/>
        <filter val="238,00"/>
        <filter val="24,00"/>
        <filter val="240,00"/>
        <filter val="252,00"/>
        <filter val="268,80"/>
        <filter val="28,00"/>
        <filter val="294,00"/>
        <filter val="3 470,40"/>
        <filter val="30,24"/>
        <filter val="300,00"/>
        <filter val="302,40"/>
        <filter val="322,56"/>
        <filter val="33,60"/>
        <filter val="35"/>
        <filter val="36,00"/>
        <filter val="42,00"/>
        <filter val="462,00"/>
        <filter val="48,00"/>
        <filter val="483,84"/>
        <filter val="50,40"/>
        <filter val="504,00"/>
        <filter val="540,00"/>
        <filter val="56,00"/>
        <filter val="588,00"/>
        <filter val="60,00"/>
        <filter val="67,20"/>
        <filter val="70,00"/>
        <filter val="76,80"/>
        <filter val="84,00"/>
        <filter val="86,40"/>
        <filter val="960,00"/>
        <filter val="98,00"/>
      </filters>
    </filterColumn>
    <filterColumn colId="29" showButton="0"/>
    <filterColumn colId="30" showButton="0"/>
  </autoFilter>
  <dataConsolidate/>
  <mergeCells count="521">
    <mergeCell ref="AE297:AE298"/>
    <mergeCell ref="AF297:AF298"/>
    <mergeCell ref="X296:AA296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Y297:Y298"/>
    <mergeCell ref="T297:T298"/>
    <mergeCell ref="U297:U298"/>
    <mergeCell ref="V297:V298"/>
    <mergeCell ref="W297:W298"/>
    <mergeCell ref="X297:X298"/>
    <mergeCell ref="J297:J298"/>
    <mergeCell ref="K297:K298"/>
    <mergeCell ref="P293:V293"/>
    <mergeCell ref="P294:V294"/>
    <mergeCell ref="B296:C296"/>
    <mergeCell ref="D296:U296"/>
    <mergeCell ref="Z297:Z298"/>
    <mergeCell ref="AA297:AA298"/>
    <mergeCell ref="AB297:AB298"/>
    <mergeCell ref="AC297:AC298"/>
    <mergeCell ref="AD297:AD298"/>
    <mergeCell ref="L297:L298"/>
    <mergeCell ref="M297:M298"/>
    <mergeCell ref="O297:O298"/>
    <mergeCell ref="P297:P298"/>
    <mergeCell ref="Q297:Q298"/>
    <mergeCell ref="R297:R298"/>
    <mergeCell ref="S297:S298"/>
    <mergeCell ref="A297:A298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P287:V287"/>
    <mergeCell ref="A287:O288"/>
    <mergeCell ref="P288:V288"/>
    <mergeCell ref="P289:V289"/>
    <mergeCell ref="A289:O294"/>
    <mergeCell ref="P290:V290"/>
    <mergeCell ref="P291:V291"/>
    <mergeCell ref="P292:V292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A266:Z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A259:Z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A223:Z223"/>
    <mergeCell ref="A211:Z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93:E193"/>
    <mergeCell ref="P193:T193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2:X286 X277 X262:X263 X256 X252 X246 X242 X230 X224 X213:X214 X206:X207 X196 X187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:X281 X271:X273 X267 X236 X219 X208 X202 X193:X195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395</v>
      </c>
      <c r="H1" s="9"/>
    </row>
    <row r="3" spans="2:8" x14ac:dyDescent="0.2">
      <c r="B3" s="53" t="s">
        <v>396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398</v>
      </c>
      <c r="D6" s="53" t="s">
        <v>399</v>
      </c>
      <c r="E6" s="53" t="s">
        <v>46</v>
      </c>
    </row>
    <row r="8" spans="2:8" x14ac:dyDescent="0.2">
      <c r="B8" s="53" t="s">
        <v>80</v>
      </c>
      <c r="C8" s="53" t="s">
        <v>398</v>
      </c>
      <c r="D8" s="53" t="s">
        <v>46</v>
      </c>
      <c r="E8" s="53" t="s">
        <v>46</v>
      </c>
    </row>
    <row r="10" spans="2:8" x14ac:dyDescent="0.2">
      <c r="B10" s="53" t="s">
        <v>400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410</v>
      </c>
      <c r="C20" s="53" t="s">
        <v>46</v>
      </c>
      <c r="D20" s="53" t="s">
        <v>46</v>
      </c>
      <c r="E20" s="53" t="s">
        <v>46</v>
      </c>
    </row>
  </sheetData>
  <sheetProtection algorithmName="SHA-512" hashValue="bhC8lTGuxQe/xewbBzw9xst3/vMrUeb4F7mNZxl3Ss8TyvnOmpzY1gFoAMceZOFYHmq/Twkyas5r2ebps45xnA==" saltValue="1WlTJlztZ/YKDDam+5mkB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