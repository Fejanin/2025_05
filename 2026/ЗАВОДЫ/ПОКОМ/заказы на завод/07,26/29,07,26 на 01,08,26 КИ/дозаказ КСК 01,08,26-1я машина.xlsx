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4991497-D80D-451E-BCB9-137C4608393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P516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N488" i="2"/>
  <c r="BM488" i="2"/>
  <c r="Y488" i="2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N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N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P440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N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Z328" i="2"/>
  <c r="Y328" i="2"/>
  <c r="BN328" i="2" s="1"/>
  <c r="P328" i="2"/>
  <c r="BO327" i="2"/>
  <c r="BN327" i="2"/>
  <c r="BM327" i="2"/>
  <c r="Y327" i="2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Z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Z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N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P264" i="2"/>
  <c r="BO264" i="2"/>
  <c r="BM264" i="2"/>
  <c r="Z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N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N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Z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N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N132" i="2"/>
  <c r="BM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N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N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Z35" i="2"/>
  <c r="Z36" i="2" s="1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N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P202" i="2" l="1"/>
  <c r="BN288" i="2"/>
  <c r="BN284" i="2"/>
  <c r="BN304" i="2"/>
  <c r="Z373" i="2"/>
  <c r="BN498" i="2"/>
  <c r="Z182" i="2"/>
  <c r="BN402" i="2"/>
  <c r="Z280" i="2"/>
  <c r="BN373" i="2"/>
  <c r="Z428" i="2"/>
  <c r="BN472" i="2"/>
  <c r="BN396" i="2"/>
  <c r="BN214" i="2"/>
  <c r="BP127" i="2"/>
  <c r="BN457" i="2"/>
  <c r="Y55" i="2"/>
  <c r="Z90" i="2"/>
  <c r="Y151" i="2"/>
  <c r="Y262" i="2"/>
  <c r="BN30" i="2"/>
  <c r="Z192" i="2"/>
  <c r="BN231" i="2"/>
  <c r="BN82" i="2"/>
  <c r="BN364" i="2"/>
  <c r="Y412" i="2"/>
  <c r="BN416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Z338" i="2" s="1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50" i="2" l="1"/>
  <c r="Z411" i="2"/>
  <c r="Z32" i="2"/>
  <c r="Z245" i="2"/>
  <c r="Z405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<sst xmlns="http://schemas.openxmlformats.org/spreadsheetml/2006/main" count="4194" uniqueCount="891">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</sst>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 t="s">
        <v>890</v>
      </c>
      <c r="I5" s="989"/>
      <c r="J5" s="989"/>
      <c r="K5" s="989"/>
      <c r="L5" s="989"/>
      <c r="M5" s="989"/>
      <c r="N5" s="69"/>
      <c r="P5" s="26" t="s">
        <v>4</v>
      </c>
      <c r="Q5" s="991">
        <v>46235</v>
      </c>
      <c r="R5" s="991"/>
      <c r="T5" s="992" t="s">
        <v>3</v>
      </c>
      <c r="U5" s="993"/>
      <c r="V5" s="994" t="s">
        <v>870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 t="s">
        <v>871</v>
      </c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Суббота</v>
      </c>
      <c r="R6" s="969"/>
      <c r="T6" s="970" t="s">
        <v>5</v>
      </c>
      <c r="U6" s="971"/>
      <c r="V6" s="972" t="s">
        <v>69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57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0.375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70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889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71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72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73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74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60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58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65</v>
      </c>
      <c r="L17" s="928" t="s">
        <v>63</v>
      </c>
      <c r="M17" s="928" t="s">
        <v>2</v>
      </c>
      <c r="N17" s="928" t="s">
        <v>62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55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59</v>
      </c>
      <c r="AB17" s="934" t="s">
        <v>19</v>
      </c>
      <c r="AC17" s="934" t="s">
        <v>64</v>
      </c>
      <c r="AD17" s="936" t="s">
        <v>56</v>
      </c>
      <c r="AE17" s="937"/>
      <c r="AF17" s="938"/>
      <c r="AG17" s="77"/>
      <c r="BD17" s="76" t="s">
        <v>61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hidden="1" customHeight="1" x14ac:dyDescent="0.2">
      <c r="A19" s="657" t="s">
        <v>75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hidden="1" customHeight="1" x14ac:dyDescent="0.25">
      <c r="A20" s="650" t="s">
        <v>75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hidden="1" customHeight="1" x14ac:dyDescent="0.25">
      <c r="A21" s="651" t="s">
        <v>76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1" t="s">
        <v>85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51" t="s">
        <v>103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46">
        <v>4607091388503</v>
      </c>
      <c r="E35" s="64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92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8"/>
      <c r="R35" s="648"/>
      <c r="S35" s="648"/>
      <c r="T35" s="64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40"/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1"/>
      <c r="P36" s="637" t="s">
        <v>40</v>
      </c>
      <c r="Q36" s="638"/>
      <c r="R36" s="638"/>
      <c r="S36" s="638"/>
      <c r="T36" s="638"/>
      <c r="U36" s="638"/>
      <c r="V36" s="63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40"/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1"/>
      <c r="P37" s="637" t="s">
        <v>40</v>
      </c>
      <c r="Q37" s="638"/>
      <c r="R37" s="638"/>
      <c r="S37" s="638"/>
      <c r="T37" s="638"/>
      <c r="U37" s="638"/>
      <c r="V37" s="63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7" t="s">
        <v>45</v>
      </c>
      <c r="B38" s="657"/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52"/>
      <c r="AB38" s="52"/>
      <c r="AC38" s="52"/>
    </row>
    <row r="39" spans="1:68" ht="16.5" hidden="1" customHeight="1" x14ac:dyDescent="0.25">
      <c r="A39" s="650" t="s">
        <v>109</v>
      </c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2"/>
      <c r="AB39" s="62"/>
      <c r="AC39" s="62"/>
    </row>
    <row r="40" spans="1:68" ht="14.25" hidden="1" customHeight="1" x14ac:dyDescent="0.25">
      <c r="A40" s="651" t="s">
        <v>85</v>
      </c>
      <c r="B40" s="651"/>
      <c r="C40" s="651"/>
      <c r="D40" s="651"/>
      <c r="E40" s="651"/>
      <c r="F40" s="651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1"/>
      <c r="V40" s="651"/>
      <c r="W40" s="651"/>
      <c r="X40" s="651"/>
      <c r="Y40" s="651"/>
      <c r="Z40" s="65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46">
        <v>4680115889354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91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46">
        <v>4680115888463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46">
        <v>4680115888494</v>
      </c>
      <c r="E43" s="64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91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8"/>
      <c r="R43" s="648"/>
      <c r="S43" s="648"/>
      <c r="T43" s="64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46">
        <v>4680115888272</v>
      </c>
      <c r="E44" s="64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9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8"/>
      <c r="R44" s="648"/>
      <c r="S44" s="648"/>
      <c r="T44" s="64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46">
        <v>4680115888364</v>
      </c>
      <c r="E45" s="64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91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8"/>
      <c r="R45" s="648"/>
      <c r="S45" s="648"/>
      <c r="T45" s="64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40"/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1"/>
      <c r="P46" s="637" t="s">
        <v>40</v>
      </c>
      <c r="Q46" s="638"/>
      <c r="R46" s="638"/>
      <c r="S46" s="638"/>
      <c r="T46" s="638"/>
      <c r="U46" s="638"/>
      <c r="V46" s="63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40"/>
      <c r="B47" s="640"/>
      <c r="C47" s="640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1"/>
      <c r="P47" s="637" t="s">
        <v>40</v>
      </c>
      <c r="Q47" s="638"/>
      <c r="R47" s="638"/>
      <c r="S47" s="638"/>
      <c r="T47" s="638"/>
      <c r="U47" s="638"/>
      <c r="V47" s="63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7" t="s">
        <v>125</v>
      </c>
      <c r="B48" s="657"/>
      <c r="C48" s="657"/>
      <c r="D48" s="657"/>
      <c r="E48" s="657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657"/>
      <c r="Q48" s="657"/>
      <c r="R48" s="657"/>
      <c r="S48" s="657"/>
      <c r="T48" s="657"/>
      <c r="U48" s="657"/>
      <c r="V48" s="657"/>
      <c r="W48" s="657"/>
      <c r="X48" s="657"/>
      <c r="Y48" s="657"/>
      <c r="Z48" s="657"/>
      <c r="AA48" s="52"/>
      <c r="AB48" s="52"/>
      <c r="AC48" s="52"/>
    </row>
    <row r="49" spans="1:68" ht="16.5" hidden="1" customHeight="1" x14ac:dyDescent="0.25">
      <c r="A49" s="650" t="s">
        <v>126</v>
      </c>
      <c r="B49" s="650"/>
      <c r="C49" s="650"/>
      <c r="D49" s="650"/>
      <c r="E49" s="650"/>
      <c r="F49" s="650"/>
      <c r="G49" s="650"/>
      <c r="H49" s="650"/>
      <c r="I49" s="650"/>
      <c r="J49" s="650"/>
      <c r="K49" s="650"/>
      <c r="L49" s="650"/>
      <c r="M49" s="650"/>
      <c r="N49" s="650"/>
      <c r="O49" s="650"/>
      <c r="P49" s="650"/>
      <c r="Q49" s="650"/>
      <c r="R49" s="650"/>
      <c r="S49" s="650"/>
      <c r="T49" s="650"/>
      <c r="U49" s="650"/>
      <c r="V49" s="650"/>
      <c r="W49" s="650"/>
      <c r="X49" s="650"/>
      <c r="Y49" s="650"/>
      <c r="Z49" s="650"/>
      <c r="AA49" s="62"/>
      <c r="AB49" s="62"/>
      <c r="AC49" s="62"/>
    </row>
    <row r="50" spans="1:68" ht="14.25" hidden="1" customHeight="1" x14ac:dyDescent="0.25">
      <c r="A50" s="651" t="s">
        <v>127</v>
      </c>
      <c r="B50" s="651"/>
      <c r="C50" s="651"/>
      <c r="D50" s="651"/>
      <c r="E50" s="651"/>
      <c r="F50" s="651"/>
      <c r="G50" s="651"/>
      <c r="H50" s="651"/>
      <c r="I50" s="651"/>
      <c r="J50" s="651"/>
      <c r="K50" s="651"/>
      <c r="L50" s="651"/>
      <c r="M50" s="651"/>
      <c r="N50" s="651"/>
      <c r="O50" s="651"/>
      <c r="P50" s="651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46">
        <v>4607091385670</v>
      </c>
      <c r="E51" s="64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9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46">
        <v>4680115887725</v>
      </c>
      <c r="E52" s="64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91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8"/>
      <c r="R52" s="648"/>
      <c r="S52" s="648"/>
      <c r="T52" s="64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46">
        <v>4607091385687</v>
      </c>
      <c r="E53" s="64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9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8"/>
      <c r="R53" s="648"/>
      <c r="S53" s="648"/>
      <c r="T53" s="64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46">
        <v>4680115882539</v>
      </c>
      <c r="E54" s="64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9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8"/>
      <c r="R54" s="648"/>
      <c r="S54" s="648"/>
      <c r="T54" s="64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40"/>
      <c r="B55" s="640"/>
      <c r="C55" s="640"/>
      <c r="D55" s="640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1"/>
      <c r="P55" s="637" t="s">
        <v>40</v>
      </c>
      <c r="Q55" s="638"/>
      <c r="R55" s="638"/>
      <c r="S55" s="638"/>
      <c r="T55" s="638"/>
      <c r="U55" s="638"/>
      <c r="V55" s="63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40"/>
      <c r="B56" s="640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1"/>
      <c r="P56" s="637" t="s">
        <v>40</v>
      </c>
      <c r="Q56" s="638"/>
      <c r="R56" s="638"/>
      <c r="S56" s="638"/>
      <c r="T56" s="638"/>
      <c r="U56" s="638"/>
      <c r="V56" s="63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50" t="s">
        <v>142</v>
      </c>
      <c r="B57" s="650"/>
      <c r="C57" s="650"/>
      <c r="D57" s="650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650"/>
      <c r="Q57" s="650"/>
      <c r="R57" s="650"/>
      <c r="S57" s="650"/>
      <c r="T57" s="650"/>
      <c r="U57" s="650"/>
      <c r="V57" s="650"/>
      <c r="W57" s="650"/>
      <c r="X57" s="650"/>
      <c r="Y57" s="650"/>
      <c r="Z57" s="650"/>
      <c r="AA57" s="62"/>
      <c r="AB57" s="62"/>
      <c r="AC57" s="62"/>
    </row>
    <row r="58" spans="1:68" ht="14.25" hidden="1" customHeight="1" x14ac:dyDescent="0.25">
      <c r="A58" s="651" t="s">
        <v>127</v>
      </c>
      <c r="B58" s="651"/>
      <c r="C58" s="651"/>
      <c r="D58" s="651"/>
      <c r="E58" s="651"/>
      <c r="F58" s="651"/>
      <c r="G58" s="651"/>
      <c r="H58" s="651"/>
      <c r="I58" s="651"/>
      <c r="J58" s="651"/>
      <c r="K58" s="651"/>
      <c r="L58" s="651"/>
      <c r="M58" s="651"/>
      <c r="N58" s="651"/>
      <c r="O58" s="651"/>
      <c r="P58" s="651"/>
      <c r="Q58" s="651"/>
      <c r="R58" s="651"/>
      <c r="S58" s="651"/>
      <c r="T58" s="651"/>
      <c r="U58" s="651"/>
      <c r="V58" s="651"/>
      <c r="W58" s="651"/>
      <c r="X58" s="651"/>
      <c r="Y58" s="651"/>
      <c r="Z58" s="65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46">
        <v>4680115885882</v>
      </c>
      <c r="E59" s="64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46">
        <v>4680115885882</v>
      </c>
      <c r="E60" s="64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91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46">
        <v>4680115881426</v>
      </c>
      <c r="E61" s="64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9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46">
        <v>4680115880283</v>
      </c>
      <c r="E62" s="64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9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8"/>
      <c r="R62" s="648"/>
      <c r="S62" s="648"/>
      <c r="T62" s="64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46">
        <v>4680115880283</v>
      </c>
      <c r="E63" s="64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90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8"/>
      <c r="R63" s="648"/>
      <c r="S63" s="648"/>
      <c r="T63" s="64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46">
        <v>4680115881525</v>
      </c>
      <c r="E64" s="64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8"/>
      <c r="R64" s="648"/>
      <c r="S64" s="648"/>
      <c r="T64" s="64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46">
        <v>4680115885899</v>
      </c>
      <c r="E65" s="64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90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46">
        <v>4680115881419</v>
      </c>
      <c r="E66" s="64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9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40"/>
      <c r="B67" s="640"/>
      <c r="C67" s="640"/>
      <c r="D67" s="640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1"/>
      <c r="P67" s="637" t="s">
        <v>40</v>
      </c>
      <c r="Q67" s="638"/>
      <c r="R67" s="638"/>
      <c r="S67" s="638"/>
      <c r="T67" s="638"/>
      <c r="U67" s="638"/>
      <c r="V67" s="63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40"/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1"/>
      <c r="P68" s="637" t="s">
        <v>40</v>
      </c>
      <c r="Q68" s="638"/>
      <c r="R68" s="638"/>
      <c r="S68" s="638"/>
      <c r="T68" s="638"/>
      <c r="U68" s="638"/>
      <c r="V68" s="63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51" t="s">
        <v>163</v>
      </c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1"/>
      <c r="P69" s="651"/>
      <c r="Q69" s="651"/>
      <c r="R69" s="651"/>
      <c r="S69" s="651"/>
      <c r="T69" s="651"/>
      <c r="U69" s="651"/>
      <c r="V69" s="651"/>
      <c r="W69" s="651"/>
      <c r="X69" s="651"/>
      <c r="Y69" s="651"/>
      <c r="Z69" s="65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46">
        <v>4680115881440</v>
      </c>
      <c r="E70" s="64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8"/>
      <c r="R70" s="648"/>
      <c r="S70" s="648"/>
      <c r="T70" s="649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46">
        <v>4680115885950</v>
      </c>
      <c r="E71" s="64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9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8"/>
      <c r="R71" s="648"/>
      <c r="S71" s="648"/>
      <c r="T71" s="64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46">
        <v>4680115887688</v>
      </c>
      <c r="E72" s="64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89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46">
        <v>4680115881433</v>
      </c>
      <c r="E73" s="64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8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51" t="s">
        <v>85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46">
        <v>4680115884311</v>
      </c>
      <c r="E77" s="64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46">
        <v>4680115884403</v>
      </c>
      <c r="E78" s="64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8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51" t="s">
        <v>180</v>
      </c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1"/>
      <c r="P81" s="651"/>
      <c r="Q81" s="651"/>
      <c r="R81" s="651"/>
      <c r="S81" s="651"/>
      <c r="T81" s="651"/>
      <c r="U81" s="651"/>
      <c r="V81" s="651"/>
      <c r="W81" s="651"/>
      <c r="X81" s="651"/>
      <c r="Y81" s="651"/>
      <c r="Z81" s="65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46">
        <v>4680115881532</v>
      </c>
      <c r="E82" s="64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8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8"/>
      <c r="R82" s="648"/>
      <c r="S82" s="648"/>
      <c r="T82" s="64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46">
        <v>4680115881464</v>
      </c>
      <c r="E83" s="64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8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40"/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1"/>
      <c r="P84" s="637" t="s">
        <v>40</v>
      </c>
      <c r="Q84" s="638"/>
      <c r="R84" s="638"/>
      <c r="S84" s="638"/>
      <c r="T84" s="638"/>
      <c r="U84" s="638"/>
      <c r="V84" s="63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40"/>
      <c r="B85" s="640"/>
      <c r="C85" s="640"/>
      <c r="D85" s="640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1"/>
      <c r="P85" s="637" t="s">
        <v>40</v>
      </c>
      <c r="Q85" s="638"/>
      <c r="R85" s="638"/>
      <c r="S85" s="638"/>
      <c r="T85" s="638"/>
      <c r="U85" s="638"/>
      <c r="V85" s="63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50" t="s">
        <v>187</v>
      </c>
      <c r="B86" s="650"/>
      <c r="C86" s="650"/>
      <c r="D86" s="650"/>
      <c r="E86" s="650"/>
      <c r="F86" s="650"/>
      <c r="G86" s="650"/>
      <c r="H86" s="650"/>
      <c r="I86" s="650"/>
      <c r="J86" s="650"/>
      <c r="K86" s="650"/>
      <c r="L86" s="650"/>
      <c r="M86" s="650"/>
      <c r="N86" s="650"/>
      <c r="O86" s="650"/>
      <c r="P86" s="650"/>
      <c r="Q86" s="650"/>
      <c r="R86" s="650"/>
      <c r="S86" s="650"/>
      <c r="T86" s="650"/>
      <c r="U86" s="650"/>
      <c r="V86" s="650"/>
      <c r="W86" s="650"/>
      <c r="X86" s="650"/>
      <c r="Y86" s="650"/>
      <c r="Z86" s="650"/>
      <c r="AA86" s="62"/>
      <c r="AB86" s="62"/>
      <c r="AC86" s="62"/>
    </row>
    <row r="87" spans="1:68" ht="14.25" hidden="1" customHeight="1" x14ac:dyDescent="0.25">
      <c r="A87" s="651" t="s">
        <v>127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46">
        <v>4680115881327</v>
      </c>
      <c r="E88" s="64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8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8"/>
      <c r="R88" s="648"/>
      <c r="S88" s="648"/>
      <c r="T88" s="64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46">
        <v>4680115887732</v>
      </c>
      <c r="E89" s="64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89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46">
        <v>4680115881518</v>
      </c>
      <c r="E90" s="64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89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46">
        <v>4680115881303</v>
      </c>
      <c r="E91" s="64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40"/>
      <c r="B92" s="640"/>
      <c r="C92" s="640"/>
      <c r="D92" s="640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1"/>
      <c r="P92" s="637" t="s">
        <v>40</v>
      </c>
      <c r="Q92" s="638"/>
      <c r="R92" s="638"/>
      <c r="S92" s="638"/>
      <c r="T92" s="638"/>
      <c r="U92" s="638"/>
      <c r="V92" s="63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40"/>
      <c r="B93" s="640"/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1"/>
      <c r="P93" s="637" t="s">
        <v>40</v>
      </c>
      <c r="Q93" s="638"/>
      <c r="R93" s="638"/>
      <c r="S93" s="638"/>
      <c r="T93" s="638"/>
      <c r="U93" s="638"/>
      <c r="V93" s="63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51" t="s">
        <v>85</v>
      </c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51"/>
      <c r="P94" s="651"/>
      <c r="Q94" s="651"/>
      <c r="R94" s="651"/>
      <c r="S94" s="651"/>
      <c r="T94" s="651"/>
      <c r="U94" s="651"/>
      <c r="V94" s="651"/>
      <c r="W94" s="651"/>
      <c r="X94" s="651"/>
      <c r="Y94" s="651"/>
      <c r="Z94" s="65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46">
        <v>4607091386967</v>
      </c>
      <c r="E95" s="64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89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8"/>
      <c r="R95" s="648"/>
      <c r="S95" s="648"/>
      <c r="T95" s="64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46">
        <v>4680115884953</v>
      </c>
      <c r="E96" s="64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88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8"/>
      <c r="R96" s="648"/>
      <c r="S96" s="648"/>
      <c r="T96" s="64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46">
        <v>4607091385731</v>
      </c>
      <c r="E97" s="64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88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46">
        <v>4680115880894</v>
      </c>
      <c r="E98" s="64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88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40"/>
      <c r="B99" s="640"/>
      <c r="C99" s="640"/>
      <c r="D99" s="640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1"/>
      <c r="P99" s="637" t="s">
        <v>40</v>
      </c>
      <c r="Q99" s="638"/>
      <c r="R99" s="638"/>
      <c r="S99" s="638"/>
      <c r="T99" s="638"/>
      <c r="U99" s="638"/>
      <c r="V99" s="63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40"/>
      <c r="B100" s="640"/>
      <c r="C100" s="640"/>
      <c r="D100" s="640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1"/>
      <c r="P100" s="637" t="s">
        <v>40</v>
      </c>
      <c r="Q100" s="638"/>
      <c r="R100" s="638"/>
      <c r="S100" s="638"/>
      <c r="T100" s="638"/>
      <c r="U100" s="638"/>
      <c r="V100" s="63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0" t="s">
        <v>208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2"/>
      <c r="AB101" s="62"/>
      <c r="AC101" s="62"/>
    </row>
    <row r="102" spans="1:68" ht="14.25" hidden="1" customHeight="1" x14ac:dyDescent="0.25">
      <c r="A102" s="651" t="s">
        <v>127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46">
        <v>4680115882133</v>
      </c>
      <c r="E103" s="64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8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46">
        <v>4680115887718</v>
      </c>
      <c r="E104" s="64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88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46">
        <v>4680115887718</v>
      </c>
      <c r="E105" s="64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46">
        <v>4680115880269</v>
      </c>
      <c r="E106" s="64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8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8"/>
      <c r="R106" s="648"/>
      <c r="S106" s="648"/>
      <c r="T106" s="64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46">
        <v>4680115880429</v>
      </c>
      <c r="E107" s="64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8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8"/>
      <c r="R107" s="648"/>
      <c r="S107" s="648"/>
      <c r="T107" s="64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46">
        <v>4680115881457</v>
      </c>
      <c r="E108" s="64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40"/>
      <c r="B109" s="640"/>
      <c r="C109" s="640"/>
      <c r="D109" s="640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1"/>
      <c r="P109" s="637" t="s">
        <v>40</v>
      </c>
      <c r="Q109" s="638"/>
      <c r="R109" s="638"/>
      <c r="S109" s="638"/>
      <c r="T109" s="638"/>
      <c r="U109" s="638"/>
      <c r="V109" s="63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40"/>
      <c r="B110" s="640"/>
      <c r="C110" s="640"/>
      <c r="D110" s="640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1"/>
      <c r="P110" s="637" t="s">
        <v>40</v>
      </c>
      <c r="Q110" s="638"/>
      <c r="R110" s="638"/>
      <c r="S110" s="638"/>
      <c r="T110" s="638"/>
      <c r="U110" s="638"/>
      <c r="V110" s="63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51" t="s">
        <v>163</v>
      </c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1"/>
      <c r="P111" s="651"/>
      <c r="Q111" s="651"/>
      <c r="R111" s="651"/>
      <c r="S111" s="651"/>
      <c r="T111" s="651"/>
      <c r="U111" s="651"/>
      <c r="V111" s="651"/>
      <c r="W111" s="651"/>
      <c r="X111" s="651"/>
      <c r="Y111" s="651"/>
      <c r="Z111" s="65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46">
        <v>4680115881488</v>
      </c>
      <c r="E112" s="64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8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46">
        <v>4680115887664</v>
      </c>
      <c r="E113" s="64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46">
        <v>4680115887664</v>
      </c>
      <c r="E114" s="64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87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8"/>
      <c r="R114" s="648"/>
      <c r="S114" s="648"/>
      <c r="T114" s="64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46">
        <v>4680115882775</v>
      </c>
      <c r="E115" s="64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87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8"/>
      <c r="R115" s="648"/>
      <c r="S115" s="648"/>
      <c r="T115" s="64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46">
        <v>4680115880658</v>
      </c>
      <c r="E116" s="64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8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40"/>
      <c r="B117" s="640"/>
      <c r="C117" s="640"/>
      <c r="D117" s="640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1"/>
      <c r="P117" s="637" t="s">
        <v>40</v>
      </c>
      <c r="Q117" s="638"/>
      <c r="R117" s="638"/>
      <c r="S117" s="638"/>
      <c r="T117" s="638"/>
      <c r="U117" s="638"/>
      <c r="V117" s="63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40"/>
      <c r="B118" s="640"/>
      <c r="C118" s="640"/>
      <c r="D118" s="640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1"/>
      <c r="P118" s="637" t="s">
        <v>40</v>
      </c>
      <c r="Q118" s="638"/>
      <c r="R118" s="638"/>
      <c r="S118" s="638"/>
      <c r="T118" s="638"/>
      <c r="U118" s="638"/>
      <c r="V118" s="63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51" t="s">
        <v>85</v>
      </c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1"/>
      <c r="P119" s="651"/>
      <c r="Q119" s="651"/>
      <c r="R119" s="651"/>
      <c r="S119" s="651"/>
      <c r="T119" s="651"/>
      <c r="U119" s="651"/>
      <c r="V119" s="651"/>
      <c r="W119" s="651"/>
      <c r="X119" s="651"/>
      <c r="Y119" s="651"/>
      <c r="Z119" s="65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46">
        <v>4607091385168</v>
      </c>
      <c r="E120" s="64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8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8"/>
      <c r="R120" s="648"/>
      <c r="S120" s="648"/>
      <c r="T120" s="64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46">
        <v>4607091383256</v>
      </c>
      <c r="E121" s="64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8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8"/>
      <c r="R121" s="648"/>
      <c r="S121" s="648"/>
      <c r="T121" s="64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46">
        <v>4607091385748</v>
      </c>
      <c r="E122" s="64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8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8"/>
      <c r="R122" s="648"/>
      <c r="S122" s="648"/>
      <c r="T122" s="64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46">
        <v>4680115884533</v>
      </c>
      <c r="E123" s="64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51" t="s">
        <v>180</v>
      </c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1"/>
      <c r="P126" s="651"/>
      <c r="Q126" s="651"/>
      <c r="R126" s="651"/>
      <c r="S126" s="651"/>
      <c r="T126" s="651"/>
      <c r="U126" s="651"/>
      <c r="V126" s="651"/>
      <c r="W126" s="651"/>
      <c r="X126" s="651"/>
      <c r="Y126" s="651"/>
      <c r="Z126" s="65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46">
        <v>4680115880238</v>
      </c>
      <c r="E127" s="64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8"/>
      <c r="R127" s="648"/>
      <c r="S127" s="648"/>
      <c r="T127" s="649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40"/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1"/>
      <c r="P128" s="637" t="s">
        <v>40</v>
      </c>
      <c r="Q128" s="638"/>
      <c r="R128" s="638"/>
      <c r="S128" s="638"/>
      <c r="T128" s="638"/>
      <c r="U128" s="638"/>
      <c r="V128" s="63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40"/>
      <c r="B129" s="640"/>
      <c r="C129" s="640"/>
      <c r="D129" s="640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1"/>
      <c r="P129" s="637" t="s">
        <v>40</v>
      </c>
      <c r="Q129" s="638"/>
      <c r="R129" s="638"/>
      <c r="S129" s="638"/>
      <c r="T129" s="638"/>
      <c r="U129" s="638"/>
      <c r="V129" s="63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50" t="s">
        <v>247</v>
      </c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50"/>
      <c r="T130" s="650"/>
      <c r="U130" s="650"/>
      <c r="V130" s="650"/>
      <c r="W130" s="650"/>
      <c r="X130" s="650"/>
      <c r="Y130" s="650"/>
      <c r="Z130" s="650"/>
      <c r="AA130" s="62"/>
      <c r="AB130" s="62"/>
      <c r="AC130" s="62"/>
    </row>
    <row r="131" spans="1:68" ht="14.25" hidden="1" customHeight="1" x14ac:dyDescent="0.25">
      <c r="A131" s="651" t="s">
        <v>127</v>
      </c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51"/>
      <c r="P131" s="651"/>
      <c r="Q131" s="651"/>
      <c r="R131" s="651"/>
      <c r="S131" s="651"/>
      <c r="T131" s="651"/>
      <c r="U131" s="651"/>
      <c r="V131" s="651"/>
      <c r="W131" s="651"/>
      <c r="X131" s="651"/>
      <c r="Y131" s="651"/>
      <c r="Z131" s="65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646">
        <v>4680115888784</v>
      </c>
      <c r="E132" s="646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8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8"/>
      <c r="R132" s="648"/>
      <c r="S132" s="648"/>
      <c r="T132" s="64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646">
        <v>4680115888845</v>
      </c>
      <c r="E133" s="646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8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8"/>
      <c r="R133" s="648"/>
      <c r="S133" s="648"/>
      <c r="T133" s="64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646">
        <v>4680115882577</v>
      </c>
      <c r="E134" s="64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646">
        <v>4680115882577</v>
      </c>
      <c r="E135" s="64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40"/>
      <c r="B136" s="640"/>
      <c r="C136" s="640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1"/>
      <c r="P136" s="637" t="s">
        <v>40</v>
      </c>
      <c r="Q136" s="638"/>
      <c r="R136" s="638"/>
      <c r="S136" s="638"/>
      <c r="T136" s="638"/>
      <c r="U136" s="638"/>
      <c r="V136" s="639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640"/>
      <c r="B137" s="640"/>
      <c r="C137" s="640"/>
      <c r="D137" s="640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1"/>
      <c r="P137" s="637" t="s">
        <v>40</v>
      </c>
      <c r="Q137" s="638"/>
      <c r="R137" s="638"/>
      <c r="S137" s="638"/>
      <c r="T137" s="638"/>
      <c r="U137" s="638"/>
      <c r="V137" s="639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51" t="s">
        <v>76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646">
        <v>4680115888913</v>
      </c>
      <c r="E139" s="646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86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8"/>
      <c r="R139" s="648"/>
      <c r="S139" s="648"/>
      <c r="T139" s="64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646">
        <v>4680115888920</v>
      </c>
      <c r="E140" s="646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8"/>
      <c r="R140" s="648"/>
      <c r="S140" s="648"/>
      <c r="T140" s="64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646">
        <v>4680115883444</v>
      </c>
      <c r="E141" s="64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8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646">
        <v>4680115883444</v>
      </c>
      <c r="E142" s="64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8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40"/>
      <c r="B143" s="640"/>
      <c r="C143" s="640"/>
      <c r="D143" s="640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1"/>
      <c r="P143" s="637" t="s">
        <v>40</v>
      </c>
      <c r="Q143" s="638"/>
      <c r="R143" s="638"/>
      <c r="S143" s="638"/>
      <c r="T143" s="638"/>
      <c r="U143" s="638"/>
      <c r="V143" s="639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51" t="s">
        <v>85</v>
      </c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1"/>
      <c r="P145" s="651"/>
      <c r="Q145" s="651"/>
      <c r="R145" s="651"/>
      <c r="S145" s="651"/>
      <c r="T145" s="651"/>
      <c r="U145" s="651"/>
      <c r="V145" s="651"/>
      <c r="W145" s="651"/>
      <c r="X145" s="651"/>
      <c r="Y145" s="651"/>
      <c r="Z145" s="651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646">
        <v>4680115888937</v>
      </c>
      <c r="E146" s="646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86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8"/>
      <c r="R146" s="648"/>
      <c r="S146" s="648"/>
      <c r="T146" s="64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646">
        <v>4680115888944</v>
      </c>
      <c r="E147" s="646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86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8"/>
      <c r="R147" s="648"/>
      <c r="S147" s="648"/>
      <c r="T147" s="64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646">
        <v>4680115882584</v>
      </c>
      <c r="E148" s="646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8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646">
        <v>4680115882584</v>
      </c>
      <c r="E149" s="646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40"/>
      <c r="B150" s="640"/>
      <c r="C150" s="640"/>
      <c r="D150" s="640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1"/>
      <c r="P150" s="637" t="s">
        <v>40</v>
      </c>
      <c r="Q150" s="638"/>
      <c r="R150" s="638"/>
      <c r="S150" s="638"/>
      <c r="T150" s="638"/>
      <c r="U150" s="638"/>
      <c r="V150" s="639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40"/>
      <c r="B151" s="640"/>
      <c r="C151" s="640"/>
      <c r="D151" s="640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1"/>
      <c r="P151" s="637" t="s">
        <v>40</v>
      </c>
      <c r="Q151" s="638"/>
      <c r="R151" s="638"/>
      <c r="S151" s="638"/>
      <c r="T151" s="638"/>
      <c r="U151" s="638"/>
      <c r="V151" s="639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0" t="s">
        <v>275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2"/>
      <c r="AB152" s="62"/>
      <c r="AC152" s="62"/>
    </row>
    <row r="153" spans="1:68" ht="14.25" hidden="1" customHeight="1" x14ac:dyDescent="0.25">
      <c r="A153" s="651" t="s">
        <v>85</v>
      </c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1"/>
      <c r="P153" s="651"/>
      <c r="Q153" s="651"/>
      <c r="R153" s="651"/>
      <c r="S153" s="651"/>
      <c r="T153" s="651"/>
      <c r="U153" s="651"/>
      <c r="V153" s="651"/>
      <c r="W153" s="651"/>
      <c r="X153" s="651"/>
      <c r="Y153" s="651"/>
      <c r="Z153" s="651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646">
        <v>4680115888203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646">
        <v>4680115888180</v>
      </c>
      <c r="E155" s="64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646">
        <v>4680115888197</v>
      </c>
      <c r="E156" s="646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5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8"/>
      <c r="R156" s="648"/>
      <c r="S156" s="648"/>
      <c r="T156" s="64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646">
        <v>4680115888210</v>
      </c>
      <c r="E157" s="64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5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8"/>
      <c r="R157" s="648"/>
      <c r="S157" s="648"/>
      <c r="T157" s="64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40"/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1"/>
      <c r="P158" s="637" t="s">
        <v>40</v>
      </c>
      <c r="Q158" s="638"/>
      <c r="R158" s="638"/>
      <c r="S158" s="638"/>
      <c r="T158" s="638"/>
      <c r="U158" s="638"/>
      <c r="V158" s="63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51" t="s">
        <v>103</v>
      </c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1"/>
      <c r="P160" s="651"/>
      <c r="Q160" s="651"/>
      <c r="R160" s="651"/>
      <c r="S160" s="651"/>
      <c r="T160" s="651"/>
      <c r="U160" s="651"/>
      <c r="V160" s="651"/>
      <c r="W160" s="651"/>
      <c r="X160" s="651"/>
      <c r="Y160" s="651"/>
      <c r="Z160" s="651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646">
        <v>4680115889132</v>
      </c>
      <c r="E161" s="646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85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8"/>
      <c r="R161" s="648"/>
      <c r="S161" s="648"/>
      <c r="T161" s="64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40"/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1"/>
      <c r="P162" s="637" t="s">
        <v>40</v>
      </c>
      <c r="Q162" s="638"/>
      <c r="R162" s="638"/>
      <c r="S162" s="638"/>
      <c r="T162" s="638"/>
      <c r="U162" s="638"/>
      <c r="V162" s="63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40"/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1"/>
      <c r="P163" s="637" t="s">
        <v>40</v>
      </c>
      <c r="Q163" s="638"/>
      <c r="R163" s="638"/>
      <c r="S163" s="638"/>
      <c r="T163" s="638"/>
      <c r="U163" s="638"/>
      <c r="V163" s="63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50" t="s">
        <v>125</v>
      </c>
      <c r="B164" s="650"/>
      <c r="C164" s="650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650"/>
      <c r="R164" s="650"/>
      <c r="S164" s="650"/>
      <c r="T164" s="650"/>
      <c r="U164" s="650"/>
      <c r="V164" s="650"/>
      <c r="W164" s="650"/>
      <c r="X164" s="650"/>
      <c r="Y164" s="650"/>
      <c r="Z164" s="650"/>
      <c r="AA164" s="62"/>
      <c r="AB164" s="62"/>
      <c r="AC164" s="62"/>
    </row>
    <row r="165" spans="1:68" ht="14.25" hidden="1" customHeight="1" x14ac:dyDescent="0.25">
      <c r="A165" s="651" t="s">
        <v>127</v>
      </c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1"/>
      <c r="P165" s="651"/>
      <c r="Q165" s="651"/>
      <c r="R165" s="651"/>
      <c r="S165" s="651"/>
      <c r="T165" s="651"/>
      <c r="U165" s="651"/>
      <c r="V165" s="651"/>
      <c r="W165" s="651"/>
      <c r="X165" s="651"/>
      <c r="Y165" s="651"/>
      <c r="Z165" s="651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646">
        <v>4680115888876</v>
      </c>
      <c r="E166" s="646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8"/>
      <c r="R166" s="648"/>
      <c r="S166" s="648"/>
      <c r="T166" s="64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646">
        <v>4680115887374</v>
      </c>
      <c r="E167" s="646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8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8"/>
      <c r="R167" s="648"/>
      <c r="S167" s="648"/>
      <c r="T167" s="64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646">
        <v>4607091384604</v>
      </c>
      <c r="E168" s="646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85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8"/>
      <c r="R168" s="648"/>
      <c r="S168" s="648"/>
      <c r="T168" s="64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40"/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1"/>
      <c r="P169" s="637" t="s">
        <v>40</v>
      </c>
      <c r="Q169" s="638"/>
      <c r="R169" s="638"/>
      <c r="S169" s="638"/>
      <c r="T169" s="638"/>
      <c r="U169" s="638"/>
      <c r="V169" s="63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40"/>
      <c r="B170" s="640"/>
      <c r="C170" s="640"/>
      <c r="D170" s="640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1"/>
      <c r="P170" s="637" t="s">
        <v>40</v>
      </c>
      <c r="Q170" s="638"/>
      <c r="R170" s="638"/>
      <c r="S170" s="638"/>
      <c r="T170" s="638"/>
      <c r="U170" s="638"/>
      <c r="V170" s="63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51" t="s">
        <v>163</v>
      </c>
      <c r="B171" s="651"/>
      <c r="C171" s="651"/>
      <c r="D171" s="651"/>
      <c r="E171" s="651"/>
      <c r="F171" s="651"/>
      <c r="G171" s="651"/>
      <c r="H171" s="651"/>
      <c r="I171" s="651"/>
      <c r="J171" s="651"/>
      <c r="K171" s="651"/>
      <c r="L171" s="651"/>
      <c r="M171" s="651"/>
      <c r="N171" s="651"/>
      <c r="O171" s="651"/>
      <c r="P171" s="651"/>
      <c r="Q171" s="651"/>
      <c r="R171" s="651"/>
      <c r="S171" s="651"/>
      <c r="T171" s="651"/>
      <c r="U171" s="651"/>
      <c r="V171" s="651"/>
      <c r="W171" s="651"/>
      <c r="X171" s="651"/>
      <c r="Y171" s="651"/>
      <c r="Z171" s="651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646">
        <v>4680115889491</v>
      </c>
      <c r="E172" s="646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852" t="s">
        <v>304</v>
      </c>
      <c r="Q172" s="648"/>
      <c r="R172" s="648"/>
      <c r="S172" s="648"/>
      <c r="T172" s="64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646">
        <v>4680115887695</v>
      </c>
      <c r="E173" s="646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8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8"/>
      <c r="R173" s="648"/>
      <c r="S173" s="648"/>
      <c r="T173" s="649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40"/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1"/>
      <c r="P174" s="637" t="s">
        <v>40</v>
      </c>
      <c r="Q174" s="638"/>
      <c r="R174" s="638"/>
      <c r="S174" s="638"/>
      <c r="T174" s="638"/>
      <c r="U174" s="638"/>
      <c r="V174" s="639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40"/>
      <c r="B175" s="640"/>
      <c r="C175" s="640"/>
      <c r="D175" s="640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1"/>
      <c r="P175" s="637" t="s">
        <v>40</v>
      </c>
      <c r="Q175" s="638"/>
      <c r="R175" s="638"/>
      <c r="S175" s="638"/>
      <c r="T175" s="638"/>
      <c r="U175" s="638"/>
      <c r="V175" s="639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51" t="s">
        <v>76</v>
      </c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1"/>
      <c r="P176" s="651"/>
      <c r="Q176" s="651"/>
      <c r="R176" s="651"/>
      <c r="S176" s="651"/>
      <c r="T176" s="651"/>
      <c r="U176" s="651"/>
      <c r="V176" s="651"/>
      <c r="W176" s="651"/>
      <c r="X176" s="651"/>
      <c r="Y176" s="651"/>
      <c r="Z176" s="651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646">
        <v>4680115887428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84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646">
        <v>4680115889170</v>
      </c>
      <c r="E178" s="646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8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646">
        <v>4680115887398</v>
      </c>
      <c r="E179" s="646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646">
        <v>4680115887336</v>
      </c>
      <c r="E180" s="646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646">
        <v>4680115887787</v>
      </c>
      <c r="E181" s="64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646">
        <v>4680115887503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646">
        <v>4680115887763</v>
      </c>
      <c r="E183" s="646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8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646">
        <v>4680115887763</v>
      </c>
      <c r="E184" s="646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83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646">
        <v>4680115887480</v>
      </c>
      <c r="E185" s="646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8"/>
      <c r="R185" s="648"/>
      <c r="S185" s="648"/>
      <c r="T185" s="649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646">
        <v>4680115888067</v>
      </c>
      <c r="E186" s="646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8"/>
      <c r="R186" s="648"/>
      <c r="S186" s="648"/>
      <c r="T186" s="649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646">
        <v>4680115887435</v>
      </c>
      <c r="E187" s="646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4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8"/>
      <c r="R187" s="648"/>
      <c r="S187" s="648"/>
      <c r="T187" s="649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640"/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1"/>
      <c r="P188" s="637" t="s">
        <v>40</v>
      </c>
      <c r="Q188" s="638"/>
      <c r="R188" s="638"/>
      <c r="S188" s="638"/>
      <c r="T188" s="638"/>
      <c r="U188" s="638"/>
      <c r="V188" s="63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40"/>
      <c r="B189" s="640"/>
      <c r="C189" s="640"/>
      <c r="D189" s="640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1"/>
      <c r="P189" s="637" t="s">
        <v>40</v>
      </c>
      <c r="Q189" s="638"/>
      <c r="R189" s="638"/>
      <c r="S189" s="638"/>
      <c r="T189" s="638"/>
      <c r="U189" s="638"/>
      <c r="V189" s="639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51" t="s">
        <v>85</v>
      </c>
      <c r="B190" s="651"/>
      <c r="C190" s="651"/>
      <c r="D190" s="651"/>
      <c r="E190" s="651"/>
      <c r="F190" s="651"/>
      <c r="G190" s="651"/>
      <c r="H190" s="651"/>
      <c r="I190" s="651"/>
      <c r="J190" s="651"/>
      <c r="K190" s="651"/>
      <c r="L190" s="651"/>
      <c r="M190" s="651"/>
      <c r="N190" s="651"/>
      <c r="O190" s="651"/>
      <c r="P190" s="651"/>
      <c r="Q190" s="651"/>
      <c r="R190" s="651"/>
      <c r="S190" s="651"/>
      <c r="T190" s="651"/>
      <c r="U190" s="651"/>
      <c r="V190" s="651"/>
      <c r="W190" s="651"/>
      <c r="X190" s="651"/>
      <c r="Y190" s="651"/>
      <c r="Z190" s="651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646">
        <v>4680115888395</v>
      </c>
      <c r="E191" s="646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8"/>
      <c r="R191" s="648"/>
      <c r="S191" s="648"/>
      <c r="T191" s="64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646">
        <v>4680115888371</v>
      </c>
      <c r="E192" s="646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8"/>
      <c r="R192" s="648"/>
      <c r="S192" s="648"/>
      <c r="T192" s="64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646">
        <v>4680115887459</v>
      </c>
      <c r="E193" s="646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8"/>
      <c r="R193" s="648"/>
      <c r="S193" s="648"/>
      <c r="T193" s="64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40"/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1"/>
      <c r="P194" s="637" t="s">
        <v>40</v>
      </c>
      <c r="Q194" s="638"/>
      <c r="R194" s="638"/>
      <c r="S194" s="638"/>
      <c r="T194" s="638"/>
      <c r="U194" s="638"/>
      <c r="V194" s="63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51" t="s">
        <v>103</v>
      </c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1"/>
      <c r="P196" s="651"/>
      <c r="Q196" s="651"/>
      <c r="R196" s="651"/>
      <c r="S196" s="651"/>
      <c r="T196" s="651"/>
      <c r="U196" s="651"/>
      <c r="V196" s="651"/>
      <c r="W196" s="651"/>
      <c r="X196" s="651"/>
      <c r="Y196" s="651"/>
      <c r="Z196" s="651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646">
        <v>4680115889026</v>
      </c>
      <c r="E197" s="646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8"/>
      <c r="R197" s="648"/>
      <c r="S197" s="648"/>
      <c r="T197" s="64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646">
        <v>4680115889088</v>
      </c>
      <c r="E198" s="646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3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51" t="s">
        <v>353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646">
        <v>4680115889033</v>
      </c>
      <c r="E202" s="646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8"/>
      <c r="R202" s="648"/>
      <c r="S202" s="648"/>
      <c r="T202" s="649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40"/>
      <c r="B203" s="640"/>
      <c r="C203" s="640"/>
      <c r="D203" s="640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1"/>
      <c r="P203" s="637" t="s">
        <v>40</v>
      </c>
      <c r="Q203" s="638"/>
      <c r="R203" s="638"/>
      <c r="S203" s="638"/>
      <c r="T203" s="638"/>
      <c r="U203" s="638"/>
      <c r="V203" s="63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40"/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1"/>
      <c r="P204" s="637" t="s">
        <v>40</v>
      </c>
      <c r="Q204" s="638"/>
      <c r="R204" s="638"/>
      <c r="S204" s="638"/>
      <c r="T204" s="638"/>
      <c r="U204" s="638"/>
      <c r="V204" s="63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7" t="s">
        <v>357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52"/>
      <c r="AB205" s="52"/>
      <c r="AC205" s="52"/>
    </row>
    <row r="206" spans="1:68" ht="16.5" hidden="1" customHeight="1" x14ac:dyDescent="0.25">
      <c r="A206" s="650" t="s">
        <v>358</v>
      </c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650"/>
      <c r="R206" s="650"/>
      <c r="S206" s="650"/>
      <c r="T206" s="650"/>
      <c r="U206" s="650"/>
      <c r="V206" s="650"/>
      <c r="W206" s="650"/>
      <c r="X206" s="650"/>
      <c r="Y206" s="650"/>
      <c r="Z206" s="650"/>
      <c r="AA206" s="62"/>
      <c r="AB206" s="62"/>
      <c r="AC206" s="62"/>
    </row>
    <row r="207" spans="1:68" ht="14.25" hidden="1" customHeight="1" x14ac:dyDescent="0.25">
      <c r="A207" s="651" t="s">
        <v>127</v>
      </c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1"/>
      <c r="P207" s="651"/>
      <c r="Q207" s="651"/>
      <c r="R207" s="651"/>
      <c r="S207" s="651"/>
      <c r="T207" s="651"/>
      <c r="U207" s="651"/>
      <c r="V207" s="651"/>
      <c r="W207" s="651"/>
      <c r="X207" s="651"/>
      <c r="Y207" s="651"/>
      <c r="Z207" s="651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646">
        <v>4607091383423</v>
      </c>
      <c r="E208" s="646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646">
        <v>4680115888760</v>
      </c>
      <c r="E209" s="646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646">
        <v>4680115888807</v>
      </c>
      <c r="E210" s="646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646">
        <v>4680115888852</v>
      </c>
      <c r="E211" s="646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8"/>
      <c r="R211" s="648"/>
      <c r="S211" s="648"/>
      <c r="T211" s="649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646">
        <v>4680115886957</v>
      </c>
      <c r="E212" s="646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8"/>
      <c r="R212" s="648"/>
      <c r="S212" s="648"/>
      <c r="T212" s="649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646">
        <v>4680115885660</v>
      </c>
      <c r="E213" s="646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8"/>
      <c r="R213" s="648"/>
      <c r="S213" s="648"/>
      <c r="T213" s="64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646">
        <v>4680115886773</v>
      </c>
      <c r="E214" s="646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8"/>
      <c r="R214" s="648"/>
      <c r="S214" s="648"/>
      <c r="T214" s="64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40"/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1"/>
      <c r="P215" s="637" t="s">
        <v>40</v>
      </c>
      <c r="Q215" s="638"/>
      <c r="R215" s="638"/>
      <c r="S215" s="638"/>
      <c r="T215" s="638"/>
      <c r="U215" s="638"/>
      <c r="V215" s="63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50" t="s">
        <v>379</v>
      </c>
      <c r="B217" s="650"/>
      <c r="C217" s="650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650"/>
      <c r="R217" s="650"/>
      <c r="S217" s="650"/>
      <c r="T217" s="650"/>
      <c r="U217" s="650"/>
      <c r="V217" s="650"/>
      <c r="W217" s="650"/>
      <c r="X217" s="650"/>
      <c r="Y217" s="650"/>
      <c r="Z217" s="650"/>
      <c r="AA217" s="62"/>
      <c r="AB217" s="62"/>
      <c r="AC217" s="62"/>
    </row>
    <row r="218" spans="1:68" ht="14.25" hidden="1" customHeight="1" x14ac:dyDescent="0.25">
      <c r="A218" s="651" t="s">
        <v>163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646">
        <v>4680115886223</v>
      </c>
      <c r="E219" s="646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40"/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1"/>
      <c r="P220" s="637" t="s">
        <v>40</v>
      </c>
      <c r="Q220" s="638"/>
      <c r="R220" s="638"/>
      <c r="S220" s="638"/>
      <c r="T220" s="638"/>
      <c r="U220" s="638"/>
      <c r="V220" s="63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40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1"/>
      <c r="P221" s="637" t="s">
        <v>40</v>
      </c>
      <c r="Q221" s="638"/>
      <c r="R221" s="638"/>
      <c r="S221" s="638"/>
      <c r="T221" s="638"/>
      <c r="U221" s="638"/>
      <c r="V221" s="63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51" t="s">
        <v>76</v>
      </c>
      <c r="B222" s="651"/>
      <c r="C222" s="651"/>
      <c r="D222" s="651"/>
      <c r="E222" s="651"/>
      <c r="F222" s="651"/>
      <c r="G222" s="651"/>
      <c r="H222" s="651"/>
      <c r="I222" s="651"/>
      <c r="J222" s="651"/>
      <c r="K222" s="651"/>
      <c r="L222" s="651"/>
      <c r="M222" s="651"/>
      <c r="N222" s="651"/>
      <c r="O222" s="651"/>
      <c r="P222" s="651"/>
      <c r="Q222" s="651"/>
      <c r="R222" s="651"/>
      <c r="S222" s="651"/>
      <c r="T222" s="651"/>
      <c r="U222" s="651"/>
      <c r="V222" s="651"/>
      <c r="W222" s="651"/>
      <c r="X222" s="651"/>
      <c r="Y222" s="651"/>
      <c r="Z222" s="651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646">
        <v>4680115880993</v>
      </c>
      <c r="E223" s="646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646">
        <v>4680115881761</v>
      </c>
      <c r="E224" s="646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646">
        <v>4680115881563</v>
      </c>
      <c r="E225" s="646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646">
        <v>4680115887565</v>
      </c>
      <c r="E226" s="646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646">
        <v>4680115880986</v>
      </c>
      <c r="E227" s="646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646">
        <v>4680115887213</v>
      </c>
      <c r="E228" s="646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646">
        <v>4680115881785</v>
      </c>
      <c r="E229" s="646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646">
        <v>4680115888432</v>
      </c>
      <c r="E230" s="646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646">
        <v>4680115888104</v>
      </c>
      <c r="E231" s="646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646">
        <v>4680115886537</v>
      </c>
      <c r="E232" s="646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646">
        <v>4680115887596</v>
      </c>
      <c r="E233" s="646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8"/>
      <c r="R233" s="648"/>
      <c r="S233" s="648"/>
      <c r="T233" s="64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646">
        <v>4680115881679</v>
      </c>
      <c r="E234" s="646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8"/>
      <c r="R234" s="648"/>
      <c r="S234" s="648"/>
      <c r="T234" s="649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646">
        <v>4680115880191</v>
      </c>
      <c r="E235" s="646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8"/>
      <c r="R235" s="648"/>
      <c r="S235" s="648"/>
      <c r="T235" s="64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646">
        <v>4680115883963</v>
      </c>
      <c r="E236" s="646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640"/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1"/>
      <c r="P237" s="637" t="s">
        <v>40</v>
      </c>
      <c r="Q237" s="638"/>
      <c r="R237" s="638"/>
      <c r="S237" s="638"/>
      <c r="T237" s="638"/>
      <c r="U237" s="638"/>
      <c r="V237" s="63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40"/>
      <c r="B238" s="640"/>
      <c r="C238" s="640"/>
      <c r="D238" s="640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1"/>
      <c r="P238" s="637" t="s">
        <v>40</v>
      </c>
      <c r="Q238" s="638"/>
      <c r="R238" s="638"/>
      <c r="S238" s="638"/>
      <c r="T238" s="638"/>
      <c r="U238" s="638"/>
      <c r="V238" s="639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51" t="s">
        <v>85</v>
      </c>
      <c r="B239" s="651"/>
      <c r="C239" s="651"/>
      <c r="D239" s="651"/>
      <c r="E239" s="651"/>
      <c r="F239" s="651"/>
      <c r="G239" s="651"/>
      <c r="H239" s="651"/>
      <c r="I239" s="651"/>
      <c r="J239" s="651"/>
      <c r="K239" s="651"/>
      <c r="L239" s="651"/>
      <c r="M239" s="651"/>
      <c r="N239" s="651"/>
      <c r="O239" s="651"/>
      <c r="P239" s="651"/>
      <c r="Q239" s="651"/>
      <c r="R239" s="651"/>
      <c r="S239" s="651"/>
      <c r="T239" s="651"/>
      <c r="U239" s="651"/>
      <c r="V239" s="651"/>
      <c r="W239" s="651"/>
      <c r="X239" s="651"/>
      <c r="Y239" s="651"/>
      <c r="Z239" s="651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646">
        <v>4680115888692</v>
      </c>
      <c r="E240" s="646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646">
        <v>4680115888722</v>
      </c>
      <c r="E241" s="646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1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646">
        <v>4680115888951</v>
      </c>
      <c r="E242" s="646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0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646">
        <v>4680115888975</v>
      </c>
      <c r="E243" s="646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8"/>
      <c r="R243" s="648"/>
      <c r="S243" s="648"/>
      <c r="T243" s="649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646">
        <v>4680115888982</v>
      </c>
      <c r="E244" s="64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40"/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1"/>
      <c r="P245" s="637" t="s">
        <v>40</v>
      </c>
      <c r="Q245" s="638"/>
      <c r="R245" s="638"/>
      <c r="S245" s="638"/>
      <c r="T245" s="638"/>
      <c r="U245" s="638"/>
      <c r="V245" s="63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40"/>
      <c r="B246" s="640"/>
      <c r="C246" s="640"/>
      <c r="D246" s="640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1"/>
      <c r="P246" s="637" t="s">
        <v>40</v>
      </c>
      <c r="Q246" s="638"/>
      <c r="R246" s="638"/>
      <c r="S246" s="638"/>
      <c r="T246" s="638"/>
      <c r="U246" s="638"/>
      <c r="V246" s="63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51" t="s">
        <v>103</v>
      </c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1"/>
      <c r="P247" s="651"/>
      <c r="Q247" s="651"/>
      <c r="R247" s="651"/>
      <c r="S247" s="651"/>
      <c r="T247" s="651"/>
      <c r="U247" s="651"/>
      <c r="V247" s="651"/>
      <c r="W247" s="651"/>
      <c r="X247" s="651"/>
      <c r="Y247" s="651"/>
      <c r="Z247" s="651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646">
        <v>4680115886780</v>
      </c>
      <c r="E248" s="64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646">
        <v>4680115886742</v>
      </c>
      <c r="E249" s="64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646">
        <v>4680115886766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51" t="s">
        <v>443</v>
      </c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1"/>
      <c r="P253" s="651"/>
      <c r="Q253" s="651"/>
      <c r="R253" s="651"/>
      <c r="S253" s="651"/>
      <c r="T253" s="651"/>
      <c r="U253" s="651"/>
      <c r="V253" s="651"/>
      <c r="W253" s="651"/>
      <c r="X253" s="651"/>
      <c r="Y253" s="651"/>
      <c r="Z253" s="651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646">
        <v>4680115886797</v>
      </c>
      <c r="E254" s="64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40"/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1"/>
      <c r="P255" s="637" t="s">
        <v>40</v>
      </c>
      <c r="Q255" s="638"/>
      <c r="R255" s="638"/>
      <c r="S255" s="638"/>
      <c r="T255" s="638"/>
      <c r="U255" s="638"/>
      <c r="V255" s="639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40"/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1"/>
      <c r="P256" s="637" t="s">
        <v>40</v>
      </c>
      <c r="Q256" s="638"/>
      <c r="R256" s="638"/>
      <c r="S256" s="638"/>
      <c r="T256" s="638"/>
      <c r="U256" s="638"/>
      <c r="V256" s="639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50" t="s">
        <v>446</v>
      </c>
      <c r="B257" s="650"/>
      <c r="C257" s="650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650"/>
      <c r="R257" s="650"/>
      <c r="S257" s="650"/>
      <c r="T257" s="650"/>
      <c r="U257" s="650"/>
      <c r="V257" s="650"/>
      <c r="W257" s="650"/>
      <c r="X257" s="650"/>
      <c r="Y257" s="650"/>
      <c r="Z257" s="650"/>
      <c r="AA257" s="62"/>
      <c r="AB257" s="62"/>
      <c r="AC257" s="62"/>
    </row>
    <row r="258" spans="1:68" ht="14.25" hidden="1" customHeight="1" x14ac:dyDescent="0.25">
      <c r="A258" s="651" t="s">
        <v>127</v>
      </c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1"/>
      <c r="P258" s="651"/>
      <c r="Q258" s="651"/>
      <c r="R258" s="651"/>
      <c r="S258" s="651"/>
      <c r="T258" s="651"/>
      <c r="U258" s="651"/>
      <c r="V258" s="651"/>
      <c r="W258" s="651"/>
      <c r="X258" s="651"/>
      <c r="Y258" s="651"/>
      <c r="Z258" s="651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646">
        <v>4680115881402</v>
      </c>
      <c r="E259" s="64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646">
        <v>4680115881396</v>
      </c>
      <c r="E260" s="64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40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1"/>
      <c r="P261" s="637" t="s">
        <v>40</v>
      </c>
      <c r="Q261" s="638"/>
      <c r="R261" s="638"/>
      <c r="S261" s="638"/>
      <c r="T261" s="638"/>
      <c r="U261" s="638"/>
      <c r="V261" s="63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51" t="s">
        <v>163</v>
      </c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1"/>
      <c r="P263" s="651"/>
      <c r="Q263" s="651"/>
      <c r="R263" s="651"/>
      <c r="S263" s="651"/>
      <c r="T263" s="651"/>
      <c r="U263" s="651"/>
      <c r="V263" s="651"/>
      <c r="W263" s="651"/>
      <c r="X263" s="651"/>
      <c r="Y263" s="651"/>
      <c r="Z263" s="651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646">
        <v>4680115882935</v>
      </c>
      <c r="E264" s="64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646">
        <v>4680115880764</v>
      </c>
      <c r="E265" s="64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40"/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1"/>
      <c r="P266" s="637" t="s">
        <v>40</v>
      </c>
      <c r="Q266" s="638"/>
      <c r="R266" s="638"/>
      <c r="S266" s="638"/>
      <c r="T266" s="638"/>
      <c r="U266" s="638"/>
      <c r="V266" s="63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40"/>
      <c r="B267" s="640"/>
      <c r="C267" s="640"/>
      <c r="D267" s="640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1"/>
      <c r="P267" s="637" t="s">
        <v>40</v>
      </c>
      <c r="Q267" s="638"/>
      <c r="R267" s="638"/>
      <c r="S267" s="638"/>
      <c r="T267" s="638"/>
      <c r="U267" s="638"/>
      <c r="V267" s="63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51" t="s">
        <v>76</v>
      </c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1"/>
      <c r="P268" s="651"/>
      <c r="Q268" s="651"/>
      <c r="R268" s="651"/>
      <c r="S268" s="651"/>
      <c r="T268" s="651"/>
      <c r="U268" s="651"/>
      <c r="V268" s="651"/>
      <c r="W268" s="651"/>
      <c r="X268" s="651"/>
      <c r="Y268" s="651"/>
      <c r="Z268" s="651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646">
        <v>4680115882683</v>
      </c>
      <c r="E269" s="64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646">
        <v>4680115882690</v>
      </c>
      <c r="E270" s="64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646">
        <v>4680115882669</v>
      </c>
      <c r="E271" s="64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646">
        <v>4680115882676</v>
      </c>
      <c r="E272" s="64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646">
        <v>4680115884014</v>
      </c>
      <c r="E273" s="64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646">
        <v>4680115884007</v>
      </c>
      <c r="E274" s="64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646">
        <v>4680115884038</v>
      </c>
      <c r="E275" s="64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646">
        <v>4680115884021</v>
      </c>
      <c r="E276" s="64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640"/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1"/>
      <c r="P277" s="637" t="s">
        <v>40</v>
      </c>
      <c r="Q277" s="638"/>
      <c r="R277" s="638"/>
      <c r="S277" s="638"/>
      <c r="T277" s="638"/>
      <c r="U277" s="638"/>
      <c r="V277" s="63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40"/>
      <c r="B278" s="640"/>
      <c r="C278" s="640"/>
      <c r="D278" s="640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1"/>
      <c r="P278" s="637" t="s">
        <v>40</v>
      </c>
      <c r="Q278" s="638"/>
      <c r="R278" s="638"/>
      <c r="S278" s="638"/>
      <c r="T278" s="638"/>
      <c r="U278" s="638"/>
      <c r="V278" s="639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51" t="s">
        <v>85</v>
      </c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1"/>
      <c r="P279" s="651"/>
      <c r="Q279" s="651"/>
      <c r="R279" s="651"/>
      <c r="S279" s="651"/>
      <c r="T279" s="651"/>
      <c r="U279" s="651"/>
      <c r="V279" s="651"/>
      <c r="W279" s="651"/>
      <c r="X279" s="651"/>
      <c r="Y279" s="651"/>
      <c r="Z279" s="651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646">
        <v>4680115881594</v>
      </c>
      <c r="E280" s="64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646">
        <v>4680115881617</v>
      </c>
      <c r="E281" s="64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646">
        <v>4680115880573</v>
      </c>
      <c r="E282" s="64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646">
        <v>4680115882195</v>
      </c>
      <c r="E283" s="64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7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646">
        <v>4680115882607</v>
      </c>
      <c r="E284" s="64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7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646">
        <v>4680115882607</v>
      </c>
      <c r="E285" s="64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7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646">
        <v>4680115880092</v>
      </c>
      <c r="E286" s="64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646">
        <v>4680115889064</v>
      </c>
      <c r="E287" s="64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646">
        <v>4680115880221</v>
      </c>
      <c r="E288" s="64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646">
        <v>4680115880504</v>
      </c>
      <c r="E289" s="64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646">
        <v>4680115882164</v>
      </c>
      <c r="E290" s="64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646">
        <v>4680115888340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640"/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1"/>
      <c r="P292" s="637" t="s">
        <v>40</v>
      </c>
      <c r="Q292" s="638"/>
      <c r="R292" s="638"/>
      <c r="S292" s="638"/>
      <c r="T292" s="638"/>
      <c r="U292" s="638"/>
      <c r="V292" s="63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51" t="s">
        <v>180</v>
      </c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1"/>
      <c r="P294" s="651"/>
      <c r="Q294" s="651"/>
      <c r="R294" s="651"/>
      <c r="S294" s="651"/>
      <c r="T294" s="651"/>
      <c r="U294" s="651"/>
      <c r="V294" s="651"/>
      <c r="W294" s="651"/>
      <c r="X294" s="651"/>
      <c r="Y294" s="651"/>
      <c r="Z294" s="651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646">
        <v>4680115880818</v>
      </c>
      <c r="E295" s="64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646">
        <v>4680115880801</v>
      </c>
      <c r="E296" s="64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40"/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1"/>
      <c r="P297" s="637" t="s">
        <v>40</v>
      </c>
      <c r="Q297" s="638"/>
      <c r="R297" s="638"/>
      <c r="S297" s="638"/>
      <c r="T297" s="638"/>
      <c r="U297" s="638"/>
      <c r="V297" s="639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40"/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1"/>
      <c r="P298" s="637" t="s">
        <v>40</v>
      </c>
      <c r="Q298" s="638"/>
      <c r="R298" s="638"/>
      <c r="S298" s="638"/>
      <c r="T298" s="638"/>
      <c r="U298" s="638"/>
      <c r="V298" s="639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50" t="s">
        <v>514</v>
      </c>
      <c r="B299" s="650"/>
      <c r="C299" s="650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650"/>
      <c r="R299" s="650"/>
      <c r="S299" s="650"/>
      <c r="T299" s="650"/>
      <c r="U299" s="650"/>
      <c r="V299" s="650"/>
      <c r="W299" s="650"/>
      <c r="X299" s="650"/>
      <c r="Y299" s="650"/>
      <c r="Z299" s="650"/>
      <c r="AA299" s="62"/>
      <c r="AB299" s="62"/>
      <c r="AC299" s="62"/>
    </row>
    <row r="300" spans="1:68" ht="14.25" hidden="1" customHeight="1" x14ac:dyDescent="0.25">
      <c r="A300" s="651" t="s">
        <v>127</v>
      </c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1"/>
      <c r="P300" s="651"/>
      <c r="Q300" s="651"/>
      <c r="R300" s="651"/>
      <c r="S300" s="651"/>
      <c r="T300" s="651"/>
      <c r="U300" s="651"/>
      <c r="V300" s="651"/>
      <c r="W300" s="651"/>
      <c r="X300" s="651"/>
      <c r="Y300" s="651"/>
      <c r="Z300" s="651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646">
        <v>4680115884137</v>
      </c>
      <c r="E301" s="64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646">
        <v>4680115884236</v>
      </c>
      <c r="E302" s="64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7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646">
        <v>4680115884175</v>
      </c>
      <c r="E303" s="64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646">
        <v>4680115884144</v>
      </c>
      <c r="E304" s="64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646">
        <v>4680115886551</v>
      </c>
      <c r="E305" s="64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646">
        <v>4680115887282</v>
      </c>
      <c r="E306" s="64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7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646">
        <v>4680115884205</v>
      </c>
      <c r="E307" s="64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7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51" t="s">
        <v>163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646">
        <v>4680115885981</v>
      </c>
      <c r="E311" s="64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51" t="s">
        <v>536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646">
        <v>4680115886803</v>
      </c>
      <c r="E315" s="64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76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40"/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1"/>
      <c r="P316" s="637" t="s">
        <v>40</v>
      </c>
      <c r="Q316" s="638"/>
      <c r="R316" s="638"/>
      <c r="S316" s="638"/>
      <c r="T316" s="638"/>
      <c r="U316" s="638"/>
      <c r="V316" s="639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40"/>
      <c r="B317" s="640"/>
      <c r="C317" s="640"/>
      <c r="D317" s="640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1"/>
      <c r="P317" s="637" t="s">
        <v>40</v>
      </c>
      <c r="Q317" s="638"/>
      <c r="R317" s="638"/>
      <c r="S317" s="638"/>
      <c r="T317" s="638"/>
      <c r="U317" s="638"/>
      <c r="V317" s="639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51" t="s">
        <v>353</v>
      </c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1"/>
      <c r="P318" s="651"/>
      <c r="Q318" s="651"/>
      <c r="R318" s="651"/>
      <c r="S318" s="651"/>
      <c r="T318" s="651"/>
      <c r="U318" s="651"/>
      <c r="V318" s="651"/>
      <c r="W318" s="651"/>
      <c r="X318" s="651"/>
      <c r="Y318" s="651"/>
      <c r="Z318" s="651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646">
        <v>4680115886704</v>
      </c>
      <c r="E319" s="64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7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646">
        <v>4680115886681</v>
      </c>
      <c r="E320" s="64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646">
        <v>4680115886735</v>
      </c>
      <c r="E321" s="64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40"/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1"/>
      <c r="P322" s="637" t="s">
        <v>40</v>
      </c>
      <c r="Q322" s="638"/>
      <c r="R322" s="638"/>
      <c r="S322" s="638"/>
      <c r="T322" s="638"/>
      <c r="U322" s="638"/>
      <c r="V322" s="639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40"/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1"/>
      <c r="P323" s="637" t="s">
        <v>40</v>
      </c>
      <c r="Q323" s="638"/>
      <c r="R323" s="638"/>
      <c r="S323" s="638"/>
      <c r="T323" s="638"/>
      <c r="U323" s="638"/>
      <c r="V323" s="639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50" t="s">
        <v>547</v>
      </c>
      <c r="B324" s="650"/>
      <c r="C324" s="650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650"/>
      <c r="R324" s="650"/>
      <c r="S324" s="650"/>
      <c r="T324" s="650"/>
      <c r="U324" s="650"/>
      <c r="V324" s="650"/>
      <c r="W324" s="650"/>
      <c r="X324" s="650"/>
      <c r="Y324" s="650"/>
      <c r="Z324" s="650"/>
      <c r="AA324" s="62"/>
      <c r="AB324" s="62"/>
      <c r="AC324" s="62"/>
    </row>
    <row r="325" spans="1:68" ht="14.25" hidden="1" customHeight="1" x14ac:dyDescent="0.25">
      <c r="A325" s="651" t="s">
        <v>127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646">
        <v>4680115885837</v>
      </c>
      <c r="E326" s="64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646">
        <v>4680115887237</v>
      </c>
      <c r="E327" s="64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7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646">
        <v>4680115885806</v>
      </c>
      <c r="E328" s="64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646">
        <v>4680115885844</v>
      </c>
      <c r="E329" s="64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646">
        <v>4680115885820</v>
      </c>
      <c r="E330" s="64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40"/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1"/>
      <c r="P331" s="637" t="s">
        <v>40</v>
      </c>
      <c r="Q331" s="638"/>
      <c r="R331" s="638"/>
      <c r="S331" s="638"/>
      <c r="T331" s="638"/>
      <c r="U331" s="638"/>
      <c r="V331" s="63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40"/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1"/>
      <c r="P332" s="637" t="s">
        <v>40</v>
      </c>
      <c r="Q332" s="638"/>
      <c r="R332" s="638"/>
      <c r="S332" s="638"/>
      <c r="T332" s="638"/>
      <c r="U332" s="638"/>
      <c r="V332" s="63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50" t="s">
        <v>563</v>
      </c>
      <c r="B333" s="650"/>
      <c r="C333" s="650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650"/>
      <c r="R333" s="650"/>
      <c r="S333" s="650"/>
      <c r="T333" s="650"/>
      <c r="U333" s="650"/>
      <c r="V333" s="650"/>
      <c r="W333" s="650"/>
      <c r="X333" s="650"/>
      <c r="Y333" s="650"/>
      <c r="Z333" s="650"/>
      <c r="AA333" s="62"/>
      <c r="AB333" s="62"/>
      <c r="AC333" s="62"/>
    </row>
    <row r="334" spans="1:68" ht="14.25" hidden="1" customHeight="1" x14ac:dyDescent="0.25">
      <c r="A334" s="651" t="s">
        <v>85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646">
        <v>4680115886186</v>
      </c>
      <c r="E335" s="64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646">
        <v>4680115881228</v>
      </c>
      <c r="E336" s="64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646">
        <v>4680115881211</v>
      </c>
      <c r="E337" s="64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40"/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1"/>
      <c r="P338" s="637" t="s">
        <v>40</v>
      </c>
      <c r="Q338" s="638"/>
      <c r="R338" s="638"/>
      <c r="S338" s="638"/>
      <c r="T338" s="638"/>
      <c r="U338" s="638"/>
      <c r="V338" s="63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40"/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1"/>
      <c r="P339" s="637" t="s">
        <v>40</v>
      </c>
      <c r="Q339" s="638"/>
      <c r="R339" s="638"/>
      <c r="S339" s="638"/>
      <c r="T339" s="638"/>
      <c r="U339" s="638"/>
      <c r="V339" s="63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50" t="s">
        <v>572</v>
      </c>
      <c r="B340" s="650"/>
      <c r="C340" s="650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650"/>
      <c r="R340" s="650"/>
      <c r="S340" s="650"/>
      <c r="T340" s="650"/>
      <c r="U340" s="650"/>
      <c r="V340" s="650"/>
      <c r="W340" s="650"/>
      <c r="X340" s="650"/>
      <c r="Y340" s="650"/>
      <c r="Z340" s="650"/>
      <c r="AA340" s="62"/>
      <c r="AB340" s="62"/>
      <c r="AC340" s="62"/>
    </row>
    <row r="341" spans="1:68" ht="14.25" hidden="1" customHeight="1" x14ac:dyDescent="0.25">
      <c r="A341" s="651" t="s">
        <v>76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646">
        <v>4680115888319</v>
      </c>
      <c r="E342" s="64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5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646">
        <v>4680115884700</v>
      </c>
      <c r="E343" s="64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5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646">
        <v>4680115880344</v>
      </c>
      <c r="E344" s="64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646">
        <v>4680115886919</v>
      </c>
      <c r="E345" s="64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5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646">
        <v>4680115883970</v>
      </c>
      <c r="E346" s="64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40"/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1"/>
      <c r="P347" s="637" t="s">
        <v>40</v>
      </c>
      <c r="Q347" s="638"/>
      <c r="R347" s="638"/>
      <c r="S347" s="638"/>
      <c r="T347" s="638"/>
      <c r="U347" s="638"/>
      <c r="V347" s="63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51" t="s">
        <v>85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646">
        <v>4680115884618</v>
      </c>
      <c r="E350" s="64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7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646">
        <v>4680115887114</v>
      </c>
      <c r="E351" s="64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7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40"/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1"/>
      <c r="P352" s="637" t="s">
        <v>40</v>
      </c>
      <c r="Q352" s="638"/>
      <c r="R352" s="638"/>
      <c r="S352" s="638"/>
      <c r="T352" s="638"/>
      <c r="U352" s="638"/>
      <c r="V352" s="63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40"/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1"/>
      <c r="P353" s="637" t="s">
        <v>40</v>
      </c>
      <c r="Q353" s="638"/>
      <c r="R353" s="638"/>
      <c r="S353" s="638"/>
      <c r="T353" s="638"/>
      <c r="U353" s="638"/>
      <c r="V353" s="63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50" t="s">
        <v>593</v>
      </c>
      <c r="B354" s="650"/>
      <c r="C354" s="650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650"/>
      <c r="R354" s="650"/>
      <c r="S354" s="650"/>
      <c r="T354" s="650"/>
      <c r="U354" s="650"/>
      <c r="V354" s="650"/>
      <c r="W354" s="650"/>
      <c r="X354" s="650"/>
      <c r="Y354" s="650"/>
      <c r="Z354" s="650"/>
      <c r="AA354" s="62"/>
      <c r="AB354" s="62"/>
      <c r="AC354" s="62"/>
    </row>
    <row r="355" spans="1:68" ht="14.25" hidden="1" customHeight="1" x14ac:dyDescent="0.25">
      <c r="A355" s="651" t="s">
        <v>127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646">
        <v>4680115887947</v>
      </c>
      <c r="E356" s="64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7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646">
        <v>4680115887978</v>
      </c>
      <c r="E357" s="64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646">
        <v>4680115887992</v>
      </c>
      <c r="E358" s="64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7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40"/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1"/>
      <c r="P359" s="637" t="s">
        <v>40</v>
      </c>
      <c r="Q359" s="638"/>
      <c r="R359" s="638"/>
      <c r="S359" s="638"/>
      <c r="T359" s="638"/>
      <c r="U359" s="638"/>
      <c r="V359" s="63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40"/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1"/>
      <c r="P360" s="637" t="s">
        <v>40</v>
      </c>
      <c r="Q360" s="638"/>
      <c r="R360" s="638"/>
      <c r="S360" s="638"/>
      <c r="T360" s="638"/>
      <c r="U360" s="638"/>
      <c r="V360" s="63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50" t="s">
        <v>602</v>
      </c>
      <c r="B361" s="650"/>
      <c r="C361" s="650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650"/>
      <c r="R361" s="650"/>
      <c r="S361" s="650"/>
      <c r="T361" s="650"/>
      <c r="U361" s="650"/>
      <c r="V361" s="650"/>
      <c r="W361" s="650"/>
      <c r="X361" s="650"/>
      <c r="Y361" s="650"/>
      <c r="Z361" s="650"/>
      <c r="AA361" s="62"/>
      <c r="AB361" s="62"/>
      <c r="AC361" s="62"/>
    </row>
    <row r="362" spans="1:68" ht="14.25" hidden="1" customHeight="1" x14ac:dyDescent="0.25">
      <c r="A362" s="651" t="s">
        <v>127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646">
        <v>4607091386004</v>
      </c>
      <c r="E363" s="64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7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646">
        <v>4680115887190</v>
      </c>
      <c r="E364" s="64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7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646">
        <v>4680115887138</v>
      </c>
      <c r="E365" s="64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74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646">
        <v>4680115885554</v>
      </c>
      <c r="E366" s="64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7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646">
        <v>4680115887220</v>
      </c>
      <c r="E367" s="64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7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646">
        <v>4680115885608</v>
      </c>
      <c r="E368" s="64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7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640"/>
      <c r="B369" s="640"/>
      <c r="C369" s="640"/>
      <c r="D369" s="640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1"/>
      <c r="P369" s="637" t="s">
        <v>40</v>
      </c>
      <c r="Q369" s="638"/>
      <c r="R369" s="638"/>
      <c r="S369" s="638"/>
      <c r="T369" s="638"/>
      <c r="U369" s="638"/>
      <c r="V369" s="639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40"/>
      <c r="B370" s="640"/>
      <c r="C370" s="640"/>
      <c r="D370" s="640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1"/>
      <c r="P370" s="637" t="s">
        <v>40</v>
      </c>
      <c r="Q370" s="638"/>
      <c r="R370" s="638"/>
      <c r="S370" s="638"/>
      <c r="T370" s="638"/>
      <c r="U370" s="638"/>
      <c r="V370" s="639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51" t="s">
        <v>76</v>
      </c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1"/>
      <c r="P371" s="651"/>
      <c r="Q371" s="651"/>
      <c r="R371" s="651"/>
      <c r="S371" s="651"/>
      <c r="T371" s="651"/>
      <c r="U371" s="651"/>
      <c r="V371" s="651"/>
      <c r="W371" s="651"/>
      <c r="X371" s="651"/>
      <c r="Y371" s="651"/>
      <c r="Z371" s="651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646">
        <v>4607091387193</v>
      </c>
      <c r="E372" s="64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7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646">
        <v>4607091387230</v>
      </c>
      <c r="E373" s="64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646">
        <v>4607091387292</v>
      </c>
      <c r="E374" s="64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7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646">
        <v>4607091387285</v>
      </c>
      <c r="E375" s="64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646">
        <v>4607091389845</v>
      </c>
      <c r="E376" s="64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646">
        <v>4680115887442</v>
      </c>
      <c r="E377" s="64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73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646">
        <v>4607091383836</v>
      </c>
      <c r="E378" s="64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640"/>
      <c r="B379" s="640"/>
      <c r="C379" s="640"/>
      <c r="D379" s="640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1"/>
      <c r="P379" s="637" t="s">
        <v>40</v>
      </c>
      <c r="Q379" s="638"/>
      <c r="R379" s="638"/>
      <c r="S379" s="638"/>
      <c r="T379" s="638"/>
      <c r="U379" s="638"/>
      <c r="V379" s="639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40"/>
      <c r="B380" s="640"/>
      <c r="C380" s="640"/>
      <c r="D380" s="640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1"/>
      <c r="P380" s="637" t="s">
        <v>40</v>
      </c>
      <c r="Q380" s="638"/>
      <c r="R380" s="638"/>
      <c r="S380" s="638"/>
      <c r="T380" s="638"/>
      <c r="U380" s="638"/>
      <c r="V380" s="639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51" t="s">
        <v>85</v>
      </c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1"/>
      <c r="P381" s="651"/>
      <c r="Q381" s="651"/>
      <c r="R381" s="651"/>
      <c r="S381" s="651"/>
      <c r="T381" s="651"/>
      <c r="U381" s="651"/>
      <c r="V381" s="651"/>
      <c r="W381" s="651"/>
      <c r="X381" s="651"/>
      <c r="Y381" s="651"/>
      <c r="Z381" s="651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646">
        <v>4607091387766</v>
      </c>
      <c r="E382" s="64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646">
        <v>4607091387957</v>
      </c>
      <c r="E383" s="64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7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646">
        <v>4607091387964</v>
      </c>
      <c r="E384" s="64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646">
        <v>4680115884588</v>
      </c>
      <c r="E385" s="64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40"/>
      <c r="B386" s="640"/>
      <c r="C386" s="640"/>
      <c r="D386" s="640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1"/>
      <c r="P386" s="637" t="s">
        <v>40</v>
      </c>
      <c r="Q386" s="638"/>
      <c r="R386" s="638"/>
      <c r="S386" s="638"/>
      <c r="T386" s="638"/>
      <c r="U386" s="638"/>
      <c r="V386" s="639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51" t="s">
        <v>180</v>
      </c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1"/>
      <c r="P388" s="651"/>
      <c r="Q388" s="651"/>
      <c r="R388" s="651"/>
      <c r="S388" s="651"/>
      <c r="T388" s="651"/>
      <c r="U388" s="651"/>
      <c r="V388" s="651"/>
      <c r="W388" s="651"/>
      <c r="X388" s="651"/>
      <c r="Y388" s="651"/>
      <c r="Z388" s="651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646">
        <v>4607091380880</v>
      </c>
      <c r="E389" s="64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7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646">
        <v>4607091384482</v>
      </c>
      <c r="E390" s="64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7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646">
        <v>4607091380897</v>
      </c>
      <c r="E391" s="64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7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40"/>
      <c r="B392" s="640"/>
      <c r="C392" s="640"/>
      <c r="D392" s="640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1"/>
      <c r="P392" s="637" t="s">
        <v>40</v>
      </c>
      <c r="Q392" s="638"/>
      <c r="R392" s="638"/>
      <c r="S392" s="638"/>
      <c r="T392" s="638"/>
      <c r="U392" s="638"/>
      <c r="V392" s="639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40"/>
      <c r="B393" s="640"/>
      <c r="C393" s="640"/>
      <c r="D393" s="640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1"/>
      <c r="P393" s="637" t="s">
        <v>40</v>
      </c>
      <c r="Q393" s="638"/>
      <c r="R393" s="638"/>
      <c r="S393" s="638"/>
      <c r="T393" s="638"/>
      <c r="U393" s="638"/>
      <c r="V393" s="639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51" t="s">
        <v>103</v>
      </c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1"/>
      <c r="P394" s="651"/>
      <c r="Q394" s="651"/>
      <c r="R394" s="651"/>
      <c r="S394" s="651"/>
      <c r="T394" s="651"/>
      <c r="U394" s="651"/>
      <c r="V394" s="651"/>
      <c r="W394" s="651"/>
      <c r="X394" s="651"/>
      <c r="Y394" s="651"/>
      <c r="Z394" s="651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646">
        <v>4607091388381</v>
      </c>
      <c r="E395" s="64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7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646">
        <v>4607091388374</v>
      </c>
      <c r="E396" s="64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646">
        <v>4607091383102</v>
      </c>
      <c r="E397" s="64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7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646">
        <v>4607091388404</v>
      </c>
      <c r="E398" s="64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40"/>
      <c r="B399" s="640"/>
      <c r="C399" s="640"/>
      <c r="D399" s="640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1"/>
      <c r="P399" s="637" t="s">
        <v>40</v>
      </c>
      <c r="Q399" s="638"/>
      <c r="R399" s="638"/>
      <c r="S399" s="638"/>
      <c r="T399" s="638"/>
      <c r="U399" s="638"/>
      <c r="V399" s="639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51" t="s">
        <v>668</v>
      </c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1"/>
      <c r="P401" s="651"/>
      <c r="Q401" s="651"/>
      <c r="R401" s="651"/>
      <c r="S401" s="651"/>
      <c r="T401" s="651"/>
      <c r="U401" s="651"/>
      <c r="V401" s="651"/>
      <c r="W401" s="651"/>
      <c r="X401" s="651"/>
      <c r="Y401" s="651"/>
      <c r="Z401" s="651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646">
        <v>4680115881808</v>
      </c>
      <c r="E402" s="64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7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646">
        <v>4680115881822</v>
      </c>
      <c r="E403" s="64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7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646">
        <v>4680115880016</v>
      </c>
      <c r="E404" s="64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7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40"/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1"/>
      <c r="P405" s="637" t="s">
        <v>40</v>
      </c>
      <c r="Q405" s="638"/>
      <c r="R405" s="638"/>
      <c r="S405" s="638"/>
      <c r="T405" s="638"/>
      <c r="U405" s="638"/>
      <c r="V405" s="639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51" t="s">
        <v>677</v>
      </c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1"/>
      <c r="P407" s="651"/>
      <c r="Q407" s="651"/>
      <c r="R407" s="651"/>
      <c r="S407" s="651"/>
      <c r="T407" s="651"/>
      <c r="U407" s="651"/>
      <c r="V407" s="651"/>
      <c r="W407" s="651"/>
      <c r="X407" s="651"/>
      <c r="Y407" s="651"/>
      <c r="Z407" s="651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646">
        <v>4680115888678</v>
      </c>
      <c r="E408" s="64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71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646">
        <v>4680115888654</v>
      </c>
      <c r="E409" s="64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71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646">
        <v>4680115888753</v>
      </c>
      <c r="E410" s="64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40"/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1"/>
      <c r="P411" s="637" t="s">
        <v>40</v>
      </c>
      <c r="Q411" s="638"/>
      <c r="R411" s="638"/>
      <c r="S411" s="638"/>
      <c r="T411" s="638"/>
      <c r="U411" s="638"/>
      <c r="V411" s="639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50" t="s">
        <v>686</v>
      </c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650"/>
      <c r="R413" s="650"/>
      <c r="S413" s="650"/>
      <c r="T413" s="650"/>
      <c r="U413" s="650"/>
      <c r="V413" s="650"/>
      <c r="W413" s="650"/>
      <c r="X413" s="650"/>
      <c r="Y413" s="650"/>
      <c r="Z413" s="650"/>
      <c r="AA413" s="62"/>
      <c r="AB413" s="62"/>
      <c r="AC413" s="62"/>
    </row>
    <row r="414" spans="1:68" ht="14.25" hidden="1" customHeight="1" x14ac:dyDescent="0.25">
      <c r="A414" s="651" t="s">
        <v>85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646">
        <v>4607091387919</v>
      </c>
      <c r="E415" s="646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48"/>
      <c r="R415" s="648"/>
      <c r="S415" s="648"/>
      <c r="T415" s="64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646">
        <v>4680115883604</v>
      </c>
      <c r="E416" s="646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646">
        <v>4680115883567</v>
      </c>
      <c r="E417" s="646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40"/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1"/>
      <c r="P418" s="637" t="s">
        <v>40</v>
      </c>
      <c r="Q418" s="638"/>
      <c r="R418" s="638"/>
      <c r="S418" s="638"/>
      <c r="T418" s="638"/>
      <c r="U418" s="638"/>
      <c r="V418" s="639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657" t="s">
        <v>696</v>
      </c>
      <c r="B420" s="657"/>
      <c r="C420" s="657"/>
      <c r="D420" s="657"/>
      <c r="E420" s="657"/>
      <c r="F420" s="657"/>
      <c r="G420" s="657"/>
      <c r="H420" s="657"/>
      <c r="I420" s="657"/>
      <c r="J420" s="657"/>
      <c r="K420" s="657"/>
      <c r="L420" s="657"/>
      <c r="M420" s="657"/>
      <c r="N420" s="657"/>
      <c r="O420" s="657"/>
      <c r="P420" s="657"/>
      <c r="Q420" s="657"/>
      <c r="R420" s="657"/>
      <c r="S420" s="657"/>
      <c r="T420" s="657"/>
      <c r="U420" s="657"/>
      <c r="V420" s="657"/>
      <c r="W420" s="657"/>
      <c r="X420" s="657"/>
      <c r="Y420" s="657"/>
      <c r="Z420" s="657"/>
      <c r="AA420" s="52"/>
      <c r="AB420" s="52"/>
      <c r="AC420" s="52"/>
    </row>
    <row r="421" spans="1:68" ht="16.5" hidden="1" customHeight="1" x14ac:dyDescent="0.25">
      <c r="A421" s="650" t="s">
        <v>697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2"/>
      <c r="AB421" s="62"/>
      <c r="AC421" s="62"/>
    </row>
    <row r="422" spans="1:68" ht="14.25" hidden="1" customHeight="1" x14ac:dyDescent="0.25">
      <c r="A422" s="651" t="s">
        <v>127</v>
      </c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1"/>
      <c r="P422" s="651"/>
      <c r="Q422" s="651"/>
      <c r="R422" s="651"/>
      <c r="S422" s="651"/>
      <c r="T422" s="651"/>
      <c r="U422" s="651"/>
      <c r="V422" s="651"/>
      <c r="W422" s="651"/>
      <c r="X422" s="651"/>
      <c r="Y422" s="651"/>
      <c r="Z422" s="651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646">
        <v>4680115888401</v>
      </c>
      <c r="E423" s="646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48"/>
      <c r="R423" s="648"/>
      <c r="S423" s="648"/>
      <c r="T423" s="649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646">
        <v>4680115884847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500</v>
      </c>
      <c r="Y424" s="53">
        <f t="shared" si="52"/>
        <v>510</v>
      </c>
      <c r="Z424" s="39">
        <f>IFERROR(IF(Y424=0,"",ROUNDUP(Y424/H424,0)*0.02175),"")</f>
        <v>0.73949999999999994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515.66666666666663</v>
      </c>
      <c r="BN424" s="75">
        <f t="shared" si="54"/>
        <v>525.98</v>
      </c>
      <c r="BO424" s="75">
        <f t="shared" si="55"/>
        <v>0.69444444444444442</v>
      </c>
      <c r="BP424" s="75">
        <f t="shared" si="56"/>
        <v>0.70833333333333326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4301012083</v>
      </c>
      <c r="D425" s="646">
        <v>4680115884854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hidden="1" customHeight="1" x14ac:dyDescent="0.25">
      <c r="A426" s="60" t="s">
        <v>707</v>
      </c>
      <c r="B426" s="60" t="s">
        <v>708</v>
      </c>
      <c r="C426" s="34">
        <v>4301011867</v>
      </c>
      <c r="D426" s="646">
        <v>4680115884830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2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0</v>
      </c>
      <c r="BN426" s="75">
        <f t="shared" si="54"/>
        <v>0</v>
      </c>
      <c r="BO426" s="75">
        <f t="shared" si="55"/>
        <v>0</v>
      </c>
      <c r="BP426" s="75">
        <f t="shared" si="56"/>
        <v>0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4301012356</v>
      </c>
      <c r="D427" s="646">
        <v>4680115889231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646">
        <v>4680115882638</v>
      </c>
      <c r="E428" s="646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646">
        <v>4680115884922</v>
      </c>
      <c r="E429" s="646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646">
        <v>4680115884861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640"/>
      <c r="B431" s="640"/>
      <c r="C431" s="640"/>
      <c r="D431" s="640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1"/>
      <c r="P431" s="637" t="s">
        <v>40</v>
      </c>
      <c r="Q431" s="638"/>
      <c r="R431" s="638"/>
      <c r="S431" s="638"/>
      <c r="T431" s="638"/>
      <c r="U431" s="638"/>
      <c r="V431" s="639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33.333333333333336</v>
      </c>
      <c r="Y431" s="41">
        <f>IFERROR(Y423/H423,"0")+IFERROR(Y424/H424,"0")+IFERROR(Y425/H425,"0")+IFERROR(Y426/H426,"0")+IFERROR(Y427/H427,"0")+IFERROR(Y428/H428,"0")+IFERROR(Y429/H429,"0")+IFERROR(Y430/H430,"0")</f>
        <v>34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0.73949999999999994</v>
      </c>
      <c r="AA431" s="64"/>
      <c r="AB431" s="64"/>
      <c r="AC431" s="64"/>
    </row>
    <row r="432" spans="1:68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0</v>
      </c>
      <c r="X432" s="41">
        <f>IFERROR(SUM(X423:X430),"0")</f>
        <v>500</v>
      </c>
      <c r="Y432" s="41">
        <f>IFERROR(SUM(Y423:Y430),"0")</f>
        <v>510</v>
      </c>
      <c r="Z432" s="40"/>
      <c r="AA432" s="64"/>
      <c r="AB432" s="64"/>
      <c r="AC432" s="64"/>
    </row>
    <row r="433" spans="1:68" ht="14.25" hidden="1" customHeight="1" x14ac:dyDescent="0.25">
      <c r="A433" s="651" t="s">
        <v>163</v>
      </c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1"/>
      <c r="P433" s="651"/>
      <c r="Q433" s="651"/>
      <c r="R433" s="651"/>
      <c r="S433" s="651"/>
      <c r="T433" s="651"/>
      <c r="U433" s="651"/>
      <c r="V433" s="651"/>
      <c r="W433" s="651"/>
      <c r="X433" s="651"/>
      <c r="Y433" s="651"/>
      <c r="Z433" s="651"/>
      <c r="AA433" s="63"/>
      <c r="AB433" s="63"/>
      <c r="AC433" s="63"/>
    </row>
    <row r="434" spans="1:68" ht="27" hidden="1" customHeight="1" x14ac:dyDescent="0.25">
      <c r="A434" s="60" t="s">
        <v>722</v>
      </c>
      <c r="B434" s="60" t="s">
        <v>723</v>
      </c>
      <c r="C434" s="34">
        <v>4301020178</v>
      </c>
      <c r="D434" s="646">
        <v>4607091383980</v>
      </c>
      <c r="E434" s="646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48"/>
      <c r="R434" s="648"/>
      <c r="S434" s="648"/>
      <c r="T434" s="649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646">
        <v>4680115888425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646">
        <v>4607091384178</v>
      </c>
      <c r="E436" s="646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640"/>
      <c r="B437" s="640"/>
      <c r="C437" s="640"/>
      <c r="D437" s="640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1"/>
      <c r="P437" s="637" t="s">
        <v>40</v>
      </c>
      <c r="Q437" s="638"/>
      <c r="R437" s="638"/>
      <c r="S437" s="638"/>
      <c r="T437" s="638"/>
      <c r="U437" s="638"/>
      <c r="V437" s="639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651" t="s">
        <v>85</v>
      </c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1"/>
      <c r="P439" s="651"/>
      <c r="Q439" s="651"/>
      <c r="R439" s="651"/>
      <c r="S439" s="651"/>
      <c r="T439" s="651"/>
      <c r="U439" s="651"/>
      <c r="V439" s="651"/>
      <c r="W439" s="651"/>
      <c r="X439" s="651"/>
      <c r="Y439" s="651"/>
      <c r="Z439" s="651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646">
        <v>4607091383928</v>
      </c>
      <c r="E440" s="646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48"/>
      <c r="R440" s="648"/>
      <c r="S440" s="648"/>
      <c r="T440" s="64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646">
        <v>4607091384260</v>
      </c>
      <c r="E441" s="646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646">
        <v>4680115889538</v>
      </c>
      <c r="E442" s="646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40"/>
      <c r="B443" s="640"/>
      <c r="C443" s="640"/>
      <c r="D443" s="640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1"/>
      <c r="P443" s="637" t="s">
        <v>40</v>
      </c>
      <c r="Q443" s="638"/>
      <c r="R443" s="638"/>
      <c r="S443" s="638"/>
      <c r="T443" s="638"/>
      <c r="U443" s="638"/>
      <c r="V443" s="639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51" t="s">
        <v>180</v>
      </c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1"/>
      <c r="P445" s="651"/>
      <c r="Q445" s="651"/>
      <c r="R445" s="651"/>
      <c r="S445" s="651"/>
      <c r="T445" s="651"/>
      <c r="U445" s="651"/>
      <c r="V445" s="651"/>
      <c r="W445" s="651"/>
      <c r="X445" s="651"/>
      <c r="Y445" s="651"/>
      <c r="Z445" s="651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646">
        <v>4680115889545</v>
      </c>
      <c r="E446" s="646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48"/>
      <c r="R446" s="648"/>
      <c r="S446" s="648"/>
      <c r="T446" s="64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646">
        <v>4607091384673</v>
      </c>
      <c r="E447" s="64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640"/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1"/>
      <c r="P448" s="637" t="s">
        <v>40</v>
      </c>
      <c r="Q448" s="638"/>
      <c r="R448" s="638"/>
      <c r="S448" s="638"/>
      <c r="T448" s="638"/>
      <c r="U448" s="638"/>
      <c r="V448" s="63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650" t="s">
        <v>746</v>
      </c>
      <c r="B450" s="650"/>
      <c r="C450" s="650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650"/>
      <c r="R450" s="650"/>
      <c r="S450" s="650"/>
      <c r="T450" s="650"/>
      <c r="U450" s="650"/>
      <c r="V450" s="650"/>
      <c r="W450" s="650"/>
      <c r="X450" s="650"/>
      <c r="Y450" s="650"/>
      <c r="Z450" s="650"/>
      <c r="AA450" s="62"/>
      <c r="AB450" s="62"/>
      <c r="AC450" s="62"/>
    </row>
    <row r="451" spans="1:68" ht="14.25" hidden="1" customHeight="1" x14ac:dyDescent="0.25">
      <c r="A451" s="651" t="s">
        <v>127</v>
      </c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1"/>
      <c r="P451" s="651"/>
      <c r="Q451" s="651"/>
      <c r="R451" s="651"/>
      <c r="S451" s="651"/>
      <c r="T451" s="651"/>
      <c r="U451" s="651"/>
      <c r="V451" s="651"/>
      <c r="W451" s="651"/>
      <c r="X451" s="651"/>
      <c r="Y451" s="651"/>
      <c r="Z451" s="651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646">
        <v>4680115884885</v>
      </c>
      <c r="E452" s="646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48"/>
      <c r="R452" s="648"/>
      <c r="S452" s="648"/>
      <c r="T452" s="64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646">
        <v>4680115884908</v>
      </c>
      <c r="E453" s="646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40"/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1"/>
      <c r="P454" s="637" t="s">
        <v>40</v>
      </c>
      <c r="Q454" s="638"/>
      <c r="R454" s="638"/>
      <c r="S454" s="638"/>
      <c r="T454" s="638"/>
      <c r="U454" s="638"/>
      <c r="V454" s="63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651" t="s">
        <v>76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646">
        <v>4607091384802</v>
      </c>
      <c r="E457" s="646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48"/>
      <c r="R457" s="648"/>
      <c r="S457" s="648"/>
      <c r="T457" s="649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1"/>
      <c r="P458" s="637" t="s">
        <v>40</v>
      </c>
      <c r="Q458" s="638"/>
      <c r="R458" s="638"/>
      <c r="S458" s="638"/>
      <c r="T458" s="638"/>
      <c r="U458" s="638"/>
      <c r="V458" s="639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651" t="s">
        <v>85</v>
      </c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1"/>
      <c r="P460" s="651"/>
      <c r="Q460" s="651"/>
      <c r="R460" s="651"/>
      <c r="S460" s="651"/>
      <c r="T460" s="651"/>
      <c r="U460" s="651"/>
      <c r="V460" s="651"/>
      <c r="W460" s="651"/>
      <c r="X460" s="651"/>
      <c r="Y460" s="651"/>
      <c r="Z460" s="651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646">
        <v>4607091384246</v>
      </c>
      <c r="E461" s="646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48"/>
      <c r="R461" s="648"/>
      <c r="S461" s="648"/>
      <c r="T461" s="649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646">
        <v>4607091384253</v>
      </c>
      <c r="E462" s="646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40"/>
      <c r="B464" s="640"/>
      <c r="C464" s="640"/>
      <c r="D464" s="640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1"/>
      <c r="P464" s="637" t="s">
        <v>40</v>
      </c>
      <c r="Q464" s="638"/>
      <c r="R464" s="638"/>
      <c r="S464" s="638"/>
      <c r="T464" s="638"/>
      <c r="U464" s="638"/>
      <c r="V464" s="639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657" t="s">
        <v>762</v>
      </c>
      <c r="B466" s="657"/>
      <c r="C466" s="657"/>
      <c r="D466" s="657"/>
      <c r="E466" s="657"/>
      <c r="F466" s="657"/>
      <c r="G466" s="657"/>
      <c r="H466" s="657"/>
      <c r="I466" s="657"/>
      <c r="J466" s="657"/>
      <c r="K466" s="657"/>
      <c r="L466" s="657"/>
      <c r="M466" s="657"/>
      <c r="N466" s="657"/>
      <c r="O466" s="657"/>
      <c r="P466" s="657"/>
      <c r="Q466" s="657"/>
      <c r="R466" s="657"/>
      <c r="S466" s="657"/>
      <c r="T466" s="657"/>
      <c r="U466" s="657"/>
      <c r="V466" s="657"/>
      <c r="W466" s="657"/>
      <c r="X466" s="657"/>
      <c r="Y466" s="657"/>
      <c r="Z466" s="657"/>
      <c r="AA466" s="52"/>
      <c r="AB466" s="52"/>
      <c r="AC466" s="52"/>
    </row>
    <row r="467" spans="1:68" ht="16.5" hidden="1" customHeight="1" x14ac:dyDescent="0.25">
      <c r="A467" s="650" t="s">
        <v>763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62"/>
      <c r="AB467" s="62"/>
      <c r="AC467" s="62"/>
    </row>
    <row r="468" spans="1:68" ht="14.25" hidden="1" customHeight="1" x14ac:dyDescent="0.25">
      <c r="A468" s="651" t="s">
        <v>76</v>
      </c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1"/>
      <c r="P468" s="651"/>
      <c r="Q468" s="651"/>
      <c r="R468" s="651"/>
      <c r="S468" s="651"/>
      <c r="T468" s="651"/>
      <c r="U468" s="651"/>
      <c r="V468" s="651"/>
      <c r="W468" s="651"/>
      <c r="X468" s="651"/>
      <c r="Y468" s="651"/>
      <c r="Z468" s="651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646">
        <v>4680115886100</v>
      </c>
      <c r="E469" s="646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48"/>
      <c r="R469" s="648"/>
      <c r="S469" s="648"/>
      <c r="T469" s="649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646">
        <v>4680115886124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646">
        <v>4607091384338</v>
      </c>
      <c r="E471" s="646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646">
        <v>4680115883161</v>
      </c>
      <c r="E472" s="646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646">
        <v>4607091389531</v>
      </c>
      <c r="E473" s="646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646">
        <v>4607091384345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640"/>
      <c r="B475" s="640"/>
      <c r="C475" s="640"/>
      <c r="D475" s="640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1"/>
      <c r="P475" s="637" t="s">
        <v>40</v>
      </c>
      <c r="Q475" s="638"/>
      <c r="R475" s="638"/>
      <c r="S475" s="638"/>
      <c r="T475" s="638"/>
      <c r="U475" s="638"/>
      <c r="V475" s="639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51" t="s">
        <v>85</v>
      </c>
      <c r="B477" s="651"/>
      <c r="C477" s="651"/>
      <c r="D477" s="651"/>
      <c r="E477" s="651"/>
      <c r="F477" s="651"/>
      <c r="G477" s="651"/>
      <c r="H477" s="651"/>
      <c r="I477" s="651"/>
      <c r="J477" s="651"/>
      <c r="K477" s="651"/>
      <c r="L477" s="651"/>
      <c r="M477" s="651"/>
      <c r="N477" s="651"/>
      <c r="O477" s="651"/>
      <c r="P477" s="651"/>
      <c r="Q477" s="651"/>
      <c r="R477" s="651"/>
      <c r="S477" s="651"/>
      <c r="T477" s="651"/>
      <c r="U477" s="651"/>
      <c r="V477" s="651"/>
      <c r="W477" s="651"/>
      <c r="X477" s="651"/>
      <c r="Y477" s="651"/>
      <c r="Z477" s="651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646">
        <v>4607091384352</v>
      </c>
      <c r="E478" s="646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48"/>
      <c r="R478" s="648"/>
      <c r="S478" s="648"/>
      <c r="T478" s="64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646">
        <v>4607091389654</v>
      </c>
      <c r="E479" s="646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40"/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1"/>
      <c r="P480" s="637" t="s">
        <v>40</v>
      </c>
      <c r="Q480" s="638"/>
      <c r="R480" s="638"/>
      <c r="S480" s="638"/>
      <c r="T480" s="638"/>
      <c r="U480" s="638"/>
      <c r="V480" s="639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650" t="s">
        <v>786</v>
      </c>
      <c r="B482" s="650"/>
      <c r="C482" s="650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650"/>
      <c r="R482" s="650"/>
      <c r="S482" s="650"/>
      <c r="T482" s="650"/>
      <c r="U482" s="650"/>
      <c r="V482" s="650"/>
      <c r="W482" s="650"/>
      <c r="X482" s="650"/>
      <c r="Y482" s="650"/>
      <c r="Z482" s="650"/>
      <c r="AA482" s="62"/>
      <c r="AB482" s="62"/>
      <c r="AC482" s="62"/>
    </row>
    <row r="483" spans="1:68" ht="14.25" hidden="1" customHeight="1" x14ac:dyDescent="0.25">
      <c r="A483" s="651" t="s">
        <v>163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646">
        <v>4680115885240</v>
      </c>
      <c r="E484" s="646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48"/>
      <c r="R484" s="648"/>
      <c r="S484" s="648"/>
      <c r="T484" s="64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640"/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1"/>
      <c r="P485" s="637" t="s">
        <v>40</v>
      </c>
      <c r="Q485" s="638"/>
      <c r="R485" s="638"/>
      <c r="S485" s="638"/>
      <c r="T485" s="638"/>
      <c r="U485" s="638"/>
      <c r="V485" s="639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651" t="s">
        <v>76</v>
      </c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1"/>
      <c r="P487" s="651"/>
      <c r="Q487" s="651"/>
      <c r="R487" s="651"/>
      <c r="S487" s="651"/>
      <c r="T487" s="651"/>
      <c r="U487" s="651"/>
      <c r="V487" s="651"/>
      <c r="W487" s="651"/>
      <c r="X487" s="651"/>
      <c r="Y487" s="651"/>
      <c r="Z487" s="651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646">
        <v>4680115886094</v>
      </c>
      <c r="E488" s="646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48"/>
      <c r="R488" s="648"/>
      <c r="S488" s="648"/>
      <c r="T488" s="649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646">
        <v>4680115880771</v>
      </c>
      <c r="E489" s="646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646">
        <v>4607091389500</v>
      </c>
      <c r="E490" s="646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40"/>
      <c r="B491" s="640"/>
      <c r="C491" s="640"/>
      <c r="D491" s="640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1"/>
      <c r="P491" s="637" t="s">
        <v>40</v>
      </c>
      <c r="Q491" s="638"/>
      <c r="R491" s="638"/>
      <c r="S491" s="638"/>
      <c r="T491" s="638"/>
      <c r="U491" s="638"/>
      <c r="V491" s="639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657" t="s">
        <v>798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52"/>
      <c r="AB493" s="52"/>
      <c r="AC493" s="52"/>
    </row>
    <row r="494" spans="1:68" ht="16.5" hidden="1" customHeight="1" x14ac:dyDescent="0.25">
      <c r="A494" s="650" t="s">
        <v>798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62"/>
      <c r="AB494" s="62"/>
      <c r="AC494" s="62"/>
    </row>
    <row r="495" spans="1:68" ht="14.25" hidden="1" customHeight="1" x14ac:dyDescent="0.25">
      <c r="A495" s="651" t="s">
        <v>127</v>
      </c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1"/>
      <c r="P495" s="651"/>
      <c r="Q495" s="651"/>
      <c r="R495" s="651"/>
      <c r="S495" s="651"/>
      <c r="T495" s="651"/>
      <c r="U495" s="651"/>
      <c r="V495" s="651"/>
      <c r="W495" s="651"/>
      <c r="X495" s="651"/>
      <c r="Y495" s="651"/>
      <c r="Z495" s="651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646">
        <v>4607091389067</v>
      </c>
      <c r="E496" s="64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48"/>
      <c r="R496" s="648"/>
      <c r="S496" s="648"/>
      <c r="T496" s="649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646">
        <v>4680115889576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646">
        <v>4680115885271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646">
        <v>4680115885226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646">
        <v>4680115884502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646">
        <v>4607091389104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646">
        <v>4680115886391</v>
      </c>
      <c r="E502" s="646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646">
        <v>4680115880603</v>
      </c>
      <c r="E503" s="646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646">
        <v>4607091389982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640"/>
      <c r="B505" s="640"/>
      <c r="C505" s="640"/>
      <c r="D505" s="640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1"/>
      <c r="P505" s="637" t="s">
        <v>40</v>
      </c>
      <c r="Q505" s="638"/>
      <c r="R505" s="638"/>
      <c r="S505" s="638"/>
      <c r="T505" s="638"/>
      <c r="U505" s="638"/>
      <c r="V505" s="639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51" t="s">
        <v>163</v>
      </c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651"/>
      <c r="P507" s="651"/>
      <c r="Q507" s="651"/>
      <c r="R507" s="651"/>
      <c r="S507" s="651"/>
      <c r="T507" s="651"/>
      <c r="U507" s="651"/>
      <c r="V507" s="651"/>
      <c r="W507" s="651"/>
      <c r="X507" s="651"/>
      <c r="Y507" s="651"/>
      <c r="Z507" s="651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646">
        <v>4607091388930</v>
      </c>
      <c r="E508" s="64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48"/>
      <c r="R508" s="648"/>
      <c r="S508" s="648"/>
      <c r="T508" s="64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646">
        <v>4680115886407</v>
      </c>
      <c r="E509" s="646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646">
        <v>4680115880054</v>
      </c>
      <c r="E510" s="64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40"/>
      <c r="B511" s="640"/>
      <c r="C511" s="640"/>
      <c r="D511" s="640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1"/>
      <c r="P511" s="637" t="s">
        <v>40</v>
      </c>
      <c r="Q511" s="638"/>
      <c r="R511" s="638"/>
      <c r="S511" s="638"/>
      <c r="T511" s="638"/>
      <c r="U511" s="638"/>
      <c r="V511" s="639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51" t="s">
        <v>76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646">
        <v>4680115883116</v>
      </c>
      <c r="E514" s="64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48"/>
      <c r="R514" s="648"/>
      <c r="S514" s="648"/>
      <c r="T514" s="649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646">
        <v>4680115883093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646">
        <v>4680115883109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646">
        <v>4680115882072</v>
      </c>
      <c r="E517" s="646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646">
        <v>4680115882102</v>
      </c>
      <c r="E518" s="646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646">
        <v>4680115882102</v>
      </c>
      <c r="E519" s="646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646">
        <v>4680115882096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640"/>
      <c r="B521" s="640"/>
      <c r="C521" s="640"/>
      <c r="D521" s="640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1"/>
      <c r="P521" s="637" t="s">
        <v>40</v>
      </c>
      <c r="Q521" s="638"/>
      <c r="R521" s="638"/>
      <c r="S521" s="638"/>
      <c r="T521" s="638"/>
      <c r="U521" s="638"/>
      <c r="V521" s="639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657" t="s">
        <v>845</v>
      </c>
      <c r="B523" s="657"/>
      <c r="C523" s="657"/>
      <c r="D523" s="657"/>
      <c r="E523" s="657"/>
      <c r="F523" s="657"/>
      <c r="G523" s="657"/>
      <c r="H523" s="657"/>
      <c r="I523" s="657"/>
      <c r="J523" s="657"/>
      <c r="K523" s="657"/>
      <c r="L523" s="657"/>
      <c r="M523" s="657"/>
      <c r="N523" s="657"/>
      <c r="O523" s="657"/>
      <c r="P523" s="657"/>
      <c r="Q523" s="657"/>
      <c r="R523" s="657"/>
      <c r="S523" s="657"/>
      <c r="T523" s="657"/>
      <c r="U523" s="657"/>
      <c r="V523" s="657"/>
      <c r="W523" s="657"/>
      <c r="X523" s="657"/>
      <c r="Y523" s="657"/>
      <c r="Z523" s="657"/>
      <c r="AA523" s="52"/>
      <c r="AB523" s="52"/>
      <c r="AC523" s="52"/>
    </row>
    <row r="524" spans="1:68" ht="16.5" hidden="1" customHeight="1" x14ac:dyDescent="0.25">
      <c r="A524" s="650" t="s">
        <v>845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62"/>
      <c r="AB524" s="62"/>
      <c r="AC524" s="62"/>
    </row>
    <row r="525" spans="1:68" ht="14.25" hidden="1" customHeight="1" x14ac:dyDescent="0.25">
      <c r="A525" s="651" t="s">
        <v>127</v>
      </c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1"/>
      <c r="P525" s="651"/>
      <c r="Q525" s="651"/>
      <c r="R525" s="651"/>
      <c r="S525" s="651"/>
      <c r="T525" s="651"/>
      <c r="U525" s="651"/>
      <c r="V525" s="651"/>
      <c r="W525" s="651"/>
      <c r="X525" s="651"/>
      <c r="Y525" s="651"/>
      <c r="Z525" s="651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646">
        <v>4640242180564</v>
      </c>
      <c r="E526" s="646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48"/>
      <c r="R526" s="648"/>
      <c r="S526" s="648"/>
      <c r="T526" s="649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640"/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1"/>
      <c r="P527" s="637" t="s">
        <v>40</v>
      </c>
      <c r="Q527" s="638"/>
      <c r="R527" s="638"/>
      <c r="S527" s="638"/>
      <c r="T527" s="638"/>
      <c r="U527" s="638"/>
      <c r="V527" s="639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651" t="s">
        <v>163</v>
      </c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1"/>
      <c r="P529" s="651"/>
      <c r="Q529" s="651"/>
      <c r="R529" s="651"/>
      <c r="S529" s="651"/>
      <c r="T529" s="651"/>
      <c r="U529" s="651"/>
      <c r="V529" s="651"/>
      <c r="W529" s="651"/>
      <c r="X529" s="651"/>
      <c r="Y529" s="651"/>
      <c r="Z529" s="651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646">
        <v>4640242180519</v>
      </c>
      <c r="E530" s="646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48"/>
      <c r="R530" s="648"/>
      <c r="S530" s="648"/>
      <c r="T530" s="649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1"/>
      <c r="P531" s="637" t="s">
        <v>40</v>
      </c>
      <c r="Q531" s="638"/>
      <c r="R531" s="638"/>
      <c r="S531" s="638"/>
      <c r="T531" s="638"/>
      <c r="U531" s="638"/>
      <c r="V531" s="639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651" t="s">
        <v>76</v>
      </c>
      <c r="B533" s="651"/>
      <c r="C533" s="651"/>
      <c r="D533" s="651"/>
      <c r="E533" s="651"/>
      <c r="F533" s="651"/>
      <c r="G533" s="651"/>
      <c r="H533" s="651"/>
      <c r="I533" s="651"/>
      <c r="J533" s="651"/>
      <c r="K533" s="651"/>
      <c r="L533" s="651"/>
      <c r="M533" s="651"/>
      <c r="N533" s="651"/>
      <c r="O533" s="651"/>
      <c r="P533" s="651"/>
      <c r="Q533" s="651"/>
      <c r="R533" s="651"/>
      <c r="S533" s="651"/>
      <c r="T533" s="651"/>
      <c r="U533" s="651"/>
      <c r="V533" s="651"/>
      <c r="W533" s="651"/>
      <c r="X533" s="651"/>
      <c r="Y533" s="651"/>
      <c r="Z533" s="651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646">
        <v>4640242180595</v>
      </c>
      <c r="E534" s="646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48"/>
      <c r="R534" s="648"/>
      <c r="S534" s="648"/>
      <c r="T534" s="64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1"/>
      <c r="P535" s="637" t="s">
        <v>40</v>
      </c>
      <c r="Q535" s="638"/>
      <c r="R535" s="638"/>
      <c r="S535" s="638"/>
      <c r="T535" s="638"/>
      <c r="U535" s="638"/>
      <c r="V535" s="639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1" t="s">
        <v>85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646">
        <v>4640242180533</v>
      </c>
      <c r="E538" s="646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48"/>
      <c r="R538" s="648"/>
      <c r="S538" s="648"/>
      <c r="T538" s="649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1"/>
      <c r="P539" s="637" t="s">
        <v>40</v>
      </c>
      <c r="Q539" s="638"/>
      <c r="R539" s="638"/>
      <c r="S539" s="638"/>
      <c r="T539" s="638"/>
      <c r="U539" s="638"/>
      <c r="V539" s="639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51" t="s">
        <v>180</v>
      </c>
      <c r="B541" s="651"/>
      <c r="C541" s="651"/>
      <c r="D541" s="651"/>
      <c r="E541" s="651"/>
      <c r="F541" s="651"/>
      <c r="G541" s="651"/>
      <c r="H541" s="651"/>
      <c r="I541" s="651"/>
      <c r="J541" s="651"/>
      <c r="K541" s="651"/>
      <c r="L541" s="651"/>
      <c r="M541" s="651"/>
      <c r="N541" s="651"/>
      <c r="O541" s="651"/>
      <c r="P541" s="651"/>
      <c r="Q541" s="651"/>
      <c r="R541" s="651"/>
      <c r="S541" s="651"/>
      <c r="T541" s="651"/>
      <c r="U541" s="651"/>
      <c r="V541" s="651"/>
      <c r="W541" s="651"/>
      <c r="X541" s="651"/>
      <c r="Y541" s="651"/>
      <c r="Z541" s="651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646">
        <v>4640242180120</v>
      </c>
      <c r="E542" s="646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48"/>
      <c r="R542" s="648"/>
      <c r="S542" s="648"/>
      <c r="T542" s="64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646">
        <v>4640242180137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40"/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1"/>
      <c r="P544" s="637" t="s">
        <v>40</v>
      </c>
      <c r="Q544" s="638"/>
      <c r="R544" s="638"/>
      <c r="S544" s="638"/>
      <c r="T544" s="638"/>
      <c r="U544" s="638"/>
      <c r="V544" s="639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650" t="s">
        <v>864</v>
      </c>
      <c r="B546" s="650"/>
      <c r="C546" s="650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650"/>
      <c r="R546" s="650"/>
      <c r="S546" s="650"/>
      <c r="T546" s="650"/>
      <c r="U546" s="650"/>
      <c r="V546" s="650"/>
      <c r="W546" s="650"/>
      <c r="X546" s="650"/>
      <c r="Y546" s="650"/>
      <c r="Z546" s="650"/>
      <c r="AA546" s="62"/>
      <c r="AB546" s="62"/>
      <c r="AC546" s="62"/>
    </row>
    <row r="547" spans="1:68" ht="14.25" hidden="1" customHeight="1" x14ac:dyDescent="0.25">
      <c r="A547" s="651" t="s">
        <v>163</v>
      </c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1"/>
      <c r="P547" s="651"/>
      <c r="Q547" s="651"/>
      <c r="R547" s="651"/>
      <c r="S547" s="651"/>
      <c r="T547" s="651"/>
      <c r="U547" s="651"/>
      <c r="V547" s="651"/>
      <c r="W547" s="651"/>
      <c r="X547" s="651"/>
      <c r="Y547" s="651"/>
      <c r="Z547" s="651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646">
        <v>4640242180090</v>
      </c>
      <c r="E548" s="646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48"/>
      <c r="R548" s="648"/>
      <c r="S548" s="648"/>
      <c r="T548" s="64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40"/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1"/>
      <c r="P549" s="637" t="s">
        <v>40</v>
      </c>
      <c r="Q549" s="638"/>
      <c r="R549" s="638"/>
      <c r="S549" s="638"/>
      <c r="T549" s="638"/>
      <c r="U549" s="638"/>
      <c r="V549" s="639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5"/>
      <c r="P551" s="642" t="s">
        <v>33</v>
      </c>
      <c r="Q551" s="643"/>
      <c r="R551" s="643"/>
      <c r="S551" s="643"/>
      <c r="T551" s="643"/>
      <c r="U551" s="643"/>
      <c r="V551" s="644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500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510</v>
      </c>
      <c r="Z551" s="40"/>
      <c r="AA551" s="64"/>
      <c r="AB551" s="64"/>
      <c r="AC551" s="64"/>
    </row>
    <row r="552" spans="1:68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34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IFERROR(SUM(BM22:BM548),"0")</f>
        <v>515.66666666666663</v>
      </c>
      <c r="Y552" s="41">
        <f>IFERROR(SUM(BN22:BN548),"0")</f>
        <v>525.98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35</v>
      </c>
      <c r="Q553" s="643"/>
      <c r="R553" s="643"/>
      <c r="S553" s="643"/>
      <c r="T553" s="643"/>
      <c r="U553" s="643"/>
      <c r="V553" s="644"/>
      <c r="W553" s="40" t="s">
        <v>20</v>
      </c>
      <c r="X553" s="42">
        <f>ROUNDUP(SUM(BO22:BO548),0)</f>
        <v>1</v>
      </c>
      <c r="Y553" s="42">
        <f>ROUNDUP(SUM(BP22:BP548),0)</f>
        <v>1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36</v>
      </c>
      <c r="Q554" s="643"/>
      <c r="R554" s="643"/>
      <c r="S554" s="643"/>
      <c r="T554" s="643"/>
      <c r="U554" s="643"/>
      <c r="V554" s="644"/>
      <c r="W554" s="40" t="s">
        <v>0</v>
      </c>
      <c r="X554" s="41">
        <f>GrossWeightTotal+PalletQtyTotal*25</f>
        <v>540.66666666666663</v>
      </c>
      <c r="Y554" s="41">
        <f>GrossWeightTotalR+PalletQtyTotalR*25</f>
        <v>550.98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37</v>
      </c>
      <c r="Q555" s="643"/>
      <c r="R555" s="643"/>
      <c r="S555" s="643"/>
      <c r="T555" s="643"/>
      <c r="U555" s="643"/>
      <c r="V555" s="644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33.333333333333336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34</v>
      </c>
      <c r="Z555" s="40"/>
      <c r="AA555" s="64"/>
      <c r="AB555" s="64"/>
      <c r="AC555" s="64"/>
    </row>
    <row r="556" spans="1:68" ht="14.25" hidden="1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38</v>
      </c>
      <c r="Q556" s="643"/>
      <c r="R556" s="643"/>
      <c r="S556" s="643"/>
      <c r="T556" s="643"/>
      <c r="U556" s="643"/>
      <c r="V556" s="644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0.73949999999999994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633" t="s">
        <v>125</v>
      </c>
      <c r="E558" s="633" t="s">
        <v>125</v>
      </c>
      <c r="F558" s="633" t="s">
        <v>125</v>
      </c>
      <c r="G558" s="633" t="s">
        <v>125</v>
      </c>
      <c r="H558" s="633" t="s">
        <v>125</v>
      </c>
      <c r="I558" s="633" t="s">
        <v>125</v>
      </c>
      <c r="J558" s="633" t="s">
        <v>125</v>
      </c>
      <c r="K558" s="633" t="s">
        <v>357</v>
      </c>
      <c r="L558" s="633" t="s">
        <v>357</v>
      </c>
      <c r="M558" s="633" t="s">
        <v>357</v>
      </c>
      <c r="N558" s="634"/>
      <c r="O558" s="633" t="s">
        <v>357</v>
      </c>
      <c r="P558" s="633" t="s">
        <v>357</v>
      </c>
      <c r="Q558" s="633" t="s">
        <v>357</v>
      </c>
      <c r="R558" s="633" t="s">
        <v>357</v>
      </c>
      <c r="S558" s="633" t="s">
        <v>357</v>
      </c>
      <c r="T558" s="633" t="s">
        <v>357</v>
      </c>
      <c r="U558" s="633" t="s">
        <v>357</v>
      </c>
      <c r="V558" s="633" t="s">
        <v>696</v>
      </c>
      <c r="W558" s="633" t="s">
        <v>696</v>
      </c>
      <c r="X558" s="633" t="s">
        <v>762</v>
      </c>
      <c r="Y558" s="633" t="s">
        <v>762</v>
      </c>
      <c r="Z558" s="80" t="s">
        <v>798</v>
      </c>
      <c r="AA558" s="633" t="s">
        <v>845</v>
      </c>
      <c r="AB558" s="633" t="s">
        <v>845</v>
      </c>
      <c r="AC558" s="9"/>
      <c r="AF558" s="1"/>
    </row>
    <row r="559" spans="1:68" ht="14.25" customHeight="1" thickTop="1" x14ac:dyDescent="0.2">
      <c r="A559" s="635" t="s">
        <v>10</v>
      </c>
      <c r="B559" s="633" t="s">
        <v>75</v>
      </c>
      <c r="C559" s="633" t="s">
        <v>109</v>
      </c>
      <c r="D559" s="633" t="s">
        <v>126</v>
      </c>
      <c r="E559" s="633" t="s">
        <v>142</v>
      </c>
      <c r="F559" s="633" t="s">
        <v>187</v>
      </c>
      <c r="G559" s="633" t="s">
        <v>208</v>
      </c>
      <c r="H559" s="633" t="s">
        <v>247</v>
      </c>
      <c r="I559" s="633" t="s">
        <v>275</v>
      </c>
      <c r="J559" s="633" t="s">
        <v>125</v>
      </c>
      <c r="K559" s="633" t="s">
        <v>358</v>
      </c>
      <c r="L559" s="633" t="s">
        <v>379</v>
      </c>
      <c r="M559" s="633" t="s">
        <v>446</v>
      </c>
      <c r="N559" s="1"/>
      <c r="O559" s="633" t="s">
        <v>514</v>
      </c>
      <c r="P559" s="633" t="s">
        <v>547</v>
      </c>
      <c r="Q559" s="633" t="s">
        <v>563</v>
      </c>
      <c r="R559" s="633" t="s">
        <v>572</v>
      </c>
      <c r="S559" s="633" t="s">
        <v>593</v>
      </c>
      <c r="T559" s="633" t="s">
        <v>602</v>
      </c>
      <c r="U559" s="633" t="s">
        <v>686</v>
      </c>
      <c r="V559" s="633" t="s">
        <v>697</v>
      </c>
      <c r="W559" s="633" t="s">
        <v>746</v>
      </c>
      <c r="X559" s="633" t="s">
        <v>763</v>
      </c>
      <c r="Y559" s="633" t="s">
        <v>786</v>
      </c>
      <c r="Z559" s="633" t="s">
        <v>798</v>
      </c>
      <c r="AA559" s="633" t="s">
        <v>845</v>
      </c>
      <c r="AB559" s="633" t="s">
        <v>864</v>
      </c>
      <c r="AC559" s="9"/>
      <c r="AF559" s="1"/>
    </row>
    <row r="560" spans="1:68" ht="13.5" thickBot="1" x14ac:dyDescent="0.25">
      <c r="A560" s="636"/>
      <c r="B560" s="633"/>
      <c r="C560" s="633"/>
      <c r="D560" s="633"/>
      <c r="E560" s="633"/>
      <c r="F560" s="633"/>
      <c r="G560" s="633"/>
      <c r="H560" s="633"/>
      <c r="I560" s="633"/>
      <c r="J560" s="633"/>
      <c r="K560" s="633"/>
      <c r="L560" s="633"/>
      <c r="M560" s="633"/>
      <c r="N560" s="1"/>
      <c r="O560" s="633"/>
      <c r="P560" s="633"/>
      <c r="Q560" s="633"/>
      <c r="R560" s="633"/>
      <c r="S560" s="633"/>
      <c r="T560" s="633"/>
      <c r="U560" s="633"/>
      <c r="V560" s="633"/>
      <c r="W560" s="633"/>
      <c r="X560" s="633"/>
      <c r="Y560" s="633"/>
      <c r="Z560" s="633"/>
      <c r="AA560" s="633"/>
      <c r="AB560" s="633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510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33,33"/>
        <filter val="500,00"/>
        <filter val="515,67"/>
        <filter val="540,67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2026-07-31T15:28:16Z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