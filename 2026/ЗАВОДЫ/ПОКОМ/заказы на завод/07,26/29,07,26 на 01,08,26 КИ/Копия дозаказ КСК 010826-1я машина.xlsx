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C6C396A-24BC-4457-9CF3-57DA19FECB4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N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N327" i="2"/>
  <c r="BM327" i="2"/>
  <c r="Y327" i="2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N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389" i="2" l="1"/>
  <c r="Z134" i="2"/>
  <c r="BP127" i="2"/>
  <c r="Z320" i="2"/>
  <c r="Z328" i="2"/>
  <c r="Z167" i="2"/>
  <c r="Z280" i="2"/>
  <c r="Z173" i="2"/>
  <c r="Z373" i="2"/>
  <c r="Z428" i="2"/>
  <c r="Z35" i="2"/>
  <c r="Z36" i="2" s="1"/>
  <c r="BN61" i="2"/>
  <c r="BN231" i="2"/>
  <c r="BN304" i="2"/>
  <c r="BN402" i="2"/>
  <c r="BN373" i="2"/>
  <c r="BN396" i="2"/>
  <c r="BN416" i="2"/>
  <c r="Y151" i="2"/>
  <c r="Z90" i="2"/>
  <c r="Y262" i="2"/>
  <c r="Y55" i="2"/>
  <c r="Z264" i="2"/>
  <c r="Z266" i="2" s="1"/>
  <c r="BN457" i="2"/>
  <c r="BN28" i="2"/>
  <c r="BN115" i="2"/>
  <c r="BN155" i="2"/>
  <c r="BN214" i="2"/>
  <c r="BN284" i="2"/>
  <c r="BN498" i="2"/>
  <c r="BN30" i="2"/>
  <c r="Z182" i="2"/>
  <c r="Z192" i="2"/>
  <c r="BP202" i="2"/>
  <c r="BN288" i="2"/>
  <c r="BN446" i="2"/>
  <c r="BN472" i="2"/>
  <c r="BN82" i="2"/>
  <c r="BP264" i="2"/>
  <c r="BN290" i="2"/>
  <c r="BN364" i="2"/>
  <c r="Y412" i="2"/>
  <c r="BN515" i="2"/>
  <c r="BN186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Z124" i="2" s="1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69" i="2" l="1"/>
  <c r="Z322" i="2"/>
  <c r="Z32" i="2"/>
  <c r="Z174" i="2"/>
  <c r="Z405" i="2"/>
  <c r="Z480" i="2"/>
  <c r="Z245" i="2"/>
  <c r="Z464" i="2"/>
  <c r="Z136" i="2"/>
  <c r="Z544" i="2"/>
  <c r="Z251" i="2"/>
  <c r="Z338" i="2"/>
  <c r="Z359" i="2"/>
  <c r="Z418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<sst xmlns="http://schemas.openxmlformats.org/spreadsheetml/2006/main" count="4194" uniqueCount="891">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</sst>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="90" zoomScaleNormal="9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46235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Суббота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1470</v>
      </c>
      <c r="Y424" s="53">
        <f t="shared" si="52"/>
        <v>1470</v>
      </c>
      <c r="Z424" s="39">
        <f>IFERROR(IF(Y424=0,"",ROUNDUP(Y424/H424,0)*0.02175),"")</f>
        <v>2.1315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1516.0600000000002</v>
      </c>
      <c r="BN424" s="75">
        <f t="shared" si="54"/>
        <v>1516.0600000000002</v>
      </c>
      <c r="BO424" s="75">
        <f t="shared" si="55"/>
        <v>2.0416666666666665</v>
      </c>
      <c r="BP424" s="75">
        <f t="shared" si="56"/>
        <v>2.0416666666666665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98</v>
      </c>
      <c r="Y431" s="41">
        <f>IFERROR(Y423/H423,"0")+IFERROR(Y424/H424,"0")+IFERROR(Y425/H425,"0")+IFERROR(Y426/H426,"0")+IFERROR(Y427/H427,"0")+IFERROR(Y428/H428,"0")+IFERROR(Y429/H429,"0")+IFERROR(Y430/H430,"0")</f>
        <v>98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2.1315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1470</v>
      </c>
      <c r="Y432" s="41">
        <f>IFERROR(SUM(Y423:Y430),"0")</f>
        <v>1470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1470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1470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1516.0600000000002</v>
      </c>
      <c r="Y552" s="41">
        <f>IFERROR(SUM(BN22:BN548),"0")</f>
        <v>1516.0600000000002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3</v>
      </c>
      <c r="Y553" s="42">
        <f>ROUNDUP(SUM(BP22:BP548),0)</f>
        <v>3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1591.0600000000002</v>
      </c>
      <c r="Y554" s="41">
        <f>GrossWeightTotalR+PalletQtyTotalR*25</f>
        <v>1591.0600000000002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98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98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2.1315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1470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70,00"/>
        <filter val="1 516,06"/>
        <filter val="1 591,06"/>
        <filter val="3"/>
        <filter val="98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2026-08-01T06:11:01Z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