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8F6139C-84C6-4B8D-B129-0D251525BA7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Z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Z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Y37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BN30" i="2" l="1"/>
  <c r="BN77" i="2"/>
  <c r="BN214" i="2"/>
  <c r="Y262" i="2"/>
  <c r="BN389" i="2"/>
  <c r="BN446" i="2"/>
  <c r="BN463" i="2"/>
  <c r="BN515" i="2"/>
  <c r="Y79" i="2"/>
  <c r="BN82" i="2"/>
  <c r="BN226" i="2"/>
  <c r="Z231" i="2"/>
  <c r="BN231" i="2"/>
  <c r="Z302" i="2"/>
  <c r="Z356" i="2"/>
  <c r="BN364" i="2"/>
  <c r="BN457" i="2"/>
  <c r="Z185" i="2"/>
  <c r="Z363" i="2"/>
  <c r="Z273" i="2"/>
  <c r="BN416" i="2"/>
  <c r="Y137" i="2"/>
  <c r="Z270" i="2"/>
  <c r="Z283" i="2"/>
  <c r="Z122" i="2"/>
  <c r="Y532" i="2"/>
  <c r="BN517" i="2"/>
  <c r="Z504" i="2"/>
  <c r="BN498" i="2"/>
  <c r="BN473" i="2"/>
  <c r="BN472" i="2"/>
  <c r="Z472" i="2"/>
  <c r="BN470" i="2"/>
  <c r="Z457" i="2"/>
  <c r="Z458" i="2" s="1"/>
  <c r="Y458" i="2"/>
  <c r="BN441" i="2"/>
  <c r="BN429" i="2"/>
  <c r="BP428" i="2"/>
  <c r="Z425" i="2"/>
  <c r="BN424" i="2"/>
  <c r="Z402" i="2"/>
  <c r="BN402" i="2"/>
  <c r="BN396" i="2"/>
  <c r="BN383" i="2"/>
  <c r="BN374" i="2"/>
  <c r="BN373" i="2"/>
  <c r="Z373" i="2"/>
  <c r="BN368" i="2"/>
  <c r="Z364" i="2"/>
  <c r="BP363" i="2"/>
  <c r="BN358" i="2"/>
  <c r="Y360" i="2"/>
  <c r="BN351" i="2"/>
  <c r="Z336" i="2"/>
  <c r="Z328" i="2"/>
  <c r="Y323" i="2"/>
  <c r="Z320" i="2"/>
  <c r="Z304" i="2"/>
  <c r="BP304" i="2"/>
  <c r="Z290" i="2"/>
  <c r="BN290" i="2"/>
  <c r="BN288" i="2"/>
  <c r="BN284" i="2"/>
  <c r="BP283" i="2"/>
  <c r="Z280" i="2"/>
  <c r="BN274" i="2"/>
  <c r="BP273" i="2"/>
  <c r="BN264" i="2"/>
  <c r="Z264" i="2"/>
  <c r="BN259" i="2"/>
  <c r="Z250" i="2"/>
  <c r="Z244" i="2"/>
  <c r="BN235" i="2"/>
  <c r="Z230" i="2"/>
  <c r="BN209" i="2"/>
  <c r="Y204" i="2"/>
  <c r="Z192" i="2"/>
  <c r="BP187" i="2"/>
  <c r="BN186" i="2"/>
  <c r="BP185" i="2"/>
  <c r="Z182" i="2"/>
  <c r="Z173" i="2"/>
  <c r="Z167" i="2"/>
  <c r="Z157" i="2"/>
  <c r="Y158" i="2"/>
  <c r="BN155" i="2"/>
  <c r="Y151" i="2"/>
  <c r="BN148" i="2"/>
  <c r="Z134" i="2"/>
  <c r="Z132" i="2"/>
  <c r="BN132" i="2"/>
  <c r="Y128" i="2"/>
  <c r="BP127" i="2"/>
  <c r="BN120" i="2"/>
  <c r="BN115" i="2"/>
  <c r="Z113" i="2"/>
  <c r="BN106" i="2"/>
  <c r="Z90" i="2"/>
  <c r="F561" i="2"/>
  <c r="BN72" i="2"/>
  <c r="BN61" i="2"/>
  <c r="Z59" i="2"/>
  <c r="Y55" i="2"/>
  <c r="Z43" i="2"/>
  <c r="X555" i="2"/>
  <c r="BP35" i="2"/>
  <c r="Z35" i="2"/>
  <c r="Z36" i="2" s="1"/>
  <c r="Z31" i="2"/>
  <c r="BN28" i="2"/>
  <c r="Z2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92" i="2"/>
  <c r="Z475" i="2"/>
  <c r="Z32" i="2"/>
  <c r="Z277" i="2"/>
  <c r="Z544" i="2"/>
  <c r="Z418" i="2"/>
  <c r="Z405" i="2"/>
  <c r="Z338" i="2"/>
  <c r="Z322" i="2"/>
  <c r="Z215" i="2"/>
  <c r="Z174" i="2"/>
  <c r="Z117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<sst xmlns="http://schemas.openxmlformats.org/spreadsheetml/2006/main" count="4194" uniqueCount="891">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</sst>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46235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872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Суббота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25.6</v>
      </c>
      <c r="Y44" s="55">
        <f>IFERROR(IF(X44="",0,CEILING((X44/$H44),1)*$H44),"")</f>
        <v>26.88</v>
      </c>
      <c r="Z44" s="41">
        <f>IFERROR(IF(Y44=0,"",ROUNDUP(Y44/H44,0)*0.00651),"")</f>
        <v>9.1139999999999999E-2</v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28.000000000000004</v>
      </c>
      <c r="BN44" s="78">
        <f>IFERROR(Y44*I44/H44,"0")</f>
        <v>29.400000000000002</v>
      </c>
      <c r="BO44" s="78">
        <f>IFERROR(1/J44*(X44/H44),"0")</f>
        <v>7.3260073260073263E-2</v>
      </c>
      <c r="BP44" s="78">
        <f>IFERROR(1/J44*(Y44/H44),"0")</f>
        <v>7.6923076923076927E-2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25.6</v>
      </c>
      <c r="Y45" s="55">
        <f>IFERROR(IF(X45="",0,CEILING((X45/$H45),1)*$H45),"")</f>
        <v>26.88</v>
      </c>
      <c r="Z45" s="41">
        <f>IFERROR(IF(Y45=0,"",ROUNDUP(Y45/H45,0)*0.00651),"")</f>
        <v>9.1139999999999999E-2</v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28.000000000000004</v>
      </c>
      <c r="BN45" s="78">
        <f>IFERROR(Y45*I45/H45,"0")</f>
        <v>29.400000000000002</v>
      </c>
      <c r="BO45" s="78">
        <f>IFERROR(1/J45*(X45/H45),"0")</f>
        <v>7.3260073260073263E-2</v>
      </c>
      <c r="BP45" s="78">
        <f>IFERROR(1/J45*(Y45/H45),"0")</f>
        <v>7.6923076923076927E-2</v>
      </c>
    </row>
    <row r="46" spans="1:68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26.666666666666668</v>
      </c>
      <c r="Y46" s="43">
        <f>IFERROR(Y41/H41,"0")+IFERROR(Y42/H42,"0")+IFERROR(Y43/H43,"0")+IFERROR(Y44/H44,"0")+IFERROR(Y45/H45,"0")</f>
        <v>28</v>
      </c>
      <c r="Z46" s="43">
        <f>IFERROR(IF(Z41="",0,Z41),"0")+IFERROR(IF(Z42="",0,Z42),"0")+IFERROR(IF(Z43="",0,Z43),"0")+IFERROR(IF(Z44="",0,Z44),"0")+IFERROR(IF(Z45="",0,Z45),"0")</f>
        <v>0.18228</v>
      </c>
      <c r="AA46" s="67"/>
      <c r="AB46" s="67"/>
      <c r="AC46" s="67"/>
    </row>
    <row r="47" spans="1:68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51.2</v>
      </c>
      <c r="Y47" s="43">
        <f>IFERROR(SUM(Y41:Y45),"0")</f>
        <v>53.76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400</v>
      </c>
      <c r="Y53" s="55">
        <f>IFERROR(IF(X53="",0,CEILING((X53/$H53),1)*$H53),"")</f>
        <v>400</v>
      </c>
      <c r="Z53" s="41">
        <f>IFERROR(IF(Y53=0,"",ROUNDUP(Y53/H53,0)*0.00902),"")</f>
        <v>0.90200000000000002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419.00000000000006</v>
      </c>
      <c r="BN53" s="78">
        <f>IFERROR(Y53*I53/H53,"0")</f>
        <v>419.00000000000006</v>
      </c>
      <c r="BO53" s="78">
        <f>IFERROR(1/J53*(X53/H53),"0")</f>
        <v>0.75757575757575757</v>
      </c>
      <c r="BP53" s="78">
        <f>IFERROR(1/J53*(Y53/H53),"0")</f>
        <v>0.75757575757575757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109.25925925925927</v>
      </c>
      <c r="Y55" s="43">
        <f>IFERROR(Y51/H51,"0")+IFERROR(Y52/H52,"0")+IFERROR(Y53/H53,"0")+IFERROR(Y54/H54,"0")</f>
        <v>110</v>
      </c>
      <c r="Z55" s="43">
        <f>IFERROR(IF(Z51="",0,Z51),"0")+IFERROR(IF(Z52="",0,Z52),"0")+IFERROR(IF(Z53="",0,Z53),"0")+IFERROR(IF(Z54="",0,Z54),"0")</f>
        <v>1.0918000000000001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500</v>
      </c>
      <c r="Y56" s="43">
        <f>IFERROR(SUM(Y51:Y54),"0")</f>
        <v>508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200</v>
      </c>
      <c r="Y61" s="55">
        <f t="shared" si="0"/>
        <v>205.20000000000002</v>
      </c>
      <c r="Z61" s="41">
        <f>IFERROR(IF(Y61=0,"",ROUNDUP(Y61/H61,0)*0.01898),"")</f>
        <v>0.36062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207.59259259259258</v>
      </c>
      <c r="BN61" s="78">
        <f t="shared" si="2"/>
        <v>212.99</v>
      </c>
      <c r="BO61" s="78">
        <f t="shared" si="3"/>
        <v>0.28935185185185186</v>
      </c>
      <c r="BP61" s="78">
        <f t="shared" si="4"/>
        <v>0.296875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450</v>
      </c>
      <c r="Y66" s="55">
        <f t="shared" si="0"/>
        <v>450</v>
      </c>
      <c r="Z66" s="41">
        <f>IFERROR(IF(Y66=0,"",ROUNDUP(Y66/H66,0)*0.00902),"")</f>
        <v>0.90200000000000002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469</v>
      </c>
      <c r="BN66" s="78">
        <f t="shared" si="2"/>
        <v>469</v>
      </c>
      <c r="BO66" s="78">
        <f t="shared" si="3"/>
        <v>0.75757575757575757</v>
      </c>
      <c r="BP66" s="78">
        <f t="shared" si="4"/>
        <v>0.75757575757575757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118.51851851851852</v>
      </c>
      <c r="Y67" s="43">
        <f>IFERROR(Y59/H59,"0")+IFERROR(Y60/H60,"0")+IFERROR(Y61/H61,"0")+IFERROR(Y62/H62,"0")+IFERROR(Y63/H63,"0")+IFERROR(Y64/H64,"0")+IFERROR(Y65/H65,"0")+IFERROR(Y66/H66,"0")</f>
        <v>119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1.2626200000000001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650</v>
      </c>
      <c r="Y68" s="43">
        <f>IFERROR(SUM(Y59:Y66),"0")</f>
        <v>655.20000000000005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300</v>
      </c>
      <c r="Y88" s="55">
        <f>IFERROR(IF(X88="",0,CEILING((X88/$H88),1)*$H88),"")</f>
        <v>302.40000000000003</v>
      </c>
      <c r="Z88" s="41">
        <f>IFERROR(IF(Y88=0,"",ROUNDUP(Y88/H88,0)*0.01898),"")</f>
        <v>0.53144000000000002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311.38888888888891</v>
      </c>
      <c r="BN88" s="78">
        <f>IFERROR(Y88*I88/H88,"0")</f>
        <v>313.88</v>
      </c>
      <c r="BO88" s="78">
        <f>IFERROR(1/J88*(X88/H88),"0")</f>
        <v>0.43402777777777773</v>
      </c>
      <c r="BP88" s="78">
        <f>IFERROR(1/J88*(Y88/H88),"0")</f>
        <v>0.4375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585</v>
      </c>
      <c r="Y91" s="55">
        <f>IFERROR(IF(X91="",0,CEILING((X91/$H91),1)*$H91),"")</f>
        <v>585</v>
      </c>
      <c r="Z91" s="41">
        <f>IFERROR(IF(Y91=0,"",ROUNDUP(Y91/H91,0)*0.00902),"")</f>
        <v>1.1726000000000001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609.70000000000005</v>
      </c>
      <c r="BN91" s="78">
        <f>IFERROR(Y91*I91/H91,"0")</f>
        <v>609.70000000000005</v>
      </c>
      <c r="BO91" s="78">
        <f>IFERROR(1/J91*(X91/H91),"0")</f>
        <v>0.98484848484848486</v>
      </c>
      <c r="BP91" s="78">
        <f>IFERROR(1/J91*(Y91/H91),"0")</f>
        <v>0.98484848484848486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157.77777777777777</v>
      </c>
      <c r="Y92" s="43">
        <f>IFERROR(Y88/H88,"0")+IFERROR(Y89/H89,"0")+IFERROR(Y90/H90,"0")+IFERROR(Y91/H91,"0")</f>
        <v>158</v>
      </c>
      <c r="Z92" s="43">
        <f>IFERROR(IF(Z88="",0,Z88),"0")+IFERROR(IF(Z89="",0,Z89),"0")+IFERROR(IF(Z90="",0,Z90),"0")+IFERROR(IF(Z91="",0,Z91),"0")</f>
        <v>1.70404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885</v>
      </c>
      <c r="Y93" s="43">
        <f>IFERROR(SUM(Y88:Y91),"0")</f>
        <v>887.40000000000009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100</v>
      </c>
      <c r="Y95" s="55">
        <f>IFERROR(IF(X95="",0,CEILING((X95/$H95),1)*$H95),"")</f>
        <v>105.3</v>
      </c>
      <c r="Z95" s="41">
        <f>IFERROR(IF(Y95=0,"",ROUNDUP(Y95/H95,0)*0.01898),"")</f>
        <v>0.24674000000000001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106.09876543209877</v>
      </c>
      <c r="BN95" s="78">
        <f>IFERROR(Y95*I95/H95,"0")</f>
        <v>111.72199999999999</v>
      </c>
      <c r="BO95" s="78">
        <f>IFERROR(1/J95*(X95/H95),"0")</f>
        <v>0.19290123456790123</v>
      </c>
      <c r="BP95" s="78">
        <f>IFERROR(1/J95*(Y95/H95),"0")</f>
        <v>0.203125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1350</v>
      </c>
      <c r="Y97" s="55">
        <f>IFERROR(IF(X97="",0,CEILING((X97/$H97),1)*$H97),"")</f>
        <v>1350</v>
      </c>
      <c r="Z97" s="41">
        <f>IFERROR(IF(Y97=0,"",ROUNDUP(Y97/H97,0)*0.00651),"")</f>
        <v>3.2549999999999999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1475.9999999999998</v>
      </c>
      <c r="BN97" s="78">
        <f>IFERROR(Y97*I97/H97,"0")</f>
        <v>1475.9999999999998</v>
      </c>
      <c r="BO97" s="78">
        <f>IFERROR(1/J97*(X97/H97),"0")</f>
        <v>2.7472527472527473</v>
      </c>
      <c r="BP97" s="78">
        <f>IFERROR(1/J97*(Y97/H97),"0")</f>
        <v>2.7472527472527473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512.34567901234561</v>
      </c>
      <c r="Y99" s="43">
        <f>IFERROR(Y95/H95,"0")+IFERROR(Y96/H96,"0")+IFERROR(Y97/H97,"0")+IFERROR(Y98/H98,"0")</f>
        <v>513</v>
      </c>
      <c r="Z99" s="43">
        <f>IFERROR(IF(Z95="",0,Z95),"0")+IFERROR(IF(Z96="",0,Z96),"0")+IFERROR(IF(Z97="",0,Z97),"0")+IFERROR(IF(Z98="",0,Z98),"0")</f>
        <v>3.5017399999999999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1450</v>
      </c>
      <c r="Y100" s="43">
        <f>IFERROR(SUM(Y95:Y98),"0")</f>
        <v>1455.3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50</v>
      </c>
      <c r="Y103" s="55">
        <f t="shared" ref="Y103:Y108" si="5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51.898148148148145</v>
      </c>
      <c r="BN103" s="78">
        <f t="shared" ref="BN103:BN108" si="7">IFERROR(Y103*I103/H103,"0")</f>
        <v>56.05</v>
      </c>
      <c r="BO103" s="78">
        <f t="shared" ref="BO103:BO108" si="8">IFERROR(1/J103*(X103/H103),"0")</f>
        <v>7.2337962962962965E-2</v>
      </c>
      <c r="BP103" s="78">
        <f t="shared" ref="BP103:BP108" si="9">IFERROR(1/J103*(Y103/H103),"0")</f>
        <v>7.8125E-2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450</v>
      </c>
      <c r="Y107" s="55">
        <f t="shared" si="5"/>
        <v>450</v>
      </c>
      <c r="Z107" s="41">
        <f>IFERROR(IF(Y107=0,"",ROUNDUP(Y107/H107,0)*0.00902),"")</f>
        <v>0.90200000000000002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469</v>
      </c>
      <c r="BN107" s="78">
        <f t="shared" si="7"/>
        <v>469</v>
      </c>
      <c r="BO107" s="78">
        <f t="shared" si="8"/>
        <v>0.75757575757575757</v>
      </c>
      <c r="BP107" s="78">
        <f t="shared" si="9"/>
        <v>0.75757575757575757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104.62962962962963</v>
      </c>
      <c r="Y109" s="43">
        <f>IFERROR(Y103/H103,"0")+IFERROR(Y104/H104,"0")+IFERROR(Y105/H105,"0")+IFERROR(Y106/H106,"0")+IFERROR(Y107/H107,"0")+IFERROR(Y108/H108,"0")</f>
        <v>105</v>
      </c>
      <c r="Z109" s="43">
        <f>IFERROR(IF(Z103="",0,Z103),"0")+IFERROR(IF(Z104="",0,Z104),"0")+IFERROR(IF(Z105="",0,Z105),"0")+IFERROR(IF(Z106="",0,Z106),"0")+IFERROR(IF(Z107="",0,Z107),"0")+IFERROR(IF(Z108="",0,Z108),"0")</f>
        <v>0.99690000000000001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500</v>
      </c>
      <c r="Y110" s="43">
        <f>IFERROR(SUM(Y103:Y108),"0")</f>
        <v>504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1000</v>
      </c>
      <c r="Y120" s="55">
        <f>IFERROR(IF(X120="",0,CEILING((X120/$H120),1)*$H120),"")</f>
        <v>1004.4</v>
      </c>
      <c r="Z120" s="41">
        <f>IFERROR(IF(Y120=0,"",ROUNDUP(Y120/H120,0)*0.01898),"")</f>
        <v>2.3535200000000001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1060.2469135802469</v>
      </c>
      <c r="BN120" s="78">
        <f>IFERROR(Y120*I120/H120,"0")</f>
        <v>1064.9119999999998</v>
      </c>
      <c r="BO120" s="78">
        <f>IFERROR(1/J120*(X120/H120),"0")</f>
        <v>1.9290123456790125</v>
      </c>
      <c r="BP120" s="78">
        <f>IFERROR(1/J120*(Y120/H120),"0")</f>
        <v>1.9375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1170</v>
      </c>
      <c r="Y122" s="55">
        <f>IFERROR(IF(X122="",0,CEILING((X122/$H122),1)*$H122),"")</f>
        <v>1171.8000000000002</v>
      </c>
      <c r="Z122" s="41">
        <f>IFERROR(IF(Y122=0,"",ROUNDUP(Y122/H122,0)*0.00651),"")</f>
        <v>2.8253400000000002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1279.2</v>
      </c>
      <c r="BN122" s="78">
        <f>IFERROR(Y122*I122/H122,"0")</f>
        <v>1281.1680000000001</v>
      </c>
      <c r="BO122" s="78">
        <f>IFERROR(1/J122*(X122/H122),"0")</f>
        <v>2.3809523809523809</v>
      </c>
      <c r="BP122" s="78">
        <f>IFERROR(1/J122*(Y122/H122),"0")</f>
        <v>2.384615384615385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57</v>
      </c>
      <c r="Y123" s="55">
        <f>IFERROR(IF(X123="",0,CEILING((X123/$H123),1)*$H123),"")</f>
        <v>57.6</v>
      </c>
      <c r="Z123" s="41">
        <f>IFERROR(IF(Y123=0,"",ROUNDUP(Y123/H123,0)*0.00651),"")</f>
        <v>0.20832000000000001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62.699999999999996</v>
      </c>
      <c r="BN123" s="78">
        <f>IFERROR(Y123*I123/H123,"0")</f>
        <v>63.36</v>
      </c>
      <c r="BO123" s="78">
        <f>IFERROR(1/J123*(X123/H123),"0")</f>
        <v>0.17399267399267399</v>
      </c>
      <c r="BP123" s="78">
        <f>IFERROR(1/J123*(Y123/H123),"0")</f>
        <v>0.17582417582417584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588.4567901234567</v>
      </c>
      <c r="Y124" s="43">
        <f>IFERROR(Y120/H120,"0")+IFERROR(Y121/H121,"0")+IFERROR(Y122/H122,"0")+IFERROR(Y123/H123,"0")</f>
        <v>590</v>
      </c>
      <c r="Z124" s="43">
        <f>IFERROR(IF(Z120="",0,Z120),"0")+IFERROR(IF(Z121="",0,Z121),"0")+IFERROR(IF(Z122="",0,Z122),"0")+IFERROR(IF(Z123="",0,Z123),"0")</f>
        <v>5.3871799999999999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2227</v>
      </c>
      <c r="Y125" s="43">
        <f>IFERROR(SUM(Y120:Y123),"0")</f>
        <v>2233.8000000000002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60</v>
      </c>
      <c r="Y135" s="55">
        <f>IFERROR(IF(X135="",0,CEILING((X135/$H135),1)*$H135),"")</f>
        <v>60.800000000000004</v>
      </c>
      <c r="Z135" s="41">
        <f>IFERROR(IF(Y135=0,"",ROUNDUP(Y135/H135,0)*0.00651),"")</f>
        <v>0.12369000000000001</v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63.374999999999993</v>
      </c>
      <c r="BN135" s="78">
        <f>IFERROR(Y135*I135/H135,"0")</f>
        <v>64.22</v>
      </c>
      <c r="BO135" s="78">
        <f>IFERROR(1/J135*(X135/H135),"0")</f>
        <v>0.10302197802197803</v>
      </c>
      <c r="BP135" s="78">
        <f>IFERROR(1/J135*(Y135/H135),"0")</f>
        <v>0.1043956043956044</v>
      </c>
    </row>
    <row r="136" spans="1:68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18.75</v>
      </c>
      <c r="Y136" s="43">
        <f>IFERROR(Y132/H132,"0")+IFERROR(Y133/H133,"0")+IFERROR(Y134/H134,"0")+IFERROR(Y135/H135,"0")</f>
        <v>19</v>
      </c>
      <c r="Z136" s="43">
        <f>IFERROR(IF(Z132="",0,Z132),"0")+IFERROR(IF(Z133="",0,Z133),"0")+IFERROR(IF(Z134="",0,Z134),"0")+IFERROR(IF(Z135="",0,Z135),"0")</f>
        <v>0.12369000000000001</v>
      </c>
      <c r="AA136" s="67"/>
      <c r="AB136" s="67"/>
      <c r="AC136" s="67"/>
    </row>
    <row r="137" spans="1:68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60</v>
      </c>
      <c r="Y137" s="43">
        <f>IFERROR(SUM(Y132:Y135),"0")</f>
        <v>60.800000000000004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35</v>
      </c>
      <c r="Y141" s="55">
        <f>IFERROR(IF(X141="",0,CEILING((X141/$H141),1)*$H141),"")</f>
        <v>36.4</v>
      </c>
      <c r="Z141" s="41">
        <f>IFERROR(IF(Y141=0,"",ROUNDUP(Y141/H141,0)*0.00651),"")</f>
        <v>8.4629999999999997E-2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38.35</v>
      </c>
      <c r="BN141" s="78">
        <f>IFERROR(Y141*I141/H141,"0")</f>
        <v>39.884</v>
      </c>
      <c r="BO141" s="78">
        <f>IFERROR(1/J141*(X141/H141),"0")</f>
        <v>6.8681318681318687E-2</v>
      </c>
      <c r="BP141" s="78">
        <f>IFERROR(1/J141*(Y141/H141),"0")</f>
        <v>7.1428571428571438E-2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12.5</v>
      </c>
      <c r="Y143" s="43">
        <f>IFERROR(Y139/H139,"0")+IFERROR(Y140/H140,"0")+IFERROR(Y141/H141,"0")+IFERROR(Y142/H142,"0")</f>
        <v>13</v>
      </c>
      <c r="Z143" s="43">
        <f>IFERROR(IF(Z139="",0,Z139),"0")+IFERROR(IF(Z140="",0,Z140),"0")+IFERROR(IF(Z141="",0,Z141),"0")+IFERROR(IF(Z142="",0,Z142),"0")</f>
        <v>8.4629999999999997E-2</v>
      </c>
      <c r="AA143" s="67"/>
      <c r="AB143" s="67"/>
      <c r="AC143" s="67"/>
    </row>
    <row r="144" spans="1:68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35</v>
      </c>
      <c r="Y144" s="43">
        <f>IFERROR(SUM(Y139:Y142),"0")</f>
        <v>36.4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82.5</v>
      </c>
      <c r="Y148" s="55">
        <f>IFERROR(IF(X148="",0,CEILING((X148/$H148),1)*$H148),"")</f>
        <v>84.48</v>
      </c>
      <c r="Z148" s="41">
        <f>IFERROR(IF(Y148=0,"",ROUNDUP(Y148/H148,0)*0.00651),"")</f>
        <v>0.20832000000000001</v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90.875</v>
      </c>
      <c r="BN148" s="78">
        <f>IFERROR(Y148*I148/H148,"0")</f>
        <v>93.055999999999997</v>
      </c>
      <c r="BO148" s="78">
        <f>IFERROR(1/J148*(X148/H148),"0")</f>
        <v>0.1717032967032967</v>
      </c>
      <c r="BP148" s="78">
        <f>IFERROR(1/J148*(Y148/H148),"0")</f>
        <v>0.17582417582417584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31.25</v>
      </c>
      <c r="Y150" s="43">
        <f>IFERROR(Y146/H146,"0")+IFERROR(Y147/H147,"0")+IFERROR(Y148/H148,"0")+IFERROR(Y149/H149,"0")</f>
        <v>32</v>
      </c>
      <c r="Z150" s="43">
        <f>IFERROR(IF(Z146="",0,Z146),"0")+IFERROR(IF(Z147="",0,Z147),"0")+IFERROR(IF(Z148="",0,Z148),"0")+IFERROR(IF(Z149="",0,Z149),"0")</f>
        <v>0.20832000000000001</v>
      </c>
      <c r="AA150" s="67"/>
      <c r="AB150" s="67"/>
      <c r="AC150" s="67"/>
    </row>
    <row r="151" spans="1:68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82.5</v>
      </c>
      <c r="Y151" s="43">
        <f>IFERROR(SUM(Y146:Y149),"0")</f>
        <v>84.48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12</v>
      </c>
      <c r="Y173" s="55">
        <f>IFERROR(IF(X173="",0,CEILING((X173/$H173),1)*$H173),"")</f>
        <v>12.24</v>
      </c>
      <c r="Z173" s="41">
        <f>IFERROR(IF(Y173=0,"",ROUNDUP(Y173/H173,0)*0.00556),"")</f>
        <v>9.4519999999999993E-2</v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14.166666666666666</v>
      </c>
      <c r="BN173" s="78">
        <f>IFERROR(Y173*I173/H173,"0")</f>
        <v>14.450000000000001</v>
      </c>
      <c r="BO173" s="78">
        <f>IFERROR(1/J173*(X173/H173),"0")</f>
        <v>6.6137566137566134E-2</v>
      </c>
      <c r="BP173" s="78">
        <f>IFERROR(1/J173*(Y173/H173),"0")</f>
        <v>6.7460317460317457E-2</v>
      </c>
    </row>
    <row r="174" spans="1:68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16.666666666666668</v>
      </c>
      <c r="Y174" s="43">
        <f>IFERROR(Y172/H172,"0")+IFERROR(Y173/H173,"0")</f>
        <v>17</v>
      </c>
      <c r="Z174" s="43">
        <f>IFERROR(IF(Z172="",0,Z172),"0")+IFERROR(IF(Z173="",0,Z173),"0")</f>
        <v>9.4519999999999993E-2</v>
      </c>
      <c r="AA174" s="67"/>
      <c r="AB174" s="67"/>
      <c r="AC174" s="67"/>
    </row>
    <row r="175" spans="1:68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12</v>
      </c>
      <c r="Y175" s="43">
        <f>IFERROR(SUM(Y172:Y173),"0")</f>
        <v>12.24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300</v>
      </c>
      <c r="Y177" s="55">
        <f t="shared" ref="Y177:Y187" si="10">IFERROR(IF(X177="",0,CEILING((X177/$H177),1)*$H177),"")</f>
        <v>301</v>
      </c>
      <c r="Z177" s="41">
        <f>IFERROR(IF(Y177=0,"",ROUNDUP(Y177/H177,0)*0.00902),"")</f>
        <v>0.77571999999999997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316.28571428571428</v>
      </c>
      <c r="BN177" s="78">
        <f t="shared" ref="BN177:BN187" si="12">IFERROR(Y177*I177/H177,"0")</f>
        <v>317.34000000000003</v>
      </c>
      <c r="BO177" s="78">
        <f t="shared" ref="BO177:BO187" si="13">IFERROR(1/J177*(X177/H177),"0")</f>
        <v>0.64935064935064934</v>
      </c>
      <c r="BP177" s="78">
        <f t="shared" ref="BP177:BP187" si="14">IFERROR(1/J177*(Y177/H177),"0")</f>
        <v>0.65151515151515149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400</v>
      </c>
      <c r="Y179" s="55">
        <f t="shared" si="10"/>
        <v>402.5</v>
      </c>
      <c r="Z179" s="41">
        <f>IFERROR(IF(Y179=0,"",ROUNDUP(Y179/H179,0)*0.00902),"")</f>
        <v>1.0373000000000001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421.71428571428572</v>
      </c>
      <c r="BN179" s="78">
        <f t="shared" si="12"/>
        <v>424.34999999999997</v>
      </c>
      <c r="BO179" s="78">
        <f t="shared" si="13"/>
        <v>0.8658008658008659</v>
      </c>
      <c r="BP179" s="78">
        <f t="shared" si="14"/>
        <v>0.87121212121212122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9</v>
      </c>
      <c r="Y181" s="55">
        <f t="shared" si="10"/>
        <v>9</v>
      </c>
      <c r="Z181" s="41">
        <f>IFERROR(IF(Y181=0,"",ROUNDUP(Y181/H181,0)*0.00417),"")</f>
        <v>4.1700000000000001E-2</v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11.1</v>
      </c>
      <c r="BN181" s="78">
        <f t="shared" si="12"/>
        <v>11.1</v>
      </c>
      <c r="BO181" s="78">
        <f t="shared" si="13"/>
        <v>2.976190476190476E-2</v>
      </c>
      <c r="BP181" s="78">
        <f t="shared" si="14"/>
        <v>2.976190476190476E-2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112.00000000000001</v>
      </c>
      <c r="Y182" s="55">
        <f t="shared" si="10"/>
        <v>112.56</v>
      </c>
      <c r="Z182" s="41">
        <f>IFERROR(IF(Y182=0,"",ROUNDUP(Y182/H182,0)*0.00502),"")</f>
        <v>0.33634000000000003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118.6666666666667</v>
      </c>
      <c r="BN182" s="78">
        <f t="shared" si="12"/>
        <v>119.26000000000002</v>
      </c>
      <c r="BO182" s="78">
        <f t="shared" si="13"/>
        <v>0.28490028490028496</v>
      </c>
      <c r="BP182" s="78">
        <f t="shared" si="14"/>
        <v>0.28632478632478636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84.000000000000014</v>
      </c>
      <c r="Y185" s="55">
        <f t="shared" si="10"/>
        <v>84</v>
      </c>
      <c r="Z185" s="41">
        <f>IFERROR(IF(Y185=0,"",ROUNDUP(Y185/H185,0)*0.00502),"")</f>
        <v>0.251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89.000000000000028</v>
      </c>
      <c r="BN185" s="78">
        <f t="shared" si="12"/>
        <v>89.000000000000014</v>
      </c>
      <c r="BO185" s="78">
        <f t="shared" si="13"/>
        <v>0.21367521367521372</v>
      </c>
      <c r="BP185" s="78">
        <f t="shared" si="14"/>
        <v>0.21367521367521369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112.00000000000001</v>
      </c>
      <c r="Y187" s="55">
        <f t="shared" si="10"/>
        <v>112.56</v>
      </c>
      <c r="Z187" s="41">
        <f>IFERROR(IF(Y187=0,"",ROUNDUP(Y187/H187,0)*0.00502),"")</f>
        <v>0.33634000000000003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118.6666666666667</v>
      </c>
      <c r="BN187" s="78">
        <f t="shared" si="12"/>
        <v>119.26000000000002</v>
      </c>
      <c r="BO187" s="78">
        <f t="shared" si="13"/>
        <v>0.28490028490028496</v>
      </c>
      <c r="BP187" s="78">
        <f t="shared" si="14"/>
        <v>0.28632478632478636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393.33333333333337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395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2.7784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1017</v>
      </c>
      <c r="Y189" s="43">
        <f>IFERROR(SUM(Y177:Y187),"0")</f>
        <v>1021.6199999999999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50</v>
      </c>
      <c r="Y225" s="55">
        <f t="shared" si="21"/>
        <v>50.400000000000006</v>
      </c>
      <c r="Z225" s="41">
        <f>IFERROR(IF(Y225=0,"",ROUNDUP(Y225/H225,0)*0.00902),"")</f>
        <v>0.10824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52.261904761904752</v>
      </c>
      <c r="BN225" s="78">
        <f t="shared" si="23"/>
        <v>52.68</v>
      </c>
      <c r="BO225" s="78">
        <f t="shared" si="24"/>
        <v>9.0187590187590191E-2</v>
      </c>
      <c r="BP225" s="78">
        <f t="shared" si="25"/>
        <v>9.0909090909090912E-2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105</v>
      </c>
      <c r="Y227" s="55">
        <f t="shared" si="21"/>
        <v>105</v>
      </c>
      <c r="Z227" s="41">
        <f t="shared" ref="Z227:Z232" si="26">IFERROR(IF(Y227=0,"",ROUNDUP(Y227/H227,0)*0.00502),"")</f>
        <v>0.251</v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111.5</v>
      </c>
      <c r="BN227" s="78">
        <f t="shared" si="23"/>
        <v>111.5</v>
      </c>
      <c r="BO227" s="78">
        <f t="shared" si="24"/>
        <v>0.21367521367521369</v>
      </c>
      <c r="BP227" s="78">
        <f t="shared" si="25"/>
        <v>0.21367521367521369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175</v>
      </c>
      <c r="Y229" s="55">
        <f t="shared" si="21"/>
        <v>176.4</v>
      </c>
      <c r="Z229" s="41">
        <f t="shared" si="26"/>
        <v>0.42168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185.83333333333331</v>
      </c>
      <c r="BN229" s="78">
        <f t="shared" si="23"/>
        <v>187.32</v>
      </c>
      <c r="BO229" s="78">
        <f t="shared" si="24"/>
        <v>0.35612535612535612</v>
      </c>
      <c r="BP229" s="78">
        <f t="shared" si="25"/>
        <v>0.35897435897435903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175</v>
      </c>
      <c r="Y234" s="55">
        <f t="shared" si="21"/>
        <v>176.4</v>
      </c>
      <c r="Z234" s="41">
        <f>IFERROR(IF(Y234=0,"",ROUNDUP(Y234/H234,0)*0.00502),"")</f>
        <v>0.42168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183.33333333333334</v>
      </c>
      <c r="BN234" s="78">
        <f t="shared" si="23"/>
        <v>184.8</v>
      </c>
      <c r="BO234" s="78">
        <f t="shared" si="24"/>
        <v>0.35612535612535612</v>
      </c>
      <c r="BP234" s="78">
        <f t="shared" si="25"/>
        <v>0.35897435897435903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228.57142857142856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230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1.2026000000000001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505</v>
      </c>
      <c r="Y238" s="43">
        <f>IFERROR(SUM(Y223:Y236),"0")</f>
        <v>508.20000000000005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8.4</v>
      </c>
      <c r="Y248" s="55">
        <f>IFERROR(IF(X248="",0,CEILING((X248/$H248),1)*$H248),"")</f>
        <v>8.82</v>
      </c>
      <c r="Z248" s="41">
        <f>IFERROR(IF(Y248=0,"",ROUNDUP(Y248/H248,0)*0.0059),"")</f>
        <v>4.1299999999999996E-2</v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9.6666666666666661</v>
      </c>
      <c r="BN248" s="78">
        <f>IFERROR(Y248*I248/H248,"0")</f>
        <v>10.15</v>
      </c>
      <c r="BO248" s="78">
        <f>IFERROR(1/J248*(X248/H248),"0")</f>
        <v>3.0864197530864196E-2</v>
      </c>
      <c r="BP248" s="78">
        <f>IFERROR(1/J248*(Y248/H248),"0")</f>
        <v>3.2407407407407406E-2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15.400000000000002</v>
      </c>
      <c r="Y249" s="55">
        <f>IFERROR(IF(X249="",0,CEILING((X249/$H249),1)*$H249),"")</f>
        <v>16.38</v>
      </c>
      <c r="Z249" s="41">
        <f>IFERROR(IF(Y249=0,"",ROUNDUP(Y249/H249,0)*0.0059),"")</f>
        <v>7.6700000000000004E-2</v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17.722222222222225</v>
      </c>
      <c r="BN249" s="78">
        <f>IFERROR(Y249*I249/H249,"0")</f>
        <v>18.849999999999998</v>
      </c>
      <c r="BO249" s="78">
        <f>IFERROR(1/J249*(X249/H249),"0")</f>
        <v>5.6584362139917695E-2</v>
      </c>
      <c r="BP249" s="78">
        <f>IFERROR(1/J249*(Y249/H249),"0")</f>
        <v>6.0185185185185182E-2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12.600000000000001</v>
      </c>
      <c r="Y250" s="55">
        <f>IFERROR(IF(X250="",0,CEILING((X250/$H250),1)*$H250),"")</f>
        <v>12.6</v>
      </c>
      <c r="Z250" s="41">
        <f>IFERROR(IF(Y250=0,"",ROUNDUP(Y250/H250,0)*0.0059),"")</f>
        <v>5.8999999999999997E-2</v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14.500000000000002</v>
      </c>
      <c r="BN250" s="78">
        <f>IFERROR(Y250*I250/H250,"0")</f>
        <v>14.5</v>
      </c>
      <c r="BO250" s="78">
        <f>IFERROR(1/J250*(X250/H250),"0")</f>
        <v>4.6296296296296301E-2</v>
      </c>
      <c r="BP250" s="78">
        <f>IFERROR(1/J250*(Y250/H250),"0")</f>
        <v>4.6296296296296294E-2</v>
      </c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28.888888888888893</v>
      </c>
      <c r="Y251" s="43">
        <f>IFERROR(Y248/H248,"0")+IFERROR(Y249/H249,"0")+IFERROR(Y250/H250,"0")</f>
        <v>30</v>
      </c>
      <c r="Z251" s="43">
        <f>IFERROR(IF(Z248="",0,Z248),"0")+IFERROR(IF(Z249="",0,Z249),"0")+IFERROR(IF(Z250="",0,Z250),"0")</f>
        <v>0.17699999999999999</v>
      </c>
      <c r="AA251" s="67"/>
      <c r="AB251" s="67"/>
      <c r="AC251" s="67"/>
    </row>
    <row r="252" spans="1:68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36.400000000000006</v>
      </c>
      <c r="Y252" s="43">
        <f>IFERROR(SUM(Y248:Y250),"0")</f>
        <v>37.799999999999997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300</v>
      </c>
      <c r="Y269" s="55">
        <f t="shared" ref="Y269:Y276" si="27">IFERROR(IF(X269="",0,CEILING((X269/$H269),1)*$H269),"")</f>
        <v>302.40000000000003</v>
      </c>
      <c r="Z269" s="41">
        <f>IFERROR(IF(Y269=0,"",ROUNDUP(Y269/H269,0)*0.00902),"")</f>
        <v>0.50512000000000001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310.55555555555554</v>
      </c>
      <c r="BN269" s="78">
        <f t="shared" ref="BN269:BN276" si="29">IFERROR(Y269*I269/H269,"0")</f>
        <v>313.04000000000002</v>
      </c>
      <c r="BO269" s="78">
        <f t="shared" ref="BO269:BO276" si="30">IFERROR(1/J269*(X269/H269),"0")</f>
        <v>0.42087542087542085</v>
      </c>
      <c r="BP269" s="78">
        <f t="shared" ref="BP269:BP276" si="31">IFERROR(1/J269*(Y269/H269),"0")</f>
        <v>0.42424242424242425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100</v>
      </c>
      <c r="Y270" s="55">
        <f t="shared" si="27"/>
        <v>102.60000000000001</v>
      </c>
      <c r="Z270" s="41">
        <f>IFERROR(IF(Y270=0,"",ROUNDUP(Y270/H270,0)*0.00902),"")</f>
        <v>0.17138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103.5185185185185</v>
      </c>
      <c r="BN270" s="78">
        <f t="shared" si="29"/>
        <v>106.21</v>
      </c>
      <c r="BO270" s="78">
        <f t="shared" si="30"/>
        <v>0.14029180695847362</v>
      </c>
      <c r="BP270" s="78">
        <f t="shared" si="31"/>
        <v>0.14393939393939395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300</v>
      </c>
      <c r="Y271" s="55">
        <f t="shared" si="27"/>
        <v>302.40000000000003</v>
      </c>
      <c r="Z271" s="41">
        <f>IFERROR(IF(Y271=0,"",ROUNDUP(Y271/H271,0)*0.00902),"")</f>
        <v>0.50512000000000001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310.55555555555554</v>
      </c>
      <c r="BN271" s="78">
        <f t="shared" si="29"/>
        <v>313.04000000000002</v>
      </c>
      <c r="BO271" s="78">
        <f t="shared" si="30"/>
        <v>0.42087542087542085</v>
      </c>
      <c r="BP271" s="78">
        <f t="shared" si="31"/>
        <v>0.42424242424242425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50</v>
      </c>
      <c r="Y272" s="55">
        <f t="shared" si="27"/>
        <v>54</v>
      </c>
      <c r="Z272" s="41">
        <f>IFERROR(IF(Y272=0,"",ROUNDUP(Y272/H272,0)*0.00902),"")</f>
        <v>9.0200000000000002E-2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51.759259259259252</v>
      </c>
      <c r="BN272" s="78">
        <f t="shared" si="29"/>
        <v>55.9</v>
      </c>
      <c r="BO272" s="78">
        <f t="shared" si="30"/>
        <v>7.0145903479236812E-2</v>
      </c>
      <c r="BP272" s="78">
        <f t="shared" si="31"/>
        <v>7.575757575757576E-2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150</v>
      </c>
      <c r="Y273" s="55">
        <f t="shared" si="27"/>
        <v>151.20000000000002</v>
      </c>
      <c r="Z273" s="41">
        <f>IFERROR(IF(Y273=0,"",ROUNDUP(Y273/H273,0)*0.00502),"")</f>
        <v>0.42168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160.83333333333334</v>
      </c>
      <c r="BN273" s="78">
        <f t="shared" si="29"/>
        <v>162.12</v>
      </c>
      <c r="BO273" s="78">
        <f t="shared" si="30"/>
        <v>0.35612535612535612</v>
      </c>
      <c r="BP273" s="78">
        <f t="shared" si="31"/>
        <v>0.35897435897435909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60</v>
      </c>
      <c r="Y274" s="55">
        <f t="shared" si="27"/>
        <v>61.2</v>
      </c>
      <c r="Z274" s="41">
        <f>IFERROR(IF(Y274=0,"",ROUNDUP(Y274/H274,0)*0.00502),"")</f>
        <v>0.17068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63.333333333333329</v>
      </c>
      <c r="BN274" s="78">
        <f t="shared" si="29"/>
        <v>64.599999999999994</v>
      </c>
      <c r="BO274" s="78">
        <f t="shared" si="30"/>
        <v>0.14245014245014248</v>
      </c>
      <c r="BP274" s="78">
        <f t="shared" si="31"/>
        <v>0.14529914529914531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150</v>
      </c>
      <c r="Y275" s="55">
        <f t="shared" si="27"/>
        <v>151.20000000000002</v>
      </c>
      <c r="Z275" s="41">
        <f>IFERROR(IF(Y275=0,"",ROUNDUP(Y275/H275,0)*0.00502),"")</f>
        <v>0.42168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158.33333333333334</v>
      </c>
      <c r="BN275" s="78">
        <f t="shared" si="29"/>
        <v>159.60000000000002</v>
      </c>
      <c r="BO275" s="78">
        <f t="shared" si="30"/>
        <v>0.35612535612535612</v>
      </c>
      <c r="BP275" s="78">
        <f t="shared" si="31"/>
        <v>0.35897435897435909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45</v>
      </c>
      <c r="Y276" s="55">
        <f t="shared" si="27"/>
        <v>45</v>
      </c>
      <c r="Z276" s="41">
        <f>IFERROR(IF(Y276=0,"",ROUNDUP(Y276/H276,0)*0.00502),"")</f>
        <v>0.1255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47.5</v>
      </c>
      <c r="BN276" s="78">
        <f t="shared" si="29"/>
        <v>47.5</v>
      </c>
      <c r="BO276" s="78">
        <f t="shared" si="30"/>
        <v>0.10683760683760685</v>
      </c>
      <c r="BP276" s="78">
        <f t="shared" si="31"/>
        <v>0.10683760683760685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363.88888888888891</v>
      </c>
      <c r="Y277" s="43">
        <f>IFERROR(Y269/H269,"0")+IFERROR(Y270/H270,"0")+IFERROR(Y271/H271,"0")+IFERROR(Y272/H272,"0")+IFERROR(Y273/H273,"0")+IFERROR(Y274/H274,"0")+IFERROR(Y275/H275,"0")+IFERROR(Y276/H276,"0")</f>
        <v>368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2.4113600000000002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1155</v>
      </c>
      <c r="Y278" s="43">
        <f>IFERROR(SUM(Y269:Y276),"0")</f>
        <v>1170.0000000000002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500</v>
      </c>
      <c r="Y282" s="55">
        <f t="shared" si="32"/>
        <v>504.59999999999997</v>
      </c>
      <c r="Z282" s="41">
        <f>IFERROR(IF(Y282=0,"",ROUNDUP(Y282/H282,0)*0.01898),"")</f>
        <v>1.10084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528.39080459770116</v>
      </c>
      <c r="BN282" s="78">
        <f t="shared" si="34"/>
        <v>533.25200000000007</v>
      </c>
      <c r="BO282" s="78">
        <f t="shared" si="35"/>
        <v>0.89798850574712652</v>
      </c>
      <c r="BP282" s="78">
        <f t="shared" si="36"/>
        <v>0.90625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400</v>
      </c>
      <c r="Y283" s="55">
        <f t="shared" si="32"/>
        <v>400.8</v>
      </c>
      <c r="Z283" s="41">
        <f>IFERROR(IF(Y283=0,"",ROUNDUP(Y283/H283,0)*0.00651),"")</f>
        <v>1.08717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445</v>
      </c>
      <c r="BN283" s="78">
        <f t="shared" si="34"/>
        <v>445.89</v>
      </c>
      <c r="BO283" s="78">
        <f t="shared" si="35"/>
        <v>0.91575091575091594</v>
      </c>
      <c r="BP283" s="78">
        <f t="shared" si="36"/>
        <v>0.91758241758241765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120</v>
      </c>
      <c r="Y289" s="55">
        <f t="shared" si="32"/>
        <v>120</v>
      </c>
      <c r="Z289" s="41">
        <f>IFERROR(IF(Y289=0,"",ROUNDUP(Y289/H289,0)*0.00651),"")</f>
        <v>0.32550000000000001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132.60000000000002</v>
      </c>
      <c r="BN289" s="78">
        <f t="shared" si="34"/>
        <v>132.60000000000002</v>
      </c>
      <c r="BO289" s="78">
        <f t="shared" si="35"/>
        <v>0.27472527472527475</v>
      </c>
      <c r="BP289" s="78">
        <f t="shared" si="36"/>
        <v>0.27472527472527475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320</v>
      </c>
      <c r="Y290" s="55">
        <f t="shared" si="32"/>
        <v>321.59999999999997</v>
      </c>
      <c r="Z290" s="41">
        <f>IFERROR(IF(Y290=0,"",ROUNDUP(Y290/H290,0)*0.00651),"")</f>
        <v>0.87234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354.4</v>
      </c>
      <c r="BN290" s="78">
        <f t="shared" si="34"/>
        <v>356.17199999999997</v>
      </c>
      <c r="BO290" s="78">
        <f t="shared" si="35"/>
        <v>0.73260073260073266</v>
      </c>
      <c r="BP290" s="78">
        <f t="shared" si="36"/>
        <v>0.73626373626373631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407.47126436781616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409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3.38585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1340</v>
      </c>
      <c r="Y293" s="43">
        <f>IFERROR(SUM(Y280:Y291),"0")</f>
        <v>1347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200</v>
      </c>
      <c r="Y296" s="55">
        <f>IFERROR(IF(X296="",0,CEILING((X296/$H296),1)*$H296),"")</f>
        <v>201.6</v>
      </c>
      <c r="Z296" s="41">
        <f>IFERROR(IF(Y296=0,"",ROUNDUP(Y296/H296,0)*0.00651),"")</f>
        <v>0.54683999999999999</v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221</v>
      </c>
      <c r="BN296" s="78">
        <f>IFERROR(Y296*I296/H296,"0")</f>
        <v>222.768</v>
      </c>
      <c r="BO296" s="78">
        <f>IFERROR(1/J296*(X296/H296),"0")</f>
        <v>0.45787545787545797</v>
      </c>
      <c r="BP296" s="78">
        <f>IFERROR(1/J296*(Y296/H296),"0")</f>
        <v>0.46153846153846156</v>
      </c>
    </row>
    <row r="297" spans="1:68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83.333333333333343</v>
      </c>
      <c r="Y297" s="43">
        <f>IFERROR(Y295/H295,"0")+IFERROR(Y296/H296,"0")</f>
        <v>84</v>
      </c>
      <c r="Z297" s="43">
        <f>IFERROR(IF(Z295="",0,Z295),"0")+IFERROR(IF(Z296="",0,Z296),"0")</f>
        <v>0.54683999999999999</v>
      </c>
      <c r="AA297" s="67"/>
      <c r="AB297" s="67"/>
      <c r="AC297" s="67"/>
    </row>
    <row r="298" spans="1:68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200</v>
      </c>
      <c r="Y298" s="43">
        <f>IFERROR(SUM(Y295:Y296),"0")</f>
        <v>201.6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24</v>
      </c>
      <c r="Y304" s="55">
        <f t="shared" si="37"/>
        <v>24</v>
      </c>
      <c r="Z304" s="41">
        <f>IFERROR(IF(Y304=0,"",ROUNDUP(Y304/H304,0)*0.00902),"")</f>
        <v>5.4120000000000001E-2</v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25.14</v>
      </c>
      <c r="BN304" s="78">
        <f t="shared" si="39"/>
        <v>25.14</v>
      </c>
      <c r="BO304" s="78">
        <f t="shared" si="40"/>
        <v>4.5454545454545456E-2</v>
      </c>
      <c r="BP304" s="78">
        <f t="shared" si="41"/>
        <v>4.5454545454545456E-2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6</v>
      </c>
      <c r="Y308" s="43">
        <f>IFERROR(Y301/H301,"0")+IFERROR(Y302/H302,"0")+IFERROR(Y303/H303,"0")+IFERROR(Y304/H304,"0")+IFERROR(Y305/H305,"0")+IFERROR(Y306/H306,"0")+IFERROR(Y307/H307,"0")</f>
        <v>6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5.4120000000000001E-2</v>
      </c>
      <c r="AA308" s="67"/>
      <c r="AB308" s="67"/>
      <c r="AC308" s="67"/>
    </row>
    <row r="309" spans="1:68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24</v>
      </c>
      <c r="Y309" s="43">
        <f>IFERROR(SUM(Y301:Y307),"0")</f>
        <v>24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13.200000000000001</v>
      </c>
      <c r="Y311" s="55">
        <f>IFERROR(IF(X311="",0,CEILING((X311/$H311),1)*$H311),"")</f>
        <v>13.86</v>
      </c>
      <c r="Z311" s="41">
        <f>IFERROR(IF(Y311=0,"",ROUNDUP(Y311/H311,0)*0.00502),"")</f>
        <v>3.5140000000000005E-2</v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13.866666666666669</v>
      </c>
      <c r="BN311" s="78">
        <f>IFERROR(Y311*I311/H311,"0")</f>
        <v>14.56</v>
      </c>
      <c r="BO311" s="78">
        <f>IFERROR(1/J311*(X311/H311),"0")</f>
        <v>2.8490028490028494E-2</v>
      </c>
      <c r="BP311" s="78">
        <f>IFERROR(1/J311*(Y311/H311),"0")</f>
        <v>2.9914529914529919E-2</v>
      </c>
    </row>
    <row r="312" spans="1:68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6.666666666666667</v>
      </c>
      <c r="Y312" s="43">
        <f>IFERROR(Y311/H311,"0")</f>
        <v>7</v>
      </c>
      <c r="Z312" s="43">
        <f>IFERROR(IF(Z311="",0,Z311),"0")</f>
        <v>3.5140000000000005E-2</v>
      </c>
      <c r="AA312" s="67"/>
      <c r="AB312" s="67"/>
      <c r="AC312" s="67"/>
    </row>
    <row r="313" spans="1:68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13.200000000000001</v>
      </c>
      <c r="Y313" s="43">
        <f>IFERROR(SUM(Y311:Y311),"0")</f>
        <v>13.86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12</v>
      </c>
      <c r="Y320" s="55">
        <f>IFERROR(IF(X320="",0,CEILING((X320/$H320),1)*$H320),"")</f>
        <v>12.6</v>
      </c>
      <c r="Z320" s="41">
        <f>IFERROR(IF(Y320=0,"",ROUNDUP(Y320/H320,0)*0.0059),"")</f>
        <v>4.1299999999999996E-2</v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13.166666666666668</v>
      </c>
      <c r="BN320" s="78">
        <f>IFERROR(Y320*I320/H320,"0")</f>
        <v>13.825000000000001</v>
      </c>
      <c r="BO320" s="78">
        <f>IFERROR(1/J320*(X320/H320),"0")</f>
        <v>3.0864197530864192E-2</v>
      </c>
      <c r="BP320" s="78">
        <f>IFERROR(1/J320*(Y320/H320),"0")</f>
        <v>3.2407407407407406E-2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6.6666666666666661</v>
      </c>
      <c r="Y322" s="43">
        <f>IFERROR(Y319/H319,"0")+IFERROR(Y320/H320,"0")+IFERROR(Y321/H321,"0")</f>
        <v>7</v>
      </c>
      <c r="Z322" s="43">
        <f>IFERROR(IF(Z319="",0,Z319),"0")+IFERROR(IF(Z320="",0,Z320),"0")+IFERROR(IF(Z321="",0,Z321),"0")</f>
        <v>4.1299999999999996E-2</v>
      </c>
      <c r="AA322" s="67"/>
      <c r="AB322" s="67"/>
      <c r="AC322" s="67"/>
    </row>
    <row r="323" spans="1:68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12</v>
      </c>
      <c r="Y323" s="43">
        <f>IFERROR(SUM(Y319:Y321),"0")</f>
        <v>12.6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40</v>
      </c>
      <c r="Y336" s="55">
        <f>IFERROR(IF(X336="",0,CEILING((X336/$H336),1)*$H336),"")</f>
        <v>40.799999999999997</v>
      </c>
      <c r="Z336" s="41">
        <f>IFERROR(IF(Y336=0,"",ROUNDUP(Y336/H336,0)*0.00651),"")</f>
        <v>0.11067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44.20000000000001</v>
      </c>
      <c r="BN336" s="78">
        <f>IFERROR(Y336*I336/H336,"0")</f>
        <v>45.084000000000003</v>
      </c>
      <c r="BO336" s="78">
        <f>IFERROR(1/J336*(X336/H336),"0")</f>
        <v>9.1575091575091583E-2</v>
      </c>
      <c r="BP336" s="78">
        <f>IFERROR(1/J336*(Y336/H336),"0")</f>
        <v>9.3406593406593408E-2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240</v>
      </c>
      <c r="Y337" s="55">
        <f>IFERROR(IF(X337="",0,CEILING((X337/$H337),1)*$H337),"")</f>
        <v>240</v>
      </c>
      <c r="Z337" s="41">
        <f>IFERROR(IF(Y337=0,"",ROUNDUP(Y337/H337,0)*0.00651),"")</f>
        <v>0.65100000000000002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258.00000000000006</v>
      </c>
      <c r="BN337" s="78">
        <f>IFERROR(Y337*I337/H337,"0")</f>
        <v>258.00000000000006</v>
      </c>
      <c r="BO337" s="78">
        <f>IFERROR(1/J337*(X337/H337),"0")</f>
        <v>0.5494505494505495</v>
      </c>
      <c r="BP337" s="78">
        <f>IFERROR(1/J337*(Y337/H337),"0")</f>
        <v>0.5494505494505495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116.66666666666667</v>
      </c>
      <c r="Y338" s="43">
        <f>IFERROR(Y335/H335,"0")+IFERROR(Y336/H336,"0")+IFERROR(Y337/H337,"0")</f>
        <v>117</v>
      </c>
      <c r="Z338" s="43">
        <f>IFERROR(IF(Z335="",0,Z335),"0")+IFERROR(IF(Z336="",0,Z336),"0")+IFERROR(IF(Z337="",0,Z337),"0")</f>
        <v>0.76167000000000007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280</v>
      </c>
      <c r="Y339" s="43">
        <f>IFERROR(SUM(Y335:Y337),"0")</f>
        <v>280.8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200</v>
      </c>
      <c r="Y357" s="55">
        <f>IFERROR(IF(X357="",0,CEILING((X357/$H357),1)*$H357),"")</f>
        <v>202.79999999999998</v>
      </c>
      <c r="Z357" s="41">
        <f>IFERROR(IF(Y357=0,"",ROUNDUP(Y357/H357,0)*0.01898),"")</f>
        <v>0.49348000000000003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210.51282051282055</v>
      </c>
      <c r="BN357" s="78">
        <f>IFERROR(Y357*I357/H357,"0")</f>
        <v>213.46</v>
      </c>
      <c r="BO357" s="78">
        <f>IFERROR(1/J357*(X357/H357),"0")</f>
        <v>0.40064102564102566</v>
      </c>
      <c r="BP357" s="78">
        <f>IFERROR(1/J357*(Y357/H357),"0")</f>
        <v>0.40625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120</v>
      </c>
      <c r="Y358" s="55">
        <f>IFERROR(IF(X358="",0,CEILING((X358/$H358),1)*$H358),"")</f>
        <v>124.8</v>
      </c>
      <c r="Z358" s="41">
        <f>IFERROR(IF(Y358=0,"",ROUNDUP(Y358/H358,0)*0.01898),"")</f>
        <v>0.30368000000000001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126.30769230769232</v>
      </c>
      <c r="BN358" s="78">
        <f>IFERROR(Y358*I358/H358,"0")</f>
        <v>131.36000000000001</v>
      </c>
      <c r="BO358" s="78">
        <f>IFERROR(1/J358*(X358/H358),"0")</f>
        <v>0.24038461538461539</v>
      </c>
      <c r="BP358" s="78">
        <f>IFERROR(1/J358*(Y358/H358),"0")</f>
        <v>0.25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41.025641025641029</v>
      </c>
      <c r="Y359" s="43">
        <f>IFERROR(Y356/H356,"0")+IFERROR(Y357/H357,"0")+IFERROR(Y358/H358,"0")</f>
        <v>42</v>
      </c>
      <c r="Z359" s="43">
        <f>IFERROR(IF(Z356="",0,Z356),"0")+IFERROR(IF(Z357="",0,Z357),"0")+IFERROR(IF(Z358="",0,Z358),"0")</f>
        <v>0.79716000000000009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320</v>
      </c>
      <c r="Y360" s="43">
        <f>IFERROR(SUM(Y356:Y358),"0")</f>
        <v>327.59999999999997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50</v>
      </c>
      <c r="Y363" s="55">
        <f t="shared" ref="Y363:Y368" si="42">IFERROR(IF(X363="",0,CEILING((X363/$H363),1)*$H363),"")</f>
        <v>54</v>
      </c>
      <c r="Z363" s="41">
        <f>IFERROR(IF(Y363=0,"",ROUNDUP(Y363/H363,0)*0.01898),"")</f>
        <v>9.4899999999999998E-2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51.898148148148145</v>
      </c>
      <c r="BN363" s="78">
        <f t="shared" ref="BN363:BN368" si="44">IFERROR(Y363*I363/H363,"0")</f>
        <v>56.05</v>
      </c>
      <c r="BO363" s="78">
        <f t="shared" ref="BO363:BO368" si="45">IFERROR(1/J363*(X363/H363),"0")</f>
        <v>7.2337962962962965E-2</v>
      </c>
      <c r="BP363" s="78">
        <f t="shared" ref="BP363:BP368" si="46">IFERROR(1/J363*(Y363/H363),"0")</f>
        <v>7.8125E-2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4.6296296296296298</v>
      </c>
      <c r="Y369" s="43">
        <f>IFERROR(Y363/H363,"0")+IFERROR(Y364/H364,"0")+IFERROR(Y365/H365,"0")+IFERROR(Y366/H366,"0")+IFERROR(Y367/H367,"0")+IFERROR(Y368/H368,"0")</f>
        <v>5</v>
      </c>
      <c r="Z369" s="43">
        <f>IFERROR(IF(Z363="",0,Z363),"0")+IFERROR(IF(Z364="",0,Z364),"0")+IFERROR(IF(Z365="",0,Z365),"0")+IFERROR(IF(Z366="",0,Z366),"0")+IFERROR(IF(Z367="",0,Z367),"0")+IFERROR(IF(Z368="",0,Z368),"0")</f>
        <v>9.4899999999999998E-2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50</v>
      </c>
      <c r="Y370" s="43">
        <f>IFERROR(SUM(Y363:Y368),"0")</f>
        <v>54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280</v>
      </c>
      <c r="Y376" s="55">
        <f t="shared" si="47"/>
        <v>281.40000000000003</v>
      </c>
      <c r="Z376" s="41">
        <f>IFERROR(IF(Y376=0,"",ROUNDUP(Y376/H376,0)*0.00502),"")</f>
        <v>0.67268000000000006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293.33333333333331</v>
      </c>
      <c r="BN376" s="78">
        <f t="shared" si="49"/>
        <v>294.80000000000007</v>
      </c>
      <c r="BO376" s="78">
        <f t="shared" si="50"/>
        <v>0.56980056980056981</v>
      </c>
      <c r="BP376" s="78">
        <f t="shared" si="51"/>
        <v>0.57264957264957272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45</v>
      </c>
      <c r="Y378" s="55">
        <f t="shared" si="47"/>
        <v>45</v>
      </c>
      <c r="Z378" s="41">
        <f>IFERROR(IF(Y378=0,"",ROUNDUP(Y378/H378,0)*0.00651),"")</f>
        <v>0.16275000000000001</v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50.7</v>
      </c>
      <c r="BN378" s="78">
        <f t="shared" si="49"/>
        <v>50.7</v>
      </c>
      <c r="BO378" s="78">
        <f t="shared" si="50"/>
        <v>0.13736263736263737</v>
      </c>
      <c r="BP378" s="78">
        <f t="shared" si="51"/>
        <v>0.13736263736263737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158.33333333333331</v>
      </c>
      <c r="Y379" s="43">
        <f>IFERROR(Y372/H372,"0")+IFERROR(Y373/H373,"0")+IFERROR(Y374/H374,"0")+IFERROR(Y375/H375,"0")+IFERROR(Y376/H376,"0")+IFERROR(Y377/H377,"0")+IFERROR(Y378/H378,"0")</f>
        <v>159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0.83543000000000012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325</v>
      </c>
      <c r="Y380" s="43">
        <f>IFERROR(SUM(Y372:Y378),"0")</f>
        <v>326.40000000000003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500</v>
      </c>
      <c r="Y389" s="55">
        <f>IFERROR(IF(X389="",0,CEILING((X389/$H389),1)*$H389),"")</f>
        <v>504</v>
      </c>
      <c r="Z389" s="41">
        <f>IFERROR(IF(Y389=0,"",ROUNDUP(Y389/H389,0)*0.01898),"")</f>
        <v>1.1388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529.40476190476193</v>
      </c>
      <c r="BN389" s="78">
        <f>IFERROR(Y389*I389/H389,"0")</f>
        <v>533.64</v>
      </c>
      <c r="BO389" s="78">
        <f>IFERROR(1/J389*(X389/H389),"0")</f>
        <v>0.93005952380952372</v>
      </c>
      <c r="BP389" s="78">
        <f>IFERROR(1/J389*(Y389/H389),"0")</f>
        <v>0.9375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700</v>
      </c>
      <c r="Y390" s="55">
        <f>IFERROR(IF(X390="",0,CEILING((X390/$H390),1)*$H390),"")</f>
        <v>702</v>
      </c>
      <c r="Z390" s="41">
        <f>IFERROR(IF(Y390=0,"",ROUNDUP(Y390/H390,0)*0.01898),"")</f>
        <v>1.7081999999999999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744.33333333333337</v>
      </c>
      <c r="BN390" s="78">
        <f>IFERROR(Y390*I390/H390,"0")</f>
        <v>746.46</v>
      </c>
      <c r="BO390" s="78">
        <f>IFERROR(1/J390*(X390/H390),"0")</f>
        <v>1.4022435897435899</v>
      </c>
      <c r="BP390" s="78">
        <f>IFERROR(1/J390*(Y390/H390),"0")</f>
        <v>1.40625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100</v>
      </c>
      <c r="Y391" s="55">
        <f>IFERROR(IF(X391="",0,CEILING((X391/$H391),1)*$H391),"")</f>
        <v>100.80000000000001</v>
      </c>
      <c r="Z391" s="41">
        <f>IFERROR(IF(Y391=0,"",ROUNDUP(Y391/H391,0)*0.01898),"")</f>
        <v>0.22776000000000002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105.88095238095238</v>
      </c>
      <c r="BN391" s="78">
        <f>IFERROR(Y391*I391/H391,"0")</f>
        <v>106.72800000000001</v>
      </c>
      <c r="BO391" s="78">
        <f>IFERROR(1/J391*(X391/H391),"0")</f>
        <v>0.18601190476190477</v>
      </c>
      <c r="BP391" s="78">
        <f>IFERROR(1/J391*(Y391/H391),"0")</f>
        <v>0.1875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161.17216117216117</v>
      </c>
      <c r="Y392" s="43">
        <f>IFERROR(Y389/H389,"0")+IFERROR(Y390/H390,"0")+IFERROR(Y391/H391,"0")</f>
        <v>162</v>
      </c>
      <c r="Z392" s="43">
        <f>IFERROR(IF(Z389="",0,Z389),"0")+IFERROR(IF(Z390="",0,Z390),"0")+IFERROR(IF(Z391="",0,Z391),"0")</f>
        <v>3.0747599999999999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1300</v>
      </c>
      <c r="Y393" s="43">
        <f>IFERROR(SUM(Y389:Y391),"0")</f>
        <v>1306.8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30</v>
      </c>
      <c r="Y395" s="55">
        <f>IFERROR(IF(X395="",0,CEILING((X395/$H395),1)*$H395),"")</f>
        <v>30.4</v>
      </c>
      <c r="Z395" s="41">
        <f>IFERROR(IF(Y395=0,"",ROUNDUP(Y395/H395,0)*0.00902),"")</f>
        <v>9.0200000000000002E-2</v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32.664473684210527</v>
      </c>
      <c r="BN395" s="78">
        <f>IFERROR(Y395*I395/H395,"0")</f>
        <v>33.1</v>
      </c>
      <c r="BO395" s="78">
        <f>IFERROR(1/J395*(X395/H395),"0")</f>
        <v>7.4760765550239236E-2</v>
      </c>
      <c r="BP395" s="78">
        <f>IFERROR(1/J395*(Y395/H395),"0")</f>
        <v>7.575757575757576E-2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85</v>
      </c>
      <c r="Y397" s="55">
        <f>IFERROR(IF(X397="",0,CEILING((X397/$H397),1)*$H397),"")</f>
        <v>86.699999999999989</v>
      </c>
      <c r="Z397" s="41">
        <f>IFERROR(IF(Y397=0,"",ROUNDUP(Y397/H397,0)*0.00651),"")</f>
        <v>0.22134000000000001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98.500000000000014</v>
      </c>
      <c r="BN397" s="78">
        <f>IFERROR(Y397*I397/H397,"0")</f>
        <v>100.47</v>
      </c>
      <c r="BO397" s="78">
        <f>IFERROR(1/J397*(X397/H397),"0")</f>
        <v>0.18315018315018317</v>
      </c>
      <c r="BP397" s="78">
        <f>IFERROR(1/J397*(Y397/H397),"0")</f>
        <v>0.18681318681318682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255.00000000000003</v>
      </c>
      <c r="Y398" s="55">
        <f>IFERROR(IF(X398="",0,CEILING((X398/$H398),1)*$H398),"")</f>
        <v>254.99999999999997</v>
      </c>
      <c r="Z398" s="41">
        <f>IFERROR(IF(Y398=0,"",ROUNDUP(Y398/H398,0)*0.00651),"")</f>
        <v>0.65100000000000002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288.00000000000006</v>
      </c>
      <c r="BN398" s="78">
        <f>IFERROR(Y398*I398/H398,"0")</f>
        <v>287.99999999999994</v>
      </c>
      <c r="BO398" s="78">
        <f>IFERROR(1/J398*(X398/H398),"0")</f>
        <v>0.54945054945054961</v>
      </c>
      <c r="BP398" s="78">
        <f>IFERROR(1/J398*(Y398/H398),"0")</f>
        <v>0.5494505494505495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143.20175438596493</v>
      </c>
      <c r="Y399" s="43">
        <f>IFERROR(Y395/H395,"0")+IFERROR(Y396/H396,"0")+IFERROR(Y397/H397,"0")+IFERROR(Y398/H398,"0")</f>
        <v>144</v>
      </c>
      <c r="Z399" s="43">
        <f>IFERROR(IF(Z395="",0,Z395),"0")+IFERROR(IF(Z396="",0,Z396),"0")+IFERROR(IF(Z397="",0,Z397),"0")+IFERROR(IF(Z398="",0,Z398),"0")</f>
        <v>0.96254000000000006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370</v>
      </c>
      <c r="Y400" s="43">
        <f>IFERROR(SUM(Y395:Y398),"0")</f>
        <v>372.09999999999997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50</v>
      </c>
      <c r="Y404" s="55">
        <f>IFERROR(IF(X404="",0,CEILING((X404/$H404),1)*$H404),"")</f>
        <v>50</v>
      </c>
      <c r="Z404" s="41">
        <f>IFERROR(IF(Y404=0,"",ROUNDUP(Y404/H404,0)*0.00474),"")</f>
        <v>0.11850000000000001</v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56.000000000000007</v>
      </c>
      <c r="BN404" s="78">
        <f>IFERROR(Y404*I404/H404,"0")</f>
        <v>56.000000000000007</v>
      </c>
      <c r="BO404" s="78">
        <f>IFERROR(1/J404*(X404/H404),"0")</f>
        <v>0.10504201680672269</v>
      </c>
      <c r="BP404" s="78">
        <f>IFERROR(1/J404*(Y404/H404),"0")</f>
        <v>0.10504201680672269</v>
      </c>
    </row>
    <row r="405" spans="1:68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25</v>
      </c>
      <c r="Y405" s="43">
        <f>IFERROR(Y402/H402,"0")+IFERROR(Y403/H403,"0")+IFERROR(Y404/H404,"0")</f>
        <v>25</v>
      </c>
      <c r="Z405" s="43">
        <f>IFERROR(IF(Z402="",0,Z402),"0")+IFERROR(IF(Z403="",0,Z403),"0")+IFERROR(IF(Z404="",0,Z404),"0")</f>
        <v>0.11850000000000001</v>
      </c>
      <c r="AA405" s="67"/>
      <c r="AB405" s="67"/>
      <c r="AC405" s="67"/>
    </row>
    <row r="406" spans="1:68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50</v>
      </c>
      <c r="Y406" s="43">
        <f>IFERROR(SUM(Y402:Y404),"0")</f>
        <v>50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525</v>
      </c>
      <c r="Y416" s="55">
        <f>IFERROR(IF(X416="",0,CEILING((X416/$H416),1)*$H416),"")</f>
        <v>525</v>
      </c>
      <c r="Z416" s="41">
        <f>IFERROR(IF(Y416=0,"",ROUNDUP(Y416/H416,0)*0.00651),"")</f>
        <v>1.6274999999999999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588</v>
      </c>
      <c r="BN416" s="78">
        <f>IFERROR(Y416*I416/H416,"0")</f>
        <v>588</v>
      </c>
      <c r="BO416" s="78">
        <f>IFERROR(1/J416*(X416/H416),"0")</f>
        <v>1.3736263736263736</v>
      </c>
      <c r="BP416" s="78">
        <f>IFERROR(1/J416*(Y416/H416),"0")</f>
        <v>1.3736263736263736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700</v>
      </c>
      <c r="Y417" s="55">
        <f>IFERROR(IF(X417="",0,CEILING((X417/$H417),1)*$H417),"")</f>
        <v>701.4</v>
      </c>
      <c r="Z417" s="41">
        <f>IFERROR(IF(Y417=0,"",ROUNDUP(Y417/H417,0)*0.00651),"")</f>
        <v>2.1743399999999999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780</v>
      </c>
      <c r="BN417" s="78">
        <f>IFERROR(Y417*I417/H417,"0")</f>
        <v>781.56</v>
      </c>
      <c r="BO417" s="78">
        <f>IFERROR(1/J417*(X417/H417),"0")</f>
        <v>1.8315018315018314</v>
      </c>
      <c r="BP417" s="78">
        <f>IFERROR(1/J417*(Y417/H417),"0")</f>
        <v>1.8351648351648353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583.33333333333326</v>
      </c>
      <c r="Y418" s="43">
        <f>IFERROR(Y415/H415,"0")+IFERROR(Y416/H416,"0")+IFERROR(Y417/H417,"0")</f>
        <v>584</v>
      </c>
      <c r="Z418" s="43">
        <f>IFERROR(IF(Z415="",0,Z415),"0")+IFERROR(IF(Z416="",0,Z416),"0")+IFERROR(IF(Z417="",0,Z417),"0")</f>
        <v>3.8018399999999999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1225</v>
      </c>
      <c r="Y419" s="43">
        <f>IFERROR(SUM(Y415:Y417),"0")</f>
        <v>1226.4000000000001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200</v>
      </c>
      <c r="Y423" s="55">
        <f t="shared" ref="Y423:Y430" si="52">IFERROR(IF(X423="",0,CEILING((X423/$H423),1)*$H423),"")</f>
        <v>210</v>
      </c>
      <c r="Z423" s="41">
        <f>IFERROR(IF(Y423=0,"",ROUNDUP(Y423/H423,0)*0.02175),"")</f>
        <v>0.30449999999999999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206.26666666666668</v>
      </c>
      <c r="BN423" s="78">
        <f t="shared" ref="BN423:BN430" si="54">IFERROR(Y423*I423/H423,"0")</f>
        <v>216.58</v>
      </c>
      <c r="BO423" s="78">
        <f t="shared" ref="BO423:BO430" si="55">IFERROR(1/J423*(X423/H423),"0")</f>
        <v>0.27777777777777779</v>
      </c>
      <c r="BP423" s="78">
        <f t="shared" ref="BP423:BP430" si="56">IFERROR(1/J423*(Y423/H423),"0")</f>
        <v>0.29166666666666663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500</v>
      </c>
      <c r="Y425" s="55">
        <f t="shared" si="52"/>
        <v>510</v>
      </c>
      <c r="Z425" s="41">
        <f>IFERROR(IF(Y425=0,"",ROUNDUP(Y425/H425,0)*0.02175),"")</f>
        <v>0.73949999999999994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515.66666666666663</v>
      </c>
      <c r="BN425" s="78">
        <f t="shared" si="54"/>
        <v>525.98</v>
      </c>
      <c r="BO425" s="78">
        <f t="shared" si="55"/>
        <v>0.69444444444444442</v>
      </c>
      <c r="BP425" s="78">
        <f t="shared" si="56"/>
        <v>0.70833333333333326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250</v>
      </c>
      <c r="Y427" s="55">
        <f t="shared" si="52"/>
        <v>255</v>
      </c>
      <c r="Z427" s="41">
        <f>IFERROR(IF(Y427=0,"",ROUNDUP(Y427/H427,0)*0.02175),"")</f>
        <v>0.36974999999999997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257.83333333333331</v>
      </c>
      <c r="BN427" s="78">
        <f t="shared" si="54"/>
        <v>262.99</v>
      </c>
      <c r="BO427" s="78">
        <f t="shared" si="55"/>
        <v>0.34722222222222221</v>
      </c>
      <c r="BP427" s="78">
        <f t="shared" si="56"/>
        <v>0.35416666666666663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63.333333333333343</v>
      </c>
      <c r="Y431" s="43">
        <f>IFERROR(Y423/H423,"0")+IFERROR(Y424/H424,"0")+IFERROR(Y425/H425,"0")+IFERROR(Y426/H426,"0")+IFERROR(Y427/H427,"0")+IFERROR(Y428/H428,"0")+IFERROR(Y429/H429,"0")+IFERROR(Y430/H430,"0")</f>
        <v>65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1.4137500000000001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950</v>
      </c>
      <c r="Y432" s="43">
        <f>IFERROR(SUM(Y423:Y430),"0")</f>
        <v>975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100</v>
      </c>
      <c r="Y447" s="55">
        <f>IFERROR(IF(X447="",0,CEILING((X447/$H447),1)*$H447),"")</f>
        <v>108</v>
      </c>
      <c r="Z447" s="41">
        <f>IFERROR(IF(Y447=0,"",ROUNDUP(Y447/H447,0)*0.01898),"")</f>
        <v>0.22776000000000002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105.48888888888888</v>
      </c>
      <c r="BN447" s="78">
        <f>IFERROR(Y447*I447/H447,"0")</f>
        <v>113.92799999999998</v>
      </c>
      <c r="BO447" s="78">
        <f>IFERROR(1/J447*(X447/H447),"0")</f>
        <v>0.1736111111111111</v>
      </c>
      <c r="BP447" s="78">
        <f>IFERROR(1/J447*(Y447/H447),"0")</f>
        <v>0.1875</v>
      </c>
    </row>
    <row r="448" spans="1:68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11.111111111111111</v>
      </c>
      <c r="Y448" s="43">
        <f>IFERROR(Y446/H446,"0")+IFERROR(Y447/H447,"0")</f>
        <v>12</v>
      </c>
      <c r="Z448" s="43">
        <f>IFERROR(IF(Z446="",0,Z446),"0")+IFERROR(IF(Z447="",0,Z447),"0")</f>
        <v>0.22776000000000002</v>
      </c>
      <c r="AA448" s="67"/>
      <c r="AB448" s="67"/>
      <c r="AC448" s="67"/>
    </row>
    <row r="449" spans="1:68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100</v>
      </c>
      <c r="Y449" s="43">
        <f>IFERROR(SUM(Y446:Y447),"0")</f>
        <v>108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60</v>
      </c>
      <c r="Y452" s="55">
        <f>IFERROR(IF(X452="",0,CEILING((X452/$H452),1)*$H452),"")</f>
        <v>60</v>
      </c>
      <c r="Z452" s="41">
        <f>IFERROR(IF(Y452=0,"",ROUNDUP(Y452/H452,0)*0.01898),"")</f>
        <v>9.4899999999999998E-2</v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62.050000000000004</v>
      </c>
      <c r="BN452" s="78">
        <f>IFERROR(Y452*I452/H452,"0")</f>
        <v>62.050000000000004</v>
      </c>
      <c r="BO452" s="78">
        <f>IFERROR(1/J452*(X452/H452),"0")</f>
        <v>7.8125E-2</v>
      </c>
      <c r="BP452" s="78">
        <f>IFERROR(1/J452*(Y452/H452),"0")</f>
        <v>7.8125E-2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5</v>
      </c>
      <c r="Y454" s="43">
        <f>IFERROR(Y452/H452,"0")+IFERROR(Y453/H453,"0")</f>
        <v>5</v>
      </c>
      <c r="Z454" s="43">
        <f>IFERROR(IF(Z452="",0,Z452),"0")+IFERROR(IF(Z453="",0,Z453),"0")</f>
        <v>9.4899999999999998E-2</v>
      </c>
      <c r="AA454" s="67"/>
      <c r="AB454" s="67"/>
      <c r="AC454" s="67"/>
    </row>
    <row r="455" spans="1:68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60</v>
      </c>
      <c r="Y455" s="43">
        <f>IFERROR(SUM(Y452:Y453),"0")</f>
        <v>60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162</v>
      </c>
      <c r="Y503" s="55">
        <f t="shared" si="62"/>
        <v>163.19999999999999</v>
      </c>
      <c r="Z503" s="41">
        <f>IFERROR(IF(Y503=0,"",ROUNDUP(Y503/H503,0)*0.00902),"")</f>
        <v>0.30668000000000001</v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233.21250000000003</v>
      </c>
      <c r="BN503" s="78">
        <f t="shared" si="65"/>
        <v>234.94</v>
      </c>
      <c r="BO503" s="78">
        <f t="shared" si="66"/>
        <v>0.25568181818181818</v>
      </c>
      <c r="BP503" s="78">
        <f t="shared" si="67"/>
        <v>0.25757575757575757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360</v>
      </c>
      <c r="Y504" s="55">
        <f t="shared" si="62"/>
        <v>360</v>
      </c>
      <c r="Z504" s="41">
        <f>IFERROR(IF(Y504=0,"",ROUNDUP(Y504/H504,0)*0.00902),"")</f>
        <v>0.67649999999999999</v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518.25</v>
      </c>
      <c r="BN504" s="78">
        <f t="shared" si="65"/>
        <v>518.25</v>
      </c>
      <c r="BO504" s="78">
        <f t="shared" si="66"/>
        <v>0.56818181818181823</v>
      </c>
      <c r="BP504" s="78">
        <f t="shared" si="67"/>
        <v>0.56818181818181823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108.75</v>
      </c>
      <c r="Y505" s="43">
        <f>IFERROR(Y496/H496,"0")+IFERROR(Y497/H497,"0")+IFERROR(Y498/H498,"0")+IFERROR(Y499/H499,"0")+IFERROR(Y500/H500,"0")+IFERROR(Y501/H501,"0")+IFERROR(Y502/H502,"0")+IFERROR(Y503/H503,"0")+IFERROR(Y504/H504,"0")</f>
        <v>109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0.98317999999999994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522</v>
      </c>
      <c r="Y506" s="43">
        <f>IFERROR(SUM(Y496:Y504),"0")</f>
        <v>523.20000000000005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360</v>
      </c>
      <c r="Y508" s="55">
        <f>IFERROR(IF(X508="",0,CEILING((X508/$H508),1)*$H508),"")</f>
        <v>364.32</v>
      </c>
      <c r="Z508" s="41">
        <f>IFERROR(IF(Y508=0,"",ROUNDUP(Y508/H508,0)*0.01196),"")</f>
        <v>0.82523999999999997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383.86363636363632</v>
      </c>
      <c r="BN508" s="78">
        <f>IFERROR(Y508*I508/H508,"0")</f>
        <v>388.46999999999997</v>
      </c>
      <c r="BO508" s="78">
        <f>IFERROR(1/J508*(X508/H508),"0")</f>
        <v>0.65559440559440552</v>
      </c>
      <c r="BP508" s="78">
        <f>IFERROR(1/J508*(Y508/H508),"0")</f>
        <v>0.66346153846153855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42</v>
      </c>
      <c r="Y510" s="55">
        <f>IFERROR(IF(X510="",0,CEILING((X510/$H510),1)*$H510),"")</f>
        <v>43.199999999999996</v>
      </c>
      <c r="Z510" s="41">
        <f>IFERROR(IF(Y510=0,"",ROUNDUP(Y510/H510,0)*0.00902),"")</f>
        <v>8.1180000000000002E-2</v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60.462500000000006</v>
      </c>
      <c r="BN510" s="78">
        <f>IFERROR(Y510*I510/H510,"0")</f>
        <v>62.190000000000005</v>
      </c>
      <c r="BO510" s="78">
        <f>IFERROR(1/J510*(X510/H510),"0")</f>
        <v>6.6287878787878785E-2</v>
      </c>
      <c r="BP510" s="78">
        <f>IFERROR(1/J510*(Y510/H510),"0")</f>
        <v>6.8181818181818177E-2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76.931818181818173</v>
      </c>
      <c r="Y511" s="43">
        <f>IFERROR(Y508/H508,"0")+IFERROR(Y509/H509,"0")+IFERROR(Y510/H510,"0")</f>
        <v>78</v>
      </c>
      <c r="Z511" s="43">
        <f>IFERROR(IF(Z508="",0,Z508),"0")+IFERROR(IF(Z509="",0,Z509),"0")+IFERROR(IF(Z510="",0,Z510),"0")</f>
        <v>0.90642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402</v>
      </c>
      <c r="Y512" s="43">
        <f>IFERROR(SUM(Y508:Y510),"0")</f>
        <v>407.52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40</v>
      </c>
      <c r="Y515" s="55">
        <f t="shared" si="68"/>
        <v>42.24</v>
      </c>
      <c r="Z515" s="41">
        <f>IFERROR(IF(Y515=0,"",ROUNDUP(Y515/H515,0)*0.01196),"")</f>
        <v>9.5680000000000001E-2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42.651515151515149</v>
      </c>
      <c r="BN515" s="78">
        <f t="shared" si="70"/>
        <v>45.04</v>
      </c>
      <c r="BO515" s="78">
        <f t="shared" si="71"/>
        <v>7.2843822843822847E-2</v>
      </c>
      <c r="BP515" s="78">
        <f t="shared" si="72"/>
        <v>7.6923076923076927E-2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250</v>
      </c>
      <c r="Y516" s="55">
        <f t="shared" si="68"/>
        <v>253.44</v>
      </c>
      <c r="Z516" s="41">
        <f>IFERROR(IF(Y516=0,"",ROUNDUP(Y516/H516,0)*0.01196),"")</f>
        <v>0.57408000000000003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266.57196969696969</v>
      </c>
      <c r="BN516" s="78">
        <f t="shared" si="70"/>
        <v>270.23999999999995</v>
      </c>
      <c r="BO516" s="78">
        <f t="shared" si="71"/>
        <v>0.45527389277389274</v>
      </c>
      <c r="BP516" s="78">
        <f t="shared" si="72"/>
        <v>0.46153846153846156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78</v>
      </c>
      <c r="Y517" s="55">
        <f t="shared" si="68"/>
        <v>81.599999999999994</v>
      </c>
      <c r="Z517" s="41">
        <f>IFERROR(IF(Y517=0,"",ROUNDUP(Y517/H517,0)*0.00902),"")</f>
        <v>0.15334</v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112.28750000000001</v>
      </c>
      <c r="BN517" s="78">
        <f t="shared" si="70"/>
        <v>117.47</v>
      </c>
      <c r="BO517" s="78">
        <f t="shared" si="71"/>
        <v>0.12310606060606061</v>
      </c>
      <c r="BP517" s="78">
        <f t="shared" si="72"/>
        <v>0.12878787878787878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180</v>
      </c>
      <c r="Y520" s="55">
        <f t="shared" si="68"/>
        <v>182.4</v>
      </c>
      <c r="Z520" s="41">
        <f>IFERROR(IF(Y520=0,"",ROUNDUP(Y520/H520,0)*0.00902),"")</f>
        <v>0.34276000000000001</v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250.125</v>
      </c>
      <c r="BN520" s="78">
        <f t="shared" si="70"/>
        <v>253.46</v>
      </c>
      <c r="BO520" s="78">
        <f t="shared" si="71"/>
        <v>0.28409090909090912</v>
      </c>
      <c r="BP520" s="78">
        <f t="shared" si="72"/>
        <v>0.2878787878787879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108.67424242424242</v>
      </c>
      <c r="Y521" s="43">
        <f>IFERROR(Y514/H514,"0")+IFERROR(Y515/H515,"0")+IFERROR(Y516/H516,"0")+IFERROR(Y517/H517,"0")+IFERROR(Y518/H518,"0")+IFERROR(Y519/H519,"0")+IFERROR(Y520/H520,"0")</f>
        <v>111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1.1658600000000001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548</v>
      </c>
      <c r="Y522" s="43">
        <f>IFERROR(SUM(Y514:Y520),"0")</f>
        <v>559.67999999999995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30</v>
      </c>
      <c r="Y526" s="55">
        <f>IFERROR(IF(X526="",0,CEILING((X526/$H526),1)*$H526),"")</f>
        <v>36</v>
      </c>
      <c r="Z526" s="41">
        <f>IFERROR(IF(Y526=0,"",ROUNDUP(Y526/H526,0)*0.01898),"")</f>
        <v>5.6940000000000004E-2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31.025000000000002</v>
      </c>
      <c r="BN526" s="78">
        <f>IFERROR(Y526*I526/H526,"0")</f>
        <v>37.229999999999997</v>
      </c>
      <c r="BO526" s="78">
        <f>IFERROR(1/J526*(X526/H526),"0")</f>
        <v>3.90625E-2</v>
      </c>
      <c r="BP526" s="78">
        <f>IFERROR(1/J526*(Y526/H526),"0")</f>
        <v>4.6875E-2</v>
      </c>
    </row>
    <row r="527" spans="1:68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2.5</v>
      </c>
      <c r="Y527" s="43">
        <f>IFERROR(Y526/H526,"0")</f>
        <v>3</v>
      </c>
      <c r="Z527" s="43">
        <f>IFERROR(IF(Z526="",0,Z526),"0")</f>
        <v>5.6940000000000004E-2</v>
      </c>
      <c r="AA527" s="67"/>
      <c r="AB527" s="67"/>
      <c r="AC527" s="67"/>
    </row>
    <row r="528" spans="1:68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30</v>
      </c>
      <c r="Y528" s="43">
        <f>IFERROR(SUM(Y526:Y526),"0")</f>
        <v>36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17287.3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17441.560000000001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18782.082784448587</v>
      </c>
      <c r="Y552" s="43">
        <f>IFERROR(SUM(BN22:BN548),"0")</f>
        <v>18947.849000000002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34</v>
      </c>
      <c r="Y553" s="44">
        <f>ROUNDUP(SUM(BP22:BP548),0)</f>
        <v>35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19632.082784448587</v>
      </c>
      <c r="Y554" s="43">
        <f>GrossWeightTotalR+PalletQtyTotalR*25</f>
        <v>19822.849000000002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4831.3044829685768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4861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40.565940000000005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53.76</v>
      </c>
      <c r="D561" s="52">
        <f>IFERROR(Y51*1,"0")+IFERROR(Y52*1,"0")+IFERROR(Y53*1,"0")+IFERROR(Y54*1,"0")</f>
        <v>508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655.20000000000005</v>
      </c>
      <c r="F561" s="52">
        <f>IFERROR(Y88*1,"0")+IFERROR(Y89*1,"0")+IFERROR(Y90*1,"0")+IFERROR(Y91*1,"0")+IFERROR(Y95*1,"0")+IFERROR(Y96*1,"0")+IFERROR(Y97*1,"0")+IFERROR(Y98*1,"0")</f>
        <v>2342.6999999999998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2737.8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181.68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1033.8599999999999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546.00000000000011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2718.6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50.46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280.8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327.59999999999997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2109.3000000000002</v>
      </c>
      <c r="U561" s="52">
        <f>IFERROR(Y415*1,"0")+IFERROR(Y416*1,"0")+IFERROR(Y417*1,"0")</f>
        <v>1226.4000000000001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1083</v>
      </c>
      <c r="W561" s="52">
        <f>IFERROR(Y452*1,"0")+IFERROR(Y453*1,"0")+IFERROR(Y457*1,"0")+IFERROR(Y461*1,"0")+IFERROR(Y462*1,"0")+IFERROR(Y463*1,"0")</f>
        <v>60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1490.4</v>
      </c>
      <c r="AA561" s="52">
        <f>IFERROR(Y526*1,"0")+IFERROR(Y530*1,"0")+IFERROR(Y534*1,"0")+IFERROR(Y538*1,"0")+IFERROR(Y542*1,"0")+IFERROR(Y543*1,"0")</f>
        <v>36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7,00"/>
        <filter val="1 155,00"/>
        <filter val="1 170,00"/>
        <filter val="1 225,00"/>
        <filter val="1 300,00"/>
        <filter val="1 340,00"/>
        <filter val="1 350,00"/>
        <filter val="1 450,00"/>
        <filter val="100,00"/>
        <filter val="104,63"/>
        <filter val="105,00"/>
        <filter val="108,67"/>
        <filter val="108,75"/>
        <filter val="109,26"/>
        <filter val="11,11"/>
        <filter val="112,00"/>
        <filter val="116,67"/>
        <filter val="118,52"/>
        <filter val="12,00"/>
        <filter val="12,50"/>
        <filter val="12,60"/>
        <filter val="120,00"/>
        <filter val="13,20"/>
        <filter val="143,20"/>
        <filter val="15,40"/>
        <filter val="150,00"/>
        <filter val="157,78"/>
        <filter val="158,33"/>
        <filter val="16,67"/>
        <filter val="161,17"/>
        <filter val="162,00"/>
        <filter val="17 287,30"/>
        <filter val="175,00"/>
        <filter val="18 782,08"/>
        <filter val="18,75"/>
        <filter val="180,00"/>
        <filter val="19 632,08"/>
        <filter val="2 227,00"/>
        <filter val="2,50"/>
        <filter val="200,00"/>
        <filter val="228,57"/>
        <filter val="24,00"/>
        <filter val="240,00"/>
        <filter val="25,00"/>
        <filter val="25,60"/>
        <filter val="250,00"/>
        <filter val="255,00"/>
        <filter val="26,67"/>
        <filter val="28,89"/>
        <filter val="280,00"/>
        <filter val="30,00"/>
        <filter val="300,00"/>
        <filter val="31,25"/>
        <filter val="320,00"/>
        <filter val="325,00"/>
        <filter val="34"/>
        <filter val="35,00"/>
        <filter val="36,40"/>
        <filter val="360,00"/>
        <filter val="363,89"/>
        <filter val="370,00"/>
        <filter val="393,33"/>
        <filter val="4 831,30"/>
        <filter val="4,63"/>
        <filter val="40,00"/>
        <filter val="400,00"/>
        <filter val="402,00"/>
        <filter val="407,47"/>
        <filter val="41,03"/>
        <filter val="42,00"/>
        <filter val="45,00"/>
        <filter val="450,00"/>
        <filter val="5,00"/>
        <filter val="50,00"/>
        <filter val="500,00"/>
        <filter val="505,00"/>
        <filter val="51,20"/>
        <filter val="512,35"/>
        <filter val="522,00"/>
        <filter val="525,00"/>
        <filter val="548,00"/>
        <filter val="57,00"/>
        <filter val="583,33"/>
        <filter val="585,00"/>
        <filter val="588,46"/>
        <filter val="6,00"/>
        <filter val="6,67"/>
        <filter val="60,00"/>
        <filter val="63,33"/>
        <filter val="650,00"/>
        <filter val="700,00"/>
        <filter val="76,93"/>
        <filter val="78,00"/>
        <filter val="8,40"/>
        <filter val="82,50"/>
        <filter val="83,33"/>
        <filter val="84,00"/>
        <filter val="85,00"/>
        <filter val="885,00"/>
        <filter val="9,00"/>
        <filter val="950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