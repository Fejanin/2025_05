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E414AA-3AFB-44C4-900D-D6B53E08CBC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BP487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Z456" i="2"/>
  <c r="Z457" i="2" s="1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P350" i="2"/>
  <c r="BO350" i="2"/>
  <c r="BM350" i="2"/>
  <c r="Y350" i="2"/>
  <c r="Z350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N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P29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H9" i="2" s="1"/>
  <c r="D7" i="2"/>
  <c r="Q6" i="2"/>
  <c r="P2" i="2"/>
  <c r="Z31" i="2" l="1"/>
  <c r="Z382" i="2"/>
  <c r="BN351" i="2"/>
  <c r="BN424" i="2"/>
  <c r="Z501" i="2"/>
  <c r="BN82" i="2"/>
  <c r="Y32" i="2"/>
  <c r="BN120" i="2"/>
  <c r="Y170" i="2"/>
  <c r="BN429" i="2"/>
  <c r="Z178" i="2"/>
  <c r="Z139" i="2"/>
  <c r="Y200" i="2"/>
  <c r="Y480" i="2"/>
  <c r="BN91" i="2"/>
  <c r="BN54" i="2"/>
  <c r="Y418" i="2"/>
  <c r="BN166" i="2"/>
  <c r="BP289" i="2"/>
  <c r="BN305" i="2"/>
  <c r="BP77" i="2"/>
  <c r="Z88" i="2"/>
  <c r="BN315" i="2"/>
  <c r="Z357" i="2"/>
  <c r="BP285" i="2"/>
  <c r="BP88" i="2"/>
  <c r="BP156" i="2"/>
  <c r="Y316" i="2"/>
  <c r="BP78" i="2"/>
  <c r="BN269" i="2"/>
  <c r="Y511" i="2"/>
  <c r="Y505" i="2"/>
  <c r="BN147" i="2"/>
  <c r="BP295" i="2"/>
  <c r="BN394" i="2"/>
  <c r="BN96" i="2"/>
  <c r="BN104" i="2"/>
  <c r="BN214" i="2"/>
  <c r="BP280" i="2"/>
  <c r="Z65" i="2"/>
  <c r="BP147" i="2"/>
  <c r="BP234" i="2"/>
  <c r="BP394" i="2"/>
  <c r="Y491" i="2"/>
  <c r="BP358" i="2"/>
  <c r="BN321" i="2"/>
  <c r="Z329" i="2"/>
  <c r="Y490" i="2"/>
  <c r="Z495" i="2"/>
  <c r="Z499" i="2"/>
  <c r="Y125" i="2"/>
  <c r="BN235" i="2"/>
  <c r="BP402" i="2"/>
  <c r="Y464" i="2"/>
  <c r="Z469" i="2"/>
  <c r="Z487" i="2"/>
  <c r="BN35" i="2"/>
  <c r="BN148" i="2"/>
  <c r="Z24" i="2"/>
  <c r="Z29" i="2"/>
  <c r="Z181" i="2"/>
  <c r="BN226" i="2"/>
  <c r="BN495" i="2"/>
  <c r="BN499" i="2"/>
  <c r="BP529" i="2"/>
  <c r="Y411" i="2"/>
  <c r="Y36" i="2"/>
  <c r="Z98" i="2"/>
  <c r="BN181" i="2"/>
  <c r="Z375" i="2"/>
  <c r="Z396" i="2"/>
  <c r="BP495" i="2"/>
  <c r="Z441" i="2"/>
  <c r="Y203" i="2"/>
  <c r="Z287" i="2"/>
  <c r="Z326" i="2"/>
  <c r="Y124" i="2"/>
  <c r="BP236" i="2"/>
  <c r="BN470" i="2"/>
  <c r="BN519" i="2"/>
  <c r="BN287" i="2"/>
  <c r="BN452" i="2"/>
  <c r="BN488" i="2"/>
  <c r="BN500" i="2"/>
  <c r="BN533" i="2"/>
  <c r="BP496" i="2"/>
  <c r="BN23" i="2"/>
  <c r="BP121" i="2"/>
  <c r="BN182" i="2"/>
  <c r="Y323" i="2"/>
  <c r="Z424" i="2"/>
  <c r="BN515" i="2"/>
  <c r="X550" i="2"/>
  <c r="BN244" i="2"/>
  <c r="Y353" i="2"/>
  <c r="BN357" i="2"/>
  <c r="BN372" i="2"/>
  <c r="Y453" i="2"/>
  <c r="BN462" i="2"/>
  <c r="Y534" i="2"/>
  <c r="Y92" i="2"/>
  <c r="BN179" i="2"/>
  <c r="Z198" i="2"/>
  <c r="Z199" i="2" s="1"/>
  <c r="BN288" i="2"/>
  <c r="BN30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81" i="2"/>
  <c r="Z302" i="2"/>
  <c r="Z336" i="2"/>
  <c r="Y352" i="2"/>
  <c r="Z371" i="2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79" i="2" l="1"/>
  <c r="Z391" i="2"/>
  <c r="Z504" i="2"/>
  <c r="Z490" i="2"/>
  <c r="Z520" i="2"/>
  <c r="Z143" i="2"/>
  <c r="Z277" i="2"/>
  <c r="Z378" i="2"/>
  <c r="Z398" i="2"/>
  <c r="Z368" i="2"/>
  <c r="Z410" i="2"/>
  <c r="Z447" i="2"/>
  <c r="Z99" i="2"/>
  <c r="Z46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<sst xmlns="http://schemas.openxmlformats.org/spreadsheetml/2006/main" count="4221" uniqueCount="909">
  <si>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</si>
  <si>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</si>
  <si>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</si>
  <si>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</si>
  <si>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</si>
  <si>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</si>
  <si>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</si>
  <si>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</si>
  <si>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</si>
  <si>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</si>
  <si>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</si>
  <si>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</si>
  <si>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</si>
  <si>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</si>
  <si>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</si>
  <si>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</si>
  <si>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</si>
  <si>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</si>
  <si>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</si>
  <si>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</si>
  <si>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</si>
  <si>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</si>
  <si>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</si>
  <si>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</si>
  <si>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</si>
  <si>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</si>
  <si>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</si>
  <si>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</si>
  <si>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</si>
  <si>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</si>
  <si>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</si>
  <si>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</si>
  <si>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</si>
  <si>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</si>
  <si>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</si>
  <si>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</si>
  <si>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</si>
  <si>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</si>
  <si>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</si>
  <si>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</si>
  <si>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</si>
  <si>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</si>
  <si>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</si>
  <si>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</si>
  <si>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</si>
  <si>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</si>
  <si>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</si>
  <si>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</si>
  <si>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</si>
  <si>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</si>
  <si>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</si>
  <si>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</si>
  <si>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</si>
  <si>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</si>
  <si>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</si>
  <si>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</si>
  <si>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</si>
  <si>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</si>
  <si>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</si>
  <si>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</si>
  <si>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</si>
  <si>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</si>
  <si>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</si>
  <si>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</si>
  <si>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</si>
  <si>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</si>
  <si>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</si>
  <si>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</si>
  <si>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</si>
  <si>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</si>
  <si>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</si>
  <si>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</si>
  <si>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</si>
  <si>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</si>
  <si>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</si>
  <si>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</si>
  <si>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</si>
  <si>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</si>
  <si>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</si>
  <si>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</si>
  <si>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</si>
  <si>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</si>
  <si>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</si>
  <si>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</si>
  <si>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</si>
  <si>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</si>
  <si>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</si>
  <si>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</si>
  <si>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</si>
  <si>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</si>
  <si>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</si>
  <si>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</si>
  <si>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</si>
  <si>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</si>
  <si>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</si>
  <si>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</si>
  <si>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</si>
  <si>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</si>
  <si>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</si>
  <si>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</si>
  <si>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</si>
  <si>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</si>
  <si>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</si>
  <si>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</si>
  <si>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</si>
  <si>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</si>
  <si>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</si>
  <si>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</si>
  <si>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</si>
  <si>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</si>
  <si>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</si>
  <si>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</si>
  <si>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</si>
  <si>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</si>
  <si>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</si>
  <si>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</si>
  <si>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</si>
  <si>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</si>
  <si>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</si>
  <si>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</si>
  <si>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</si>
  <si>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</si>
  <si>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</si>
  <si>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</si>
  <si>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</si>
  <si>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</si>
  <si>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</si>
  <si>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</si>
  <si>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</si>
  <si>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</si>
  <si>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</si>
  <si>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</si>
  <si>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</si>
  <si>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</si>
  <si>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</si>
  <si>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</si>
  <si>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</si>
  <si>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</si>
  <si>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</si>
  <si>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</si>
  <si>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</si>
  <si>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</si>
  <si>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</si>
  <si>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</si>
  <si>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</si>
  <si>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</si>
  <si>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</si>
  <si>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</si>
  <si>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</si>
  <si>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</si>
  <si>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</si>
  <si>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</si>
  <si>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</si>
  <si>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</si>
  <si>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</si>
  <si>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</si>
  <si>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</si>
  <si>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</si>
  <si>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</si>
  <si>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</si>
  <si>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</si>
  <si>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</si>
  <si>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</si>
  <si>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</si>
  <si>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</si>
  <si>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</si>
  <si>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</si>
  <si>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</si>
  <si>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</si>
  <si>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</si>
  <si>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</si>
  <si>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</si>
  <si>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</si>
  <si>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</si>
  <si>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</si>
  <si>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</si>
  <si>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</si>
  <si>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</si>
  <si>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</si>
  <si>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</si>
  <si>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</si>
  <si>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</si>
  <si>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</si>
  <si>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</si>
  <si>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</si>
  <si>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</si>
  <si>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</si>
  <si>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</si>
  <si>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</si>
  <si>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</si>
  <si>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</si>
  <si>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</si>
  <si>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</si>
  <si>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</si>
  <si>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</si>
  <si>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</si>
  <si>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</si>
  <si>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</si>
  <si>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</si>
  <si>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</si>
  <si>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</si>
  <si>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</si>
  <si>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</si>
  <si>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</si>
  <si>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</si>
  <si>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</si>
  <si>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</si>
  <si>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</si>
  <si>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</si>
  <si>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</si>
  <si>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</si>
  <si>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</si>
  <si>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</si>
  <si>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</si>
  <si>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</si>
  <si>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</si>
  <si>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</si>
  <si>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</si>
  <si>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</si>
  <si>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</si>
  <si>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</si>
  <si>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</si>
  <si>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</si>
  <si>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</si>
  <si>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</si>
  <si>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</si>
  <si>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</si>
  <si>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</si>
  <si>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</si>
  <si>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</si>
  <si>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</si>
  <si>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</si>
  <si>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</si>
  <si>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</si>
  <si>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</si>
  <si>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</si>
  <si>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</si>
  <si>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</si>
  <si>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</si>
  <si>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</si>
  <si>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</si>
  <si>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</si>
  <si>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</si>
  <si>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</si>
  <si>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</si>
  <si>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</si>
  <si>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</si>
  <si>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</si>
  <si>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</si>
  <si>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</si>
  <si>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</si>
  <si>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</si>
  <si>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</si>
  <si>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</si>
  <si>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</si>
  <si>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</si>
  <si>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</si>
  <si>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</si>
  <si>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</si>
  <si>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</si>
  <si>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</si>
  <si>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</si>
  <si>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</si>
  <si>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</si>
  <si>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</si>
  <si>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</si>
  <si>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</si>
  <si>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</si>
  <si>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</si>
  <si>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</si>
  <si>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</si>
  <si>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</si>
  <si>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</si>
  <si>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</si>
  <si>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</si>
  <si>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</si>
  <si>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</si>
  <si>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</si>
  <si>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</si>
  <si>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</si>
  <si>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</si>
  <si>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</si>
  <si>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</si>
  <si>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</si>
  <si>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</si>
  <si>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</si>
  <si>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</si>
  <si>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</si>
  <si>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</si>
  <si>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</si>
  <si>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</si>
  <si>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</si>
  <si>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</si>
  <si>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</si>
  <si>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</si>
  <si>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</si>
  <si>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</si>
  <si>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</si>
  <si>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</si>
  <si>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</si>
  <si>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</si>
  <si>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</si>
  <si>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</si>
  <si>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</si>
  <si>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</si>
  <si>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</si>
  <si>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</si>
  <si>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</si>
  <si>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</si>
  <si>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</si>
  <si>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</si>
  <si>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</si>
  <si>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</si>
  <si>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</si>
  <si>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</si>
  <si>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</si>
  <si>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</si>
  <si>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</si>
  <si>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</si>
  <si>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</si>
  <si>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</si>
  <si>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</si>
  <si>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</si>
  <si>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</si>
  <si>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</si>
  <si>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</si>
  <si>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</si>
  <si>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</si>
  <si>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</si>
  <si>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</si>
  <si>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</si>
  <si>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</si>
  <si>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</si>
  <si>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</si>
  <si>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</si>
  <si>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</si>
  <si>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</si>
  <si>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</si>
  <si>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</si>
  <si>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</si>
  <si>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</si>
  <si>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</si>
  <si>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</si>
  <si>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</si>
  <si>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</si>
  <si>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</si>
  <si>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</si>
  <si>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</si>
  <si>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</si>
  <si>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</si>
  <si>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</si>
  <si>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</si>
  <si>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</si>
  <si>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</si>
  <si>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</si>
  <si>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</si>
  <si>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</si>
  <si>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</si>
  <si>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</si>
  <si>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</si>
  <si>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</si>
  <si>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</si>
  <si>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</si>
  <si>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</si>
  <si>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</si>
  <si>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</si>
  <si>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</si>
  <si>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</si>
  <si>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</si>
  <si>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</si>
  <si>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</si>
  <si>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</si>
  <si>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</si>
  <si>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</si>
  <si>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</si>
  <si>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</si>
  <si>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</si>
  <si>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</si>
  <si>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</si>
  <si>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</si>
  <si>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</si>
  <si>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</si>
  <si>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</si>
  <si>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</si>
  <si>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</si>
  <si>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</si>
  <si>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</si>
  <si>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</si>
  <si>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</si>
  <si>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</si>
  <si>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</si>
  <si>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</si>
  <si>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</si>
  <si>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</si>
  <si>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</si>
  <si>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</si>
  <si>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</si>
  <si>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</si>
  <si>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</si>
  <si>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</si>
  <si>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</si>
  <si>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</si>
  <si>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</si>
  <si>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</si>
  <si>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</si>
  <si>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</si>
  <si>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</si>
  <si>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</si>
  <si>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</si>
  <si>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</si>
  <si>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</si>
  <si>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</si>
  <si>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</si>
  <si>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</si>
  <si>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</si>
  <si>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</si>
  <si>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</si>
  <si>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</si>
  <si>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</si>
  <si>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</si>
  <si>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</si>
  <si>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</si>
  <si>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</si>
  <si>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</si>
  <si>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</si>
  <si>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</si>
  <si>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</si>
  <si>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</si>
  <si>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</si>
  <si>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</si>
  <si>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</si>
  <si>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</si>
  <si>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</si>
  <si>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</si>
  <si>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</si>
  <si>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</si>
  <si>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</si>
  <si>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</si>
  <si>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</si>
  <si>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</si>
  <si>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</si>
  <si>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</si>
  <si>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</si>
  <si>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</si>
  <si>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</si>
  <si>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</si>
  <si>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</si>
  <si>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</si>
  <si>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</si>
  <si>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</si>
  <si>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</si>
  <si>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</si>
  <si>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</si>
  <si>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</si>
  <si>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</si>
  <si>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</si>
  <si>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</si>
  <si>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</si>
  <si>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</si>
  <si>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</si>
  <si>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</si>
  <si>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</si>
  <si>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</si>
  <si>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</si>
  <si>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</si>
  <si>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</si>
  <si>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</si>
  <si>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</si>
  <si>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</si>
  <si>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</si>
  <si>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</si>
  <si>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</si>
  <si>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</si>
  <si>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</si>
  <si>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</si>
  <si>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</si>
  <si>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</si>
  <si>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</si>
  <si>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</si>
  <si>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</si>
  <si>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</si>
  <si>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</si>
  <si>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</si>
  <si>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</si>
  <si>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</si>
  <si>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</si>
  <si>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</si>
  <si>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</si>
  <si>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</si>
  <si>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</si>
  <si>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</si>
  <si>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</si>
  <si>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</si>
  <si>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</si>
  <si>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</si>
  <si>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</si>
  <si>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</si>
  <si>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</si>
  <si>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</si>
  <si>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</si>
  <si>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</si>
  <si>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</si>
  <si>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</si>
  <si>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</si>
  <si>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</si>
  <si>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</si>
  <si>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</si>
  <si>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</si>
  <si>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</si>
  <si>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</si>
  <si>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</si>
  <si>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</si>
  <si>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</si>
  <si>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</si>
  <si>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</si>
  <si>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</si>
  <si>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</si>
  <si>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</si>
  <si>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</si>
  <si>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</si>
  <si>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</si>
  <si>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</si>
  <si>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</si>
  <si>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</si>
  <si>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</si>
  <si>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</si>
  <si>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</si>
  <si>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</si>
  <si>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</si>
  <si>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</si>
  <si>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</si>
  <si>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</si>
  <si>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</si>
  <si>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</si>
  <si>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</si>
  <si>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</si>
  <si>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</si>
  <si>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</si>
  <si>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</si>
  <si>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</si>
  <si>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</si>
  <si>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</si>
  <si>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</si>
  <si>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</si>
  <si>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</si>
  <si>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</si>
  <si>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</si>
  <si>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</si>
  <si>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</si>
  <si>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</si>
  <si>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</si>
  <si>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</si>
  <si>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</si>
  <si>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</si>
  <si>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</si>
  <si>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</si>
  <si>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</si>
  <si>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</si>
  <si>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</si>
  <si>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</si>
  <si>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</si>
  <si>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</si>
  <si>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</si>
  <si>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</si>
  <si>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</si>
  <si>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</si>
  <si>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</si>
  <si>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</si>
  <si>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</si>
  <si>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</si>
  <si>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</si>
  <si>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</si>
  <si>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</si>
  <si>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</si>
  <si>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</si>
  <si>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</si>
  <si>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</si>
  <si>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</si>
  <si>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</si>
  <si>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</si>
  <si>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</si>
  <si>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</si>
  <si>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</si>
  <si>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</si>
  <si>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</si>
  <si>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</si>
  <si>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</si>
  <si>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</si>
  <si>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</si>
  <si>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</si>
  <si>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</si>
  <si>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</si>
  <si>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</si>
  <si>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</si>
  <si>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</si>
  <si>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</si>
  <si>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</si>
  <si>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</si>
  <si>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</si>
  <si>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</si>
  <si>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</si>
  <si>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</si>
  <si>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</si>
  <si>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</si>
  <si>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</si>
  <si>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</si>
  <si>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</si>
  <si>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</si>
  <si>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</si>
  <si>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</si>
  <si>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</si>
  <si>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</si>
  <si>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</si>
  <si>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</si>
  <si>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</si>
  <si>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</si>
  <si>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</si>
  <si>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</si>
  <si>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</si>
  <si>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</si>
  <si>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</si>
  <si>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</si>
  <si>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</si>
  <si>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</si>
  <si>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</si>
  <si>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</si>
  <si>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</si>
  <si>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</si>
  <si>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</si>
  <si>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</si>
  <si>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</si>
  <si>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</si>
  <si>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</si>
  <si>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</si>
  <si>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</si>
  <si>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</si>
  <si>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</si>
  <si>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</si>
  <si>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</si>
  <si>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</si>
  <si>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</si>
  <si>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</si>
  <si>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</si>
  <si>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</si>
  <si>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</si>
  <si>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</si>
  <si>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</si>
  <si>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</si>
  <si>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</si>
  <si>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</si>
  <si>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</si>
  <si>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</si>
  <si>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</si>
  <si>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</si>
  <si>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</si>
  <si>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</si>
  <si>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</si>
  <si>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</si>
  <si>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</si>
  <si>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</si>
  <si>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</si>
  <si>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</si>
  <si>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</si>
  <si>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</si>
  <si>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</si>
  <si>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</si>
  <si>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</si>
  <si>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</si>
  <si>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</si>
  <si>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</si>
  <si>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</si>
  <si>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</si>
  <si>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</si>
  <si>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</si>
  <si>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</si>
  <si>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</si>
  <si>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</si>
  <si>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</si>
  <si>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</si>
  <si>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</si>
  <si>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</si>
  <si>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</si>
  <si>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</si>
  <si>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</si>
  <si>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</si>
  <si>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</si>
  <si>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</si>
  <si>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</si>
  <si>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</si>
  <si>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</si>
  <si>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</si>
  <si>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</si>
  <si>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</si>
  <si>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</si>
  <si>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</si>
  <si>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</si>
  <si>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</si>
  <si>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</si>
  <si>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</si>
  <si>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</si>
  <si>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</si>
  <si>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</si>
  <si>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</si>
  <si>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</si>
  <si>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</si>
  <si>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</si>
  <si>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</si>
  <si>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</si>
  <si>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</si>
  <si>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</si>
  <si>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</si>
  <si>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</si>
  <si>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</si>
  <si>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</si>
  <si>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</si>
  <si>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</si>
  <si>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</si>
  <si>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</si>
  <si>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</si>
  <si>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</si>
  <si>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</si>
  <si>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</si>
  <si>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</si>
  <si>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</si>
  <si>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</si>
  <si>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</si>
  <si>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</si>
  <si>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</si>
  <si>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</si>
  <si>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</si>
  <si>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</si>
  <si>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</si>
  <si>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</si>
  <si>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</si>
  <si>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</si>
  <si>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</si>
  <si>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</si>
  <si>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</si>
  <si>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</si>
  <si>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</si>
  <si>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</si>
  <si>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</si>
  <si>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</si>
  <si>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</si>
  <si>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</si>
  <si>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</si>
  <si>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</si>
  <si>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</si>
  <si>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</si>
  <si>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</si>
  <si>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</si>
  <si>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</si>
  <si>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</si>
  <si>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</si>
  <si>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</si>
  <si>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</si>
  <si>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</si>
  <si>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</si>
  <si>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</si>
  <si>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</si>
  <si>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</si>
  <si>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</si>
  <si>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</si>
  <si>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</si>
  <si>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</si>
  <si>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</si>
  <si>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</si>
  <si>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</si>
  <si>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</si>
  <si>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</si>
  <si>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</si>
  <si>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</si>
  <si>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</si>
  <si>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</si>
  <si>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</si>
  <si>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</si>
  <si>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</si>
  <si>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</si>
  <si>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</si>
  <si>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</si>
  <si>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</si>
  <si>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</si>
  <si>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</si>
  <si>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</si>
  <si>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</si>
  <si>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</si>
  <si>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</si>
  <si>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</si>
  <si>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</si>
  <si>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</si>
  <si>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</si>
  <si>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</si>
  <si>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</si>
  <si>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</si>
  <si>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</si>
  <si>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</si>
  <si>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</si>
  <si>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</si>
  <si>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</si>
  <si>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</si>
  <si>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</si>
  <si>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</si>
  <si>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</si>
  <si>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</si>
  <si>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</si>
  <si>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</si>
  <si>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</si>
  <si>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</si>
  <si>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</si>
  <si>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</si>
  <si>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</si>
  <si>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</si>
  <si>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</si>
  <si>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</si>
  <si>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</si>
  <si>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</si>
  <si>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</si>
  <si>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</si>
  <si>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</si>
  <si>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</si>
  <si>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</si>
  <si>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</si>
  <si>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</si>
  <si>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</si>
  <si>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</si>
  <si>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</si>
  <si>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</si>
  <si>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</si>
  <si>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</si>
  <si>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</si>
  <si>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</si>
  <si>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</si>
  <si>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</si>
  <si>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</si>
  <si>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</si>
  <si>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</si>
  <si>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</si>
  <si>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</si>
  <si>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</si>
  <si>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</si>
  <si>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</si>
  <si>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</si>
  <si>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</si>
  <si>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</si>
  <si>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</si>
  <si>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</si>
  <si>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</si>
  <si>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</si>
  <si>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</si>
  <si>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</si>
  <si>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</si>
  <si>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</si>
  <si>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</si>
  <si>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</si>
  <si>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</si>
  <si>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</si>
  <si>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</si>
  <si>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</si>
  <si>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</si>
  <si>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</si>
  <si>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</si>
  <si>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</si>
  <si>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</si>
  <si>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</si>
  <si>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</si>
  <si>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</si>
  <si>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</si>
  <si>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</si>
  <si>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</si>
  <si>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</si>
  <si>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</si>
  <si>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</si>
  <si>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</si>
  <si>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</si>
  <si>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</si>
  <si>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</si>
  <si>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</si>
  <si>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</si>
  <si>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</si>
  <si>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</si>
  <si>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</si>
  <si>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</si>
  <si>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</si>
  <si>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</si>
  <si>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</si>
  <si>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</si>
  <si>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</si>
  <si>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</si>
  <si>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</si>
  <si>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</si>
  <si>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</si>
  <si>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</si>
  <si>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</si>
  <si>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</si>
  <si>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</si>
  <si>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</si>
  <si>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</si>
  <si>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</si>
  <si>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</si>
  <si>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</si>
  <si>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</si>
  <si>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</si>
  <si>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</si>
  <si>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</si>
  <si>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</si>
  <si>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</si>
  <si>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</si>
  <si>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</si>
  <si>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6283297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</si>
</sst>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66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67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 t="s">
        <v>908</v>
      </c>
      <c r="I5" s="986"/>
      <c r="J5" s="986"/>
      <c r="K5" s="986"/>
      <c r="L5" s="986"/>
      <c r="M5" s="986"/>
      <c r="N5" s="69"/>
      <c r="P5" s="26" t="s">
        <v>4</v>
      </c>
      <c r="Q5" s="988">
        <v>46236</v>
      </c>
      <c r="R5" s="988"/>
      <c r="T5" s="989" t="s">
        <v>3</v>
      </c>
      <c r="U5" s="990"/>
      <c r="V5" s="991" t="s">
        <v>867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 t="s">
        <v>883</v>
      </c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Воскресенье</v>
      </c>
      <c r="R6" s="966"/>
      <c r="T6" s="967" t="s">
        <v>5</v>
      </c>
      <c r="U6" s="968"/>
      <c r="V6" s="969" t="s">
        <v>69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 t="str">
        <f>IFERROR(VLOOKUP(DeliveryAddress,Table,3,0),1)</f>
        <v>6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57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70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907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71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72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73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74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60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58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65</v>
      </c>
      <c r="L17" s="925" t="s">
        <v>63</v>
      </c>
      <c r="M17" s="925" t="s">
        <v>2</v>
      </c>
      <c r="N17" s="925" t="s">
        <v>62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55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59</v>
      </c>
      <c r="AB17" s="931" t="s">
        <v>19</v>
      </c>
      <c r="AC17" s="931" t="s">
        <v>64</v>
      </c>
      <c r="AD17" s="933" t="s">
        <v>56</v>
      </c>
      <c r="AE17" s="934"/>
      <c r="AF17" s="935"/>
      <c r="AG17" s="77"/>
      <c r="BD17" s="76" t="s">
        <v>61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hidden="1" customHeight="1" x14ac:dyDescent="0.2">
      <c r="A19" s="655" t="s">
        <v>75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hidden="1" customHeight="1" x14ac:dyDescent="0.25">
      <c r="A20" s="648" t="s">
        <v>75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hidden="1" customHeight="1" x14ac:dyDescent="0.25">
      <c r="A21" s="649" t="s">
        <v>76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9" t="s">
        <v>85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49" t="s">
        <v>103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hidden="1" customHeight="1" x14ac:dyDescent="0.25">
      <c r="A39" s="648" t="s">
        <v>109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hidden="1" customHeight="1" x14ac:dyDescent="0.25">
      <c r="A40" s="649" t="s">
        <v>85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5" t="s">
        <v>125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hidden="1" customHeight="1" x14ac:dyDescent="0.25">
      <c r="A49" s="648" t="s">
        <v>126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hidden="1" customHeight="1" x14ac:dyDescent="0.25">
      <c r="A50" s="649" t="s">
        <v>127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48" t="s">
        <v>142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hidden="1" customHeight="1" x14ac:dyDescent="0.25">
      <c r="A58" s="649" t="s">
        <v>127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49" t="s">
        <v>163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49" t="s">
        <v>85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9" t="s">
        <v>180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8" t="s">
        <v>187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hidden="1" customHeight="1" x14ac:dyDescent="0.25">
      <c r="A87" s="649" t="s">
        <v>127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49" t="s">
        <v>85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48" t="s">
        <v>208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hidden="1" customHeight="1" x14ac:dyDescent="0.25">
      <c r="A102" s="649" t="s">
        <v>127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9" t="s">
        <v>163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9" t="s">
        <v>85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9" t="s">
        <v>180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8" t="s">
        <v>247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hidden="1" customHeight="1" x14ac:dyDescent="0.25">
      <c r="A131" s="649" t="s">
        <v>127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49" t="s">
        <v>76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49" t="s">
        <v>85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48" t="s">
        <v>275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hidden="1" customHeight="1" x14ac:dyDescent="0.25">
      <c r="A153" s="649" t="s">
        <v>85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49" t="s">
        <v>103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48" t="s">
        <v>125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hidden="1" customHeight="1" x14ac:dyDescent="0.25">
      <c r="A165" s="649" t="s">
        <v>127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49" t="s">
        <v>163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49" t="s">
        <v>304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49" t="s">
        <v>76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49" t="s">
        <v>85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9" t="s">
        <v>103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49" t="s">
        <v>353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5" t="s">
        <v>357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hidden="1" customHeight="1" x14ac:dyDescent="0.25">
      <c r="A206" s="648" t="s">
        <v>358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hidden="1" customHeight="1" x14ac:dyDescent="0.25">
      <c r="A207" s="649" t="s">
        <v>127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48" t="s">
        <v>379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hidden="1" customHeight="1" x14ac:dyDescent="0.25">
      <c r="A218" s="649" t="s">
        <v>163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49" t="s">
        <v>76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49" t="s">
        <v>85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49" t="s">
        <v>103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49" t="s">
        <v>443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48" t="s">
        <v>446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hidden="1" customHeight="1" x14ac:dyDescent="0.25">
      <c r="A258" s="649" t="s">
        <v>127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9" t="s">
        <v>163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49" t="s">
        <v>76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49" t="s">
        <v>85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49" t="s">
        <v>180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48" t="s">
        <v>514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hidden="1" customHeight="1" x14ac:dyDescent="0.25">
      <c r="A300" s="649" t="s">
        <v>127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49" t="s">
        <v>163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49" t="s">
        <v>536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49" t="s">
        <v>353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48" t="s">
        <v>547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hidden="1" customHeight="1" x14ac:dyDescent="0.25">
      <c r="A325" s="649" t="s">
        <v>127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48" t="s">
        <v>563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hidden="1" customHeight="1" x14ac:dyDescent="0.25">
      <c r="A334" s="649" t="s">
        <v>85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48" t="s">
        <v>572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hidden="1" customHeight="1" x14ac:dyDescent="0.25">
      <c r="A341" s="649" t="s">
        <v>76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49" t="s">
        <v>85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48" t="s">
        <v>593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hidden="1" customHeight="1" x14ac:dyDescent="0.25">
      <c r="A355" s="649" t="s">
        <v>127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48" t="s">
        <v>602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hidden="1" customHeight="1" x14ac:dyDescent="0.25">
      <c r="A362" s="649" t="s">
        <v>127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49" t="s">
        <v>76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649" t="s">
        <v>85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49" t="s">
        <v>180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649" t="s">
        <v>103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49" t="s">
        <v>665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49" t="s">
        <v>674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48" t="s">
        <v>683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hidden="1" customHeight="1" x14ac:dyDescent="0.25">
      <c r="A413" s="649" t="s">
        <v>85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55" t="s">
        <v>693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hidden="1" customHeight="1" x14ac:dyDescent="0.25">
      <c r="A420" s="648" t="s">
        <v>694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hidden="1" customHeight="1" x14ac:dyDescent="0.25">
      <c r="A421" s="649" t="s">
        <v>127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240</v>
      </c>
      <c r="Y423" s="53">
        <f t="shared" si="47"/>
        <v>240</v>
      </c>
      <c r="Z423" s="39">
        <f>IFERROR(IF(Y423=0,"",ROUNDUP(Y423/H423,0)*0.02175),"")</f>
        <v>0.34799999999999998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247.52</v>
      </c>
      <c r="BN423" s="75">
        <f t="shared" si="49"/>
        <v>247.52</v>
      </c>
      <c r="BO423" s="75">
        <f t="shared" si="50"/>
        <v>0.33333333333333331</v>
      </c>
      <c r="BP423" s="75">
        <f t="shared" si="51"/>
        <v>0.33333333333333331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630</v>
      </c>
      <c r="Y425" s="53">
        <f t="shared" si="47"/>
        <v>630</v>
      </c>
      <c r="Z425" s="39">
        <f>IFERROR(IF(Y425=0,"",ROUNDUP(Y425/H425,0)*0.02175),"")</f>
        <v>0.91349999999999998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649.74</v>
      </c>
      <c r="BN425" s="75">
        <f t="shared" si="49"/>
        <v>649.74</v>
      </c>
      <c r="BO425" s="75">
        <f t="shared" si="50"/>
        <v>0.875</v>
      </c>
      <c r="BP425" s="75">
        <f t="shared" si="51"/>
        <v>0.875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300</v>
      </c>
      <c r="Y426" s="53">
        <f t="shared" si="47"/>
        <v>300</v>
      </c>
      <c r="Z426" s="39">
        <f>IFERROR(IF(Y426=0,"",ROUNDUP(Y426/H426,0)*0.02175),"")</f>
        <v>0.43499999999999994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309.39999999999998</v>
      </c>
      <c r="BN426" s="75">
        <f t="shared" si="49"/>
        <v>309.39999999999998</v>
      </c>
      <c r="BO426" s="75">
        <f t="shared" si="50"/>
        <v>0.41666666666666663</v>
      </c>
      <c r="BP426" s="75">
        <f t="shared" si="51"/>
        <v>0.41666666666666663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78</v>
      </c>
      <c r="Y430" s="41">
        <f>IFERROR(Y422/H422,"0")+IFERROR(Y423/H423,"0")+IFERROR(Y424/H424,"0")+IFERROR(Y425/H425,"0")+IFERROR(Y426/H426,"0")+IFERROR(Y427/H427,"0")+IFERROR(Y428/H428,"0")+IFERROR(Y429/H429,"0")</f>
        <v>78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1.6964999999999999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1170</v>
      </c>
      <c r="Y431" s="41">
        <f>IFERROR(SUM(Y422:Y429),"0")</f>
        <v>1170</v>
      </c>
      <c r="Z431" s="40"/>
      <c r="AA431" s="64"/>
      <c r="AB431" s="64"/>
      <c r="AC431" s="64"/>
    </row>
    <row r="432" spans="1:68" ht="14.25" hidden="1" customHeight="1" x14ac:dyDescent="0.25">
      <c r="A432" s="649" t="s">
        <v>163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49" t="s">
        <v>85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649" t="s">
        <v>180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48" t="s">
        <v>743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hidden="1" customHeight="1" x14ac:dyDescent="0.25">
      <c r="A450" s="649" t="s">
        <v>127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49" t="s">
        <v>76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9" t="s">
        <v>85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55" t="s">
        <v>759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hidden="1" customHeight="1" x14ac:dyDescent="0.25">
      <c r="A466" s="648" t="s">
        <v>760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hidden="1" customHeight="1" x14ac:dyDescent="0.25">
      <c r="A467" s="649" t="s">
        <v>76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49" t="s">
        <v>85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648" t="s">
        <v>783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hidden="1" customHeight="1" x14ac:dyDescent="0.25">
      <c r="A482" s="649" t="s">
        <v>163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49" t="s">
        <v>76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55" t="s">
        <v>795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hidden="1" customHeight="1" x14ac:dyDescent="0.25">
      <c r="A493" s="648" t="s">
        <v>795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hidden="1" customHeight="1" x14ac:dyDescent="0.25">
      <c r="A494" s="649" t="s">
        <v>127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649" t="s">
        <v>163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49" t="s">
        <v>76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55" t="s">
        <v>842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hidden="1" customHeight="1" x14ac:dyDescent="0.25">
      <c r="A523" s="648" t="s">
        <v>842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hidden="1" customHeight="1" x14ac:dyDescent="0.25">
      <c r="A524" s="649" t="s">
        <v>127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49" t="s">
        <v>163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9" t="s">
        <v>76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9" t="s">
        <v>85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9" t="s">
        <v>180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648" t="s">
        <v>861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hidden="1" customHeight="1" x14ac:dyDescent="0.25">
      <c r="A546" s="649" t="s">
        <v>163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1170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1170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1206.6599999999999</v>
      </c>
      <c r="Y551" s="41">
        <f>IFERROR(SUM(BN22:BN547),"0")</f>
        <v>1206.6599999999999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2</v>
      </c>
      <c r="Y552" s="42">
        <f>ROUNDUP(SUM(BP22:BP547),0)</f>
        <v>2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1256.6599999999999</v>
      </c>
      <c r="Y553" s="41">
        <f>GrossWeightTotalR+PalletQtyTotalR*25</f>
        <v>1256.6599999999999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78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78</v>
      </c>
      <c r="Z554" s="40"/>
      <c r="AA554" s="64"/>
      <c r="AB554" s="64"/>
      <c r="AC554" s="64"/>
    </row>
    <row r="555" spans="1:68" ht="14.25" hidden="1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1.6964999999999999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631" t="s">
        <v>125</v>
      </c>
      <c r="E557" s="631" t="s">
        <v>125</v>
      </c>
      <c r="F557" s="631" t="s">
        <v>125</v>
      </c>
      <c r="G557" s="631" t="s">
        <v>125</v>
      </c>
      <c r="H557" s="631" t="s">
        <v>125</v>
      </c>
      <c r="I557" s="631" t="s">
        <v>125</v>
      </c>
      <c r="J557" s="631" t="s">
        <v>125</v>
      </c>
      <c r="K557" s="631" t="s">
        <v>357</v>
      </c>
      <c r="L557" s="631" t="s">
        <v>357</v>
      </c>
      <c r="M557" s="631" t="s">
        <v>357</v>
      </c>
      <c r="N557" s="632"/>
      <c r="O557" s="631" t="s">
        <v>357</v>
      </c>
      <c r="P557" s="631" t="s">
        <v>357</v>
      </c>
      <c r="Q557" s="631" t="s">
        <v>357</v>
      </c>
      <c r="R557" s="631" t="s">
        <v>357</v>
      </c>
      <c r="S557" s="631" t="s">
        <v>357</v>
      </c>
      <c r="T557" s="631" t="s">
        <v>357</v>
      </c>
      <c r="U557" s="631" t="s">
        <v>357</v>
      </c>
      <c r="V557" s="631" t="s">
        <v>693</v>
      </c>
      <c r="W557" s="631" t="s">
        <v>693</v>
      </c>
      <c r="X557" s="631" t="s">
        <v>759</v>
      </c>
      <c r="Y557" s="631" t="s">
        <v>759</v>
      </c>
      <c r="Z557" s="80" t="s">
        <v>795</v>
      </c>
      <c r="AA557" s="631" t="s">
        <v>842</v>
      </c>
      <c r="AB557" s="631" t="s">
        <v>842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75</v>
      </c>
      <c r="C558" s="631" t="s">
        <v>109</v>
      </c>
      <c r="D558" s="631" t="s">
        <v>126</v>
      </c>
      <c r="E558" s="631" t="s">
        <v>142</v>
      </c>
      <c r="F558" s="631" t="s">
        <v>187</v>
      </c>
      <c r="G558" s="631" t="s">
        <v>208</v>
      </c>
      <c r="H558" s="631" t="s">
        <v>247</v>
      </c>
      <c r="I558" s="631" t="s">
        <v>275</v>
      </c>
      <c r="J558" s="631" t="s">
        <v>125</v>
      </c>
      <c r="K558" s="631" t="s">
        <v>358</v>
      </c>
      <c r="L558" s="631" t="s">
        <v>379</v>
      </c>
      <c r="M558" s="631" t="s">
        <v>446</v>
      </c>
      <c r="N558" s="1"/>
      <c r="O558" s="631" t="s">
        <v>514</v>
      </c>
      <c r="P558" s="631" t="s">
        <v>547</v>
      </c>
      <c r="Q558" s="631" t="s">
        <v>563</v>
      </c>
      <c r="R558" s="631" t="s">
        <v>572</v>
      </c>
      <c r="S558" s="631" t="s">
        <v>593</v>
      </c>
      <c r="T558" s="631" t="s">
        <v>602</v>
      </c>
      <c r="U558" s="631" t="s">
        <v>683</v>
      </c>
      <c r="V558" s="631" t="s">
        <v>694</v>
      </c>
      <c r="W558" s="631" t="s">
        <v>743</v>
      </c>
      <c r="X558" s="631" t="s">
        <v>760</v>
      </c>
      <c r="Y558" s="631" t="s">
        <v>783</v>
      </c>
      <c r="Z558" s="631" t="s">
        <v>795</v>
      </c>
      <c r="AA558" s="631" t="s">
        <v>842</v>
      </c>
      <c r="AB558" s="631" t="s">
        <v>861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1170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0,00"/>
        <filter val="1 206,66"/>
        <filter val="1 256,66"/>
        <filter val="2"/>
        <filter val="240,00"/>
        <filter val="300,00"/>
        <filter val="630,00"/>
        <filter val="78,00"/>
      </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