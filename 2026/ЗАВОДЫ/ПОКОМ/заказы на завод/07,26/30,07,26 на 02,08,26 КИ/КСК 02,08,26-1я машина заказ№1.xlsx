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C63E871-0610-46AA-BB8C-1EA3F6662CB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Z526" i="2"/>
  <c r="Z527" i="2" s="1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Z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Y323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P236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Z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J9" i="2" s="1"/>
  <c r="D7" i="2"/>
  <c r="Q6" i="2"/>
  <c r="P2" i="2"/>
  <c r="BN155" i="2" l="1"/>
  <c r="BN231" i="2"/>
  <c r="Y262" i="2"/>
  <c r="BN264" i="2"/>
  <c r="BN368" i="2"/>
  <c r="BN429" i="2"/>
  <c r="BN457" i="2"/>
  <c r="BN470" i="2"/>
  <c r="BN30" i="2"/>
  <c r="Z31" i="2"/>
  <c r="Y79" i="2"/>
  <c r="BN82" i="2"/>
  <c r="Z90" i="2"/>
  <c r="Z167" i="2"/>
  <c r="BN214" i="2"/>
  <c r="BN288" i="2"/>
  <c r="Z302" i="2"/>
  <c r="Z364" i="2"/>
  <c r="BN364" i="2"/>
  <c r="BN463" i="2"/>
  <c r="BN515" i="2"/>
  <c r="Y532" i="2"/>
  <c r="Z356" i="2"/>
  <c r="BN186" i="2"/>
  <c r="Z273" i="2"/>
  <c r="BN424" i="2"/>
  <c r="BN416" i="2"/>
  <c r="BN148" i="2"/>
  <c r="Z270" i="2"/>
  <c r="BN389" i="2"/>
  <c r="BN517" i="2"/>
  <c r="Z504" i="2"/>
  <c r="BN498" i="2"/>
  <c r="BN473" i="2"/>
  <c r="BN472" i="2"/>
  <c r="Z472" i="2"/>
  <c r="Z457" i="2"/>
  <c r="Z458" i="2" s="1"/>
  <c r="Y458" i="2"/>
  <c r="BN446" i="2"/>
  <c r="BN441" i="2"/>
  <c r="Z428" i="2"/>
  <c r="BP428" i="2"/>
  <c r="Z425" i="2"/>
  <c r="Y412" i="2"/>
  <c r="Z402" i="2"/>
  <c r="BN402" i="2"/>
  <c r="BN396" i="2"/>
  <c r="BN383" i="2"/>
  <c r="BN374" i="2"/>
  <c r="BN373" i="2"/>
  <c r="BP363" i="2"/>
  <c r="BN358" i="2"/>
  <c r="Y360" i="2"/>
  <c r="BN351" i="2"/>
  <c r="Z346" i="2"/>
  <c r="Z336" i="2"/>
  <c r="Z328" i="2"/>
  <c r="Z320" i="2"/>
  <c r="Z304" i="2"/>
  <c r="BP304" i="2"/>
  <c r="Z290" i="2"/>
  <c r="BN290" i="2"/>
  <c r="BN284" i="2"/>
  <c r="BP283" i="2"/>
  <c r="Z283" i="2"/>
  <c r="Z280" i="2"/>
  <c r="BN274" i="2"/>
  <c r="BP273" i="2"/>
  <c r="Z264" i="2"/>
  <c r="BN259" i="2"/>
  <c r="Z250" i="2"/>
  <c r="Z244" i="2"/>
  <c r="BN235" i="2"/>
  <c r="Z231" i="2"/>
  <c r="Z230" i="2"/>
  <c r="BN226" i="2"/>
  <c r="BN209" i="2"/>
  <c r="Y204" i="2"/>
  <c r="Z192" i="2"/>
  <c r="BP187" i="2"/>
  <c r="BP185" i="2"/>
  <c r="Z185" i="2"/>
  <c r="Z182" i="2"/>
  <c r="Z173" i="2"/>
  <c r="Z157" i="2"/>
  <c r="Y158" i="2"/>
  <c r="Y137" i="2"/>
  <c r="Z134" i="2"/>
  <c r="Z132" i="2"/>
  <c r="BN132" i="2"/>
  <c r="Y128" i="2"/>
  <c r="BP127" i="2"/>
  <c r="Z122" i="2"/>
  <c r="BN120" i="2"/>
  <c r="BN115" i="2"/>
  <c r="Z113" i="2"/>
  <c r="BN106" i="2"/>
  <c r="F561" i="2"/>
  <c r="BN77" i="2"/>
  <c r="BN72" i="2"/>
  <c r="BN61" i="2"/>
  <c r="Z59" i="2"/>
  <c r="Y55" i="2"/>
  <c r="Z43" i="2"/>
  <c r="Y37" i="2"/>
  <c r="BP35" i="2"/>
  <c r="Z35" i="2"/>
  <c r="Z36" i="2" s="1"/>
  <c r="BN28" i="2"/>
  <c r="X555" i="2"/>
  <c r="Y25" i="2"/>
  <c r="Z22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Z158" i="2" s="1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69" i="2" s="1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75" i="2" s="1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36" i="2" l="1"/>
  <c r="Z215" i="2"/>
  <c r="Z245" i="2"/>
  <c r="Z418" i="2"/>
  <c r="Z405" i="2"/>
  <c r="Z386" i="2"/>
  <c r="Z338" i="2"/>
  <c r="Z292" i="2"/>
  <c r="Z277" i="2"/>
  <c r="Z150" i="2"/>
  <c r="Z117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<sst xmlns="http://schemas.openxmlformats.org/spreadsheetml/2006/main" count="4194" uniqueCount="891">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</sst>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5" sqref="AA4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46236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872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Воскресенье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0.375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16</v>
      </c>
      <c r="Y45" s="55">
        <f>IFERROR(IF(X45="",0,CEILING((X45/$H45),1)*$H45),"")</f>
        <v>17.28</v>
      </c>
      <c r="Z45" s="41">
        <f>IFERROR(IF(Y45=0,"",ROUNDUP(Y45/H45,0)*0.00651),"")</f>
        <v>5.8590000000000003E-2</v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17.5</v>
      </c>
      <c r="BN45" s="78">
        <f>IFERROR(Y45*I45/H45,"0")</f>
        <v>18.900000000000002</v>
      </c>
      <c r="BO45" s="78">
        <f>IFERROR(1/J45*(X45/H45),"0")</f>
        <v>4.5787545787545791E-2</v>
      </c>
      <c r="BP45" s="78">
        <f>IFERROR(1/J45*(Y45/H45),"0")</f>
        <v>4.9450549450549462E-2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8.3333333333333339</v>
      </c>
      <c r="Y46" s="43">
        <f>IFERROR(Y41/H41,"0")+IFERROR(Y42/H42,"0")+IFERROR(Y43/H43,"0")+IFERROR(Y44/H44,"0")+IFERROR(Y45/H45,"0")</f>
        <v>9.0000000000000018</v>
      </c>
      <c r="Z46" s="43">
        <f>IFERROR(IF(Z41="",0,Z41),"0")+IFERROR(IF(Z42="",0,Z42),"0")+IFERROR(IF(Z43="",0,Z43),"0")+IFERROR(IF(Z44="",0,Z44),"0")+IFERROR(IF(Z45="",0,Z45),"0")</f>
        <v>5.8590000000000003E-2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16</v>
      </c>
      <c r="Y47" s="43">
        <f>IFERROR(SUM(Y41:Y45),"0")</f>
        <v>17.28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200</v>
      </c>
      <c r="Y53" s="55">
        <f>IFERROR(IF(X53="",0,CEILING((X53/$H53),1)*$H53),"")</f>
        <v>200</v>
      </c>
      <c r="Z53" s="41">
        <f>IFERROR(IF(Y53=0,"",ROUNDUP(Y53/H53,0)*0.00902),"")</f>
        <v>0.45100000000000001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209.50000000000003</v>
      </c>
      <c r="BN53" s="78">
        <f>IFERROR(Y53*I53/H53,"0")</f>
        <v>209.50000000000003</v>
      </c>
      <c r="BO53" s="78">
        <f>IFERROR(1/J53*(X53/H53),"0")</f>
        <v>0.37878787878787878</v>
      </c>
      <c r="BP53" s="78">
        <f>IFERROR(1/J53*(Y53/H53),"0")</f>
        <v>0.37878787878787878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50</v>
      </c>
      <c r="Y55" s="43">
        <f>IFERROR(Y51/H51,"0")+IFERROR(Y52/H52,"0")+IFERROR(Y53/H53,"0")+IFERROR(Y54/H54,"0")</f>
        <v>50</v>
      </c>
      <c r="Z55" s="43">
        <f>IFERROR(IF(Z51="",0,Z51),"0")+IFERROR(IF(Z52="",0,Z52),"0")+IFERROR(IF(Z53="",0,Z53),"0")+IFERROR(IF(Z54="",0,Z54),"0")</f>
        <v>0.45100000000000001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200</v>
      </c>
      <c r="Y56" s="43">
        <f>IFERROR(SUM(Y51:Y54),"0")</f>
        <v>200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300</v>
      </c>
      <c r="Y61" s="55">
        <f t="shared" si="0"/>
        <v>302.40000000000003</v>
      </c>
      <c r="Z61" s="41">
        <f>IFERROR(IF(Y61=0,"",ROUNDUP(Y61/H61,0)*0.01898),"")</f>
        <v>0.53144000000000002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311.38888888888891</v>
      </c>
      <c r="BN61" s="78">
        <f t="shared" si="2"/>
        <v>313.88</v>
      </c>
      <c r="BO61" s="78">
        <f t="shared" si="3"/>
        <v>0.43402777777777773</v>
      </c>
      <c r="BP61" s="78">
        <f t="shared" si="4"/>
        <v>0.4375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27.777777777777775</v>
      </c>
      <c r="Y67" s="43">
        <f>IFERROR(Y59/H59,"0")+IFERROR(Y60/H60,"0")+IFERROR(Y61/H61,"0")+IFERROR(Y62/H62,"0")+IFERROR(Y63/H63,"0")+IFERROR(Y64/H64,"0")+IFERROR(Y65/H65,"0")+IFERROR(Y66/H66,"0")</f>
        <v>28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0.53144000000000002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300</v>
      </c>
      <c r="Y68" s="43">
        <f>IFERROR(SUM(Y59:Y66),"0")</f>
        <v>302.40000000000003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450</v>
      </c>
      <c r="Y97" s="55">
        <f>IFERROR(IF(X97="",0,CEILING((X97/$H97),1)*$H97),"")</f>
        <v>450.90000000000003</v>
      </c>
      <c r="Z97" s="41">
        <f>IFERROR(IF(Y97=0,"",ROUNDUP(Y97/H97,0)*0.00651),"")</f>
        <v>1.08717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492</v>
      </c>
      <c r="BN97" s="78">
        <f>IFERROR(Y97*I97/H97,"0")</f>
        <v>492.98399999999998</v>
      </c>
      <c r="BO97" s="78">
        <f>IFERROR(1/J97*(X97/H97),"0")</f>
        <v>0.91575091575091572</v>
      </c>
      <c r="BP97" s="78">
        <f>IFERROR(1/J97*(Y97/H97),"0")</f>
        <v>0.91758241758241765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166.66666666666666</v>
      </c>
      <c r="Y99" s="43">
        <f>IFERROR(Y95/H95,"0")+IFERROR(Y96/H96,"0")+IFERROR(Y97/H97,"0")+IFERROR(Y98/H98,"0")</f>
        <v>167</v>
      </c>
      <c r="Z99" s="43">
        <f>IFERROR(IF(Z95="",0,Z95),"0")+IFERROR(IF(Z96="",0,Z96),"0")+IFERROR(IF(Z97="",0,Z97),"0")+IFERROR(IF(Z98="",0,Z98),"0")</f>
        <v>1.08717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450</v>
      </c>
      <c r="Y100" s="43">
        <f>IFERROR(SUM(Y95:Y98),"0")</f>
        <v>450.90000000000003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450</v>
      </c>
      <c r="Y122" s="55">
        <f>IFERROR(IF(X122="",0,CEILING((X122/$H122),1)*$H122),"")</f>
        <v>450.90000000000003</v>
      </c>
      <c r="Z122" s="41">
        <f>IFERROR(IF(Y122=0,"",ROUNDUP(Y122/H122,0)*0.00651),"")</f>
        <v>1.08717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492</v>
      </c>
      <c r="BN122" s="78">
        <f>IFERROR(Y122*I122/H122,"0")</f>
        <v>492.98399999999998</v>
      </c>
      <c r="BO122" s="78">
        <f>IFERROR(1/J122*(X122/H122),"0")</f>
        <v>0.91575091575091572</v>
      </c>
      <c r="BP122" s="78">
        <f>IFERROR(1/J122*(Y122/H122),"0")</f>
        <v>0.91758241758241765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45</v>
      </c>
      <c r="Y123" s="55">
        <f>IFERROR(IF(X123="",0,CEILING((X123/$H123),1)*$H123),"")</f>
        <v>45</v>
      </c>
      <c r="Z123" s="41">
        <f>IFERROR(IF(Y123=0,"",ROUNDUP(Y123/H123,0)*0.00651),"")</f>
        <v>0.16275000000000001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49.499999999999993</v>
      </c>
      <c r="BN123" s="78">
        <f>IFERROR(Y123*I123/H123,"0")</f>
        <v>49.499999999999993</v>
      </c>
      <c r="BO123" s="78">
        <f>IFERROR(1/J123*(X123/H123),"0")</f>
        <v>0.13736263736263737</v>
      </c>
      <c r="BP123" s="78">
        <f>IFERROR(1/J123*(Y123/H123),"0")</f>
        <v>0.13736263736263737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191.66666666666666</v>
      </c>
      <c r="Y124" s="43">
        <f>IFERROR(Y120/H120,"0")+IFERROR(Y121/H121,"0")+IFERROR(Y122/H122,"0")+IFERROR(Y123/H123,"0")</f>
        <v>192</v>
      </c>
      <c r="Z124" s="43">
        <f>IFERROR(IF(Z120="",0,Z120),"0")+IFERROR(IF(Z121="",0,Z121),"0")+IFERROR(IF(Z122="",0,Z122),"0")+IFERROR(IF(Z123="",0,Z123),"0")</f>
        <v>1.2499199999999999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495</v>
      </c>
      <c r="Y125" s="43">
        <f>IFERROR(SUM(Y120:Y123),"0")</f>
        <v>495.90000000000003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60</v>
      </c>
      <c r="Y135" s="55">
        <f>IFERROR(IF(X135="",0,CEILING((X135/$H135),1)*$H135),"")</f>
        <v>60.800000000000004</v>
      </c>
      <c r="Z135" s="41">
        <f>IFERROR(IF(Y135=0,"",ROUNDUP(Y135/H135,0)*0.00651),"")</f>
        <v>0.12369000000000001</v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63.374999999999993</v>
      </c>
      <c r="BN135" s="78">
        <f>IFERROR(Y135*I135/H135,"0")</f>
        <v>64.22</v>
      </c>
      <c r="BO135" s="78">
        <f>IFERROR(1/J135*(X135/H135),"0")</f>
        <v>0.10302197802197803</v>
      </c>
      <c r="BP135" s="78">
        <f>IFERROR(1/J135*(Y135/H135),"0")</f>
        <v>0.1043956043956044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18.75</v>
      </c>
      <c r="Y136" s="43">
        <f>IFERROR(Y132/H132,"0")+IFERROR(Y133/H133,"0")+IFERROR(Y134/H134,"0")+IFERROR(Y135/H135,"0")</f>
        <v>19</v>
      </c>
      <c r="Z136" s="43">
        <f>IFERROR(IF(Z132="",0,Z132),"0")+IFERROR(IF(Z133="",0,Z133),"0")+IFERROR(IF(Z134="",0,Z134),"0")+IFERROR(IF(Z135="",0,Z135),"0")</f>
        <v>0.12369000000000001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60</v>
      </c>
      <c r="Y137" s="43">
        <f>IFERROR(SUM(Y132:Y135),"0")</f>
        <v>60.800000000000004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115.5</v>
      </c>
      <c r="Y148" s="55">
        <f>IFERROR(IF(X148="",0,CEILING((X148/$H148),1)*$H148),"")</f>
        <v>116.16000000000001</v>
      </c>
      <c r="Z148" s="41">
        <f>IFERROR(IF(Y148=0,"",ROUNDUP(Y148/H148,0)*0.00651),"")</f>
        <v>0.28644000000000003</v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127.22499999999998</v>
      </c>
      <c r="BN148" s="78">
        <f>IFERROR(Y148*I148/H148,"0")</f>
        <v>127.95200000000001</v>
      </c>
      <c r="BO148" s="78">
        <f>IFERROR(1/J148*(X148/H148),"0")</f>
        <v>0.24038461538461539</v>
      </c>
      <c r="BP148" s="78">
        <f>IFERROR(1/J148*(Y148/H148),"0")</f>
        <v>0.24175824175824179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43.75</v>
      </c>
      <c r="Y150" s="43">
        <f>IFERROR(Y146/H146,"0")+IFERROR(Y147/H147,"0")+IFERROR(Y148/H148,"0")+IFERROR(Y149/H149,"0")</f>
        <v>44</v>
      </c>
      <c r="Z150" s="43">
        <f>IFERROR(IF(Z146="",0,Z146),"0")+IFERROR(IF(Z147="",0,Z147),"0")+IFERROR(IF(Z148="",0,Z148),"0")+IFERROR(IF(Z149="",0,Z149),"0")</f>
        <v>0.28644000000000003</v>
      </c>
      <c r="AA150" s="67"/>
      <c r="AB150" s="67"/>
      <c r="AC150" s="67"/>
    </row>
    <row r="151" spans="1:68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115.5</v>
      </c>
      <c r="Y151" s="43">
        <f>IFERROR(SUM(Y146:Y149),"0")</f>
        <v>116.16000000000001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330</v>
      </c>
      <c r="Y177" s="55">
        <f t="shared" ref="Y177:Y187" si="10">IFERROR(IF(X177="",0,CEILING((X177/$H177),1)*$H177),"")</f>
        <v>332.5</v>
      </c>
      <c r="Z177" s="41">
        <f>IFERROR(IF(Y177=0,"",ROUNDUP(Y177/H177,0)*0.00902),"")</f>
        <v>0.8569</v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347.91428571428571</v>
      </c>
      <c r="BN177" s="78">
        <f t="shared" ref="BN177:BN187" si="12">IFERROR(Y177*I177/H177,"0")</f>
        <v>350.55</v>
      </c>
      <c r="BO177" s="78">
        <f t="shared" ref="BO177:BO187" si="13">IFERROR(1/J177*(X177/H177),"0")</f>
        <v>0.7142857142857143</v>
      </c>
      <c r="BP177" s="78">
        <f t="shared" ref="BP177:BP187" si="14">IFERROR(1/J177*(Y177/H177),"0")</f>
        <v>0.71969696969696972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300</v>
      </c>
      <c r="Y179" s="55">
        <f t="shared" si="10"/>
        <v>301</v>
      </c>
      <c r="Z179" s="41">
        <f>IFERROR(IF(Y179=0,"",ROUNDUP(Y179/H179,0)*0.00902),"")</f>
        <v>0.77571999999999997</v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316.28571428571428</v>
      </c>
      <c r="BN179" s="78">
        <f t="shared" si="12"/>
        <v>317.34000000000003</v>
      </c>
      <c r="BO179" s="78">
        <f t="shared" si="13"/>
        <v>0.64935064935064934</v>
      </c>
      <c r="BP179" s="78">
        <f t="shared" si="14"/>
        <v>0.65151515151515149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300</v>
      </c>
      <c r="Y180" s="55">
        <f t="shared" si="10"/>
        <v>301</v>
      </c>
      <c r="Z180" s="41">
        <f>IFERROR(IF(Y180=0,"",ROUNDUP(Y180/H180,0)*0.00902),"")</f>
        <v>0.77571999999999997</v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316.28571428571428</v>
      </c>
      <c r="BN180" s="78">
        <f t="shared" si="12"/>
        <v>317.34000000000003</v>
      </c>
      <c r="BO180" s="78">
        <f t="shared" si="13"/>
        <v>0.64935064935064934</v>
      </c>
      <c r="BP180" s="78">
        <f t="shared" si="14"/>
        <v>0.65151515151515149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4.5</v>
      </c>
      <c r="Y181" s="55">
        <f t="shared" si="10"/>
        <v>4.5</v>
      </c>
      <c r="Z181" s="41">
        <f>IFERROR(IF(Y181=0,"",ROUNDUP(Y181/H181,0)*0.00417),"")</f>
        <v>2.085E-2</v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5.55</v>
      </c>
      <c r="BN181" s="78">
        <f t="shared" si="12"/>
        <v>5.55</v>
      </c>
      <c r="BO181" s="78">
        <f t="shared" si="13"/>
        <v>1.488095238095238E-2</v>
      </c>
      <c r="BP181" s="78">
        <f t="shared" si="14"/>
        <v>1.488095238095238E-2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9</v>
      </c>
      <c r="Y183" s="55">
        <f t="shared" si="10"/>
        <v>9</v>
      </c>
      <c r="Z183" s="41">
        <f>IFERROR(IF(Y183=0,"",ROUNDUP(Y183/H183,0)*0.00417),"")</f>
        <v>4.1700000000000001E-2</v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11.1</v>
      </c>
      <c r="BN183" s="78">
        <f t="shared" si="12"/>
        <v>11.1</v>
      </c>
      <c r="BO183" s="78">
        <f t="shared" si="13"/>
        <v>2.976190476190476E-2</v>
      </c>
      <c r="BP183" s="78">
        <f t="shared" si="14"/>
        <v>2.976190476190476E-2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112.00000000000001</v>
      </c>
      <c r="Y185" s="55">
        <f t="shared" si="10"/>
        <v>112.56</v>
      </c>
      <c r="Z185" s="41">
        <f>IFERROR(IF(Y185=0,"",ROUNDUP(Y185/H185,0)*0.00502),"")</f>
        <v>0.33634000000000003</v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118.6666666666667</v>
      </c>
      <c r="BN185" s="78">
        <f t="shared" si="12"/>
        <v>119.26000000000002</v>
      </c>
      <c r="BO185" s="78">
        <f t="shared" si="13"/>
        <v>0.28490028490028496</v>
      </c>
      <c r="BP185" s="78">
        <f t="shared" si="14"/>
        <v>0.28632478632478636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4.5</v>
      </c>
      <c r="Y186" s="55">
        <f t="shared" si="10"/>
        <v>4.5</v>
      </c>
      <c r="Z186" s="41">
        <f>IFERROR(IF(Y186=0,"",ROUNDUP(Y186/H186,0)*0.00417),"")</f>
        <v>2.085E-2</v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5</v>
      </c>
      <c r="BN186" s="78">
        <f t="shared" si="12"/>
        <v>5</v>
      </c>
      <c r="BO186" s="78">
        <f t="shared" si="13"/>
        <v>1.488095238095238E-2</v>
      </c>
      <c r="BP186" s="78">
        <f t="shared" si="14"/>
        <v>1.488095238095238E-2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168.00000000000003</v>
      </c>
      <c r="Y187" s="55">
        <f t="shared" si="10"/>
        <v>168</v>
      </c>
      <c r="Z187" s="41">
        <f>IFERROR(IF(Y187=0,"",ROUNDUP(Y187/H187,0)*0.00502),"")</f>
        <v>0.502</v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178.00000000000006</v>
      </c>
      <c r="BN187" s="78">
        <f t="shared" si="12"/>
        <v>178.00000000000003</v>
      </c>
      <c r="BO187" s="78">
        <f t="shared" si="13"/>
        <v>0.42735042735042744</v>
      </c>
      <c r="BP187" s="78">
        <f t="shared" si="14"/>
        <v>0.42735042735042739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452.38095238095241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454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3.3300799999999997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1228</v>
      </c>
      <c r="Y189" s="43">
        <f>IFERROR(SUM(Y177:Y187),"0")</f>
        <v>1233.06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20</v>
      </c>
      <c r="Y224" s="55">
        <f t="shared" si="21"/>
        <v>21</v>
      </c>
      <c r="Z224" s="41">
        <f>IFERROR(IF(Y224=0,"",ROUNDUP(Y224/H224,0)*0.00902),"")</f>
        <v>4.5100000000000001E-2</v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21.19047619047619</v>
      </c>
      <c r="BN224" s="78">
        <f t="shared" si="23"/>
        <v>22.25</v>
      </c>
      <c r="BO224" s="78">
        <f t="shared" si="24"/>
        <v>3.6075036075036072E-2</v>
      </c>
      <c r="BP224" s="78">
        <f t="shared" si="25"/>
        <v>3.787878787878788E-2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8</v>
      </c>
      <c r="Y226" s="55">
        <f t="shared" si="21"/>
        <v>8</v>
      </c>
      <c r="Z226" s="41">
        <f>IFERROR(IF(Y226=0,"",ROUNDUP(Y226/H226,0)*0.00556),"")</f>
        <v>5.5599999999999997E-2</v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9.3000000000000007</v>
      </c>
      <c r="BN226" s="78">
        <f t="shared" si="23"/>
        <v>9.3000000000000007</v>
      </c>
      <c r="BO226" s="78">
        <f t="shared" si="24"/>
        <v>3.968253968253968E-2</v>
      </c>
      <c r="BP226" s="78">
        <f t="shared" si="25"/>
        <v>3.968253968253968E-2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175</v>
      </c>
      <c r="Y229" s="55">
        <f t="shared" si="21"/>
        <v>176.4</v>
      </c>
      <c r="Z229" s="41">
        <f t="shared" si="26"/>
        <v>0.42168</v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185.83333333333331</v>
      </c>
      <c r="BN229" s="78">
        <f t="shared" si="23"/>
        <v>187.32</v>
      </c>
      <c r="BO229" s="78">
        <f t="shared" si="24"/>
        <v>0.35612535612535612</v>
      </c>
      <c r="BP229" s="78">
        <f t="shared" si="25"/>
        <v>0.35897435897435903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20</v>
      </c>
      <c r="Y233" s="55">
        <f t="shared" si="21"/>
        <v>20</v>
      </c>
      <c r="Z233" s="41">
        <f>IFERROR(IF(Y233=0,"",ROUNDUP(Y233/H233,0)*0.00417),"")</f>
        <v>0.10425000000000001</v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25.249999999999996</v>
      </c>
      <c r="BN233" s="78">
        <f t="shared" si="23"/>
        <v>25.249999999999996</v>
      </c>
      <c r="BO233" s="78">
        <f t="shared" si="24"/>
        <v>7.4404761904761904E-2</v>
      </c>
      <c r="BP233" s="78">
        <f t="shared" si="25"/>
        <v>7.4404761904761904E-2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280</v>
      </c>
      <c r="Y234" s="55">
        <f t="shared" si="21"/>
        <v>281.40000000000003</v>
      </c>
      <c r="Z234" s="41">
        <f>IFERROR(IF(Y234=0,"",ROUNDUP(Y234/H234,0)*0.00502),"")</f>
        <v>0.67268000000000006</v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293.33333333333331</v>
      </c>
      <c r="BN234" s="78">
        <f t="shared" si="23"/>
        <v>294.80000000000007</v>
      </c>
      <c r="BO234" s="78">
        <f t="shared" si="24"/>
        <v>0.56980056980056981</v>
      </c>
      <c r="BP234" s="78">
        <f t="shared" si="25"/>
        <v>0.57264957264957272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256.42857142857139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258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1.2993100000000002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503</v>
      </c>
      <c r="Y238" s="43">
        <f>IFERROR(SUM(Y223:Y236),"0")</f>
        <v>506.80000000000007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10.500000000000002</v>
      </c>
      <c r="Y248" s="55">
        <f>IFERROR(IF(X248="",0,CEILING((X248/$H248),1)*$H248),"")</f>
        <v>11.34</v>
      </c>
      <c r="Z248" s="41">
        <f>IFERROR(IF(Y248=0,"",ROUNDUP(Y248/H248,0)*0.0059),"")</f>
        <v>5.3100000000000001E-2</v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12.083333333333334</v>
      </c>
      <c r="BN248" s="78">
        <f>IFERROR(Y248*I248/H248,"0")</f>
        <v>13.049999999999999</v>
      </c>
      <c r="BO248" s="78">
        <f>IFERROR(1/J248*(X248/H248),"0")</f>
        <v>3.8580246913580245E-2</v>
      </c>
      <c r="BP248" s="78">
        <f>IFERROR(1/J248*(Y248/H248),"0")</f>
        <v>4.1666666666666664E-2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7.0000000000000009</v>
      </c>
      <c r="Y249" s="55">
        <f>IFERROR(IF(X249="",0,CEILING((X249/$H249),1)*$H249),"")</f>
        <v>7.5600000000000005</v>
      </c>
      <c r="Z249" s="41">
        <f>IFERROR(IF(Y249=0,"",ROUNDUP(Y249/H249,0)*0.0059),"")</f>
        <v>3.5400000000000001E-2</v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8.0555555555555554</v>
      </c>
      <c r="BN249" s="78">
        <f>IFERROR(Y249*I249/H249,"0")</f>
        <v>8.6999999999999993</v>
      </c>
      <c r="BO249" s="78">
        <f>IFERROR(1/J249*(X249/H249),"0")</f>
        <v>2.5720164609053499E-2</v>
      </c>
      <c r="BP249" s="78">
        <f>IFERROR(1/J249*(Y249/H249),"0")</f>
        <v>2.7777777777777776E-2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17.5</v>
      </c>
      <c r="Y250" s="55">
        <f>IFERROR(IF(X250="",0,CEILING((X250/$H250),1)*$H250),"")</f>
        <v>17.64</v>
      </c>
      <c r="Z250" s="41">
        <f>IFERROR(IF(Y250=0,"",ROUNDUP(Y250/H250,0)*0.0059),"")</f>
        <v>8.2599999999999993E-2</v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20.138888888888889</v>
      </c>
      <c r="BN250" s="78">
        <f>IFERROR(Y250*I250/H250,"0")</f>
        <v>20.3</v>
      </c>
      <c r="BO250" s="78">
        <f>IFERROR(1/J250*(X250/H250),"0")</f>
        <v>6.4300411522633744E-2</v>
      </c>
      <c r="BP250" s="78">
        <f>IFERROR(1/J250*(Y250/H250),"0")</f>
        <v>6.4814814814814811E-2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27.777777777777779</v>
      </c>
      <c r="Y251" s="43">
        <f>IFERROR(Y248/H248,"0")+IFERROR(Y249/H249,"0")+IFERROR(Y250/H250,"0")</f>
        <v>29</v>
      </c>
      <c r="Z251" s="43">
        <f>IFERROR(IF(Z248="",0,Z248),"0")+IFERROR(IF(Z249="",0,Z249),"0")+IFERROR(IF(Z250="",0,Z250),"0")</f>
        <v>0.17109999999999997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35</v>
      </c>
      <c r="Y252" s="43">
        <f>IFERROR(SUM(Y248:Y250),"0")</f>
        <v>36.54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10.500000000000002</v>
      </c>
      <c r="Y254" s="55">
        <f>IFERROR(IF(X254="",0,CEILING((X254/$H254),1)*$H254),"")</f>
        <v>11.34</v>
      </c>
      <c r="Z254" s="41">
        <f>IFERROR(IF(Y254=0,"",ROUNDUP(Y254/H254,0)*0.0059),"")</f>
        <v>5.3100000000000001E-2</v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12.083333333333334</v>
      </c>
      <c r="BN254" s="78">
        <f>IFERROR(Y254*I254/H254,"0")</f>
        <v>13.049999999999999</v>
      </c>
      <c r="BO254" s="78">
        <f>IFERROR(1/J254*(X254/H254),"0")</f>
        <v>3.8580246913580245E-2</v>
      </c>
      <c r="BP254" s="78">
        <f>IFERROR(1/J254*(Y254/H254),"0")</f>
        <v>4.1666666666666664E-2</v>
      </c>
    </row>
    <row r="255" spans="1:68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8.3333333333333339</v>
      </c>
      <c r="Y255" s="43">
        <f>IFERROR(Y254/H254,"0")</f>
        <v>9</v>
      </c>
      <c r="Z255" s="43">
        <f>IFERROR(IF(Z254="",0,Z254),"0")</f>
        <v>5.3100000000000001E-2</v>
      </c>
      <c r="AA255" s="67"/>
      <c r="AB255" s="67"/>
      <c r="AC255" s="67"/>
    </row>
    <row r="256" spans="1:68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10.500000000000002</v>
      </c>
      <c r="Y256" s="43">
        <f>IFERROR(SUM(Y254:Y254),"0")</f>
        <v>11.34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100</v>
      </c>
      <c r="Y269" s="55">
        <f t="shared" ref="Y269:Y276" si="27">IFERROR(IF(X269="",0,CEILING((X269/$H269),1)*$H269),"")</f>
        <v>102.60000000000001</v>
      </c>
      <c r="Z269" s="41">
        <f>IFERROR(IF(Y269=0,"",ROUNDUP(Y269/H269,0)*0.00902),"")</f>
        <v>0.17138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103.5185185185185</v>
      </c>
      <c r="BN269" s="78">
        <f t="shared" ref="BN269:BN276" si="29">IFERROR(Y269*I269/H269,"0")</f>
        <v>106.21</v>
      </c>
      <c r="BO269" s="78">
        <f t="shared" ref="BO269:BO276" si="30">IFERROR(1/J269*(X269/H269),"0")</f>
        <v>0.14029180695847362</v>
      </c>
      <c r="BP269" s="78">
        <f t="shared" ref="BP269:BP276" si="31">IFERROR(1/J269*(Y269/H269),"0")</f>
        <v>0.14393939393939395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50</v>
      </c>
      <c r="Y270" s="55">
        <f t="shared" si="27"/>
        <v>54</v>
      </c>
      <c r="Z270" s="41">
        <f>IFERROR(IF(Y270=0,"",ROUNDUP(Y270/H270,0)*0.00902),"")</f>
        <v>9.0200000000000002E-2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51.759259259259252</v>
      </c>
      <c r="BN270" s="78">
        <f t="shared" si="29"/>
        <v>55.9</v>
      </c>
      <c r="BO270" s="78">
        <f t="shared" si="30"/>
        <v>7.0145903479236812E-2</v>
      </c>
      <c r="BP270" s="78">
        <f t="shared" si="31"/>
        <v>7.575757575757576E-2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250</v>
      </c>
      <c r="Y271" s="55">
        <f t="shared" si="27"/>
        <v>253.8</v>
      </c>
      <c r="Z271" s="41">
        <f>IFERROR(IF(Y271=0,"",ROUNDUP(Y271/H271,0)*0.00902),"")</f>
        <v>0.42393999999999998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258.7962962962963</v>
      </c>
      <c r="BN271" s="78">
        <f t="shared" si="29"/>
        <v>262.72999999999996</v>
      </c>
      <c r="BO271" s="78">
        <f t="shared" si="30"/>
        <v>0.35072951739618402</v>
      </c>
      <c r="BP271" s="78">
        <f t="shared" si="31"/>
        <v>0.35606060606060608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70</v>
      </c>
      <c r="Y272" s="55">
        <f t="shared" si="27"/>
        <v>70.2</v>
      </c>
      <c r="Z272" s="41">
        <f>IFERROR(IF(Y272=0,"",ROUNDUP(Y272/H272,0)*0.00902),"")</f>
        <v>0.11726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72.462962962962962</v>
      </c>
      <c r="BN272" s="78">
        <f t="shared" si="29"/>
        <v>72.67</v>
      </c>
      <c r="BO272" s="78">
        <f t="shared" si="30"/>
        <v>9.8204264870931535E-2</v>
      </c>
      <c r="BP272" s="78">
        <f t="shared" si="31"/>
        <v>9.8484848484848481E-2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300</v>
      </c>
      <c r="Y273" s="55">
        <f t="shared" si="27"/>
        <v>300.60000000000002</v>
      </c>
      <c r="Z273" s="41">
        <f>IFERROR(IF(Y273=0,"",ROUNDUP(Y273/H273,0)*0.00502),"")</f>
        <v>0.83833999999999997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321.66666666666669</v>
      </c>
      <c r="BN273" s="78">
        <f t="shared" si="29"/>
        <v>322.31</v>
      </c>
      <c r="BO273" s="78">
        <f t="shared" si="30"/>
        <v>0.71225071225071224</v>
      </c>
      <c r="BP273" s="78">
        <f t="shared" si="31"/>
        <v>0.71367521367521369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18</v>
      </c>
      <c r="Y274" s="55">
        <f t="shared" si="27"/>
        <v>18</v>
      </c>
      <c r="Z274" s="41">
        <f>IFERROR(IF(Y274=0,"",ROUNDUP(Y274/H274,0)*0.00502),"")</f>
        <v>5.0200000000000002E-2</v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18.999999999999996</v>
      </c>
      <c r="BN274" s="78">
        <f t="shared" si="29"/>
        <v>18.999999999999996</v>
      </c>
      <c r="BO274" s="78">
        <f t="shared" si="30"/>
        <v>4.2735042735042736E-2</v>
      </c>
      <c r="BP274" s="78">
        <f t="shared" si="31"/>
        <v>4.2735042735042736E-2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240</v>
      </c>
      <c r="Y275" s="55">
        <f t="shared" si="27"/>
        <v>241.20000000000002</v>
      </c>
      <c r="Z275" s="41">
        <f>IFERROR(IF(Y275=0,"",ROUNDUP(Y275/H275,0)*0.00502),"")</f>
        <v>0.67268000000000006</v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253.33333333333331</v>
      </c>
      <c r="BN275" s="78">
        <f t="shared" si="29"/>
        <v>254.60000000000002</v>
      </c>
      <c r="BO275" s="78">
        <f t="shared" si="30"/>
        <v>0.56980056980056992</v>
      </c>
      <c r="BP275" s="78">
        <f t="shared" si="31"/>
        <v>0.57264957264957272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397.03703703703707</v>
      </c>
      <c r="Y277" s="43">
        <f>IFERROR(Y269/H269,"0")+IFERROR(Y270/H270,"0")+IFERROR(Y271/H271,"0")+IFERROR(Y272/H272,"0")+IFERROR(Y273/H273,"0")+IFERROR(Y274/H274,"0")+IFERROR(Y275/H275,"0")+IFERROR(Y276/H276,"0")</f>
        <v>400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2.3639999999999999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1028</v>
      </c>
      <c r="Y278" s="43">
        <f>IFERROR(SUM(Y269:Y276),"0")</f>
        <v>1040.4000000000001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400</v>
      </c>
      <c r="Y282" s="55">
        <f t="shared" si="32"/>
        <v>400.2</v>
      </c>
      <c r="Z282" s="41">
        <f>IFERROR(IF(Y282=0,"",ROUNDUP(Y282/H282,0)*0.01898),"")</f>
        <v>0.87307999999999997</v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422.71264367816099</v>
      </c>
      <c r="BN282" s="78">
        <f t="shared" si="34"/>
        <v>422.92400000000009</v>
      </c>
      <c r="BO282" s="78">
        <f t="shared" si="35"/>
        <v>0.71839080459770122</v>
      </c>
      <c r="BP282" s="78">
        <f t="shared" si="36"/>
        <v>0.71875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600</v>
      </c>
      <c r="Y283" s="55">
        <f t="shared" si="32"/>
        <v>600</v>
      </c>
      <c r="Z283" s="41">
        <f>IFERROR(IF(Y283=0,"",ROUNDUP(Y283/H283,0)*0.00651),"")</f>
        <v>1.6274999999999999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667.5</v>
      </c>
      <c r="BN283" s="78">
        <f t="shared" si="34"/>
        <v>667.5</v>
      </c>
      <c r="BO283" s="78">
        <f t="shared" si="35"/>
        <v>1.3736263736263736</v>
      </c>
      <c r="BP283" s="78">
        <f t="shared" si="36"/>
        <v>1.3736263736263736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560</v>
      </c>
      <c r="Y286" s="55">
        <f t="shared" si="32"/>
        <v>561.6</v>
      </c>
      <c r="Z286" s="41">
        <f>IFERROR(IF(Y286=0,"",ROUNDUP(Y286/H286,0)*0.00651),"")</f>
        <v>1.5233400000000001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618.80000000000007</v>
      </c>
      <c r="BN286" s="78">
        <f t="shared" si="34"/>
        <v>620.5680000000001</v>
      </c>
      <c r="BO286" s="78">
        <f t="shared" si="35"/>
        <v>1.2820512820512822</v>
      </c>
      <c r="BP286" s="78">
        <f t="shared" si="36"/>
        <v>1.285714285714286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160</v>
      </c>
      <c r="Y289" s="55">
        <f t="shared" si="32"/>
        <v>160.79999999999998</v>
      </c>
      <c r="Z289" s="41">
        <f>IFERROR(IF(Y289=0,"",ROUNDUP(Y289/H289,0)*0.00651),"")</f>
        <v>0.43617</v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176.80000000000004</v>
      </c>
      <c r="BN289" s="78">
        <f t="shared" si="34"/>
        <v>177.684</v>
      </c>
      <c r="BO289" s="78">
        <f t="shared" si="35"/>
        <v>0.36630036630036633</v>
      </c>
      <c r="BP289" s="78">
        <f t="shared" si="36"/>
        <v>0.36813186813186816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600</v>
      </c>
      <c r="Y290" s="55">
        <f t="shared" si="32"/>
        <v>600</v>
      </c>
      <c r="Z290" s="41">
        <f>IFERROR(IF(Y290=0,"",ROUNDUP(Y290/H290,0)*0.00651),"")</f>
        <v>1.6274999999999999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664.5</v>
      </c>
      <c r="BN290" s="78">
        <f t="shared" si="34"/>
        <v>664.5</v>
      </c>
      <c r="BO290" s="78">
        <f t="shared" si="35"/>
        <v>1.3736263736263736</v>
      </c>
      <c r="BP290" s="78">
        <f t="shared" si="36"/>
        <v>1.3736263736263736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845.97701149425291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847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6.0875900000000005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2320</v>
      </c>
      <c r="Y293" s="43">
        <f>IFERROR(SUM(Y280:Y291),"0")</f>
        <v>2322.6000000000004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280</v>
      </c>
      <c r="Y296" s="55">
        <f>IFERROR(IF(X296="",0,CEILING((X296/$H296),1)*$H296),"")</f>
        <v>280.8</v>
      </c>
      <c r="Z296" s="41">
        <f>IFERROR(IF(Y296=0,"",ROUNDUP(Y296/H296,0)*0.00651),"")</f>
        <v>0.76167000000000007</v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309.40000000000003</v>
      </c>
      <c r="BN296" s="78">
        <f>IFERROR(Y296*I296/H296,"0")</f>
        <v>310.28400000000005</v>
      </c>
      <c r="BO296" s="78">
        <f>IFERROR(1/J296*(X296/H296),"0")</f>
        <v>0.64102564102564108</v>
      </c>
      <c r="BP296" s="78">
        <f>IFERROR(1/J296*(Y296/H296),"0")</f>
        <v>0.64285714285714302</v>
      </c>
    </row>
    <row r="297" spans="1:68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116.66666666666667</v>
      </c>
      <c r="Y297" s="43">
        <f>IFERROR(Y295/H295,"0")+IFERROR(Y296/H296,"0")</f>
        <v>117.00000000000001</v>
      </c>
      <c r="Z297" s="43">
        <f>IFERROR(IF(Z295="",0,Z295),"0")+IFERROR(IF(Z296="",0,Z296),"0")</f>
        <v>0.76167000000000007</v>
      </c>
      <c r="AA297" s="67"/>
      <c r="AB297" s="67"/>
      <c r="AC297" s="67"/>
    </row>
    <row r="298" spans="1:68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280</v>
      </c>
      <c r="Y298" s="43">
        <f>IFERROR(SUM(Y295:Y296),"0")</f>
        <v>280.8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40</v>
      </c>
      <c r="Y304" s="55">
        <f t="shared" si="37"/>
        <v>40</v>
      </c>
      <c r="Z304" s="41">
        <f>IFERROR(IF(Y304=0,"",ROUNDUP(Y304/H304,0)*0.00902),"")</f>
        <v>9.0200000000000002E-2</v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41.900000000000006</v>
      </c>
      <c r="BN304" s="78">
        <f t="shared" si="39"/>
        <v>41.900000000000006</v>
      </c>
      <c r="BO304" s="78">
        <f t="shared" si="40"/>
        <v>7.575757575757576E-2</v>
      </c>
      <c r="BP304" s="78">
        <f t="shared" si="41"/>
        <v>7.575757575757576E-2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10</v>
      </c>
      <c r="Y308" s="43">
        <f>IFERROR(Y301/H301,"0")+IFERROR(Y302/H302,"0")+IFERROR(Y303/H303,"0")+IFERROR(Y304/H304,"0")+IFERROR(Y305/H305,"0")+IFERROR(Y306/H306,"0")+IFERROR(Y307/H307,"0")</f>
        <v>10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9.0200000000000002E-2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40</v>
      </c>
      <c r="Y309" s="43">
        <f>IFERROR(SUM(Y301:Y307),"0")</f>
        <v>40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60</v>
      </c>
      <c r="Y320" s="55">
        <f>IFERROR(IF(X320="",0,CEILING((X320/$H320),1)*$H320),"")</f>
        <v>61.2</v>
      </c>
      <c r="Z320" s="41">
        <f>IFERROR(IF(Y320=0,"",ROUNDUP(Y320/H320,0)*0.0059),"")</f>
        <v>0.2006</v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65.833333333333329</v>
      </c>
      <c r="BN320" s="78">
        <f>IFERROR(Y320*I320/H320,"0")</f>
        <v>67.150000000000006</v>
      </c>
      <c r="BO320" s="78">
        <f>IFERROR(1/J320*(X320/H320),"0")</f>
        <v>0.15432098765432098</v>
      </c>
      <c r="BP320" s="78">
        <f>IFERROR(1/J320*(Y320/H320),"0")</f>
        <v>0.15740740740740738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33.333333333333336</v>
      </c>
      <c r="Y322" s="43">
        <f>IFERROR(Y319/H319,"0")+IFERROR(Y320/H320,"0")+IFERROR(Y321/H321,"0")</f>
        <v>34</v>
      </c>
      <c r="Z322" s="43">
        <f>IFERROR(IF(Z319="",0,Z319),"0")+IFERROR(IF(Z320="",0,Z320),"0")+IFERROR(IF(Z321="",0,Z321),"0")</f>
        <v>0.2006</v>
      </c>
      <c r="AA322" s="67"/>
      <c r="AB322" s="67"/>
      <c r="AC322" s="67"/>
    </row>
    <row r="323" spans="1:68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60</v>
      </c>
      <c r="Y323" s="43">
        <f>IFERROR(SUM(Y319:Y321),"0")</f>
        <v>61.2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200</v>
      </c>
      <c r="Y337" s="55">
        <f>IFERROR(IF(X337="",0,CEILING((X337/$H337),1)*$H337),"")</f>
        <v>201.6</v>
      </c>
      <c r="Z337" s="41">
        <f>IFERROR(IF(Y337=0,"",ROUNDUP(Y337/H337,0)*0.00651),"")</f>
        <v>0.54683999999999999</v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215</v>
      </c>
      <c r="BN337" s="78">
        <f>IFERROR(Y337*I337/H337,"0")</f>
        <v>216.72000000000003</v>
      </c>
      <c r="BO337" s="78">
        <f>IFERROR(1/J337*(X337/H337),"0")</f>
        <v>0.45787545787545797</v>
      </c>
      <c r="BP337" s="78">
        <f>IFERROR(1/J337*(Y337/H337),"0")</f>
        <v>0.46153846153846156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83.333333333333343</v>
      </c>
      <c r="Y338" s="43">
        <f>IFERROR(Y335/H335,"0")+IFERROR(Y336/H336,"0")+IFERROR(Y337/H337,"0")</f>
        <v>84</v>
      </c>
      <c r="Z338" s="43">
        <f>IFERROR(IF(Z335="",0,Z335),"0")+IFERROR(IF(Z336="",0,Z336),"0")+IFERROR(IF(Z337="",0,Z337),"0")</f>
        <v>0.54683999999999999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200</v>
      </c>
      <c r="Y339" s="43">
        <f>IFERROR(SUM(Y335:Y337),"0")</f>
        <v>201.6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160</v>
      </c>
      <c r="Y356" s="55">
        <f>IFERROR(IF(X356="",0,CEILING((X356/$H356),1)*$H356),"")</f>
        <v>163.79999999999998</v>
      </c>
      <c r="Z356" s="41">
        <f>IFERROR(IF(Y356=0,"",ROUNDUP(Y356/H356,0)*0.01898),"")</f>
        <v>0.39857999999999999</v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168.41025641025644</v>
      </c>
      <c r="BN356" s="78">
        <f>IFERROR(Y356*I356/H356,"0")</f>
        <v>172.41</v>
      </c>
      <c r="BO356" s="78">
        <f>IFERROR(1/J356*(X356/H356),"0")</f>
        <v>0.32051282051282054</v>
      </c>
      <c r="BP356" s="78">
        <f>IFERROR(1/J356*(Y356/H356),"0")</f>
        <v>0.328125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300</v>
      </c>
      <c r="Y357" s="55">
        <f>IFERROR(IF(X357="",0,CEILING((X357/$H357),1)*$H357),"")</f>
        <v>304.2</v>
      </c>
      <c r="Z357" s="41">
        <f>IFERROR(IF(Y357=0,"",ROUNDUP(Y357/H357,0)*0.01898),"")</f>
        <v>0.74021999999999999</v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315.76923076923083</v>
      </c>
      <c r="BN357" s="78">
        <f>IFERROR(Y357*I357/H357,"0")</f>
        <v>320.19</v>
      </c>
      <c r="BO357" s="78">
        <f>IFERROR(1/J357*(X357/H357),"0")</f>
        <v>0.60096153846153844</v>
      </c>
      <c r="BP357" s="78">
        <f>IFERROR(1/J357*(Y357/H357),"0")</f>
        <v>0.609375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200</v>
      </c>
      <c r="Y358" s="55">
        <f>IFERROR(IF(X358="",0,CEILING((X358/$H358),1)*$H358),"")</f>
        <v>202.79999999999998</v>
      </c>
      <c r="Z358" s="41">
        <f>IFERROR(IF(Y358=0,"",ROUNDUP(Y358/H358,0)*0.01898),"")</f>
        <v>0.49348000000000003</v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210.51282051282055</v>
      </c>
      <c r="BN358" s="78">
        <f>IFERROR(Y358*I358/H358,"0")</f>
        <v>213.46</v>
      </c>
      <c r="BO358" s="78">
        <f>IFERROR(1/J358*(X358/H358),"0")</f>
        <v>0.40064102564102566</v>
      </c>
      <c r="BP358" s="78">
        <f>IFERROR(1/J358*(Y358/H358),"0")</f>
        <v>0.40625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84.615384615384613</v>
      </c>
      <c r="Y359" s="43">
        <f>IFERROR(Y356/H356,"0")+IFERROR(Y357/H357,"0")+IFERROR(Y358/H358,"0")</f>
        <v>86</v>
      </c>
      <c r="Z359" s="43">
        <f>IFERROR(IF(Z356="",0,Z356),"0")+IFERROR(IF(Z357="",0,Z357),"0")+IFERROR(IF(Z358="",0,Z358),"0")</f>
        <v>1.6322800000000002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660</v>
      </c>
      <c r="Y360" s="43">
        <f>IFERROR(SUM(Y356:Y358),"0")</f>
        <v>670.8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140</v>
      </c>
      <c r="Y376" s="55">
        <f t="shared" si="47"/>
        <v>140.70000000000002</v>
      </c>
      <c r="Z376" s="41">
        <f>IFERROR(IF(Y376=0,"",ROUNDUP(Y376/H376,0)*0.00502),"")</f>
        <v>0.33634000000000003</v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146.66666666666666</v>
      </c>
      <c r="BN376" s="78">
        <f t="shared" si="49"/>
        <v>147.40000000000003</v>
      </c>
      <c r="BO376" s="78">
        <f t="shared" si="50"/>
        <v>0.28490028490028491</v>
      </c>
      <c r="BP376" s="78">
        <f t="shared" si="51"/>
        <v>0.28632478632478636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60</v>
      </c>
      <c r="Y378" s="55">
        <f t="shared" si="47"/>
        <v>61.2</v>
      </c>
      <c r="Z378" s="41">
        <f>IFERROR(IF(Y378=0,"",ROUNDUP(Y378/H378,0)*0.00651),"")</f>
        <v>0.22134000000000001</v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67.600000000000009</v>
      </c>
      <c r="BN378" s="78">
        <f t="shared" si="49"/>
        <v>68.951999999999998</v>
      </c>
      <c r="BO378" s="78">
        <f t="shared" si="50"/>
        <v>0.18315018315018317</v>
      </c>
      <c r="BP378" s="78">
        <f t="shared" si="51"/>
        <v>0.18681318681318682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100</v>
      </c>
      <c r="Y379" s="43">
        <f>IFERROR(Y372/H372,"0")+IFERROR(Y373/H373,"0")+IFERROR(Y374/H374,"0")+IFERROR(Y375/H375,"0")+IFERROR(Y376/H376,"0")+IFERROR(Y377/H377,"0")+IFERROR(Y378/H378,"0")</f>
        <v>101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0.55768000000000006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200</v>
      </c>
      <c r="Y380" s="43">
        <f>IFERROR(SUM(Y372:Y378),"0")</f>
        <v>201.90000000000003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300</v>
      </c>
      <c r="Y389" s="55">
        <f>IFERROR(IF(X389="",0,CEILING((X389/$H389),1)*$H389),"")</f>
        <v>302.40000000000003</v>
      </c>
      <c r="Z389" s="41">
        <f>IFERROR(IF(Y389=0,"",ROUNDUP(Y389/H389,0)*0.01898),"")</f>
        <v>0.68328</v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317.64285714285711</v>
      </c>
      <c r="BN389" s="78">
        <f>IFERROR(Y389*I389/H389,"0")</f>
        <v>320.18400000000003</v>
      </c>
      <c r="BO389" s="78">
        <f>IFERROR(1/J389*(X389/H389),"0")</f>
        <v>0.5580357142857143</v>
      </c>
      <c r="BP389" s="78">
        <f>IFERROR(1/J389*(Y389/H389),"0")</f>
        <v>0.5625</v>
      </c>
    </row>
    <row r="390" spans="1:68" ht="27" hidden="1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50</v>
      </c>
      <c r="Y391" s="55">
        <f>IFERROR(IF(X391="",0,CEILING((X391/$H391),1)*$H391),"")</f>
        <v>50.400000000000006</v>
      </c>
      <c r="Z391" s="41">
        <f>IFERROR(IF(Y391=0,"",ROUNDUP(Y391/H391,0)*0.01898),"")</f>
        <v>0.11388000000000001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52.94047619047619</v>
      </c>
      <c r="BN391" s="78">
        <f>IFERROR(Y391*I391/H391,"0")</f>
        <v>53.364000000000004</v>
      </c>
      <c r="BO391" s="78">
        <f>IFERROR(1/J391*(X391/H391),"0")</f>
        <v>9.3005952380952384E-2</v>
      </c>
      <c r="BP391" s="78">
        <f>IFERROR(1/J391*(Y391/H391),"0")</f>
        <v>9.375E-2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41.666666666666671</v>
      </c>
      <c r="Y392" s="43">
        <f>IFERROR(Y389/H389,"0")+IFERROR(Y390/H390,"0")+IFERROR(Y391/H391,"0")</f>
        <v>42</v>
      </c>
      <c r="Z392" s="43">
        <f>IFERROR(IF(Z389="",0,Z389),"0")+IFERROR(IF(Z390="",0,Z390),"0")+IFERROR(IF(Z391="",0,Z391),"0")</f>
        <v>0.79715999999999998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350</v>
      </c>
      <c r="Y393" s="43">
        <f>IFERROR(SUM(Y389:Y391),"0")</f>
        <v>352.80000000000007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17</v>
      </c>
      <c r="Y397" s="55">
        <f>IFERROR(IF(X397="",0,CEILING((X397/$H397),1)*$H397),"")</f>
        <v>17.849999999999998</v>
      </c>
      <c r="Z397" s="41">
        <f>IFERROR(IF(Y397=0,"",ROUNDUP(Y397/H397,0)*0.00651),"")</f>
        <v>4.5569999999999999E-2</v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19.700000000000003</v>
      </c>
      <c r="BN397" s="78">
        <f>IFERROR(Y397*I397/H397,"0")</f>
        <v>20.684999999999999</v>
      </c>
      <c r="BO397" s="78">
        <f>IFERROR(1/J397*(X397/H397),"0")</f>
        <v>3.6630036630036632E-2</v>
      </c>
      <c r="BP397" s="78">
        <f>IFERROR(1/J397*(Y397/H397),"0")</f>
        <v>3.8461538461538464E-2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6.666666666666667</v>
      </c>
      <c r="Y399" s="43">
        <f>IFERROR(Y395/H395,"0")+IFERROR(Y396/H396,"0")+IFERROR(Y397/H397,"0")+IFERROR(Y398/H398,"0")</f>
        <v>7</v>
      </c>
      <c r="Z399" s="43">
        <f>IFERROR(IF(Z395="",0,Z395),"0")+IFERROR(IF(Z396="",0,Z396),"0")+IFERROR(IF(Z397="",0,Z397),"0")+IFERROR(IF(Z398="",0,Z398),"0")</f>
        <v>4.5569999999999999E-2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17</v>
      </c>
      <c r="Y400" s="43">
        <f>IFERROR(SUM(Y395:Y398),"0")</f>
        <v>17.849999999999998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70</v>
      </c>
      <c r="Y402" s="55">
        <f>IFERROR(IF(X402="",0,CEILING((X402/$H402),1)*$H402),"")</f>
        <v>70</v>
      </c>
      <c r="Z402" s="41">
        <f>IFERROR(IF(Y402=0,"",ROUNDUP(Y402/H402,0)*0.00474),"")</f>
        <v>0.16590000000000002</v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78.400000000000006</v>
      </c>
      <c r="BN402" s="78">
        <f>IFERROR(Y402*I402/H402,"0")</f>
        <v>78.400000000000006</v>
      </c>
      <c r="BO402" s="78">
        <f>IFERROR(1/J402*(X402/H402),"0")</f>
        <v>0.14705882352941177</v>
      </c>
      <c r="BP402" s="78">
        <f>IFERROR(1/J402*(Y402/H402),"0")</f>
        <v>0.14705882352941177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30</v>
      </c>
      <c r="Y403" s="55">
        <f>IFERROR(IF(X403="",0,CEILING((X403/$H403),1)*$H403),"")</f>
        <v>30</v>
      </c>
      <c r="Z403" s="41">
        <f>IFERROR(IF(Y403=0,"",ROUNDUP(Y403/H403,0)*0.00474),"")</f>
        <v>7.110000000000001E-2</v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33.6</v>
      </c>
      <c r="BN403" s="78">
        <f>IFERROR(Y403*I403/H403,"0")</f>
        <v>33.6</v>
      </c>
      <c r="BO403" s="78">
        <f>IFERROR(1/J403*(X403/H403),"0")</f>
        <v>6.3025210084033612E-2</v>
      </c>
      <c r="BP403" s="78">
        <f>IFERROR(1/J403*(Y403/H403),"0")</f>
        <v>6.3025210084033612E-2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50</v>
      </c>
      <c r="Y405" s="43">
        <f>IFERROR(Y402/H402,"0")+IFERROR(Y403/H403,"0")+IFERROR(Y404/H404,"0")</f>
        <v>50</v>
      </c>
      <c r="Z405" s="43">
        <f>IFERROR(IF(Z402="",0,Z402),"0")+IFERROR(IF(Z403="",0,Z403),"0")+IFERROR(IF(Z404="",0,Z404),"0")</f>
        <v>0.23700000000000004</v>
      </c>
      <c r="AA405" s="67"/>
      <c r="AB405" s="67"/>
      <c r="AC405" s="67"/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100</v>
      </c>
      <c r="Y406" s="43">
        <f>IFERROR(SUM(Y402:Y404),"0")</f>
        <v>100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2100</v>
      </c>
      <c r="Y416" s="55">
        <f>IFERROR(IF(X416="",0,CEILING((X416/$H416),1)*$H416),"")</f>
        <v>2100</v>
      </c>
      <c r="Z416" s="41">
        <f>IFERROR(IF(Y416=0,"",ROUNDUP(Y416/H416,0)*0.00651),"")</f>
        <v>6.51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2352</v>
      </c>
      <c r="BN416" s="78">
        <f>IFERROR(Y416*I416/H416,"0")</f>
        <v>2352</v>
      </c>
      <c r="BO416" s="78">
        <f>IFERROR(1/J416*(X416/H416),"0")</f>
        <v>5.4945054945054945</v>
      </c>
      <c r="BP416" s="78">
        <f>IFERROR(1/J416*(Y416/H416),"0")</f>
        <v>5.4945054945054945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1400</v>
      </c>
      <c r="Y417" s="55">
        <f>IFERROR(IF(X417="",0,CEILING((X417/$H417),1)*$H417),"")</f>
        <v>1400.7</v>
      </c>
      <c r="Z417" s="41">
        <f>IFERROR(IF(Y417=0,"",ROUNDUP(Y417/H417,0)*0.00651),"")</f>
        <v>4.3421700000000003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1560</v>
      </c>
      <c r="BN417" s="78">
        <f>IFERROR(Y417*I417/H417,"0")</f>
        <v>1560.78</v>
      </c>
      <c r="BO417" s="78">
        <f>IFERROR(1/J417*(X417/H417),"0")</f>
        <v>3.6630036630036629</v>
      </c>
      <c r="BP417" s="78">
        <f>IFERROR(1/J417*(Y417/H417),"0")</f>
        <v>3.6648351648351651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1666.6666666666665</v>
      </c>
      <c r="Y418" s="43">
        <f>IFERROR(Y415/H415,"0")+IFERROR(Y416/H416,"0")+IFERROR(Y417/H417,"0")</f>
        <v>1667</v>
      </c>
      <c r="Z418" s="43">
        <f>IFERROR(IF(Z415="",0,Z415),"0")+IFERROR(IF(Z416="",0,Z416),"0")+IFERROR(IF(Z417="",0,Z417),"0")</f>
        <v>10.852170000000001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3500</v>
      </c>
      <c r="Y419" s="43">
        <f>IFERROR(SUM(Y415:Y417),"0")</f>
        <v>3500.7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250</v>
      </c>
      <c r="Y423" s="55">
        <f t="shared" ref="Y423:Y430" si="52">IFERROR(IF(X423="",0,CEILING((X423/$H423),1)*$H423),"")</f>
        <v>255</v>
      </c>
      <c r="Z423" s="41">
        <f>IFERROR(IF(Y423=0,"",ROUNDUP(Y423/H423,0)*0.02175),"")</f>
        <v>0.36974999999999997</v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257.83333333333331</v>
      </c>
      <c r="BN423" s="78">
        <f t="shared" ref="BN423:BN430" si="54">IFERROR(Y423*I423/H423,"0")</f>
        <v>262.99</v>
      </c>
      <c r="BO423" s="78">
        <f t="shared" ref="BO423:BO430" si="55">IFERROR(1/J423*(X423/H423),"0")</f>
        <v>0.34722222222222221</v>
      </c>
      <c r="BP423" s="78">
        <f t="shared" ref="BP423:BP430" si="56">IFERROR(1/J423*(Y423/H423),"0")</f>
        <v>0.35416666666666663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300</v>
      </c>
      <c r="Y424" s="55">
        <f t="shared" si="52"/>
        <v>300</v>
      </c>
      <c r="Z424" s="41">
        <f>IFERROR(IF(Y424=0,"",ROUNDUP(Y424/H424,0)*0.02175),"")</f>
        <v>0.43499999999999994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309.39999999999998</v>
      </c>
      <c r="BN424" s="78">
        <f t="shared" si="54"/>
        <v>309.39999999999998</v>
      </c>
      <c r="BO424" s="78">
        <f t="shared" si="55"/>
        <v>0.41666666666666663</v>
      </c>
      <c r="BP424" s="78">
        <f t="shared" si="56"/>
        <v>0.41666666666666663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500</v>
      </c>
      <c r="Y425" s="55">
        <f t="shared" si="52"/>
        <v>510</v>
      </c>
      <c r="Z425" s="41">
        <f>IFERROR(IF(Y425=0,"",ROUNDUP(Y425/H425,0)*0.02175),"")</f>
        <v>0.73949999999999994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515.66666666666663</v>
      </c>
      <c r="BN425" s="78">
        <f t="shared" si="54"/>
        <v>525.98</v>
      </c>
      <c r="BO425" s="78">
        <f t="shared" si="55"/>
        <v>0.69444444444444442</v>
      </c>
      <c r="BP425" s="78">
        <f t="shared" si="56"/>
        <v>0.70833333333333326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1000</v>
      </c>
      <c r="Y427" s="55">
        <f t="shared" si="52"/>
        <v>1005</v>
      </c>
      <c r="Z427" s="41">
        <f>IFERROR(IF(Y427=0,"",ROUNDUP(Y427/H427,0)*0.02175),"")</f>
        <v>1.4572499999999999</v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1031.3333333333333</v>
      </c>
      <c r="BN427" s="78">
        <f t="shared" si="54"/>
        <v>1036.49</v>
      </c>
      <c r="BO427" s="78">
        <f t="shared" si="55"/>
        <v>1.3888888888888888</v>
      </c>
      <c r="BP427" s="78">
        <f t="shared" si="56"/>
        <v>1.3958333333333333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136.66666666666669</v>
      </c>
      <c r="Y431" s="43">
        <f>IFERROR(Y423/H423,"0")+IFERROR(Y424/H424,"0")+IFERROR(Y425/H425,"0")+IFERROR(Y426/H426,"0")+IFERROR(Y427/H427,"0")+IFERROR(Y428/H428,"0")+IFERROR(Y429/H429,"0")+IFERROR(Y430/H430,"0")</f>
        <v>138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3.0015000000000001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2050</v>
      </c>
      <c r="Y432" s="43">
        <f>IFERROR(SUM(Y423:Y430),"0")</f>
        <v>2070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500</v>
      </c>
      <c r="Y434" s="55">
        <f>IFERROR(IF(X434="",0,CEILING((X434/$H434),1)*$H434),"")</f>
        <v>510</v>
      </c>
      <c r="Z434" s="41">
        <f>IFERROR(IF(Y434=0,"",ROUNDUP(Y434/H434,0)*0.02175),"")</f>
        <v>0.73949999999999994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515.66666666666663</v>
      </c>
      <c r="BN434" s="78">
        <f>IFERROR(Y434*I434/H434,"0")</f>
        <v>525.98</v>
      </c>
      <c r="BO434" s="78">
        <f>IFERROR(1/J434*(X434/H434),"0")</f>
        <v>0.69444444444444442</v>
      </c>
      <c r="BP434" s="78">
        <f>IFERROR(1/J434*(Y434/H434),"0")</f>
        <v>0.70833333333333326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33.333333333333336</v>
      </c>
      <c r="Y437" s="43">
        <f>IFERROR(Y434/H434,"0")+IFERROR(Y435/H435,"0")+IFERROR(Y436/H436,"0")</f>
        <v>34</v>
      </c>
      <c r="Z437" s="43">
        <f>IFERROR(IF(Z434="",0,Z434),"0")+IFERROR(IF(Z435="",0,Z435),"0")+IFERROR(IF(Z436="",0,Z436),"0")</f>
        <v>0.73949999999999994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500</v>
      </c>
      <c r="Y438" s="43">
        <f>IFERROR(SUM(Y434:Y436),"0")</f>
        <v>510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60</v>
      </c>
      <c r="Y447" s="55">
        <f>IFERROR(IF(X447="",0,CEILING((X447/$H447),1)*$H447),"")</f>
        <v>63</v>
      </c>
      <c r="Z447" s="41">
        <f>IFERROR(IF(Y447=0,"",ROUNDUP(Y447/H447,0)*0.01898),"")</f>
        <v>0.13286000000000001</v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63.293333333333329</v>
      </c>
      <c r="BN447" s="78">
        <f>IFERROR(Y447*I447/H447,"0")</f>
        <v>66.457999999999998</v>
      </c>
      <c r="BO447" s="78">
        <f>IFERROR(1/J447*(X447/H447),"0")</f>
        <v>0.10416666666666667</v>
      </c>
      <c r="BP447" s="78">
        <f>IFERROR(1/J447*(Y447/H447),"0")</f>
        <v>0.109375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6.666666666666667</v>
      </c>
      <c r="Y448" s="43">
        <f>IFERROR(Y446/H446,"0")+IFERROR(Y447/H447,"0")</f>
        <v>7</v>
      </c>
      <c r="Z448" s="43">
        <f>IFERROR(IF(Z446="",0,Z446),"0")+IFERROR(IF(Z447="",0,Z447),"0")</f>
        <v>0.13286000000000001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60</v>
      </c>
      <c r="Y449" s="43">
        <f>IFERROR(SUM(Y446:Y447),"0")</f>
        <v>63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250</v>
      </c>
      <c r="Y508" s="55">
        <f>IFERROR(IF(X508="",0,CEILING((X508/$H508),1)*$H508),"")</f>
        <v>253.44</v>
      </c>
      <c r="Z508" s="41">
        <f>IFERROR(IF(Y508=0,"",ROUNDUP(Y508/H508,0)*0.01196),"")</f>
        <v>0.57408000000000003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266.57196969696969</v>
      </c>
      <c r="BN508" s="78">
        <f>IFERROR(Y508*I508/H508,"0")</f>
        <v>270.23999999999995</v>
      </c>
      <c r="BO508" s="78">
        <f>IFERROR(1/J508*(X508/H508),"0")</f>
        <v>0.45527389277389274</v>
      </c>
      <c r="BP508" s="78">
        <f>IFERROR(1/J508*(Y508/H508),"0")</f>
        <v>0.46153846153846156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60</v>
      </c>
      <c r="Y510" s="55">
        <f>IFERROR(IF(X510="",0,CEILING((X510/$H510),1)*$H510),"")</f>
        <v>62.4</v>
      </c>
      <c r="Z510" s="41">
        <f>IFERROR(IF(Y510=0,"",ROUNDUP(Y510/H510,0)*0.00902),"")</f>
        <v>0.11726</v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86.375000000000014</v>
      </c>
      <c r="BN510" s="78">
        <f>IFERROR(Y510*I510/H510,"0")</f>
        <v>89.830000000000013</v>
      </c>
      <c r="BO510" s="78">
        <f>IFERROR(1/J510*(X510/H510),"0")</f>
        <v>9.4696969696969696E-2</v>
      </c>
      <c r="BP510" s="78">
        <f>IFERROR(1/J510*(Y510/H510),"0")</f>
        <v>9.8484848484848481E-2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59.848484848484844</v>
      </c>
      <c r="Y511" s="43">
        <f>IFERROR(Y508/H508,"0")+IFERROR(Y509/H509,"0")+IFERROR(Y510/H510,"0")</f>
        <v>61</v>
      </c>
      <c r="Z511" s="43">
        <f>IFERROR(IF(Z508="",0,Z508),"0")+IFERROR(IF(Z509="",0,Z509),"0")+IFERROR(IF(Z510="",0,Z510),"0")</f>
        <v>0.69134000000000007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310</v>
      </c>
      <c r="Y512" s="43">
        <f>IFERROR(SUM(Y508:Y510),"0")</f>
        <v>315.83999999999997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30</v>
      </c>
      <c r="Y514" s="55">
        <f t="shared" ref="Y514:Y520" si="68">IFERROR(IF(X514="",0,CEILING((X514/$H514),1)*$H514),"")</f>
        <v>31.68</v>
      </c>
      <c r="Z514" s="41">
        <f>IFERROR(IF(Y514=0,"",ROUNDUP(Y514/H514,0)*0.01196),"")</f>
        <v>7.1760000000000004E-2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31.988636363636363</v>
      </c>
      <c r="BN514" s="78">
        <f t="shared" ref="BN514:BN520" si="70">IFERROR(Y514*I514/H514,"0")</f>
        <v>33.779999999999994</v>
      </c>
      <c r="BO514" s="78">
        <f t="shared" ref="BO514:BO520" si="71">IFERROR(1/J514*(X514/H514),"0")</f>
        <v>5.4632867132867136E-2</v>
      </c>
      <c r="BP514" s="78">
        <f t="shared" ref="BP514:BP520" si="72">IFERROR(1/J514*(Y514/H514),"0")</f>
        <v>5.7692307692307696E-2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40</v>
      </c>
      <c r="Y515" s="55">
        <f t="shared" si="68"/>
        <v>42.24</v>
      </c>
      <c r="Z515" s="41">
        <f>IFERROR(IF(Y515=0,"",ROUNDUP(Y515/H515,0)*0.01196),"")</f>
        <v>9.5680000000000001E-2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42.651515151515149</v>
      </c>
      <c r="BN515" s="78">
        <f t="shared" si="70"/>
        <v>45.04</v>
      </c>
      <c r="BO515" s="78">
        <f t="shared" si="71"/>
        <v>7.2843822843822847E-2</v>
      </c>
      <c r="BP515" s="78">
        <f t="shared" si="72"/>
        <v>7.6923076923076927E-2</v>
      </c>
    </row>
    <row r="516" spans="1:68" ht="27" hidden="1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60</v>
      </c>
      <c r="Y520" s="55">
        <f t="shared" si="68"/>
        <v>62.4</v>
      </c>
      <c r="Z520" s="41">
        <f>IFERROR(IF(Y520=0,"",ROUNDUP(Y520/H520,0)*0.00902),"")</f>
        <v>0.11726</v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83.375</v>
      </c>
      <c r="BN520" s="78">
        <f t="shared" si="70"/>
        <v>86.71</v>
      </c>
      <c r="BO520" s="78">
        <f t="shared" si="71"/>
        <v>9.4696969696969696E-2</v>
      </c>
      <c r="BP520" s="78">
        <f t="shared" si="72"/>
        <v>9.8484848484848481E-2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25.757575757575758</v>
      </c>
      <c r="Y521" s="43">
        <f>IFERROR(Y514/H514,"0")+IFERROR(Y515/H515,"0")+IFERROR(Y516/H516,"0")+IFERROR(Y517/H517,"0")+IFERROR(Y518/H518,"0")+IFERROR(Y519/H519,"0")+IFERROR(Y520/H520,"0")</f>
        <v>27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0.28470000000000001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130</v>
      </c>
      <c r="Y522" s="43">
        <f>IFERROR(SUM(Y514:Y520),"0")</f>
        <v>136.32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500</v>
      </c>
      <c r="Y538" s="55">
        <f>IFERROR(IF(X538="",0,CEILING((X538/$H538),1)*$H538),"")</f>
        <v>504</v>
      </c>
      <c r="Z538" s="41">
        <f>IFERROR(IF(Y538=0,"",ROUNDUP(Y538/H538,0)*0.01898),"")</f>
        <v>1.06288</v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527.44444444444446</v>
      </c>
      <c r="BN538" s="78">
        <f>IFERROR(Y538*I538/H538,"0")</f>
        <v>531.66399999999999</v>
      </c>
      <c r="BO538" s="78">
        <f>IFERROR(1/J538*(X538/H538),"0")</f>
        <v>0.86805555555555558</v>
      </c>
      <c r="BP538" s="78">
        <f>IFERROR(1/J538*(Y538/H538),"0")</f>
        <v>0.875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55.555555555555557</v>
      </c>
      <c r="Y539" s="43">
        <f>IFERROR(Y538/H538,"0")</f>
        <v>56</v>
      </c>
      <c r="Z539" s="43">
        <f>IFERROR(IF(Z538="",0,Z538),"0")</f>
        <v>1.06288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500</v>
      </c>
      <c r="Y540" s="43">
        <f>IFERROR(SUM(Y538:Y538),"0")</f>
        <v>504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15718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15820.990000000002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16966.384744540264</v>
      </c>
      <c r="Y552" s="43">
        <f>IFERROR(SUM(BN22:BN548),"0")</f>
        <v>17076.716999999997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33</v>
      </c>
      <c r="Y553" s="44">
        <f>ROUNDUP(SUM(BP22:BP548),0)</f>
        <v>33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17791.384744540264</v>
      </c>
      <c r="Y554" s="43">
        <f>GrossWeightTotalR+PalletQtyTotalR*25</f>
        <v>17901.716999999997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5005.6561286733713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5027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38.727379999999997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17.28</v>
      </c>
      <c r="D561" s="52">
        <f>IFERROR(Y51*1,"0")+IFERROR(Y52*1,"0")+IFERROR(Y53*1,"0")+IFERROR(Y54*1,"0")</f>
        <v>200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302.40000000000003</v>
      </c>
      <c r="F561" s="52">
        <f>IFERROR(Y88*1,"0")+IFERROR(Y89*1,"0")+IFERROR(Y90*1,"0")+IFERROR(Y91*1,"0")+IFERROR(Y95*1,"0")+IFERROR(Y96*1,"0")+IFERROR(Y97*1,"0")+IFERROR(Y98*1,"0")</f>
        <v>450.90000000000003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495.90000000000003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176.96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1233.06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554.68000000000006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3643.8000000000006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101.2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201.6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670.8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672.55000000000007</v>
      </c>
      <c r="U561" s="52">
        <f>IFERROR(Y415*1,"0")+IFERROR(Y416*1,"0")+IFERROR(Y417*1,"0")</f>
        <v>3500.7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2643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452.15999999999997</v>
      </c>
      <c r="AA561" s="52">
        <f>IFERROR(Y526*1,"0")+IFERROR(Y530*1,"0")+IFERROR(Y534*1,"0")+IFERROR(Y538*1,"0")+IFERROR(Y542*1,"0")+IFERROR(Y543*1,"0")</f>
        <v>504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28,00"/>
        <filter val="1 228,00"/>
        <filter val="1 400,00"/>
        <filter val="1 666,67"/>
        <filter val="10,00"/>
        <filter val="10,50"/>
        <filter val="100,00"/>
        <filter val="112,00"/>
        <filter val="115,50"/>
        <filter val="116,67"/>
        <filter val="130,00"/>
        <filter val="136,67"/>
        <filter val="140,00"/>
        <filter val="15 718,00"/>
        <filter val="16 966,38"/>
        <filter val="16,00"/>
        <filter val="160,00"/>
        <filter val="166,67"/>
        <filter val="168,00"/>
        <filter val="17 791,38"/>
        <filter val="17,00"/>
        <filter val="17,50"/>
        <filter val="175,00"/>
        <filter val="18,00"/>
        <filter val="18,75"/>
        <filter val="191,67"/>
        <filter val="2 050,00"/>
        <filter val="2 100,00"/>
        <filter val="2 320,00"/>
        <filter val="20,00"/>
        <filter val="200,00"/>
        <filter val="240,00"/>
        <filter val="25,76"/>
        <filter val="250,00"/>
        <filter val="256,43"/>
        <filter val="27,78"/>
        <filter val="280,00"/>
        <filter val="3 500,00"/>
        <filter val="30,00"/>
        <filter val="300,00"/>
        <filter val="310,00"/>
        <filter val="33"/>
        <filter val="33,33"/>
        <filter val="330,00"/>
        <filter val="35,00"/>
        <filter val="350,00"/>
        <filter val="397,04"/>
        <filter val="4,50"/>
        <filter val="40,00"/>
        <filter val="400,00"/>
        <filter val="41,67"/>
        <filter val="43,75"/>
        <filter val="45,00"/>
        <filter val="450,00"/>
        <filter val="452,38"/>
        <filter val="495,00"/>
        <filter val="5 005,66"/>
        <filter val="50,00"/>
        <filter val="500,00"/>
        <filter val="503,00"/>
        <filter val="55,56"/>
        <filter val="560,00"/>
        <filter val="59,85"/>
        <filter val="6,67"/>
        <filter val="60,00"/>
        <filter val="600,00"/>
        <filter val="660,00"/>
        <filter val="7,00"/>
        <filter val="70,00"/>
        <filter val="8,00"/>
        <filter val="8,33"/>
        <filter val="83,33"/>
        <filter val="84,62"/>
        <filter val="845,98"/>
        <filter val="9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2026-07-30T11:08:23Z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