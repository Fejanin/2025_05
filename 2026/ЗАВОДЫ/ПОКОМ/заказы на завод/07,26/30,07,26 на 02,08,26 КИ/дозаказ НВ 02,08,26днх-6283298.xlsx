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B3D8F5-D686-431A-A3A3-F0CE0378386D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P499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BP495" i="2" s="1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P460" i="2"/>
  <c r="X458" i="2"/>
  <c r="X457" i="2"/>
  <c r="BO456" i="2"/>
  <c r="BM456" i="2"/>
  <c r="Z456" i="2"/>
  <c r="Z457" i="2" s="1"/>
  <c r="Y456" i="2"/>
  <c r="P456" i="2"/>
  <c r="X454" i="2"/>
  <c r="X453" i="2"/>
  <c r="BO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Y424" i="2"/>
  <c r="Z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Z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Z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M35" i="2"/>
  <c r="Y35" i="2"/>
  <c r="Z35" i="2" s="1"/>
  <c r="Z36" i="2" s="1"/>
  <c r="P35" i="2"/>
  <c r="X33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Z29" i="2" l="1"/>
  <c r="Z88" i="2"/>
  <c r="Z181" i="2"/>
  <c r="BN202" i="2"/>
  <c r="BN147" i="2"/>
  <c r="BN429" i="2"/>
  <c r="BN88" i="2"/>
  <c r="Y170" i="2"/>
  <c r="BN181" i="2"/>
  <c r="BP29" i="2"/>
  <c r="Y203" i="2"/>
  <c r="BP289" i="2"/>
  <c r="Y453" i="2"/>
  <c r="BN394" i="2"/>
  <c r="Y92" i="2"/>
  <c r="Z178" i="2"/>
  <c r="Y298" i="2"/>
  <c r="Z357" i="2"/>
  <c r="BN96" i="2"/>
  <c r="BN104" i="2"/>
  <c r="BN274" i="2"/>
  <c r="BN305" i="2"/>
  <c r="Z350" i="2"/>
  <c r="BN142" i="2"/>
  <c r="Z499" i="2"/>
  <c r="Z198" i="2"/>
  <c r="BP350" i="2"/>
  <c r="Z495" i="2"/>
  <c r="Y323" i="2"/>
  <c r="Z396" i="2"/>
  <c r="BP287" i="2"/>
  <c r="BN351" i="2"/>
  <c r="Z375" i="2"/>
  <c r="Y490" i="2"/>
  <c r="BP147" i="2"/>
  <c r="BP234" i="2"/>
  <c r="BP394" i="2"/>
  <c r="Y491" i="2"/>
  <c r="BN82" i="2"/>
  <c r="BP358" i="2"/>
  <c r="BN166" i="2"/>
  <c r="Y200" i="2"/>
  <c r="BN210" i="2"/>
  <c r="BN269" i="2"/>
  <c r="BP285" i="2"/>
  <c r="Z345" i="2"/>
  <c r="Z367" i="2"/>
  <c r="Y418" i="2"/>
  <c r="Y505" i="2"/>
  <c r="BN35" i="2"/>
  <c r="Y125" i="2"/>
  <c r="BN148" i="2"/>
  <c r="BN235" i="2"/>
  <c r="BP402" i="2"/>
  <c r="Y464" i="2"/>
  <c r="Z469" i="2"/>
  <c r="Z487" i="2"/>
  <c r="Z490" i="2" s="1"/>
  <c r="BN226" i="2"/>
  <c r="BN495" i="2"/>
  <c r="BP529" i="2"/>
  <c r="BP156" i="2"/>
  <c r="BP242" i="2"/>
  <c r="Z382" i="2"/>
  <c r="Y411" i="2"/>
  <c r="BP487" i="2"/>
  <c r="Z106" i="2"/>
  <c r="BP167" i="2"/>
  <c r="Z441" i="2"/>
  <c r="Z287" i="2"/>
  <c r="Z326" i="2"/>
  <c r="Y511" i="2"/>
  <c r="BN54" i="2"/>
  <c r="BP77" i="2"/>
  <c r="Y124" i="2"/>
  <c r="BP236" i="2"/>
  <c r="Y316" i="2"/>
  <c r="BN470" i="2"/>
  <c r="BN519" i="2"/>
  <c r="BN91" i="2"/>
  <c r="BN452" i="2"/>
  <c r="BN488" i="2"/>
  <c r="BN500" i="2"/>
  <c r="BN533" i="2"/>
  <c r="BN120" i="2"/>
  <c r="Z139" i="2"/>
  <c r="BP496" i="2"/>
  <c r="X550" i="2"/>
  <c r="BN244" i="2"/>
  <c r="BN357" i="2"/>
  <c r="BN372" i="2"/>
  <c r="BN462" i="2"/>
  <c r="Y534" i="2"/>
  <c r="Z501" i="2"/>
  <c r="BN42" i="2"/>
  <c r="BN154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307" i="2"/>
  <c r="Z319" i="2"/>
  <c r="Z330" i="2"/>
  <c r="Z366" i="2"/>
  <c r="Z376" i="2"/>
  <c r="Z408" i="2"/>
  <c r="Z410" i="2" s="1"/>
  <c r="Z468" i="2"/>
  <c r="Z478" i="2"/>
  <c r="Y484" i="2"/>
  <c r="Z513" i="2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Y262" i="2"/>
  <c r="Z271" i="2"/>
  <c r="Z277" i="2" s="1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251" i="2" l="1"/>
  <c r="Z322" i="2"/>
  <c r="Z297" i="2"/>
  <c r="Z417" i="2"/>
  <c r="Z504" i="2"/>
  <c r="Z99" i="2"/>
  <c r="Z109" i="2"/>
  <c r="Z479" i="2"/>
  <c r="Z378" i="2"/>
  <c r="Z391" i="2"/>
  <c r="Z368" i="2"/>
  <c r="Z520" i="2"/>
  <c r="X553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<sst xmlns="http://schemas.openxmlformats.org/spreadsheetml/2006/main" count="4221" uniqueCount="909">
  <si>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</si>
  <si>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</si>
  <si>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</si>
  <si>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</si>
  <si>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</si>
  <si>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</si>
  <si>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</si>
  <si>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</si>
  <si>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</si>
  <si>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</si>
  <si>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</si>
  <si>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</si>
  <si>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</si>
  <si>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</si>
  <si>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</si>
  <si>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</si>
  <si>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</si>
  <si>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</si>
  <si>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</si>
  <si>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</si>
  <si>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</si>
  <si>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</si>
  <si>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</si>
  <si>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</si>
  <si>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</si>
  <si>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</si>
  <si>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</si>
  <si>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</si>
  <si>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</si>
  <si>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</si>
  <si>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</si>
  <si>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</si>
  <si>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</si>
  <si>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</si>
  <si>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</si>
  <si>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</si>
  <si>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</si>
  <si>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</si>
  <si>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</si>
  <si>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</si>
  <si>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</si>
  <si>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</si>
  <si>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</si>
  <si>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</si>
  <si>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</si>
  <si>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</si>
  <si>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</si>
  <si>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</si>
  <si>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</si>
  <si>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</si>
  <si>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</si>
  <si>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</si>
  <si>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</si>
  <si>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</si>
  <si>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</si>
  <si>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</si>
  <si>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</si>
  <si>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</si>
  <si>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</si>
  <si>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</si>
  <si>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</si>
  <si>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</si>
  <si>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</si>
  <si>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</si>
  <si>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</si>
  <si>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</si>
  <si>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</si>
  <si>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</si>
  <si>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</si>
  <si>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</si>
  <si>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</si>
  <si>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</si>
  <si>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</si>
  <si>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</si>
  <si>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</si>
  <si>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</si>
  <si>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</si>
  <si>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</si>
  <si>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</si>
  <si>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</si>
  <si>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</si>
  <si>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</si>
  <si>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</si>
  <si>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</si>
  <si>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</si>
  <si>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</si>
  <si>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</si>
  <si>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</si>
  <si>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</si>
  <si>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</si>
  <si>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</si>
  <si>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</si>
  <si>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</si>
  <si>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</si>
  <si>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</si>
  <si>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</si>
  <si>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</si>
  <si>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</si>
  <si>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</si>
  <si>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</si>
  <si>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</si>
  <si>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</si>
  <si>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</si>
  <si>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</si>
  <si>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</si>
  <si>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</si>
  <si>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</si>
  <si>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</si>
  <si>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</si>
  <si>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</si>
  <si>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</si>
  <si>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</si>
  <si>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</si>
  <si>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</si>
  <si>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</si>
  <si>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</si>
  <si>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</si>
  <si>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</si>
  <si>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</si>
  <si>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</si>
  <si>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</si>
  <si>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</si>
  <si>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</si>
  <si>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</si>
  <si>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</si>
  <si>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</si>
  <si>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</si>
  <si>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</si>
  <si>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</si>
  <si>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</si>
  <si>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</si>
  <si>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</si>
  <si>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</si>
  <si>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</si>
  <si>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</si>
  <si>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</si>
  <si>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</si>
  <si>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</si>
  <si>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</si>
  <si>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</si>
  <si>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</si>
  <si>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</si>
  <si>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</si>
  <si>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</si>
  <si>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</si>
  <si>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</si>
  <si>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</si>
  <si>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</si>
  <si>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</si>
  <si>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</si>
  <si>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</si>
  <si>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</si>
  <si>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</si>
  <si>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</si>
  <si>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</si>
  <si>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</si>
  <si>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</si>
  <si>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</si>
  <si>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</si>
  <si>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</si>
  <si>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</si>
  <si>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</si>
  <si>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</si>
  <si>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</si>
  <si>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</si>
  <si>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</si>
  <si>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</si>
  <si>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</si>
  <si>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</si>
  <si>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</si>
  <si>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</si>
  <si>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</si>
  <si>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</si>
  <si>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</si>
  <si>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</si>
  <si>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</si>
  <si>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</si>
  <si>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</si>
  <si>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</si>
  <si>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</si>
  <si>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</si>
  <si>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</si>
  <si>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</si>
  <si>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</si>
  <si>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</si>
  <si>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</si>
  <si>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</si>
  <si>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</si>
  <si>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</si>
  <si>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</si>
  <si>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</si>
  <si>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</si>
  <si>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</si>
  <si>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</si>
  <si>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</si>
  <si>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</si>
  <si>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</si>
  <si>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</si>
  <si>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</si>
  <si>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</si>
  <si>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</si>
  <si>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</si>
  <si>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</si>
  <si>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</si>
  <si>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</si>
  <si>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</si>
  <si>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</si>
  <si>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</si>
  <si>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</si>
  <si>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</si>
  <si>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</si>
  <si>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</si>
  <si>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</si>
  <si>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</si>
  <si>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</si>
  <si>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</si>
  <si>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</si>
  <si>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</si>
  <si>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</si>
  <si>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</si>
  <si>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</si>
  <si>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</si>
  <si>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</si>
  <si>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</si>
  <si>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</si>
  <si>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</si>
  <si>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</si>
  <si>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</si>
  <si>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</si>
  <si>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</si>
  <si>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</si>
  <si>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</si>
  <si>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</si>
  <si>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</si>
  <si>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</si>
  <si>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</si>
  <si>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</si>
  <si>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</si>
  <si>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</si>
  <si>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</si>
  <si>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</si>
  <si>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</si>
  <si>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</si>
  <si>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</si>
  <si>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</si>
  <si>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</si>
  <si>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</si>
  <si>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</si>
  <si>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</si>
  <si>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</si>
  <si>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</si>
  <si>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</si>
  <si>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</si>
  <si>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</si>
  <si>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</si>
  <si>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</si>
  <si>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</si>
  <si>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</si>
  <si>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</si>
  <si>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</si>
  <si>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</si>
  <si>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</si>
  <si>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</si>
  <si>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</si>
  <si>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</si>
  <si>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</si>
  <si>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</si>
  <si>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</si>
  <si>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</si>
  <si>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</si>
  <si>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</si>
  <si>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</si>
  <si>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</si>
  <si>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</si>
  <si>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</si>
  <si>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</si>
  <si>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</si>
  <si>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</si>
  <si>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</si>
  <si>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</si>
  <si>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</si>
  <si>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</si>
  <si>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</si>
  <si>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</si>
  <si>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</si>
  <si>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</si>
  <si>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</si>
  <si>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</si>
  <si>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</si>
  <si>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</si>
  <si>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</si>
  <si>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</si>
  <si>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</si>
  <si>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</si>
  <si>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</si>
  <si>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</si>
  <si>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</si>
  <si>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</si>
  <si>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</si>
  <si>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</si>
  <si>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</si>
  <si>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</si>
  <si>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</si>
  <si>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</si>
  <si>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</si>
  <si>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</si>
  <si>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</si>
  <si>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</si>
  <si>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</si>
  <si>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</si>
  <si>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</si>
  <si>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</si>
  <si>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</si>
  <si>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</si>
  <si>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</si>
  <si>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</si>
  <si>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</si>
  <si>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</si>
  <si>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</si>
  <si>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</si>
  <si>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</si>
  <si>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</si>
  <si>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</si>
  <si>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</si>
  <si>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</si>
  <si>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</si>
  <si>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</si>
  <si>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</si>
  <si>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</si>
  <si>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</si>
  <si>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</si>
  <si>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</si>
  <si>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</si>
  <si>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</si>
  <si>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</si>
  <si>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</si>
  <si>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</si>
  <si>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</si>
  <si>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</si>
  <si>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</si>
  <si>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</si>
  <si>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</si>
  <si>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</si>
  <si>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</si>
  <si>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</si>
  <si>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</si>
  <si>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</si>
  <si>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</si>
  <si>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</si>
  <si>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</si>
  <si>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</si>
  <si>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</si>
  <si>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</si>
  <si>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</si>
  <si>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</si>
  <si>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</si>
  <si>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</si>
  <si>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</si>
  <si>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</si>
  <si>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</si>
  <si>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</si>
  <si>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</si>
  <si>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</si>
  <si>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</si>
  <si>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</si>
  <si>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</si>
  <si>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</si>
  <si>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</si>
  <si>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</si>
  <si>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</si>
  <si>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</si>
  <si>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</si>
  <si>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</si>
  <si>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</si>
  <si>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</si>
  <si>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</si>
  <si>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</si>
  <si>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</si>
  <si>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</si>
  <si>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</si>
  <si>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</si>
  <si>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</si>
  <si>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</si>
  <si>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</si>
  <si>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</si>
  <si>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</si>
  <si>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</si>
  <si>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</si>
  <si>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</si>
  <si>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</si>
  <si>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</si>
  <si>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</si>
  <si>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</si>
  <si>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</si>
  <si>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</si>
  <si>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</si>
  <si>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</si>
  <si>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</si>
  <si>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</si>
  <si>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</si>
  <si>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</si>
  <si>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</si>
  <si>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</si>
  <si>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</si>
  <si>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</si>
  <si>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</si>
  <si>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</si>
  <si>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</si>
  <si>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</si>
  <si>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</si>
  <si>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</si>
  <si>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</si>
  <si>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</si>
  <si>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</si>
  <si>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</si>
  <si>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</si>
  <si>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</si>
  <si>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</si>
  <si>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</si>
  <si>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</si>
  <si>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</si>
  <si>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</si>
  <si>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</si>
  <si>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</si>
  <si>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</si>
  <si>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</si>
  <si>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</si>
  <si>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</si>
  <si>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</si>
  <si>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</si>
  <si>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</si>
  <si>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</si>
  <si>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</si>
  <si>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</si>
  <si>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</si>
  <si>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</si>
  <si>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</si>
  <si>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</si>
  <si>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</si>
  <si>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</si>
  <si>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</si>
  <si>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</si>
  <si>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</si>
  <si>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</si>
  <si>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</si>
  <si>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</si>
  <si>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</si>
  <si>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</si>
  <si>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</si>
  <si>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</si>
  <si>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</si>
  <si>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</si>
  <si>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</si>
  <si>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</si>
  <si>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</si>
  <si>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</si>
  <si>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</si>
  <si>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</si>
  <si>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</si>
  <si>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</si>
  <si>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</si>
  <si>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</si>
  <si>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</si>
  <si>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</si>
  <si>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</si>
  <si>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</si>
  <si>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</si>
  <si>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</si>
  <si>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</si>
  <si>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</si>
  <si>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</si>
  <si>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</si>
  <si>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</si>
  <si>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</si>
  <si>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</si>
  <si>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</si>
  <si>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</si>
  <si>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</si>
  <si>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</si>
  <si>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</si>
  <si>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</si>
  <si>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</si>
  <si>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</si>
  <si>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</si>
  <si>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</si>
  <si>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</si>
  <si>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</si>
  <si>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</si>
  <si>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</si>
  <si>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</si>
  <si>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</si>
  <si>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</si>
  <si>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</si>
  <si>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</si>
  <si>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</si>
  <si>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</si>
  <si>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</si>
  <si>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</si>
  <si>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</si>
  <si>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</si>
  <si>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</si>
  <si>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</si>
  <si>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</si>
  <si>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</si>
  <si>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</si>
  <si>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</si>
  <si>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</si>
  <si>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</si>
  <si>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</si>
  <si>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</si>
  <si>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</si>
  <si>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</si>
  <si>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</si>
  <si>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</si>
  <si>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</si>
  <si>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</si>
  <si>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</si>
  <si>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</si>
  <si>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</si>
  <si>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</si>
  <si>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</si>
  <si>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</si>
  <si>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</si>
  <si>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</si>
  <si>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</si>
  <si>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</si>
  <si>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</si>
  <si>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</si>
  <si>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</si>
  <si>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</si>
  <si>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</si>
  <si>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</si>
  <si>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</si>
  <si>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</si>
  <si>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</si>
  <si>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</si>
  <si>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</si>
  <si>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</si>
  <si>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</si>
  <si>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</si>
  <si>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</si>
  <si>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</si>
  <si>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</si>
  <si>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</si>
  <si>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</si>
  <si>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</si>
  <si>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</si>
  <si>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</si>
  <si>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</si>
  <si>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</si>
  <si>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</si>
  <si>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</si>
  <si>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</si>
  <si>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</si>
  <si>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</si>
  <si>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</si>
  <si>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</si>
  <si>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</si>
  <si>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</si>
  <si>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</si>
  <si>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</si>
  <si>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</si>
  <si>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</si>
  <si>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</si>
  <si>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</si>
  <si>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</si>
  <si>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</si>
  <si>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</si>
  <si>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</si>
  <si>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</si>
  <si>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</si>
  <si>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</si>
  <si>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</si>
  <si>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</si>
  <si>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</si>
  <si>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</si>
  <si>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</si>
  <si>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</si>
  <si>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</si>
  <si>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</si>
  <si>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</si>
  <si>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</si>
  <si>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</si>
  <si>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</si>
  <si>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</si>
  <si>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</si>
  <si>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</si>
  <si>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</si>
  <si>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</si>
  <si>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</si>
  <si>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</si>
  <si>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</si>
  <si>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</si>
  <si>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</si>
  <si>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</si>
  <si>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</si>
  <si>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</si>
  <si>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</si>
  <si>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</si>
  <si>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</si>
  <si>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</si>
  <si>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</si>
  <si>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</si>
  <si>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</si>
  <si>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</si>
  <si>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</si>
  <si>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</si>
  <si>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</si>
  <si>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</si>
  <si>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</si>
  <si>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</si>
  <si>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</si>
  <si>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</si>
  <si>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</si>
  <si>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</si>
  <si>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</si>
  <si>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</si>
  <si>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</si>
  <si>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</si>
  <si>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</si>
  <si>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</si>
  <si>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</si>
  <si>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</si>
  <si>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</si>
  <si>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</si>
  <si>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</si>
  <si>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</si>
  <si>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</si>
  <si>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</si>
  <si>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</si>
  <si>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</si>
  <si>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</si>
  <si>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</si>
  <si>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</si>
  <si>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</si>
  <si>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</si>
  <si>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</si>
  <si>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</si>
  <si>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</si>
  <si>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</si>
  <si>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</si>
  <si>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</si>
  <si>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</si>
  <si>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</si>
  <si>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</si>
  <si>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</si>
  <si>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</si>
  <si>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</si>
  <si>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</si>
  <si>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</si>
  <si>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</si>
  <si>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</si>
  <si>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</si>
  <si>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</si>
  <si>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</si>
  <si>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</si>
  <si>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</si>
  <si>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</si>
  <si>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</si>
  <si>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</si>
  <si>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</si>
  <si>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</si>
  <si>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</si>
  <si>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</si>
  <si>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</si>
  <si>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</si>
  <si>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</si>
  <si>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</si>
  <si>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</si>
  <si>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</si>
  <si>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</si>
  <si>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</si>
  <si>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</si>
  <si>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</si>
  <si>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</si>
  <si>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</si>
  <si>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</si>
  <si>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</si>
  <si>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</si>
  <si>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</si>
  <si>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</si>
  <si>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</si>
  <si>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</si>
  <si>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</si>
  <si>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</si>
  <si>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</si>
  <si>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</si>
  <si>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</si>
  <si>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</si>
  <si>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</si>
  <si>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</si>
  <si>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</si>
  <si>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</si>
  <si>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</si>
  <si>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</si>
  <si>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</si>
  <si>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</si>
  <si>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</si>
  <si>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</si>
  <si>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</si>
  <si>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</si>
  <si>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</si>
  <si>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</si>
  <si>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</si>
  <si>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</si>
  <si>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</si>
  <si>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</si>
  <si>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</si>
  <si>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</si>
  <si>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</si>
  <si>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</si>
  <si>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</si>
  <si>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</si>
  <si>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</si>
  <si>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</si>
  <si>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</si>
  <si>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</si>
  <si>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</si>
  <si>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</si>
  <si>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</si>
  <si>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</si>
  <si>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</si>
  <si>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</si>
  <si>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</si>
  <si>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</si>
  <si>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</si>
  <si>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</si>
  <si>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</si>
  <si>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</si>
  <si>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</si>
  <si>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</si>
  <si>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</si>
  <si>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</si>
  <si>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</si>
  <si>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</si>
  <si>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</si>
  <si>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</si>
  <si>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</si>
  <si>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</si>
  <si>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</si>
  <si>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</si>
  <si>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</si>
  <si>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</si>
  <si>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</si>
  <si>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</si>
  <si>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</si>
  <si>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</si>
  <si>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</si>
  <si>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</si>
  <si>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</si>
  <si>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</si>
  <si>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</si>
  <si>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</si>
  <si>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</si>
  <si>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</si>
  <si>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</si>
  <si>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</si>
  <si>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</si>
  <si>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</si>
  <si>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</si>
  <si>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</si>
  <si>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</si>
  <si>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</si>
  <si>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</si>
  <si>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</si>
  <si>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</si>
  <si>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</si>
  <si>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</si>
  <si>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</si>
  <si>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</si>
  <si>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</si>
  <si>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</si>
  <si>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</si>
  <si>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</si>
  <si>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</si>
  <si>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</si>
  <si>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</si>
  <si>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</si>
  <si>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</si>
  <si>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</si>
  <si>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</si>
  <si>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</si>
  <si>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</si>
  <si>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</si>
  <si>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</si>
  <si>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</si>
  <si>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</si>
  <si>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</si>
  <si>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</si>
  <si>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</si>
  <si>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</si>
  <si>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</si>
  <si>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</si>
  <si>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</si>
  <si>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</si>
  <si>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</si>
  <si>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</si>
  <si>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</si>
  <si>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</si>
  <si>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</si>
  <si>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</si>
  <si>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</si>
  <si>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</si>
  <si>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</si>
  <si>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</si>
  <si>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</si>
  <si>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</si>
  <si>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</si>
  <si>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</si>
  <si>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</si>
  <si>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</si>
  <si>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</si>
  <si>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</si>
  <si>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</si>
  <si>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</si>
  <si>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</si>
  <si>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</si>
  <si>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</si>
  <si>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</si>
  <si>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</si>
  <si>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</si>
  <si>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</si>
  <si>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</si>
  <si>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</si>
  <si>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</si>
  <si>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</si>
  <si>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</si>
  <si>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</si>
  <si>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</si>
  <si>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</si>
  <si>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</si>
  <si>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</si>
  <si>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</si>
  <si>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</si>
  <si>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</si>
  <si>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</si>
  <si>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</si>
  <si>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</si>
  <si>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</si>
  <si>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</si>
  <si>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</si>
  <si>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</si>
  <si>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</si>
  <si>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</si>
  <si>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</si>
  <si>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</si>
  <si>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</si>
  <si>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</si>
  <si>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</si>
  <si>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</si>
  <si>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</si>
  <si>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</si>
  <si>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</si>
  <si>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</si>
  <si>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</si>
  <si>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</si>
  <si>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</si>
  <si>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</si>
  <si>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</si>
  <si>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</si>
  <si>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</si>
  <si>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</si>
  <si>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</si>
  <si>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</si>
  <si>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</si>
  <si>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</si>
  <si>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</si>
  <si>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</si>
  <si>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</si>
  <si>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</si>
  <si>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</si>
  <si>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</si>
  <si>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</si>
  <si>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</si>
  <si>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</si>
  <si>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</si>
  <si>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</si>
  <si>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</si>
  <si>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</si>
  <si>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</si>
  <si>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</si>
  <si>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</si>
  <si>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</si>
  <si>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</si>
  <si>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</si>
  <si>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</si>
  <si>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</si>
  <si>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</si>
  <si>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</si>
  <si>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</si>
  <si>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</si>
  <si>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</si>
  <si>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</si>
  <si>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</si>
  <si>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</si>
  <si>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</si>
  <si>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</si>
  <si>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</si>
  <si>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</si>
  <si>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</si>
  <si>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</si>
  <si>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</si>
  <si>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</si>
  <si>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</si>
  <si>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</si>
  <si>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</si>
  <si>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</si>
  <si>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6283298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</si>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</sst>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1" t="s">
        <v>26</v>
      </c>
      <c r="E1" s="631"/>
      <c r="F1" s="631"/>
      <c r="G1" s="14" t="s">
        <v>66</v>
      </c>
      <c r="H1" s="631" t="s">
        <v>47</v>
      </c>
      <c r="I1" s="631"/>
      <c r="J1" s="631"/>
      <c r="K1" s="631"/>
      <c r="L1" s="631"/>
      <c r="M1" s="631"/>
      <c r="N1" s="631"/>
      <c r="O1" s="631"/>
      <c r="P1" s="631"/>
      <c r="Q1" s="631"/>
      <c r="R1" s="632" t="s">
        <v>67</v>
      </c>
      <c r="S1" s="633"/>
      <c r="T1" s="6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4"/>
      <c r="R2" s="634"/>
      <c r="S2" s="634"/>
      <c r="T2" s="634"/>
      <c r="U2" s="634"/>
      <c r="V2" s="634"/>
      <c r="W2" s="6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4"/>
      <c r="Q3" s="634"/>
      <c r="R3" s="634"/>
      <c r="S3" s="634"/>
      <c r="T3" s="634"/>
      <c r="U3" s="634"/>
      <c r="V3" s="634"/>
      <c r="W3" s="6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5" t="s">
        <v>8</v>
      </c>
      <c r="B5" s="635"/>
      <c r="C5" s="635"/>
      <c r="D5" s="636"/>
      <c r="E5" s="636"/>
      <c r="F5" s="637" t="s">
        <v>14</v>
      </c>
      <c r="G5" s="637"/>
      <c r="H5" s="636" t="s">
        <v>907</v>
      </c>
      <c r="I5" s="636"/>
      <c r="J5" s="636"/>
      <c r="K5" s="636"/>
      <c r="L5" s="636"/>
      <c r="M5" s="636"/>
      <c r="N5" s="69"/>
      <c r="P5" s="26" t="s">
        <v>4</v>
      </c>
      <c r="Q5" s="638">
        <v>46236</v>
      </c>
      <c r="R5" s="638"/>
      <c r="T5" s="639" t="s">
        <v>3</v>
      </c>
      <c r="U5" s="640"/>
      <c r="V5" s="641" t="s">
        <v>867</v>
      </c>
      <c r="W5" s="642"/>
      <c r="AB5" s="57"/>
      <c r="AC5" s="57"/>
      <c r="AD5" s="57"/>
      <c r="AE5" s="57"/>
    </row>
    <row r="6" spans="1:32" s="17" customFormat="1" ht="24" customHeight="1" x14ac:dyDescent="0.2">
      <c r="A6" s="635" t="s">
        <v>1</v>
      </c>
      <c r="B6" s="635"/>
      <c r="C6" s="635"/>
      <c r="D6" s="643" t="s">
        <v>880</v>
      </c>
      <c r="E6" s="643"/>
      <c r="F6" s="643"/>
      <c r="G6" s="643"/>
      <c r="H6" s="643"/>
      <c r="I6" s="643"/>
      <c r="J6" s="643"/>
      <c r="K6" s="643"/>
      <c r="L6" s="643"/>
      <c r="M6" s="643"/>
      <c r="N6" s="70"/>
      <c r="P6" s="26" t="s">
        <v>27</v>
      </c>
      <c r="Q6" s="644" t="str">
        <f>IF(Q5=0," ",CHOOSE(WEEKDAY(Q5,2),"Понедельник","Вторник","Среда","Четверг","Пятница","Суббота","Воскресенье"))</f>
        <v>Воскресенье</v>
      </c>
      <c r="R6" s="644"/>
      <c r="T6" s="645" t="s">
        <v>5</v>
      </c>
      <c r="U6" s="646"/>
      <c r="V6" s="647" t="s">
        <v>69</v>
      </c>
      <c r="W6" s="64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3" t="str">
        <f>IFERROR(VLOOKUP(DeliveryAddress,Table,3,0),1)</f>
        <v>5</v>
      </c>
      <c r="E7" s="654"/>
      <c r="F7" s="654"/>
      <c r="G7" s="654"/>
      <c r="H7" s="654"/>
      <c r="I7" s="654"/>
      <c r="J7" s="654"/>
      <c r="K7" s="654"/>
      <c r="L7" s="654"/>
      <c r="M7" s="655"/>
      <c r="N7" s="71"/>
      <c r="P7" s="26"/>
      <c r="Q7" s="46"/>
      <c r="R7" s="46"/>
      <c r="T7" s="645"/>
      <c r="U7" s="646"/>
      <c r="V7" s="649"/>
      <c r="W7" s="650"/>
      <c r="AB7" s="57"/>
      <c r="AC7" s="57"/>
      <c r="AD7" s="57"/>
      <c r="AE7" s="57"/>
    </row>
    <row r="8" spans="1:32" s="17" customFormat="1" ht="25.5" customHeight="1" x14ac:dyDescent="0.2">
      <c r="A8" s="656" t="s">
        <v>57</v>
      </c>
      <c r="B8" s="656"/>
      <c r="C8" s="656"/>
      <c r="D8" s="657"/>
      <c r="E8" s="657"/>
      <c r="F8" s="657"/>
      <c r="G8" s="657"/>
      <c r="H8" s="657"/>
      <c r="I8" s="657"/>
      <c r="J8" s="657"/>
      <c r="K8" s="657"/>
      <c r="L8" s="657"/>
      <c r="M8" s="657"/>
      <c r="N8" s="72"/>
      <c r="P8" s="26" t="s">
        <v>11</v>
      </c>
      <c r="Q8" s="658">
        <v>0.45833333333333331</v>
      </c>
      <c r="R8" s="658"/>
      <c r="T8" s="645"/>
      <c r="U8" s="646"/>
      <c r="V8" s="649"/>
      <c r="W8" s="650"/>
      <c r="AB8" s="57"/>
      <c r="AC8" s="57"/>
      <c r="AD8" s="57"/>
      <c r="AE8" s="57"/>
    </row>
    <row r="9" spans="1:32" s="1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9"/>
      <c r="C9" s="659"/>
      <c r="D9" s="660" t="s">
        <v>46</v>
      </c>
      <c r="E9" s="661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9"/>
      <c r="H9" s="662" t="str">
        <f>IF(AND($A$9="Тип доверенности/получателя при получении в адресе перегруза:",$D$9="Разовая доверенность"),"Введите ФИО","")</f>
        <v/>
      </c>
      <c r="I9" s="662"/>
      <c r="J9" s="6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2"/>
      <c r="L9" s="662"/>
      <c r="M9" s="662"/>
      <c r="N9" s="67"/>
      <c r="P9" s="29" t="s">
        <v>15</v>
      </c>
      <c r="Q9" s="663"/>
      <c r="R9" s="663"/>
      <c r="T9" s="645"/>
      <c r="U9" s="646"/>
      <c r="V9" s="651"/>
      <c r="W9" s="65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9"/>
      <c r="C10" s="659"/>
      <c r="D10" s="660"/>
      <c r="E10" s="661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9"/>
      <c r="H10" s="664" t="str">
        <f>IFERROR(VLOOKUP($D$10,Proxy,2,FALSE),"")</f>
        <v/>
      </c>
      <c r="I10" s="664"/>
      <c r="J10" s="664"/>
      <c r="K10" s="664"/>
      <c r="L10" s="664"/>
      <c r="M10" s="664"/>
      <c r="N10" s="68"/>
      <c r="P10" s="29" t="s">
        <v>32</v>
      </c>
      <c r="Q10" s="665"/>
      <c r="R10" s="665"/>
      <c r="U10" s="26" t="s">
        <v>12</v>
      </c>
      <c r="V10" s="666" t="s">
        <v>70</v>
      </c>
      <c r="W10" s="66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68"/>
      <c r="R11" s="668"/>
      <c r="U11" s="26" t="s">
        <v>28</v>
      </c>
      <c r="V11" s="669" t="s">
        <v>908</v>
      </c>
      <c r="W11" s="66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0" t="s">
        <v>71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0"/>
      <c r="N12" s="73"/>
      <c r="P12" s="26" t="s">
        <v>30</v>
      </c>
      <c r="Q12" s="658"/>
      <c r="R12" s="658"/>
      <c r="S12" s="27"/>
      <c r="T12"/>
      <c r="U12" s="26" t="s">
        <v>46</v>
      </c>
      <c r="V12" s="671"/>
      <c r="W12" s="671"/>
      <c r="X12"/>
      <c r="AB12" s="57"/>
      <c r="AC12" s="57"/>
      <c r="AD12" s="57"/>
      <c r="AE12" s="57"/>
    </row>
    <row r="13" spans="1:32" s="17" customFormat="1" ht="23.25" customHeight="1" x14ac:dyDescent="0.2">
      <c r="A13" s="670" t="s">
        <v>72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0"/>
      <c r="N13" s="73"/>
      <c r="O13" s="29"/>
      <c r="P13" s="29" t="s">
        <v>31</v>
      </c>
      <c r="Q13" s="669"/>
      <c r="R13" s="66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0" t="s">
        <v>73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2" t="s">
        <v>74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2"/>
      <c r="N15" s="74"/>
      <c r="O15"/>
      <c r="P15" s="673" t="s">
        <v>60</v>
      </c>
      <c r="Q15" s="673"/>
      <c r="R15" s="673"/>
      <c r="S15" s="673"/>
      <c r="T15" s="6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4"/>
      <c r="Q16" s="674"/>
      <c r="R16" s="674"/>
      <c r="S16" s="674"/>
      <c r="T16" s="6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7" t="s">
        <v>58</v>
      </c>
      <c r="B17" s="677" t="s">
        <v>49</v>
      </c>
      <c r="C17" s="679" t="s">
        <v>48</v>
      </c>
      <c r="D17" s="681" t="s">
        <v>50</v>
      </c>
      <c r="E17" s="682"/>
      <c r="F17" s="677" t="s">
        <v>21</v>
      </c>
      <c r="G17" s="677" t="s">
        <v>24</v>
      </c>
      <c r="H17" s="677" t="s">
        <v>22</v>
      </c>
      <c r="I17" s="677" t="s">
        <v>23</v>
      </c>
      <c r="J17" s="677" t="s">
        <v>16</v>
      </c>
      <c r="K17" s="677" t="s">
        <v>65</v>
      </c>
      <c r="L17" s="677" t="s">
        <v>63</v>
      </c>
      <c r="M17" s="677" t="s">
        <v>2</v>
      </c>
      <c r="N17" s="677" t="s">
        <v>62</v>
      </c>
      <c r="O17" s="677" t="s">
        <v>25</v>
      </c>
      <c r="P17" s="681" t="s">
        <v>17</v>
      </c>
      <c r="Q17" s="685"/>
      <c r="R17" s="685"/>
      <c r="S17" s="685"/>
      <c r="T17" s="682"/>
      <c r="U17" s="675" t="s">
        <v>55</v>
      </c>
      <c r="V17" s="676"/>
      <c r="W17" s="677" t="s">
        <v>6</v>
      </c>
      <c r="X17" s="677" t="s">
        <v>41</v>
      </c>
      <c r="Y17" s="687" t="s">
        <v>54</v>
      </c>
      <c r="Z17" s="689" t="s">
        <v>18</v>
      </c>
      <c r="AA17" s="691" t="s">
        <v>59</v>
      </c>
      <c r="AB17" s="691" t="s">
        <v>19</v>
      </c>
      <c r="AC17" s="691" t="s">
        <v>64</v>
      </c>
      <c r="AD17" s="693" t="s">
        <v>56</v>
      </c>
      <c r="AE17" s="694"/>
      <c r="AF17" s="695"/>
      <c r="AG17" s="77"/>
      <c r="BD17" s="76" t="s">
        <v>61</v>
      </c>
    </row>
    <row r="18" spans="1:68" ht="14.25" customHeight="1" x14ac:dyDescent="0.2">
      <c r="A18" s="678"/>
      <c r="B18" s="678"/>
      <c r="C18" s="680"/>
      <c r="D18" s="683"/>
      <c r="E18" s="684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683"/>
      <c r="Q18" s="686"/>
      <c r="R18" s="686"/>
      <c r="S18" s="686"/>
      <c r="T18" s="684"/>
      <c r="U18" s="78" t="s">
        <v>44</v>
      </c>
      <c r="V18" s="78" t="s">
        <v>43</v>
      </c>
      <c r="W18" s="678"/>
      <c r="X18" s="678"/>
      <c r="Y18" s="688"/>
      <c r="Z18" s="690"/>
      <c r="AA18" s="692"/>
      <c r="AB18" s="692"/>
      <c r="AC18" s="692"/>
      <c r="AD18" s="696"/>
      <c r="AE18" s="697"/>
      <c r="AF18" s="698"/>
      <c r="AG18" s="77"/>
      <c r="BD18" s="76"/>
    </row>
    <row r="19" spans="1:68" ht="27.75" hidden="1" customHeight="1" x14ac:dyDescent="0.2">
      <c r="A19" s="699" t="s">
        <v>75</v>
      </c>
      <c r="B19" s="699"/>
      <c r="C19" s="699"/>
      <c r="D19" s="699"/>
      <c r="E19" s="699"/>
      <c r="F19" s="699"/>
      <c r="G19" s="699"/>
      <c r="H19" s="699"/>
      <c r="I19" s="699"/>
      <c r="J19" s="699"/>
      <c r="K19" s="699"/>
      <c r="L19" s="699"/>
      <c r="M19" s="699"/>
      <c r="N19" s="699"/>
      <c r="O19" s="699"/>
      <c r="P19" s="699"/>
      <c r="Q19" s="699"/>
      <c r="R19" s="699"/>
      <c r="S19" s="699"/>
      <c r="T19" s="699"/>
      <c r="U19" s="699"/>
      <c r="V19" s="699"/>
      <c r="W19" s="699"/>
      <c r="X19" s="699"/>
      <c r="Y19" s="699"/>
      <c r="Z19" s="699"/>
      <c r="AA19" s="52"/>
      <c r="AB19" s="52"/>
      <c r="AC19" s="52"/>
    </row>
    <row r="20" spans="1:68" ht="16.5" hidden="1" customHeight="1" x14ac:dyDescent="0.25">
      <c r="A20" s="700" t="s">
        <v>75</v>
      </c>
      <c r="B20" s="700"/>
      <c r="C20" s="700"/>
      <c r="D20" s="700"/>
      <c r="E20" s="700"/>
      <c r="F20" s="700"/>
      <c r="G20" s="700"/>
      <c r="H20" s="700"/>
      <c r="I20" s="700"/>
      <c r="J20" s="700"/>
      <c r="K20" s="700"/>
      <c r="L20" s="700"/>
      <c r="M20" s="700"/>
      <c r="N20" s="700"/>
      <c r="O20" s="700"/>
      <c r="P20" s="700"/>
      <c r="Q20" s="700"/>
      <c r="R20" s="700"/>
      <c r="S20" s="700"/>
      <c r="T20" s="700"/>
      <c r="U20" s="700"/>
      <c r="V20" s="700"/>
      <c r="W20" s="700"/>
      <c r="X20" s="700"/>
      <c r="Y20" s="700"/>
      <c r="Z20" s="700"/>
      <c r="AA20" s="62"/>
      <c r="AB20" s="62"/>
      <c r="AC20" s="62"/>
    </row>
    <row r="21" spans="1:68" ht="14.25" hidden="1" customHeight="1" x14ac:dyDescent="0.25">
      <c r="A21" s="701" t="s">
        <v>76</v>
      </c>
      <c r="B21" s="701"/>
      <c r="C21" s="701"/>
      <c r="D21" s="701"/>
      <c r="E21" s="701"/>
      <c r="F21" s="701"/>
      <c r="G21" s="701"/>
      <c r="H21" s="701"/>
      <c r="I21" s="701"/>
      <c r="J21" s="701"/>
      <c r="K21" s="701"/>
      <c r="L21" s="701"/>
      <c r="M21" s="701"/>
      <c r="N21" s="701"/>
      <c r="O21" s="701"/>
      <c r="P21" s="701"/>
      <c r="Q21" s="701"/>
      <c r="R21" s="701"/>
      <c r="S21" s="701"/>
      <c r="T21" s="701"/>
      <c r="U21" s="701"/>
      <c r="V21" s="701"/>
      <c r="W21" s="701"/>
      <c r="X21" s="701"/>
      <c r="Y21" s="701"/>
      <c r="Z21" s="70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2">
        <v>4680115886643</v>
      </c>
      <c r="E22" s="7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4"/>
      <c r="R22" s="704"/>
      <c r="S22" s="704"/>
      <c r="T22" s="7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2">
        <v>4680115889071</v>
      </c>
      <c r="E23" s="7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4"/>
      <c r="R23" s="704"/>
      <c r="S23" s="704"/>
      <c r="T23" s="7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0"/>
      <c r="B24" s="710"/>
      <c r="C24" s="710"/>
      <c r="D24" s="710"/>
      <c r="E24" s="710"/>
      <c r="F24" s="710"/>
      <c r="G24" s="710"/>
      <c r="H24" s="710"/>
      <c r="I24" s="710"/>
      <c r="J24" s="710"/>
      <c r="K24" s="710"/>
      <c r="L24" s="710"/>
      <c r="M24" s="710"/>
      <c r="N24" s="710"/>
      <c r="O24" s="711"/>
      <c r="P24" s="707" t="s">
        <v>40</v>
      </c>
      <c r="Q24" s="708"/>
      <c r="R24" s="708"/>
      <c r="S24" s="708"/>
      <c r="T24" s="708"/>
      <c r="U24" s="708"/>
      <c r="V24" s="70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0"/>
      <c r="B25" s="710"/>
      <c r="C25" s="710"/>
      <c r="D25" s="710"/>
      <c r="E25" s="710"/>
      <c r="F25" s="710"/>
      <c r="G25" s="710"/>
      <c r="H25" s="710"/>
      <c r="I25" s="710"/>
      <c r="J25" s="710"/>
      <c r="K25" s="710"/>
      <c r="L25" s="710"/>
      <c r="M25" s="710"/>
      <c r="N25" s="710"/>
      <c r="O25" s="711"/>
      <c r="P25" s="707" t="s">
        <v>40</v>
      </c>
      <c r="Q25" s="708"/>
      <c r="R25" s="708"/>
      <c r="S25" s="708"/>
      <c r="T25" s="708"/>
      <c r="U25" s="708"/>
      <c r="V25" s="70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1" t="s">
        <v>85</v>
      </c>
      <c r="B26" s="701"/>
      <c r="C26" s="701"/>
      <c r="D26" s="701"/>
      <c r="E26" s="701"/>
      <c r="F26" s="701"/>
      <c r="G26" s="701"/>
      <c r="H26" s="701"/>
      <c r="I26" s="701"/>
      <c r="J26" s="701"/>
      <c r="K26" s="701"/>
      <c r="L26" s="701"/>
      <c r="M26" s="701"/>
      <c r="N26" s="701"/>
      <c r="O26" s="701"/>
      <c r="P26" s="701"/>
      <c r="Q26" s="701"/>
      <c r="R26" s="701"/>
      <c r="S26" s="701"/>
      <c r="T26" s="701"/>
      <c r="U26" s="701"/>
      <c r="V26" s="701"/>
      <c r="W26" s="701"/>
      <c r="X26" s="701"/>
      <c r="Y26" s="701"/>
      <c r="Z26" s="70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2">
        <v>4680115885912</v>
      </c>
      <c r="E27" s="7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4"/>
      <c r="R27" s="704"/>
      <c r="S27" s="704"/>
      <c r="T27" s="70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2">
        <v>4607091388237</v>
      </c>
      <c r="E28" s="7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4"/>
      <c r="R28" s="704"/>
      <c r="S28" s="704"/>
      <c r="T28" s="70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2">
        <v>4680115887350</v>
      </c>
      <c r="E29" s="7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4"/>
      <c r="R29" s="704"/>
      <c r="S29" s="704"/>
      <c r="T29" s="70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2">
        <v>4680115885905</v>
      </c>
      <c r="E30" s="7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4"/>
      <c r="R30" s="704"/>
      <c r="S30" s="704"/>
      <c r="T30" s="70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2">
        <v>4680115887619</v>
      </c>
      <c r="E31" s="7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4"/>
      <c r="R31" s="704"/>
      <c r="S31" s="704"/>
      <c r="T31" s="70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0"/>
      <c r="B32" s="710"/>
      <c r="C32" s="710"/>
      <c r="D32" s="710"/>
      <c r="E32" s="710"/>
      <c r="F32" s="710"/>
      <c r="G32" s="710"/>
      <c r="H32" s="710"/>
      <c r="I32" s="710"/>
      <c r="J32" s="710"/>
      <c r="K32" s="710"/>
      <c r="L32" s="710"/>
      <c r="M32" s="710"/>
      <c r="N32" s="710"/>
      <c r="O32" s="711"/>
      <c r="P32" s="707" t="s">
        <v>40</v>
      </c>
      <c r="Q32" s="708"/>
      <c r="R32" s="708"/>
      <c r="S32" s="708"/>
      <c r="T32" s="708"/>
      <c r="U32" s="708"/>
      <c r="V32" s="70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0"/>
      <c r="B33" s="710"/>
      <c r="C33" s="710"/>
      <c r="D33" s="710"/>
      <c r="E33" s="710"/>
      <c r="F33" s="710"/>
      <c r="G33" s="710"/>
      <c r="H33" s="710"/>
      <c r="I33" s="710"/>
      <c r="J33" s="710"/>
      <c r="K33" s="710"/>
      <c r="L33" s="710"/>
      <c r="M33" s="710"/>
      <c r="N33" s="710"/>
      <c r="O33" s="711"/>
      <c r="P33" s="707" t="s">
        <v>40</v>
      </c>
      <c r="Q33" s="708"/>
      <c r="R33" s="708"/>
      <c r="S33" s="708"/>
      <c r="T33" s="708"/>
      <c r="U33" s="708"/>
      <c r="V33" s="70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1" t="s">
        <v>103</v>
      </c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701"/>
      <c r="Q34" s="701"/>
      <c r="R34" s="701"/>
      <c r="S34" s="701"/>
      <c r="T34" s="701"/>
      <c r="U34" s="701"/>
      <c r="V34" s="701"/>
      <c r="W34" s="701"/>
      <c r="X34" s="701"/>
      <c r="Y34" s="701"/>
      <c r="Z34" s="70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2">
        <v>4607091388503</v>
      </c>
      <c r="E35" s="70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4"/>
      <c r="R35" s="704"/>
      <c r="S35" s="704"/>
      <c r="T35" s="70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0"/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1"/>
      <c r="P36" s="707" t="s">
        <v>40</v>
      </c>
      <c r="Q36" s="708"/>
      <c r="R36" s="708"/>
      <c r="S36" s="708"/>
      <c r="T36" s="708"/>
      <c r="U36" s="708"/>
      <c r="V36" s="70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0"/>
      <c r="B37" s="710"/>
      <c r="C37" s="710"/>
      <c r="D37" s="710"/>
      <c r="E37" s="710"/>
      <c r="F37" s="710"/>
      <c r="G37" s="710"/>
      <c r="H37" s="710"/>
      <c r="I37" s="710"/>
      <c r="J37" s="710"/>
      <c r="K37" s="710"/>
      <c r="L37" s="710"/>
      <c r="M37" s="710"/>
      <c r="N37" s="710"/>
      <c r="O37" s="711"/>
      <c r="P37" s="707" t="s">
        <v>40</v>
      </c>
      <c r="Q37" s="708"/>
      <c r="R37" s="708"/>
      <c r="S37" s="708"/>
      <c r="T37" s="708"/>
      <c r="U37" s="708"/>
      <c r="V37" s="70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99" t="s">
        <v>45</v>
      </c>
      <c r="B38" s="699"/>
      <c r="C38" s="699"/>
      <c r="D38" s="699"/>
      <c r="E38" s="699"/>
      <c r="F38" s="699"/>
      <c r="G38" s="699"/>
      <c r="H38" s="699"/>
      <c r="I38" s="699"/>
      <c r="J38" s="699"/>
      <c r="K38" s="699"/>
      <c r="L38" s="699"/>
      <c r="M38" s="699"/>
      <c r="N38" s="699"/>
      <c r="O38" s="699"/>
      <c r="P38" s="699"/>
      <c r="Q38" s="699"/>
      <c r="R38" s="699"/>
      <c r="S38" s="699"/>
      <c r="T38" s="699"/>
      <c r="U38" s="699"/>
      <c r="V38" s="699"/>
      <c r="W38" s="699"/>
      <c r="X38" s="699"/>
      <c r="Y38" s="699"/>
      <c r="Z38" s="699"/>
      <c r="AA38" s="52"/>
      <c r="AB38" s="52"/>
      <c r="AC38" s="52"/>
    </row>
    <row r="39" spans="1:68" ht="16.5" hidden="1" customHeight="1" x14ac:dyDescent="0.25">
      <c r="A39" s="700" t="s">
        <v>109</v>
      </c>
      <c r="B39" s="700"/>
      <c r="C39" s="700"/>
      <c r="D39" s="700"/>
      <c r="E39" s="700"/>
      <c r="F39" s="700"/>
      <c r="G39" s="700"/>
      <c r="H39" s="700"/>
      <c r="I39" s="700"/>
      <c r="J39" s="700"/>
      <c r="K39" s="700"/>
      <c r="L39" s="700"/>
      <c r="M39" s="700"/>
      <c r="N39" s="700"/>
      <c r="O39" s="700"/>
      <c r="P39" s="700"/>
      <c r="Q39" s="700"/>
      <c r="R39" s="700"/>
      <c r="S39" s="700"/>
      <c r="T39" s="700"/>
      <c r="U39" s="700"/>
      <c r="V39" s="700"/>
      <c r="W39" s="700"/>
      <c r="X39" s="700"/>
      <c r="Y39" s="700"/>
      <c r="Z39" s="700"/>
      <c r="AA39" s="62"/>
      <c r="AB39" s="62"/>
      <c r="AC39" s="62"/>
    </row>
    <row r="40" spans="1:68" ht="14.25" hidden="1" customHeight="1" x14ac:dyDescent="0.25">
      <c r="A40" s="701" t="s">
        <v>85</v>
      </c>
      <c r="B40" s="701"/>
      <c r="C40" s="701"/>
      <c r="D40" s="701"/>
      <c r="E40" s="701"/>
      <c r="F40" s="701"/>
      <c r="G40" s="701"/>
      <c r="H40" s="701"/>
      <c r="I40" s="701"/>
      <c r="J40" s="701"/>
      <c r="K40" s="701"/>
      <c r="L40" s="701"/>
      <c r="M40" s="701"/>
      <c r="N40" s="701"/>
      <c r="O40" s="701"/>
      <c r="P40" s="701"/>
      <c r="Q40" s="701"/>
      <c r="R40" s="701"/>
      <c r="S40" s="701"/>
      <c r="T40" s="701"/>
      <c r="U40" s="701"/>
      <c r="V40" s="701"/>
      <c r="W40" s="701"/>
      <c r="X40" s="701"/>
      <c r="Y40" s="701"/>
      <c r="Z40" s="70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2">
        <v>4680115889354</v>
      </c>
      <c r="E41" s="70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1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4"/>
      <c r="R41" s="704"/>
      <c r="S41" s="704"/>
      <c r="T41" s="70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2">
        <v>4680115888463</v>
      </c>
      <c r="E42" s="7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1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4"/>
      <c r="R42" s="704"/>
      <c r="S42" s="704"/>
      <c r="T42" s="7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2">
        <v>4680115888494</v>
      </c>
      <c r="E43" s="7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4"/>
      <c r="R43" s="704"/>
      <c r="S43" s="704"/>
      <c r="T43" s="7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2">
        <v>4680115888272</v>
      </c>
      <c r="E44" s="7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4"/>
      <c r="R44" s="704"/>
      <c r="S44" s="704"/>
      <c r="T44" s="70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2">
        <v>4680115888364</v>
      </c>
      <c r="E45" s="7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4"/>
      <c r="R45" s="704"/>
      <c r="S45" s="704"/>
      <c r="T45" s="7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0"/>
      <c r="B46" s="710"/>
      <c r="C46" s="710"/>
      <c r="D46" s="710"/>
      <c r="E46" s="710"/>
      <c r="F46" s="710"/>
      <c r="G46" s="710"/>
      <c r="H46" s="710"/>
      <c r="I46" s="710"/>
      <c r="J46" s="710"/>
      <c r="K46" s="710"/>
      <c r="L46" s="710"/>
      <c r="M46" s="710"/>
      <c r="N46" s="710"/>
      <c r="O46" s="711"/>
      <c r="P46" s="707" t="s">
        <v>40</v>
      </c>
      <c r="Q46" s="708"/>
      <c r="R46" s="708"/>
      <c r="S46" s="708"/>
      <c r="T46" s="708"/>
      <c r="U46" s="708"/>
      <c r="V46" s="70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0"/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1"/>
      <c r="P47" s="707" t="s">
        <v>40</v>
      </c>
      <c r="Q47" s="708"/>
      <c r="R47" s="708"/>
      <c r="S47" s="708"/>
      <c r="T47" s="708"/>
      <c r="U47" s="708"/>
      <c r="V47" s="70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99" t="s">
        <v>125</v>
      </c>
      <c r="B48" s="699"/>
      <c r="C48" s="699"/>
      <c r="D48" s="699"/>
      <c r="E48" s="699"/>
      <c r="F48" s="699"/>
      <c r="G48" s="699"/>
      <c r="H48" s="699"/>
      <c r="I48" s="699"/>
      <c r="J48" s="699"/>
      <c r="K48" s="699"/>
      <c r="L48" s="699"/>
      <c r="M48" s="699"/>
      <c r="N48" s="699"/>
      <c r="O48" s="699"/>
      <c r="P48" s="699"/>
      <c r="Q48" s="699"/>
      <c r="R48" s="699"/>
      <c r="S48" s="699"/>
      <c r="T48" s="699"/>
      <c r="U48" s="699"/>
      <c r="V48" s="699"/>
      <c r="W48" s="699"/>
      <c r="X48" s="699"/>
      <c r="Y48" s="699"/>
      <c r="Z48" s="699"/>
      <c r="AA48" s="52"/>
      <c r="AB48" s="52"/>
      <c r="AC48" s="52"/>
    </row>
    <row r="49" spans="1:68" ht="16.5" hidden="1" customHeight="1" x14ac:dyDescent="0.25">
      <c r="A49" s="700" t="s">
        <v>126</v>
      </c>
      <c r="B49" s="700"/>
      <c r="C49" s="700"/>
      <c r="D49" s="700"/>
      <c r="E49" s="700"/>
      <c r="F49" s="700"/>
      <c r="G49" s="700"/>
      <c r="H49" s="700"/>
      <c r="I49" s="700"/>
      <c r="J49" s="700"/>
      <c r="K49" s="700"/>
      <c r="L49" s="700"/>
      <c r="M49" s="700"/>
      <c r="N49" s="700"/>
      <c r="O49" s="700"/>
      <c r="P49" s="700"/>
      <c r="Q49" s="700"/>
      <c r="R49" s="700"/>
      <c r="S49" s="700"/>
      <c r="T49" s="700"/>
      <c r="U49" s="700"/>
      <c r="V49" s="700"/>
      <c r="W49" s="700"/>
      <c r="X49" s="700"/>
      <c r="Y49" s="700"/>
      <c r="Z49" s="700"/>
      <c r="AA49" s="62"/>
      <c r="AB49" s="62"/>
      <c r="AC49" s="62"/>
    </row>
    <row r="50" spans="1:68" ht="14.25" hidden="1" customHeight="1" x14ac:dyDescent="0.25">
      <c r="A50" s="701" t="s">
        <v>127</v>
      </c>
      <c r="B50" s="701"/>
      <c r="C50" s="701"/>
      <c r="D50" s="701"/>
      <c r="E50" s="701"/>
      <c r="F50" s="701"/>
      <c r="G50" s="701"/>
      <c r="H50" s="701"/>
      <c r="I50" s="701"/>
      <c r="J50" s="701"/>
      <c r="K50" s="701"/>
      <c r="L50" s="701"/>
      <c r="M50" s="701"/>
      <c r="N50" s="701"/>
      <c r="O50" s="701"/>
      <c r="P50" s="701"/>
      <c r="Q50" s="701"/>
      <c r="R50" s="701"/>
      <c r="S50" s="701"/>
      <c r="T50" s="701"/>
      <c r="U50" s="701"/>
      <c r="V50" s="701"/>
      <c r="W50" s="701"/>
      <c r="X50" s="701"/>
      <c r="Y50" s="701"/>
      <c r="Z50" s="70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2">
        <v>4607091385670</v>
      </c>
      <c r="E51" s="7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4"/>
      <c r="R51" s="704"/>
      <c r="S51" s="704"/>
      <c r="T51" s="70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2">
        <v>4680115887725</v>
      </c>
      <c r="E52" s="7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4"/>
      <c r="R52" s="704"/>
      <c r="S52" s="704"/>
      <c r="T52" s="7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2">
        <v>4607091385687</v>
      </c>
      <c r="E53" s="7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4"/>
      <c r="R53" s="704"/>
      <c r="S53" s="704"/>
      <c r="T53" s="70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2">
        <v>4680115882539</v>
      </c>
      <c r="E54" s="7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4"/>
      <c r="R54" s="704"/>
      <c r="S54" s="704"/>
      <c r="T54" s="7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0"/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1"/>
      <c r="P55" s="707" t="s">
        <v>40</v>
      </c>
      <c r="Q55" s="708"/>
      <c r="R55" s="708"/>
      <c r="S55" s="708"/>
      <c r="T55" s="708"/>
      <c r="U55" s="708"/>
      <c r="V55" s="70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0"/>
      <c r="B56" s="710"/>
      <c r="C56" s="710"/>
      <c r="D56" s="710"/>
      <c r="E56" s="710"/>
      <c r="F56" s="710"/>
      <c r="G56" s="710"/>
      <c r="H56" s="710"/>
      <c r="I56" s="710"/>
      <c r="J56" s="710"/>
      <c r="K56" s="710"/>
      <c r="L56" s="710"/>
      <c r="M56" s="710"/>
      <c r="N56" s="710"/>
      <c r="O56" s="711"/>
      <c r="P56" s="707" t="s">
        <v>40</v>
      </c>
      <c r="Q56" s="708"/>
      <c r="R56" s="708"/>
      <c r="S56" s="708"/>
      <c r="T56" s="708"/>
      <c r="U56" s="708"/>
      <c r="V56" s="70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0" t="s">
        <v>142</v>
      </c>
      <c r="B57" s="700"/>
      <c r="C57" s="700"/>
      <c r="D57" s="700"/>
      <c r="E57" s="700"/>
      <c r="F57" s="700"/>
      <c r="G57" s="700"/>
      <c r="H57" s="700"/>
      <c r="I57" s="700"/>
      <c r="J57" s="700"/>
      <c r="K57" s="700"/>
      <c r="L57" s="700"/>
      <c r="M57" s="700"/>
      <c r="N57" s="700"/>
      <c r="O57" s="700"/>
      <c r="P57" s="700"/>
      <c r="Q57" s="700"/>
      <c r="R57" s="700"/>
      <c r="S57" s="700"/>
      <c r="T57" s="700"/>
      <c r="U57" s="700"/>
      <c r="V57" s="700"/>
      <c r="W57" s="700"/>
      <c r="X57" s="700"/>
      <c r="Y57" s="700"/>
      <c r="Z57" s="700"/>
      <c r="AA57" s="62"/>
      <c r="AB57" s="62"/>
      <c r="AC57" s="62"/>
    </row>
    <row r="58" spans="1:68" ht="14.25" hidden="1" customHeight="1" x14ac:dyDescent="0.25">
      <c r="A58" s="701" t="s">
        <v>127</v>
      </c>
      <c r="B58" s="701"/>
      <c r="C58" s="701"/>
      <c r="D58" s="701"/>
      <c r="E58" s="701"/>
      <c r="F58" s="701"/>
      <c r="G58" s="701"/>
      <c r="H58" s="701"/>
      <c r="I58" s="701"/>
      <c r="J58" s="701"/>
      <c r="K58" s="701"/>
      <c r="L58" s="701"/>
      <c r="M58" s="701"/>
      <c r="N58" s="701"/>
      <c r="O58" s="701"/>
      <c r="P58" s="701"/>
      <c r="Q58" s="701"/>
      <c r="R58" s="701"/>
      <c r="S58" s="701"/>
      <c r="T58" s="701"/>
      <c r="U58" s="701"/>
      <c r="V58" s="701"/>
      <c r="W58" s="701"/>
      <c r="X58" s="701"/>
      <c r="Y58" s="701"/>
      <c r="Z58" s="70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2">
        <v>4680115885882</v>
      </c>
      <c r="E59" s="7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4"/>
      <c r="R59" s="704"/>
      <c r="S59" s="704"/>
      <c r="T59" s="7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2">
        <v>4680115885882</v>
      </c>
      <c r="E60" s="7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4"/>
      <c r="R60" s="704"/>
      <c r="S60" s="704"/>
      <c r="T60" s="7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2">
        <v>4680115881426</v>
      </c>
      <c r="E61" s="7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4"/>
      <c r="R61" s="704"/>
      <c r="S61" s="704"/>
      <c r="T61" s="70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2">
        <v>4680115880283</v>
      </c>
      <c r="E62" s="7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4"/>
      <c r="R62" s="704"/>
      <c r="S62" s="704"/>
      <c r="T62" s="7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2">
        <v>4680115880283</v>
      </c>
      <c r="E63" s="70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4"/>
      <c r="R63" s="704"/>
      <c r="S63" s="704"/>
      <c r="T63" s="7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2">
        <v>4680115881525</v>
      </c>
      <c r="E64" s="70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4"/>
      <c r="R64" s="704"/>
      <c r="S64" s="704"/>
      <c r="T64" s="7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2">
        <v>4680115885899</v>
      </c>
      <c r="E65" s="70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4"/>
      <c r="R65" s="704"/>
      <c r="S65" s="704"/>
      <c r="T65" s="70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2">
        <v>4680115881419</v>
      </c>
      <c r="E66" s="70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4"/>
      <c r="R66" s="704"/>
      <c r="S66" s="704"/>
      <c r="T66" s="705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0"/>
      <c r="B67" s="710"/>
      <c r="C67" s="710"/>
      <c r="D67" s="710"/>
      <c r="E67" s="710"/>
      <c r="F67" s="710"/>
      <c r="G67" s="710"/>
      <c r="H67" s="710"/>
      <c r="I67" s="710"/>
      <c r="J67" s="710"/>
      <c r="K67" s="710"/>
      <c r="L67" s="710"/>
      <c r="M67" s="710"/>
      <c r="N67" s="710"/>
      <c r="O67" s="711"/>
      <c r="P67" s="707" t="s">
        <v>40</v>
      </c>
      <c r="Q67" s="708"/>
      <c r="R67" s="708"/>
      <c r="S67" s="708"/>
      <c r="T67" s="708"/>
      <c r="U67" s="708"/>
      <c r="V67" s="70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0"/>
      <c r="B68" s="710"/>
      <c r="C68" s="710"/>
      <c r="D68" s="710"/>
      <c r="E68" s="710"/>
      <c r="F68" s="710"/>
      <c r="G68" s="710"/>
      <c r="H68" s="710"/>
      <c r="I68" s="710"/>
      <c r="J68" s="710"/>
      <c r="K68" s="710"/>
      <c r="L68" s="710"/>
      <c r="M68" s="710"/>
      <c r="N68" s="710"/>
      <c r="O68" s="711"/>
      <c r="P68" s="707" t="s">
        <v>40</v>
      </c>
      <c r="Q68" s="708"/>
      <c r="R68" s="708"/>
      <c r="S68" s="708"/>
      <c r="T68" s="708"/>
      <c r="U68" s="708"/>
      <c r="V68" s="70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1" t="s">
        <v>163</v>
      </c>
      <c r="B69" s="701"/>
      <c r="C69" s="701"/>
      <c r="D69" s="701"/>
      <c r="E69" s="701"/>
      <c r="F69" s="701"/>
      <c r="G69" s="701"/>
      <c r="H69" s="701"/>
      <c r="I69" s="701"/>
      <c r="J69" s="701"/>
      <c r="K69" s="701"/>
      <c r="L69" s="701"/>
      <c r="M69" s="701"/>
      <c r="N69" s="701"/>
      <c r="O69" s="701"/>
      <c r="P69" s="701"/>
      <c r="Q69" s="701"/>
      <c r="R69" s="701"/>
      <c r="S69" s="701"/>
      <c r="T69" s="701"/>
      <c r="U69" s="701"/>
      <c r="V69" s="701"/>
      <c r="W69" s="701"/>
      <c r="X69" s="701"/>
      <c r="Y69" s="701"/>
      <c r="Z69" s="70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2">
        <v>4680115881440</v>
      </c>
      <c r="E70" s="70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4"/>
      <c r="R70" s="704"/>
      <c r="S70" s="704"/>
      <c r="T70" s="7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2">
        <v>4680115885950</v>
      </c>
      <c r="E71" s="70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4"/>
      <c r="R71" s="704"/>
      <c r="S71" s="704"/>
      <c r="T71" s="7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2">
        <v>4680115887688</v>
      </c>
      <c r="E72" s="70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4"/>
      <c r="R72" s="704"/>
      <c r="S72" s="704"/>
      <c r="T72" s="70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2">
        <v>4680115881433</v>
      </c>
      <c r="E73" s="70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4"/>
      <c r="R73" s="704"/>
      <c r="S73" s="704"/>
      <c r="T73" s="70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0"/>
      <c r="B74" s="710"/>
      <c r="C74" s="710"/>
      <c r="D74" s="710"/>
      <c r="E74" s="710"/>
      <c r="F74" s="710"/>
      <c r="G74" s="710"/>
      <c r="H74" s="710"/>
      <c r="I74" s="710"/>
      <c r="J74" s="710"/>
      <c r="K74" s="710"/>
      <c r="L74" s="710"/>
      <c r="M74" s="710"/>
      <c r="N74" s="710"/>
      <c r="O74" s="711"/>
      <c r="P74" s="707" t="s">
        <v>40</v>
      </c>
      <c r="Q74" s="708"/>
      <c r="R74" s="708"/>
      <c r="S74" s="708"/>
      <c r="T74" s="708"/>
      <c r="U74" s="708"/>
      <c r="V74" s="70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0"/>
      <c r="B75" s="710"/>
      <c r="C75" s="710"/>
      <c r="D75" s="710"/>
      <c r="E75" s="710"/>
      <c r="F75" s="710"/>
      <c r="G75" s="710"/>
      <c r="H75" s="710"/>
      <c r="I75" s="710"/>
      <c r="J75" s="710"/>
      <c r="K75" s="710"/>
      <c r="L75" s="710"/>
      <c r="M75" s="710"/>
      <c r="N75" s="710"/>
      <c r="O75" s="711"/>
      <c r="P75" s="707" t="s">
        <v>40</v>
      </c>
      <c r="Q75" s="708"/>
      <c r="R75" s="708"/>
      <c r="S75" s="708"/>
      <c r="T75" s="708"/>
      <c r="U75" s="708"/>
      <c r="V75" s="70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1" t="s">
        <v>85</v>
      </c>
      <c r="B76" s="701"/>
      <c r="C76" s="701"/>
      <c r="D76" s="701"/>
      <c r="E76" s="701"/>
      <c r="F76" s="701"/>
      <c r="G76" s="701"/>
      <c r="H76" s="701"/>
      <c r="I76" s="701"/>
      <c r="J76" s="701"/>
      <c r="K76" s="701"/>
      <c r="L76" s="701"/>
      <c r="M76" s="701"/>
      <c r="N76" s="701"/>
      <c r="O76" s="701"/>
      <c r="P76" s="701"/>
      <c r="Q76" s="701"/>
      <c r="R76" s="701"/>
      <c r="S76" s="701"/>
      <c r="T76" s="701"/>
      <c r="U76" s="701"/>
      <c r="V76" s="701"/>
      <c r="W76" s="701"/>
      <c r="X76" s="701"/>
      <c r="Y76" s="701"/>
      <c r="Z76" s="70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2">
        <v>4680115884311</v>
      </c>
      <c r="E77" s="70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4"/>
      <c r="R77" s="704"/>
      <c r="S77" s="704"/>
      <c r="T77" s="7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2">
        <v>4680115884403</v>
      </c>
      <c r="E78" s="70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4"/>
      <c r="R78" s="704"/>
      <c r="S78" s="704"/>
      <c r="T78" s="70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0"/>
      <c r="B79" s="710"/>
      <c r="C79" s="710"/>
      <c r="D79" s="710"/>
      <c r="E79" s="710"/>
      <c r="F79" s="710"/>
      <c r="G79" s="710"/>
      <c r="H79" s="710"/>
      <c r="I79" s="710"/>
      <c r="J79" s="710"/>
      <c r="K79" s="710"/>
      <c r="L79" s="710"/>
      <c r="M79" s="710"/>
      <c r="N79" s="710"/>
      <c r="O79" s="711"/>
      <c r="P79" s="707" t="s">
        <v>40</v>
      </c>
      <c r="Q79" s="708"/>
      <c r="R79" s="708"/>
      <c r="S79" s="708"/>
      <c r="T79" s="708"/>
      <c r="U79" s="708"/>
      <c r="V79" s="70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0"/>
      <c r="B80" s="710"/>
      <c r="C80" s="710"/>
      <c r="D80" s="710"/>
      <c r="E80" s="710"/>
      <c r="F80" s="710"/>
      <c r="G80" s="710"/>
      <c r="H80" s="710"/>
      <c r="I80" s="710"/>
      <c r="J80" s="710"/>
      <c r="K80" s="710"/>
      <c r="L80" s="710"/>
      <c r="M80" s="710"/>
      <c r="N80" s="710"/>
      <c r="O80" s="711"/>
      <c r="P80" s="707" t="s">
        <v>40</v>
      </c>
      <c r="Q80" s="708"/>
      <c r="R80" s="708"/>
      <c r="S80" s="708"/>
      <c r="T80" s="708"/>
      <c r="U80" s="708"/>
      <c r="V80" s="70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1" t="s">
        <v>180</v>
      </c>
      <c r="B81" s="701"/>
      <c r="C81" s="701"/>
      <c r="D81" s="701"/>
      <c r="E81" s="701"/>
      <c r="F81" s="701"/>
      <c r="G81" s="701"/>
      <c r="H81" s="701"/>
      <c r="I81" s="701"/>
      <c r="J81" s="701"/>
      <c r="K81" s="701"/>
      <c r="L81" s="701"/>
      <c r="M81" s="701"/>
      <c r="N81" s="701"/>
      <c r="O81" s="701"/>
      <c r="P81" s="701"/>
      <c r="Q81" s="701"/>
      <c r="R81" s="701"/>
      <c r="S81" s="701"/>
      <c r="T81" s="701"/>
      <c r="U81" s="701"/>
      <c r="V81" s="701"/>
      <c r="W81" s="701"/>
      <c r="X81" s="701"/>
      <c r="Y81" s="701"/>
      <c r="Z81" s="70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2">
        <v>4680115881532</v>
      </c>
      <c r="E82" s="70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4"/>
      <c r="R82" s="704"/>
      <c r="S82" s="704"/>
      <c r="T82" s="7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2">
        <v>4680115881464</v>
      </c>
      <c r="E83" s="70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4"/>
      <c r="R83" s="704"/>
      <c r="S83" s="704"/>
      <c r="T83" s="70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0"/>
      <c r="B84" s="710"/>
      <c r="C84" s="710"/>
      <c r="D84" s="710"/>
      <c r="E84" s="710"/>
      <c r="F84" s="710"/>
      <c r="G84" s="710"/>
      <c r="H84" s="710"/>
      <c r="I84" s="710"/>
      <c r="J84" s="710"/>
      <c r="K84" s="710"/>
      <c r="L84" s="710"/>
      <c r="M84" s="710"/>
      <c r="N84" s="710"/>
      <c r="O84" s="711"/>
      <c r="P84" s="707" t="s">
        <v>40</v>
      </c>
      <c r="Q84" s="708"/>
      <c r="R84" s="708"/>
      <c r="S84" s="708"/>
      <c r="T84" s="708"/>
      <c r="U84" s="708"/>
      <c r="V84" s="70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0"/>
      <c r="B85" s="710"/>
      <c r="C85" s="710"/>
      <c r="D85" s="710"/>
      <c r="E85" s="710"/>
      <c r="F85" s="710"/>
      <c r="G85" s="710"/>
      <c r="H85" s="710"/>
      <c r="I85" s="710"/>
      <c r="J85" s="710"/>
      <c r="K85" s="710"/>
      <c r="L85" s="710"/>
      <c r="M85" s="710"/>
      <c r="N85" s="710"/>
      <c r="O85" s="711"/>
      <c r="P85" s="707" t="s">
        <v>40</v>
      </c>
      <c r="Q85" s="708"/>
      <c r="R85" s="708"/>
      <c r="S85" s="708"/>
      <c r="T85" s="708"/>
      <c r="U85" s="708"/>
      <c r="V85" s="70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0" t="s">
        <v>187</v>
      </c>
      <c r="B86" s="700"/>
      <c r="C86" s="700"/>
      <c r="D86" s="700"/>
      <c r="E86" s="700"/>
      <c r="F86" s="700"/>
      <c r="G86" s="700"/>
      <c r="H86" s="700"/>
      <c r="I86" s="700"/>
      <c r="J86" s="700"/>
      <c r="K86" s="700"/>
      <c r="L86" s="700"/>
      <c r="M86" s="700"/>
      <c r="N86" s="700"/>
      <c r="O86" s="700"/>
      <c r="P86" s="700"/>
      <c r="Q86" s="700"/>
      <c r="R86" s="700"/>
      <c r="S86" s="700"/>
      <c r="T86" s="700"/>
      <c r="U86" s="700"/>
      <c r="V86" s="700"/>
      <c r="W86" s="700"/>
      <c r="X86" s="700"/>
      <c r="Y86" s="700"/>
      <c r="Z86" s="700"/>
      <c r="AA86" s="62"/>
      <c r="AB86" s="62"/>
      <c r="AC86" s="62"/>
    </row>
    <row r="87" spans="1:68" ht="14.25" hidden="1" customHeight="1" x14ac:dyDescent="0.25">
      <c r="A87" s="701" t="s">
        <v>127</v>
      </c>
      <c r="B87" s="701"/>
      <c r="C87" s="701"/>
      <c r="D87" s="701"/>
      <c r="E87" s="701"/>
      <c r="F87" s="701"/>
      <c r="G87" s="701"/>
      <c r="H87" s="701"/>
      <c r="I87" s="701"/>
      <c r="J87" s="701"/>
      <c r="K87" s="701"/>
      <c r="L87" s="701"/>
      <c r="M87" s="701"/>
      <c r="N87" s="701"/>
      <c r="O87" s="701"/>
      <c r="P87" s="701"/>
      <c r="Q87" s="701"/>
      <c r="R87" s="701"/>
      <c r="S87" s="701"/>
      <c r="T87" s="701"/>
      <c r="U87" s="701"/>
      <c r="V87" s="701"/>
      <c r="W87" s="701"/>
      <c r="X87" s="701"/>
      <c r="Y87" s="701"/>
      <c r="Z87" s="70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2">
        <v>4680115881327</v>
      </c>
      <c r="E88" s="70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4"/>
      <c r="R88" s="704"/>
      <c r="S88" s="704"/>
      <c r="T88" s="7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2">
        <v>4680115887732</v>
      </c>
      <c r="E89" s="70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4"/>
      <c r="R89" s="704"/>
      <c r="S89" s="704"/>
      <c r="T89" s="7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2">
        <v>4680115881518</v>
      </c>
      <c r="E90" s="70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4"/>
      <c r="R90" s="704"/>
      <c r="S90" s="704"/>
      <c r="T90" s="70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2">
        <v>4680115881303</v>
      </c>
      <c r="E91" s="70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4"/>
      <c r="R91" s="704"/>
      <c r="S91" s="704"/>
      <c r="T91" s="70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0"/>
      <c r="B92" s="710"/>
      <c r="C92" s="710"/>
      <c r="D92" s="710"/>
      <c r="E92" s="710"/>
      <c r="F92" s="710"/>
      <c r="G92" s="710"/>
      <c r="H92" s="710"/>
      <c r="I92" s="710"/>
      <c r="J92" s="710"/>
      <c r="K92" s="710"/>
      <c r="L92" s="710"/>
      <c r="M92" s="710"/>
      <c r="N92" s="710"/>
      <c r="O92" s="711"/>
      <c r="P92" s="707" t="s">
        <v>40</v>
      </c>
      <c r="Q92" s="708"/>
      <c r="R92" s="708"/>
      <c r="S92" s="708"/>
      <c r="T92" s="708"/>
      <c r="U92" s="708"/>
      <c r="V92" s="70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0"/>
      <c r="B93" s="710"/>
      <c r="C93" s="710"/>
      <c r="D93" s="710"/>
      <c r="E93" s="710"/>
      <c r="F93" s="710"/>
      <c r="G93" s="710"/>
      <c r="H93" s="710"/>
      <c r="I93" s="710"/>
      <c r="J93" s="710"/>
      <c r="K93" s="710"/>
      <c r="L93" s="710"/>
      <c r="M93" s="710"/>
      <c r="N93" s="710"/>
      <c r="O93" s="711"/>
      <c r="P93" s="707" t="s">
        <v>40</v>
      </c>
      <c r="Q93" s="708"/>
      <c r="R93" s="708"/>
      <c r="S93" s="708"/>
      <c r="T93" s="708"/>
      <c r="U93" s="708"/>
      <c r="V93" s="70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1" t="s">
        <v>85</v>
      </c>
      <c r="B94" s="701"/>
      <c r="C94" s="701"/>
      <c r="D94" s="701"/>
      <c r="E94" s="701"/>
      <c r="F94" s="701"/>
      <c r="G94" s="701"/>
      <c r="H94" s="701"/>
      <c r="I94" s="701"/>
      <c r="J94" s="701"/>
      <c r="K94" s="701"/>
      <c r="L94" s="701"/>
      <c r="M94" s="701"/>
      <c r="N94" s="701"/>
      <c r="O94" s="701"/>
      <c r="P94" s="701"/>
      <c r="Q94" s="701"/>
      <c r="R94" s="701"/>
      <c r="S94" s="701"/>
      <c r="T94" s="701"/>
      <c r="U94" s="701"/>
      <c r="V94" s="701"/>
      <c r="W94" s="701"/>
      <c r="X94" s="701"/>
      <c r="Y94" s="701"/>
      <c r="Z94" s="70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2">
        <v>4607091386967</v>
      </c>
      <c r="E95" s="70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4"/>
      <c r="R95" s="704"/>
      <c r="S95" s="704"/>
      <c r="T95" s="7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2">
        <v>4680115884953</v>
      </c>
      <c r="E96" s="70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4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4"/>
      <c r="R96" s="704"/>
      <c r="S96" s="704"/>
      <c r="T96" s="70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2">
        <v>4607091385731</v>
      </c>
      <c r="E97" s="70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4"/>
      <c r="R97" s="704"/>
      <c r="S97" s="704"/>
      <c r="T97" s="7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2">
        <v>4680115880894</v>
      </c>
      <c r="E98" s="70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4"/>
      <c r="R98" s="704"/>
      <c r="S98" s="704"/>
      <c r="T98" s="70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0"/>
      <c r="B99" s="710"/>
      <c r="C99" s="710"/>
      <c r="D99" s="710"/>
      <c r="E99" s="710"/>
      <c r="F99" s="710"/>
      <c r="G99" s="710"/>
      <c r="H99" s="710"/>
      <c r="I99" s="710"/>
      <c r="J99" s="710"/>
      <c r="K99" s="710"/>
      <c r="L99" s="710"/>
      <c r="M99" s="710"/>
      <c r="N99" s="710"/>
      <c r="O99" s="711"/>
      <c r="P99" s="707" t="s">
        <v>40</v>
      </c>
      <c r="Q99" s="708"/>
      <c r="R99" s="708"/>
      <c r="S99" s="708"/>
      <c r="T99" s="708"/>
      <c r="U99" s="708"/>
      <c r="V99" s="70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0"/>
      <c r="B100" s="710"/>
      <c r="C100" s="710"/>
      <c r="D100" s="710"/>
      <c r="E100" s="710"/>
      <c r="F100" s="710"/>
      <c r="G100" s="710"/>
      <c r="H100" s="710"/>
      <c r="I100" s="710"/>
      <c r="J100" s="710"/>
      <c r="K100" s="710"/>
      <c r="L100" s="710"/>
      <c r="M100" s="710"/>
      <c r="N100" s="710"/>
      <c r="O100" s="711"/>
      <c r="P100" s="707" t="s">
        <v>40</v>
      </c>
      <c r="Q100" s="708"/>
      <c r="R100" s="708"/>
      <c r="S100" s="708"/>
      <c r="T100" s="708"/>
      <c r="U100" s="708"/>
      <c r="V100" s="70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0" t="s">
        <v>208</v>
      </c>
      <c r="B101" s="700"/>
      <c r="C101" s="700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62"/>
      <c r="AB101" s="62"/>
      <c r="AC101" s="62"/>
    </row>
    <row r="102" spans="1:68" ht="14.25" hidden="1" customHeight="1" x14ac:dyDescent="0.25">
      <c r="A102" s="701" t="s">
        <v>127</v>
      </c>
      <c r="B102" s="701"/>
      <c r="C102" s="701"/>
      <c r="D102" s="701"/>
      <c r="E102" s="701"/>
      <c r="F102" s="701"/>
      <c r="G102" s="701"/>
      <c r="H102" s="701"/>
      <c r="I102" s="701"/>
      <c r="J102" s="701"/>
      <c r="K102" s="701"/>
      <c r="L102" s="701"/>
      <c r="M102" s="701"/>
      <c r="N102" s="701"/>
      <c r="O102" s="701"/>
      <c r="P102" s="701"/>
      <c r="Q102" s="701"/>
      <c r="R102" s="701"/>
      <c r="S102" s="701"/>
      <c r="T102" s="701"/>
      <c r="U102" s="701"/>
      <c r="V102" s="701"/>
      <c r="W102" s="701"/>
      <c r="X102" s="701"/>
      <c r="Y102" s="701"/>
      <c r="Z102" s="70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2">
        <v>4680115882133</v>
      </c>
      <c r="E103" s="70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4"/>
      <c r="R103" s="704"/>
      <c r="S103" s="704"/>
      <c r="T103" s="7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2">
        <v>4680115887718</v>
      </c>
      <c r="E104" s="70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4"/>
      <c r="R104" s="704"/>
      <c r="S104" s="704"/>
      <c r="T104" s="7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2">
        <v>4680115887718</v>
      </c>
      <c r="E105" s="70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4"/>
      <c r="R105" s="704"/>
      <c r="S105" s="704"/>
      <c r="T105" s="7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2">
        <v>4680115880269</v>
      </c>
      <c r="E106" s="7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4"/>
      <c r="R106" s="704"/>
      <c r="S106" s="704"/>
      <c r="T106" s="7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2">
        <v>4680115880429</v>
      </c>
      <c r="E107" s="7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4"/>
      <c r="R107" s="704"/>
      <c r="S107" s="704"/>
      <c r="T107" s="70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2">
        <v>4680115881457</v>
      </c>
      <c r="E108" s="7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4"/>
      <c r="R108" s="704"/>
      <c r="S108" s="704"/>
      <c r="T108" s="7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0"/>
      <c r="B109" s="710"/>
      <c r="C109" s="710"/>
      <c r="D109" s="710"/>
      <c r="E109" s="710"/>
      <c r="F109" s="710"/>
      <c r="G109" s="710"/>
      <c r="H109" s="710"/>
      <c r="I109" s="710"/>
      <c r="J109" s="710"/>
      <c r="K109" s="710"/>
      <c r="L109" s="710"/>
      <c r="M109" s="710"/>
      <c r="N109" s="710"/>
      <c r="O109" s="711"/>
      <c r="P109" s="707" t="s">
        <v>40</v>
      </c>
      <c r="Q109" s="708"/>
      <c r="R109" s="708"/>
      <c r="S109" s="708"/>
      <c r="T109" s="708"/>
      <c r="U109" s="708"/>
      <c r="V109" s="70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0"/>
      <c r="B110" s="710"/>
      <c r="C110" s="710"/>
      <c r="D110" s="710"/>
      <c r="E110" s="710"/>
      <c r="F110" s="710"/>
      <c r="G110" s="710"/>
      <c r="H110" s="710"/>
      <c r="I110" s="710"/>
      <c r="J110" s="710"/>
      <c r="K110" s="710"/>
      <c r="L110" s="710"/>
      <c r="M110" s="710"/>
      <c r="N110" s="710"/>
      <c r="O110" s="711"/>
      <c r="P110" s="707" t="s">
        <v>40</v>
      </c>
      <c r="Q110" s="708"/>
      <c r="R110" s="708"/>
      <c r="S110" s="708"/>
      <c r="T110" s="708"/>
      <c r="U110" s="708"/>
      <c r="V110" s="70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1" t="s">
        <v>163</v>
      </c>
      <c r="B111" s="701"/>
      <c r="C111" s="701"/>
      <c r="D111" s="701"/>
      <c r="E111" s="701"/>
      <c r="F111" s="701"/>
      <c r="G111" s="701"/>
      <c r="H111" s="701"/>
      <c r="I111" s="701"/>
      <c r="J111" s="701"/>
      <c r="K111" s="701"/>
      <c r="L111" s="701"/>
      <c r="M111" s="701"/>
      <c r="N111" s="701"/>
      <c r="O111" s="701"/>
      <c r="P111" s="701"/>
      <c r="Q111" s="701"/>
      <c r="R111" s="701"/>
      <c r="S111" s="701"/>
      <c r="T111" s="701"/>
      <c r="U111" s="701"/>
      <c r="V111" s="701"/>
      <c r="W111" s="701"/>
      <c r="X111" s="701"/>
      <c r="Y111" s="701"/>
      <c r="Z111" s="70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2">
        <v>4680115881488</v>
      </c>
      <c r="E112" s="7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4"/>
      <c r="R112" s="704"/>
      <c r="S112" s="704"/>
      <c r="T112" s="70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2">
        <v>4680115887664</v>
      </c>
      <c r="E113" s="70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5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4"/>
      <c r="R113" s="704"/>
      <c r="S113" s="704"/>
      <c r="T113" s="70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2">
        <v>4680115887664</v>
      </c>
      <c r="E114" s="70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5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4"/>
      <c r="R114" s="704"/>
      <c r="S114" s="704"/>
      <c r="T114" s="70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2">
        <v>4680115882775</v>
      </c>
      <c r="E115" s="70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4"/>
      <c r="R115" s="704"/>
      <c r="S115" s="704"/>
      <c r="T115" s="70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2">
        <v>4680115880658</v>
      </c>
      <c r="E116" s="70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4"/>
      <c r="R116" s="704"/>
      <c r="S116" s="704"/>
      <c r="T116" s="70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0"/>
      <c r="B117" s="710"/>
      <c r="C117" s="710"/>
      <c r="D117" s="710"/>
      <c r="E117" s="710"/>
      <c r="F117" s="710"/>
      <c r="G117" s="710"/>
      <c r="H117" s="710"/>
      <c r="I117" s="710"/>
      <c r="J117" s="710"/>
      <c r="K117" s="710"/>
      <c r="L117" s="710"/>
      <c r="M117" s="710"/>
      <c r="N117" s="710"/>
      <c r="O117" s="711"/>
      <c r="P117" s="707" t="s">
        <v>40</v>
      </c>
      <c r="Q117" s="708"/>
      <c r="R117" s="708"/>
      <c r="S117" s="708"/>
      <c r="T117" s="708"/>
      <c r="U117" s="708"/>
      <c r="V117" s="70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0"/>
      <c r="B118" s="710"/>
      <c r="C118" s="710"/>
      <c r="D118" s="710"/>
      <c r="E118" s="710"/>
      <c r="F118" s="710"/>
      <c r="G118" s="710"/>
      <c r="H118" s="710"/>
      <c r="I118" s="710"/>
      <c r="J118" s="710"/>
      <c r="K118" s="710"/>
      <c r="L118" s="710"/>
      <c r="M118" s="710"/>
      <c r="N118" s="710"/>
      <c r="O118" s="711"/>
      <c r="P118" s="707" t="s">
        <v>40</v>
      </c>
      <c r="Q118" s="708"/>
      <c r="R118" s="708"/>
      <c r="S118" s="708"/>
      <c r="T118" s="708"/>
      <c r="U118" s="708"/>
      <c r="V118" s="70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1" t="s">
        <v>85</v>
      </c>
      <c r="B119" s="701"/>
      <c r="C119" s="701"/>
      <c r="D119" s="701"/>
      <c r="E119" s="701"/>
      <c r="F119" s="701"/>
      <c r="G119" s="701"/>
      <c r="H119" s="701"/>
      <c r="I119" s="701"/>
      <c r="J119" s="701"/>
      <c r="K119" s="701"/>
      <c r="L119" s="701"/>
      <c r="M119" s="701"/>
      <c r="N119" s="701"/>
      <c r="O119" s="701"/>
      <c r="P119" s="701"/>
      <c r="Q119" s="701"/>
      <c r="R119" s="701"/>
      <c r="S119" s="701"/>
      <c r="T119" s="701"/>
      <c r="U119" s="701"/>
      <c r="V119" s="701"/>
      <c r="W119" s="701"/>
      <c r="X119" s="701"/>
      <c r="Y119" s="701"/>
      <c r="Z119" s="70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2">
        <v>4607091385168</v>
      </c>
      <c r="E120" s="70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4"/>
      <c r="R120" s="704"/>
      <c r="S120" s="704"/>
      <c r="T120" s="70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2">
        <v>4607091383256</v>
      </c>
      <c r="E121" s="70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4"/>
      <c r="R121" s="704"/>
      <c r="S121" s="704"/>
      <c r="T121" s="70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2">
        <v>4607091385748</v>
      </c>
      <c r="E122" s="70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4"/>
      <c r="R122" s="704"/>
      <c r="S122" s="704"/>
      <c r="T122" s="7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2">
        <v>4680115884533</v>
      </c>
      <c r="E123" s="70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4"/>
      <c r="R123" s="704"/>
      <c r="S123" s="704"/>
      <c r="T123" s="70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0"/>
      <c r="B124" s="710"/>
      <c r="C124" s="710"/>
      <c r="D124" s="710"/>
      <c r="E124" s="710"/>
      <c r="F124" s="710"/>
      <c r="G124" s="710"/>
      <c r="H124" s="710"/>
      <c r="I124" s="710"/>
      <c r="J124" s="710"/>
      <c r="K124" s="710"/>
      <c r="L124" s="710"/>
      <c r="M124" s="710"/>
      <c r="N124" s="710"/>
      <c r="O124" s="711"/>
      <c r="P124" s="707" t="s">
        <v>40</v>
      </c>
      <c r="Q124" s="708"/>
      <c r="R124" s="708"/>
      <c r="S124" s="708"/>
      <c r="T124" s="708"/>
      <c r="U124" s="708"/>
      <c r="V124" s="70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0"/>
      <c r="B125" s="710"/>
      <c r="C125" s="710"/>
      <c r="D125" s="710"/>
      <c r="E125" s="710"/>
      <c r="F125" s="710"/>
      <c r="G125" s="710"/>
      <c r="H125" s="710"/>
      <c r="I125" s="710"/>
      <c r="J125" s="710"/>
      <c r="K125" s="710"/>
      <c r="L125" s="710"/>
      <c r="M125" s="710"/>
      <c r="N125" s="710"/>
      <c r="O125" s="711"/>
      <c r="P125" s="707" t="s">
        <v>40</v>
      </c>
      <c r="Q125" s="708"/>
      <c r="R125" s="708"/>
      <c r="S125" s="708"/>
      <c r="T125" s="708"/>
      <c r="U125" s="708"/>
      <c r="V125" s="70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1" t="s">
        <v>180</v>
      </c>
      <c r="B126" s="701"/>
      <c r="C126" s="701"/>
      <c r="D126" s="701"/>
      <c r="E126" s="701"/>
      <c r="F126" s="701"/>
      <c r="G126" s="701"/>
      <c r="H126" s="701"/>
      <c r="I126" s="701"/>
      <c r="J126" s="701"/>
      <c r="K126" s="701"/>
      <c r="L126" s="701"/>
      <c r="M126" s="701"/>
      <c r="N126" s="701"/>
      <c r="O126" s="701"/>
      <c r="P126" s="701"/>
      <c r="Q126" s="701"/>
      <c r="R126" s="701"/>
      <c r="S126" s="701"/>
      <c r="T126" s="701"/>
      <c r="U126" s="701"/>
      <c r="V126" s="701"/>
      <c r="W126" s="701"/>
      <c r="X126" s="701"/>
      <c r="Y126" s="701"/>
      <c r="Z126" s="70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2">
        <v>4680115880238</v>
      </c>
      <c r="E127" s="70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4"/>
      <c r="R127" s="704"/>
      <c r="S127" s="704"/>
      <c r="T127" s="70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0"/>
      <c r="B128" s="710"/>
      <c r="C128" s="710"/>
      <c r="D128" s="710"/>
      <c r="E128" s="710"/>
      <c r="F128" s="710"/>
      <c r="G128" s="710"/>
      <c r="H128" s="710"/>
      <c r="I128" s="710"/>
      <c r="J128" s="710"/>
      <c r="K128" s="710"/>
      <c r="L128" s="710"/>
      <c r="M128" s="710"/>
      <c r="N128" s="710"/>
      <c r="O128" s="711"/>
      <c r="P128" s="707" t="s">
        <v>40</v>
      </c>
      <c r="Q128" s="708"/>
      <c r="R128" s="708"/>
      <c r="S128" s="708"/>
      <c r="T128" s="708"/>
      <c r="U128" s="708"/>
      <c r="V128" s="70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0"/>
      <c r="B129" s="710"/>
      <c r="C129" s="710"/>
      <c r="D129" s="710"/>
      <c r="E129" s="710"/>
      <c r="F129" s="710"/>
      <c r="G129" s="710"/>
      <c r="H129" s="710"/>
      <c r="I129" s="710"/>
      <c r="J129" s="710"/>
      <c r="K129" s="710"/>
      <c r="L129" s="710"/>
      <c r="M129" s="710"/>
      <c r="N129" s="710"/>
      <c r="O129" s="711"/>
      <c r="P129" s="707" t="s">
        <v>40</v>
      </c>
      <c r="Q129" s="708"/>
      <c r="R129" s="708"/>
      <c r="S129" s="708"/>
      <c r="T129" s="708"/>
      <c r="U129" s="708"/>
      <c r="V129" s="70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0" t="s">
        <v>247</v>
      </c>
      <c r="B130" s="700"/>
      <c r="C130" s="700"/>
      <c r="D130" s="700"/>
      <c r="E130" s="700"/>
      <c r="F130" s="700"/>
      <c r="G130" s="700"/>
      <c r="H130" s="700"/>
      <c r="I130" s="700"/>
      <c r="J130" s="700"/>
      <c r="K130" s="700"/>
      <c r="L130" s="700"/>
      <c r="M130" s="700"/>
      <c r="N130" s="700"/>
      <c r="O130" s="700"/>
      <c r="P130" s="700"/>
      <c r="Q130" s="700"/>
      <c r="R130" s="700"/>
      <c r="S130" s="700"/>
      <c r="T130" s="700"/>
      <c r="U130" s="700"/>
      <c r="V130" s="700"/>
      <c r="W130" s="700"/>
      <c r="X130" s="700"/>
      <c r="Y130" s="700"/>
      <c r="Z130" s="700"/>
      <c r="AA130" s="62"/>
      <c r="AB130" s="62"/>
      <c r="AC130" s="62"/>
    </row>
    <row r="131" spans="1:68" ht="14.25" hidden="1" customHeight="1" x14ac:dyDescent="0.25">
      <c r="A131" s="701" t="s">
        <v>127</v>
      </c>
      <c r="B131" s="701"/>
      <c r="C131" s="701"/>
      <c r="D131" s="701"/>
      <c r="E131" s="701"/>
      <c r="F131" s="701"/>
      <c r="G131" s="701"/>
      <c r="H131" s="701"/>
      <c r="I131" s="701"/>
      <c r="J131" s="701"/>
      <c r="K131" s="701"/>
      <c r="L131" s="701"/>
      <c r="M131" s="701"/>
      <c r="N131" s="701"/>
      <c r="O131" s="701"/>
      <c r="P131" s="701"/>
      <c r="Q131" s="701"/>
      <c r="R131" s="701"/>
      <c r="S131" s="701"/>
      <c r="T131" s="701"/>
      <c r="U131" s="701"/>
      <c r="V131" s="701"/>
      <c r="W131" s="701"/>
      <c r="X131" s="701"/>
      <c r="Y131" s="701"/>
      <c r="Z131" s="70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2">
        <v>4680115888784</v>
      </c>
      <c r="E132" s="702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4"/>
      <c r="R132" s="704"/>
      <c r="S132" s="704"/>
      <c r="T132" s="70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2">
        <v>4680115888845</v>
      </c>
      <c r="E133" s="702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4"/>
      <c r="R133" s="704"/>
      <c r="S133" s="704"/>
      <c r="T133" s="7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2">
        <v>4680115882577</v>
      </c>
      <c r="E134" s="7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4"/>
      <c r="R134" s="704"/>
      <c r="S134" s="704"/>
      <c r="T134" s="705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2">
        <v>4680115882577</v>
      </c>
      <c r="E135" s="702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4"/>
      <c r="R135" s="704"/>
      <c r="S135" s="704"/>
      <c r="T135" s="70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0"/>
      <c r="B136" s="710"/>
      <c r="C136" s="710"/>
      <c r="D136" s="710"/>
      <c r="E136" s="710"/>
      <c r="F136" s="710"/>
      <c r="G136" s="710"/>
      <c r="H136" s="710"/>
      <c r="I136" s="710"/>
      <c r="J136" s="710"/>
      <c r="K136" s="710"/>
      <c r="L136" s="710"/>
      <c r="M136" s="710"/>
      <c r="N136" s="710"/>
      <c r="O136" s="711"/>
      <c r="P136" s="707" t="s">
        <v>40</v>
      </c>
      <c r="Q136" s="708"/>
      <c r="R136" s="708"/>
      <c r="S136" s="708"/>
      <c r="T136" s="708"/>
      <c r="U136" s="708"/>
      <c r="V136" s="70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0"/>
      <c r="B137" s="710"/>
      <c r="C137" s="710"/>
      <c r="D137" s="710"/>
      <c r="E137" s="710"/>
      <c r="F137" s="710"/>
      <c r="G137" s="710"/>
      <c r="H137" s="710"/>
      <c r="I137" s="710"/>
      <c r="J137" s="710"/>
      <c r="K137" s="710"/>
      <c r="L137" s="710"/>
      <c r="M137" s="710"/>
      <c r="N137" s="710"/>
      <c r="O137" s="711"/>
      <c r="P137" s="707" t="s">
        <v>40</v>
      </c>
      <c r="Q137" s="708"/>
      <c r="R137" s="708"/>
      <c r="S137" s="708"/>
      <c r="T137" s="708"/>
      <c r="U137" s="708"/>
      <c r="V137" s="70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1" t="s">
        <v>76</v>
      </c>
      <c r="B138" s="701"/>
      <c r="C138" s="701"/>
      <c r="D138" s="701"/>
      <c r="E138" s="701"/>
      <c r="F138" s="701"/>
      <c r="G138" s="701"/>
      <c r="H138" s="701"/>
      <c r="I138" s="701"/>
      <c r="J138" s="701"/>
      <c r="K138" s="701"/>
      <c r="L138" s="701"/>
      <c r="M138" s="701"/>
      <c r="N138" s="701"/>
      <c r="O138" s="701"/>
      <c r="P138" s="701"/>
      <c r="Q138" s="701"/>
      <c r="R138" s="701"/>
      <c r="S138" s="701"/>
      <c r="T138" s="701"/>
      <c r="U138" s="701"/>
      <c r="V138" s="701"/>
      <c r="W138" s="701"/>
      <c r="X138" s="701"/>
      <c r="Y138" s="701"/>
      <c r="Z138" s="70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2">
        <v>4680115888913</v>
      </c>
      <c r="E139" s="702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4"/>
      <c r="R139" s="704"/>
      <c r="S139" s="704"/>
      <c r="T139" s="7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2">
        <v>4680115888920</v>
      </c>
      <c r="E140" s="702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4"/>
      <c r="R140" s="704"/>
      <c r="S140" s="704"/>
      <c r="T140" s="705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2">
        <v>4680115883444</v>
      </c>
      <c r="E141" s="702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4"/>
      <c r="R141" s="704"/>
      <c r="S141" s="704"/>
      <c r="T141" s="705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2">
        <v>4680115883444</v>
      </c>
      <c r="E142" s="702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4"/>
      <c r="R142" s="704"/>
      <c r="S142" s="704"/>
      <c r="T142" s="70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0"/>
      <c r="B143" s="710"/>
      <c r="C143" s="710"/>
      <c r="D143" s="710"/>
      <c r="E143" s="710"/>
      <c r="F143" s="710"/>
      <c r="G143" s="710"/>
      <c r="H143" s="710"/>
      <c r="I143" s="710"/>
      <c r="J143" s="710"/>
      <c r="K143" s="710"/>
      <c r="L143" s="710"/>
      <c r="M143" s="710"/>
      <c r="N143" s="710"/>
      <c r="O143" s="711"/>
      <c r="P143" s="707" t="s">
        <v>40</v>
      </c>
      <c r="Q143" s="708"/>
      <c r="R143" s="708"/>
      <c r="S143" s="708"/>
      <c r="T143" s="708"/>
      <c r="U143" s="708"/>
      <c r="V143" s="70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0"/>
      <c r="B144" s="710"/>
      <c r="C144" s="710"/>
      <c r="D144" s="710"/>
      <c r="E144" s="710"/>
      <c r="F144" s="710"/>
      <c r="G144" s="710"/>
      <c r="H144" s="710"/>
      <c r="I144" s="710"/>
      <c r="J144" s="710"/>
      <c r="K144" s="710"/>
      <c r="L144" s="710"/>
      <c r="M144" s="710"/>
      <c r="N144" s="710"/>
      <c r="O144" s="711"/>
      <c r="P144" s="707" t="s">
        <v>40</v>
      </c>
      <c r="Q144" s="708"/>
      <c r="R144" s="708"/>
      <c r="S144" s="708"/>
      <c r="T144" s="708"/>
      <c r="U144" s="708"/>
      <c r="V144" s="70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1" t="s">
        <v>85</v>
      </c>
      <c r="B145" s="701"/>
      <c r="C145" s="701"/>
      <c r="D145" s="701"/>
      <c r="E145" s="701"/>
      <c r="F145" s="701"/>
      <c r="G145" s="701"/>
      <c r="H145" s="701"/>
      <c r="I145" s="701"/>
      <c r="J145" s="701"/>
      <c r="K145" s="701"/>
      <c r="L145" s="701"/>
      <c r="M145" s="701"/>
      <c r="N145" s="701"/>
      <c r="O145" s="701"/>
      <c r="P145" s="701"/>
      <c r="Q145" s="701"/>
      <c r="R145" s="701"/>
      <c r="S145" s="701"/>
      <c r="T145" s="701"/>
      <c r="U145" s="701"/>
      <c r="V145" s="701"/>
      <c r="W145" s="701"/>
      <c r="X145" s="701"/>
      <c r="Y145" s="701"/>
      <c r="Z145" s="70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2">
        <v>4680115888937</v>
      </c>
      <c r="E146" s="702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5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4"/>
      <c r="R146" s="704"/>
      <c r="S146" s="704"/>
      <c r="T146" s="705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2">
        <v>4680115888944</v>
      </c>
      <c r="E147" s="702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4"/>
      <c r="R147" s="704"/>
      <c r="S147" s="704"/>
      <c r="T147" s="705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2">
        <v>4680115882584</v>
      </c>
      <c r="E148" s="702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4"/>
      <c r="R148" s="704"/>
      <c r="S148" s="704"/>
      <c r="T148" s="70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2">
        <v>4680115882584</v>
      </c>
      <c r="E149" s="702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4"/>
      <c r="R149" s="704"/>
      <c r="S149" s="704"/>
      <c r="T149" s="7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0"/>
      <c r="B150" s="710"/>
      <c r="C150" s="710"/>
      <c r="D150" s="710"/>
      <c r="E150" s="710"/>
      <c r="F150" s="710"/>
      <c r="G150" s="710"/>
      <c r="H150" s="710"/>
      <c r="I150" s="710"/>
      <c r="J150" s="710"/>
      <c r="K150" s="710"/>
      <c r="L150" s="710"/>
      <c r="M150" s="710"/>
      <c r="N150" s="710"/>
      <c r="O150" s="711"/>
      <c r="P150" s="707" t="s">
        <v>40</v>
      </c>
      <c r="Q150" s="708"/>
      <c r="R150" s="708"/>
      <c r="S150" s="708"/>
      <c r="T150" s="708"/>
      <c r="U150" s="708"/>
      <c r="V150" s="70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0"/>
      <c r="B151" s="710"/>
      <c r="C151" s="710"/>
      <c r="D151" s="710"/>
      <c r="E151" s="710"/>
      <c r="F151" s="710"/>
      <c r="G151" s="710"/>
      <c r="H151" s="710"/>
      <c r="I151" s="710"/>
      <c r="J151" s="710"/>
      <c r="K151" s="710"/>
      <c r="L151" s="710"/>
      <c r="M151" s="710"/>
      <c r="N151" s="710"/>
      <c r="O151" s="711"/>
      <c r="P151" s="707" t="s">
        <v>40</v>
      </c>
      <c r="Q151" s="708"/>
      <c r="R151" s="708"/>
      <c r="S151" s="708"/>
      <c r="T151" s="708"/>
      <c r="U151" s="708"/>
      <c r="V151" s="70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0" t="s">
        <v>275</v>
      </c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0"/>
      <c r="P152" s="700"/>
      <c r="Q152" s="700"/>
      <c r="R152" s="700"/>
      <c r="S152" s="700"/>
      <c r="T152" s="700"/>
      <c r="U152" s="700"/>
      <c r="V152" s="700"/>
      <c r="W152" s="700"/>
      <c r="X152" s="700"/>
      <c r="Y152" s="700"/>
      <c r="Z152" s="700"/>
      <c r="AA152" s="62"/>
      <c r="AB152" s="62"/>
      <c r="AC152" s="62"/>
    </row>
    <row r="153" spans="1:68" ht="14.25" hidden="1" customHeight="1" x14ac:dyDescent="0.25">
      <c r="A153" s="701" t="s">
        <v>85</v>
      </c>
      <c r="B153" s="701"/>
      <c r="C153" s="701"/>
      <c r="D153" s="701"/>
      <c r="E153" s="701"/>
      <c r="F153" s="701"/>
      <c r="G153" s="701"/>
      <c r="H153" s="701"/>
      <c r="I153" s="701"/>
      <c r="J153" s="701"/>
      <c r="K153" s="701"/>
      <c r="L153" s="701"/>
      <c r="M153" s="701"/>
      <c r="N153" s="701"/>
      <c r="O153" s="701"/>
      <c r="P153" s="701"/>
      <c r="Q153" s="701"/>
      <c r="R153" s="701"/>
      <c r="S153" s="701"/>
      <c r="T153" s="701"/>
      <c r="U153" s="701"/>
      <c r="V153" s="701"/>
      <c r="W153" s="701"/>
      <c r="X153" s="701"/>
      <c r="Y153" s="701"/>
      <c r="Z153" s="70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2">
        <v>4680115888203</v>
      </c>
      <c r="E154" s="702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7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4"/>
      <c r="R154" s="704"/>
      <c r="S154" s="704"/>
      <c r="T154" s="705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2">
        <v>4680115888180</v>
      </c>
      <c r="E155" s="702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4"/>
      <c r="R155" s="704"/>
      <c r="S155" s="704"/>
      <c r="T155" s="705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2">
        <v>4680115888197</v>
      </c>
      <c r="E156" s="702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4"/>
      <c r="R156" s="704"/>
      <c r="S156" s="704"/>
      <c r="T156" s="70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2">
        <v>4680115888210</v>
      </c>
      <c r="E157" s="702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4"/>
      <c r="R157" s="704"/>
      <c r="S157" s="704"/>
      <c r="T157" s="7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0"/>
      <c r="B158" s="710"/>
      <c r="C158" s="710"/>
      <c r="D158" s="710"/>
      <c r="E158" s="710"/>
      <c r="F158" s="710"/>
      <c r="G158" s="710"/>
      <c r="H158" s="710"/>
      <c r="I158" s="710"/>
      <c r="J158" s="710"/>
      <c r="K158" s="710"/>
      <c r="L158" s="710"/>
      <c r="M158" s="710"/>
      <c r="N158" s="710"/>
      <c r="O158" s="711"/>
      <c r="P158" s="707" t="s">
        <v>40</v>
      </c>
      <c r="Q158" s="708"/>
      <c r="R158" s="708"/>
      <c r="S158" s="708"/>
      <c r="T158" s="708"/>
      <c r="U158" s="708"/>
      <c r="V158" s="70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0"/>
      <c r="B159" s="710"/>
      <c r="C159" s="710"/>
      <c r="D159" s="710"/>
      <c r="E159" s="710"/>
      <c r="F159" s="710"/>
      <c r="G159" s="710"/>
      <c r="H159" s="710"/>
      <c r="I159" s="710"/>
      <c r="J159" s="710"/>
      <c r="K159" s="710"/>
      <c r="L159" s="710"/>
      <c r="M159" s="710"/>
      <c r="N159" s="710"/>
      <c r="O159" s="711"/>
      <c r="P159" s="707" t="s">
        <v>40</v>
      </c>
      <c r="Q159" s="708"/>
      <c r="R159" s="708"/>
      <c r="S159" s="708"/>
      <c r="T159" s="708"/>
      <c r="U159" s="708"/>
      <c r="V159" s="70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1" t="s">
        <v>103</v>
      </c>
      <c r="B160" s="701"/>
      <c r="C160" s="701"/>
      <c r="D160" s="701"/>
      <c r="E160" s="701"/>
      <c r="F160" s="701"/>
      <c r="G160" s="701"/>
      <c r="H160" s="701"/>
      <c r="I160" s="701"/>
      <c r="J160" s="701"/>
      <c r="K160" s="701"/>
      <c r="L160" s="701"/>
      <c r="M160" s="701"/>
      <c r="N160" s="701"/>
      <c r="O160" s="701"/>
      <c r="P160" s="701"/>
      <c r="Q160" s="701"/>
      <c r="R160" s="701"/>
      <c r="S160" s="701"/>
      <c r="T160" s="701"/>
      <c r="U160" s="701"/>
      <c r="V160" s="701"/>
      <c r="W160" s="701"/>
      <c r="X160" s="701"/>
      <c r="Y160" s="701"/>
      <c r="Z160" s="70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2">
        <v>4680115889132</v>
      </c>
      <c r="E161" s="702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4"/>
      <c r="R161" s="704"/>
      <c r="S161" s="704"/>
      <c r="T161" s="705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0"/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1"/>
      <c r="P162" s="707" t="s">
        <v>40</v>
      </c>
      <c r="Q162" s="708"/>
      <c r="R162" s="708"/>
      <c r="S162" s="708"/>
      <c r="T162" s="708"/>
      <c r="U162" s="708"/>
      <c r="V162" s="70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0"/>
      <c r="B163" s="710"/>
      <c r="C163" s="710"/>
      <c r="D163" s="710"/>
      <c r="E163" s="710"/>
      <c r="F163" s="710"/>
      <c r="G163" s="710"/>
      <c r="H163" s="710"/>
      <c r="I163" s="710"/>
      <c r="J163" s="710"/>
      <c r="K163" s="710"/>
      <c r="L163" s="710"/>
      <c r="M163" s="710"/>
      <c r="N163" s="710"/>
      <c r="O163" s="711"/>
      <c r="P163" s="707" t="s">
        <v>40</v>
      </c>
      <c r="Q163" s="708"/>
      <c r="R163" s="708"/>
      <c r="S163" s="708"/>
      <c r="T163" s="708"/>
      <c r="U163" s="708"/>
      <c r="V163" s="70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0" t="s">
        <v>125</v>
      </c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0"/>
      <c r="P164" s="700"/>
      <c r="Q164" s="700"/>
      <c r="R164" s="700"/>
      <c r="S164" s="700"/>
      <c r="T164" s="700"/>
      <c r="U164" s="700"/>
      <c r="V164" s="700"/>
      <c r="W164" s="700"/>
      <c r="X164" s="700"/>
      <c r="Y164" s="700"/>
      <c r="Z164" s="700"/>
      <c r="AA164" s="62"/>
      <c r="AB164" s="62"/>
      <c r="AC164" s="62"/>
    </row>
    <row r="165" spans="1:68" ht="14.25" hidden="1" customHeight="1" x14ac:dyDescent="0.25">
      <c r="A165" s="701" t="s">
        <v>127</v>
      </c>
      <c r="B165" s="701"/>
      <c r="C165" s="701"/>
      <c r="D165" s="701"/>
      <c r="E165" s="701"/>
      <c r="F165" s="701"/>
      <c r="G165" s="701"/>
      <c r="H165" s="701"/>
      <c r="I165" s="701"/>
      <c r="J165" s="701"/>
      <c r="K165" s="701"/>
      <c r="L165" s="701"/>
      <c r="M165" s="701"/>
      <c r="N165" s="701"/>
      <c r="O165" s="701"/>
      <c r="P165" s="701"/>
      <c r="Q165" s="701"/>
      <c r="R165" s="701"/>
      <c r="S165" s="701"/>
      <c r="T165" s="701"/>
      <c r="U165" s="701"/>
      <c r="V165" s="701"/>
      <c r="W165" s="701"/>
      <c r="X165" s="701"/>
      <c r="Y165" s="701"/>
      <c r="Z165" s="70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2">
        <v>4680115888876</v>
      </c>
      <c r="E166" s="702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4"/>
      <c r="R166" s="704"/>
      <c r="S166" s="704"/>
      <c r="T166" s="70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2">
        <v>4680115887374</v>
      </c>
      <c r="E167" s="702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4"/>
      <c r="R167" s="704"/>
      <c r="S167" s="704"/>
      <c r="T167" s="705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2">
        <v>4607091384604</v>
      </c>
      <c r="E168" s="702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4"/>
      <c r="R168" s="704"/>
      <c r="S168" s="704"/>
      <c r="T168" s="705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0"/>
      <c r="B169" s="710"/>
      <c r="C169" s="710"/>
      <c r="D169" s="710"/>
      <c r="E169" s="710"/>
      <c r="F169" s="710"/>
      <c r="G169" s="710"/>
      <c r="H169" s="710"/>
      <c r="I169" s="710"/>
      <c r="J169" s="710"/>
      <c r="K169" s="710"/>
      <c r="L169" s="710"/>
      <c r="M169" s="710"/>
      <c r="N169" s="710"/>
      <c r="O169" s="711"/>
      <c r="P169" s="707" t="s">
        <v>40</v>
      </c>
      <c r="Q169" s="708"/>
      <c r="R169" s="708"/>
      <c r="S169" s="708"/>
      <c r="T169" s="708"/>
      <c r="U169" s="708"/>
      <c r="V169" s="70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0"/>
      <c r="B170" s="710"/>
      <c r="C170" s="710"/>
      <c r="D170" s="710"/>
      <c r="E170" s="710"/>
      <c r="F170" s="710"/>
      <c r="G170" s="710"/>
      <c r="H170" s="710"/>
      <c r="I170" s="710"/>
      <c r="J170" s="710"/>
      <c r="K170" s="710"/>
      <c r="L170" s="710"/>
      <c r="M170" s="710"/>
      <c r="N170" s="710"/>
      <c r="O170" s="711"/>
      <c r="P170" s="707" t="s">
        <v>40</v>
      </c>
      <c r="Q170" s="708"/>
      <c r="R170" s="708"/>
      <c r="S170" s="708"/>
      <c r="T170" s="708"/>
      <c r="U170" s="708"/>
      <c r="V170" s="70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1" t="s">
        <v>163</v>
      </c>
      <c r="B171" s="701"/>
      <c r="C171" s="701"/>
      <c r="D171" s="701"/>
      <c r="E171" s="701"/>
      <c r="F171" s="701"/>
      <c r="G171" s="701"/>
      <c r="H171" s="701"/>
      <c r="I171" s="701"/>
      <c r="J171" s="701"/>
      <c r="K171" s="701"/>
      <c r="L171" s="701"/>
      <c r="M171" s="701"/>
      <c r="N171" s="701"/>
      <c r="O171" s="701"/>
      <c r="P171" s="701"/>
      <c r="Q171" s="701"/>
      <c r="R171" s="701"/>
      <c r="S171" s="701"/>
      <c r="T171" s="701"/>
      <c r="U171" s="701"/>
      <c r="V171" s="701"/>
      <c r="W171" s="701"/>
      <c r="X171" s="701"/>
      <c r="Y171" s="701"/>
      <c r="Z171" s="70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2">
        <v>4680115889491</v>
      </c>
      <c r="E172" s="702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7" t="s">
        <v>304</v>
      </c>
      <c r="Q172" s="704"/>
      <c r="R172" s="704"/>
      <c r="S172" s="704"/>
      <c r="T172" s="705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2">
        <v>4680115887695</v>
      </c>
      <c r="E173" s="702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4"/>
      <c r="R173" s="704"/>
      <c r="S173" s="704"/>
      <c r="T173" s="705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0"/>
      <c r="B174" s="710"/>
      <c r="C174" s="710"/>
      <c r="D174" s="710"/>
      <c r="E174" s="710"/>
      <c r="F174" s="710"/>
      <c r="G174" s="710"/>
      <c r="H174" s="710"/>
      <c r="I174" s="710"/>
      <c r="J174" s="710"/>
      <c r="K174" s="710"/>
      <c r="L174" s="710"/>
      <c r="M174" s="710"/>
      <c r="N174" s="710"/>
      <c r="O174" s="711"/>
      <c r="P174" s="707" t="s">
        <v>40</v>
      </c>
      <c r="Q174" s="708"/>
      <c r="R174" s="708"/>
      <c r="S174" s="708"/>
      <c r="T174" s="708"/>
      <c r="U174" s="708"/>
      <c r="V174" s="70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0"/>
      <c r="B175" s="710"/>
      <c r="C175" s="710"/>
      <c r="D175" s="710"/>
      <c r="E175" s="710"/>
      <c r="F175" s="710"/>
      <c r="G175" s="710"/>
      <c r="H175" s="710"/>
      <c r="I175" s="710"/>
      <c r="J175" s="710"/>
      <c r="K175" s="710"/>
      <c r="L175" s="710"/>
      <c r="M175" s="710"/>
      <c r="N175" s="710"/>
      <c r="O175" s="711"/>
      <c r="P175" s="707" t="s">
        <v>40</v>
      </c>
      <c r="Q175" s="708"/>
      <c r="R175" s="708"/>
      <c r="S175" s="708"/>
      <c r="T175" s="708"/>
      <c r="U175" s="708"/>
      <c r="V175" s="70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1" t="s">
        <v>76</v>
      </c>
      <c r="B176" s="701"/>
      <c r="C176" s="701"/>
      <c r="D176" s="701"/>
      <c r="E176" s="701"/>
      <c r="F176" s="701"/>
      <c r="G176" s="701"/>
      <c r="H176" s="701"/>
      <c r="I176" s="701"/>
      <c r="J176" s="701"/>
      <c r="K176" s="701"/>
      <c r="L176" s="701"/>
      <c r="M176" s="701"/>
      <c r="N176" s="701"/>
      <c r="O176" s="701"/>
      <c r="P176" s="701"/>
      <c r="Q176" s="701"/>
      <c r="R176" s="701"/>
      <c r="S176" s="701"/>
      <c r="T176" s="701"/>
      <c r="U176" s="701"/>
      <c r="V176" s="701"/>
      <c r="W176" s="701"/>
      <c r="X176" s="701"/>
      <c r="Y176" s="701"/>
      <c r="Z176" s="70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2">
        <v>4680115887428</v>
      </c>
      <c r="E177" s="702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8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4"/>
      <c r="R177" s="704"/>
      <c r="S177" s="704"/>
      <c r="T177" s="70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2">
        <v>4680115889170</v>
      </c>
      <c r="E178" s="702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4"/>
      <c r="R178" s="704"/>
      <c r="S178" s="704"/>
      <c r="T178" s="705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2">
        <v>4680115887398</v>
      </c>
      <c r="E179" s="702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4"/>
      <c r="R179" s="704"/>
      <c r="S179" s="704"/>
      <c r="T179" s="705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2">
        <v>4680115887336</v>
      </c>
      <c r="E180" s="702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4"/>
      <c r="R180" s="704"/>
      <c r="S180" s="704"/>
      <c r="T180" s="705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2">
        <v>4680115887787</v>
      </c>
      <c r="E181" s="702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4"/>
      <c r="R181" s="704"/>
      <c r="S181" s="704"/>
      <c r="T181" s="705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2">
        <v>4680115887503</v>
      </c>
      <c r="E182" s="702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4"/>
      <c r="R182" s="704"/>
      <c r="S182" s="704"/>
      <c r="T182" s="705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2">
        <v>4680115887763</v>
      </c>
      <c r="E183" s="702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4"/>
      <c r="R183" s="704"/>
      <c r="S183" s="704"/>
      <c r="T183" s="705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2">
        <v>4680115887763</v>
      </c>
      <c r="E184" s="702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4"/>
      <c r="R184" s="704"/>
      <c r="S184" s="704"/>
      <c r="T184" s="705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2">
        <v>4680115887480</v>
      </c>
      <c r="E185" s="702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4"/>
      <c r="R185" s="704"/>
      <c r="S185" s="704"/>
      <c r="T185" s="705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2">
        <v>4680115888067</v>
      </c>
      <c r="E186" s="702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79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4"/>
      <c r="R186" s="704"/>
      <c r="S186" s="704"/>
      <c r="T186" s="705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2">
        <v>4680115887435</v>
      </c>
      <c r="E187" s="702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79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4"/>
      <c r="R187" s="704"/>
      <c r="S187" s="704"/>
      <c r="T187" s="705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0"/>
      <c r="B188" s="710"/>
      <c r="C188" s="710"/>
      <c r="D188" s="710"/>
      <c r="E188" s="710"/>
      <c r="F188" s="710"/>
      <c r="G188" s="710"/>
      <c r="H188" s="710"/>
      <c r="I188" s="710"/>
      <c r="J188" s="710"/>
      <c r="K188" s="710"/>
      <c r="L188" s="710"/>
      <c r="M188" s="710"/>
      <c r="N188" s="710"/>
      <c r="O188" s="711"/>
      <c r="P188" s="707" t="s">
        <v>40</v>
      </c>
      <c r="Q188" s="708"/>
      <c r="R188" s="708"/>
      <c r="S188" s="708"/>
      <c r="T188" s="708"/>
      <c r="U188" s="708"/>
      <c r="V188" s="70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0"/>
      <c r="B189" s="710"/>
      <c r="C189" s="710"/>
      <c r="D189" s="710"/>
      <c r="E189" s="710"/>
      <c r="F189" s="710"/>
      <c r="G189" s="710"/>
      <c r="H189" s="710"/>
      <c r="I189" s="710"/>
      <c r="J189" s="710"/>
      <c r="K189" s="710"/>
      <c r="L189" s="710"/>
      <c r="M189" s="710"/>
      <c r="N189" s="710"/>
      <c r="O189" s="711"/>
      <c r="P189" s="707" t="s">
        <v>40</v>
      </c>
      <c r="Q189" s="708"/>
      <c r="R189" s="708"/>
      <c r="S189" s="708"/>
      <c r="T189" s="708"/>
      <c r="U189" s="708"/>
      <c r="V189" s="70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1" t="s">
        <v>85</v>
      </c>
      <c r="B190" s="701"/>
      <c r="C190" s="701"/>
      <c r="D190" s="701"/>
      <c r="E190" s="701"/>
      <c r="F190" s="701"/>
      <c r="G190" s="701"/>
      <c r="H190" s="701"/>
      <c r="I190" s="701"/>
      <c r="J190" s="701"/>
      <c r="K190" s="701"/>
      <c r="L190" s="701"/>
      <c r="M190" s="701"/>
      <c r="N190" s="701"/>
      <c r="O190" s="701"/>
      <c r="P190" s="701"/>
      <c r="Q190" s="701"/>
      <c r="R190" s="701"/>
      <c r="S190" s="701"/>
      <c r="T190" s="701"/>
      <c r="U190" s="701"/>
      <c r="V190" s="701"/>
      <c r="W190" s="701"/>
      <c r="X190" s="701"/>
      <c r="Y190" s="701"/>
      <c r="Z190" s="70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2">
        <v>4680115888395</v>
      </c>
      <c r="E191" s="702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4"/>
      <c r="R191" s="704"/>
      <c r="S191" s="704"/>
      <c r="T191" s="705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2">
        <v>4680115888371</v>
      </c>
      <c r="E192" s="702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4"/>
      <c r="R192" s="704"/>
      <c r="S192" s="704"/>
      <c r="T192" s="70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2">
        <v>4680115887459</v>
      </c>
      <c r="E193" s="702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4"/>
      <c r="R193" s="704"/>
      <c r="S193" s="704"/>
      <c r="T193" s="705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0"/>
      <c r="B194" s="710"/>
      <c r="C194" s="710"/>
      <c r="D194" s="710"/>
      <c r="E194" s="710"/>
      <c r="F194" s="710"/>
      <c r="G194" s="710"/>
      <c r="H194" s="710"/>
      <c r="I194" s="710"/>
      <c r="J194" s="710"/>
      <c r="K194" s="710"/>
      <c r="L194" s="710"/>
      <c r="M194" s="710"/>
      <c r="N194" s="710"/>
      <c r="O194" s="711"/>
      <c r="P194" s="707" t="s">
        <v>40</v>
      </c>
      <c r="Q194" s="708"/>
      <c r="R194" s="708"/>
      <c r="S194" s="708"/>
      <c r="T194" s="708"/>
      <c r="U194" s="708"/>
      <c r="V194" s="70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0"/>
      <c r="B195" s="710"/>
      <c r="C195" s="710"/>
      <c r="D195" s="710"/>
      <c r="E195" s="710"/>
      <c r="F195" s="710"/>
      <c r="G195" s="710"/>
      <c r="H195" s="710"/>
      <c r="I195" s="710"/>
      <c r="J195" s="710"/>
      <c r="K195" s="710"/>
      <c r="L195" s="710"/>
      <c r="M195" s="710"/>
      <c r="N195" s="710"/>
      <c r="O195" s="711"/>
      <c r="P195" s="707" t="s">
        <v>40</v>
      </c>
      <c r="Q195" s="708"/>
      <c r="R195" s="708"/>
      <c r="S195" s="708"/>
      <c r="T195" s="708"/>
      <c r="U195" s="708"/>
      <c r="V195" s="70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1" t="s">
        <v>103</v>
      </c>
      <c r="B196" s="701"/>
      <c r="C196" s="701"/>
      <c r="D196" s="701"/>
      <c r="E196" s="701"/>
      <c r="F196" s="701"/>
      <c r="G196" s="701"/>
      <c r="H196" s="701"/>
      <c r="I196" s="701"/>
      <c r="J196" s="701"/>
      <c r="K196" s="701"/>
      <c r="L196" s="701"/>
      <c r="M196" s="701"/>
      <c r="N196" s="701"/>
      <c r="O196" s="701"/>
      <c r="P196" s="701"/>
      <c r="Q196" s="701"/>
      <c r="R196" s="701"/>
      <c r="S196" s="701"/>
      <c r="T196" s="701"/>
      <c r="U196" s="701"/>
      <c r="V196" s="701"/>
      <c r="W196" s="701"/>
      <c r="X196" s="701"/>
      <c r="Y196" s="701"/>
      <c r="Z196" s="70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2">
        <v>4680115889026</v>
      </c>
      <c r="E197" s="702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4"/>
      <c r="R197" s="704"/>
      <c r="S197" s="704"/>
      <c r="T197" s="7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2">
        <v>4680115889088</v>
      </c>
      <c r="E198" s="702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4"/>
      <c r="R198" s="704"/>
      <c r="S198" s="704"/>
      <c r="T198" s="7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0"/>
      <c r="B199" s="710"/>
      <c r="C199" s="710"/>
      <c r="D199" s="710"/>
      <c r="E199" s="710"/>
      <c r="F199" s="710"/>
      <c r="G199" s="710"/>
      <c r="H199" s="710"/>
      <c r="I199" s="710"/>
      <c r="J199" s="710"/>
      <c r="K199" s="710"/>
      <c r="L199" s="710"/>
      <c r="M199" s="710"/>
      <c r="N199" s="710"/>
      <c r="O199" s="711"/>
      <c r="P199" s="707" t="s">
        <v>40</v>
      </c>
      <c r="Q199" s="708"/>
      <c r="R199" s="708"/>
      <c r="S199" s="708"/>
      <c r="T199" s="708"/>
      <c r="U199" s="708"/>
      <c r="V199" s="70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0"/>
      <c r="B200" s="710"/>
      <c r="C200" s="710"/>
      <c r="D200" s="710"/>
      <c r="E200" s="710"/>
      <c r="F200" s="710"/>
      <c r="G200" s="710"/>
      <c r="H200" s="710"/>
      <c r="I200" s="710"/>
      <c r="J200" s="710"/>
      <c r="K200" s="710"/>
      <c r="L200" s="710"/>
      <c r="M200" s="710"/>
      <c r="N200" s="710"/>
      <c r="O200" s="711"/>
      <c r="P200" s="707" t="s">
        <v>40</v>
      </c>
      <c r="Q200" s="708"/>
      <c r="R200" s="708"/>
      <c r="S200" s="708"/>
      <c r="T200" s="708"/>
      <c r="U200" s="708"/>
      <c r="V200" s="70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1" t="s">
        <v>353</v>
      </c>
      <c r="B201" s="701"/>
      <c r="C201" s="701"/>
      <c r="D201" s="701"/>
      <c r="E201" s="701"/>
      <c r="F201" s="701"/>
      <c r="G201" s="701"/>
      <c r="H201" s="701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2">
        <v>4680115889033</v>
      </c>
      <c r="E202" s="702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4"/>
      <c r="R202" s="704"/>
      <c r="S202" s="704"/>
      <c r="T202" s="705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0"/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1"/>
      <c r="P203" s="707" t="s">
        <v>40</v>
      </c>
      <c r="Q203" s="708"/>
      <c r="R203" s="708"/>
      <c r="S203" s="708"/>
      <c r="T203" s="708"/>
      <c r="U203" s="708"/>
      <c r="V203" s="70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0"/>
      <c r="B204" s="710"/>
      <c r="C204" s="710"/>
      <c r="D204" s="710"/>
      <c r="E204" s="710"/>
      <c r="F204" s="710"/>
      <c r="G204" s="710"/>
      <c r="H204" s="710"/>
      <c r="I204" s="710"/>
      <c r="J204" s="710"/>
      <c r="K204" s="710"/>
      <c r="L204" s="710"/>
      <c r="M204" s="710"/>
      <c r="N204" s="710"/>
      <c r="O204" s="711"/>
      <c r="P204" s="707" t="s">
        <v>40</v>
      </c>
      <c r="Q204" s="708"/>
      <c r="R204" s="708"/>
      <c r="S204" s="708"/>
      <c r="T204" s="708"/>
      <c r="U204" s="708"/>
      <c r="V204" s="70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99" t="s">
        <v>357</v>
      </c>
      <c r="B205" s="699"/>
      <c r="C205" s="699"/>
      <c r="D205" s="699"/>
      <c r="E205" s="699"/>
      <c r="F205" s="699"/>
      <c r="G205" s="699"/>
      <c r="H205" s="699"/>
      <c r="I205" s="699"/>
      <c r="J205" s="699"/>
      <c r="K205" s="699"/>
      <c r="L205" s="699"/>
      <c r="M205" s="699"/>
      <c r="N205" s="699"/>
      <c r="O205" s="699"/>
      <c r="P205" s="699"/>
      <c r="Q205" s="699"/>
      <c r="R205" s="699"/>
      <c r="S205" s="699"/>
      <c r="T205" s="699"/>
      <c r="U205" s="699"/>
      <c r="V205" s="699"/>
      <c r="W205" s="699"/>
      <c r="X205" s="699"/>
      <c r="Y205" s="699"/>
      <c r="Z205" s="699"/>
      <c r="AA205" s="52"/>
      <c r="AB205" s="52"/>
      <c r="AC205" s="52"/>
    </row>
    <row r="206" spans="1:68" ht="16.5" hidden="1" customHeight="1" x14ac:dyDescent="0.25">
      <c r="A206" s="700" t="s">
        <v>358</v>
      </c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0"/>
      <c r="P206" s="700"/>
      <c r="Q206" s="700"/>
      <c r="R206" s="700"/>
      <c r="S206" s="700"/>
      <c r="T206" s="700"/>
      <c r="U206" s="700"/>
      <c r="V206" s="700"/>
      <c r="W206" s="700"/>
      <c r="X206" s="700"/>
      <c r="Y206" s="700"/>
      <c r="Z206" s="700"/>
      <c r="AA206" s="62"/>
      <c r="AB206" s="62"/>
      <c r="AC206" s="62"/>
    </row>
    <row r="207" spans="1:68" ht="14.25" hidden="1" customHeight="1" x14ac:dyDescent="0.25">
      <c r="A207" s="701" t="s">
        <v>127</v>
      </c>
      <c r="B207" s="701"/>
      <c r="C207" s="701"/>
      <c r="D207" s="701"/>
      <c r="E207" s="701"/>
      <c r="F207" s="701"/>
      <c r="G207" s="701"/>
      <c r="H207" s="701"/>
      <c r="I207" s="701"/>
      <c r="J207" s="701"/>
      <c r="K207" s="701"/>
      <c r="L207" s="701"/>
      <c r="M207" s="701"/>
      <c r="N207" s="701"/>
      <c r="O207" s="701"/>
      <c r="P207" s="701"/>
      <c r="Q207" s="701"/>
      <c r="R207" s="701"/>
      <c r="S207" s="701"/>
      <c r="T207" s="701"/>
      <c r="U207" s="701"/>
      <c r="V207" s="701"/>
      <c r="W207" s="701"/>
      <c r="X207" s="701"/>
      <c r="Y207" s="701"/>
      <c r="Z207" s="70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2">
        <v>4607091383423</v>
      </c>
      <c r="E208" s="702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4"/>
      <c r="R208" s="704"/>
      <c r="S208" s="704"/>
      <c r="T208" s="70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2">
        <v>4680115888760</v>
      </c>
      <c r="E209" s="702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4"/>
      <c r="R209" s="704"/>
      <c r="S209" s="704"/>
      <c r="T209" s="7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2">
        <v>4680115888807</v>
      </c>
      <c r="E210" s="702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0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4"/>
      <c r="R210" s="704"/>
      <c r="S210" s="704"/>
      <c r="T210" s="7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2">
        <v>4680115888852</v>
      </c>
      <c r="E211" s="702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4"/>
      <c r="R211" s="704"/>
      <c r="S211" s="704"/>
      <c r="T211" s="7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2">
        <v>4680115886957</v>
      </c>
      <c r="E212" s="702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4"/>
      <c r="R212" s="704"/>
      <c r="S212" s="704"/>
      <c r="T212" s="70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2">
        <v>4680115885660</v>
      </c>
      <c r="E213" s="702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4"/>
      <c r="R213" s="704"/>
      <c r="S213" s="704"/>
      <c r="T213" s="7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2">
        <v>4680115886773</v>
      </c>
      <c r="E214" s="702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4"/>
      <c r="R214" s="704"/>
      <c r="S214" s="704"/>
      <c r="T214" s="70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0"/>
      <c r="B215" s="710"/>
      <c r="C215" s="710"/>
      <c r="D215" s="710"/>
      <c r="E215" s="710"/>
      <c r="F215" s="710"/>
      <c r="G215" s="710"/>
      <c r="H215" s="710"/>
      <c r="I215" s="710"/>
      <c r="J215" s="710"/>
      <c r="K215" s="710"/>
      <c r="L215" s="710"/>
      <c r="M215" s="710"/>
      <c r="N215" s="710"/>
      <c r="O215" s="711"/>
      <c r="P215" s="707" t="s">
        <v>40</v>
      </c>
      <c r="Q215" s="708"/>
      <c r="R215" s="708"/>
      <c r="S215" s="708"/>
      <c r="T215" s="708"/>
      <c r="U215" s="708"/>
      <c r="V215" s="70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0"/>
      <c r="B216" s="710"/>
      <c r="C216" s="710"/>
      <c r="D216" s="710"/>
      <c r="E216" s="710"/>
      <c r="F216" s="710"/>
      <c r="G216" s="710"/>
      <c r="H216" s="710"/>
      <c r="I216" s="710"/>
      <c r="J216" s="710"/>
      <c r="K216" s="710"/>
      <c r="L216" s="710"/>
      <c r="M216" s="710"/>
      <c r="N216" s="710"/>
      <c r="O216" s="711"/>
      <c r="P216" s="707" t="s">
        <v>40</v>
      </c>
      <c r="Q216" s="708"/>
      <c r="R216" s="708"/>
      <c r="S216" s="708"/>
      <c r="T216" s="708"/>
      <c r="U216" s="708"/>
      <c r="V216" s="70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0" t="s">
        <v>379</v>
      </c>
      <c r="B217" s="700"/>
      <c r="C217" s="700"/>
      <c r="D217" s="700"/>
      <c r="E217" s="700"/>
      <c r="F217" s="700"/>
      <c r="G217" s="700"/>
      <c r="H217" s="700"/>
      <c r="I217" s="700"/>
      <c r="J217" s="700"/>
      <c r="K217" s="700"/>
      <c r="L217" s="700"/>
      <c r="M217" s="700"/>
      <c r="N217" s="700"/>
      <c r="O217" s="700"/>
      <c r="P217" s="700"/>
      <c r="Q217" s="700"/>
      <c r="R217" s="700"/>
      <c r="S217" s="700"/>
      <c r="T217" s="700"/>
      <c r="U217" s="700"/>
      <c r="V217" s="700"/>
      <c r="W217" s="700"/>
      <c r="X217" s="700"/>
      <c r="Y217" s="700"/>
      <c r="Z217" s="700"/>
      <c r="AA217" s="62"/>
      <c r="AB217" s="62"/>
      <c r="AC217" s="62"/>
    </row>
    <row r="218" spans="1:68" ht="14.25" hidden="1" customHeight="1" x14ac:dyDescent="0.25">
      <c r="A218" s="701" t="s">
        <v>163</v>
      </c>
      <c r="B218" s="701"/>
      <c r="C218" s="701"/>
      <c r="D218" s="701"/>
      <c r="E218" s="701"/>
      <c r="F218" s="701"/>
      <c r="G218" s="701"/>
      <c r="H218" s="701"/>
      <c r="I218" s="701"/>
      <c r="J218" s="701"/>
      <c r="K218" s="701"/>
      <c r="L218" s="701"/>
      <c r="M218" s="701"/>
      <c r="N218" s="701"/>
      <c r="O218" s="701"/>
      <c r="P218" s="701"/>
      <c r="Q218" s="701"/>
      <c r="R218" s="701"/>
      <c r="S218" s="701"/>
      <c r="T218" s="701"/>
      <c r="U218" s="701"/>
      <c r="V218" s="701"/>
      <c r="W218" s="701"/>
      <c r="X218" s="701"/>
      <c r="Y218" s="701"/>
      <c r="Z218" s="70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2">
        <v>4680115886223</v>
      </c>
      <c r="E219" s="702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4"/>
      <c r="R219" s="704"/>
      <c r="S219" s="704"/>
      <c r="T219" s="705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0"/>
      <c r="B220" s="710"/>
      <c r="C220" s="710"/>
      <c r="D220" s="710"/>
      <c r="E220" s="710"/>
      <c r="F220" s="710"/>
      <c r="G220" s="710"/>
      <c r="H220" s="710"/>
      <c r="I220" s="710"/>
      <c r="J220" s="710"/>
      <c r="K220" s="710"/>
      <c r="L220" s="710"/>
      <c r="M220" s="710"/>
      <c r="N220" s="710"/>
      <c r="O220" s="711"/>
      <c r="P220" s="707" t="s">
        <v>40</v>
      </c>
      <c r="Q220" s="708"/>
      <c r="R220" s="708"/>
      <c r="S220" s="708"/>
      <c r="T220" s="708"/>
      <c r="U220" s="708"/>
      <c r="V220" s="70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0"/>
      <c r="B221" s="710"/>
      <c r="C221" s="710"/>
      <c r="D221" s="710"/>
      <c r="E221" s="710"/>
      <c r="F221" s="710"/>
      <c r="G221" s="710"/>
      <c r="H221" s="710"/>
      <c r="I221" s="710"/>
      <c r="J221" s="710"/>
      <c r="K221" s="710"/>
      <c r="L221" s="710"/>
      <c r="M221" s="710"/>
      <c r="N221" s="710"/>
      <c r="O221" s="711"/>
      <c r="P221" s="707" t="s">
        <v>40</v>
      </c>
      <c r="Q221" s="708"/>
      <c r="R221" s="708"/>
      <c r="S221" s="708"/>
      <c r="T221" s="708"/>
      <c r="U221" s="708"/>
      <c r="V221" s="70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1" t="s">
        <v>76</v>
      </c>
      <c r="B222" s="701"/>
      <c r="C222" s="701"/>
      <c r="D222" s="701"/>
      <c r="E222" s="701"/>
      <c r="F222" s="701"/>
      <c r="G222" s="701"/>
      <c r="H222" s="701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2">
        <v>4680115880993</v>
      </c>
      <c r="E223" s="702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4"/>
      <c r="R223" s="704"/>
      <c r="S223" s="704"/>
      <c r="T223" s="70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2">
        <v>4680115881761</v>
      </c>
      <c r="E224" s="702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4"/>
      <c r="R224" s="704"/>
      <c r="S224" s="704"/>
      <c r="T224" s="70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2">
        <v>4680115881563</v>
      </c>
      <c r="E225" s="702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4"/>
      <c r="R225" s="704"/>
      <c r="S225" s="704"/>
      <c r="T225" s="70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2">
        <v>4680115887565</v>
      </c>
      <c r="E226" s="702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4"/>
      <c r="R226" s="704"/>
      <c r="S226" s="704"/>
      <c r="T226" s="70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2">
        <v>4680115880986</v>
      </c>
      <c r="E227" s="702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4"/>
      <c r="R227" s="704"/>
      <c r="S227" s="704"/>
      <c r="T227" s="705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2">
        <v>4680115887213</v>
      </c>
      <c r="E228" s="702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4"/>
      <c r="R228" s="704"/>
      <c r="S228" s="704"/>
      <c r="T228" s="705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2">
        <v>4680115881785</v>
      </c>
      <c r="E229" s="702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4"/>
      <c r="R229" s="704"/>
      <c r="S229" s="704"/>
      <c r="T229" s="705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2">
        <v>4680115888432</v>
      </c>
      <c r="E230" s="702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4"/>
      <c r="R230" s="704"/>
      <c r="S230" s="704"/>
      <c r="T230" s="705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2">
        <v>4680115888104</v>
      </c>
      <c r="E231" s="702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4"/>
      <c r="R231" s="704"/>
      <c r="S231" s="704"/>
      <c r="T231" s="705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2">
        <v>4680115886537</v>
      </c>
      <c r="E232" s="702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4"/>
      <c r="R232" s="704"/>
      <c r="S232" s="704"/>
      <c r="T232" s="705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2">
        <v>4680115887596</v>
      </c>
      <c r="E233" s="702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4"/>
      <c r="R233" s="704"/>
      <c r="S233" s="704"/>
      <c r="T233" s="705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2">
        <v>4680115881679</v>
      </c>
      <c r="E234" s="702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4"/>
      <c r="R234" s="704"/>
      <c r="S234" s="704"/>
      <c r="T234" s="705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2">
        <v>4680115880191</v>
      </c>
      <c r="E235" s="702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4"/>
      <c r="R235" s="704"/>
      <c r="S235" s="704"/>
      <c r="T235" s="705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2">
        <v>4680115883963</v>
      </c>
      <c r="E236" s="702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4"/>
      <c r="R236" s="704"/>
      <c r="S236" s="704"/>
      <c r="T236" s="705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0"/>
      <c r="B237" s="710"/>
      <c r="C237" s="710"/>
      <c r="D237" s="710"/>
      <c r="E237" s="710"/>
      <c r="F237" s="710"/>
      <c r="G237" s="710"/>
      <c r="H237" s="710"/>
      <c r="I237" s="710"/>
      <c r="J237" s="710"/>
      <c r="K237" s="710"/>
      <c r="L237" s="710"/>
      <c r="M237" s="710"/>
      <c r="N237" s="710"/>
      <c r="O237" s="711"/>
      <c r="P237" s="707" t="s">
        <v>40</v>
      </c>
      <c r="Q237" s="708"/>
      <c r="R237" s="708"/>
      <c r="S237" s="708"/>
      <c r="T237" s="708"/>
      <c r="U237" s="708"/>
      <c r="V237" s="70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0"/>
      <c r="B238" s="710"/>
      <c r="C238" s="710"/>
      <c r="D238" s="710"/>
      <c r="E238" s="710"/>
      <c r="F238" s="710"/>
      <c r="G238" s="710"/>
      <c r="H238" s="710"/>
      <c r="I238" s="710"/>
      <c r="J238" s="710"/>
      <c r="K238" s="710"/>
      <c r="L238" s="710"/>
      <c r="M238" s="710"/>
      <c r="N238" s="710"/>
      <c r="O238" s="711"/>
      <c r="P238" s="707" t="s">
        <v>40</v>
      </c>
      <c r="Q238" s="708"/>
      <c r="R238" s="708"/>
      <c r="S238" s="708"/>
      <c r="T238" s="708"/>
      <c r="U238" s="708"/>
      <c r="V238" s="70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1" t="s">
        <v>85</v>
      </c>
      <c r="B239" s="701"/>
      <c r="C239" s="701"/>
      <c r="D239" s="701"/>
      <c r="E239" s="701"/>
      <c r="F239" s="701"/>
      <c r="G239" s="701"/>
      <c r="H239" s="701"/>
      <c r="I239" s="701"/>
      <c r="J239" s="701"/>
      <c r="K239" s="701"/>
      <c r="L239" s="701"/>
      <c r="M239" s="701"/>
      <c r="N239" s="701"/>
      <c r="O239" s="701"/>
      <c r="P239" s="701"/>
      <c r="Q239" s="701"/>
      <c r="R239" s="701"/>
      <c r="S239" s="701"/>
      <c r="T239" s="701"/>
      <c r="U239" s="701"/>
      <c r="V239" s="701"/>
      <c r="W239" s="701"/>
      <c r="X239" s="701"/>
      <c r="Y239" s="701"/>
      <c r="Z239" s="70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2">
        <v>4680115888692</v>
      </c>
      <c r="E240" s="702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4"/>
      <c r="R240" s="704"/>
      <c r="S240" s="704"/>
      <c r="T240" s="70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2">
        <v>4680115888722</v>
      </c>
      <c r="E241" s="702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4"/>
      <c r="R241" s="704"/>
      <c r="S241" s="704"/>
      <c r="T241" s="7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2">
        <v>4680115888951</v>
      </c>
      <c r="E242" s="702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4"/>
      <c r="R242" s="704"/>
      <c r="S242" s="704"/>
      <c r="T242" s="7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2">
        <v>4680115888975</v>
      </c>
      <c r="E243" s="702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4"/>
      <c r="R243" s="704"/>
      <c r="S243" s="704"/>
      <c r="T243" s="705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2">
        <v>4680115888982</v>
      </c>
      <c r="E244" s="702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4"/>
      <c r="R244" s="704"/>
      <c r="S244" s="704"/>
      <c r="T244" s="70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0"/>
      <c r="B245" s="710"/>
      <c r="C245" s="710"/>
      <c r="D245" s="710"/>
      <c r="E245" s="710"/>
      <c r="F245" s="710"/>
      <c r="G245" s="710"/>
      <c r="H245" s="710"/>
      <c r="I245" s="710"/>
      <c r="J245" s="710"/>
      <c r="K245" s="710"/>
      <c r="L245" s="710"/>
      <c r="M245" s="710"/>
      <c r="N245" s="710"/>
      <c r="O245" s="711"/>
      <c r="P245" s="707" t="s">
        <v>40</v>
      </c>
      <c r="Q245" s="708"/>
      <c r="R245" s="708"/>
      <c r="S245" s="708"/>
      <c r="T245" s="708"/>
      <c r="U245" s="708"/>
      <c r="V245" s="70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0"/>
      <c r="B246" s="710"/>
      <c r="C246" s="710"/>
      <c r="D246" s="710"/>
      <c r="E246" s="710"/>
      <c r="F246" s="710"/>
      <c r="G246" s="710"/>
      <c r="H246" s="710"/>
      <c r="I246" s="710"/>
      <c r="J246" s="710"/>
      <c r="K246" s="710"/>
      <c r="L246" s="710"/>
      <c r="M246" s="710"/>
      <c r="N246" s="710"/>
      <c r="O246" s="711"/>
      <c r="P246" s="707" t="s">
        <v>40</v>
      </c>
      <c r="Q246" s="708"/>
      <c r="R246" s="708"/>
      <c r="S246" s="708"/>
      <c r="T246" s="708"/>
      <c r="U246" s="708"/>
      <c r="V246" s="70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1" t="s">
        <v>103</v>
      </c>
      <c r="B247" s="701"/>
      <c r="C247" s="701"/>
      <c r="D247" s="701"/>
      <c r="E247" s="701"/>
      <c r="F247" s="701"/>
      <c r="G247" s="701"/>
      <c r="H247" s="701"/>
      <c r="I247" s="701"/>
      <c r="J247" s="701"/>
      <c r="K247" s="701"/>
      <c r="L247" s="701"/>
      <c r="M247" s="701"/>
      <c r="N247" s="701"/>
      <c r="O247" s="701"/>
      <c r="P247" s="701"/>
      <c r="Q247" s="701"/>
      <c r="R247" s="701"/>
      <c r="S247" s="701"/>
      <c r="T247" s="701"/>
      <c r="U247" s="701"/>
      <c r="V247" s="701"/>
      <c r="W247" s="701"/>
      <c r="X247" s="701"/>
      <c r="Y247" s="701"/>
      <c r="Z247" s="70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2">
        <v>4680115886780</v>
      </c>
      <c r="E248" s="702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4"/>
      <c r="R248" s="704"/>
      <c r="S248" s="704"/>
      <c r="T248" s="705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2">
        <v>4680115886742</v>
      </c>
      <c r="E249" s="702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4"/>
      <c r="R249" s="704"/>
      <c r="S249" s="704"/>
      <c r="T249" s="70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2">
        <v>4680115886766</v>
      </c>
      <c r="E250" s="702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4"/>
      <c r="R250" s="704"/>
      <c r="S250" s="704"/>
      <c r="T250" s="70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0"/>
      <c r="B251" s="710"/>
      <c r="C251" s="710"/>
      <c r="D251" s="710"/>
      <c r="E251" s="710"/>
      <c r="F251" s="710"/>
      <c r="G251" s="710"/>
      <c r="H251" s="710"/>
      <c r="I251" s="710"/>
      <c r="J251" s="710"/>
      <c r="K251" s="710"/>
      <c r="L251" s="710"/>
      <c r="M251" s="710"/>
      <c r="N251" s="710"/>
      <c r="O251" s="711"/>
      <c r="P251" s="707" t="s">
        <v>40</v>
      </c>
      <c r="Q251" s="708"/>
      <c r="R251" s="708"/>
      <c r="S251" s="708"/>
      <c r="T251" s="708"/>
      <c r="U251" s="708"/>
      <c r="V251" s="70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0"/>
      <c r="B252" s="710"/>
      <c r="C252" s="710"/>
      <c r="D252" s="710"/>
      <c r="E252" s="710"/>
      <c r="F252" s="710"/>
      <c r="G252" s="710"/>
      <c r="H252" s="710"/>
      <c r="I252" s="710"/>
      <c r="J252" s="710"/>
      <c r="K252" s="710"/>
      <c r="L252" s="710"/>
      <c r="M252" s="710"/>
      <c r="N252" s="710"/>
      <c r="O252" s="711"/>
      <c r="P252" s="707" t="s">
        <v>40</v>
      </c>
      <c r="Q252" s="708"/>
      <c r="R252" s="708"/>
      <c r="S252" s="708"/>
      <c r="T252" s="708"/>
      <c r="U252" s="708"/>
      <c r="V252" s="70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1" t="s">
        <v>443</v>
      </c>
      <c r="B253" s="701"/>
      <c r="C253" s="701"/>
      <c r="D253" s="701"/>
      <c r="E253" s="701"/>
      <c r="F253" s="701"/>
      <c r="G253" s="701"/>
      <c r="H253" s="701"/>
      <c r="I253" s="701"/>
      <c r="J253" s="701"/>
      <c r="K253" s="701"/>
      <c r="L253" s="701"/>
      <c r="M253" s="701"/>
      <c r="N253" s="701"/>
      <c r="O253" s="701"/>
      <c r="P253" s="701"/>
      <c r="Q253" s="701"/>
      <c r="R253" s="701"/>
      <c r="S253" s="701"/>
      <c r="T253" s="701"/>
      <c r="U253" s="701"/>
      <c r="V253" s="701"/>
      <c r="W253" s="701"/>
      <c r="X253" s="701"/>
      <c r="Y253" s="701"/>
      <c r="Z253" s="70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2">
        <v>4680115886797</v>
      </c>
      <c r="E254" s="702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4"/>
      <c r="R254" s="704"/>
      <c r="S254" s="704"/>
      <c r="T254" s="70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0"/>
      <c r="B255" s="710"/>
      <c r="C255" s="710"/>
      <c r="D255" s="710"/>
      <c r="E255" s="710"/>
      <c r="F255" s="710"/>
      <c r="G255" s="710"/>
      <c r="H255" s="710"/>
      <c r="I255" s="710"/>
      <c r="J255" s="710"/>
      <c r="K255" s="710"/>
      <c r="L255" s="710"/>
      <c r="M255" s="710"/>
      <c r="N255" s="710"/>
      <c r="O255" s="711"/>
      <c r="P255" s="707" t="s">
        <v>40</v>
      </c>
      <c r="Q255" s="708"/>
      <c r="R255" s="708"/>
      <c r="S255" s="708"/>
      <c r="T255" s="708"/>
      <c r="U255" s="708"/>
      <c r="V255" s="70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0"/>
      <c r="B256" s="710"/>
      <c r="C256" s="710"/>
      <c r="D256" s="710"/>
      <c r="E256" s="710"/>
      <c r="F256" s="710"/>
      <c r="G256" s="710"/>
      <c r="H256" s="710"/>
      <c r="I256" s="710"/>
      <c r="J256" s="710"/>
      <c r="K256" s="710"/>
      <c r="L256" s="710"/>
      <c r="M256" s="710"/>
      <c r="N256" s="710"/>
      <c r="O256" s="711"/>
      <c r="P256" s="707" t="s">
        <v>40</v>
      </c>
      <c r="Q256" s="708"/>
      <c r="R256" s="708"/>
      <c r="S256" s="708"/>
      <c r="T256" s="708"/>
      <c r="U256" s="708"/>
      <c r="V256" s="70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0" t="s">
        <v>446</v>
      </c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0"/>
      <c r="P257" s="700"/>
      <c r="Q257" s="700"/>
      <c r="R257" s="700"/>
      <c r="S257" s="700"/>
      <c r="T257" s="700"/>
      <c r="U257" s="700"/>
      <c r="V257" s="700"/>
      <c r="W257" s="700"/>
      <c r="X257" s="700"/>
      <c r="Y257" s="700"/>
      <c r="Z257" s="700"/>
      <c r="AA257" s="62"/>
      <c r="AB257" s="62"/>
      <c r="AC257" s="62"/>
    </row>
    <row r="258" spans="1:68" ht="14.25" hidden="1" customHeight="1" x14ac:dyDescent="0.25">
      <c r="A258" s="701" t="s">
        <v>127</v>
      </c>
      <c r="B258" s="701"/>
      <c r="C258" s="701"/>
      <c r="D258" s="701"/>
      <c r="E258" s="701"/>
      <c r="F258" s="701"/>
      <c r="G258" s="701"/>
      <c r="H258" s="701"/>
      <c r="I258" s="701"/>
      <c r="J258" s="701"/>
      <c r="K258" s="701"/>
      <c r="L258" s="701"/>
      <c r="M258" s="701"/>
      <c r="N258" s="701"/>
      <c r="O258" s="701"/>
      <c r="P258" s="701"/>
      <c r="Q258" s="701"/>
      <c r="R258" s="701"/>
      <c r="S258" s="701"/>
      <c r="T258" s="701"/>
      <c r="U258" s="701"/>
      <c r="V258" s="701"/>
      <c r="W258" s="701"/>
      <c r="X258" s="701"/>
      <c r="Y258" s="701"/>
      <c r="Z258" s="70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2">
        <v>4680115881402</v>
      </c>
      <c r="E259" s="702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4"/>
      <c r="R259" s="704"/>
      <c r="S259" s="704"/>
      <c r="T259" s="705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2">
        <v>4680115881396</v>
      </c>
      <c r="E260" s="702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3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4"/>
      <c r="R260" s="704"/>
      <c r="S260" s="704"/>
      <c r="T260" s="705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0"/>
      <c r="B261" s="710"/>
      <c r="C261" s="710"/>
      <c r="D261" s="710"/>
      <c r="E261" s="710"/>
      <c r="F261" s="710"/>
      <c r="G261" s="710"/>
      <c r="H261" s="710"/>
      <c r="I261" s="710"/>
      <c r="J261" s="710"/>
      <c r="K261" s="710"/>
      <c r="L261" s="710"/>
      <c r="M261" s="710"/>
      <c r="N261" s="710"/>
      <c r="O261" s="711"/>
      <c r="P261" s="707" t="s">
        <v>40</v>
      </c>
      <c r="Q261" s="708"/>
      <c r="R261" s="708"/>
      <c r="S261" s="708"/>
      <c r="T261" s="708"/>
      <c r="U261" s="708"/>
      <c r="V261" s="70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0"/>
      <c r="B262" s="710"/>
      <c r="C262" s="710"/>
      <c r="D262" s="710"/>
      <c r="E262" s="710"/>
      <c r="F262" s="710"/>
      <c r="G262" s="710"/>
      <c r="H262" s="710"/>
      <c r="I262" s="710"/>
      <c r="J262" s="710"/>
      <c r="K262" s="710"/>
      <c r="L262" s="710"/>
      <c r="M262" s="710"/>
      <c r="N262" s="710"/>
      <c r="O262" s="711"/>
      <c r="P262" s="707" t="s">
        <v>40</v>
      </c>
      <c r="Q262" s="708"/>
      <c r="R262" s="708"/>
      <c r="S262" s="708"/>
      <c r="T262" s="708"/>
      <c r="U262" s="708"/>
      <c r="V262" s="70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1" t="s">
        <v>163</v>
      </c>
      <c r="B263" s="701"/>
      <c r="C263" s="701"/>
      <c r="D263" s="701"/>
      <c r="E263" s="701"/>
      <c r="F263" s="701"/>
      <c r="G263" s="701"/>
      <c r="H263" s="701"/>
      <c r="I263" s="701"/>
      <c r="J263" s="701"/>
      <c r="K263" s="701"/>
      <c r="L263" s="701"/>
      <c r="M263" s="701"/>
      <c r="N263" s="701"/>
      <c r="O263" s="701"/>
      <c r="P263" s="701"/>
      <c r="Q263" s="701"/>
      <c r="R263" s="701"/>
      <c r="S263" s="701"/>
      <c r="T263" s="701"/>
      <c r="U263" s="701"/>
      <c r="V263" s="701"/>
      <c r="W263" s="701"/>
      <c r="X263" s="701"/>
      <c r="Y263" s="701"/>
      <c r="Z263" s="70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2">
        <v>4680115882935</v>
      </c>
      <c r="E264" s="702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4"/>
      <c r="R264" s="704"/>
      <c r="S264" s="704"/>
      <c r="T264" s="705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2">
        <v>4680115880764</v>
      </c>
      <c r="E265" s="702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4"/>
      <c r="R265" s="704"/>
      <c r="S265" s="704"/>
      <c r="T265" s="705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0"/>
      <c r="B266" s="710"/>
      <c r="C266" s="710"/>
      <c r="D266" s="710"/>
      <c r="E266" s="710"/>
      <c r="F266" s="710"/>
      <c r="G266" s="710"/>
      <c r="H266" s="710"/>
      <c r="I266" s="710"/>
      <c r="J266" s="710"/>
      <c r="K266" s="710"/>
      <c r="L266" s="710"/>
      <c r="M266" s="710"/>
      <c r="N266" s="710"/>
      <c r="O266" s="711"/>
      <c r="P266" s="707" t="s">
        <v>40</v>
      </c>
      <c r="Q266" s="708"/>
      <c r="R266" s="708"/>
      <c r="S266" s="708"/>
      <c r="T266" s="708"/>
      <c r="U266" s="708"/>
      <c r="V266" s="70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0"/>
      <c r="B267" s="710"/>
      <c r="C267" s="710"/>
      <c r="D267" s="710"/>
      <c r="E267" s="710"/>
      <c r="F267" s="710"/>
      <c r="G267" s="710"/>
      <c r="H267" s="710"/>
      <c r="I267" s="710"/>
      <c r="J267" s="710"/>
      <c r="K267" s="710"/>
      <c r="L267" s="710"/>
      <c r="M267" s="710"/>
      <c r="N267" s="710"/>
      <c r="O267" s="711"/>
      <c r="P267" s="707" t="s">
        <v>40</v>
      </c>
      <c r="Q267" s="708"/>
      <c r="R267" s="708"/>
      <c r="S267" s="708"/>
      <c r="T267" s="708"/>
      <c r="U267" s="708"/>
      <c r="V267" s="70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1" t="s">
        <v>76</v>
      </c>
      <c r="B268" s="701"/>
      <c r="C268" s="701"/>
      <c r="D268" s="701"/>
      <c r="E268" s="701"/>
      <c r="F268" s="701"/>
      <c r="G268" s="701"/>
      <c r="H268" s="701"/>
      <c r="I268" s="701"/>
      <c r="J268" s="701"/>
      <c r="K268" s="701"/>
      <c r="L268" s="701"/>
      <c r="M268" s="701"/>
      <c r="N268" s="701"/>
      <c r="O268" s="701"/>
      <c r="P268" s="701"/>
      <c r="Q268" s="701"/>
      <c r="R268" s="701"/>
      <c r="S268" s="701"/>
      <c r="T268" s="701"/>
      <c r="U268" s="701"/>
      <c r="V268" s="701"/>
      <c r="W268" s="701"/>
      <c r="X268" s="701"/>
      <c r="Y268" s="701"/>
      <c r="Z268" s="70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2">
        <v>4680115882683</v>
      </c>
      <c r="E269" s="702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4"/>
      <c r="R269" s="704"/>
      <c r="S269" s="704"/>
      <c r="T269" s="7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2">
        <v>4680115882690</v>
      </c>
      <c r="E270" s="702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4"/>
      <c r="R270" s="704"/>
      <c r="S270" s="704"/>
      <c r="T270" s="7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2">
        <v>4680115882669</v>
      </c>
      <c r="E271" s="702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4"/>
      <c r="R271" s="704"/>
      <c r="S271" s="704"/>
      <c r="T271" s="70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2">
        <v>4680115882676</v>
      </c>
      <c r="E272" s="702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4"/>
      <c r="R272" s="704"/>
      <c r="S272" s="704"/>
      <c r="T272" s="70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2">
        <v>4680115884014</v>
      </c>
      <c r="E273" s="702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4"/>
      <c r="R273" s="704"/>
      <c r="S273" s="704"/>
      <c r="T273" s="7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2">
        <v>4680115884007</v>
      </c>
      <c r="E274" s="702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4"/>
      <c r="R274" s="704"/>
      <c r="S274" s="704"/>
      <c r="T274" s="70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2">
        <v>4680115884038</v>
      </c>
      <c r="E275" s="702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4"/>
      <c r="R275" s="704"/>
      <c r="S275" s="704"/>
      <c r="T275" s="70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2">
        <v>4680115884021</v>
      </c>
      <c r="E276" s="702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4"/>
      <c r="R276" s="704"/>
      <c r="S276" s="704"/>
      <c r="T276" s="70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0"/>
      <c r="B277" s="710"/>
      <c r="C277" s="710"/>
      <c r="D277" s="710"/>
      <c r="E277" s="710"/>
      <c r="F277" s="710"/>
      <c r="G277" s="710"/>
      <c r="H277" s="710"/>
      <c r="I277" s="710"/>
      <c r="J277" s="710"/>
      <c r="K277" s="710"/>
      <c r="L277" s="710"/>
      <c r="M277" s="710"/>
      <c r="N277" s="710"/>
      <c r="O277" s="711"/>
      <c r="P277" s="707" t="s">
        <v>40</v>
      </c>
      <c r="Q277" s="708"/>
      <c r="R277" s="708"/>
      <c r="S277" s="708"/>
      <c r="T277" s="708"/>
      <c r="U277" s="708"/>
      <c r="V277" s="70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0"/>
      <c r="B278" s="710"/>
      <c r="C278" s="710"/>
      <c r="D278" s="710"/>
      <c r="E278" s="710"/>
      <c r="F278" s="710"/>
      <c r="G278" s="710"/>
      <c r="H278" s="710"/>
      <c r="I278" s="710"/>
      <c r="J278" s="710"/>
      <c r="K278" s="710"/>
      <c r="L278" s="710"/>
      <c r="M278" s="710"/>
      <c r="N278" s="710"/>
      <c r="O278" s="711"/>
      <c r="P278" s="707" t="s">
        <v>40</v>
      </c>
      <c r="Q278" s="708"/>
      <c r="R278" s="708"/>
      <c r="S278" s="708"/>
      <c r="T278" s="708"/>
      <c r="U278" s="708"/>
      <c r="V278" s="70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1" t="s">
        <v>85</v>
      </c>
      <c r="B279" s="701"/>
      <c r="C279" s="701"/>
      <c r="D279" s="701"/>
      <c r="E279" s="701"/>
      <c r="F279" s="701"/>
      <c r="G279" s="701"/>
      <c r="H279" s="701"/>
      <c r="I279" s="701"/>
      <c r="J279" s="701"/>
      <c r="K279" s="701"/>
      <c r="L279" s="701"/>
      <c r="M279" s="701"/>
      <c r="N279" s="701"/>
      <c r="O279" s="701"/>
      <c r="P279" s="701"/>
      <c r="Q279" s="701"/>
      <c r="R279" s="701"/>
      <c r="S279" s="701"/>
      <c r="T279" s="701"/>
      <c r="U279" s="701"/>
      <c r="V279" s="701"/>
      <c r="W279" s="701"/>
      <c r="X279" s="701"/>
      <c r="Y279" s="701"/>
      <c r="Z279" s="70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2">
        <v>4680115881594</v>
      </c>
      <c r="E280" s="702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4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4"/>
      <c r="R280" s="704"/>
      <c r="S280" s="704"/>
      <c r="T280" s="70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2">
        <v>4680115881617</v>
      </c>
      <c r="E281" s="702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4"/>
      <c r="R281" s="704"/>
      <c r="S281" s="704"/>
      <c r="T281" s="70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2">
        <v>4680115880573</v>
      </c>
      <c r="E282" s="702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4"/>
      <c r="R282" s="704"/>
      <c r="S282" s="704"/>
      <c r="T282" s="705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2">
        <v>4680115882195</v>
      </c>
      <c r="E283" s="702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4"/>
      <c r="R283" s="704"/>
      <c r="S283" s="704"/>
      <c r="T283" s="7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2">
        <v>4680115882607</v>
      </c>
      <c r="E284" s="702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4"/>
      <c r="R284" s="704"/>
      <c r="S284" s="704"/>
      <c r="T284" s="7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2">
        <v>4680115882607</v>
      </c>
      <c r="E285" s="702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4"/>
      <c r="R285" s="704"/>
      <c r="S285" s="704"/>
      <c r="T285" s="7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2">
        <v>4680115880092</v>
      </c>
      <c r="E286" s="70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4"/>
      <c r="R286" s="704"/>
      <c r="S286" s="704"/>
      <c r="T286" s="70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2">
        <v>4680115889064</v>
      </c>
      <c r="E287" s="702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4"/>
      <c r="R287" s="704"/>
      <c r="S287" s="704"/>
      <c r="T287" s="7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2">
        <v>4680115880221</v>
      </c>
      <c r="E288" s="702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4"/>
      <c r="R288" s="704"/>
      <c r="S288" s="704"/>
      <c r="T288" s="7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2">
        <v>4680115880504</v>
      </c>
      <c r="E289" s="702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4"/>
      <c r="R289" s="704"/>
      <c r="S289" s="704"/>
      <c r="T289" s="70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2">
        <v>4680115882164</v>
      </c>
      <c r="E290" s="702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5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4"/>
      <c r="R290" s="704"/>
      <c r="S290" s="704"/>
      <c r="T290" s="705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2">
        <v>4680115888340</v>
      </c>
      <c r="E291" s="702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4"/>
      <c r="R291" s="704"/>
      <c r="S291" s="704"/>
      <c r="T291" s="70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0"/>
      <c r="B292" s="710"/>
      <c r="C292" s="710"/>
      <c r="D292" s="710"/>
      <c r="E292" s="710"/>
      <c r="F292" s="710"/>
      <c r="G292" s="710"/>
      <c r="H292" s="710"/>
      <c r="I292" s="710"/>
      <c r="J292" s="710"/>
      <c r="K292" s="710"/>
      <c r="L292" s="710"/>
      <c r="M292" s="710"/>
      <c r="N292" s="710"/>
      <c r="O292" s="711"/>
      <c r="P292" s="707" t="s">
        <v>40</v>
      </c>
      <c r="Q292" s="708"/>
      <c r="R292" s="708"/>
      <c r="S292" s="708"/>
      <c r="T292" s="708"/>
      <c r="U292" s="708"/>
      <c r="V292" s="70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0"/>
      <c r="B293" s="710"/>
      <c r="C293" s="710"/>
      <c r="D293" s="710"/>
      <c r="E293" s="710"/>
      <c r="F293" s="710"/>
      <c r="G293" s="710"/>
      <c r="H293" s="710"/>
      <c r="I293" s="710"/>
      <c r="J293" s="710"/>
      <c r="K293" s="710"/>
      <c r="L293" s="710"/>
      <c r="M293" s="710"/>
      <c r="N293" s="710"/>
      <c r="O293" s="711"/>
      <c r="P293" s="707" t="s">
        <v>40</v>
      </c>
      <c r="Q293" s="708"/>
      <c r="R293" s="708"/>
      <c r="S293" s="708"/>
      <c r="T293" s="708"/>
      <c r="U293" s="708"/>
      <c r="V293" s="70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1" t="s">
        <v>180</v>
      </c>
      <c r="B294" s="701"/>
      <c r="C294" s="701"/>
      <c r="D294" s="701"/>
      <c r="E294" s="701"/>
      <c r="F294" s="701"/>
      <c r="G294" s="701"/>
      <c r="H294" s="701"/>
      <c r="I294" s="701"/>
      <c r="J294" s="701"/>
      <c r="K294" s="701"/>
      <c r="L294" s="701"/>
      <c r="M294" s="701"/>
      <c r="N294" s="701"/>
      <c r="O294" s="701"/>
      <c r="P294" s="701"/>
      <c r="Q294" s="701"/>
      <c r="R294" s="701"/>
      <c r="S294" s="701"/>
      <c r="T294" s="701"/>
      <c r="U294" s="701"/>
      <c r="V294" s="701"/>
      <c r="W294" s="701"/>
      <c r="X294" s="701"/>
      <c r="Y294" s="701"/>
      <c r="Z294" s="70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2">
        <v>4680115880818</v>
      </c>
      <c r="E295" s="702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4"/>
      <c r="R295" s="704"/>
      <c r="S295" s="704"/>
      <c r="T295" s="705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2">
        <v>4680115880801</v>
      </c>
      <c r="E296" s="702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4"/>
      <c r="R296" s="704"/>
      <c r="S296" s="704"/>
      <c r="T296" s="705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0"/>
      <c r="B297" s="710"/>
      <c r="C297" s="710"/>
      <c r="D297" s="710"/>
      <c r="E297" s="710"/>
      <c r="F297" s="710"/>
      <c r="G297" s="710"/>
      <c r="H297" s="710"/>
      <c r="I297" s="710"/>
      <c r="J297" s="710"/>
      <c r="K297" s="710"/>
      <c r="L297" s="710"/>
      <c r="M297" s="710"/>
      <c r="N297" s="710"/>
      <c r="O297" s="711"/>
      <c r="P297" s="707" t="s">
        <v>40</v>
      </c>
      <c r="Q297" s="708"/>
      <c r="R297" s="708"/>
      <c r="S297" s="708"/>
      <c r="T297" s="708"/>
      <c r="U297" s="708"/>
      <c r="V297" s="70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0"/>
      <c r="B298" s="710"/>
      <c r="C298" s="710"/>
      <c r="D298" s="710"/>
      <c r="E298" s="710"/>
      <c r="F298" s="710"/>
      <c r="G298" s="710"/>
      <c r="H298" s="710"/>
      <c r="I298" s="710"/>
      <c r="J298" s="710"/>
      <c r="K298" s="710"/>
      <c r="L298" s="710"/>
      <c r="M298" s="710"/>
      <c r="N298" s="710"/>
      <c r="O298" s="711"/>
      <c r="P298" s="707" t="s">
        <v>40</v>
      </c>
      <c r="Q298" s="708"/>
      <c r="R298" s="708"/>
      <c r="S298" s="708"/>
      <c r="T298" s="708"/>
      <c r="U298" s="708"/>
      <c r="V298" s="70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0" t="s">
        <v>514</v>
      </c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0"/>
      <c r="P299" s="700"/>
      <c r="Q299" s="700"/>
      <c r="R299" s="700"/>
      <c r="S299" s="700"/>
      <c r="T299" s="700"/>
      <c r="U299" s="700"/>
      <c r="V299" s="700"/>
      <c r="W299" s="700"/>
      <c r="X299" s="700"/>
      <c r="Y299" s="700"/>
      <c r="Z299" s="700"/>
      <c r="AA299" s="62"/>
      <c r="AB299" s="62"/>
      <c r="AC299" s="62"/>
    </row>
    <row r="300" spans="1:68" ht="14.25" hidden="1" customHeight="1" x14ac:dyDescent="0.25">
      <c r="A300" s="701" t="s">
        <v>127</v>
      </c>
      <c r="B300" s="701"/>
      <c r="C300" s="701"/>
      <c r="D300" s="701"/>
      <c r="E300" s="701"/>
      <c r="F300" s="701"/>
      <c r="G300" s="701"/>
      <c r="H300" s="701"/>
      <c r="I300" s="701"/>
      <c r="J300" s="701"/>
      <c r="K300" s="701"/>
      <c r="L300" s="701"/>
      <c r="M300" s="701"/>
      <c r="N300" s="701"/>
      <c r="O300" s="701"/>
      <c r="P300" s="701"/>
      <c r="Q300" s="701"/>
      <c r="R300" s="701"/>
      <c r="S300" s="701"/>
      <c r="T300" s="701"/>
      <c r="U300" s="701"/>
      <c r="V300" s="701"/>
      <c r="W300" s="701"/>
      <c r="X300" s="701"/>
      <c r="Y300" s="701"/>
      <c r="Z300" s="70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2">
        <v>4680115884137</v>
      </c>
      <c r="E301" s="702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4"/>
      <c r="R301" s="704"/>
      <c r="S301" s="704"/>
      <c r="T301" s="705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2">
        <v>4680115884236</v>
      </c>
      <c r="E302" s="702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4"/>
      <c r="R302" s="704"/>
      <c r="S302" s="704"/>
      <c r="T302" s="705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2">
        <v>4680115884175</v>
      </c>
      <c r="E303" s="702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4"/>
      <c r="R303" s="704"/>
      <c r="S303" s="704"/>
      <c r="T303" s="705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2">
        <v>4680115884144</v>
      </c>
      <c r="E304" s="702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4"/>
      <c r="R304" s="704"/>
      <c r="S304" s="704"/>
      <c r="T304" s="705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2">
        <v>4680115886551</v>
      </c>
      <c r="E305" s="702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4"/>
      <c r="R305" s="704"/>
      <c r="S305" s="704"/>
      <c r="T305" s="705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2">
        <v>4680115887282</v>
      </c>
      <c r="E306" s="702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6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4"/>
      <c r="R306" s="704"/>
      <c r="S306" s="704"/>
      <c r="T306" s="705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2">
        <v>4680115884205</v>
      </c>
      <c r="E307" s="702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6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4"/>
      <c r="R307" s="704"/>
      <c r="S307" s="704"/>
      <c r="T307" s="705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0"/>
      <c r="B308" s="710"/>
      <c r="C308" s="710"/>
      <c r="D308" s="710"/>
      <c r="E308" s="710"/>
      <c r="F308" s="710"/>
      <c r="G308" s="710"/>
      <c r="H308" s="710"/>
      <c r="I308" s="710"/>
      <c r="J308" s="710"/>
      <c r="K308" s="710"/>
      <c r="L308" s="710"/>
      <c r="M308" s="710"/>
      <c r="N308" s="710"/>
      <c r="O308" s="711"/>
      <c r="P308" s="707" t="s">
        <v>40</v>
      </c>
      <c r="Q308" s="708"/>
      <c r="R308" s="708"/>
      <c r="S308" s="708"/>
      <c r="T308" s="708"/>
      <c r="U308" s="708"/>
      <c r="V308" s="70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0"/>
      <c r="B309" s="710"/>
      <c r="C309" s="710"/>
      <c r="D309" s="710"/>
      <c r="E309" s="710"/>
      <c r="F309" s="710"/>
      <c r="G309" s="710"/>
      <c r="H309" s="710"/>
      <c r="I309" s="710"/>
      <c r="J309" s="710"/>
      <c r="K309" s="710"/>
      <c r="L309" s="710"/>
      <c r="M309" s="710"/>
      <c r="N309" s="710"/>
      <c r="O309" s="711"/>
      <c r="P309" s="707" t="s">
        <v>40</v>
      </c>
      <c r="Q309" s="708"/>
      <c r="R309" s="708"/>
      <c r="S309" s="708"/>
      <c r="T309" s="708"/>
      <c r="U309" s="708"/>
      <c r="V309" s="70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1" t="s">
        <v>163</v>
      </c>
      <c r="B310" s="701"/>
      <c r="C310" s="701"/>
      <c r="D310" s="701"/>
      <c r="E310" s="701"/>
      <c r="F310" s="701"/>
      <c r="G310" s="701"/>
      <c r="H310" s="701"/>
      <c r="I310" s="701"/>
      <c r="J310" s="701"/>
      <c r="K310" s="701"/>
      <c r="L310" s="701"/>
      <c r="M310" s="701"/>
      <c r="N310" s="701"/>
      <c r="O310" s="701"/>
      <c r="P310" s="701"/>
      <c r="Q310" s="701"/>
      <c r="R310" s="701"/>
      <c r="S310" s="701"/>
      <c r="T310" s="701"/>
      <c r="U310" s="701"/>
      <c r="V310" s="701"/>
      <c r="W310" s="701"/>
      <c r="X310" s="701"/>
      <c r="Y310" s="701"/>
      <c r="Z310" s="70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2">
        <v>4680115885981</v>
      </c>
      <c r="E311" s="702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4"/>
      <c r="R311" s="704"/>
      <c r="S311" s="704"/>
      <c r="T311" s="7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0"/>
      <c r="B312" s="710"/>
      <c r="C312" s="710"/>
      <c r="D312" s="710"/>
      <c r="E312" s="710"/>
      <c r="F312" s="710"/>
      <c r="G312" s="710"/>
      <c r="H312" s="710"/>
      <c r="I312" s="710"/>
      <c r="J312" s="710"/>
      <c r="K312" s="710"/>
      <c r="L312" s="710"/>
      <c r="M312" s="710"/>
      <c r="N312" s="710"/>
      <c r="O312" s="711"/>
      <c r="P312" s="707" t="s">
        <v>40</v>
      </c>
      <c r="Q312" s="708"/>
      <c r="R312" s="708"/>
      <c r="S312" s="708"/>
      <c r="T312" s="708"/>
      <c r="U312" s="708"/>
      <c r="V312" s="70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0"/>
      <c r="B313" s="710"/>
      <c r="C313" s="710"/>
      <c r="D313" s="710"/>
      <c r="E313" s="710"/>
      <c r="F313" s="710"/>
      <c r="G313" s="710"/>
      <c r="H313" s="710"/>
      <c r="I313" s="710"/>
      <c r="J313" s="710"/>
      <c r="K313" s="710"/>
      <c r="L313" s="710"/>
      <c r="M313" s="710"/>
      <c r="N313" s="710"/>
      <c r="O313" s="711"/>
      <c r="P313" s="707" t="s">
        <v>40</v>
      </c>
      <c r="Q313" s="708"/>
      <c r="R313" s="708"/>
      <c r="S313" s="708"/>
      <c r="T313" s="708"/>
      <c r="U313" s="708"/>
      <c r="V313" s="70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1" t="s">
        <v>536</v>
      </c>
      <c r="B314" s="701"/>
      <c r="C314" s="701"/>
      <c r="D314" s="701"/>
      <c r="E314" s="701"/>
      <c r="F314" s="701"/>
      <c r="G314" s="701"/>
      <c r="H314" s="701"/>
      <c r="I314" s="701"/>
      <c r="J314" s="701"/>
      <c r="K314" s="701"/>
      <c r="L314" s="701"/>
      <c r="M314" s="701"/>
      <c r="N314" s="701"/>
      <c r="O314" s="701"/>
      <c r="P314" s="701"/>
      <c r="Q314" s="701"/>
      <c r="R314" s="701"/>
      <c r="S314" s="701"/>
      <c r="T314" s="701"/>
      <c r="U314" s="701"/>
      <c r="V314" s="701"/>
      <c r="W314" s="701"/>
      <c r="X314" s="701"/>
      <c r="Y314" s="701"/>
      <c r="Z314" s="70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2">
        <v>4680115886803</v>
      </c>
      <c r="E315" s="702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4"/>
      <c r="R315" s="704"/>
      <c r="S315" s="704"/>
      <c r="T315" s="705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0"/>
      <c r="B316" s="710"/>
      <c r="C316" s="710"/>
      <c r="D316" s="710"/>
      <c r="E316" s="710"/>
      <c r="F316" s="710"/>
      <c r="G316" s="710"/>
      <c r="H316" s="710"/>
      <c r="I316" s="710"/>
      <c r="J316" s="710"/>
      <c r="K316" s="710"/>
      <c r="L316" s="710"/>
      <c r="M316" s="710"/>
      <c r="N316" s="710"/>
      <c r="O316" s="711"/>
      <c r="P316" s="707" t="s">
        <v>40</v>
      </c>
      <c r="Q316" s="708"/>
      <c r="R316" s="708"/>
      <c r="S316" s="708"/>
      <c r="T316" s="708"/>
      <c r="U316" s="708"/>
      <c r="V316" s="70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0"/>
      <c r="B317" s="710"/>
      <c r="C317" s="710"/>
      <c r="D317" s="710"/>
      <c r="E317" s="710"/>
      <c r="F317" s="710"/>
      <c r="G317" s="710"/>
      <c r="H317" s="710"/>
      <c r="I317" s="710"/>
      <c r="J317" s="710"/>
      <c r="K317" s="710"/>
      <c r="L317" s="710"/>
      <c r="M317" s="710"/>
      <c r="N317" s="710"/>
      <c r="O317" s="711"/>
      <c r="P317" s="707" t="s">
        <v>40</v>
      </c>
      <c r="Q317" s="708"/>
      <c r="R317" s="708"/>
      <c r="S317" s="708"/>
      <c r="T317" s="708"/>
      <c r="U317" s="708"/>
      <c r="V317" s="70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1" t="s">
        <v>353</v>
      </c>
      <c r="B318" s="701"/>
      <c r="C318" s="701"/>
      <c r="D318" s="701"/>
      <c r="E318" s="701"/>
      <c r="F318" s="701"/>
      <c r="G318" s="701"/>
      <c r="H318" s="701"/>
      <c r="I318" s="701"/>
      <c r="J318" s="701"/>
      <c r="K318" s="701"/>
      <c r="L318" s="701"/>
      <c r="M318" s="701"/>
      <c r="N318" s="701"/>
      <c r="O318" s="701"/>
      <c r="P318" s="701"/>
      <c r="Q318" s="701"/>
      <c r="R318" s="701"/>
      <c r="S318" s="701"/>
      <c r="T318" s="701"/>
      <c r="U318" s="701"/>
      <c r="V318" s="701"/>
      <c r="W318" s="701"/>
      <c r="X318" s="701"/>
      <c r="Y318" s="701"/>
      <c r="Z318" s="70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2">
        <v>4680115886704</v>
      </c>
      <c r="E319" s="702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4"/>
      <c r="R319" s="704"/>
      <c r="S319" s="704"/>
      <c r="T319" s="70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2">
        <v>4680115886681</v>
      </c>
      <c r="E320" s="702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4"/>
      <c r="R320" s="704"/>
      <c r="S320" s="704"/>
      <c r="T320" s="70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2">
        <v>4680115886735</v>
      </c>
      <c r="E321" s="702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4"/>
      <c r="R321" s="704"/>
      <c r="S321" s="704"/>
      <c r="T321" s="705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0"/>
      <c r="B322" s="710"/>
      <c r="C322" s="710"/>
      <c r="D322" s="710"/>
      <c r="E322" s="710"/>
      <c r="F322" s="710"/>
      <c r="G322" s="710"/>
      <c r="H322" s="710"/>
      <c r="I322" s="710"/>
      <c r="J322" s="710"/>
      <c r="K322" s="710"/>
      <c r="L322" s="710"/>
      <c r="M322" s="710"/>
      <c r="N322" s="710"/>
      <c r="O322" s="711"/>
      <c r="P322" s="707" t="s">
        <v>40</v>
      </c>
      <c r="Q322" s="708"/>
      <c r="R322" s="708"/>
      <c r="S322" s="708"/>
      <c r="T322" s="708"/>
      <c r="U322" s="708"/>
      <c r="V322" s="70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0"/>
      <c r="B323" s="710"/>
      <c r="C323" s="710"/>
      <c r="D323" s="710"/>
      <c r="E323" s="710"/>
      <c r="F323" s="710"/>
      <c r="G323" s="710"/>
      <c r="H323" s="710"/>
      <c r="I323" s="710"/>
      <c r="J323" s="710"/>
      <c r="K323" s="710"/>
      <c r="L323" s="710"/>
      <c r="M323" s="710"/>
      <c r="N323" s="710"/>
      <c r="O323" s="711"/>
      <c r="P323" s="707" t="s">
        <v>40</v>
      </c>
      <c r="Q323" s="708"/>
      <c r="R323" s="708"/>
      <c r="S323" s="708"/>
      <c r="T323" s="708"/>
      <c r="U323" s="708"/>
      <c r="V323" s="70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0" t="s">
        <v>547</v>
      </c>
      <c r="B324" s="700"/>
      <c r="C324" s="700"/>
      <c r="D324" s="700"/>
      <c r="E324" s="700"/>
      <c r="F324" s="700"/>
      <c r="G324" s="700"/>
      <c r="H324" s="700"/>
      <c r="I324" s="700"/>
      <c r="J324" s="700"/>
      <c r="K324" s="700"/>
      <c r="L324" s="700"/>
      <c r="M324" s="700"/>
      <c r="N324" s="700"/>
      <c r="O324" s="700"/>
      <c r="P324" s="700"/>
      <c r="Q324" s="700"/>
      <c r="R324" s="700"/>
      <c r="S324" s="700"/>
      <c r="T324" s="700"/>
      <c r="U324" s="700"/>
      <c r="V324" s="700"/>
      <c r="W324" s="700"/>
      <c r="X324" s="700"/>
      <c r="Y324" s="700"/>
      <c r="Z324" s="700"/>
      <c r="AA324" s="62"/>
      <c r="AB324" s="62"/>
      <c r="AC324" s="62"/>
    </row>
    <row r="325" spans="1:68" ht="14.25" hidden="1" customHeight="1" x14ac:dyDescent="0.25">
      <c r="A325" s="701" t="s">
        <v>127</v>
      </c>
      <c r="B325" s="701"/>
      <c r="C325" s="701"/>
      <c r="D325" s="701"/>
      <c r="E325" s="701"/>
      <c r="F325" s="701"/>
      <c r="G325" s="701"/>
      <c r="H325" s="701"/>
      <c r="I325" s="701"/>
      <c r="J325" s="701"/>
      <c r="K325" s="701"/>
      <c r="L325" s="701"/>
      <c r="M325" s="701"/>
      <c r="N325" s="701"/>
      <c r="O325" s="701"/>
      <c r="P325" s="701"/>
      <c r="Q325" s="701"/>
      <c r="R325" s="701"/>
      <c r="S325" s="701"/>
      <c r="T325" s="701"/>
      <c r="U325" s="701"/>
      <c r="V325" s="701"/>
      <c r="W325" s="701"/>
      <c r="X325" s="701"/>
      <c r="Y325" s="701"/>
      <c r="Z325" s="70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2">
        <v>4680115885837</v>
      </c>
      <c r="E326" s="702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4"/>
      <c r="R326" s="704"/>
      <c r="S326" s="704"/>
      <c r="T326" s="7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2">
        <v>4680115887237</v>
      </c>
      <c r="E327" s="702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4"/>
      <c r="R327" s="704"/>
      <c r="S327" s="704"/>
      <c r="T327" s="7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2">
        <v>4680115885806</v>
      </c>
      <c r="E328" s="702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4"/>
      <c r="R328" s="704"/>
      <c r="S328" s="704"/>
      <c r="T328" s="7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2">
        <v>4680115885844</v>
      </c>
      <c r="E329" s="702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4"/>
      <c r="R329" s="704"/>
      <c r="S329" s="704"/>
      <c r="T329" s="7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2">
        <v>4680115885820</v>
      </c>
      <c r="E330" s="702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4"/>
      <c r="R330" s="704"/>
      <c r="S330" s="704"/>
      <c r="T330" s="705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0"/>
      <c r="B331" s="710"/>
      <c r="C331" s="710"/>
      <c r="D331" s="710"/>
      <c r="E331" s="710"/>
      <c r="F331" s="710"/>
      <c r="G331" s="710"/>
      <c r="H331" s="710"/>
      <c r="I331" s="710"/>
      <c r="J331" s="710"/>
      <c r="K331" s="710"/>
      <c r="L331" s="710"/>
      <c r="M331" s="710"/>
      <c r="N331" s="710"/>
      <c r="O331" s="711"/>
      <c r="P331" s="707" t="s">
        <v>40</v>
      </c>
      <c r="Q331" s="708"/>
      <c r="R331" s="708"/>
      <c r="S331" s="708"/>
      <c r="T331" s="708"/>
      <c r="U331" s="708"/>
      <c r="V331" s="70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0"/>
      <c r="B332" s="710"/>
      <c r="C332" s="710"/>
      <c r="D332" s="710"/>
      <c r="E332" s="710"/>
      <c r="F332" s="710"/>
      <c r="G332" s="710"/>
      <c r="H332" s="710"/>
      <c r="I332" s="710"/>
      <c r="J332" s="710"/>
      <c r="K332" s="710"/>
      <c r="L332" s="710"/>
      <c r="M332" s="710"/>
      <c r="N332" s="710"/>
      <c r="O332" s="711"/>
      <c r="P332" s="707" t="s">
        <v>40</v>
      </c>
      <c r="Q332" s="708"/>
      <c r="R332" s="708"/>
      <c r="S332" s="708"/>
      <c r="T332" s="708"/>
      <c r="U332" s="708"/>
      <c r="V332" s="70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0" t="s">
        <v>563</v>
      </c>
      <c r="B333" s="700"/>
      <c r="C333" s="700"/>
      <c r="D333" s="700"/>
      <c r="E333" s="700"/>
      <c r="F333" s="700"/>
      <c r="G333" s="700"/>
      <c r="H333" s="700"/>
      <c r="I333" s="700"/>
      <c r="J333" s="700"/>
      <c r="K333" s="700"/>
      <c r="L333" s="700"/>
      <c r="M333" s="700"/>
      <c r="N333" s="700"/>
      <c r="O333" s="700"/>
      <c r="P333" s="700"/>
      <c r="Q333" s="700"/>
      <c r="R333" s="700"/>
      <c r="S333" s="700"/>
      <c r="T333" s="700"/>
      <c r="U333" s="700"/>
      <c r="V333" s="700"/>
      <c r="W333" s="700"/>
      <c r="X333" s="700"/>
      <c r="Y333" s="700"/>
      <c r="Z333" s="700"/>
      <c r="AA333" s="62"/>
      <c r="AB333" s="62"/>
      <c r="AC333" s="62"/>
    </row>
    <row r="334" spans="1:68" ht="14.25" hidden="1" customHeight="1" x14ac:dyDescent="0.25">
      <c r="A334" s="701" t="s">
        <v>85</v>
      </c>
      <c r="B334" s="701"/>
      <c r="C334" s="701"/>
      <c r="D334" s="701"/>
      <c r="E334" s="701"/>
      <c r="F334" s="701"/>
      <c r="G334" s="701"/>
      <c r="H334" s="701"/>
      <c r="I334" s="701"/>
      <c r="J334" s="701"/>
      <c r="K334" s="701"/>
      <c r="L334" s="701"/>
      <c r="M334" s="701"/>
      <c r="N334" s="701"/>
      <c r="O334" s="701"/>
      <c r="P334" s="701"/>
      <c r="Q334" s="701"/>
      <c r="R334" s="701"/>
      <c r="S334" s="701"/>
      <c r="T334" s="701"/>
      <c r="U334" s="701"/>
      <c r="V334" s="701"/>
      <c r="W334" s="701"/>
      <c r="X334" s="701"/>
      <c r="Y334" s="701"/>
      <c r="Z334" s="70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2">
        <v>4680115886186</v>
      </c>
      <c r="E335" s="702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4"/>
      <c r="R335" s="704"/>
      <c r="S335" s="704"/>
      <c r="T335" s="70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2">
        <v>4680115881228</v>
      </c>
      <c r="E336" s="702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4"/>
      <c r="R336" s="704"/>
      <c r="S336" s="704"/>
      <c r="T336" s="70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2">
        <v>4680115881211</v>
      </c>
      <c r="E337" s="702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4"/>
      <c r="R337" s="704"/>
      <c r="S337" s="704"/>
      <c r="T337" s="705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0"/>
      <c r="B338" s="710"/>
      <c r="C338" s="710"/>
      <c r="D338" s="710"/>
      <c r="E338" s="710"/>
      <c r="F338" s="710"/>
      <c r="G338" s="710"/>
      <c r="H338" s="710"/>
      <c r="I338" s="710"/>
      <c r="J338" s="710"/>
      <c r="K338" s="710"/>
      <c r="L338" s="710"/>
      <c r="M338" s="710"/>
      <c r="N338" s="710"/>
      <c r="O338" s="711"/>
      <c r="P338" s="707" t="s">
        <v>40</v>
      </c>
      <c r="Q338" s="708"/>
      <c r="R338" s="708"/>
      <c r="S338" s="708"/>
      <c r="T338" s="708"/>
      <c r="U338" s="708"/>
      <c r="V338" s="70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0"/>
      <c r="B339" s="710"/>
      <c r="C339" s="710"/>
      <c r="D339" s="710"/>
      <c r="E339" s="710"/>
      <c r="F339" s="710"/>
      <c r="G339" s="710"/>
      <c r="H339" s="710"/>
      <c r="I339" s="710"/>
      <c r="J339" s="710"/>
      <c r="K339" s="710"/>
      <c r="L339" s="710"/>
      <c r="M339" s="710"/>
      <c r="N339" s="710"/>
      <c r="O339" s="711"/>
      <c r="P339" s="707" t="s">
        <v>40</v>
      </c>
      <c r="Q339" s="708"/>
      <c r="R339" s="708"/>
      <c r="S339" s="708"/>
      <c r="T339" s="708"/>
      <c r="U339" s="708"/>
      <c r="V339" s="70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0" t="s">
        <v>572</v>
      </c>
      <c r="B340" s="700"/>
      <c r="C340" s="700"/>
      <c r="D340" s="700"/>
      <c r="E340" s="700"/>
      <c r="F340" s="700"/>
      <c r="G340" s="700"/>
      <c r="H340" s="700"/>
      <c r="I340" s="700"/>
      <c r="J340" s="700"/>
      <c r="K340" s="700"/>
      <c r="L340" s="700"/>
      <c r="M340" s="700"/>
      <c r="N340" s="700"/>
      <c r="O340" s="700"/>
      <c r="P340" s="700"/>
      <c r="Q340" s="700"/>
      <c r="R340" s="700"/>
      <c r="S340" s="700"/>
      <c r="T340" s="700"/>
      <c r="U340" s="700"/>
      <c r="V340" s="700"/>
      <c r="W340" s="700"/>
      <c r="X340" s="700"/>
      <c r="Y340" s="700"/>
      <c r="Z340" s="700"/>
      <c r="AA340" s="62"/>
      <c r="AB340" s="62"/>
      <c r="AC340" s="62"/>
    </row>
    <row r="341" spans="1:68" ht="14.25" hidden="1" customHeight="1" x14ac:dyDescent="0.25">
      <c r="A341" s="701" t="s">
        <v>76</v>
      </c>
      <c r="B341" s="701"/>
      <c r="C341" s="701"/>
      <c r="D341" s="701"/>
      <c r="E341" s="701"/>
      <c r="F341" s="701"/>
      <c r="G341" s="701"/>
      <c r="H341" s="701"/>
      <c r="I341" s="701"/>
      <c r="J341" s="701"/>
      <c r="K341" s="701"/>
      <c r="L341" s="701"/>
      <c r="M341" s="701"/>
      <c r="N341" s="701"/>
      <c r="O341" s="701"/>
      <c r="P341" s="701"/>
      <c r="Q341" s="701"/>
      <c r="R341" s="701"/>
      <c r="S341" s="701"/>
      <c r="T341" s="701"/>
      <c r="U341" s="701"/>
      <c r="V341" s="701"/>
      <c r="W341" s="701"/>
      <c r="X341" s="701"/>
      <c r="Y341" s="701"/>
      <c r="Z341" s="70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2">
        <v>4680115888319</v>
      </c>
      <c r="E342" s="702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4"/>
      <c r="R342" s="704"/>
      <c r="S342" s="704"/>
      <c r="T342" s="705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2">
        <v>4680115884700</v>
      </c>
      <c r="E343" s="702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4"/>
      <c r="R343" s="704"/>
      <c r="S343" s="704"/>
      <c r="T343" s="705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2">
        <v>4680115880344</v>
      </c>
      <c r="E344" s="702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4"/>
      <c r="R344" s="704"/>
      <c r="S344" s="704"/>
      <c r="T344" s="705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2">
        <v>4680115886919</v>
      </c>
      <c r="E345" s="702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4"/>
      <c r="R345" s="704"/>
      <c r="S345" s="704"/>
      <c r="T345" s="705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2">
        <v>4680115883970</v>
      </c>
      <c r="E346" s="702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4"/>
      <c r="R346" s="704"/>
      <c r="S346" s="704"/>
      <c r="T346" s="70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0"/>
      <c r="B347" s="710"/>
      <c r="C347" s="710"/>
      <c r="D347" s="710"/>
      <c r="E347" s="710"/>
      <c r="F347" s="710"/>
      <c r="G347" s="710"/>
      <c r="H347" s="710"/>
      <c r="I347" s="710"/>
      <c r="J347" s="710"/>
      <c r="K347" s="710"/>
      <c r="L347" s="710"/>
      <c r="M347" s="710"/>
      <c r="N347" s="710"/>
      <c r="O347" s="711"/>
      <c r="P347" s="707" t="s">
        <v>40</v>
      </c>
      <c r="Q347" s="708"/>
      <c r="R347" s="708"/>
      <c r="S347" s="708"/>
      <c r="T347" s="708"/>
      <c r="U347" s="708"/>
      <c r="V347" s="70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0"/>
      <c r="B348" s="710"/>
      <c r="C348" s="710"/>
      <c r="D348" s="710"/>
      <c r="E348" s="710"/>
      <c r="F348" s="710"/>
      <c r="G348" s="710"/>
      <c r="H348" s="710"/>
      <c r="I348" s="710"/>
      <c r="J348" s="710"/>
      <c r="K348" s="710"/>
      <c r="L348" s="710"/>
      <c r="M348" s="710"/>
      <c r="N348" s="710"/>
      <c r="O348" s="711"/>
      <c r="P348" s="707" t="s">
        <v>40</v>
      </c>
      <c r="Q348" s="708"/>
      <c r="R348" s="708"/>
      <c r="S348" s="708"/>
      <c r="T348" s="708"/>
      <c r="U348" s="708"/>
      <c r="V348" s="70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1" t="s">
        <v>85</v>
      </c>
      <c r="B349" s="701"/>
      <c r="C349" s="701"/>
      <c r="D349" s="701"/>
      <c r="E349" s="701"/>
      <c r="F349" s="701"/>
      <c r="G349" s="701"/>
      <c r="H349" s="701"/>
      <c r="I349" s="701"/>
      <c r="J349" s="701"/>
      <c r="K349" s="701"/>
      <c r="L349" s="701"/>
      <c r="M349" s="701"/>
      <c r="N349" s="701"/>
      <c r="O349" s="701"/>
      <c r="P349" s="701"/>
      <c r="Q349" s="701"/>
      <c r="R349" s="701"/>
      <c r="S349" s="701"/>
      <c r="T349" s="701"/>
      <c r="U349" s="701"/>
      <c r="V349" s="701"/>
      <c r="W349" s="701"/>
      <c r="X349" s="701"/>
      <c r="Y349" s="701"/>
      <c r="Z349" s="70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2">
        <v>4680115884618</v>
      </c>
      <c r="E350" s="702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4"/>
      <c r="R350" s="704"/>
      <c r="S350" s="704"/>
      <c r="T350" s="705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2">
        <v>4680115887114</v>
      </c>
      <c r="E351" s="702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4"/>
      <c r="R351" s="704"/>
      <c r="S351" s="704"/>
      <c r="T351" s="705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0"/>
      <c r="B352" s="710"/>
      <c r="C352" s="710"/>
      <c r="D352" s="710"/>
      <c r="E352" s="710"/>
      <c r="F352" s="710"/>
      <c r="G352" s="710"/>
      <c r="H352" s="710"/>
      <c r="I352" s="710"/>
      <c r="J352" s="710"/>
      <c r="K352" s="710"/>
      <c r="L352" s="710"/>
      <c r="M352" s="710"/>
      <c r="N352" s="710"/>
      <c r="O352" s="711"/>
      <c r="P352" s="707" t="s">
        <v>40</v>
      </c>
      <c r="Q352" s="708"/>
      <c r="R352" s="708"/>
      <c r="S352" s="708"/>
      <c r="T352" s="708"/>
      <c r="U352" s="708"/>
      <c r="V352" s="70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0"/>
      <c r="B353" s="710"/>
      <c r="C353" s="710"/>
      <c r="D353" s="710"/>
      <c r="E353" s="710"/>
      <c r="F353" s="710"/>
      <c r="G353" s="710"/>
      <c r="H353" s="710"/>
      <c r="I353" s="710"/>
      <c r="J353" s="710"/>
      <c r="K353" s="710"/>
      <c r="L353" s="710"/>
      <c r="M353" s="710"/>
      <c r="N353" s="710"/>
      <c r="O353" s="711"/>
      <c r="P353" s="707" t="s">
        <v>40</v>
      </c>
      <c r="Q353" s="708"/>
      <c r="R353" s="708"/>
      <c r="S353" s="708"/>
      <c r="T353" s="708"/>
      <c r="U353" s="708"/>
      <c r="V353" s="70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0" t="s">
        <v>593</v>
      </c>
      <c r="B354" s="700"/>
      <c r="C354" s="700"/>
      <c r="D354" s="700"/>
      <c r="E354" s="700"/>
      <c r="F354" s="700"/>
      <c r="G354" s="700"/>
      <c r="H354" s="700"/>
      <c r="I354" s="700"/>
      <c r="J354" s="700"/>
      <c r="K354" s="700"/>
      <c r="L354" s="700"/>
      <c r="M354" s="700"/>
      <c r="N354" s="700"/>
      <c r="O354" s="700"/>
      <c r="P354" s="700"/>
      <c r="Q354" s="700"/>
      <c r="R354" s="700"/>
      <c r="S354" s="700"/>
      <c r="T354" s="700"/>
      <c r="U354" s="700"/>
      <c r="V354" s="700"/>
      <c r="W354" s="700"/>
      <c r="X354" s="700"/>
      <c r="Y354" s="700"/>
      <c r="Z354" s="700"/>
      <c r="AA354" s="62"/>
      <c r="AB354" s="62"/>
      <c r="AC354" s="62"/>
    </row>
    <row r="355" spans="1:68" ht="14.25" hidden="1" customHeight="1" x14ac:dyDescent="0.25">
      <c r="A355" s="701" t="s">
        <v>127</v>
      </c>
      <c r="B355" s="701"/>
      <c r="C355" s="701"/>
      <c r="D355" s="701"/>
      <c r="E355" s="701"/>
      <c r="F355" s="701"/>
      <c r="G355" s="701"/>
      <c r="H355" s="701"/>
      <c r="I355" s="701"/>
      <c r="J355" s="701"/>
      <c r="K355" s="701"/>
      <c r="L355" s="701"/>
      <c r="M355" s="701"/>
      <c r="N355" s="701"/>
      <c r="O355" s="701"/>
      <c r="P355" s="701"/>
      <c r="Q355" s="701"/>
      <c r="R355" s="701"/>
      <c r="S355" s="701"/>
      <c r="T355" s="701"/>
      <c r="U355" s="701"/>
      <c r="V355" s="701"/>
      <c r="W355" s="701"/>
      <c r="X355" s="701"/>
      <c r="Y355" s="701"/>
      <c r="Z355" s="70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2">
        <v>4680115887947</v>
      </c>
      <c r="E356" s="702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4"/>
      <c r="R356" s="704"/>
      <c r="S356" s="704"/>
      <c r="T356" s="705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2">
        <v>4680115887978</v>
      </c>
      <c r="E357" s="702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4"/>
      <c r="R357" s="704"/>
      <c r="S357" s="704"/>
      <c r="T357" s="705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2">
        <v>4680115887992</v>
      </c>
      <c r="E358" s="702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4"/>
      <c r="R358" s="704"/>
      <c r="S358" s="704"/>
      <c r="T358" s="705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0"/>
      <c r="B359" s="710"/>
      <c r="C359" s="710"/>
      <c r="D359" s="710"/>
      <c r="E359" s="710"/>
      <c r="F359" s="710"/>
      <c r="G359" s="710"/>
      <c r="H359" s="710"/>
      <c r="I359" s="710"/>
      <c r="J359" s="710"/>
      <c r="K359" s="710"/>
      <c r="L359" s="710"/>
      <c r="M359" s="710"/>
      <c r="N359" s="710"/>
      <c r="O359" s="711"/>
      <c r="P359" s="707" t="s">
        <v>40</v>
      </c>
      <c r="Q359" s="708"/>
      <c r="R359" s="708"/>
      <c r="S359" s="708"/>
      <c r="T359" s="708"/>
      <c r="U359" s="708"/>
      <c r="V359" s="70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0"/>
      <c r="B360" s="710"/>
      <c r="C360" s="710"/>
      <c r="D360" s="710"/>
      <c r="E360" s="710"/>
      <c r="F360" s="710"/>
      <c r="G360" s="710"/>
      <c r="H360" s="710"/>
      <c r="I360" s="710"/>
      <c r="J360" s="710"/>
      <c r="K360" s="710"/>
      <c r="L360" s="710"/>
      <c r="M360" s="710"/>
      <c r="N360" s="710"/>
      <c r="O360" s="711"/>
      <c r="P360" s="707" t="s">
        <v>40</v>
      </c>
      <c r="Q360" s="708"/>
      <c r="R360" s="708"/>
      <c r="S360" s="708"/>
      <c r="T360" s="708"/>
      <c r="U360" s="708"/>
      <c r="V360" s="70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0" t="s">
        <v>602</v>
      </c>
      <c r="B361" s="700"/>
      <c r="C361" s="700"/>
      <c r="D361" s="700"/>
      <c r="E361" s="700"/>
      <c r="F361" s="700"/>
      <c r="G361" s="700"/>
      <c r="H361" s="700"/>
      <c r="I361" s="700"/>
      <c r="J361" s="700"/>
      <c r="K361" s="700"/>
      <c r="L361" s="700"/>
      <c r="M361" s="700"/>
      <c r="N361" s="700"/>
      <c r="O361" s="700"/>
      <c r="P361" s="700"/>
      <c r="Q361" s="700"/>
      <c r="R361" s="700"/>
      <c r="S361" s="700"/>
      <c r="T361" s="700"/>
      <c r="U361" s="700"/>
      <c r="V361" s="700"/>
      <c r="W361" s="700"/>
      <c r="X361" s="700"/>
      <c r="Y361" s="700"/>
      <c r="Z361" s="700"/>
      <c r="AA361" s="62"/>
      <c r="AB361" s="62"/>
      <c r="AC361" s="62"/>
    </row>
    <row r="362" spans="1:68" ht="14.25" hidden="1" customHeight="1" x14ac:dyDescent="0.25">
      <c r="A362" s="701" t="s">
        <v>127</v>
      </c>
      <c r="B362" s="701"/>
      <c r="C362" s="701"/>
      <c r="D362" s="701"/>
      <c r="E362" s="701"/>
      <c r="F362" s="701"/>
      <c r="G362" s="701"/>
      <c r="H362" s="701"/>
      <c r="I362" s="701"/>
      <c r="J362" s="701"/>
      <c r="K362" s="701"/>
      <c r="L362" s="701"/>
      <c r="M362" s="701"/>
      <c r="N362" s="701"/>
      <c r="O362" s="701"/>
      <c r="P362" s="701"/>
      <c r="Q362" s="701"/>
      <c r="R362" s="701"/>
      <c r="S362" s="701"/>
      <c r="T362" s="701"/>
      <c r="U362" s="701"/>
      <c r="V362" s="701"/>
      <c r="W362" s="701"/>
      <c r="X362" s="701"/>
      <c r="Y362" s="701"/>
      <c r="Z362" s="70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4301012235</v>
      </c>
      <c r="D363" s="702">
        <v>4680115887190</v>
      </c>
      <c r="E363" s="702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4"/>
      <c r="R363" s="704"/>
      <c r="S363" s="704"/>
      <c r="T363" s="705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hidden="1" customHeight="1" x14ac:dyDescent="0.25">
      <c r="A364" s="60" t="s">
        <v>606</v>
      </c>
      <c r="B364" s="60" t="s">
        <v>607</v>
      </c>
      <c r="C364" s="34">
        <v>4301012233</v>
      </c>
      <c r="D364" s="702">
        <v>4680115887138</v>
      </c>
      <c r="E364" s="702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4"/>
      <c r="R364" s="704"/>
      <c r="S364" s="704"/>
      <c r="T364" s="705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4301012016</v>
      </c>
      <c r="D365" s="702">
        <v>4680115885554</v>
      </c>
      <c r="E365" s="702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89</v>
      </c>
      <c r="N365" s="36"/>
      <c r="O365" s="35">
        <v>55</v>
      </c>
      <c r="P365" s="89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4"/>
      <c r="R365" s="704"/>
      <c r="S365" s="704"/>
      <c r="T365" s="70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4301012236</v>
      </c>
      <c r="D366" s="702">
        <v>4680115887220</v>
      </c>
      <c r="E366" s="702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139</v>
      </c>
      <c r="L366" s="35" t="s">
        <v>46</v>
      </c>
      <c r="M366" s="36" t="s">
        <v>131</v>
      </c>
      <c r="N366" s="36"/>
      <c r="O366" s="35">
        <v>55</v>
      </c>
      <c r="P366" s="89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4"/>
      <c r="R366" s="704"/>
      <c r="S366" s="704"/>
      <c r="T366" s="7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605</v>
      </c>
      <c r="AG366" s="75"/>
      <c r="AJ366" s="79" t="s">
        <v>46</v>
      </c>
      <c r="AK366" s="79">
        <v>0</v>
      </c>
      <c r="BB366" s="454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4301011859</v>
      </c>
      <c r="D367" s="702">
        <v>4680115885608</v>
      </c>
      <c r="E367" s="702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4"/>
      <c r="R367" s="704"/>
      <c r="S367" s="704"/>
      <c r="T367" s="7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616</v>
      </c>
      <c r="AG367" s="75"/>
      <c r="AJ367" s="79" t="s">
        <v>46</v>
      </c>
      <c r="AK367" s="79">
        <v>0</v>
      </c>
      <c r="BB367" s="456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710"/>
      <c r="B368" s="710"/>
      <c r="C368" s="710"/>
      <c r="D368" s="710"/>
      <c r="E368" s="710"/>
      <c r="F368" s="710"/>
      <c r="G368" s="710"/>
      <c r="H368" s="710"/>
      <c r="I368" s="710"/>
      <c r="J368" s="710"/>
      <c r="K368" s="710"/>
      <c r="L368" s="710"/>
      <c r="M368" s="710"/>
      <c r="N368" s="710"/>
      <c r="O368" s="711"/>
      <c r="P368" s="707" t="s">
        <v>40</v>
      </c>
      <c r="Q368" s="708"/>
      <c r="R368" s="708"/>
      <c r="S368" s="708"/>
      <c r="T368" s="708"/>
      <c r="U368" s="708"/>
      <c r="V368" s="709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710"/>
      <c r="B369" s="710"/>
      <c r="C369" s="710"/>
      <c r="D369" s="710"/>
      <c r="E369" s="710"/>
      <c r="F369" s="710"/>
      <c r="G369" s="710"/>
      <c r="H369" s="710"/>
      <c r="I369" s="710"/>
      <c r="J369" s="710"/>
      <c r="K369" s="710"/>
      <c r="L369" s="710"/>
      <c r="M369" s="710"/>
      <c r="N369" s="710"/>
      <c r="O369" s="711"/>
      <c r="P369" s="707" t="s">
        <v>40</v>
      </c>
      <c r="Q369" s="708"/>
      <c r="R369" s="708"/>
      <c r="S369" s="708"/>
      <c r="T369" s="708"/>
      <c r="U369" s="708"/>
      <c r="V369" s="709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701" t="s">
        <v>76</v>
      </c>
      <c r="B370" s="701"/>
      <c r="C370" s="701"/>
      <c r="D370" s="701"/>
      <c r="E370" s="701"/>
      <c r="F370" s="701"/>
      <c r="G370" s="701"/>
      <c r="H370" s="701"/>
      <c r="I370" s="701"/>
      <c r="J370" s="701"/>
      <c r="K370" s="701"/>
      <c r="L370" s="701"/>
      <c r="M370" s="701"/>
      <c r="N370" s="701"/>
      <c r="O370" s="701"/>
      <c r="P370" s="701"/>
      <c r="Q370" s="701"/>
      <c r="R370" s="701"/>
      <c r="S370" s="701"/>
      <c r="T370" s="701"/>
      <c r="U370" s="701"/>
      <c r="V370" s="701"/>
      <c r="W370" s="701"/>
      <c r="X370" s="701"/>
      <c r="Y370" s="701"/>
      <c r="Z370" s="701"/>
      <c r="AA370" s="63"/>
      <c r="AB370" s="63"/>
      <c r="AC370" s="63"/>
    </row>
    <row r="371" spans="1:68" ht="27" hidden="1" customHeight="1" x14ac:dyDescent="0.25">
      <c r="A371" s="60" t="s">
        <v>617</v>
      </c>
      <c r="B371" s="60" t="s">
        <v>618</v>
      </c>
      <c r="C371" s="34">
        <v>4301030878</v>
      </c>
      <c r="D371" s="702">
        <v>4607091387193</v>
      </c>
      <c r="E371" s="702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139</v>
      </c>
      <c r="L371" s="35" t="s">
        <v>46</v>
      </c>
      <c r="M371" s="36" t="s">
        <v>80</v>
      </c>
      <c r="N371" s="36"/>
      <c r="O371" s="35">
        <v>35</v>
      </c>
      <c r="P371" s="89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4"/>
      <c r="R371" s="704"/>
      <c r="S371" s="704"/>
      <c r="T371" s="705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619</v>
      </c>
      <c r="AG371" s="75"/>
      <c r="AJ371" s="79" t="s">
        <v>46</v>
      </c>
      <c r="AK371" s="79">
        <v>0</v>
      </c>
      <c r="BB371" s="458" t="s">
        <v>66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hidden="1" customHeight="1" x14ac:dyDescent="0.25">
      <c r="A372" s="60" t="s">
        <v>620</v>
      </c>
      <c r="B372" s="60" t="s">
        <v>621</v>
      </c>
      <c r="C372" s="34">
        <v>4301031153</v>
      </c>
      <c r="D372" s="702">
        <v>4607091387230</v>
      </c>
      <c r="E372" s="702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40</v>
      </c>
      <c r="P372" s="89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4"/>
      <c r="R372" s="704"/>
      <c r="S372" s="704"/>
      <c r="T372" s="705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4301031154</v>
      </c>
      <c r="D373" s="702">
        <v>4607091387292</v>
      </c>
      <c r="E373" s="702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45</v>
      </c>
      <c r="P373" s="90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4"/>
      <c r="R373" s="704"/>
      <c r="S373" s="704"/>
      <c r="T373" s="705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4301031152</v>
      </c>
      <c r="D374" s="702">
        <v>4607091387285</v>
      </c>
      <c r="E374" s="702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81</v>
      </c>
      <c r="L374" s="35" t="s">
        <v>46</v>
      </c>
      <c r="M374" s="36" t="s">
        <v>80</v>
      </c>
      <c r="N374" s="36"/>
      <c r="O374" s="35">
        <v>40</v>
      </c>
      <c r="P374" s="9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4"/>
      <c r="R374" s="704"/>
      <c r="S374" s="704"/>
      <c r="T374" s="705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622</v>
      </c>
      <c r="AG374" s="75"/>
      <c r="AJ374" s="79" t="s">
        <v>46</v>
      </c>
      <c r="AK374" s="79">
        <v>0</v>
      </c>
      <c r="BB374" s="464" t="s">
        <v>66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4301031305</v>
      </c>
      <c r="D375" s="702">
        <v>4607091389845</v>
      </c>
      <c r="E375" s="702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4"/>
      <c r="R375" s="704"/>
      <c r="S375" s="704"/>
      <c r="T375" s="705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630</v>
      </c>
      <c r="AG375" s="75"/>
      <c r="AJ375" s="79" t="s">
        <v>46</v>
      </c>
      <c r="AK375" s="79">
        <v>0</v>
      </c>
      <c r="BB375" s="466" t="s">
        <v>66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4301031460</v>
      </c>
      <c r="D376" s="702">
        <v>4680115887442</v>
      </c>
      <c r="E376" s="702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139</v>
      </c>
      <c r="L376" s="35" t="s">
        <v>46</v>
      </c>
      <c r="M376" s="36" t="s">
        <v>80</v>
      </c>
      <c r="N376" s="36"/>
      <c r="O376" s="35">
        <v>45</v>
      </c>
      <c r="P376" s="90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4"/>
      <c r="R376" s="704"/>
      <c r="S376" s="704"/>
      <c r="T376" s="705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625</v>
      </c>
      <c r="AG376" s="75"/>
      <c r="AJ376" s="79" t="s">
        <v>46</v>
      </c>
      <c r="AK376" s="79">
        <v>0</v>
      </c>
      <c r="BB376" s="468" t="s">
        <v>66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hidden="1" customHeight="1" x14ac:dyDescent="0.25">
      <c r="A377" s="60" t="s">
        <v>633</v>
      </c>
      <c r="B377" s="60" t="s">
        <v>634</v>
      </c>
      <c r="C377" s="34">
        <v>4301031066</v>
      </c>
      <c r="D377" s="702">
        <v>4607091383836</v>
      </c>
      <c r="E377" s="702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90</v>
      </c>
      <c r="L377" s="35" t="s">
        <v>46</v>
      </c>
      <c r="M377" s="36" t="s">
        <v>80</v>
      </c>
      <c r="N377" s="36"/>
      <c r="O377" s="35">
        <v>40</v>
      </c>
      <c r="P377" s="9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4"/>
      <c r="R377" s="704"/>
      <c r="S377" s="704"/>
      <c r="T377" s="705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635</v>
      </c>
      <c r="AG377" s="75"/>
      <c r="AJ377" s="79" t="s">
        <v>46</v>
      </c>
      <c r="AK377" s="79">
        <v>0</v>
      </c>
      <c r="BB377" s="470" t="s">
        <v>66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hidden="1" x14ac:dyDescent="0.2">
      <c r="A378" s="710"/>
      <c r="B378" s="710"/>
      <c r="C378" s="710"/>
      <c r="D378" s="710"/>
      <c r="E378" s="710"/>
      <c r="F378" s="710"/>
      <c r="G378" s="710"/>
      <c r="H378" s="710"/>
      <c r="I378" s="710"/>
      <c r="J378" s="710"/>
      <c r="K378" s="710"/>
      <c r="L378" s="710"/>
      <c r="M378" s="710"/>
      <c r="N378" s="710"/>
      <c r="O378" s="711"/>
      <c r="P378" s="707" t="s">
        <v>40</v>
      </c>
      <c r="Q378" s="708"/>
      <c r="R378" s="708"/>
      <c r="S378" s="708"/>
      <c r="T378" s="708"/>
      <c r="U378" s="708"/>
      <c r="V378" s="709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hidden="1" x14ac:dyDescent="0.2">
      <c r="A379" s="710"/>
      <c r="B379" s="710"/>
      <c r="C379" s="710"/>
      <c r="D379" s="710"/>
      <c r="E379" s="710"/>
      <c r="F379" s="710"/>
      <c r="G379" s="710"/>
      <c r="H379" s="710"/>
      <c r="I379" s="710"/>
      <c r="J379" s="710"/>
      <c r="K379" s="710"/>
      <c r="L379" s="710"/>
      <c r="M379" s="710"/>
      <c r="N379" s="710"/>
      <c r="O379" s="711"/>
      <c r="P379" s="707" t="s">
        <v>40</v>
      </c>
      <c r="Q379" s="708"/>
      <c r="R379" s="708"/>
      <c r="S379" s="708"/>
      <c r="T379" s="708"/>
      <c r="U379" s="708"/>
      <c r="V379" s="709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hidden="1" customHeight="1" x14ac:dyDescent="0.25">
      <c r="A380" s="701" t="s">
        <v>85</v>
      </c>
      <c r="B380" s="701"/>
      <c r="C380" s="701"/>
      <c r="D380" s="701"/>
      <c r="E380" s="701"/>
      <c r="F380" s="701"/>
      <c r="G380" s="701"/>
      <c r="H380" s="701"/>
      <c r="I380" s="701"/>
      <c r="J380" s="701"/>
      <c r="K380" s="701"/>
      <c r="L380" s="701"/>
      <c r="M380" s="701"/>
      <c r="N380" s="701"/>
      <c r="O380" s="701"/>
      <c r="P380" s="701"/>
      <c r="Q380" s="701"/>
      <c r="R380" s="701"/>
      <c r="S380" s="701"/>
      <c r="T380" s="701"/>
      <c r="U380" s="701"/>
      <c r="V380" s="701"/>
      <c r="W380" s="701"/>
      <c r="X380" s="701"/>
      <c r="Y380" s="701"/>
      <c r="Z380" s="701"/>
      <c r="AA380" s="63"/>
      <c r="AB380" s="63"/>
      <c r="AC380" s="63"/>
    </row>
    <row r="381" spans="1:68" ht="27" hidden="1" customHeight="1" x14ac:dyDescent="0.25">
      <c r="A381" s="60" t="s">
        <v>636</v>
      </c>
      <c r="B381" s="60" t="s">
        <v>637</v>
      </c>
      <c r="C381" s="34">
        <v>4301051100</v>
      </c>
      <c r="D381" s="702">
        <v>4607091387766</v>
      </c>
      <c r="E381" s="702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132</v>
      </c>
      <c r="L381" s="35" t="s">
        <v>46</v>
      </c>
      <c r="M381" s="36" t="s">
        <v>89</v>
      </c>
      <c r="N381" s="36"/>
      <c r="O381" s="35">
        <v>40</v>
      </c>
      <c r="P381" s="90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4"/>
      <c r="R381" s="704"/>
      <c r="S381" s="704"/>
      <c r="T381" s="7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639</v>
      </c>
      <c r="B382" s="60" t="s">
        <v>640</v>
      </c>
      <c r="C382" s="34">
        <v>4301051818</v>
      </c>
      <c r="D382" s="702">
        <v>4607091387957</v>
      </c>
      <c r="E382" s="702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4"/>
      <c r="R382" s="704"/>
      <c r="S382" s="704"/>
      <c r="T382" s="705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4301051819</v>
      </c>
      <c r="D383" s="702">
        <v>4607091387964</v>
      </c>
      <c r="E383" s="702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4"/>
      <c r="R383" s="704"/>
      <c r="S383" s="704"/>
      <c r="T383" s="705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4301051734</v>
      </c>
      <c r="D384" s="702">
        <v>4680115884588</v>
      </c>
      <c r="E384" s="702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90</v>
      </c>
      <c r="L384" s="35" t="s">
        <v>46</v>
      </c>
      <c r="M384" s="36" t="s">
        <v>89</v>
      </c>
      <c r="N384" s="36"/>
      <c r="O384" s="35">
        <v>40</v>
      </c>
      <c r="P384" s="9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4"/>
      <c r="R384" s="704"/>
      <c r="S384" s="704"/>
      <c r="T384" s="705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638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idden="1" x14ac:dyDescent="0.2">
      <c r="A385" s="710"/>
      <c r="B385" s="710"/>
      <c r="C385" s="710"/>
      <c r="D385" s="710"/>
      <c r="E385" s="710"/>
      <c r="F385" s="710"/>
      <c r="G385" s="710"/>
      <c r="H385" s="710"/>
      <c r="I385" s="710"/>
      <c r="J385" s="710"/>
      <c r="K385" s="710"/>
      <c r="L385" s="710"/>
      <c r="M385" s="710"/>
      <c r="N385" s="710"/>
      <c r="O385" s="711"/>
      <c r="P385" s="707" t="s">
        <v>40</v>
      </c>
      <c r="Q385" s="708"/>
      <c r="R385" s="708"/>
      <c r="S385" s="708"/>
      <c r="T385" s="708"/>
      <c r="U385" s="708"/>
      <c r="V385" s="709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710"/>
      <c r="B386" s="710"/>
      <c r="C386" s="710"/>
      <c r="D386" s="710"/>
      <c r="E386" s="710"/>
      <c r="F386" s="710"/>
      <c r="G386" s="710"/>
      <c r="H386" s="710"/>
      <c r="I386" s="710"/>
      <c r="J386" s="710"/>
      <c r="K386" s="710"/>
      <c r="L386" s="710"/>
      <c r="M386" s="710"/>
      <c r="N386" s="710"/>
      <c r="O386" s="711"/>
      <c r="P386" s="707" t="s">
        <v>40</v>
      </c>
      <c r="Q386" s="708"/>
      <c r="R386" s="708"/>
      <c r="S386" s="708"/>
      <c r="T386" s="708"/>
      <c r="U386" s="708"/>
      <c r="V386" s="709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701" t="s">
        <v>180</v>
      </c>
      <c r="B387" s="701"/>
      <c r="C387" s="701"/>
      <c r="D387" s="701"/>
      <c r="E387" s="701"/>
      <c r="F387" s="701"/>
      <c r="G387" s="701"/>
      <c r="H387" s="701"/>
      <c r="I387" s="701"/>
      <c r="J387" s="701"/>
      <c r="K387" s="701"/>
      <c r="L387" s="701"/>
      <c r="M387" s="701"/>
      <c r="N387" s="701"/>
      <c r="O387" s="701"/>
      <c r="P387" s="701"/>
      <c r="Q387" s="701"/>
      <c r="R387" s="701"/>
      <c r="S387" s="701"/>
      <c r="T387" s="701"/>
      <c r="U387" s="701"/>
      <c r="V387" s="701"/>
      <c r="W387" s="701"/>
      <c r="X387" s="701"/>
      <c r="Y387" s="701"/>
      <c r="Z387" s="701"/>
      <c r="AA387" s="63"/>
      <c r="AB387" s="63"/>
      <c r="AC387" s="63"/>
    </row>
    <row r="388" spans="1:68" ht="27" hidden="1" customHeight="1" x14ac:dyDescent="0.25">
      <c r="A388" s="60" t="s">
        <v>647</v>
      </c>
      <c r="B388" s="60" t="s">
        <v>648</v>
      </c>
      <c r="C388" s="34">
        <v>4301060387</v>
      </c>
      <c r="D388" s="702">
        <v>4607091380880</v>
      </c>
      <c r="E388" s="702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132</v>
      </c>
      <c r="L388" s="35" t="s">
        <v>46</v>
      </c>
      <c r="M388" s="36" t="s">
        <v>89</v>
      </c>
      <c r="N388" s="36"/>
      <c r="O388" s="35">
        <v>30</v>
      </c>
      <c r="P388" s="90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4"/>
      <c r="R388" s="704"/>
      <c r="S388" s="704"/>
      <c r="T388" s="70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649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650</v>
      </c>
      <c r="B389" s="60" t="s">
        <v>651</v>
      </c>
      <c r="C389" s="34">
        <v>4301060406</v>
      </c>
      <c r="D389" s="702">
        <v>4607091384482</v>
      </c>
      <c r="E389" s="702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4"/>
      <c r="R389" s="704"/>
      <c r="S389" s="704"/>
      <c r="T389" s="705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hidden="1" customHeight="1" x14ac:dyDescent="0.25">
      <c r="A390" s="60" t="s">
        <v>653</v>
      </c>
      <c r="B390" s="60" t="s">
        <v>654</v>
      </c>
      <c r="C390" s="34">
        <v>4301060484</v>
      </c>
      <c r="D390" s="702">
        <v>4607091380897</v>
      </c>
      <c r="E390" s="702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132</v>
      </c>
      <c r="L390" s="35" t="s">
        <v>46</v>
      </c>
      <c r="M390" s="36" t="s">
        <v>96</v>
      </c>
      <c r="N390" s="36"/>
      <c r="O390" s="35">
        <v>30</v>
      </c>
      <c r="P390" s="9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4"/>
      <c r="R390" s="704"/>
      <c r="S390" s="704"/>
      <c r="T390" s="705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idden="1" x14ac:dyDescent="0.2">
      <c r="A391" s="710"/>
      <c r="B391" s="710"/>
      <c r="C391" s="710"/>
      <c r="D391" s="710"/>
      <c r="E391" s="710"/>
      <c r="F391" s="710"/>
      <c r="G391" s="710"/>
      <c r="H391" s="710"/>
      <c r="I391" s="710"/>
      <c r="J391" s="710"/>
      <c r="K391" s="710"/>
      <c r="L391" s="710"/>
      <c r="M391" s="710"/>
      <c r="N391" s="710"/>
      <c r="O391" s="711"/>
      <c r="P391" s="707" t="s">
        <v>40</v>
      </c>
      <c r="Q391" s="708"/>
      <c r="R391" s="708"/>
      <c r="S391" s="708"/>
      <c r="T391" s="708"/>
      <c r="U391" s="708"/>
      <c r="V391" s="709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hidden="1" x14ac:dyDescent="0.2">
      <c r="A392" s="710"/>
      <c r="B392" s="710"/>
      <c r="C392" s="710"/>
      <c r="D392" s="710"/>
      <c r="E392" s="710"/>
      <c r="F392" s="710"/>
      <c r="G392" s="710"/>
      <c r="H392" s="710"/>
      <c r="I392" s="710"/>
      <c r="J392" s="710"/>
      <c r="K392" s="710"/>
      <c r="L392" s="710"/>
      <c r="M392" s="710"/>
      <c r="N392" s="710"/>
      <c r="O392" s="711"/>
      <c r="P392" s="707" t="s">
        <v>40</v>
      </c>
      <c r="Q392" s="708"/>
      <c r="R392" s="708"/>
      <c r="S392" s="708"/>
      <c r="T392" s="708"/>
      <c r="U392" s="708"/>
      <c r="V392" s="709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hidden="1" customHeight="1" x14ac:dyDescent="0.25">
      <c r="A393" s="701" t="s">
        <v>103</v>
      </c>
      <c r="B393" s="701"/>
      <c r="C393" s="701"/>
      <c r="D393" s="701"/>
      <c r="E393" s="701"/>
      <c r="F393" s="701"/>
      <c r="G393" s="701"/>
      <c r="H393" s="701"/>
      <c r="I393" s="701"/>
      <c r="J393" s="701"/>
      <c r="K393" s="701"/>
      <c r="L393" s="701"/>
      <c r="M393" s="701"/>
      <c r="N393" s="701"/>
      <c r="O393" s="701"/>
      <c r="P393" s="701"/>
      <c r="Q393" s="701"/>
      <c r="R393" s="701"/>
      <c r="S393" s="701"/>
      <c r="T393" s="701"/>
      <c r="U393" s="701"/>
      <c r="V393" s="701"/>
      <c r="W393" s="701"/>
      <c r="X393" s="701"/>
      <c r="Y393" s="701"/>
      <c r="Z393" s="701"/>
      <c r="AA393" s="63"/>
      <c r="AB393" s="63"/>
      <c r="AC393" s="63"/>
    </row>
    <row r="394" spans="1:68" ht="27" hidden="1" customHeight="1" x14ac:dyDescent="0.25">
      <c r="A394" s="60" t="s">
        <v>656</v>
      </c>
      <c r="B394" s="60" t="s">
        <v>657</v>
      </c>
      <c r="C394" s="34">
        <v>4301030235</v>
      </c>
      <c r="D394" s="702">
        <v>4607091388381</v>
      </c>
      <c r="E394" s="702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139</v>
      </c>
      <c r="L394" s="35" t="s">
        <v>46</v>
      </c>
      <c r="M394" s="36" t="s">
        <v>108</v>
      </c>
      <c r="N394" s="36"/>
      <c r="O394" s="35">
        <v>180</v>
      </c>
      <c r="P394" s="9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4"/>
      <c r="R394" s="704"/>
      <c r="S394" s="704"/>
      <c r="T394" s="70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658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659</v>
      </c>
      <c r="B395" s="60" t="s">
        <v>660</v>
      </c>
      <c r="C395" s="34">
        <v>4301030232</v>
      </c>
      <c r="D395" s="702">
        <v>4607091388374</v>
      </c>
      <c r="E395" s="702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4"/>
      <c r="R395" s="704"/>
      <c r="S395" s="704"/>
      <c r="T395" s="705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658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661</v>
      </c>
      <c r="B396" s="60" t="s">
        <v>662</v>
      </c>
      <c r="C396" s="34">
        <v>4301032015</v>
      </c>
      <c r="D396" s="702">
        <v>4607091383102</v>
      </c>
      <c r="E396" s="702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90</v>
      </c>
      <c r="L396" s="35" t="s">
        <v>46</v>
      </c>
      <c r="M396" s="36" t="s">
        <v>108</v>
      </c>
      <c r="N396" s="36"/>
      <c r="O396" s="35">
        <v>180</v>
      </c>
      <c r="P396" s="9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4"/>
      <c r="R396" s="704"/>
      <c r="S396" s="704"/>
      <c r="T396" s="705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658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663</v>
      </c>
      <c r="B397" s="60" t="s">
        <v>664</v>
      </c>
      <c r="C397" s="34">
        <v>4301030233</v>
      </c>
      <c r="D397" s="702">
        <v>4607091388404</v>
      </c>
      <c r="E397" s="702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4"/>
      <c r="R397" s="704"/>
      <c r="S397" s="704"/>
      <c r="T397" s="705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658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710"/>
      <c r="B398" s="710"/>
      <c r="C398" s="710"/>
      <c r="D398" s="710"/>
      <c r="E398" s="710"/>
      <c r="F398" s="710"/>
      <c r="G398" s="710"/>
      <c r="H398" s="710"/>
      <c r="I398" s="710"/>
      <c r="J398" s="710"/>
      <c r="K398" s="710"/>
      <c r="L398" s="710"/>
      <c r="M398" s="710"/>
      <c r="N398" s="710"/>
      <c r="O398" s="711"/>
      <c r="P398" s="707" t="s">
        <v>40</v>
      </c>
      <c r="Q398" s="708"/>
      <c r="R398" s="708"/>
      <c r="S398" s="708"/>
      <c r="T398" s="708"/>
      <c r="U398" s="708"/>
      <c r="V398" s="709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710"/>
      <c r="B399" s="710"/>
      <c r="C399" s="710"/>
      <c r="D399" s="710"/>
      <c r="E399" s="710"/>
      <c r="F399" s="710"/>
      <c r="G399" s="710"/>
      <c r="H399" s="710"/>
      <c r="I399" s="710"/>
      <c r="J399" s="710"/>
      <c r="K399" s="710"/>
      <c r="L399" s="710"/>
      <c r="M399" s="710"/>
      <c r="N399" s="710"/>
      <c r="O399" s="711"/>
      <c r="P399" s="707" t="s">
        <v>40</v>
      </c>
      <c r="Q399" s="708"/>
      <c r="R399" s="708"/>
      <c r="S399" s="708"/>
      <c r="T399" s="708"/>
      <c r="U399" s="708"/>
      <c r="V399" s="709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701" t="s">
        <v>665</v>
      </c>
      <c r="B400" s="701"/>
      <c r="C400" s="701"/>
      <c r="D400" s="701"/>
      <c r="E400" s="701"/>
      <c r="F400" s="701"/>
      <c r="G400" s="701"/>
      <c r="H400" s="701"/>
      <c r="I400" s="701"/>
      <c r="J400" s="701"/>
      <c r="K400" s="701"/>
      <c r="L400" s="701"/>
      <c r="M400" s="701"/>
      <c r="N400" s="701"/>
      <c r="O400" s="701"/>
      <c r="P400" s="701"/>
      <c r="Q400" s="701"/>
      <c r="R400" s="701"/>
      <c r="S400" s="701"/>
      <c r="T400" s="701"/>
      <c r="U400" s="701"/>
      <c r="V400" s="701"/>
      <c r="W400" s="701"/>
      <c r="X400" s="701"/>
      <c r="Y400" s="701"/>
      <c r="Z400" s="701"/>
      <c r="AA400" s="63"/>
      <c r="AB400" s="63"/>
      <c r="AC400" s="63"/>
    </row>
    <row r="401" spans="1:68" ht="16.5" hidden="1" customHeight="1" x14ac:dyDescent="0.25">
      <c r="A401" s="60" t="s">
        <v>666</v>
      </c>
      <c r="B401" s="60" t="s">
        <v>667</v>
      </c>
      <c r="C401" s="34">
        <v>4301180007</v>
      </c>
      <c r="D401" s="702">
        <v>4680115881808</v>
      </c>
      <c r="E401" s="702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90</v>
      </c>
      <c r="L401" s="35" t="s">
        <v>46</v>
      </c>
      <c r="M401" s="36" t="s">
        <v>669</v>
      </c>
      <c r="N401" s="36"/>
      <c r="O401" s="35">
        <v>731</v>
      </c>
      <c r="P401" s="91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4"/>
      <c r="R401" s="704"/>
      <c r="S401" s="704"/>
      <c r="T401" s="705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668</v>
      </c>
      <c r="AG401" s="75"/>
      <c r="AJ401" s="79" t="s">
        <v>46</v>
      </c>
      <c r="AK401" s="79">
        <v>0</v>
      </c>
      <c r="BB401" s="494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670</v>
      </c>
      <c r="B402" s="60" t="s">
        <v>671</v>
      </c>
      <c r="C402" s="34">
        <v>4301180006</v>
      </c>
      <c r="D402" s="702">
        <v>4680115881822</v>
      </c>
      <c r="E402" s="702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669</v>
      </c>
      <c r="N402" s="36"/>
      <c r="O402" s="35">
        <v>731</v>
      </c>
      <c r="P402" s="91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4"/>
      <c r="R402" s="704"/>
      <c r="S402" s="704"/>
      <c r="T402" s="705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668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672</v>
      </c>
      <c r="B403" s="60" t="s">
        <v>673</v>
      </c>
      <c r="C403" s="34">
        <v>4301180001</v>
      </c>
      <c r="D403" s="702">
        <v>4680115880016</v>
      </c>
      <c r="E403" s="702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669</v>
      </c>
      <c r="N403" s="36"/>
      <c r="O403" s="35">
        <v>731</v>
      </c>
      <c r="P403" s="91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4"/>
      <c r="R403" s="704"/>
      <c r="S403" s="704"/>
      <c r="T403" s="705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idden="1" x14ac:dyDescent="0.2">
      <c r="A404" s="710"/>
      <c r="B404" s="710"/>
      <c r="C404" s="710"/>
      <c r="D404" s="710"/>
      <c r="E404" s="710"/>
      <c r="F404" s="710"/>
      <c r="G404" s="710"/>
      <c r="H404" s="710"/>
      <c r="I404" s="710"/>
      <c r="J404" s="710"/>
      <c r="K404" s="710"/>
      <c r="L404" s="710"/>
      <c r="M404" s="710"/>
      <c r="N404" s="710"/>
      <c r="O404" s="711"/>
      <c r="P404" s="707" t="s">
        <v>40</v>
      </c>
      <c r="Q404" s="708"/>
      <c r="R404" s="708"/>
      <c r="S404" s="708"/>
      <c r="T404" s="708"/>
      <c r="U404" s="708"/>
      <c r="V404" s="709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hidden="1" x14ac:dyDescent="0.2">
      <c r="A405" s="710"/>
      <c r="B405" s="710"/>
      <c r="C405" s="710"/>
      <c r="D405" s="710"/>
      <c r="E405" s="710"/>
      <c r="F405" s="710"/>
      <c r="G405" s="710"/>
      <c r="H405" s="710"/>
      <c r="I405" s="710"/>
      <c r="J405" s="710"/>
      <c r="K405" s="710"/>
      <c r="L405" s="710"/>
      <c r="M405" s="710"/>
      <c r="N405" s="710"/>
      <c r="O405" s="711"/>
      <c r="P405" s="707" t="s">
        <v>40</v>
      </c>
      <c r="Q405" s="708"/>
      <c r="R405" s="708"/>
      <c r="S405" s="708"/>
      <c r="T405" s="708"/>
      <c r="U405" s="708"/>
      <c r="V405" s="709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hidden="1" customHeight="1" x14ac:dyDescent="0.25">
      <c r="A406" s="701" t="s">
        <v>674</v>
      </c>
      <c r="B406" s="701"/>
      <c r="C406" s="701"/>
      <c r="D406" s="701"/>
      <c r="E406" s="701"/>
      <c r="F406" s="701"/>
      <c r="G406" s="701"/>
      <c r="H406" s="701"/>
      <c r="I406" s="701"/>
      <c r="J406" s="701"/>
      <c r="K406" s="701"/>
      <c r="L406" s="701"/>
      <c r="M406" s="701"/>
      <c r="N406" s="701"/>
      <c r="O406" s="701"/>
      <c r="P406" s="701"/>
      <c r="Q406" s="701"/>
      <c r="R406" s="701"/>
      <c r="S406" s="701"/>
      <c r="T406" s="701"/>
      <c r="U406" s="701"/>
      <c r="V406" s="701"/>
      <c r="W406" s="701"/>
      <c r="X406" s="701"/>
      <c r="Y406" s="701"/>
      <c r="Z406" s="701"/>
      <c r="AA406" s="63"/>
      <c r="AB406" s="63"/>
      <c r="AC406" s="63"/>
    </row>
    <row r="407" spans="1:68" ht="27" hidden="1" customHeight="1" x14ac:dyDescent="0.25">
      <c r="A407" s="60" t="s">
        <v>675</v>
      </c>
      <c r="B407" s="60" t="s">
        <v>676</v>
      </c>
      <c r="C407" s="34">
        <v>4301220003</v>
      </c>
      <c r="D407" s="702">
        <v>4680115888678</v>
      </c>
      <c r="E407" s="702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90</v>
      </c>
      <c r="L407" s="35" t="s">
        <v>46</v>
      </c>
      <c r="M407" s="36" t="s">
        <v>669</v>
      </c>
      <c r="N407" s="36"/>
      <c r="O407" s="35">
        <v>1096</v>
      </c>
      <c r="P407" s="91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4"/>
      <c r="R407" s="704"/>
      <c r="S407" s="704"/>
      <c r="T407" s="70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251</v>
      </c>
      <c r="AC407" s="499" t="s">
        <v>677</v>
      </c>
      <c r="AG407" s="75"/>
      <c r="AJ407" s="79" t="s">
        <v>46</v>
      </c>
      <c r="AK407" s="79">
        <v>0</v>
      </c>
      <c r="BB407" s="500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678</v>
      </c>
      <c r="B408" s="60" t="s">
        <v>679</v>
      </c>
      <c r="C408" s="34">
        <v>4301220001</v>
      </c>
      <c r="D408" s="702">
        <v>4680115888654</v>
      </c>
      <c r="E408" s="702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139</v>
      </c>
      <c r="L408" s="35" t="s">
        <v>46</v>
      </c>
      <c r="M408" s="36" t="s">
        <v>669</v>
      </c>
      <c r="N408" s="36"/>
      <c r="O408" s="35">
        <v>1096</v>
      </c>
      <c r="P408" s="92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4"/>
      <c r="R408" s="704"/>
      <c r="S408" s="704"/>
      <c r="T408" s="705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4301220002</v>
      </c>
      <c r="D409" s="702">
        <v>4680115888753</v>
      </c>
      <c r="E409" s="702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90</v>
      </c>
      <c r="L409" s="35" t="s">
        <v>46</v>
      </c>
      <c r="M409" s="36" t="s">
        <v>669</v>
      </c>
      <c r="N409" s="36"/>
      <c r="O409" s="35">
        <v>1096</v>
      </c>
      <c r="P409" s="92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4"/>
      <c r="R409" s="704"/>
      <c r="S409" s="704"/>
      <c r="T409" s="705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251</v>
      </c>
      <c r="AC409" s="503" t="s">
        <v>677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idden="1" x14ac:dyDescent="0.2">
      <c r="A410" s="710"/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1"/>
      <c r="P410" s="707" t="s">
        <v>40</v>
      </c>
      <c r="Q410" s="708"/>
      <c r="R410" s="708"/>
      <c r="S410" s="708"/>
      <c r="T410" s="708"/>
      <c r="U410" s="708"/>
      <c r="V410" s="709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hidden="1" x14ac:dyDescent="0.2">
      <c r="A411" s="710"/>
      <c r="B411" s="710"/>
      <c r="C411" s="710"/>
      <c r="D411" s="710"/>
      <c r="E411" s="710"/>
      <c r="F411" s="710"/>
      <c r="G411" s="710"/>
      <c r="H411" s="710"/>
      <c r="I411" s="710"/>
      <c r="J411" s="710"/>
      <c r="K411" s="710"/>
      <c r="L411" s="710"/>
      <c r="M411" s="710"/>
      <c r="N411" s="710"/>
      <c r="O411" s="711"/>
      <c r="P411" s="707" t="s">
        <v>40</v>
      </c>
      <c r="Q411" s="708"/>
      <c r="R411" s="708"/>
      <c r="S411" s="708"/>
      <c r="T411" s="708"/>
      <c r="U411" s="708"/>
      <c r="V411" s="709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hidden="1" customHeight="1" x14ac:dyDescent="0.25">
      <c r="A412" s="700" t="s">
        <v>683</v>
      </c>
      <c r="B412" s="700"/>
      <c r="C412" s="700"/>
      <c r="D412" s="700"/>
      <c r="E412" s="700"/>
      <c r="F412" s="700"/>
      <c r="G412" s="700"/>
      <c r="H412" s="700"/>
      <c r="I412" s="700"/>
      <c r="J412" s="700"/>
      <c r="K412" s="700"/>
      <c r="L412" s="700"/>
      <c r="M412" s="700"/>
      <c r="N412" s="700"/>
      <c r="O412" s="700"/>
      <c r="P412" s="700"/>
      <c r="Q412" s="700"/>
      <c r="R412" s="700"/>
      <c r="S412" s="700"/>
      <c r="T412" s="700"/>
      <c r="U412" s="700"/>
      <c r="V412" s="700"/>
      <c r="W412" s="700"/>
      <c r="X412" s="700"/>
      <c r="Y412" s="700"/>
      <c r="Z412" s="700"/>
      <c r="AA412" s="62"/>
      <c r="AB412" s="62"/>
      <c r="AC412" s="62"/>
    </row>
    <row r="413" spans="1:68" ht="14.25" hidden="1" customHeight="1" x14ac:dyDescent="0.25">
      <c r="A413" s="701" t="s">
        <v>85</v>
      </c>
      <c r="B413" s="701"/>
      <c r="C413" s="701"/>
      <c r="D413" s="701"/>
      <c r="E413" s="701"/>
      <c r="F413" s="701"/>
      <c r="G413" s="701"/>
      <c r="H413" s="701"/>
      <c r="I413" s="701"/>
      <c r="J413" s="701"/>
      <c r="K413" s="701"/>
      <c r="L413" s="701"/>
      <c r="M413" s="701"/>
      <c r="N413" s="701"/>
      <c r="O413" s="701"/>
      <c r="P413" s="701"/>
      <c r="Q413" s="701"/>
      <c r="R413" s="701"/>
      <c r="S413" s="701"/>
      <c r="T413" s="701"/>
      <c r="U413" s="701"/>
      <c r="V413" s="701"/>
      <c r="W413" s="701"/>
      <c r="X413" s="701"/>
      <c r="Y413" s="701"/>
      <c r="Z413" s="701"/>
      <c r="AA413" s="63"/>
      <c r="AB413" s="63"/>
      <c r="AC413" s="63"/>
    </row>
    <row r="414" spans="1:68" ht="27" hidden="1" customHeight="1" x14ac:dyDescent="0.25">
      <c r="A414" s="60" t="s">
        <v>684</v>
      </c>
      <c r="B414" s="60" t="s">
        <v>685</v>
      </c>
      <c r="C414" s="34">
        <v>4301051489</v>
      </c>
      <c r="D414" s="702">
        <v>4607091387919</v>
      </c>
      <c r="E414" s="702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132</v>
      </c>
      <c r="L414" s="35" t="s">
        <v>46</v>
      </c>
      <c r="M414" s="36" t="s">
        <v>96</v>
      </c>
      <c r="N414" s="36"/>
      <c r="O414" s="35">
        <v>45</v>
      </c>
      <c r="P414" s="9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4"/>
      <c r="R414" s="704"/>
      <c r="S414" s="704"/>
      <c r="T414" s="705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686</v>
      </c>
      <c r="AG414" s="75"/>
      <c r="AJ414" s="79" t="s">
        <v>46</v>
      </c>
      <c r="AK414" s="79">
        <v>0</v>
      </c>
      <c r="BB414" s="506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687</v>
      </c>
      <c r="B415" s="60" t="s">
        <v>688</v>
      </c>
      <c r="C415" s="34">
        <v>4301051461</v>
      </c>
      <c r="D415" s="702">
        <v>4680115883604</v>
      </c>
      <c r="E415" s="702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90</v>
      </c>
      <c r="L415" s="35" t="s">
        <v>46</v>
      </c>
      <c r="M415" s="36" t="s">
        <v>89</v>
      </c>
      <c r="N415" s="36"/>
      <c r="O415" s="35">
        <v>45</v>
      </c>
      <c r="P415" s="9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4"/>
      <c r="R415" s="704"/>
      <c r="S415" s="704"/>
      <c r="T415" s="705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4301051864</v>
      </c>
      <c r="D416" s="702">
        <v>4680115883567</v>
      </c>
      <c r="E416" s="702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90</v>
      </c>
      <c r="L416" s="35" t="s">
        <v>46</v>
      </c>
      <c r="M416" s="36" t="s">
        <v>96</v>
      </c>
      <c r="N416" s="36"/>
      <c r="O416" s="35">
        <v>40</v>
      </c>
      <c r="P416" s="9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4"/>
      <c r="R416" s="704"/>
      <c r="S416" s="704"/>
      <c r="T416" s="705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710"/>
      <c r="B417" s="710"/>
      <c r="C417" s="710"/>
      <c r="D417" s="710"/>
      <c r="E417" s="710"/>
      <c r="F417" s="710"/>
      <c r="G417" s="710"/>
      <c r="H417" s="710"/>
      <c r="I417" s="710"/>
      <c r="J417" s="710"/>
      <c r="K417" s="710"/>
      <c r="L417" s="710"/>
      <c r="M417" s="710"/>
      <c r="N417" s="710"/>
      <c r="O417" s="711"/>
      <c r="P417" s="707" t="s">
        <v>40</v>
      </c>
      <c r="Q417" s="708"/>
      <c r="R417" s="708"/>
      <c r="S417" s="708"/>
      <c r="T417" s="708"/>
      <c r="U417" s="708"/>
      <c r="V417" s="709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710"/>
      <c r="B418" s="710"/>
      <c r="C418" s="710"/>
      <c r="D418" s="710"/>
      <c r="E418" s="710"/>
      <c r="F418" s="710"/>
      <c r="G418" s="710"/>
      <c r="H418" s="710"/>
      <c r="I418" s="710"/>
      <c r="J418" s="710"/>
      <c r="K418" s="710"/>
      <c r="L418" s="710"/>
      <c r="M418" s="710"/>
      <c r="N418" s="710"/>
      <c r="O418" s="711"/>
      <c r="P418" s="707" t="s">
        <v>40</v>
      </c>
      <c r="Q418" s="708"/>
      <c r="R418" s="708"/>
      <c r="S418" s="708"/>
      <c r="T418" s="708"/>
      <c r="U418" s="708"/>
      <c r="V418" s="709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hidden="1" customHeight="1" x14ac:dyDescent="0.2">
      <c r="A419" s="699" t="s">
        <v>693</v>
      </c>
      <c r="B419" s="699"/>
      <c r="C419" s="699"/>
      <c r="D419" s="699"/>
      <c r="E419" s="699"/>
      <c r="F419" s="699"/>
      <c r="G419" s="699"/>
      <c r="H419" s="699"/>
      <c r="I419" s="699"/>
      <c r="J419" s="699"/>
      <c r="K419" s="699"/>
      <c r="L419" s="699"/>
      <c r="M419" s="699"/>
      <c r="N419" s="699"/>
      <c r="O419" s="699"/>
      <c r="P419" s="699"/>
      <c r="Q419" s="699"/>
      <c r="R419" s="699"/>
      <c r="S419" s="699"/>
      <c r="T419" s="699"/>
      <c r="U419" s="699"/>
      <c r="V419" s="699"/>
      <c r="W419" s="699"/>
      <c r="X419" s="699"/>
      <c r="Y419" s="699"/>
      <c r="Z419" s="699"/>
      <c r="AA419" s="52"/>
      <c r="AB419" s="52"/>
      <c r="AC419" s="52"/>
    </row>
    <row r="420" spans="1:68" ht="16.5" hidden="1" customHeight="1" x14ac:dyDescent="0.25">
      <c r="A420" s="700" t="s">
        <v>694</v>
      </c>
      <c r="B420" s="700"/>
      <c r="C420" s="700"/>
      <c r="D420" s="700"/>
      <c r="E420" s="700"/>
      <c r="F420" s="700"/>
      <c r="G420" s="700"/>
      <c r="H420" s="700"/>
      <c r="I420" s="700"/>
      <c r="J420" s="700"/>
      <c r="K420" s="700"/>
      <c r="L420" s="700"/>
      <c r="M420" s="700"/>
      <c r="N420" s="700"/>
      <c r="O420" s="700"/>
      <c r="P420" s="700"/>
      <c r="Q420" s="700"/>
      <c r="R420" s="700"/>
      <c r="S420" s="700"/>
      <c r="T420" s="700"/>
      <c r="U420" s="700"/>
      <c r="V420" s="700"/>
      <c r="W420" s="700"/>
      <c r="X420" s="700"/>
      <c r="Y420" s="700"/>
      <c r="Z420" s="700"/>
      <c r="AA420" s="62"/>
      <c r="AB420" s="62"/>
      <c r="AC420" s="62"/>
    </row>
    <row r="421" spans="1:68" ht="14.25" hidden="1" customHeight="1" x14ac:dyDescent="0.25">
      <c r="A421" s="701" t="s">
        <v>127</v>
      </c>
      <c r="B421" s="701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63"/>
      <c r="AB421" s="63"/>
      <c r="AC421" s="63"/>
    </row>
    <row r="422" spans="1:68" ht="27" hidden="1" customHeight="1" x14ac:dyDescent="0.25">
      <c r="A422" s="60" t="s">
        <v>695</v>
      </c>
      <c r="B422" s="60" t="s">
        <v>696</v>
      </c>
      <c r="C422" s="34">
        <v>4301012332</v>
      </c>
      <c r="D422" s="702">
        <v>4680115888401</v>
      </c>
      <c r="E422" s="702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132</v>
      </c>
      <c r="L422" s="35" t="s">
        <v>46</v>
      </c>
      <c r="M422" s="36" t="s">
        <v>96</v>
      </c>
      <c r="N422" s="36"/>
      <c r="O422" s="35">
        <v>60</v>
      </c>
      <c r="P422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4"/>
      <c r="R422" s="704"/>
      <c r="S422" s="704"/>
      <c r="T422" s="705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697</v>
      </c>
      <c r="AG422" s="75"/>
      <c r="AJ422" s="79" t="s">
        <v>46</v>
      </c>
      <c r="AK422" s="79">
        <v>0</v>
      </c>
      <c r="BB422" s="512" t="s">
        <v>66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698</v>
      </c>
      <c r="B423" s="60" t="s">
        <v>699</v>
      </c>
      <c r="C423" s="34">
        <v>4301011869</v>
      </c>
      <c r="D423" s="702">
        <v>4680115884847</v>
      </c>
      <c r="E423" s="702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80</v>
      </c>
      <c r="N423" s="36"/>
      <c r="O423" s="35">
        <v>60</v>
      </c>
      <c r="P423" s="92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4"/>
      <c r="R423" s="704"/>
      <c r="S423" s="704"/>
      <c r="T423" s="705"/>
      <c r="U423" s="37" t="s">
        <v>46</v>
      </c>
      <c r="V423" s="37" t="s">
        <v>46</v>
      </c>
      <c r="W423" s="38" t="s">
        <v>0</v>
      </c>
      <c r="X423" s="56">
        <v>2500</v>
      </c>
      <c r="Y423" s="53">
        <f t="shared" si="47"/>
        <v>2505</v>
      </c>
      <c r="Z423" s="39">
        <f>IFERROR(IF(Y423=0,"",ROUNDUP(Y423/H423,0)*0.02175),"")</f>
        <v>3.6322499999999995</v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si="48"/>
        <v>2578.3333333333335</v>
      </c>
      <c r="BN423" s="75">
        <f t="shared" si="49"/>
        <v>2583.4899999999998</v>
      </c>
      <c r="BO423" s="75">
        <f t="shared" si="50"/>
        <v>3.4722222222222219</v>
      </c>
      <c r="BP423" s="75">
        <f t="shared" si="51"/>
        <v>3.4791666666666665</v>
      </c>
    </row>
    <row r="424" spans="1:68" ht="27" hidden="1" customHeight="1" x14ac:dyDescent="0.25">
      <c r="A424" s="60" t="s">
        <v>701</v>
      </c>
      <c r="B424" s="60" t="s">
        <v>702</v>
      </c>
      <c r="C424" s="34">
        <v>4301012083</v>
      </c>
      <c r="D424" s="702">
        <v>4680115884854</v>
      </c>
      <c r="E424" s="70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60</v>
      </c>
      <c r="P424" s="92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4"/>
      <c r="R424" s="704"/>
      <c r="S424" s="704"/>
      <c r="T424" s="705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704</v>
      </c>
      <c r="B425" s="60" t="s">
        <v>705</v>
      </c>
      <c r="C425" s="34">
        <v>4301011867</v>
      </c>
      <c r="D425" s="702">
        <v>4680115884830</v>
      </c>
      <c r="E425" s="70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80</v>
      </c>
      <c r="N425" s="36"/>
      <c r="O425" s="35">
        <v>60</v>
      </c>
      <c r="P425" s="9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4"/>
      <c r="R425" s="704"/>
      <c r="S425" s="704"/>
      <c r="T425" s="705"/>
      <c r="U425" s="37" t="s">
        <v>46</v>
      </c>
      <c r="V425" s="37" t="s">
        <v>46</v>
      </c>
      <c r="W425" s="38" t="s">
        <v>0</v>
      </c>
      <c r="X425" s="56">
        <v>1600</v>
      </c>
      <c r="Y425" s="53">
        <f t="shared" si="47"/>
        <v>1605</v>
      </c>
      <c r="Z425" s="39">
        <f>IFERROR(IF(Y425=0,"",ROUNDUP(Y425/H425,0)*0.02175),"")</f>
        <v>2.3272499999999998</v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48"/>
        <v>1650.1333333333334</v>
      </c>
      <c r="BN425" s="75">
        <f t="shared" si="49"/>
        <v>1655.2900000000002</v>
      </c>
      <c r="BO425" s="75">
        <f t="shared" si="50"/>
        <v>2.2222222222222223</v>
      </c>
      <c r="BP425" s="75">
        <f t="shared" si="51"/>
        <v>2.2291666666666665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4301012356</v>
      </c>
      <c r="D426" s="702">
        <v>4680115889231</v>
      </c>
      <c r="E426" s="702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96</v>
      </c>
      <c r="N426" s="36"/>
      <c r="O426" s="35">
        <v>60</v>
      </c>
      <c r="P426" s="9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4"/>
      <c r="R426" s="704"/>
      <c r="S426" s="704"/>
      <c r="T426" s="705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47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48"/>
        <v>0</v>
      </c>
      <c r="BN426" s="75">
        <f t="shared" si="49"/>
        <v>0</v>
      </c>
      <c r="BO426" s="75">
        <f t="shared" si="50"/>
        <v>0</v>
      </c>
      <c r="BP426" s="75">
        <f t="shared" si="51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4301011433</v>
      </c>
      <c r="D427" s="702">
        <v>4680115882638</v>
      </c>
      <c r="E427" s="702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139</v>
      </c>
      <c r="L427" s="35" t="s">
        <v>46</v>
      </c>
      <c r="M427" s="36" t="s">
        <v>131</v>
      </c>
      <c r="N427" s="36"/>
      <c r="O427" s="35">
        <v>90</v>
      </c>
      <c r="P427" s="93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4"/>
      <c r="R427" s="704"/>
      <c r="S427" s="704"/>
      <c r="T427" s="705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4301011952</v>
      </c>
      <c r="D428" s="702">
        <v>4680115884922</v>
      </c>
      <c r="E428" s="702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139</v>
      </c>
      <c r="L428" s="35" t="s">
        <v>46</v>
      </c>
      <c r="M428" s="36" t="s">
        <v>80</v>
      </c>
      <c r="N428" s="36"/>
      <c r="O428" s="35">
        <v>60</v>
      </c>
      <c r="P428" s="9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4"/>
      <c r="R428" s="704"/>
      <c r="S428" s="704"/>
      <c r="T428" s="705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hidden="1" customHeight="1" x14ac:dyDescent="0.25">
      <c r="A429" s="60" t="s">
        <v>716</v>
      </c>
      <c r="B429" s="60" t="s">
        <v>717</v>
      </c>
      <c r="C429" s="34">
        <v>4301011868</v>
      </c>
      <c r="D429" s="702">
        <v>4680115884861</v>
      </c>
      <c r="E429" s="702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4"/>
      <c r="R429" s="704"/>
      <c r="S429" s="704"/>
      <c r="T429" s="705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710"/>
      <c r="B430" s="710"/>
      <c r="C430" s="710"/>
      <c r="D430" s="710"/>
      <c r="E430" s="710"/>
      <c r="F430" s="710"/>
      <c r="G430" s="710"/>
      <c r="H430" s="710"/>
      <c r="I430" s="710"/>
      <c r="J430" s="710"/>
      <c r="K430" s="710"/>
      <c r="L430" s="710"/>
      <c r="M430" s="710"/>
      <c r="N430" s="710"/>
      <c r="O430" s="711"/>
      <c r="P430" s="707" t="s">
        <v>40</v>
      </c>
      <c r="Q430" s="708"/>
      <c r="R430" s="708"/>
      <c r="S430" s="708"/>
      <c r="T430" s="708"/>
      <c r="U430" s="708"/>
      <c r="V430" s="709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273.33333333333331</v>
      </c>
      <c r="Y430" s="41">
        <f>IFERROR(Y422/H422,"0")+IFERROR(Y423/H423,"0")+IFERROR(Y424/H424,"0")+IFERROR(Y425/H425,"0")+IFERROR(Y426/H426,"0")+IFERROR(Y427/H427,"0")+IFERROR(Y428/H428,"0")+IFERROR(Y429/H429,"0")</f>
        <v>274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5.9594999999999994</v>
      </c>
      <c r="AA430" s="64"/>
      <c r="AB430" s="64"/>
      <c r="AC430" s="64"/>
    </row>
    <row r="431" spans="1:68" x14ac:dyDescent="0.2">
      <c r="A431" s="710"/>
      <c r="B431" s="710"/>
      <c r="C431" s="710"/>
      <c r="D431" s="710"/>
      <c r="E431" s="710"/>
      <c r="F431" s="710"/>
      <c r="G431" s="710"/>
      <c r="H431" s="710"/>
      <c r="I431" s="710"/>
      <c r="J431" s="710"/>
      <c r="K431" s="710"/>
      <c r="L431" s="710"/>
      <c r="M431" s="710"/>
      <c r="N431" s="710"/>
      <c r="O431" s="711"/>
      <c r="P431" s="707" t="s">
        <v>40</v>
      </c>
      <c r="Q431" s="708"/>
      <c r="R431" s="708"/>
      <c r="S431" s="708"/>
      <c r="T431" s="708"/>
      <c r="U431" s="708"/>
      <c r="V431" s="709"/>
      <c r="W431" s="40" t="s">
        <v>0</v>
      </c>
      <c r="X431" s="41">
        <f>IFERROR(SUM(X422:X429),"0")</f>
        <v>4100</v>
      </c>
      <c r="Y431" s="41">
        <f>IFERROR(SUM(Y422:Y429),"0")</f>
        <v>4110</v>
      </c>
      <c r="Z431" s="40"/>
      <c r="AA431" s="64"/>
      <c r="AB431" s="64"/>
      <c r="AC431" s="64"/>
    </row>
    <row r="432" spans="1:68" ht="14.25" hidden="1" customHeight="1" x14ac:dyDescent="0.25">
      <c r="A432" s="701" t="s">
        <v>163</v>
      </c>
      <c r="B432" s="701"/>
      <c r="C432" s="701"/>
      <c r="D432" s="701"/>
      <c r="E432" s="701"/>
      <c r="F432" s="701"/>
      <c r="G432" s="701"/>
      <c r="H432" s="701"/>
      <c r="I432" s="701"/>
      <c r="J432" s="701"/>
      <c r="K432" s="701"/>
      <c r="L432" s="701"/>
      <c r="M432" s="701"/>
      <c r="N432" s="701"/>
      <c r="O432" s="701"/>
      <c r="P432" s="701"/>
      <c r="Q432" s="701"/>
      <c r="R432" s="701"/>
      <c r="S432" s="701"/>
      <c r="T432" s="701"/>
      <c r="U432" s="701"/>
      <c r="V432" s="701"/>
      <c r="W432" s="701"/>
      <c r="X432" s="701"/>
      <c r="Y432" s="701"/>
      <c r="Z432" s="701"/>
      <c r="AA432" s="63"/>
      <c r="AB432" s="63"/>
      <c r="AC432" s="63"/>
    </row>
    <row r="433" spans="1:68" ht="27" hidden="1" customHeight="1" x14ac:dyDescent="0.25">
      <c r="A433" s="60" t="s">
        <v>719</v>
      </c>
      <c r="B433" s="60" t="s">
        <v>720</v>
      </c>
      <c r="C433" s="34">
        <v>4301020178</v>
      </c>
      <c r="D433" s="702">
        <v>4607091383980</v>
      </c>
      <c r="E433" s="702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132</v>
      </c>
      <c r="L433" s="35" t="s">
        <v>46</v>
      </c>
      <c r="M433" s="36" t="s">
        <v>131</v>
      </c>
      <c r="N433" s="36"/>
      <c r="O433" s="35">
        <v>50</v>
      </c>
      <c r="P433" s="9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4"/>
      <c r="R433" s="704"/>
      <c r="S433" s="704"/>
      <c r="T433" s="705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721</v>
      </c>
      <c r="AG433" s="75"/>
      <c r="AJ433" s="79" t="s">
        <v>46</v>
      </c>
      <c r="AK433" s="79">
        <v>0</v>
      </c>
      <c r="BB433" s="528" t="s">
        <v>66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hidden="1" customHeight="1" x14ac:dyDescent="0.25">
      <c r="A434" s="60" t="s">
        <v>722</v>
      </c>
      <c r="B434" s="60" t="s">
        <v>723</v>
      </c>
      <c r="C434" s="34">
        <v>4301020355</v>
      </c>
      <c r="D434" s="702">
        <v>4680115888425</v>
      </c>
      <c r="E434" s="702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4"/>
      <c r="R434" s="704"/>
      <c r="S434" s="704"/>
      <c r="T434" s="705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4301020179</v>
      </c>
      <c r="D435" s="702">
        <v>4607091384178</v>
      </c>
      <c r="E435" s="702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139</v>
      </c>
      <c r="L435" s="35" t="s">
        <v>46</v>
      </c>
      <c r="M435" s="36" t="s">
        <v>131</v>
      </c>
      <c r="N435" s="36"/>
      <c r="O435" s="35">
        <v>50</v>
      </c>
      <c r="P435" s="9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4"/>
      <c r="R435" s="704"/>
      <c r="S435" s="704"/>
      <c r="T435" s="705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idden="1" x14ac:dyDescent="0.2">
      <c r="A436" s="710"/>
      <c r="B436" s="710"/>
      <c r="C436" s="710"/>
      <c r="D436" s="710"/>
      <c r="E436" s="710"/>
      <c r="F436" s="710"/>
      <c r="G436" s="710"/>
      <c r="H436" s="710"/>
      <c r="I436" s="710"/>
      <c r="J436" s="710"/>
      <c r="K436" s="710"/>
      <c r="L436" s="710"/>
      <c r="M436" s="710"/>
      <c r="N436" s="710"/>
      <c r="O436" s="711"/>
      <c r="P436" s="707" t="s">
        <v>40</v>
      </c>
      <c r="Q436" s="708"/>
      <c r="R436" s="708"/>
      <c r="S436" s="708"/>
      <c r="T436" s="708"/>
      <c r="U436" s="708"/>
      <c r="V436" s="709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hidden="1" x14ac:dyDescent="0.2">
      <c r="A437" s="710"/>
      <c r="B437" s="710"/>
      <c r="C437" s="710"/>
      <c r="D437" s="710"/>
      <c r="E437" s="710"/>
      <c r="F437" s="710"/>
      <c r="G437" s="710"/>
      <c r="H437" s="710"/>
      <c r="I437" s="710"/>
      <c r="J437" s="710"/>
      <c r="K437" s="710"/>
      <c r="L437" s="710"/>
      <c r="M437" s="710"/>
      <c r="N437" s="710"/>
      <c r="O437" s="711"/>
      <c r="P437" s="707" t="s">
        <v>40</v>
      </c>
      <c r="Q437" s="708"/>
      <c r="R437" s="708"/>
      <c r="S437" s="708"/>
      <c r="T437" s="708"/>
      <c r="U437" s="708"/>
      <c r="V437" s="709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hidden="1" customHeight="1" x14ac:dyDescent="0.25">
      <c r="A438" s="701" t="s">
        <v>85</v>
      </c>
      <c r="B438" s="701"/>
      <c r="C438" s="701"/>
      <c r="D438" s="701"/>
      <c r="E438" s="701"/>
      <c r="F438" s="701"/>
      <c r="G438" s="701"/>
      <c r="H438" s="701"/>
      <c r="I438" s="701"/>
      <c r="J438" s="701"/>
      <c r="K438" s="701"/>
      <c r="L438" s="701"/>
      <c r="M438" s="701"/>
      <c r="N438" s="701"/>
      <c r="O438" s="701"/>
      <c r="P438" s="701"/>
      <c r="Q438" s="701"/>
      <c r="R438" s="701"/>
      <c r="S438" s="701"/>
      <c r="T438" s="701"/>
      <c r="U438" s="701"/>
      <c r="V438" s="701"/>
      <c r="W438" s="701"/>
      <c r="X438" s="701"/>
      <c r="Y438" s="701"/>
      <c r="Z438" s="701"/>
      <c r="AA438" s="63"/>
      <c r="AB438" s="63"/>
      <c r="AC438" s="63"/>
    </row>
    <row r="439" spans="1:68" ht="27" hidden="1" customHeight="1" x14ac:dyDescent="0.25">
      <c r="A439" s="60" t="s">
        <v>728</v>
      </c>
      <c r="B439" s="60" t="s">
        <v>729</v>
      </c>
      <c r="C439" s="34">
        <v>4301051903</v>
      </c>
      <c r="D439" s="702">
        <v>4607091383928</v>
      </c>
      <c r="E439" s="702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132</v>
      </c>
      <c r="L439" s="35" t="s">
        <v>46</v>
      </c>
      <c r="M439" s="36" t="s">
        <v>89</v>
      </c>
      <c r="N439" s="36"/>
      <c r="O439" s="35">
        <v>40</v>
      </c>
      <c r="P439" s="93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4"/>
      <c r="R439" s="704"/>
      <c r="S439" s="704"/>
      <c r="T439" s="705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730</v>
      </c>
      <c r="AG439" s="75"/>
      <c r="AJ439" s="79" t="s">
        <v>46</v>
      </c>
      <c r="AK439" s="79">
        <v>0</v>
      </c>
      <c r="BB439" s="534" t="s">
        <v>66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hidden="1" customHeight="1" x14ac:dyDescent="0.25">
      <c r="A440" s="60" t="s">
        <v>731</v>
      </c>
      <c r="B440" s="60" t="s">
        <v>732</v>
      </c>
      <c r="C440" s="34">
        <v>4301051897</v>
      </c>
      <c r="D440" s="702">
        <v>4607091384260</v>
      </c>
      <c r="E440" s="702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4"/>
      <c r="R440" s="704"/>
      <c r="S440" s="704"/>
      <c r="T440" s="705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hidden="1" customHeight="1" x14ac:dyDescent="0.25">
      <c r="A441" s="60" t="s">
        <v>734</v>
      </c>
      <c r="B441" s="60" t="s">
        <v>735</v>
      </c>
      <c r="C441" s="34">
        <v>4301052220</v>
      </c>
      <c r="D441" s="702">
        <v>4680115889538</v>
      </c>
      <c r="E441" s="702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132</v>
      </c>
      <c r="L441" s="35" t="s">
        <v>46</v>
      </c>
      <c r="M441" s="36" t="s">
        <v>89</v>
      </c>
      <c r="N441" s="36"/>
      <c r="O441" s="35">
        <v>45</v>
      </c>
      <c r="P441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4"/>
      <c r="R441" s="704"/>
      <c r="S441" s="704"/>
      <c r="T441" s="705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idden="1" x14ac:dyDescent="0.2">
      <c r="A442" s="710"/>
      <c r="B442" s="710"/>
      <c r="C442" s="710"/>
      <c r="D442" s="710"/>
      <c r="E442" s="710"/>
      <c r="F442" s="710"/>
      <c r="G442" s="710"/>
      <c r="H442" s="710"/>
      <c r="I442" s="710"/>
      <c r="J442" s="710"/>
      <c r="K442" s="710"/>
      <c r="L442" s="710"/>
      <c r="M442" s="710"/>
      <c r="N442" s="710"/>
      <c r="O442" s="711"/>
      <c r="P442" s="707" t="s">
        <v>40</v>
      </c>
      <c r="Q442" s="708"/>
      <c r="R442" s="708"/>
      <c r="S442" s="708"/>
      <c r="T442" s="708"/>
      <c r="U442" s="708"/>
      <c r="V442" s="709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hidden="1" x14ac:dyDescent="0.2">
      <c r="A443" s="710"/>
      <c r="B443" s="710"/>
      <c r="C443" s="710"/>
      <c r="D443" s="710"/>
      <c r="E443" s="710"/>
      <c r="F443" s="710"/>
      <c r="G443" s="710"/>
      <c r="H443" s="710"/>
      <c r="I443" s="710"/>
      <c r="J443" s="710"/>
      <c r="K443" s="710"/>
      <c r="L443" s="710"/>
      <c r="M443" s="710"/>
      <c r="N443" s="710"/>
      <c r="O443" s="711"/>
      <c r="P443" s="707" t="s">
        <v>40</v>
      </c>
      <c r="Q443" s="708"/>
      <c r="R443" s="708"/>
      <c r="S443" s="708"/>
      <c r="T443" s="708"/>
      <c r="U443" s="708"/>
      <c r="V443" s="709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hidden="1" customHeight="1" x14ac:dyDescent="0.25">
      <c r="A444" s="701" t="s">
        <v>180</v>
      </c>
      <c r="B444" s="701"/>
      <c r="C444" s="701"/>
      <c r="D444" s="701"/>
      <c r="E444" s="701"/>
      <c r="F444" s="701"/>
      <c r="G444" s="701"/>
      <c r="H444" s="701"/>
      <c r="I444" s="701"/>
      <c r="J444" s="701"/>
      <c r="K444" s="701"/>
      <c r="L444" s="701"/>
      <c r="M444" s="701"/>
      <c r="N444" s="701"/>
      <c r="O444" s="701"/>
      <c r="P444" s="701"/>
      <c r="Q444" s="701"/>
      <c r="R444" s="701"/>
      <c r="S444" s="701"/>
      <c r="T444" s="701"/>
      <c r="U444" s="701"/>
      <c r="V444" s="701"/>
      <c r="W444" s="701"/>
      <c r="X444" s="701"/>
      <c r="Y444" s="701"/>
      <c r="Z444" s="701"/>
      <c r="AA444" s="63"/>
      <c r="AB444" s="63"/>
      <c r="AC444" s="63"/>
    </row>
    <row r="445" spans="1:68" ht="27" hidden="1" customHeight="1" x14ac:dyDescent="0.25">
      <c r="A445" s="60" t="s">
        <v>737</v>
      </c>
      <c r="B445" s="60" t="s">
        <v>738</v>
      </c>
      <c r="C445" s="34">
        <v>4301060537</v>
      </c>
      <c r="D445" s="702">
        <v>4680115889545</v>
      </c>
      <c r="E445" s="702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132</v>
      </c>
      <c r="L445" s="35" t="s">
        <v>46</v>
      </c>
      <c r="M445" s="36" t="s">
        <v>89</v>
      </c>
      <c r="N445" s="36"/>
      <c r="O445" s="35">
        <v>30</v>
      </c>
      <c r="P445" s="93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4"/>
      <c r="R445" s="704"/>
      <c r="S445" s="704"/>
      <c r="T445" s="705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739</v>
      </c>
      <c r="AG445" s="75"/>
      <c r="AJ445" s="79" t="s">
        <v>46</v>
      </c>
      <c r="AK445" s="79">
        <v>0</v>
      </c>
      <c r="BB445" s="54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hidden="1" customHeight="1" x14ac:dyDescent="0.25">
      <c r="A446" s="60" t="s">
        <v>740</v>
      </c>
      <c r="B446" s="60" t="s">
        <v>741</v>
      </c>
      <c r="C446" s="34">
        <v>4301060524</v>
      </c>
      <c r="D446" s="702">
        <v>4607091384673</v>
      </c>
      <c r="E446" s="702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132</v>
      </c>
      <c r="L446" s="35" t="s">
        <v>46</v>
      </c>
      <c r="M446" s="36" t="s">
        <v>89</v>
      </c>
      <c r="N446" s="36"/>
      <c r="O446" s="35">
        <v>40</v>
      </c>
      <c r="P446" s="9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4"/>
      <c r="R446" s="704"/>
      <c r="S446" s="704"/>
      <c r="T446" s="705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idden="1" x14ac:dyDescent="0.2">
      <c r="A447" s="710"/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1"/>
      <c r="P447" s="707" t="s">
        <v>40</v>
      </c>
      <c r="Q447" s="708"/>
      <c r="R447" s="708"/>
      <c r="S447" s="708"/>
      <c r="T447" s="708"/>
      <c r="U447" s="708"/>
      <c r="V447" s="709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hidden="1" x14ac:dyDescent="0.2">
      <c r="A448" s="710"/>
      <c r="B448" s="710"/>
      <c r="C448" s="710"/>
      <c r="D448" s="710"/>
      <c r="E448" s="710"/>
      <c r="F448" s="710"/>
      <c r="G448" s="710"/>
      <c r="H448" s="710"/>
      <c r="I448" s="710"/>
      <c r="J448" s="710"/>
      <c r="K448" s="710"/>
      <c r="L448" s="710"/>
      <c r="M448" s="710"/>
      <c r="N448" s="710"/>
      <c r="O448" s="711"/>
      <c r="P448" s="707" t="s">
        <v>40</v>
      </c>
      <c r="Q448" s="708"/>
      <c r="R448" s="708"/>
      <c r="S448" s="708"/>
      <c r="T448" s="708"/>
      <c r="U448" s="708"/>
      <c r="V448" s="709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hidden="1" customHeight="1" x14ac:dyDescent="0.25">
      <c r="A449" s="700" t="s">
        <v>743</v>
      </c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0"/>
      <c r="P449" s="700"/>
      <c r="Q449" s="700"/>
      <c r="R449" s="700"/>
      <c r="S449" s="700"/>
      <c r="T449" s="700"/>
      <c r="U449" s="700"/>
      <c r="V449" s="700"/>
      <c r="W449" s="700"/>
      <c r="X449" s="700"/>
      <c r="Y449" s="700"/>
      <c r="Z449" s="700"/>
      <c r="AA449" s="62"/>
      <c r="AB449" s="62"/>
      <c r="AC449" s="62"/>
    </row>
    <row r="450" spans="1:68" ht="14.25" hidden="1" customHeight="1" x14ac:dyDescent="0.25">
      <c r="A450" s="701" t="s">
        <v>127</v>
      </c>
      <c r="B450" s="701"/>
      <c r="C450" s="701"/>
      <c r="D450" s="701"/>
      <c r="E450" s="701"/>
      <c r="F450" s="701"/>
      <c r="G450" s="701"/>
      <c r="H450" s="701"/>
      <c r="I450" s="701"/>
      <c r="J450" s="701"/>
      <c r="K450" s="701"/>
      <c r="L450" s="701"/>
      <c r="M450" s="701"/>
      <c r="N450" s="701"/>
      <c r="O450" s="701"/>
      <c r="P450" s="701"/>
      <c r="Q450" s="701"/>
      <c r="R450" s="701"/>
      <c r="S450" s="701"/>
      <c r="T450" s="701"/>
      <c r="U450" s="701"/>
      <c r="V450" s="701"/>
      <c r="W450" s="701"/>
      <c r="X450" s="701"/>
      <c r="Y450" s="701"/>
      <c r="Z450" s="701"/>
      <c r="AA450" s="63"/>
      <c r="AB450" s="63"/>
      <c r="AC450" s="63"/>
    </row>
    <row r="451" spans="1:68" ht="27" hidden="1" customHeight="1" x14ac:dyDescent="0.25">
      <c r="A451" s="60" t="s">
        <v>744</v>
      </c>
      <c r="B451" s="60" t="s">
        <v>745</v>
      </c>
      <c r="C451" s="34">
        <v>4301011875</v>
      </c>
      <c r="D451" s="702">
        <v>4680115884885</v>
      </c>
      <c r="E451" s="702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132</v>
      </c>
      <c r="L451" s="35" t="s">
        <v>46</v>
      </c>
      <c r="M451" s="36" t="s">
        <v>80</v>
      </c>
      <c r="N451" s="36"/>
      <c r="O451" s="35">
        <v>60</v>
      </c>
      <c r="P451" s="9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4"/>
      <c r="R451" s="704"/>
      <c r="S451" s="704"/>
      <c r="T451" s="70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746</v>
      </c>
      <c r="AG451" s="75"/>
      <c r="AJ451" s="79" t="s">
        <v>46</v>
      </c>
      <c r="AK451" s="79">
        <v>0</v>
      </c>
      <c r="BB451" s="54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hidden="1" customHeight="1" x14ac:dyDescent="0.25">
      <c r="A452" s="60" t="s">
        <v>747</v>
      </c>
      <c r="B452" s="60" t="s">
        <v>748</v>
      </c>
      <c r="C452" s="34">
        <v>4301011871</v>
      </c>
      <c r="D452" s="702">
        <v>4680115884908</v>
      </c>
      <c r="E452" s="702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139</v>
      </c>
      <c r="L452" s="35" t="s">
        <v>46</v>
      </c>
      <c r="M452" s="36" t="s">
        <v>80</v>
      </c>
      <c r="N452" s="36"/>
      <c r="O452" s="35">
        <v>60</v>
      </c>
      <c r="P452" s="9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4"/>
      <c r="R452" s="704"/>
      <c r="S452" s="704"/>
      <c r="T452" s="70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746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idden="1" x14ac:dyDescent="0.2">
      <c r="A453" s="710"/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1"/>
      <c r="P453" s="707" t="s">
        <v>40</v>
      </c>
      <c r="Q453" s="708"/>
      <c r="R453" s="708"/>
      <c r="S453" s="708"/>
      <c r="T453" s="708"/>
      <c r="U453" s="708"/>
      <c r="V453" s="709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hidden="1" x14ac:dyDescent="0.2">
      <c r="A454" s="710"/>
      <c r="B454" s="710"/>
      <c r="C454" s="710"/>
      <c r="D454" s="710"/>
      <c r="E454" s="710"/>
      <c r="F454" s="710"/>
      <c r="G454" s="710"/>
      <c r="H454" s="710"/>
      <c r="I454" s="710"/>
      <c r="J454" s="710"/>
      <c r="K454" s="710"/>
      <c r="L454" s="710"/>
      <c r="M454" s="710"/>
      <c r="N454" s="710"/>
      <c r="O454" s="711"/>
      <c r="P454" s="707" t="s">
        <v>40</v>
      </c>
      <c r="Q454" s="708"/>
      <c r="R454" s="708"/>
      <c r="S454" s="708"/>
      <c r="T454" s="708"/>
      <c r="U454" s="708"/>
      <c r="V454" s="709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hidden="1" customHeight="1" x14ac:dyDescent="0.25">
      <c r="A455" s="701" t="s">
        <v>76</v>
      </c>
      <c r="B455" s="701"/>
      <c r="C455" s="701"/>
      <c r="D455" s="701"/>
      <c r="E455" s="701"/>
      <c r="F455" s="701"/>
      <c r="G455" s="701"/>
      <c r="H455" s="701"/>
      <c r="I455" s="701"/>
      <c r="J455" s="701"/>
      <c r="K455" s="701"/>
      <c r="L455" s="701"/>
      <c r="M455" s="701"/>
      <c r="N455" s="701"/>
      <c r="O455" s="701"/>
      <c r="P455" s="701"/>
      <c r="Q455" s="701"/>
      <c r="R455" s="701"/>
      <c r="S455" s="701"/>
      <c r="T455" s="701"/>
      <c r="U455" s="701"/>
      <c r="V455" s="701"/>
      <c r="W455" s="701"/>
      <c r="X455" s="701"/>
      <c r="Y455" s="701"/>
      <c r="Z455" s="701"/>
      <c r="AA455" s="63"/>
      <c r="AB455" s="63"/>
      <c r="AC455" s="63"/>
    </row>
    <row r="456" spans="1:68" ht="27" hidden="1" customHeight="1" x14ac:dyDescent="0.25">
      <c r="A456" s="60" t="s">
        <v>749</v>
      </c>
      <c r="B456" s="60" t="s">
        <v>750</v>
      </c>
      <c r="C456" s="34">
        <v>4301031457</v>
      </c>
      <c r="D456" s="702">
        <v>4607091384802</v>
      </c>
      <c r="E456" s="702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139</v>
      </c>
      <c r="L456" s="35" t="s">
        <v>46</v>
      </c>
      <c r="M456" s="36" t="s">
        <v>80</v>
      </c>
      <c r="N456" s="36"/>
      <c r="O456" s="35">
        <v>50</v>
      </c>
      <c r="P456" s="94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4"/>
      <c r="R456" s="704"/>
      <c r="S456" s="704"/>
      <c r="T456" s="705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751</v>
      </c>
      <c r="AG456" s="75"/>
      <c r="AJ456" s="79" t="s">
        <v>46</v>
      </c>
      <c r="AK456" s="79">
        <v>0</v>
      </c>
      <c r="BB456" s="548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10"/>
      <c r="B457" s="710"/>
      <c r="C457" s="710"/>
      <c r="D457" s="710"/>
      <c r="E457" s="710"/>
      <c r="F457" s="710"/>
      <c r="G457" s="710"/>
      <c r="H457" s="710"/>
      <c r="I457" s="710"/>
      <c r="J457" s="710"/>
      <c r="K457" s="710"/>
      <c r="L457" s="710"/>
      <c r="M457" s="710"/>
      <c r="N457" s="710"/>
      <c r="O457" s="711"/>
      <c r="P457" s="707" t="s">
        <v>40</v>
      </c>
      <c r="Q457" s="708"/>
      <c r="R457" s="708"/>
      <c r="S457" s="708"/>
      <c r="T457" s="708"/>
      <c r="U457" s="708"/>
      <c r="V457" s="709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hidden="1" x14ac:dyDescent="0.2">
      <c r="A458" s="710"/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1"/>
      <c r="P458" s="707" t="s">
        <v>40</v>
      </c>
      <c r="Q458" s="708"/>
      <c r="R458" s="708"/>
      <c r="S458" s="708"/>
      <c r="T458" s="708"/>
      <c r="U458" s="708"/>
      <c r="V458" s="709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01" t="s">
        <v>85</v>
      </c>
      <c r="B459" s="701"/>
      <c r="C459" s="701"/>
      <c r="D459" s="701"/>
      <c r="E459" s="701"/>
      <c r="F459" s="701"/>
      <c r="G459" s="701"/>
      <c r="H459" s="701"/>
      <c r="I459" s="701"/>
      <c r="J459" s="701"/>
      <c r="K459" s="701"/>
      <c r="L459" s="701"/>
      <c r="M459" s="701"/>
      <c r="N459" s="701"/>
      <c r="O459" s="701"/>
      <c r="P459" s="701"/>
      <c r="Q459" s="701"/>
      <c r="R459" s="701"/>
      <c r="S459" s="701"/>
      <c r="T459" s="701"/>
      <c r="U459" s="701"/>
      <c r="V459" s="701"/>
      <c r="W459" s="701"/>
      <c r="X459" s="701"/>
      <c r="Y459" s="701"/>
      <c r="Z459" s="701"/>
      <c r="AA459" s="63"/>
      <c r="AB459" s="63"/>
      <c r="AC459" s="63"/>
    </row>
    <row r="460" spans="1:68" ht="27" hidden="1" customHeight="1" x14ac:dyDescent="0.25">
      <c r="A460" s="60" t="s">
        <v>752</v>
      </c>
      <c r="B460" s="60" t="s">
        <v>753</v>
      </c>
      <c r="C460" s="34">
        <v>4301051899</v>
      </c>
      <c r="D460" s="702">
        <v>4607091384246</v>
      </c>
      <c r="E460" s="702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132</v>
      </c>
      <c r="L460" s="35" t="s">
        <v>46</v>
      </c>
      <c r="M460" s="36" t="s">
        <v>89</v>
      </c>
      <c r="N460" s="36"/>
      <c r="O460" s="35">
        <v>40</v>
      </c>
      <c r="P460" s="9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4"/>
      <c r="R460" s="704"/>
      <c r="S460" s="704"/>
      <c r="T460" s="705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754</v>
      </c>
      <c r="AG460" s="75"/>
      <c r="AJ460" s="79" t="s">
        <v>46</v>
      </c>
      <c r="AK460" s="79">
        <v>0</v>
      </c>
      <c r="BB460" s="55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755</v>
      </c>
      <c r="B461" s="60" t="s">
        <v>756</v>
      </c>
      <c r="C461" s="34">
        <v>4301051660</v>
      </c>
      <c r="D461" s="702">
        <v>4607091384253</v>
      </c>
      <c r="E461" s="702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90</v>
      </c>
      <c r="L461" s="35" t="s">
        <v>46</v>
      </c>
      <c r="M461" s="36" t="s">
        <v>89</v>
      </c>
      <c r="N461" s="36"/>
      <c r="O461" s="35">
        <v>40</v>
      </c>
      <c r="P461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4"/>
      <c r="R461" s="704"/>
      <c r="S461" s="704"/>
      <c r="T461" s="705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754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755</v>
      </c>
      <c r="B462" s="60" t="s">
        <v>757</v>
      </c>
      <c r="C462" s="34">
        <v>4301052069</v>
      </c>
      <c r="D462" s="702">
        <v>4607091384253</v>
      </c>
      <c r="E462" s="702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4"/>
      <c r="R462" s="704"/>
      <c r="S462" s="704"/>
      <c r="T462" s="705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10"/>
      <c r="B463" s="710"/>
      <c r="C463" s="710"/>
      <c r="D463" s="710"/>
      <c r="E463" s="710"/>
      <c r="F463" s="710"/>
      <c r="G463" s="710"/>
      <c r="H463" s="710"/>
      <c r="I463" s="710"/>
      <c r="J463" s="710"/>
      <c r="K463" s="710"/>
      <c r="L463" s="710"/>
      <c r="M463" s="710"/>
      <c r="N463" s="710"/>
      <c r="O463" s="711"/>
      <c r="P463" s="707" t="s">
        <v>40</v>
      </c>
      <c r="Q463" s="708"/>
      <c r="R463" s="708"/>
      <c r="S463" s="708"/>
      <c r="T463" s="708"/>
      <c r="U463" s="708"/>
      <c r="V463" s="709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hidden="1" x14ac:dyDescent="0.2">
      <c r="A464" s="710"/>
      <c r="B464" s="710"/>
      <c r="C464" s="710"/>
      <c r="D464" s="710"/>
      <c r="E464" s="710"/>
      <c r="F464" s="710"/>
      <c r="G464" s="710"/>
      <c r="H464" s="710"/>
      <c r="I464" s="710"/>
      <c r="J464" s="710"/>
      <c r="K464" s="710"/>
      <c r="L464" s="710"/>
      <c r="M464" s="710"/>
      <c r="N464" s="710"/>
      <c r="O464" s="711"/>
      <c r="P464" s="707" t="s">
        <v>40</v>
      </c>
      <c r="Q464" s="708"/>
      <c r="R464" s="708"/>
      <c r="S464" s="708"/>
      <c r="T464" s="708"/>
      <c r="U464" s="708"/>
      <c r="V464" s="709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hidden="1" customHeight="1" x14ac:dyDescent="0.2">
      <c r="A465" s="699" t="s">
        <v>759</v>
      </c>
      <c r="B465" s="699"/>
      <c r="C465" s="699"/>
      <c r="D465" s="699"/>
      <c r="E465" s="699"/>
      <c r="F465" s="699"/>
      <c r="G465" s="699"/>
      <c r="H465" s="699"/>
      <c r="I465" s="699"/>
      <c r="J465" s="699"/>
      <c r="K465" s="699"/>
      <c r="L465" s="699"/>
      <c r="M465" s="699"/>
      <c r="N465" s="699"/>
      <c r="O465" s="699"/>
      <c r="P465" s="699"/>
      <c r="Q465" s="699"/>
      <c r="R465" s="699"/>
      <c r="S465" s="699"/>
      <c r="T465" s="699"/>
      <c r="U465" s="699"/>
      <c r="V465" s="699"/>
      <c r="W465" s="699"/>
      <c r="X465" s="699"/>
      <c r="Y465" s="699"/>
      <c r="Z465" s="699"/>
      <c r="AA465" s="52"/>
      <c r="AB465" s="52"/>
      <c r="AC465" s="52"/>
    </row>
    <row r="466" spans="1:68" ht="16.5" hidden="1" customHeight="1" x14ac:dyDescent="0.25">
      <c r="A466" s="700" t="s">
        <v>760</v>
      </c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0"/>
      <c r="P466" s="700"/>
      <c r="Q466" s="700"/>
      <c r="R466" s="700"/>
      <c r="S466" s="700"/>
      <c r="T466" s="700"/>
      <c r="U466" s="700"/>
      <c r="V466" s="700"/>
      <c r="W466" s="700"/>
      <c r="X466" s="700"/>
      <c r="Y466" s="700"/>
      <c r="Z466" s="700"/>
      <c r="AA466" s="62"/>
      <c r="AB466" s="62"/>
      <c r="AC466" s="62"/>
    </row>
    <row r="467" spans="1:68" ht="14.25" hidden="1" customHeight="1" x14ac:dyDescent="0.25">
      <c r="A467" s="701" t="s">
        <v>76</v>
      </c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63"/>
      <c r="AB467" s="63"/>
      <c r="AC467" s="63"/>
    </row>
    <row r="468" spans="1:68" ht="27" hidden="1" customHeight="1" x14ac:dyDescent="0.25">
      <c r="A468" s="60" t="s">
        <v>761</v>
      </c>
      <c r="B468" s="60" t="s">
        <v>762</v>
      </c>
      <c r="C468" s="34">
        <v>4301031405</v>
      </c>
      <c r="D468" s="702">
        <v>4680115886100</v>
      </c>
      <c r="E468" s="702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139</v>
      </c>
      <c r="L468" s="35" t="s">
        <v>46</v>
      </c>
      <c r="M468" s="36" t="s">
        <v>80</v>
      </c>
      <c r="N468" s="36"/>
      <c r="O468" s="35">
        <v>50</v>
      </c>
      <c r="P468" s="9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4"/>
      <c r="R468" s="704"/>
      <c r="S468" s="704"/>
      <c r="T468" s="705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763</v>
      </c>
      <c r="AG468" s="75"/>
      <c r="AJ468" s="79" t="s">
        <v>46</v>
      </c>
      <c r="AK468" s="79">
        <v>0</v>
      </c>
      <c r="BB468" s="556" t="s">
        <v>66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hidden="1" customHeight="1" x14ac:dyDescent="0.25">
      <c r="A469" s="60" t="s">
        <v>764</v>
      </c>
      <c r="B469" s="60" t="s">
        <v>765</v>
      </c>
      <c r="C469" s="34">
        <v>4301031402</v>
      </c>
      <c r="D469" s="702">
        <v>4680115886124</v>
      </c>
      <c r="E469" s="702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4"/>
      <c r="R469" s="704"/>
      <c r="S469" s="704"/>
      <c r="T469" s="705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4301031362</v>
      </c>
      <c r="D470" s="702">
        <v>4607091384338</v>
      </c>
      <c r="E470" s="702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81</v>
      </c>
      <c r="L470" s="35" t="s">
        <v>46</v>
      </c>
      <c r="M470" s="36" t="s">
        <v>80</v>
      </c>
      <c r="N470" s="36"/>
      <c r="O470" s="35">
        <v>50</v>
      </c>
      <c r="P470" s="9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4"/>
      <c r="R470" s="704"/>
      <c r="S470" s="704"/>
      <c r="T470" s="705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763</v>
      </c>
      <c r="AG470" s="75"/>
      <c r="AJ470" s="79" t="s">
        <v>46</v>
      </c>
      <c r="AK470" s="79">
        <v>0</v>
      </c>
      <c r="BB470" s="560" t="s">
        <v>66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hidden="1" customHeight="1" x14ac:dyDescent="0.25">
      <c r="A471" s="60" t="s">
        <v>769</v>
      </c>
      <c r="B471" s="60" t="s">
        <v>770</v>
      </c>
      <c r="C471" s="34">
        <v>4301031364</v>
      </c>
      <c r="D471" s="702">
        <v>4680115883161</v>
      </c>
      <c r="E471" s="702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4"/>
      <c r="R471" s="704"/>
      <c r="S471" s="704"/>
      <c r="T471" s="705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771</v>
      </c>
      <c r="AG471" s="75"/>
      <c r="AJ471" s="79" t="s">
        <v>46</v>
      </c>
      <c r="AK471" s="79">
        <v>0</v>
      </c>
      <c r="BB471" s="562" t="s">
        <v>66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4301031358</v>
      </c>
      <c r="D472" s="702">
        <v>4607091389531</v>
      </c>
      <c r="E472" s="702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4"/>
      <c r="R472" s="704"/>
      <c r="S472" s="704"/>
      <c r="T472" s="7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hidden="1" customHeight="1" x14ac:dyDescent="0.25">
      <c r="A473" s="60" t="s">
        <v>775</v>
      </c>
      <c r="B473" s="60" t="s">
        <v>776</v>
      </c>
      <c r="C473" s="34">
        <v>4301031360</v>
      </c>
      <c r="D473" s="702">
        <v>4607091384345</v>
      </c>
      <c r="E473" s="702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4"/>
      <c r="R473" s="704"/>
      <c r="S473" s="704"/>
      <c r="T473" s="7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771</v>
      </c>
      <c r="AG473" s="75"/>
      <c r="AJ473" s="79" t="s">
        <v>46</v>
      </c>
      <c r="AK473" s="79">
        <v>0</v>
      </c>
      <c r="BB473" s="566" t="s">
        <v>66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hidden="1" x14ac:dyDescent="0.2">
      <c r="A474" s="710"/>
      <c r="B474" s="710"/>
      <c r="C474" s="710"/>
      <c r="D474" s="710"/>
      <c r="E474" s="710"/>
      <c r="F474" s="710"/>
      <c r="G474" s="710"/>
      <c r="H474" s="710"/>
      <c r="I474" s="710"/>
      <c r="J474" s="710"/>
      <c r="K474" s="710"/>
      <c r="L474" s="710"/>
      <c r="M474" s="710"/>
      <c r="N474" s="710"/>
      <c r="O474" s="711"/>
      <c r="P474" s="707" t="s">
        <v>40</v>
      </c>
      <c r="Q474" s="708"/>
      <c r="R474" s="708"/>
      <c r="S474" s="708"/>
      <c r="T474" s="708"/>
      <c r="U474" s="708"/>
      <c r="V474" s="709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hidden="1" x14ac:dyDescent="0.2">
      <c r="A475" s="710"/>
      <c r="B475" s="710"/>
      <c r="C475" s="710"/>
      <c r="D475" s="710"/>
      <c r="E475" s="710"/>
      <c r="F475" s="710"/>
      <c r="G475" s="710"/>
      <c r="H475" s="710"/>
      <c r="I475" s="710"/>
      <c r="J475" s="710"/>
      <c r="K475" s="710"/>
      <c r="L475" s="710"/>
      <c r="M475" s="710"/>
      <c r="N475" s="710"/>
      <c r="O475" s="711"/>
      <c r="P475" s="707" t="s">
        <v>40</v>
      </c>
      <c r="Q475" s="708"/>
      <c r="R475" s="708"/>
      <c r="S475" s="708"/>
      <c r="T475" s="708"/>
      <c r="U475" s="708"/>
      <c r="V475" s="709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hidden="1" customHeight="1" x14ac:dyDescent="0.25">
      <c r="A476" s="701" t="s">
        <v>85</v>
      </c>
      <c r="B476" s="701"/>
      <c r="C476" s="701"/>
      <c r="D476" s="701"/>
      <c r="E476" s="701"/>
      <c r="F476" s="701"/>
      <c r="G476" s="701"/>
      <c r="H476" s="701"/>
      <c r="I476" s="701"/>
      <c r="J476" s="701"/>
      <c r="K476" s="701"/>
      <c r="L476" s="701"/>
      <c r="M476" s="701"/>
      <c r="N476" s="701"/>
      <c r="O476" s="701"/>
      <c r="P476" s="701"/>
      <c r="Q476" s="701"/>
      <c r="R476" s="701"/>
      <c r="S476" s="701"/>
      <c r="T476" s="701"/>
      <c r="U476" s="701"/>
      <c r="V476" s="701"/>
      <c r="W476" s="701"/>
      <c r="X476" s="701"/>
      <c r="Y476" s="701"/>
      <c r="Z476" s="701"/>
      <c r="AA476" s="63"/>
      <c r="AB476" s="63"/>
      <c r="AC476" s="63"/>
    </row>
    <row r="477" spans="1:68" ht="27" hidden="1" customHeight="1" x14ac:dyDescent="0.25">
      <c r="A477" s="60" t="s">
        <v>777</v>
      </c>
      <c r="B477" s="60" t="s">
        <v>778</v>
      </c>
      <c r="C477" s="34">
        <v>4301051284</v>
      </c>
      <c r="D477" s="702">
        <v>4607091384352</v>
      </c>
      <c r="E477" s="702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139</v>
      </c>
      <c r="L477" s="35" t="s">
        <v>46</v>
      </c>
      <c r="M477" s="36" t="s">
        <v>89</v>
      </c>
      <c r="N477" s="36"/>
      <c r="O477" s="35">
        <v>45</v>
      </c>
      <c r="P477" s="9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4"/>
      <c r="R477" s="704"/>
      <c r="S477" s="704"/>
      <c r="T477" s="705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779</v>
      </c>
      <c r="AG477" s="75"/>
      <c r="AJ477" s="79" t="s">
        <v>46</v>
      </c>
      <c r="AK477" s="79">
        <v>0</v>
      </c>
      <c r="BB477" s="568" t="s">
        <v>66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780</v>
      </c>
      <c r="B478" s="60" t="s">
        <v>781</v>
      </c>
      <c r="C478" s="34">
        <v>4301051431</v>
      </c>
      <c r="D478" s="702">
        <v>4607091389654</v>
      </c>
      <c r="E478" s="702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90</v>
      </c>
      <c r="L478" s="35" t="s">
        <v>46</v>
      </c>
      <c r="M478" s="36" t="s">
        <v>89</v>
      </c>
      <c r="N478" s="36"/>
      <c r="O478" s="35">
        <v>45</v>
      </c>
      <c r="P478" s="95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4"/>
      <c r="R478" s="704"/>
      <c r="S478" s="704"/>
      <c r="T478" s="70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idden="1" x14ac:dyDescent="0.2">
      <c r="A479" s="710"/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1"/>
      <c r="P479" s="707" t="s">
        <v>40</v>
      </c>
      <c r="Q479" s="708"/>
      <c r="R479" s="708"/>
      <c r="S479" s="708"/>
      <c r="T479" s="708"/>
      <c r="U479" s="708"/>
      <c r="V479" s="709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hidden="1" x14ac:dyDescent="0.2">
      <c r="A480" s="710"/>
      <c r="B480" s="710"/>
      <c r="C480" s="710"/>
      <c r="D480" s="710"/>
      <c r="E480" s="710"/>
      <c r="F480" s="710"/>
      <c r="G480" s="710"/>
      <c r="H480" s="710"/>
      <c r="I480" s="710"/>
      <c r="J480" s="710"/>
      <c r="K480" s="710"/>
      <c r="L480" s="710"/>
      <c r="M480" s="710"/>
      <c r="N480" s="710"/>
      <c r="O480" s="711"/>
      <c r="P480" s="707" t="s">
        <v>40</v>
      </c>
      <c r="Q480" s="708"/>
      <c r="R480" s="708"/>
      <c r="S480" s="708"/>
      <c r="T480" s="708"/>
      <c r="U480" s="708"/>
      <c r="V480" s="709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hidden="1" customHeight="1" x14ac:dyDescent="0.25">
      <c r="A481" s="700" t="s">
        <v>783</v>
      </c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0"/>
      <c r="P481" s="700"/>
      <c r="Q481" s="700"/>
      <c r="R481" s="700"/>
      <c r="S481" s="700"/>
      <c r="T481" s="700"/>
      <c r="U481" s="700"/>
      <c r="V481" s="700"/>
      <c r="W481" s="700"/>
      <c r="X481" s="700"/>
      <c r="Y481" s="700"/>
      <c r="Z481" s="700"/>
      <c r="AA481" s="62"/>
      <c r="AB481" s="62"/>
      <c r="AC481" s="62"/>
    </row>
    <row r="482" spans="1:68" ht="14.25" hidden="1" customHeight="1" x14ac:dyDescent="0.25">
      <c r="A482" s="701" t="s">
        <v>163</v>
      </c>
      <c r="B482" s="701"/>
      <c r="C482" s="701"/>
      <c r="D482" s="701"/>
      <c r="E482" s="701"/>
      <c r="F482" s="701"/>
      <c r="G482" s="701"/>
      <c r="H482" s="701"/>
      <c r="I482" s="701"/>
      <c r="J482" s="701"/>
      <c r="K482" s="701"/>
      <c r="L482" s="701"/>
      <c r="M482" s="701"/>
      <c r="N482" s="701"/>
      <c r="O482" s="701"/>
      <c r="P482" s="701"/>
      <c r="Q482" s="701"/>
      <c r="R482" s="701"/>
      <c r="S482" s="701"/>
      <c r="T482" s="701"/>
      <c r="U482" s="701"/>
      <c r="V482" s="701"/>
      <c r="W482" s="701"/>
      <c r="X482" s="701"/>
      <c r="Y482" s="701"/>
      <c r="Z482" s="701"/>
      <c r="AA482" s="63"/>
      <c r="AB482" s="63"/>
      <c r="AC482" s="63"/>
    </row>
    <row r="483" spans="1:68" ht="27" hidden="1" customHeight="1" x14ac:dyDescent="0.25">
      <c r="A483" s="60" t="s">
        <v>784</v>
      </c>
      <c r="B483" s="60" t="s">
        <v>785</v>
      </c>
      <c r="C483" s="34">
        <v>4301020416</v>
      </c>
      <c r="D483" s="702">
        <v>4680115885240</v>
      </c>
      <c r="E483" s="702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90</v>
      </c>
      <c r="L483" s="35" t="s">
        <v>46</v>
      </c>
      <c r="M483" s="36" t="s">
        <v>80</v>
      </c>
      <c r="N483" s="36"/>
      <c r="O483" s="35">
        <v>40</v>
      </c>
      <c r="P483" s="95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4"/>
      <c r="R483" s="704"/>
      <c r="S483" s="704"/>
      <c r="T483" s="70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786</v>
      </c>
      <c r="AG483" s="75"/>
      <c r="AJ483" s="79" t="s">
        <v>46</v>
      </c>
      <c r="AK483" s="79">
        <v>0</v>
      </c>
      <c r="BB483" s="572" t="s">
        <v>66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710"/>
      <c r="B484" s="710"/>
      <c r="C484" s="710"/>
      <c r="D484" s="710"/>
      <c r="E484" s="710"/>
      <c r="F484" s="710"/>
      <c r="G484" s="710"/>
      <c r="H484" s="710"/>
      <c r="I484" s="710"/>
      <c r="J484" s="710"/>
      <c r="K484" s="710"/>
      <c r="L484" s="710"/>
      <c r="M484" s="710"/>
      <c r="N484" s="710"/>
      <c r="O484" s="711"/>
      <c r="P484" s="707" t="s">
        <v>40</v>
      </c>
      <c r="Q484" s="708"/>
      <c r="R484" s="708"/>
      <c r="S484" s="708"/>
      <c r="T484" s="708"/>
      <c r="U484" s="708"/>
      <c r="V484" s="709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hidden="1" x14ac:dyDescent="0.2">
      <c r="A485" s="710"/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1"/>
      <c r="P485" s="707" t="s">
        <v>40</v>
      </c>
      <c r="Q485" s="708"/>
      <c r="R485" s="708"/>
      <c r="S485" s="708"/>
      <c r="T485" s="708"/>
      <c r="U485" s="708"/>
      <c r="V485" s="709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01" t="s">
        <v>76</v>
      </c>
      <c r="B486" s="701"/>
      <c r="C486" s="701"/>
      <c r="D486" s="701"/>
      <c r="E486" s="701"/>
      <c r="F486" s="701"/>
      <c r="G486" s="701"/>
      <c r="H486" s="701"/>
      <c r="I486" s="701"/>
      <c r="J486" s="701"/>
      <c r="K486" s="701"/>
      <c r="L486" s="701"/>
      <c r="M486" s="701"/>
      <c r="N486" s="701"/>
      <c r="O486" s="701"/>
      <c r="P486" s="701"/>
      <c r="Q486" s="701"/>
      <c r="R486" s="701"/>
      <c r="S486" s="701"/>
      <c r="T486" s="701"/>
      <c r="U486" s="701"/>
      <c r="V486" s="701"/>
      <c r="W486" s="701"/>
      <c r="X486" s="701"/>
      <c r="Y486" s="701"/>
      <c r="Z486" s="701"/>
      <c r="AA486" s="63"/>
      <c r="AB486" s="63"/>
      <c r="AC486" s="63"/>
    </row>
    <row r="487" spans="1:68" ht="27" hidden="1" customHeight="1" x14ac:dyDescent="0.25">
      <c r="A487" s="60" t="s">
        <v>787</v>
      </c>
      <c r="B487" s="60" t="s">
        <v>788</v>
      </c>
      <c r="C487" s="34">
        <v>4301031407</v>
      </c>
      <c r="D487" s="702">
        <v>4680115886094</v>
      </c>
      <c r="E487" s="702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139</v>
      </c>
      <c r="L487" s="35" t="s">
        <v>46</v>
      </c>
      <c r="M487" s="36" t="s">
        <v>80</v>
      </c>
      <c r="N487" s="36"/>
      <c r="O487" s="35">
        <v>50</v>
      </c>
      <c r="P487" s="95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4"/>
      <c r="R487" s="704"/>
      <c r="S487" s="704"/>
      <c r="T487" s="705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789</v>
      </c>
      <c r="AG487" s="75"/>
      <c r="AJ487" s="79" t="s">
        <v>46</v>
      </c>
      <c r="AK487" s="79">
        <v>0</v>
      </c>
      <c r="BB487" s="574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790</v>
      </c>
      <c r="B488" s="60" t="s">
        <v>791</v>
      </c>
      <c r="C488" s="34">
        <v>4301031373</v>
      </c>
      <c r="D488" s="702">
        <v>4680115880771</v>
      </c>
      <c r="E488" s="702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81</v>
      </c>
      <c r="L488" s="35" t="s">
        <v>46</v>
      </c>
      <c r="M488" s="36" t="s">
        <v>80</v>
      </c>
      <c r="N488" s="36"/>
      <c r="O488" s="35">
        <v>50</v>
      </c>
      <c r="P488" s="95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4"/>
      <c r="R488" s="704"/>
      <c r="S488" s="704"/>
      <c r="T488" s="705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4301031359</v>
      </c>
      <c r="D489" s="702">
        <v>4607091389500</v>
      </c>
      <c r="E489" s="702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5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4"/>
      <c r="R489" s="704"/>
      <c r="S489" s="704"/>
      <c r="T489" s="705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792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idden="1" x14ac:dyDescent="0.2">
      <c r="A490" s="710"/>
      <c r="B490" s="710"/>
      <c r="C490" s="710"/>
      <c r="D490" s="710"/>
      <c r="E490" s="710"/>
      <c r="F490" s="710"/>
      <c r="G490" s="710"/>
      <c r="H490" s="710"/>
      <c r="I490" s="710"/>
      <c r="J490" s="710"/>
      <c r="K490" s="710"/>
      <c r="L490" s="710"/>
      <c r="M490" s="710"/>
      <c r="N490" s="710"/>
      <c r="O490" s="711"/>
      <c r="P490" s="707" t="s">
        <v>40</v>
      </c>
      <c r="Q490" s="708"/>
      <c r="R490" s="708"/>
      <c r="S490" s="708"/>
      <c r="T490" s="708"/>
      <c r="U490" s="708"/>
      <c r="V490" s="709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710"/>
      <c r="B491" s="710"/>
      <c r="C491" s="710"/>
      <c r="D491" s="710"/>
      <c r="E491" s="710"/>
      <c r="F491" s="710"/>
      <c r="G491" s="710"/>
      <c r="H491" s="710"/>
      <c r="I491" s="710"/>
      <c r="J491" s="710"/>
      <c r="K491" s="710"/>
      <c r="L491" s="710"/>
      <c r="M491" s="710"/>
      <c r="N491" s="710"/>
      <c r="O491" s="711"/>
      <c r="P491" s="707" t="s">
        <v>40</v>
      </c>
      <c r="Q491" s="708"/>
      <c r="R491" s="708"/>
      <c r="S491" s="708"/>
      <c r="T491" s="708"/>
      <c r="U491" s="708"/>
      <c r="V491" s="709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hidden="1" customHeight="1" x14ac:dyDescent="0.2">
      <c r="A492" s="699" t="s">
        <v>795</v>
      </c>
      <c r="B492" s="699"/>
      <c r="C492" s="699"/>
      <c r="D492" s="699"/>
      <c r="E492" s="699"/>
      <c r="F492" s="699"/>
      <c r="G492" s="699"/>
      <c r="H492" s="699"/>
      <c r="I492" s="699"/>
      <c r="J492" s="699"/>
      <c r="K492" s="699"/>
      <c r="L492" s="699"/>
      <c r="M492" s="699"/>
      <c r="N492" s="699"/>
      <c r="O492" s="699"/>
      <c r="P492" s="699"/>
      <c r="Q492" s="699"/>
      <c r="R492" s="699"/>
      <c r="S492" s="699"/>
      <c r="T492" s="699"/>
      <c r="U492" s="699"/>
      <c r="V492" s="699"/>
      <c r="W492" s="699"/>
      <c r="X492" s="699"/>
      <c r="Y492" s="699"/>
      <c r="Z492" s="699"/>
      <c r="AA492" s="52"/>
      <c r="AB492" s="52"/>
      <c r="AC492" s="52"/>
    </row>
    <row r="493" spans="1:68" ht="16.5" hidden="1" customHeight="1" x14ac:dyDescent="0.25">
      <c r="A493" s="700" t="s">
        <v>795</v>
      </c>
      <c r="B493" s="700"/>
      <c r="C493" s="700"/>
      <c r="D493" s="700"/>
      <c r="E493" s="700"/>
      <c r="F493" s="700"/>
      <c r="G493" s="700"/>
      <c r="H493" s="700"/>
      <c r="I493" s="700"/>
      <c r="J493" s="700"/>
      <c r="K493" s="700"/>
      <c r="L493" s="700"/>
      <c r="M493" s="700"/>
      <c r="N493" s="700"/>
      <c r="O493" s="700"/>
      <c r="P493" s="700"/>
      <c r="Q493" s="700"/>
      <c r="R493" s="700"/>
      <c r="S493" s="700"/>
      <c r="T493" s="700"/>
      <c r="U493" s="700"/>
      <c r="V493" s="700"/>
      <c r="W493" s="700"/>
      <c r="X493" s="700"/>
      <c r="Y493" s="700"/>
      <c r="Z493" s="700"/>
      <c r="AA493" s="62"/>
      <c r="AB493" s="62"/>
      <c r="AC493" s="62"/>
    </row>
    <row r="494" spans="1:68" ht="14.25" hidden="1" customHeight="1" x14ac:dyDescent="0.25">
      <c r="A494" s="701" t="s">
        <v>127</v>
      </c>
      <c r="B494" s="701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63"/>
      <c r="AB494" s="63"/>
      <c r="AC494" s="63"/>
    </row>
    <row r="495" spans="1:68" ht="27" hidden="1" customHeight="1" x14ac:dyDescent="0.25">
      <c r="A495" s="60" t="s">
        <v>796</v>
      </c>
      <c r="B495" s="60" t="s">
        <v>797</v>
      </c>
      <c r="C495" s="34">
        <v>4301011769</v>
      </c>
      <c r="D495" s="702">
        <v>4607091389067</v>
      </c>
      <c r="E495" s="702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132</v>
      </c>
      <c r="L495" s="35" t="s">
        <v>46</v>
      </c>
      <c r="M495" s="36" t="s">
        <v>89</v>
      </c>
      <c r="N495" s="36"/>
      <c r="O495" s="35">
        <v>60</v>
      </c>
      <c r="P495" s="95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4"/>
      <c r="R495" s="704"/>
      <c r="S495" s="704"/>
      <c r="T495" s="705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130</v>
      </c>
      <c r="AG495" s="75"/>
      <c r="AJ495" s="79" t="s">
        <v>46</v>
      </c>
      <c r="AK495" s="79">
        <v>0</v>
      </c>
      <c r="BB495" s="580" t="s">
        <v>66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hidden="1" customHeight="1" x14ac:dyDescent="0.25">
      <c r="A496" s="60" t="s">
        <v>798</v>
      </c>
      <c r="B496" s="60" t="s">
        <v>799</v>
      </c>
      <c r="C496" s="34">
        <v>4301012380</v>
      </c>
      <c r="D496" s="702">
        <v>4680115889576</v>
      </c>
      <c r="E496" s="702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131</v>
      </c>
      <c r="N496" s="36"/>
      <c r="O496" s="35">
        <v>60</v>
      </c>
      <c r="P496" s="9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4"/>
      <c r="R496" s="704"/>
      <c r="S496" s="704"/>
      <c r="T496" s="705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800</v>
      </c>
      <c r="AG496" s="75"/>
      <c r="AJ496" s="79" t="s">
        <v>46</v>
      </c>
      <c r="AK496" s="79">
        <v>0</v>
      </c>
      <c r="BB496" s="582" t="s">
        <v>66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hidden="1" customHeight="1" x14ac:dyDescent="0.25">
      <c r="A497" s="60" t="s">
        <v>801</v>
      </c>
      <c r="B497" s="60" t="s">
        <v>802</v>
      </c>
      <c r="C497" s="34">
        <v>4301011961</v>
      </c>
      <c r="D497" s="702">
        <v>4680115885271</v>
      </c>
      <c r="E497" s="702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4"/>
      <c r="R497" s="704"/>
      <c r="S497" s="704"/>
      <c r="T497" s="705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4301011369</v>
      </c>
      <c r="D498" s="702">
        <v>4680115885226</v>
      </c>
      <c r="E498" s="70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4"/>
      <c r="R498" s="704"/>
      <c r="S498" s="704"/>
      <c r="T498" s="705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hidden="1" customHeight="1" x14ac:dyDescent="0.25">
      <c r="A499" s="60" t="s">
        <v>807</v>
      </c>
      <c r="B499" s="60" t="s">
        <v>808</v>
      </c>
      <c r="C499" s="34">
        <v>4301011797</v>
      </c>
      <c r="D499" s="702">
        <v>4680115884502</v>
      </c>
      <c r="E499" s="702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89</v>
      </c>
      <c r="N499" s="36"/>
      <c r="O499" s="35">
        <v>60</v>
      </c>
      <c r="P499" s="9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4"/>
      <c r="R499" s="704"/>
      <c r="S499" s="704"/>
      <c r="T499" s="705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hidden="1" customHeight="1" x14ac:dyDescent="0.25">
      <c r="A500" s="60" t="s">
        <v>810</v>
      </c>
      <c r="B500" s="60" t="s">
        <v>811</v>
      </c>
      <c r="C500" s="34">
        <v>4301011771</v>
      </c>
      <c r="D500" s="702">
        <v>4607091389104</v>
      </c>
      <c r="E500" s="702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131</v>
      </c>
      <c r="N500" s="36"/>
      <c r="O500" s="35">
        <v>60</v>
      </c>
      <c r="P50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4"/>
      <c r="R500" s="704"/>
      <c r="S500" s="704"/>
      <c r="T500" s="705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4301012125</v>
      </c>
      <c r="D501" s="702">
        <v>4680115886391</v>
      </c>
      <c r="E501" s="702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90</v>
      </c>
      <c r="L501" s="35" t="s">
        <v>46</v>
      </c>
      <c r="M501" s="36" t="s">
        <v>89</v>
      </c>
      <c r="N501" s="36"/>
      <c r="O501" s="35">
        <v>60</v>
      </c>
      <c r="P501" s="9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4"/>
      <c r="R501" s="704"/>
      <c r="S501" s="704"/>
      <c r="T501" s="705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130</v>
      </c>
      <c r="AG501" s="75"/>
      <c r="AJ501" s="79" t="s">
        <v>46</v>
      </c>
      <c r="AK501" s="79">
        <v>0</v>
      </c>
      <c r="BB501" s="592" t="s">
        <v>66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hidden="1" customHeight="1" x14ac:dyDescent="0.25">
      <c r="A502" s="60" t="s">
        <v>815</v>
      </c>
      <c r="B502" s="60" t="s">
        <v>816</v>
      </c>
      <c r="C502" s="34">
        <v>4301012048</v>
      </c>
      <c r="D502" s="702">
        <v>4680115880603</v>
      </c>
      <c r="E502" s="702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139</v>
      </c>
      <c r="L502" s="35" t="s">
        <v>46</v>
      </c>
      <c r="M502" s="36" t="s">
        <v>89</v>
      </c>
      <c r="N502" s="36"/>
      <c r="O502" s="35">
        <v>60</v>
      </c>
      <c r="P502" s="9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4"/>
      <c r="R502" s="704"/>
      <c r="S502" s="704"/>
      <c r="T502" s="705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hidden="1" customHeight="1" x14ac:dyDescent="0.25">
      <c r="A503" s="60" t="s">
        <v>817</v>
      </c>
      <c r="B503" s="60" t="s">
        <v>818</v>
      </c>
      <c r="C503" s="34">
        <v>4301012034</v>
      </c>
      <c r="D503" s="702">
        <v>4607091389982</v>
      </c>
      <c r="E503" s="702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131</v>
      </c>
      <c r="N503" s="36"/>
      <c r="O503" s="35">
        <v>60</v>
      </c>
      <c r="P503" s="9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4"/>
      <c r="R503" s="704"/>
      <c r="S503" s="704"/>
      <c r="T503" s="705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812</v>
      </c>
      <c r="AG503" s="75"/>
      <c r="AJ503" s="79" t="s">
        <v>46</v>
      </c>
      <c r="AK503" s="79">
        <v>0</v>
      </c>
      <c r="BB503" s="596" t="s">
        <v>66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hidden="1" x14ac:dyDescent="0.2">
      <c r="A504" s="710"/>
      <c r="B504" s="710"/>
      <c r="C504" s="710"/>
      <c r="D504" s="710"/>
      <c r="E504" s="710"/>
      <c r="F504" s="710"/>
      <c r="G504" s="710"/>
      <c r="H504" s="710"/>
      <c r="I504" s="710"/>
      <c r="J504" s="710"/>
      <c r="K504" s="710"/>
      <c r="L504" s="710"/>
      <c r="M504" s="710"/>
      <c r="N504" s="710"/>
      <c r="O504" s="711"/>
      <c r="P504" s="707" t="s">
        <v>40</v>
      </c>
      <c r="Q504" s="708"/>
      <c r="R504" s="708"/>
      <c r="S504" s="708"/>
      <c r="T504" s="708"/>
      <c r="U504" s="708"/>
      <c r="V504" s="709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710"/>
      <c r="B505" s="710"/>
      <c r="C505" s="710"/>
      <c r="D505" s="710"/>
      <c r="E505" s="710"/>
      <c r="F505" s="710"/>
      <c r="G505" s="710"/>
      <c r="H505" s="710"/>
      <c r="I505" s="710"/>
      <c r="J505" s="710"/>
      <c r="K505" s="710"/>
      <c r="L505" s="710"/>
      <c r="M505" s="710"/>
      <c r="N505" s="710"/>
      <c r="O505" s="711"/>
      <c r="P505" s="707" t="s">
        <v>40</v>
      </c>
      <c r="Q505" s="708"/>
      <c r="R505" s="708"/>
      <c r="S505" s="708"/>
      <c r="T505" s="708"/>
      <c r="U505" s="708"/>
      <c r="V505" s="709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hidden="1" customHeight="1" x14ac:dyDescent="0.25">
      <c r="A506" s="701" t="s">
        <v>163</v>
      </c>
      <c r="B506" s="701"/>
      <c r="C506" s="701"/>
      <c r="D506" s="701"/>
      <c r="E506" s="701"/>
      <c r="F506" s="701"/>
      <c r="G506" s="701"/>
      <c r="H506" s="701"/>
      <c r="I506" s="701"/>
      <c r="J506" s="701"/>
      <c r="K506" s="701"/>
      <c r="L506" s="701"/>
      <c r="M506" s="701"/>
      <c r="N506" s="701"/>
      <c r="O506" s="701"/>
      <c r="P506" s="701"/>
      <c r="Q506" s="701"/>
      <c r="R506" s="701"/>
      <c r="S506" s="701"/>
      <c r="T506" s="701"/>
      <c r="U506" s="701"/>
      <c r="V506" s="701"/>
      <c r="W506" s="701"/>
      <c r="X506" s="701"/>
      <c r="Y506" s="701"/>
      <c r="Z506" s="701"/>
      <c r="AA506" s="63"/>
      <c r="AB506" s="63"/>
      <c r="AC506" s="63"/>
    </row>
    <row r="507" spans="1:68" ht="16.5" hidden="1" customHeight="1" x14ac:dyDescent="0.25">
      <c r="A507" s="60" t="s">
        <v>819</v>
      </c>
      <c r="B507" s="60" t="s">
        <v>820</v>
      </c>
      <c r="C507" s="34">
        <v>4301020334</v>
      </c>
      <c r="D507" s="702">
        <v>4607091388930</v>
      </c>
      <c r="E507" s="702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132</v>
      </c>
      <c r="L507" s="35" t="s">
        <v>46</v>
      </c>
      <c r="M507" s="36" t="s">
        <v>89</v>
      </c>
      <c r="N507" s="36"/>
      <c r="O507" s="35">
        <v>70</v>
      </c>
      <c r="P507" s="96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4"/>
      <c r="R507" s="704"/>
      <c r="S507" s="704"/>
      <c r="T507" s="705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821</v>
      </c>
      <c r="AG507" s="75"/>
      <c r="AJ507" s="79" t="s">
        <v>46</v>
      </c>
      <c r="AK507" s="79">
        <v>0</v>
      </c>
      <c r="BB507" s="598" t="s">
        <v>66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hidden="1" customHeight="1" x14ac:dyDescent="0.25">
      <c r="A508" s="60" t="s">
        <v>822</v>
      </c>
      <c r="B508" s="60" t="s">
        <v>823</v>
      </c>
      <c r="C508" s="34">
        <v>4301020374</v>
      </c>
      <c r="D508" s="702">
        <v>4680115886407</v>
      </c>
      <c r="E508" s="702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131</v>
      </c>
      <c r="N508" s="36"/>
      <c r="O508" s="35">
        <v>70</v>
      </c>
      <c r="P508" s="96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4"/>
      <c r="R508" s="704"/>
      <c r="S508" s="704"/>
      <c r="T508" s="705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821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824</v>
      </c>
      <c r="B509" s="60" t="s">
        <v>825</v>
      </c>
      <c r="C509" s="34">
        <v>4301020385</v>
      </c>
      <c r="D509" s="702">
        <v>4680115880054</v>
      </c>
      <c r="E509" s="702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139</v>
      </c>
      <c r="L509" s="35" t="s">
        <v>46</v>
      </c>
      <c r="M509" s="36" t="s">
        <v>131</v>
      </c>
      <c r="N509" s="36"/>
      <c r="O509" s="35">
        <v>70</v>
      </c>
      <c r="P509" s="9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4"/>
      <c r="R509" s="704"/>
      <c r="S509" s="704"/>
      <c r="T509" s="7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821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idden="1" x14ac:dyDescent="0.2">
      <c r="A510" s="710"/>
      <c r="B510" s="710"/>
      <c r="C510" s="710"/>
      <c r="D510" s="710"/>
      <c r="E510" s="710"/>
      <c r="F510" s="710"/>
      <c r="G510" s="710"/>
      <c r="H510" s="710"/>
      <c r="I510" s="710"/>
      <c r="J510" s="710"/>
      <c r="K510" s="710"/>
      <c r="L510" s="710"/>
      <c r="M510" s="710"/>
      <c r="N510" s="710"/>
      <c r="O510" s="711"/>
      <c r="P510" s="707" t="s">
        <v>40</v>
      </c>
      <c r="Q510" s="708"/>
      <c r="R510" s="708"/>
      <c r="S510" s="708"/>
      <c r="T510" s="708"/>
      <c r="U510" s="708"/>
      <c r="V510" s="709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hidden="1" x14ac:dyDescent="0.2">
      <c r="A511" s="710"/>
      <c r="B511" s="710"/>
      <c r="C511" s="710"/>
      <c r="D511" s="710"/>
      <c r="E511" s="710"/>
      <c r="F511" s="710"/>
      <c r="G511" s="710"/>
      <c r="H511" s="710"/>
      <c r="I511" s="710"/>
      <c r="J511" s="710"/>
      <c r="K511" s="710"/>
      <c r="L511" s="710"/>
      <c r="M511" s="710"/>
      <c r="N511" s="710"/>
      <c r="O511" s="711"/>
      <c r="P511" s="707" t="s">
        <v>40</v>
      </c>
      <c r="Q511" s="708"/>
      <c r="R511" s="708"/>
      <c r="S511" s="708"/>
      <c r="T511" s="708"/>
      <c r="U511" s="708"/>
      <c r="V511" s="709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hidden="1" customHeight="1" x14ac:dyDescent="0.25">
      <c r="A512" s="701" t="s">
        <v>76</v>
      </c>
      <c r="B512" s="701"/>
      <c r="C512" s="701"/>
      <c r="D512" s="701"/>
      <c r="E512" s="701"/>
      <c r="F512" s="701"/>
      <c r="G512" s="701"/>
      <c r="H512" s="701"/>
      <c r="I512" s="701"/>
      <c r="J512" s="701"/>
      <c r="K512" s="701"/>
      <c r="L512" s="701"/>
      <c r="M512" s="701"/>
      <c r="N512" s="701"/>
      <c r="O512" s="701"/>
      <c r="P512" s="701"/>
      <c r="Q512" s="701"/>
      <c r="R512" s="701"/>
      <c r="S512" s="701"/>
      <c r="T512" s="701"/>
      <c r="U512" s="701"/>
      <c r="V512" s="701"/>
      <c r="W512" s="701"/>
      <c r="X512" s="701"/>
      <c r="Y512" s="701"/>
      <c r="Z512" s="701"/>
      <c r="AA512" s="63"/>
      <c r="AB512" s="63"/>
      <c r="AC512" s="63"/>
    </row>
    <row r="513" spans="1:68" ht="27" hidden="1" customHeight="1" x14ac:dyDescent="0.25">
      <c r="A513" s="60" t="s">
        <v>826</v>
      </c>
      <c r="B513" s="60" t="s">
        <v>827</v>
      </c>
      <c r="C513" s="34">
        <v>4301031349</v>
      </c>
      <c r="D513" s="702">
        <v>4680115883116</v>
      </c>
      <c r="E513" s="702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132</v>
      </c>
      <c r="L513" s="35" t="s">
        <v>46</v>
      </c>
      <c r="M513" s="36" t="s">
        <v>131</v>
      </c>
      <c r="N513" s="36"/>
      <c r="O513" s="35">
        <v>70</v>
      </c>
      <c r="P513" s="97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4"/>
      <c r="R513" s="704"/>
      <c r="S513" s="704"/>
      <c r="T513" s="705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828</v>
      </c>
      <c r="AG513" s="75"/>
      <c r="AJ513" s="79" t="s">
        <v>46</v>
      </c>
      <c r="AK513" s="79">
        <v>0</v>
      </c>
      <c r="BB513" s="604" t="s">
        <v>66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hidden="1" customHeight="1" x14ac:dyDescent="0.25">
      <c r="A514" s="60" t="s">
        <v>829</v>
      </c>
      <c r="B514" s="60" t="s">
        <v>830</v>
      </c>
      <c r="C514" s="34">
        <v>4301031350</v>
      </c>
      <c r="D514" s="702">
        <v>4680115883093</v>
      </c>
      <c r="E514" s="702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80</v>
      </c>
      <c r="N514" s="36"/>
      <c r="O514" s="35">
        <v>70</v>
      </c>
      <c r="P514" s="9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4"/>
      <c r="R514" s="704"/>
      <c r="S514" s="704"/>
      <c r="T514" s="705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4301031353</v>
      </c>
      <c r="D515" s="702">
        <v>4680115883109</v>
      </c>
      <c r="E515" s="702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4"/>
      <c r="R515" s="704"/>
      <c r="S515" s="704"/>
      <c r="T515" s="705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4301031419</v>
      </c>
      <c r="D516" s="702">
        <v>4680115882072</v>
      </c>
      <c r="E516" s="702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139</v>
      </c>
      <c r="L516" s="35" t="s">
        <v>46</v>
      </c>
      <c r="M516" s="36" t="s">
        <v>131</v>
      </c>
      <c r="N516" s="36"/>
      <c r="O516" s="35">
        <v>70</v>
      </c>
      <c r="P516" s="9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4"/>
      <c r="R516" s="704"/>
      <c r="S516" s="704"/>
      <c r="T516" s="705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828</v>
      </c>
      <c r="AG516" s="75"/>
      <c r="AJ516" s="79" t="s">
        <v>46</v>
      </c>
      <c r="AK516" s="79">
        <v>0</v>
      </c>
      <c r="BB516" s="610" t="s">
        <v>66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hidden="1" customHeight="1" x14ac:dyDescent="0.25">
      <c r="A517" s="60" t="s">
        <v>837</v>
      </c>
      <c r="B517" s="60" t="s">
        <v>838</v>
      </c>
      <c r="C517" s="34">
        <v>4301031352</v>
      </c>
      <c r="D517" s="702">
        <v>4680115882102</v>
      </c>
      <c r="E517" s="702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139</v>
      </c>
      <c r="L517" s="35" t="s">
        <v>46</v>
      </c>
      <c r="M517" s="36" t="s">
        <v>80</v>
      </c>
      <c r="N517" s="36"/>
      <c r="O517" s="35">
        <v>70</v>
      </c>
      <c r="P51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4"/>
      <c r="R517" s="704"/>
      <c r="S517" s="704"/>
      <c r="T517" s="705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hidden="1" customHeight="1" x14ac:dyDescent="0.25">
      <c r="A518" s="60" t="s">
        <v>837</v>
      </c>
      <c r="B518" s="60" t="s">
        <v>839</v>
      </c>
      <c r="C518" s="34">
        <v>4301031418</v>
      </c>
      <c r="D518" s="702">
        <v>4680115882102</v>
      </c>
      <c r="E518" s="702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4"/>
      <c r="R518" s="704"/>
      <c r="S518" s="704"/>
      <c r="T518" s="705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831</v>
      </c>
      <c r="AG518" s="75"/>
      <c r="AJ518" s="79" t="s">
        <v>46</v>
      </c>
      <c r="AK518" s="79">
        <v>0</v>
      </c>
      <c r="BB518" s="614" t="s">
        <v>66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4301031417</v>
      </c>
      <c r="D519" s="702">
        <v>4680115882096</v>
      </c>
      <c r="E519" s="702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4"/>
      <c r="R519" s="704"/>
      <c r="S519" s="704"/>
      <c r="T519" s="705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hidden="1" x14ac:dyDescent="0.2">
      <c r="A520" s="710"/>
      <c r="B520" s="710"/>
      <c r="C520" s="710"/>
      <c r="D520" s="710"/>
      <c r="E520" s="710"/>
      <c r="F520" s="710"/>
      <c r="G520" s="710"/>
      <c r="H520" s="710"/>
      <c r="I520" s="710"/>
      <c r="J520" s="710"/>
      <c r="K520" s="710"/>
      <c r="L520" s="710"/>
      <c r="M520" s="710"/>
      <c r="N520" s="710"/>
      <c r="O520" s="711"/>
      <c r="P520" s="707" t="s">
        <v>40</v>
      </c>
      <c r="Q520" s="708"/>
      <c r="R520" s="708"/>
      <c r="S520" s="708"/>
      <c r="T520" s="708"/>
      <c r="U520" s="708"/>
      <c r="V520" s="709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710"/>
      <c r="B521" s="710"/>
      <c r="C521" s="710"/>
      <c r="D521" s="710"/>
      <c r="E521" s="710"/>
      <c r="F521" s="710"/>
      <c r="G521" s="710"/>
      <c r="H521" s="710"/>
      <c r="I521" s="710"/>
      <c r="J521" s="710"/>
      <c r="K521" s="710"/>
      <c r="L521" s="710"/>
      <c r="M521" s="710"/>
      <c r="N521" s="710"/>
      <c r="O521" s="711"/>
      <c r="P521" s="707" t="s">
        <v>40</v>
      </c>
      <c r="Q521" s="708"/>
      <c r="R521" s="708"/>
      <c r="S521" s="708"/>
      <c r="T521" s="708"/>
      <c r="U521" s="708"/>
      <c r="V521" s="709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hidden="1" customHeight="1" x14ac:dyDescent="0.2">
      <c r="A522" s="699" t="s">
        <v>842</v>
      </c>
      <c r="B522" s="699"/>
      <c r="C522" s="699"/>
      <c r="D522" s="699"/>
      <c r="E522" s="699"/>
      <c r="F522" s="699"/>
      <c r="G522" s="699"/>
      <c r="H522" s="699"/>
      <c r="I522" s="699"/>
      <c r="J522" s="699"/>
      <c r="K522" s="699"/>
      <c r="L522" s="699"/>
      <c r="M522" s="699"/>
      <c r="N522" s="699"/>
      <c r="O522" s="699"/>
      <c r="P522" s="699"/>
      <c r="Q522" s="699"/>
      <c r="R522" s="699"/>
      <c r="S522" s="699"/>
      <c r="T522" s="699"/>
      <c r="U522" s="699"/>
      <c r="V522" s="699"/>
      <c r="W522" s="699"/>
      <c r="X522" s="699"/>
      <c r="Y522" s="699"/>
      <c r="Z522" s="699"/>
      <c r="AA522" s="52"/>
      <c r="AB522" s="52"/>
      <c r="AC522" s="52"/>
    </row>
    <row r="523" spans="1:68" ht="16.5" hidden="1" customHeight="1" x14ac:dyDescent="0.25">
      <c r="A523" s="700" t="s">
        <v>842</v>
      </c>
      <c r="B523" s="700"/>
      <c r="C523" s="700"/>
      <c r="D523" s="700"/>
      <c r="E523" s="700"/>
      <c r="F523" s="700"/>
      <c r="G523" s="700"/>
      <c r="H523" s="700"/>
      <c r="I523" s="700"/>
      <c r="J523" s="700"/>
      <c r="K523" s="700"/>
      <c r="L523" s="700"/>
      <c r="M523" s="700"/>
      <c r="N523" s="700"/>
      <c r="O523" s="700"/>
      <c r="P523" s="700"/>
      <c r="Q523" s="700"/>
      <c r="R523" s="700"/>
      <c r="S523" s="700"/>
      <c r="T523" s="700"/>
      <c r="U523" s="700"/>
      <c r="V523" s="700"/>
      <c r="W523" s="700"/>
      <c r="X523" s="700"/>
      <c r="Y523" s="700"/>
      <c r="Z523" s="700"/>
      <c r="AA523" s="62"/>
      <c r="AB523" s="62"/>
      <c r="AC523" s="62"/>
    </row>
    <row r="524" spans="1:68" ht="14.25" hidden="1" customHeight="1" x14ac:dyDescent="0.25">
      <c r="A524" s="701" t="s">
        <v>127</v>
      </c>
      <c r="B524" s="701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63"/>
      <c r="AB524" s="63"/>
      <c r="AC524" s="63"/>
    </row>
    <row r="525" spans="1:68" ht="27" hidden="1" customHeight="1" x14ac:dyDescent="0.25">
      <c r="A525" s="60" t="s">
        <v>843</v>
      </c>
      <c r="B525" s="60" t="s">
        <v>844</v>
      </c>
      <c r="C525" s="34">
        <v>4301011584</v>
      </c>
      <c r="D525" s="702">
        <v>4640242180564</v>
      </c>
      <c r="E525" s="702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132</v>
      </c>
      <c r="L525" s="35" t="s">
        <v>46</v>
      </c>
      <c r="M525" s="36" t="s">
        <v>131</v>
      </c>
      <c r="N525" s="36"/>
      <c r="O525" s="35">
        <v>50</v>
      </c>
      <c r="P525" s="9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4"/>
      <c r="R525" s="704"/>
      <c r="S525" s="704"/>
      <c r="T525" s="70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845</v>
      </c>
      <c r="AG525" s="75"/>
      <c r="AJ525" s="79" t="s">
        <v>46</v>
      </c>
      <c r="AK525" s="79">
        <v>0</v>
      </c>
      <c r="BB525" s="618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10"/>
      <c r="B526" s="710"/>
      <c r="C526" s="710"/>
      <c r="D526" s="710"/>
      <c r="E526" s="710"/>
      <c r="F526" s="710"/>
      <c r="G526" s="710"/>
      <c r="H526" s="710"/>
      <c r="I526" s="710"/>
      <c r="J526" s="710"/>
      <c r="K526" s="710"/>
      <c r="L526" s="710"/>
      <c r="M526" s="710"/>
      <c r="N526" s="710"/>
      <c r="O526" s="711"/>
      <c r="P526" s="707" t="s">
        <v>40</v>
      </c>
      <c r="Q526" s="708"/>
      <c r="R526" s="708"/>
      <c r="S526" s="708"/>
      <c r="T526" s="708"/>
      <c r="U526" s="708"/>
      <c r="V526" s="709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710"/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1"/>
      <c r="P527" s="707" t="s">
        <v>40</v>
      </c>
      <c r="Q527" s="708"/>
      <c r="R527" s="708"/>
      <c r="S527" s="708"/>
      <c r="T527" s="708"/>
      <c r="U527" s="708"/>
      <c r="V527" s="709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701" t="s">
        <v>163</v>
      </c>
      <c r="B528" s="701"/>
      <c r="C528" s="701"/>
      <c r="D528" s="701"/>
      <c r="E528" s="701"/>
      <c r="F528" s="701"/>
      <c r="G528" s="701"/>
      <c r="H528" s="701"/>
      <c r="I528" s="701"/>
      <c r="J528" s="701"/>
      <c r="K528" s="701"/>
      <c r="L528" s="701"/>
      <c r="M528" s="701"/>
      <c r="N528" s="701"/>
      <c r="O528" s="701"/>
      <c r="P528" s="701"/>
      <c r="Q528" s="701"/>
      <c r="R528" s="701"/>
      <c r="S528" s="701"/>
      <c r="T528" s="701"/>
      <c r="U528" s="701"/>
      <c r="V528" s="701"/>
      <c r="W528" s="701"/>
      <c r="X528" s="701"/>
      <c r="Y528" s="701"/>
      <c r="Z528" s="701"/>
      <c r="AA528" s="63"/>
      <c r="AB528" s="63"/>
      <c r="AC528" s="63"/>
    </row>
    <row r="529" spans="1:68" ht="27" hidden="1" customHeight="1" x14ac:dyDescent="0.25">
      <c r="A529" s="60" t="s">
        <v>846</v>
      </c>
      <c r="B529" s="60" t="s">
        <v>847</v>
      </c>
      <c r="C529" s="34">
        <v>4301020400</v>
      </c>
      <c r="D529" s="702">
        <v>4640242180519</v>
      </c>
      <c r="E529" s="702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132</v>
      </c>
      <c r="L529" s="35" t="s">
        <v>46</v>
      </c>
      <c r="M529" s="36" t="s">
        <v>131</v>
      </c>
      <c r="N529" s="36"/>
      <c r="O529" s="35">
        <v>50</v>
      </c>
      <c r="P529" s="9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4"/>
      <c r="R529" s="704"/>
      <c r="S529" s="704"/>
      <c r="T529" s="70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848</v>
      </c>
      <c r="AG529" s="75"/>
      <c r="AJ529" s="79" t="s">
        <v>46</v>
      </c>
      <c r="AK529" s="79">
        <v>0</v>
      </c>
      <c r="BB529" s="620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10"/>
      <c r="B530" s="710"/>
      <c r="C530" s="710"/>
      <c r="D530" s="710"/>
      <c r="E530" s="710"/>
      <c r="F530" s="710"/>
      <c r="G530" s="710"/>
      <c r="H530" s="710"/>
      <c r="I530" s="710"/>
      <c r="J530" s="710"/>
      <c r="K530" s="710"/>
      <c r="L530" s="710"/>
      <c r="M530" s="710"/>
      <c r="N530" s="710"/>
      <c r="O530" s="711"/>
      <c r="P530" s="707" t="s">
        <v>40</v>
      </c>
      <c r="Q530" s="708"/>
      <c r="R530" s="708"/>
      <c r="S530" s="708"/>
      <c r="T530" s="708"/>
      <c r="U530" s="708"/>
      <c r="V530" s="709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10"/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1"/>
      <c r="P531" s="707" t="s">
        <v>40</v>
      </c>
      <c r="Q531" s="708"/>
      <c r="R531" s="708"/>
      <c r="S531" s="708"/>
      <c r="T531" s="708"/>
      <c r="U531" s="708"/>
      <c r="V531" s="709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01" t="s">
        <v>76</v>
      </c>
      <c r="B532" s="701"/>
      <c r="C532" s="701"/>
      <c r="D532" s="701"/>
      <c r="E532" s="701"/>
      <c r="F532" s="701"/>
      <c r="G532" s="701"/>
      <c r="H532" s="701"/>
      <c r="I532" s="701"/>
      <c r="J532" s="701"/>
      <c r="K532" s="701"/>
      <c r="L532" s="701"/>
      <c r="M532" s="701"/>
      <c r="N532" s="701"/>
      <c r="O532" s="701"/>
      <c r="P532" s="701"/>
      <c r="Q532" s="701"/>
      <c r="R532" s="701"/>
      <c r="S532" s="701"/>
      <c r="T532" s="701"/>
      <c r="U532" s="701"/>
      <c r="V532" s="701"/>
      <c r="W532" s="701"/>
      <c r="X532" s="701"/>
      <c r="Y532" s="701"/>
      <c r="Z532" s="701"/>
      <c r="AA532" s="63"/>
      <c r="AB532" s="63"/>
      <c r="AC532" s="63"/>
    </row>
    <row r="533" spans="1:68" ht="27" hidden="1" customHeight="1" x14ac:dyDescent="0.25">
      <c r="A533" s="60" t="s">
        <v>849</v>
      </c>
      <c r="B533" s="60" t="s">
        <v>850</v>
      </c>
      <c r="C533" s="34">
        <v>4301031500</v>
      </c>
      <c r="D533" s="702">
        <v>4640242180595</v>
      </c>
      <c r="E533" s="702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139</v>
      </c>
      <c r="L533" s="35" t="s">
        <v>46</v>
      </c>
      <c r="M533" s="36" t="s">
        <v>80</v>
      </c>
      <c r="N533" s="36"/>
      <c r="O533" s="35">
        <v>40</v>
      </c>
      <c r="P533" s="98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4"/>
      <c r="R533" s="704"/>
      <c r="S533" s="704"/>
      <c r="T533" s="70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851</v>
      </c>
      <c r="AG533" s="75"/>
      <c r="AJ533" s="79" t="s">
        <v>46</v>
      </c>
      <c r="AK533" s="79">
        <v>0</v>
      </c>
      <c r="BB533" s="622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10"/>
      <c r="B534" s="710"/>
      <c r="C534" s="710"/>
      <c r="D534" s="710"/>
      <c r="E534" s="710"/>
      <c r="F534" s="710"/>
      <c r="G534" s="710"/>
      <c r="H534" s="710"/>
      <c r="I534" s="710"/>
      <c r="J534" s="710"/>
      <c r="K534" s="710"/>
      <c r="L534" s="710"/>
      <c r="M534" s="710"/>
      <c r="N534" s="710"/>
      <c r="O534" s="711"/>
      <c r="P534" s="707" t="s">
        <v>40</v>
      </c>
      <c r="Q534" s="708"/>
      <c r="R534" s="708"/>
      <c r="S534" s="708"/>
      <c r="T534" s="708"/>
      <c r="U534" s="708"/>
      <c r="V534" s="709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10"/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1"/>
      <c r="P535" s="707" t="s">
        <v>40</v>
      </c>
      <c r="Q535" s="708"/>
      <c r="R535" s="708"/>
      <c r="S535" s="708"/>
      <c r="T535" s="708"/>
      <c r="U535" s="708"/>
      <c r="V535" s="709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01" t="s">
        <v>85</v>
      </c>
      <c r="B536" s="701"/>
      <c r="C536" s="701"/>
      <c r="D536" s="701"/>
      <c r="E536" s="701"/>
      <c r="F536" s="701"/>
      <c r="G536" s="701"/>
      <c r="H536" s="701"/>
      <c r="I536" s="701"/>
      <c r="J536" s="701"/>
      <c r="K536" s="701"/>
      <c r="L536" s="701"/>
      <c r="M536" s="701"/>
      <c r="N536" s="701"/>
      <c r="O536" s="701"/>
      <c r="P536" s="701"/>
      <c r="Q536" s="701"/>
      <c r="R536" s="701"/>
      <c r="S536" s="701"/>
      <c r="T536" s="701"/>
      <c r="U536" s="701"/>
      <c r="V536" s="701"/>
      <c r="W536" s="701"/>
      <c r="X536" s="701"/>
      <c r="Y536" s="701"/>
      <c r="Z536" s="701"/>
      <c r="AA536" s="63"/>
      <c r="AB536" s="63"/>
      <c r="AC536" s="63"/>
    </row>
    <row r="537" spans="1:68" ht="27" hidden="1" customHeight="1" x14ac:dyDescent="0.25">
      <c r="A537" s="60" t="s">
        <v>852</v>
      </c>
      <c r="B537" s="60" t="s">
        <v>853</v>
      </c>
      <c r="C537" s="34">
        <v>4301052043</v>
      </c>
      <c r="D537" s="702">
        <v>4640242180533</v>
      </c>
      <c r="E537" s="702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132</v>
      </c>
      <c r="L537" s="35" t="s">
        <v>46</v>
      </c>
      <c r="M537" s="36" t="s">
        <v>89</v>
      </c>
      <c r="N537" s="36"/>
      <c r="O537" s="35">
        <v>45</v>
      </c>
      <c r="P537" s="98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4"/>
      <c r="R537" s="704"/>
      <c r="S537" s="704"/>
      <c r="T537" s="705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854</v>
      </c>
      <c r="AG537" s="75"/>
      <c r="AJ537" s="79" t="s">
        <v>46</v>
      </c>
      <c r="AK537" s="79">
        <v>0</v>
      </c>
      <c r="BB537" s="624" t="s">
        <v>66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10"/>
      <c r="B538" s="710"/>
      <c r="C538" s="710"/>
      <c r="D538" s="710"/>
      <c r="E538" s="710"/>
      <c r="F538" s="710"/>
      <c r="G538" s="710"/>
      <c r="H538" s="710"/>
      <c r="I538" s="710"/>
      <c r="J538" s="710"/>
      <c r="K538" s="710"/>
      <c r="L538" s="710"/>
      <c r="M538" s="710"/>
      <c r="N538" s="710"/>
      <c r="O538" s="711"/>
      <c r="P538" s="707" t="s">
        <v>40</v>
      </c>
      <c r="Q538" s="708"/>
      <c r="R538" s="708"/>
      <c r="S538" s="708"/>
      <c r="T538" s="708"/>
      <c r="U538" s="708"/>
      <c r="V538" s="709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10"/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1"/>
      <c r="P539" s="707" t="s">
        <v>40</v>
      </c>
      <c r="Q539" s="708"/>
      <c r="R539" s="708"/>
      <c r="S539" s="708"/>
      <c r="T539" s="708"/>
      <c r="U539" s="708"/>
      <c r="V539" s="709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01" t="s">
        <v>180</v>
      </c>
      <c r="B540" s="701"/>
      <c r="C540" s="701"/>
      <c r="D540" s="701"/>
      <c r="E540" s="701"/>
      <c r="F540" s="701"/>
      <c r="G540" s="701"/>
      <c r="H540" s="701"/>
      <c r="I540" s="701"/>
      <c r="J540" s="701"/>
      <c r="K540" s="701"/>
      <c r="L540" s="701"/>
      <c r="M540" s="701"/>
      <c r="N540" s="701"/>
      <c r="O540" s="701"/>
      <c r="P540" s="701"/>
      <c r="Q540" s="701"/>
      <c r="R540" s="701"/>
      <c r="S540" s="701"/>
      <c r="T540" s="701"/>
      <c r="U540" s="701"/>
      <c r="V540" s="701"/>
      <c r="W540" s="701"/>
      <c r="X540" s="701"/>
      <c r="Y540" s="701"/>
      <c r="Z540" s="701"/>
      <c r="AA540" s="63"/>
      <c r="AB540" s="63"/>
      <c r="AC540" s="63"/>
    </row>
    <row r="541" spans="1:68" ht="27" hidden="1" customHeight="1" x14ac:dyDescent="0.25">
      <c r="A541" s="60" t="s">
        <v>855</v>
      </c>
      <c r="B541" s="60" t="s">
        <v>856</v>
      </c>
      <c r="C541" s="34">
        <v>4301060535</v>
      </c>
      <c r="D541" s="702">
        <v>4640242180120</v>
      </c>
      <c r="E541" s="702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132</v>
      </c>
      <c r="L541" s="35" t="s">
        <v>46</v>
      </c>
      <c r="M541" s="36" t="s">
        <v>89</v>
      </c>
      <c r="N541" s="36"/>
      <c r="O541" s="35">
        <v>40</v>
      </c>
      <c r="P541" s="98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4"/>
      <c r="R541" s="704"/>
      <c r="S541" s="704"/>
      <c r="T541" s="705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857</v>
      </c>
      <c r="AG541" s="75"/>
      <c r="AJ541" s="79" t="s">
        <v>46</v>
      </c>
      <c r="AK541" s="79">
        <v>0</v>
      </c>
      <c r="BB541" s="626" t="s">
        <v>66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hidden="1" customHeight="1" x14ac:dyDescent="0.25">
      <c r="A542" s="60" t="s">
        <v>858</v>
      </c>
      <c r="B542" s="60" t="s">
        <v>859</v>
      </c>
      <c r="C542" s="34">
        <v>4301060536</v>
      </c>
      <c r="D542" s="702">
        <v>4640242180137</v>
      </c>
      <c r="E542" s="702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4"/>
      <c r="R542" s="704"/>
      <c r="S542" s="704"/>
      <c r="T542" s="705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10"/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1"/>
      <c r="P543" s="707" t="s">
        <v>40</v>
      </c>
      <c r="Q543" s="708"/>
      <c r="R543" s="708"/>
      <c r="S543" s="708"/>
      <c r="T543" s="708"/>
      <c r="U543" s="708"/>
      <c r="V543" s="709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hidden="1" x14ac:dyDescent="0.2">
      <c r="A544" s="710"/>
      <c r="B544" s="710"/>
      <c r="C544" s="710"/>
      <c r="D544" s="710"/>
      <c r="E544" s="710"/>
      <c r="F544" s="710"/>
      <c r="G544" s="710"/>
      <c r="H544" s="710"/>
      <c r="I544" s="710"/>
      <c r="J544" s="710"/>
      <c r="K544" s="710"/>
      <c r="L544" s="710"/>
      <c r="M544" s="710"/>
      <c r="N544" s="710"/>
      <c r="O544" s="711"/>
      <c r="P544" s="707" t="s">
        <v>40</v>
      </c>
      <c r="Q544" s="708"/>
      <c r="R544" s="708"/>
      <c r="S544" s="708"/>
      <c r="T544" s="708"/>
      <c r="U544" s="708"/>
      <c r="V544" s="709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hidden="1" customHeight="1" x14ac:dyDescent="0.25">
      <c r="A545" s="700" t="s">
        <v>861</v>
      </c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700"/>
      <c r="P545" s="700"/>
      <c r="Q545" s="700"/>
      <c r="R545" s="700"/>
      <c r="S545" s="700"/>
      <c r="T545" s="700"/>
      <c r="U545" s="700"/>
      <c r="V545" s="700"/>
      <c r="W545" s="700"/>
      <c r="X545" s="700"/>
      <c r="Y545" s="700"/>
      <c r="Z545" s="700"/>
      <c r="AA545" s="62"/>
      <c r="AB545" s="62"/>
      <c r="AC545" s="62"/>
    </row>
    <row r="546" spans="1:68" ht="14.25" hidden="1" customHeight="1" x14ac:dyDescent="0.25">
      <c r="A546" s="701" t="s">
        <v>163</v>
      </c>
      <c r="B546" s="701"/>
      <c r="C546" s="701"/>
      <c r="D546" s="701"/>
      <c r="E546" s="701"/>
      <c r="F546" s="701"/>
      <c r="G546" s="701"/>
      <c r="H546" s="701"/>
      <c r="I546" s="701"/>
      <c r="J546" s="701"/>
      <c r="K546" s="701"/>
      <c r="L546" s="701"/>
      <c r="M546" s="701"/>
      <c r="N546" s="701"/>
      <c r="O546" s="701"/>
      <c r="P546" s="701"/>
      <c r="Q546" s="701"/>
      <c r="R546" s="701"/>
      <c r="S546" s="701"/>
      <c r="T546" s="701"/>
      <c r="U546" s="701"/>
      <c r="V546" s="701"/>
      <c r="W546" s="701"/>
      <c r="X546" s="701"/>
      <c r="Y546" s="701"/>
      <c r="Z546" s="701"/>
      <c r="AA546" s="63"/>
      <c r="AB546" s="63"/>
      <c r="AC546" s="63"/>
    </row>
    <row r="547" spans="1:68" ht="27" hidden="1" customHeight="1" x14ac:dyDescent="0.25">
      <c r="A547" s="60" t="s">
        <v>862</v>
      </c>
      <c r="B547" s="60" t="s">
        <v>863</v>
      </c>
      <c r="C547" s="34">
        <v>4301020428</v>
      </c>
      <c r="D547" s="702">
        <v>4640242180090</v>
      </c>
      <c r="E547" s="702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132</v>
      </c>
      <c r="L547" s="35" t="s">
        <v>46</v>
      </c>
      <c r="M547" s="36" t="s">
        <v>131</v>
      </c>
      <c r="N547" s="36"/>
      <c r="O547" s="35">
        <v>50</v>
      </c>
      <c r="P547" s="98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4"/>
      <c r="R547" s="704"/>
      <c r="S547" s="704"/>
      <c r="T547" s="705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864</v>
      </c>
      <c r="AG547" s="75"/>
      <c r="AJ547" s="79" t="s">
        <v>46</v>
      </c>
      <c r="AK547" s="79">
        <v>0</v>
      </c>
      <c r="BB547" s="630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10"/>
      <c r="B548" s="710"/>
      <c r="C548" s="710"/>
      <c r="D548" s="710"/>
      <c r="E548" s="710"/>
      <c r="F548" s="710"/>
      <c r="G548" s="710"/>
      <c r="H548" s="710"/>
      <c r="I548" s="710"/>
      <c r="J548" s="710"/>
      <c r="K548" s="710"/>
      <c r="L548" s="710"/>
      <c r="M548" s="710"/>
      <c r="N548" s="710"/>
      <c r="O548" s="711"/>
      <c r="P548" s="707" t="s">
        <v>40</v>
      </c>
      <c r="Q548" s="708"/>
      <c r="R548" s="708"/>
      <c r="S548" s="708"/>
      <c r="T548" s="708"/>
      <c r="U548" s="708"/>
      <c r="V548" s="709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10"/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1"/>
      <c r="P549" s="707" t="s">
        <v>40</v>
      </c>
      <c r="Q549" s="708"/>
      <c r="R549" s="708"/>
      <c r="S549" s="708"/>
      <c r="T549" s="708"/>
      <c r="U549" s="708"/>
      <c r="V549" s="709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710"/>
      <c r="B550" s="710"/>
      <c r="C550" s="710"/>
      <c r="D550" s="710"/>
      <c r="E550" s="710"/>
      <c r="F550" s="710"/>
      <c r="G550" s="710"/>
      <c r="H550" s="710"/>
      <c r="I550" s="710"/>
      <c r="J550" s="710"/>
      <c r="K550" s="710"/>
      <c r="L550" s="710"/>
      <c r="M550" s="710"/>
      <c r="N550" s="710"/>
      <c r="O550" s="988"/>
      <c r="P550" s="985" t="s">
        <v>33</v>
      </c>
      <c r="Q550" s="986"/>
      <c r="R550" s="986"/>
      <c r="S550" s="986"/>
      <c r="T550" s="986"/>
      <c r="U550" s="986"/>
      <c r="V550" s="987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4100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4110</v>
      </c>
      <c r="Z550" s="40"/>
      <c r="AA550" s="64"/>
      <c r="AB550" s="64"/>
      <c r="AC550" s="64"/>
    </row>
    <row r="551" spans="1:68" x14ac:dyDescent="0.2">
      <c r="A551" s="710"/>
      <c r="B551" s="710"/>
      <c r="C551" s="710"/>
      <c r="D551" s="710"/>
      <c r="E551" s="710"/>
      <c r="F551" s="710"/>
      <c r="G551" s="710"/>
      <c r="H551" s="710"/>
      <c r="I551" s="710"/>
      <c r="J551" s="710"/>
      <c r="K551" s="710"/>
      <c r="L551" s="710"/>
      <c r="M551" s="710"/>
      <c r="N551" s="710"/>
      <c r="O551" s="988"/>
      <c r="P551" s="985" t="s">
        <v>34</v>
      </c>
      <c r="Q551" s="986"/>
      <c r="R551" s="986"/>
      <c r="S551" s="986"/>
      <c r="T551" s="986"/>
      <c r="U551" s="986"/>
      <c r="V551" s="987"/>
      <c r="W551" s="40" t="s">
        <v>0</v>
      </c>
      <c r="X551" s="41">
        <f>IFERROR(SUM(BM22:BM547),"0")</f>
        <v>4228.4666666666672</v>
      </c>
      <c r="Y551" s="41">
        <f>IFERROR(SUM(BN22:BN547),"0")</f>
        <v>4238.78</v>
      </c>
      <c r="Z551" s="40"/>
      <c r="AA551" s="64"/>
      <c r="AB551" s="64"/>
      <c r="AC551" s="64"/>
    </row>
    <row r="552" spans="1:68" x14ac:dyDescent="0.2">
      <c r="A552" s="710"/>
      <c r="B552" s="710"/>
      <c r="C552" s="710"/>
      <c r="D552" s="710"/>
      <c r="E552" s="710"/>
      <c r="F552" s="710"/>
      <c r="G552" s="710"/>
      <c r="H552" s="710"/>
      <c r="I552" s="710"/>
      <c r="J552" s="710"/>
      <c r="K552" s="710"/>
      <c r="L552" s="710"/>
      <c r="M552" s="710"/>
      <c r="N552" s="710"/>
      <c r="O552" s="988"/>
      <c r="P552" s="985" t="s">
        <v>35</v>
      </c>
      <c r="Q552" s="986"/>
      <c r="R552" s="986"/>
      <c r="S552" s="986"/>
      <c r="T552" s="986"/>
      <c r="U552" s="986"/>
      <c r="V552" s="987"/>
      <c r="W552" s="40" t="s">
        <v>20</v>
      </c>
      <c r="X552" s="42">
        <f>ROUNDUP(SUM(BO22:BO547),0)</f>
        <v>6</v>
      </c>
      <c r="Y552" s="42">
        <f>ROUNDUP(SUM(BP22:BP547),0)</f>
        <v>6</v>
      </c>
      <c r="Z552" s="40"/>
      <c r="AA552" s="64"/>
      <c r="AB552" s="64"/>
      <c r="AC552" s="64"/>
    </row>
    <row r="553" spans="1:68" x14ac:dyDescent="0.2">
      <c r="A553" s="710"/>
      <c r="B553" s="710"/>
      <c r="C553" s="710"/>
      <c r="D553" s="710"/>
      <c r="E553" s="710"/>
      <c r="F553" s="710"/>
      <c r="G553" s="710"/>
      <c r="H553" s="710"/>
      <c r="I553" s="710"/>
      <c r="J553" s="710"/>
      <c r="K553" s="710"/>
      <c r="L553" s="710"/>
      <c r="M553" s="710"/>
      <c r="N553" s="710"/>
      <c r="O553" s="988"/>
      <c r="P553" s="985" t="s">
        <v>36</v>
      </c>
      <c r="Q553" s="986"/>
      <c r="R553" s="986"/>
      <c r="S553" s="986"/>
      <c r="T553" s="986"/>
      <c r="U553" s="986"/>
      <c r="V553" s="987"/>
      <c r="W553" s="40" t="s">
        <v>0</v>
      </c>
      <c r="X553" s="41">
        <f>GrossWeightTotal+PalletQtyTotal*25</f>
        <v>4378.4666666666672</v>
      </c>
      <c r="Y553" s="41">
        <f>GrossWeightTotalR+PalletQtyTotalR*25</f>
        <v>4388.78</v>
      </c>
      <c r="Z553" s="40"/>
      <c r="AA553" s="64"/>
      <c r="AB553" s="64"/>
      <c r="AC553" s="64"/>
    </row>
    <row r="554" spans="1:68" x14ac:dyDescent="0.2">
      <c r="A554" s="710"/>
      <c r="B554" s="710"/>
      <c r="C554" s="710"/>
      <c r="D554" s="710"/>
      <c r="E554" s="710"/>
      <c r="F554" s="710"/>
      <c r="G554" s="710"/>
      <c r="H554" s="710"/>
      <c r="I554" s="710"/>
      <c r="J554" s="710"/>
      <c r="K554" s="710"/>
      <c r="L554" s="710"/>
      <c r="M554" s="710"/>
      <c r="N554" s="710"/>
      <c r="O554" s="988"/>
      <c r="P554" s="985" t="s">
        <v>37</v>
      </c>
      <c r="Q554" s="986"/>
      <c r="R554" s="986"/>
      <c r="S554" s="986"/>
      <c r="T554" s="986"/>
      <c r="U554" s="986"/>
      <c r="V554" s="987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273.33333333333331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274</v>
      </c>
      <c r="Z554" s="40"/>
      <c r="AA554" s="64"/>
      <c r="AB554" s="64"/>
      <c r="AC554" s="64"/>
    </row>
    <row r="555" spans="1:68" ht="14.25" hidden="1" x14ac:dyDescent="0.2">
      <c r="A555" s="710"/>
      <c r="B555" s="710"/>
      <c r="C555" s="710"/>
      <c r="D555" s="710"/>
      <c r="E555" s="710"/>
      <c r="F555" s="710"/>
      <c r="G555" s="710"/>
      <c r="H555" s="710"/>
      <c r="I555" s="710"/>
      <c r="J555" s="710"/>
      <c r="K555" s="710"/>
      <c r="L555" s="710"/>
      <c r="M555" s="710"/>
      <c r="N555" s="710"/>
      <c r="O555" s="988"/>
      <c r="P555" s="985" t="s">
        <v>38</v>
      </c>
      <c r="Q555" s="986"/>
      <c r="R555" s="986"/>
      <c r="S555" s="986"/>
      <c r="T555" s="986"/>
      <c r="U555" s="986"/>
      <c r="V555" s="987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5.9594999999999994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75</v>
      </c>
      <c r="C557" s="80" t="s">
        <v>45</v>
      </c>
      <c r="D557" s="991" t="s">
        <v>125</v>
      </c>
      <c r="E557" s="991" t="s">
        <v>125</v>
      </c>
      <c r="F557" s="991" t="s">
        <v>125</v>
      </c>
      <c r="G557" s="991" t="s">
        <v>125</v>
      </c>
      <c r="H557" s="991" t="s">
        <v>125</v>
      </c>
      <c r="I557" s="991" t="s">
        <v>125</v>
      </c>
      <c r="J557" s="991" t="s">
        <v>125</v>
      </c>
      <c r="K557" s="991" t="s">
        <v>357</v>
      </c>
      <c r="L557" s="991" t="s">
        <v>357</v>
      </c>
      <c r="M557" s="991" t="s">
        <v>357</v>
      </c>
      <c r="N557" s="992"/>
      <c r="O557" s="991" t="s">
        <v>357</v>
      </c>
      <c r="P557" s="991" t="s">
        <v>357</v>
      </c>
      <c r="Q557" s="991" t="s">
        <v>357</v>
      </c>
      <c r="R557" s="991" t="s">
        <v>357</v>
      </c>
      <c r="S557" s="991" t="s">
        <v>357</v>
      </c>
      <c r="T557" s="991" t="s">
        <v>357</v>
      </c>
      <c r="U557" s="991" t="s">
        <v>357</v>
      </c>
      <c r="V557" s="991" t="s">
        <v>693</v>
      </c>
      <c r="W557" s="991" t="s">
        <v>693</v>
      </c>
      <c r="X557" s="991" t="s">
        <v>759</v>
      </c>
      <c r="Y557" s="991" t="s">
        <v>759</v>
      </c>
      <c r="Z557" s="80" t="s">
        <v>795</v>
      </c>
      <c r="AA557" s="991" t="s">
        <v>842</v>
      </c>
      <c r="AB557" s="991" t="s">
        <v>842</v>
      </c>
      <c r="AC557" s="9"/>
      <c r="AF557" s="1"/>
    </row>
    <row r="558" spans="1:68" ht="14.25" customHeight="1" thickTop="1" x14ac:dyDescent="0.2">
      <c r="A558" s="989" t="s">
        <v>10</v>
      </c>
      <c r="B558" s="991" t="s">
        <v>75</v>
      </c>
      <c r="C558" s="991" t="s">
        <v>109</v>
      </c>
      <c r="D558" s="991" t="s">
        <v>126</v>
      </c>
      <c r="E558" s="991" t="s">
        <v>142</v>
      </c>
      <c r="F558" s="991" t="s">
        <v>187</v>
      </c>
      <c r="G558" s="991" t="s">
        <v>208</v>
      </c>
      <c r="H558" s="991" t="s">
        <v>247</v>
      </c>
      <c r="I558" s="991" t="s">
        <v>275</v>
      </c>
      <c r="J558" s="991" t="s">
        <v>125</v>
      </c>
      <c r="K558" s="991" t="s">
        <v>358</v>
      </c>
      <c r="L558" s="991" t="s">
        <v>379</v>
      </c>
      <c r="M558" s="991" t="s">
        <v>446</v>
      </c>
      <c r="N558" s="1"/>
      <c r="O558" s="991" t="s">
        <v>514</v>
      </c>
      <c r="P558" s="991" t="s">
        <v>547</v>
      </c>
      <c r="Q558" s="991" t="s">
        <v>563</v>
      </c>
      <c r="R558" s="991" t="s">
        <v>572</v>
      </c>
      <c r="S558" s="991" t="s">
        <v>593</v>
      </c>
      <c r="T558" s="991" t="s">
        <v>602</v>
      </c>
      <c r="U558" s="991" t="s">
        <v>683</v>
      </c>
      <c r="V558" s="991" t="s">
        <v>694</v>
      </c>
      <c r="W558" s="991" t="s">
        <v>743</v>
      </c>
      <c r="X558" s="991" t="s">
        <v>760</v>
      </c>
      <c r="Y558" s="991" t="s">
        <v>783</v>
      </c>
      <c r="Z558" s="991" t="s">
        <v>795</v>
      </c>
      <c r="AA558" s="991" t="s">
        <v>842</v>
      </c>
      <c r="AB558" s="991" t="s">
        <v>861</v>
      </c>
      <c r="AC558" s="9"/>
      <c r="AF558" s="1"/>
    </row>
    <row r="559" spans="1:68" ht="13.5" thickBot="1" x14ac:dyDescent="0.25">
      <c r="A559" s="990"/>
      <c r="B559" s="991"/>
      <c r="C559" s="991"/>
      <c r="D559" s="991"/>
      <c r="E559" s="991"/>
      <c r="F559" s="991"/>
      <c r="G559" s="991"/>
      <c r="H559" s="991"/>
      <c r="I559" s="991"/>
      <c r="J559" s="991"/>
      <c r="K559" s="991"/>
      <c r="L559" s="991"/>
      <c r="M559" s="991"/>
      <c r="N559" s="1"/>
      <c r="O559" s="991"/>
      <c r="P559" s="991"/>
      <c r="Q559" s="991"/>
      <c r="R559" s="991"/>
      <c r="S559" s="991"/>
      <c r="T559" s="991"/>
      <c r="U559" s="991"/>
      <c r="V559" s="991"/>
      <c r="W559" s="991"/>
      <c r="X559" s="991"/>
      <c r="Y559" s="991"/>
      <c r="Z559" s="991"/>
      <c r="AA559" s="991"/>
      <c r="AB559" s="99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4110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2 500,00"/>
        <filter val="273,33"/>
        <filter val="4 100,00"/>
        <filter val="4 228,47"/>
        <filter val="4 378,47"/>
        <filter val="6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1" t="s">
        <v>866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868</v>
      </c>
      <c r="C6" s="51" t="s">
        <v>869</v>
      </c>
      <c r="D6" s="51" t="s">
        <v>870</v>
      </c>
      <c r="E6" s="51" t="s">
        <v>46</v>
      </c>
    </row>
    <row r="7" spans="2:8" x14ac:dyDescent="0.2">
      <c r="B7" s="51" t="s">
        <v>871</v>
      </c>
      <c r="C7" s="51" t="s">
        <v>872</v>
      </c>
      <c r="D7" s="51" t="s">
        <v>873</v>
      </c>
      <c r="E7" s="51" t="s">
        <v>46</v>
      </c>
    </row>
    <row r="8" spans="2:8" x14ac:dyDescent="0.2">
      <c r="B8" s="51" t="s">
        <v>874</v>
      </c>
      <c r="C8" s="51" t="s">
        <v>875</v>
      </c>
      <c r="D8" s="51" t="s">
        <v>876</v>
      </c>
      <c r="E8" s="51" t="s">
        <v>46</v>
      </c>
    </row>
    <row r="9" spans="2:8" x14ac:dyDescent="0.2">
      <c r="B9" s="51" t="s">
        <v>877</v>
      </c>
      <c r="C9" s="51" t="s">
        <v>878</v>
      </c>
      <c r="D9" s="51" t="s">
        <v>879</v>
      </c>
      <c r="E9" s="51" t="s">
        <v>46</v>
      </c>
    </row>
    <row r="10" spans="2:8" x14ac:dyDescent="0.2">
      <c r="B10" s="51" t="s">
        <v>880</v>
      </c>
      <c r="C10" s="51" t="s">
        <v>881</v>
      </c>
      <c r="D10" s="51" t="s">
        <v>882</v>
      </c>
      <c r="E10" s="51" t="s">
        <v>46</v>
      </c>
    </row>
    <row r="11" spans="2:8" x14ac:dyDescent="0.2">
      <c r="B11" s="51" t="s">
        <v>883</v>
      </c>
      <c r="C11" s="51" t="s">
        <v>884</v>
      </c>
      <c r="D11" s="51" t="s">
        <v>885</v>
      </c>
      <c r="E11" s="51" t="s">
        <v>46</v>
      </c>
    </row>
    <row r="12" spans="2:8" x14ac:dyDescent="0.2">
      <c r="B12" s="51" t="s">
        <v>886</v>
      </c>
      <c r="C12" s="51" t="s">
        <v>887</v>
      </c>
      <c r="D12" s="51" t="s">
        <v>888</v>
      </c>
      <c r="E12" s="51" t="s">
        <v>46</v>
      </c>
    </row>
    <row r="14" spans="2:8" x14ac:dyDescent="0.2">
      <c r="B14" s="51" t="s">
        <v>889</v>
      </c>
      <c r="C14" s="51" t="s">
        <v>869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872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875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878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881</v>
      </c>
      <c r="D22" s="51" t="s">
        <v>46</v>
      </c>
      <c r="E22" s="51" t="s">
        <v>46</v>
      </c>
    </row>
    <row r="24" spans="2:5" x14ac:dyDescent="0.2">
      <c r="B24" s="51" t="s">
        <v>894</v>
      </c>
      <c r="C24" s="51" t="s">
        <v>884</v>
      </c>
      <c r="D24" s="51" t="s">
        <v>46</v>
      </c>
      <c r="E24" s="51" t="s">
        <v>46</v>
      </c>
    </row>
    <row r="26" spans="2:5" x14ac:dyDescent="0.2">
      <c r="B26" s="51" t="s">
        <v>895</v>
      </c>
      <c r="C26" s="51" t="s">
        <v>887</v>
      </c>
      <c r="D26" s="51" t="s">
        <v>46</v>
      </c>
      <c r="E26" s="51" t="s">
        <v>46</v>
      </c>
    </row>
    <row r="28" spans="2:5" x14ac:dyDescent="0.2">
      <c r="B28" s="51" t="s">
        <v>896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906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2026-08-01T11:27:07Z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