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1E0A41-2041-418F-BC52-415F0700C4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<sst xmlns="http://schemas.openxmlformats.org/spreadsheetml/2006/main" count="3645" uniqueCount="788">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</sst>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46236</v>
      </c>
      <c r="R5" s="867"/>
      <c r="T5" s="868" t="s">
        <v>3</v>
      </c>
      <c r="U5" s="869"/>
      <c r="V5" s="870" t="s">
        <v>751</v>
      </c>
      <c r="W5" s="871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>
        <v>46238</v>
      </c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1209.5999999999999</v>
      </c>
      <c r="Y42" s="53">
        <f>IFERROR(IF(X42="",0,CEILING((X42/$H42),1)*$H42),"")</f>
        <v>1209.6000000000001</v>
      </c>
      <c r="Z42" s="39">
        <f>IFERROR(IF(Y42=0,"",ROUNDUP(Y42/H42,0)*0.01898),"")</f>
        <v>2.1257600000000001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1255.52</v>
      </c>
      <c r="BN42" s="75">
        <f>IFERROR(Y42*I42/H42,"0")</f>
        <v>1255.52</v>
      </c>
      <c r="BO42" s="75">
        <f>IFERROR(1/J42*(X42/H42),"0")</f>
        <v>1.7499999999999998</v>
      </c>
      <c r="BP42" s="75">
        <f>IFERROR(1/J42*(Y42/H42),"0")</f>
        <v>1.75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111.99999999999999</v>
      </c>
      <c r="Y45" s="41">
        <f>IFERROR(Y42/H42,"0")+IFERROR(Y43/H43,"0")+IFERROR(Y44/H44,"0")</f>
        <v>112</v>
      </c>
      <c r="Z45" s="41">
        <f>IFERROR(IF(Z42="",0,Z42),"0")+IFERROR(IF(Z43="",0,Z43),"0")+IFERROR(IF(Z44="",0,Z44),"0")</f>
        <v>2.1257600000000001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1209.5999999999999</v>
      </c>
      <c r="Y46" s="41">
        <f>IFERROR(SUM(Y42:Y44),"0")</f>
        <v>1209.6000000000001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358.4</v>
      </c>
      <c r="Y53" s="53">
        <f t="shared" ref="Y53:Y58" si="6">IFERROR(IF(X53="",0,CEILING((X53/$H53),1)*$H53),"")</f>
        <v>358.4</v>
      </c>
      <c r="Z53" s="39">
        <f>IFERROR(IF(Y53=0,"",ROUNDUP(Y53/H53,0)*0.01898),"")</f>
        <v>0.60736000000000001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371.52</v>
      </c>
      <c r="BN53" s="75">
        <f t="shared" ref="BN53:BN58" si="8">IFERROR(Y53*I53/H53,"0")</f>
        <v>371.52</v>
      </c>
      <c r="BO53" s="75">
        <f t="shared" ref="BO53:BO58" si="9">IFERROR(1/J53*(X53/H53),"0")</f>
        <v>0.5</v>
      </c>
      <c r="BP53" s="75">
        <f t="shared" ref="BP53:BP58" si="10">IFERROR(1/J53*(Y53/H53),"0")</f>
        <v>0.5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617.59999999999991</v>
      </c>
      <c r="Y60" s="41">
        <f>IFERROR(SUM(Y53:Y58),"0")</f>
        <v>617.6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129.6</v>
      </c>
      <c r="Y116" s="53">
        <f>IFERROR(IF(X116="",0,CEILING((X116/$H116),1)*$H116),"")</f>
        <v>129.6</v>
      </c>
      <c r="Z116" s="39">
        <f>IFERROR(IF(Y116=0,"",ROUNDUP(Y116/H116,0)*0.01898),"")</f>
        <v>0.30368000000000001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137.40799999999999</v>
      </c>
      <c r="BN116" s="75">
        <f>IFERROR(Y116*I116/H116,"0")</f>
        <v>137.40799999999999</v>
      </c>
      <c r="BO116" s="75">
        <f>IFERROR(1/J116*(X116/H116),"0")</f>
        <v>0.25</v>
      </c>
      <c r="BP116" s="75">
        <f>IFERROR(1/J116*(Y116/H116),"0")</f>
        <v>0.25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28</v>
      </c>
      <c r="Y120" s="41">
        <f>IFERROR(Y116/H116,"0")+IFERROR(Y117/H117,"0")+IFERROR(Y118/H118,"0")+IFERROR(Y119/H119,"0")</f>
        <v>28</v>
      </c>
      <c r="Z120" s="41">
        <f>IFERROR(IF(Z116="",0,Z116),"0")+IFERROR(IF(Z117="",0,Z117),"0")+IFERROR(IF(Z118="",0,Z118),"0")+IFERROR(IF(Z119="",0,Z119),"0")</f>
        <v>0.38180000000000003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162</v>
      </c>
      <c r="Y121" s="41">
        <f>IFERROR(SUM(Y116:Y119),"0")</f>
        <v>162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83.999999999999986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84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0.61368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277.2</v>
      </c>
      <c r="Y183" s="41">
        <f>IFERROR(SUM(Y167:Y181),"0")</f>
        <v>277.20000000000005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64.8</v>
      </c>
      <c r="Y206" s="53">
        <f t="shared" ref="Y206:Y213" si="16">IFERROR(IF(X206="",0,CEILING((X206/$H206),1)*$H206),"")</f>
        <v>64.800000000000011</v>
      </c>
      <c r="Z206" s="39">
        <f>IFERROR(IF(Y206=0,"",ROUNDUP(Y206/H206,0)*0.00902),"")</f>
        <v>0.10824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67.079999999999984</v>
      </c>
      <c r="BN206" s="75">
        <f t="shared" ref="BN206:BN213" si="18">IFERROR(Y206*I206/H206,"0")</f>
        <v>67.08</v>
      </c>
      <c r="BO206" s="75">
        <f t="shared" ref="BO206:BO213" si="19">IFERROR(1/J206*(X206/H206),"0")</f>
        <v>9.0909090909090898E-2</v>
      </c>
      <c r="BP206" s="75">
        <f t="shared" ref="BP206:BP213" si="20">IFERROR(1/J206*(Y206/H206),"0")</f>
        <v>9.0909090909090925E-2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59.999999999999993</v>
      </c>
      <c r="Y214" s="41">
        <f>IFERROR(Y206/H206,"0")+IFERROR(Y207/H207,"0")+IFERROR(Y208/H208,"0")+IFERROR(Y209/H209,"0")+IFERROR(Y210/H210,"0")+IFERROR(Y211/H211,"0")+IFERROR(Y212/H212,"0")+IFERROR(Y213/H213,"0")</f>
        <v>60.000000000000007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0.54120000000000001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324</v>
      </c>
      <c r="Y215" s="41">
        <f>IFERROR(SUM(Y206:Y213),"0")</f>
        <v>324.00000000000006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240</v>
      </c>
      <c r="Y226" s="41">
        <f>IFERROR(Y217/H217,"0")+IFERROR(Y218/H218,"0")+IFERROR(Y219/H219,"0")+IFERROR(Y220/H220,"0")+IFERROR(Y221/H221,"0")+IFERROR(Y222/H222,"0")+IFERROR(Y223/H223,"0")+IFERROR(Y224/H224,"0")+IFERROR(Y225/H225,"0")</f>
        <v>240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2.1609600000000002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878.40000000000009</v>
      </c>
      <c r="Y227" s="41">
        <f>IFERROR(SUM(Y217:Y225),"0")</f>
        <v>878.4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835.19999999999993</v>
      </c>
      <c r="Y326" s="41">
        <f>IFERROR(SUM(Y322:Y324),"0")</f>
        <v>835.19999999999993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hidden="1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118</v>
      </c>
      <c r="Y357" s="41">
        <f>IFERROR(Y350/H350,"0")+IFERROR(Y351/H351,"0")+IFERROR(Y352/H352,"0")+IFERROR(Y353/H353,"0")+IFERROR(Y354/H354,"0")+IFERROR(Y355/H355,"0")+IFERROR(Y356/H356,"0")</f>
        <v>118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2.5664999999999996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1770</v>
      </c>
      <c r="Y358" s="41">
        <f>IFERROR(SUM(Y350:Y356),"0")</f>
        <v>1770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288</v>
      </c>
      <c r="Y384" s="53">
        <f>IFERROR(IF(X384="",0,CEILING((X384/$H384),1)*$H384),"")</f>
        <v>288</v>
      </c>
      <c r="Z384" s="39">
        <f>IFERROR(IF(Y384=0,"",ROUNDUP(Y384/H384,0)*0.01898),"")</f>
        <v>0.60736000000000001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303.80799999999999</v>
      </c>
      <c r="BN384" s="75">
        <f>IFERROR(Y384*I384/H384,"0")</f>
        <v>303.80799999999999</v>
      </c>
      <c r="BO384" s="75">
        <f>IFERROR(1/J384*(X384/H384),"0")</f>
        <v>0.5</v>
      </c>
      <c r="BP384" s="75">
        <f>IFERROR(1/J384*(Y384/H384),"0")</f>
        <v>0.5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68</v>
      </c>
      <c r="Y387" s="41">
        <f>IFERROR(Y384/H384,"0")+IFERROR(Y385/H385,"0")+IFERROR(Y386/H386,"0")</f>
        <v>68</v>
      </c>
      <c r="Z387" s="41">
        <f>IFERROR(IF(Z384="",0,Z384),"0")+IFERROR(IF(Z385="",0,Z385),"0")+IFERROR(IF(Z386="",0,Z386),"0")</f>
        <v>0.84172000000000002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374.4</v>
      </c>
      <c r="Y388" s="41">
        <f>IFERROR(SUM(Y384:Y386),"0")</f>
        <v>374.4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422.4</v>
      </c>
      <c r="Y440" s="41">
        <f>IFERROR(SUM(Y427:Y438),"0")</f>
        <v>422.4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9497.5999999999967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9497.5999999999985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9959.4240000000063</v>
      </c>
      <c r="Y489" s="41">
        <f>IFERROR(SUM(BN22:BN485),"0")</f>
        <v>9959.4240000000063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16</v>
      </c>
      <c r="Y490" s="42">
        <f>ROUNDUP(SUM(BP22:BP485),0)</f>
        <v>16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10359.424000000006</v>
      </c>
      <c r="Y491" s="41">
        <f>GrossWeightTotalR+PalletQtyTotalR*25</f>
        <v>10359.424000000006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1290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1290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18.217100000000002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1209.6000000000001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876.80000000000007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939.6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277.20000000000005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1202.4000000000001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835.19999999999993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2274</v>
      </c>
      <c r="T498" s="50">
        <f>IFERROR(Y375*1,"0")+IFERROR(Y376*1,"0")+IFERROR(Y380*1,"0")+IFERROR(Y384*1,"0")+IFERROR(Y385*1,"0")+IFERROR(Y386*1,"0")</f>
        <v>374.4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633.6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9,60"/>
        <filter val="1 290,00"/>
        <filter val="1 770,00"/>
        <filter val="10 359,42"/>
        <filter val="104,00"/>
        <filter val="112,00"/>
        <filter val="115,20"/>
        <filter val="118,00"/>
        <filter val="126,72"/>
        <filter val="129,60"/>
        <filter val="134,40"/>
        <filter val="144,00"/>
        <filter val="151,20"/>
        <filter val="16"/>
        <filter val="16,00"/>
        <filter val="162,00"/>
        <filter val="168,96"/>
        <filter val="172,80"/>
        <filter val="194,40"/>
        <filter val="201,60"/>
        <filter val="24,00"/>
        <filter val="240,00"/>
        <filter val="259,20"/>
        <filter val="270,00"/>
        <filter val="277,20"/>
        <filter val="28,00"/>
        <filter val="288,00"/>
        <filter val="295,68"/>
        <filter val="32,00"/>
        <filter val="32,40"/>
        <filter val="324,00"/>
        <filter val="358,40"/>
        <filter val="360,00"/>
        <filter val="37,80"/>
        <filter val="374,40"/>
        <filter val="40,00"/>
        <filter val="417,60"/>
        <filter val="42,24"/>
        <filter val="422,40"/>
        <filter val="432,00"/>
        <filter val="499,20"/>
        <filter val="50,40"/>
        <filter val="52,00"/>
        <filter val="56,00"/>
        <filter val="60,00"/>
        <filter val="617,60"/>
        <filter val="64,80"/>
        <filter val="68,00"/>
        <filter val="72,00"/>
        <filter val="720,00"/>
        <filter val="75,60"/>
        <filter val="777,60"/>
        <filter val="8,00"/>
        <filter val="80,00"/>
        <filter val="810,00"/>
        <filter val="835,20"/>
        <filter val="84,00"/>
        <filter val="84,48"/>
        <filter val="86,40"/>
        <filter val="878,40"/>
        <filter val="9 497,60"/>
        <filter val="9 959,42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2026-07-30T11:13:10Z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