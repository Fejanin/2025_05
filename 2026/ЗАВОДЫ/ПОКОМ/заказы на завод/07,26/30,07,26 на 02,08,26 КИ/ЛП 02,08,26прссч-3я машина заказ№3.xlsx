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215D018-2BE5-46DB-8438-B7001017FB2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P427" i="2"/>
  <c r="BO426" i="2"/>
  <c r="BM426" i="2"/>
  <c r="Y426" i="2"/>
  <c r="BN426" i="2" s="1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P142" i="2"/>
  <c r="BO141" i="2"/>
  <c r="BM141" i="2"/>
  <c r="Y141" i="2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405" i="2" l="1"/>
  <c r="Z91" i="2"/>
  <c r="Z211" i="2"/>
  <c r="BN211" i="2"/>
  <c r="Z225" i="2"/>
  <c r="Z342" i="2"/>
  <c r="BN342" i="2"/>
  <c r="Z273" i="2"/>
  <c r="BN273" i="2"/>
  <c r="Z423" i="2"/>
  <c r="BN423" i="2"/>
  <c r="Z181" i="2"/>
  <c r="Z240" i="2"/>
  <c r="Z304" i="2"/>
  <c r="Z367" i="2"/>
  <c r="Z441" i="2"/>
  <c r="Z62" i="2"/>
  <c r="Z116" i="2"/>
  <c r="Z198" i="2"/>
  <c r="Z249" i="2"/>
  <c r="Z283" i="2"/>
  <c r="Z327" i="2"/>
  <c r="Z428" i="2"/>
  <c r="Z503" i="2"/>
  <c r="BN503" i="2"/>
  <c r="X555" i="2"/>
  <c r="Z28" i="2"/>
  <c r="Z88" i="2"/>
  <c r="BN88" i="2"/>
  <c r="Y93" i="2"/>
  <c r="Z98" i="2"/>
  <c r="Z135" i="2"/>
  <c r="Z166" i="2"/>
  <c r="BN166" i="2"/>
  <c r="Y170" i="2"/>
  <c r="Z178" i="2"/>
  <c r="Z185" i="2"/>
  <c r="BN185" i="2"/>
  <c r="Z208" i="2"/>
  <c r="Z226" i="2"/>
  <c r="BP234" i="2"/>
  <c r="BP244" i="2"/>
  <c r="Z269" i="2"/>
  <c r="BN269" i="2"/>
  <c r="Z295" i="2"/>
  <c r="BN295" i="2"/>
  <c r="Z307" i="2"/>
  <c r="BN307" i="2"/>
  <c r="Z311" i="2"/>
  <c r="Z312" i="2" s="1"/>
  <c r="Z346" i="2"/>
  <c r="Z366" i="2"/>
  <c r="Z383" i="2"/>
  <c r="BN383" i="2"/>
  <c r="Z415" i="2"/>
  <c r="BP426" i="2"/>
  <c r="Z501" i="2"/>
  <c r="Z538" i="2"/>
  <c r="Z539" i="2" s="1"/>
  <c r="BN29" i="2"/>
  <c r="Y47" i="2"/>
  <c r="Y55" i="2"/>
  <c r="BP83" i="2"/>
  <c r="BN120" i="2"/>
  <c r="H561" i="2"/>
  <c r="BP132" i="2"/>
  <c r="BN139" i="2"/>
  <c r="Y143" i="2"/>
  <c r="Z139" i="2"/>
  <c r="BN141" i="2"/>
  <c r="Z14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329" i="2"/>
  <c r="Z329" i="2"/>
  <c r="BN337" i="2"/>
  <c r="Z337" i="2"/>
  <c r="Y370" i="2"/>
  <c r="Z363" i="2"/>
  <c r="BN384" i="2"/>
  <c r="BN391" i="2"/>
  <c r="BP391" i="2"/>
  <c r="Y412" i="2"/>
  <c r="Z408" i="2"/>
  <c r="BN416" i="2"/>
  <c r="Z416" i="2"/>
  <c r="BP427" i="2"/>
  <c r="Z427" i="2"/>
  <c r="Y437" i="2"/>
  <c r="Y459" i="2"/>
  <c r="Z457" i="2"/>
  <c r="Z458" i="2" s="1"/>
  <c r="BN504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Z84" i="2" s="1"/>
  <c r="Y85" i="2"/>
  <c r="BP90" i="2"/>
  <c r="Z95" i="2"/>
  <c r="BP98" i="2"/>
  <c r="BN121" i="2"/>
  <c r="Z132" i="2"/>
  <c r="BP141" i="2"/>
  <c r="BP142" i="2"/>
  <c r="BN142" i="2"/>
  <c r="Z142" i="2"/>
  <c r="BN149" i="2"/>
  <c r="Z149" i="2"/>
  <c r="Y162" i="2"/>
  <c r="Y163" i="2"/>
  <c r="Z161" i="2"/>
  <c r="Z162" i="2" s="1"/>
  <c r="BN184" i="2"/>
  <c r="Z184" i="2"/>
  <c r="BP187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BP319" i="2"/>
  <c r="Z319" i="2"/>
  <c r="BP329" i="2"/>
  <c r="BP330" i="2"/>
  <c r="Z330" i="2"/>
  <c r="BP344" i="2"/>
  <c r="BN344" i="2"/>
  <c r="Z344" i="2"/>
  <c r="BP363" i="2"/>
  <c r="BN364" i="2"/>
  <c r="BP372" i="2"/>
  <c r="Z372" i="2"/>
  <c r="BP377" i="2"/>
  <c r="Z377" i="2"/>
  <c r="BP408" i="2"/>
  <c r="BP409" i="2"/>
  <c r="Z409" i="2"/>
  <c r="BP416" i="2"/>
  <c r="BN417" i="2"/>
  <c r="BN425" i="2"/>
  <c r="Z425" i="2"/>
  <c r="BN434" i="2"/>
  <c r="Z434" i="2"/>
  <c r="BP457" i="2"/>
  <c r="BP469" i="2"/>
  <c r="Z469" i="2"/>
  <c r="BP478" i="2"/>
  <c r="BN478" i="2"/>
  <c r="Z478" i="2"/>
  <c r="Y486" i="2"/>
  <c r="BP484" i="2"/>
  <c r="Y531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Y331" i="2"/>
  <c r="BP327" i="2"/>
  <c r="BN328" i="2"/>
  <c r="Y369" i="2"/>
  <c r="BP365" i="2"/>
  <c r="BP366" i="2"/>
  <c r="BN375" i="2"/>
  <c r="Y387" i="2"/>
  <c r="BP385" i="2"/>
  <c r="BN396" i="2"/>
  <c r="BP428" i="2"/>
  <c r="BN429" i="2"/>
  <c r="BP441" i="2"/>
  <c r="W561" i="2"/>
  <c r="BN453" i="2"/>
  <c r="BN470" i="2"/>
  <c r="BN479" i="2"/>
  <c r="BN489" i="2"/>
  <c r="BP501" i="2"/>
  <c r="BN515" i="2"/>
  <c r="Y37" i="2"/>
  <c r="BP209" i="2"/>
  <c r="Z209" i="2"/>
  <c r="BN250" i="2"/>
  <c r="BP250" i="2"/>
  <c r="Z250" i="2"/>
  <c r="B561" i="2"/>
  <c r="X551" i="2"/>
  <c r="Y32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Z480" i="2" s="1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51" i="2" l="1"/>
  <c r="Z386" i="2"/>
  <c r="Z199" i="2"/>
  <c r="Z99" i="2"/>
  <c r="Z418" i="2"/>
  <c r="Z322" i="2"/>
  <c r="Z454" i="2"/>
  <c r="Z437" i="2"/>
  <c r="Z347" i="2"/>
  <c r="Z143" i="2"/>
  <c r="Z297" i="2"/>
  <c r="X554" i="2"/>
  <c r="Z292" i="2"/>
  <c r="Z431" i="2"/>
  <c r="Z338" i="2"/>
  <c r="Z277" i="2"/>
  <c r="Z136" i="2"/>
  <c r="Z379" i="2"/>
  <c r="Z331" i="2"/>
  <c r="Z55" i="2"/>
  <c r="Z411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<sst xmlns="http://schemas.openxmlformats.org/spreadsheetml/2006/main" count="4202" uniqueCount="896">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</sst>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46236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0.45833333333333331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54.6</v>
      </c>
      <c r="Y30" s="55">
        <f>IFERROR(IF(X30="",0,CEILING((X30/$H30),1)*$H30),"")</f>
        <v>55.800000000000004</v>
      </c>
      <c r="Z30" s="41">
        <f>IFERROR(IF(Y30=0,"",ROUNDUP(Y30/H30,0)*0.00651),"")</f>
        <v>0.20181000000000002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96.460000000000008</v>
      </c>
      <c r="BN30" s="78">
        <f>IFERROR(Y30*I30/H30,"0")</f>
        <v>98.580000000000013</v>
      </c>
      <c r="BO30" s="78">
        <f>IFERROR(1/J30*(X30/H30),"0")</f>
        <v>0.16666666666666669</v>
      </c>
      <c r="BP30" s="78">
        <f>IFERROR(1/J30*(Y30/H30),"0")</f>
        <v>0.17032967032967034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30.333333333333332</v>
      </c>
      <c r="Y32" s="43">
        <f>IFERROR(Y27/H27,"0")+IFERROR(Y28/H28,"0")+IFERROR(Y29/H29,"0")+IFERROR(Y30/H30,"0")+IFERROR(Y31/H31,"0")</f>
        <v>31</v>
      </c>
      <c r="Z32" s="43">
        <f>IFERROR(IF(Z27="",0,Z27),"0")+IFERROR(IF(Z28="",0,Z28),"0")+IFERROR(IF(Z29="",0,Z29),"0")+IFERROR(IF(Z30="",0,Z30),"0")+IFERROR(IF(Z31="",0,Z31),"0")</f>
        <v>0.20181000000000002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54.6</v>
      </c>
      <c r="Y33" s="43">
        <f>IFERROR(SUM(Y27:Y31),"0")</f>
        <v>55.800000000000004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83.72</v>
      </c>
      <c r="Y53" s="55">
        <f>IFERROR(IF(X53="",0,CEILING((X53/$H53),1)*$H53),"")</f>
        <v>84</v>
      </c>
      <c r="Z53" s="41">
        <f>IFERROR(IF(Y53=0,"",ROUNDUP(Y53/H53,0)*0.00902),"")</f>
        <v>0.18942000000000001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87.696700000000007</v>
      </c>
      <c r="BN53" s="78">
        <f>IFERROR(Y53*I53/H53,"0")</f>
        <v>87.990000000000009</v>
      </c>
      <c r="BO53" s="78">
        <f>IFERROR(1/J53*(X53/H53),"0")</f>
        <v>0.15856060606060607</v>
      </c>
      <c r="BP53" s="78">
        <f>IFERROR(1/J53*(Y53/H53),"0")</f>
        <v>0.15909090909090909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20.93</v>
      </c>
      <c r="Y55" s="43">
        <f>IFERROR(Y51/H51,"0")+IFERROR(Y52/H52,"0")+IFERROR(Y53/H53,"0")+IFERROR(Y54/H54,"0")</f>
        <v>21</v>
      </c>
      <c r="Z55" s="43">
        <f>IFERROR(IF(Z51="",0,Z51),"0")+IFERROR(IF(Z52="",0,Z52),"0")+IFERROR(IF(Z53="",0,Z53),"0")+IFERROR(IF(Z54="",0,Z54),"0")</f>
        <v>0.18942000000000001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83.72</v>
      </c>
      <c r="Y56" s="43">
        <f>IFERROR(SUM(Y51:Y54),"0")</f>
        <v>84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65.507000000000005</v>
      </c>
      <c r="Y73" s="55">
        <f>IFERROR(IF(X73="",0,CEILING((X73/$H73),1)*$H73),"")</f>
        <v>67.5</v>
      </c>
      <c r="Z73" s="41">
        <f>IFERROR(IF(Y73=0,"",ROUNDUP(Y73/H73,0)*0.00651),"")</f>
        <v>0.16275000000000001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69.874133333333333</v>
      </c>
      <c r="BN73" s="78">
        <f>IFERROR(Y73*I73/H73,"0")</f>
        <v>72</v>
      </c>
      <c r="BO73" s="78">
        <f>IFERROR(1/J73*(X73/H73),"0")</f>
        <v>0.13330687830687832</v>
      </c>
      <c r="BP73" s="78">
        <f>IFERROR(1/J73*(Y73/H73),"0")</f>
        <v>0.13736263736263737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24.261851851851851</v>
      </c>
      <c r="Y74" s="43">
        <f>IFERROR(Y70/H70,"0")+IFERROR(Y71/H71,"0")+IFERROR(Y72/H72,"0")+IFERROR(Y73/H73,"0")</f>
        <v>25</v>
      </c>
      <c r="Z74" s="43">
        <f>IFERROR(IF(Z70="",0,Z70),"0")+IFERROR(IF(Z71="",0,Z71),"0")+IFERROR(IF(Z72="",0,Z72),"0")+IFERROR(IF(Z73="",0,Z73),"0")</f>
        <v>0.16275000000000001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65.507000000000005</v>
      </c>
      <c r="Y75" s="43">
        <f>IFERROR(SUM(Y70:Y73),"0")</f>
        <v>67.5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45.08</v>
      </c>
      <c r="Y77" s="55">
        <f>IFERROR(IF(X77="",0,CEILING((X77/$H77),1)*$H77),"")</f>
        <v>46.800000000000004</v>
      </c>
      <c r="Z77" s="41">
        <f>IFERROR(IF(Y77=0,"",ROUNDUP(Y77/H77,0)*0.00651),"")</f>
        <v>0.16925999999999999</v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51.240933333333331</v>
      </c>
      <c r="BN77" s="78">
        <f>IFERROR(Y77*I77/H77,"0")</f>
        <v>53.195999999999998</v>
      </c>
      <c r="BO77" s="78">
        <f>IFERROR(1/J77*(X77/H77),"0")</f>
        <v>0.13760683760683762</v>
      </c>
      <c r="BP77" s="78">
        <f>IFERROR(1/J77*(Y77/H77),"0")</f>
        <v>0.14285714285714288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42.262999999999998</v>
      </c>
      <c r="Y78" s="55">
        <f>IFERROR(IF(X78="",0,CEILING((X78/$H78),1)*$H78),"")</f>
        <v>43.2</v>
      </c>
      <c r="Z78" s="41">
        <f>IFERROR(IF(Y78=0,"",ROUNDUP(Y78/H78,0)*0.00651),"")</f>
        <v>0.15623999999999999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46.4893</v>
      </c>
      <c r="BN78" s="78">
        <f>IFERROR(Y78*I78/H78,"0")</f>
        <v>47.52</v>
      </c>
      <c r="BO78" s="78">
        <f>IFERROR(1/J78*(X78/H78),"0")</f>
        <v>0.12900793650793652</v>
      </c>
      <c r="BP78" s="78">
        <f>IFERROR(1/J78*(Y78/H78),"0")</f>
        <v>0.13186813186813187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48.523888888888891</v>
      </c>
      <c r="Y79" s="43">
        <f>IFERROR(Y77/H77,"0")+IFERROR(Y78/H78,"0")</f>
        <v>50</v>
      </c>
      <c r="Z79" s="43">
        <f>IFERROR(IF(Z77="",0,Z77),"0")+IFERROR(IF(Z78="",0,Z78),"0")</f>
        <v>0.32550000000000001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87.342999999999989</v>
      </c>
      <c r="Y80" s="43">
        <f>IFERROR(SUM(Y77:Y78),"0")</f>
        <v>90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41.32</v>
      </c>
      <c r="Y83" s="55">
        <f>IFERROR(IF(X83="",0,CEILING((X83/$H83),1)*$H83),"")</f>
        <v>43.199999999999996</v>
      </c>
      <c r="Z83" s="41">
        <f>IFERROR(IF(Y83=0,"",ROUNDUP(Y83/H83,0)*0.00902),"")</f>
        <v>0.16236</v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44.591166666666666</v>
      </c>
      <c r="BN83" s="78">
        <f>IFERROR(Y83*I83/H83,"0")</f>
        <v>46.61999999999999</v>
      </c>
      <c r="BO83" s="78">
        <f>IFERROR(1/J83*(X83/H83),"0")</f>
        <v>0.13042929292929295</v>
      </c>
      <c r="BP83" s="78">
        <f>IFERROR(1/J83*(Y83/H83),"0")</f>
        <v>0.13636363636363635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17.216666666666669</v>
      </c>
      <c r="Y84" s="43">
        <f>IFERROR(Y82/H82,"0")+IFERROR(Y83/H83,"0")</f>
        <v>18</v>
      </c>
      <c r="Z84" s="43">
        <f>IFERROR(IF(Z82="",0,Z82),"0")+IFERROR(IF(Z83="",0,Z83),"0")</f>
        <v>0.16236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41.32</v>
      </c>
      <c r="Y85" s="43">
        <f>IFERROR(SUM(Y82:Y83),"0")</f>
        <v>43.199999999999996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15.64</v>
      </c>
      <c r="Y89" s="55">
        <f>IFERROR(IF(X89="",0,CEILING((X89/$H89),1)*$H89),"")</f>
        <v>17</v>
      </c>
      <c r="Z89" s="41">
        <f>IFERROR(IF(Y89=0,"",ROUNDUP(Y89/H89,0)*0.00726),"")</f>
        <v>7.2599999999999998E-2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16.560000000000002</v>
      </c>
      <c r="BN89" s="78">
        <f>IFERROR(Y89*I89/H89,"0")</f>
        <v>18</v>
      </c>
      <c r="BO89" s="78">
        <f>IFERROR(1/J89*(X89/H89),"0")</f>
        <v>4.791666666666667E-2</v>
      </c>
      <c r="BP89" s="78">
        <f>IFERROR(1/J89*(Y89/H89),"0")</f>
        <v>5.2083333333333329E-2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9.2000000000000011</v>
      </c>
      <c r="Y92" s="43">
        <f>IFERROR(Y88/H88,"0")+IFERROR(Y89/H89,"0")+IFERROR(Y90/H90,"0")+IFERROR(Y91/H91,"0")</f>
        <v>10</v>
      </c>
      <c r="Z92" s="43">
        <f>IFERROR(IF(Z88="",0,Z88),"0")+IFERROR(IF(Z89="",0,Z89),"0")+IFERROR(IF(Z90="",0,Z90),"0")+IFERROR(IF(Z91="",0,Z91),"0")</f>
        <v>7.2599999999999998E-2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15.64</v>
      </c>
      <c r="Y93" s="43">
        <f>IFERROR(SUM(Y88:Y91),"0")</f>
        <v>17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156.37100000000001</v>
      </c>
      <c r="Y97" s="55">
        <f>IFERROR(IF(X97="",0,CEILING((X97/$H97),1)*$H97),"")</f>
        <v>156.60000000000002</v>
      </c>
      <c r="Z97" s="41">
        <f>IFERROR(IF(Y97=0,"",ROUNDUP(Y97/H97,0)*0.00651),"")</f>
        <v>0.37758000000000003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170.96562666666665</v>
      </c>
      <c r="BN97" s="78">
        <f>IFERROR(Y97*I97/H97,"0")</f>
        <v>171.21600000000001</v>
      </c>
      <c r="BO97" s="78">
        <f>IFERROR(1/J97*(X97/H97),"0")</f>
        <v>0.31821530321530322</v>
      </c>
      <c r="BP97" s="78">
        <f>IFERROR(1/J97*(Y97/H97),"0")</f>
        <v>0.31868131868131877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57.915185185185187</v>
      </c>
      <c r="Y99" s="43">
        <f>IFERROR(Y95/H95,"0")+IFERROR(Y96/H96,"0")+IFERROR(Y97/H97,"0")+IFERROR(Y98/H98,"0")</f>
        <v>58.000000000000007</v>
      </c>
      <c r="Z99" s="43">
        <f>IFERROR(IF(Z95="",0,Z95),"0")+IFERROR(IF(Z96="",0,Z96),"0")+IFERROR(IF(Z97="",0,Z97),"0")+IFERROR(IF(Z98="",0,Z98),"0")</f>
        <v>0.37758000000000003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156.37100000000001</v>
      </c>
      <c r="Y100" s="43">
        <f>IFERROR(SUM(Y95:Y98),"0")</f>
        <v>156.60000000000002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11.88</v>
      </c>
      <c r="Y104" s="55">
        <f t="shared" si="5"/>
        <v>12.100000000000001</v>
      </c>
      <c r="Z104" s="41">
        <f>IFERROR(IF(Y104=0,"",ROUNDUP(Y104/H104,0)*0.00726),"")</f>
        <v>7.986E-2</v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14.148</v>
      </c>
      <c r="BN104" s="78">
        <f t="shared" si="7"/>
        <v>14.410000000000002</v>
      </c>
      <c r="BO104" s="78">
        <f t="shared" si="8"/>
        <v>5.6250000000000001E-2</v>
      </c>
      <c r="BP104" s="78">
        <f t="shared" si="9"/>
        <v>5.7291666666666664E-2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10.8</v>
      </c>
      <c r="Y109" s="43">
        <f>IFERROR(Y103/H103,"0")+IFERROR(Y104/H104,"0")+IFERROR(Y105/H105,"0")+IFERROR(Y106/H106,"0")+IFERROR(Y107/H107,"0")+IFERROR(Y108/H108,"0")</f>
        <v>11</v>
      </c>
      <c r="Z109" s="43">
        <f>IFERROR(IF(Z103="",0,Z103),"0")+IFERROR(IF(Z104="",0,Z104),"0")+IFERROR(IF(Z105="",0,Z105),"0")+IFERROR(IF(Z106="",0,Z106),"0")+IFERROR(IF(Z107="",0,Z107),"0")+IFERROR(IF(Z108="",0,Z108),"0")</f>
        <v>7.986E-2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11.88</v>
      </c>
      <c r="Y110" s="43">
        <f>IFERROR(SUM(Y103:Y108),"0")</f>
        <v>12.100000000000001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11.605</v>
      </c>
      <c r="Y113" s="55">
        <f>IFERROR(IF(X113="",0,CEILING((X113/$H113),1)*$H113),"")</f>
        <v>12</v>
      </c>
      <c r="Z113" s="41">
        <f>IFERROR(IF(Y113=0,"",ROUNDUP(Y113/H113,0)*0.00358),"")</f>
        <v>4.2959999999999998E-2</v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14.04205</v>
      </c>
      <c r="BN113" s="78">
        <f>IFERROR(Y113*I113/H113,"0")</f>
        <v>14.52</v>
      </c>
      <c r="BO113" s="78">
        <f>IFERROR(1/J113*(X113/H113),"0")</f>
        <v>2.9604591836734691E-2</v>
      </c>
      <c r="BP113" s="78">
        <f>IFERROR(1/J113*(Y113/H113),"0")</f>
        <v>3.0612244897959183E-2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11.605</v>
      </c>
      <c r="Y117" s="43">
        <f>IFERROR(Y112/H112,"0")+IFERROR(Y113/H113,"0")+IFERROR(Y114/H114,"0")+IFERROR(Y115/H115,"0")+IFERROR(Y116/H116,"0")</f>
        <v>12</v>
      </c>
      <c r="Z117" s="43">
        <f>IFERROR(IF(Z112="",0,Z112),"0")+IFERROR(IF(Z113="",0,Z113),"0")+IFERROR(IF(Z114="",0,Z114),"0")+IFERROR(IF(Z115="",0,Z115),"0")+IFERROR(IF(Z116="",0,Z116),"0")</f>
        <v>4.2959999999999998E-2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11.605</v>
      </c>
      <c r="Y118" s="43">
        <f>IFERROR(SUM(Y112:Y116),"0")</f>
        <v>12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78.688999999999993</v>
      </c>
      <c r="Y123" s="55">
        <f>IFERROR(IF(X123="",0,CEILING((X123/$H123),1)*$H123),"")</f>
        <v>79.2</v>
      </c>
      <c r="Z123" s="41">
        <f>IFERROR(IF(Y123=0,"",ROUNDUP(Y123/H123,0)*0.00651),"")</f>
        <v>0.28644000000000003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86.557899999999989</v>
      </c>
      <c r="BN123" s="78">
        <f>IFERROR(Y123*I123/H123,"0")</f>
        <v>87.12</v>
      </c>
      <c r="BO123" s="78">
        <f>IFERROR(1/J123*(X123/H123),"0")</f>
        <v>0.24019841269841269</v>
      </c>
      <c r="BP123" s="78">
        <f>IFERROR(1/J123*(Y123/H123),"0")</f>
        <v>0.24175824175824179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43.716111111111104</v>
      </c>
      <c r="Y124" s="43">
        <f>IFERROR(Y120/H120,"0")+IFERROR(Y121/H121,"0")+IFERROR(Y122/H122,"0")+IFERROR(Y123/H123,"0")</f>
        <v>44</v>
      </c>
      <c r="Z124" s="43">
        <f>IFERROR(IF(Z120="",0,Z120),"0")+IFERROR(IF(Z121="",0,Z121),"0")+IFERROR(IF(Z122="",0,Z122),"0")+IFERROR(IF(Z123="",0,Z123),"0")</f>
        <v>0.28644000000000003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78.688999999999993</v>
      </c>
      <c r="Y125" s="43">
        <f>IFERROR(SUM(Y120:Y123),"0")</f>
        <v>79.2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10.25</v>
      </c>
      <c r="Y226" s="55">
        <f t="shared" si="21"/>
        <v>10.4</v>
      </c>
      <c r="Z226" s="41">
        <f>IFERROR(IF(Y226=0,"",ROUNDUP(Y226/H226,0)*0.00556),"")</f>
        <v>7.2279999999999997E-2</v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11.915625</v>
      </c>
      <c r="BN226" s="78">
        <f t="shared" si="23"/>
        <v>12.09</v>
      </c>
      <c r="BO226" s="78">
        <f t="shared" si="24"/>
        <v>5.0843253968253968E-2</v>
      </c>
      <c r="BP226" s="78">
        <f t="shared" si="25"/>
        <v>5.1587301587301584E-2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10.95</v>
      </c>
      <c r="Y233" s="55">
        <f t="shared" si="21"/>
        <v>11.200000000000001</v>
      </c>
      <c r="Z233" s="41">
        <f>IFERROR(IF(Y233=0,"",ROUNDUP(Y233/H233,0)*0.00417),"")</f>
        <v>5.8380000000000001E-2</v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13.824375</v>
      </c>
      <c r="BN233" s="78">
        <f t="shared" si="23"/>
        <v>14.14</v>
      </c>
      <c r="BO233" s="78">
        <f t="shared" si="24"/>
        <v>4.0736607142857137E-2</v>
      </c>
      <c r="BP233" s="78">
        <f t="shared" si="25"/>
        <v>4.1666666666666664E-2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26.5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27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0.13066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21.2</v>
      </c>
      <c r="Y238" s="43">
        <f>IFERROR(SUM(Y223:Y236),"0")</f>
        <v>21.6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146.51</v>
      </c>
      <c r="Y286" s="55">
        <f t="shared" si="32"/>
        <v>148.79999999999998</v>
      </c>
      <c r="Z286" s="41">
        <f>IFERROR(IF(Y286=0,"",ROUNDUP(Y286/H286,0)*0.00651),"")</f>
        <v>0.40362000000000003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161.89355</v>
      </c>
      <c r="BN286" s="78">
        <f t="shared" si="34"/>
        <v>164.42400000000001</v>
      </c>
      <c r="BO286" s="78">
        <f t="shared" si="35"/>
        <v>0.3354166666666667</v>
      </c>
      <c r="BP286" s="78">
        <f t="shared" si="36"/>
        <v>0.34065934065934067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112.7</v>
      </c>
      <c r="Y288" s="55">
        <f t="shared" si="32"/>
        <v>112.8</v>
      </c>
      <c r="Z288" s="41">
        <f>IFERROR(IF(Y288=0,"",ROUNDUP(Y288/H288,0)*0.00651),"")</f>
        <v>0.30597000000000002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124.5335</v>
      </c>
      <c r="BN288" s="78">
        <f t="shared" si="34"/>
        <v>124.64400000000001</v>
      </c>
      <c r="BO288" s="78">
        <f t="shared" si="35"/>
        <v>0.25801282051282054</v>
      </c>
      <c r="BP288" s="78">
        <f t="shared" si="36"/>
        <v>0.25824175824175827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108.00416666666666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109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0.70959000000000005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259.20999999999998</v>
      </c>
      <c r="Y293" s="43">
        <f>IFERROR(SUM(Y280:Y291),"0")</f>
        <v>261.59999999999997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102.5</v>
      </c>
      <c r="Y304" s="55">
        <f t="shared" si="37"/>
        <v>104</v>
      </c>
      <c r="Z304" s="41">
        <f>IFERROR(IF(Y304=0,"",ROUNDUP(Y304/H304,0)*0.00902),"")</f>
        <v>0.23452000000000001</v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107.36875000000001</v>
      </c>
      <c r="BN304" s="78">
        <f t="shared" si="39"/>
        <v>108.94000000000001</v>
      </c>
      <c r="BO304" s="78">
        <f t="shared" si="40"/>
        <v>0.19412878787878787</v>
      </c>
      <c r="BP304" s="78">
        <f t="shared" si="41"/>
        <v>0.19696969696969696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90.16</v>
      </c>
      <c r="Y307" s="55">
        <f t="shared" si="37"/>
        <v>92</v>
      </c>
      <c r="Z307" s="41">
        <f>IFERROR(IF(Y307=0,"",ROUNDUP(Y307/H307,0)*0.00902),"")</f>
        <v>0.20746000000000001</v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94.442599999999999</v>
      </c>
      <c r="BN307" s="78">
        <f t="shared" si="39"/>
        <v>96.37</v>
      </c>
      <c r="BO307" s="78">
        <f t="shared" si="40"/>
        <v>0.17075757575757575</v>
      </c>
      <c r="BP307" s="78">
        <f t="shared" si="41"/>
        <v>0.17424242424242425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48.164999999999999</v>
      </c>
      <c r="Y308" s="43">
        <f>IFERROR(Y301/H301,"0")+IFERROR(Y302/H302,"0")+IFERROR(Y303/H303,"0")+IFERROR(Y304/H304,"0")+IFERROR(Y305/H305,"0")+IFERROR(Y306/H306,"0")+IFERROR(Y307/H307,"0")</f>
        <v>49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0.44198000000000004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192.66</v>
      </c>
      <c r="Y309" s="43">
        <f>IFERROR(SUM(Y301:Y307),"0")</f>
        <v>196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34</v>
      </c>
      <c r="Y330" s="55">
        <f>IFERROR(IF(X330="",0,CEILING((X330/$H330),1)*$H330),"")</f>
        <v>36</v>
      </c>
      <c r="Z330" s="41">
        <f>IFERROR(IF(Y330=0,"",ROUNDUP(Y330/H330,0)*0.00902),"")</f>
        <v>8.1180000000000002E-2</v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35.615000000000002</v>
      </c>
      <c r="BN330" s="78">
        <f>IFERROR(Y330*I330/H330,"0")</f>
        <v>37.71</v>
      </c>
      <c r="BO330" s="78">
        <f>IFERROR(1/J330*(X330/H330),"0")</f>
        <v>6.4393939393939392E-2</v>
      </c>
      <c r="BP330" s="78">
        <f>IFERROR(1/J330*(Y330/H330),"0")</f>
        <v>6.8181818181818177E-2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8.5</v>
      </c>
      <c r="Y331" s="43">
        <f>IFERROR(Y326/H326,"0")+IFERROR(Y327/H327,"0")+IFERROR(Y328/H328,"0")+IFERROR(Y329/H329,"0")+IFERROR(Y330/H330,"0")</f>
        <v>9</v>
      </c>
      <c r="Z331" s="43">
        <f>IFERROR(IF(Z326="",0,Z326),"0")+IFERROR(IF(Z327="",0,Z327),"0")+IFERROR(IF(Z328="",0,Z328),"0")+IFERROR(IF(Z329="",0,Z329),"0")+IFERROR(IF(Z330="",0,Z330),"0")</f>
        <v>8.1180000000000002E-2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34</v>
      </c>
      <c r="Y332" s="43">
        <f>IFERROR(SUM(Y326:Y330),"0")</f>
        <v>36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5.37</v>
      </c>
      <c r="Y336" s="55">
        <f>IFERROR(IF(X336="",0,CEILING((X336/$H336),1)*$H336),"")</f>
        <v>7.1999999999999993</v>
      </c>
      <c r="Z336" s="41">
        <f>IFERROR(IF(Y336=0,"",ROUNDUP(Y336/H336,0)*0.00651),"")</f>
        <v>1.9529999999999999E-2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5.9338500000000005</v>
      </c>
      <c r="BN336" s="78">
        <f>IFERROR(Y336*I336/H336,"0")</f>
        <v>7.9560000000000004</v>
      </c>
      <c r="BO336" s="78">
        <f>IFERROR(1/J336*(X336/H336),"0")</f>
        <v>1.2293956043956047E-2</v>
      </c>
      <c r="BP336" s="78">
        <f>IFERROR(1/J336*(Y336/H336),"0")</f>
        <v>1.6483516483516484E-2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56.8</v>
      </c>
      <c r="Y337" s="55">
        <f>IFERROR(IF(X337="",0,CEILING((X337/$H337),1)*$H337),"")</f>
        <v>57.599999999999994</v>
      </c>
      <c r="Z337" s="41">
        <f>IFERROR(IF(Y337=0,"",ROUNDUP(Y337/H337,0)*0.00651),"")</f>
        <v>0.15623999999999999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61.059999999999995</v>
      </c>
      <c r="BN337" s="78">
        <f>IFERROR(Y337*I337/H337,"0")</f>
        <v>61.919999999999995</v>
      </c>
      <c r="BO337" s="78">
        <f>IFERROR(1/J337*(X337/H337),"0")</f>
        <v>0.13003663003663005</v>
      </c>
      <c r="BP337" s="78">
        <f>IFERROR(1/J337*(Y337/H337),"0")</f>
        <v>0.13186813186813187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25.904166666666669</v>
      </c>
      <c r="Y338" s="43">
        <f>IFERROR(Y335/H335,"0")+IFERROR(Y336/H336,"0")+IFERROR(Y337/H337,"0")</f>
        <v>27</v>
      </c>
      <c r="Z338" s="43">
        <f>IFERROR(IF(Z335="",0,Z335),"0")+IFERROR(IF(Z336="",0,Z336),"0")+IFERROR(IF(Z337="",0,Z337),"0")</f>
        <v>0.17576999999999998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62.169999999999995</v>
      </c>
      <c r="Y339" s="43">
        <f>IFERROR(SUM(Y335:Y337),"0")</f>
        <v>64.8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80.5</v>
      </c>
      <c r="Y350" s="55">
        <f>IFERROR(IF(X350="",0,CEILING((X350/$H350),1)*$H350),"")</f>
        <v>82.8</v>
      </c>
      <c r="Z350" s="41">
        <f>IFERROR(IF(Y350=0,"",ROUNDUP(Y350/H350,0)*0.00902),"")</f>
        <v>0.20746000000000001</v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84.748611111111117</v>
      </c>
      <c r="BN350" s="78">
        <f>IFERROR(Y350*I350/H350,"0")</f>
        <v>87.17</v>
      </c>
      <c r="BO350" s="78">
        <f>IFERROR(1/J350*(X350/H350),"0")</f>
        <v>0.16940235690235692</v>
      </c>
      <c r="BP350" s="78">
        <f>IFERROR(1/J350*(Y350/H350),"0")</f>
        <v>0.17424242424242425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22.361111111111111</v>
      </c>
      <c r="Y352" s="43">
        <f>IFERROR(Y350/H350,"0")+IFERROR(Y351/H351,"0")</f>
        <v>23</v>
      </c>
      <c r="Z352" s="43">
        <f>IFERROR(IF(Z350="",0,Z350),"0")+IFERROR(IF(Z351="",0,Z351),"0")</f>
        <v>0.20746000000000001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80.5</v>
      </c>
      <c r="Y353" s="43">
        <f>IFERROR(SUM(Y350:Y351),"0")</f>
        <v>82.8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55</v>
      </c>
      <c r="Y368" s="55">
        <f t="shared" si="42"/>
        <v>56</v>
      </c>
      <c r="Z368" s="41">
        <f>IFERROR(IF(Y368=0,"",ROUNDUP(Y368/H368,0)*0.00902),"")</f>
        <v>0.12628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57.612500000000004</v>
      </c>
      <c r="BN368" s="78">
        <f t="shared" si="44"/>
        <v>58.660000000000004</v>
      </c>
      <c r="BO368" s="78">
        <f t="shared" si="45"/>
        <v>0.10416666666666667</v>
      </c>
      <c r="BP368" s="78">
        <f t="shared" si="46"/>
        <v>0.10606060606060606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13.75</v>
      </c>
      <c r="Y369" s="43">
        <f>IFERROR(Y363/H363,"0")+IFERROR(Y364/H364,"0")+IFERROR(Y365/H365,"0")+IFERROR(Y366/H366,"0")+IFERROR(Y367/H367,"0")+IFERROR(Y368/H368,"0")</f>
        <v>14</v>
      </c>
      <c r="Z369" s="43">
        <f>IFERROR(IF(Z363="",0,Z363),"0")+IFERROR(IF(Z364="",0,Z364),"0")+IFERROR(IF(Z365="",0,Z365),"0")+IFERROR(IF(Z366="",0,Z366),"0")+IFERROR(IF(Z367="",0,Z367),"0")+IFERROR(IF(Z368="",0,Z368),"0")</f>
        <v>0.12628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55</v>
      </c>
      <c r="Y370" s="43">
        <f>IFERROR(SUM(Y363:Y368),"0")</f>
        <v>56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73.5</v>
      </c>
      <c r="Y376" s="55">
        <f t="shared" si="47"/>
        <v>73.5</v>
      </c>
      <c r="Z376" s="41">
        <f>IFERROR(IF(Y376=0,"",ROUNDUP(Y376/H376,0)*0.00502),"")</f>
        <v>0.1757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77</v>
      </c>
      <c r="BN376" s="78">
        <f t="shared" si="49"/>
        <v>77</v>
      </c>
      <c r="BO376" s="78">
        <f t="shared" si="50"/>
        <v>0.1495726495726496</v>
      </c>
      <c r="BP376" s="78">
        <f t="shared" si="51"/>
        <v>0.1495726495726496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53.3</v>
      </c>
      <c r="Y378" s="55">
        <f t="shared" si="47"/>
        <v>54</v>
      </c>
      <c r="Z378" s="41">
        <f>IFERROR(IF(Y378=0,"",ROUNDUP(Y378/H378,0)*0.00651),"")</f>
        <v>0.1953</v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60.051333333333332</v>
      </c>
      <c r="BN378" s="78">
        <f t="shared" si="49"/>
        <v>60.839999999999996</v>
      </c>
      <c r="BO378" s="78">
        <f t="shared" si="50"/>
        <v>0.1626984126984127</v>
      </c>
      <c r="BP378" s="78">
        <f t="shared" si="51"/>
        <v>0.16483516483516486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64.611111111111114</v>
      </c>
      <c r="Y379" s="43">
        <f>IFERROR(Y372/H372,"0")+IFERROR(Y373/H373,"0")+IFERROR(Y374/H374,"0")+IFERROR(Y375/H375,"0")+IFERROR(Y376/H376,"0")+IFERROR(Y377/H377,"0")+IFERROR(Y378/H378,"0")</f>
        <v>65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0.371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126.8</v>
      </c>
      <c r="Y380" s="43">
        <f>IFERROR(SUM(Y372:Y378),"0")</f>
        <v>127.5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12.2</v>
      </c>
      <c r="Y397" s="55">
        <f>IFERROR(IF(X397="",0,CEILING((X397/$H397),1)*$H397),"")</f>
        <v>12.75</v>
      </c>
      <c r="Z397" s="41">
        <f>IFERROR(IF(Y397=0,"",ROUNDUP(Y397/H397,0)*0.00651),"")</f>
        <v>3.2550000000000003E-2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14.13764705882353</v>
      </c>
      <c r="BN397" s="78">
        <f>IFERROR(Y397*I397/H397,"0")</f>
        <v>14.775000000000002</v>
      </c>
      <c r="BO397" s="78">
        <f>IFERROR(1/J397*(X397/H397),"0")</f>
        <v>2.6287438052143935E-2</v>
      </c>
      <c r="BP397" s="78">
        <f>IFERROR(1/J397*(Y397/H397),"0")</f>
        <v>2.7472527472527476E-2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13</v>
      </c>
      <c r="Y398" s="55">
        <f>IFERROR(IF(X398="",0,CEILING((X398/$H398),1)*$H398),"")</f>
        <v>15.299999999999999</v>
      </c>
      <c r="Z398" s="41">
        <f>IFERROR(IF(Y398=0,"",ROUNDUP(Y398/H398,0)*0.00651),"")</f>
        <v>3.9059999999999997E-2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14.68235294117647</v>
      </c>
      <c r="BN398" s="78">
        <f>IFERROR(Y398*I398/H398,"0")</f>
        <v>17.279999999999998</v>
      </c>
      <c r="BO398" s="78">
        <f>IFERROR(1/J398*(X398/H398),"0")</f>
        <v>2.8011204481792722E-2</v>
      </c>
      <c r="BP398" s="78">
        <f>IFERROR(1/J398*(Y398/H398),"0")</f>
        <v>3.2967032967032968E-2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9.882352941176471</v>
      </c>
      <c r="Y399" s="43">
        <f>IFERROR(Y395/H395,"0")+IFERROR(Y396/H396,"0")+IFERROR(Y397/H397,"0")+IFERROR(Y398/H398,"0")</f>
        <v>11</v>
      </c>
      <c r="Z399" s="43">
        <f>IFERROR(IF(Z395="",0,Z395),"0")+IFERROR(IF(Z396="",0,Z396),"0")+IFERROR(IF(Z397="",0,Z397),"0")+IFERROR(IF(Z398="",0,Z398),"0")</f>
        <v>7.1610000000000007E-2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25.2</v>
      </c>
      <c r="Y400" s="43">
        <f>IFERROR(SUM(Y395:Y398),"0")</f>
        <v>28.049999999999997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22.741</v>
      </c>
      <c r="Y404" s="55">
        <f>IFERROR(IF(X404="",0,CEILING((X404/$H404),1)*$H404),"")</f>
        <v>24</v>
      </c>
      <c r="Z404" s="41">
        <f>IFERROR(IF(Y404=0,"",ROUNDUP(Y404/H404,0)*0.00474),"")</f>
        <v>5.688E-2</v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25.469920000000002</v>
      </c>
      <c r="BN404" s="78">
        <f>IFERROR(Y404*I404/H404,"0")</f>
        <v>26.880000000000003</v>
      </c>
      <c r="BO404" s="78">
        <f>IFERROR(1/J404*(X404/H404),"0")</f>
        <v>4.7775210084033612E-2</v>
      </c>
      <c r="BP404" s="78">
        <f>IFERROR(1/J404*(Y404/H404),"0")</f>
        <v>5.0420168067226892E-2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11.3705</v>
      </c>
      <c r="Y405" s="43">
        <f>IFERROR(Y402/H402,"0")+IFERROR(Y403/H403,"0")+IFERROR(Y404/H404,"0")</f>
        <v>12</v>
      </c>
      <c r="Z405" s="43">
        <f>IFERROR(IF(Z402="",0,Z402),"0")+IFERROR(IF(Z403="",0,Z403),"0")+IFERROR(IF(Z404="",0,Z404),"0")</f>
        <v>5.688E-2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22.741</v>
      </c>
      <c r="Y406" s="43">
        <f>IFERROR(SUM(Y402:Y404),"0")</f>
        <v>24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98</v>
      </c>
      <c r="Y416" s="55">
        <f>IFERROR(IF(X416="",0,CEILING((X416/$H416),1)*$H416),"")</f>
        <v>98.7</v>
      </c>
      <c r="Z416" s="41">
        <f>IFERROR(IF(Y416=0,"",ROUNDUP(Y416/H416,0)*0.00651),"")</f>
        <v>0.30597000000000002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109.75999999999999</v>
      </c>
      <c r="BN416" s="78">
        <f>IFERROR(Y416*I416/H416,"0")</f>
        <v>110.54399999999998</v>
      </c>
      <c r="BO416" s="78">
        <f>IFERROR(1/J416*(X416/H416),"0")</f>
        <v>0.25641025641025644</v>
      </c>
      <c r="BP416" s="78">
        <f>IFERROR(1/J416*(Y416/H416),"0")</f>
        <v>0.25824175824175827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57.75</v>
      </c>
      <c r="Y417" s="55">
        <f>IFERROR(IF(X417="",0,CEILING((X417/$H417),1)*$H417),"")</f>
        <v>58.800000000000004</v>
      </c>
      <c r="Z417" s="41">
        <f>IFERROR(IF(Y417=0,"",ROUNDUP(Y417/H417,0)*0.00651),"")</f>
        <v>0.18228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64.349999999999994</v>
      </c>
      <c r="BN417" s="78">
        <f>IFERROR(Y417*I417/H417,"0")</f>
        <v>65.52000000000001</v>
      </c>
      <c r="BO417" s="78">
        <f>IFERROR(1/J417*(X417/H417),"0")</f>
        <v>0.15109890109890112</v>
      </c>
      <c r="BP417" s="78">
        <f>IFERROR(1/J417*(Y417/H417),"0")</f>
        <v>0.15384615384615385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74.166666666666657</v>
      </c>
      <c r="Y418" s="43">
        <f>IFERROR(Y415/H415,"0")+IFERROR(Y416/H416,"0")+IFERROR(Y417/H417,"0")</f>
        <v>75</v>
      </c>
      <c r="Z418" s="43">
        <f>IFERROR(IF(Z415="",0,Z415),"0")+IFERROR(IF(Z416="",0,Z416),"0")+IFERROR(IF(Z417="",0,Z417),"0")</f>
        <v>0.48825000000000002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155.75</v>
      </c>
      <c r="Y419" s="43">
        <f>IFERROR(SUM(Y415:Y417),"0")</f>
        <v>157.5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144.9</v>
      </c>
      <c r="Y430" s="55">
        <f t="shared" si="52"/>
        <v>145</v>
      </c>
      <c r="Z430" s="41">
        <f>IFERROR(IF(Y430=0,"",ROUNDUP(Y430/H430,0)*0.00902),"")</f>
        <v>0.26158000000000003</v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150.40620000000001</v>
      </c>
      <c r="BN430" s="78">
        <f t="shared" si="54"/>
        <v>150.51000000000002</v>
      </c>
      <c r="BO430" s="78">
        <f t="shared" si="55"/>
        <v>0.21954545454545454</v>
      </c>
      <c r="BP430" s="78">
        <f t="shared" si="56"/>
        <v>0.2196969696969697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28.98</v>
      </c>
      <c r="Y431" s="43">
        <f>IFERROR(Y423/H423,"0")+IFERROR(Y424/H424,"0")+IFERROR(Y425/H425,"0")+IFERROR(Y426/H426,"0")+IFERROR(Y427/H427,"0")+IFERROR(Y428/H428,"0")+IFERROR(Y429/H429,"0")+IFERROR(Y430/H430,"0")</f>
        <v>29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0.26158000000000003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144.9</v>
      </c>
      <c r="Y432" s="43">
        <f>IFERROR(SUM(Y423:Y430),"0")</f>
        <v>145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33</v>
      </c>
      <c r="Y436" s="55">
        <f>IFERROR(IF(X436="",0,CEILING((X436/$H436),1)*$H436),"")</f>
        <v>36</v>
      </c>
      <c r="Z436" s="41">
        <f>IFERROR(IF(Y436=0,"",ROUNDUP(Y436/H436,0)*0.00902),"")</f>
        <v>8.1180000000000002E-2</v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34.567500000000003</v>
      </c>
      <c r="BN436" s="78">
        <f>IFERROR(Y436*I436/H436,"0")</f>
        <v>37.71</v>
      </c>
      <c r="BO436" s="78">
        <f>IFERROR(1/J436*(X436/H436),"0")</f>
        <v>6.25E-2</v>
      </c>
      <c r="BP436" s="78">
        <f>IFERROR(1/J436*(Y436/H436),"0")</f>
        <v>6.8181818181818177E-2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8.25</v>
      </c>
      <c r="Y437" s="43">
        <f>IFERROR(Y434/H434,"0")+IFERROR(Y435/H435,"0")+IFERROR(Y436/H436,"0")</f>
        <v>9</v>
      </c>
      <c r="Z437" s="43">
        <f>IFERROR(IF(Z434="",0,Z434),"0")+IFERROR(IF(Z435="",0,Z435),"0")+IFERROR(IF(Z436="",0,Z436),"0")</f>
        <v>8.1180000000000002E-2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33</v>
      </c>
      <c r="Y438" s="43">
        <f>IFERROR(SUM(Y434:Y436),"0")</f>
        <v>36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84</v>
      </c>
      <c r="Y471" s="55">
        <f t="shared" si="57"/>
        <v>84</v>
      </c>
      <c r="Z471" s="41">
        <f>IFERROR(IF(Y471=0,"",ROUNDUP(Y471/H471,0)*0.00502),"")</f>
        <v>0.20080000000000001</v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89.199999999999989</v>
      </c>
      <c r="BN471" s="78">
        <f t="shared" si="59"/>
        <v>89.199999999999989</v>
      </c>
      <c r="BO471" s="78">
        <f t="shared" si="60"/>
        <v>0.17094017094017094</v>
      </c>
      <c r="BP471" s="78">
        <f t="shared" si="61"/>
        <v>0.17094017094017094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31.23</v>
      </c>
      <c r="Y473" s="55">
        <f t="shared" si="57"/>
        <v>31.5</v>
      </c>
      <c r="Z473" s="41">
        <f>IFERROR(IF(Y473=0,"",ROUNDUP(Y473/H473,0)*0.00502),"")</f>
        <v>7.5300000000000006E-2</v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33.163285714285713</v>
      </c>
      <c r="BN473" s="78">
        <f t="shared" si="59"/>
        <v>33.450000000000003</v>
      </c>
      <c r="BO473" s="78">
        <f t="shared" si="60"/>
        <v>6.3553113553113563E-2</v>
      </c>
      <c r="BP473" s="78">
        <f t="shared" si="61"/>
        <v>6.4102564102564111E-2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38.270000000000003</v>
      </c>
      <c r="Y474" s="55">
        <f t="shared" si="57"/>
        <v>39.9</v>
      </c>
      <c r="Z474" s="41">
        <f>IFERROR(IF(Y474=0,"",ROUNDUP(Y474/H474,0)*0.00502),"")</f>
        <v>9.5380000000000006E-2</v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40.639095238095237</v>
      </c>
      <c r="BN474" s="78">
        <f t="shared" si="59"/>
        <v>42.36999999999999</v>
      </c>
      <c r="BO474" s="78">
        <f t="shared" si="60"/>
        <v>7.7879527879527885E-2</v>
      </c>
      <c r="BP474" s="78">
        <f t="shared" si="61"/>
        <v>8.11965811965812E-2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73.095238095238102</v>
      </c>
      <c r="Y475" s="43">
        <f>IFERROR(Y469/H469,"0")+IFERROR(Y470/H470,"0")+IFERROR(Y471/H471,"0")+IFERROR(Y472/H472,"0")+IFERROR(Y473/H473,"0")+IFERROR(Y474/H474,"0")</f>
        <v>74</v>
      </c>
      <c r="Z475" s="43">
        <f>IFERROR(IF(Z469="",0,Z469),"0")+IFERROR(IF(Z470="",0,Z470),"0")+IFERROR(IF(Z471="",0,Z471),"0")+IFERROR(IF(Z472="",0,Z472),"0")+IFERROR(IF(Z473="",0,Z473),"0")+IFERROR(IF(Z474="",0,Z474),"0")</f>
        <v>0.37148000000000003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153.5</v>
      </c>
      <c r="Y476" s="43">
        <f>IFERROR(SUM(Y469:Y474),"0")</f>
        <v>155.4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27.78</v>
      </c>
      <c r="Y478" s="55">
        <f>IFERROR(IF(X478="",0,CEILING((X478/$H478),1)*$H478),"")</f>
        <v>28.799999999999997</v>
      </c>
      <c r="Z478" s="41">
        <f>IFERROR(IF(Y478=0,"",ROUNDUP(Y478/H478,0)*0.00902),"")</f>
        <v>0.10824</v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30.395950000000003</v>
      </c>
      <c r="BN478" s="78">
        <f>IFERROR(Y478*I478/H478,"0")</f>
        <v>31.511999999999993</v>
      </c>
      <c r="BO478" s="78">
        <f>IFERROR(1/J478*(X478/H478),"0")</f>
        <v>8.7689393939393956E-2</v>
      </c>
      <c r="BP478" s="78">
        <f>IFERROR(1/J478*(Y478/H478),"0")</f>
        <v>9.0909090909090912E-2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31.88</v>
      </c>
      <c r="Y479" s="55">
        <f>IFERROR(IF(X479="",0,CEILING((X479/$H479),1)*$H479),"")</f>
        <v>33.659999999999997</v>
      </c>
      <c r="Z479" s="41">
        <f>IFERROR(IF(Y479=0,"",ROUNDUP(Y479/H479,0)*0.00651),"")</f>
        <v>0.11067</v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36.034060606060599</v>
      </c>
      <c r="BN479" s="78">
        <f>IFERROR(Y479*I479/H479,"0")</f>
        <v>38.045999999999992</v>
      </c>
      <c r="BO479" s="78">
        <f>IFERROR(1/J479*(X479/H479),"0")</f>
        <v>8.8467088467088464E-2</v>
      </c>
      <c r="BP479" s="78">
        <f>IFERROR(1/J479*(Y479/H479),"0")</f>
        <v>9.3406593406593408E-2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27.6760101010101</v>
      </c>
      <c r="Y480" s="43">
        <f>IFERROR(Y478/H478,"0")+IFERROR(Y479/H479,"0")</f>
        <v>29</v>
      </c>
      <c r="Z480" s="43">
        <f>IFERROR(IF(Z478="",0,Z478),"0")+IFERROR(IF(Z479="",0,Z479),"0")</f>
        <v>0.21890999999999999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59.66</v>
      </c>
      <c r="Y481" s="43">
        <f>IFERROR(SUM(Y478:Y479),"0")</f>
        <v>62.459999999999994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135.643</v>
      </c>
      <c r="Y503" s="55">
        <f t="shared" si="62"/>
        <v>139.19999999999999</v>
      </c>
      <c r="Z503" s="41">
        <f>IFERROR(IF(Y503=0,"",ROUNDUP(Y503/H503,0)*0.00902),"")</f>
        <v>0.26158000000000003</v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195.26940208333335</v>
      </c>
      <c r="BN503" s="78">
        <f t="shared" si="65"/>
        <v>200.39</v>
      </c>
      <c r="BO503" s="78">
        <f t="shared" si="66"/>
        <v>0.21408301767676771</v>
      </c>
      <c r="BP503" s="78">
        <f t="shared" si="67"/>
        <v>0.2196969696969697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205.28</v>
      </c>
      <c r="Y504" s="55">
        <f t="shared" si="62"/>
        <v>206.4</v>
      </c>
      <c r="Z504" s="41">
        <f>IFERROR(IF(Y504=0,"",ROUNDUP(Y504/H504,0)*0.00902),"")</f>
        <v>0.38785999999999998</v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295.51766666666668</v>
      </c>
      <c r="BN504" s="78">
        <f t="shared" si="65"/>
        <v>297.13000000000005</v>
      </c>
      <c r="BO504" s="78">
        <f t="shared" si="66"/>
        <v>0.32398989898989899</v>
      </c>
      <c r="BP504" s="78">
        <f t="shared" si="67"/>
        <v>0.32575757575757575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71.025625000000005</v>
      </c>
      <c r="Y505" s="43">
        <f>IFERROR(Y496/H496,"0")+IFERROR(Y497/H497,"0")+IFERROR(Y498/H498,"0")+IFERROR(Y499/H499,"0")+IFERROR(Y500/H500,"0")+IFERROR(Y501/H501,"0")+IFERROR(Y502/H502,"0")+IFERROR(Y503/H503,"0")+IFERROR(Y504/H504,"0")</f>
        <v>72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0.64944000000000002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340.923</v>
      </c>
      <c r="Y506" s="43">
        <f>IFERROR(SUM(Y496:Y504),"0")</f>
        <v>345.6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2373.8890000000001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2417.71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2728.2185847528858</v>
      </c>
      <c r="Y552" s="43">
        <f>IFERROR(SUM(BN22:BN548),"0")</f>
        <v>2778.3530000000001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6</v>
      </c>
      <c r="Y553" s="44">
        <f>ROUNDUP(SUM(BP22:BP548),0)</f>
        <v>6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2878.2185847528858</v>
      </c>
      <c r="Y554" s="43">
        <f>GrossWeightTotalR+PalletQtyTotalR*25</f>
        <v>2928.3530000000001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896.7439853966838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914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6.3445299999999998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55.800000000000004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84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200.7</v>
      </c>
      <c r="F561" s="52">
        <f>IFERROR(Y88*1,"0")+IFERROR(Y89*1,"0")+IFERROR(Y90*1,"0")+IFERROR(Y91*1,"0")+IFERROR(Y95*1,"0")+IFERROR(Y96*1,"0")+IFERROR(Y97*1,"0")+IFERROR(Y98*1,"0")</f>
        <v>173.60000000000002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103.30000000000001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21.6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261.59999999999997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196</v>
      </c>
      <c r="P561" s="52">
        <f>IFERROR(Y326*1,"0")+IFERROR(Y327*1,"0")+IFERROR(Y328*1,"0")+IFERROR(Y329*1,"0")+IFERROR(Y330*1,"0")</f>
        <v>36</v>
      </c>
      <c r="Q561" s="52">
        <f>IFERROR(Y335*1,"0")+IFERROR(Y336*1,"0")+IFERROR(Y337*1,"0")</f>
        <v>64.8</v>
      </c>
      <c r="R561" s="52">
        <f>IFERROR(Y342*1,"0")+IFERROR(Y343*1,"0")+IFERROR(Y344*1,"0")+IFERROR(Y345*1,"0")+IFERROR(Y346*1,"0")+IFERROR(Y350*1,"0")+IFERROR(Y351*1,"0")</f>
        <v>82.8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235.55</v>
      </c>
      <c r="U561" s="52">
        <f>IFERROR(Y415*1,"0")+IFERROR(Y416*1,"0")+IFERROR(Y417*1,"0")</f>
        <v>157.5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181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217.85999999999999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345.6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25"/>
        <filter val="10,80"/>
        <filter val="10,95"/>
        <filter val="102,50"/>
        <filter val="108,00"/>
        <filter val="11,37"/>
        <filter val="11,61"/>
        <filter val="11,88"/>
        <filter val="112,70"/>
        <filter val="12,20"/>
        <filter val="126,80"/>
        <filter val="13,00"/>
        <filter val="13,75"/>
        <filter val="135,64"/>
        <filter val="144,90"/>
        <filter val="146,51"/>
        <filter val="15,64"/>
        <filter val="153,50"/>
        <filter val="155,75"/>
        <filter val="156,37"/>
        <filter val="17,22"/>
        <filter val="192,66"/>
        <filter val="2 373,89"/>
        <filter val="2 728,22"/>
        <filter val="2 878,22"/>
        <filter val="20,93"/>
        <filter val="205,28"/>
        <filter val="21,20"/>
        <filter val="22,36"/>
        <filter val="22,74"/>
        <filter val="24,26"/>
        <filter val="25,20"/>
        <filter val="25,90"/>
        <filter val="259,21"/>
        <filter val="26,50"/>
        <filter val="27,68"/>
        <filter val="27,78"/>
        <filter val="28,98"/>
        <filter val="30,33"/>
        <filter val="31,23"/>
        <filter val="31,88"/>
        <filter val="33,00"/>
        <filter val="34,00"/>
        <filter val="340,92"/>
        <filter val="38,27"/>
        <filter val="41,32"/>
        <filter val="42,26"/>
        <filter val="43,72"/>
        <filter val="45,08"/>
        <filter val="48,17"/>
        <filter val="48,52"/>
        <filter val="5,37"/>
        <filter val="53,30"/>
        <filter val="54,60"/>
        <filter val="55,00"/>
        <filter val="56,80"/>
        <filter val="57,75"/>
        <filter val="57,92"/>
        <filter val="59,66"/>
        <filter val="6"/>
        <filter val="62,17"/>
        <filter val="64,61"/>
        <filter val="65,51"/>
        <filter val="71,03"/>
        <filter val="73,10"/>
        <filter val="73,50"/>
        <filter val="74,17"/>
        <filter val="78,69"/>
        <filter val="8,25"/>
        <filter val="8,50"/>
        <filter val="80,50"/>
        <filter val="83,72"/>
        <filter val="84,00"/>
        <filter val="87,34"/>
        <filter val="896,74"/>
        <filter val="9,20"/>
        <filter val="9,88"/>
        <filter val="90,16"/>
        <filter val="98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2026-07-30T11:16:12Z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