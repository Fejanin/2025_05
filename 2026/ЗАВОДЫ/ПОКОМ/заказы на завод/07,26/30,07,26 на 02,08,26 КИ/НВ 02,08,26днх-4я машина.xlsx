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BC38C36-B17E-47A6-9F02-FDF659E7D04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P541" i="1" s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1" i="1"/>
  <c r="X520" i="1"/>
  <c r="BO519" i="1"/>
  <c r="BM519" i="1"/>
  <c r="Y519" i="1"/>
  <c r="BP519" i="1" s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X511" i="1"/>
  <c r="X510" i="1"/>
  <c r="BO509" i="1"/>
  <c r="BM509" i="1"/>
  <c r="Y509" i="1"/>
  <c r="P509" i="1"/>
  <c r="BO508" i="1"/>
  <c r="BM508" i="1"/>
  <c r="Y508" i="1"/>
  <c r="P508" i="1"/>
  <c r="BO507" i="1"/>
  <c r="BM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BP499" i="1" s="1"/>
  <c r="P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BO495" i="1"/>
  <c r="BM495" i="1"/>
  <c r="Y495" i="1"/>
  <c r="P495" i="1"/>
  <c r="X491" i="1"/>
  <c r="X490" i="1"/>
  <c r="BO489" i="1"/>
  <c r="BM489" i="1"/>
  <c r="Y489" i="1"/>
  <c r="BP489" i="1" s="1"/>
  <c r="P489" i="1"/>
  <c r="BO488" i="1"/>
  <c r="BM488" i="1"/>
  <c r="Y488" i="1"/>
  <c r="P488" i="1"/>
  <c r="BO487" i="1"/>
  <c r="BM487" i="1"/>
  <c r="Y487" i="1"/>
  <c r="Y490" i="1" s="1"/>
  <c r="P487" i="1"/>
  <c r="X485" i="1"/>
  <c r="X484" i="1"/>
  <c r="BO483" i="1"/>
  <c r="BM483" i="1"/>
  <c r="Y483" i="1"/>
  <c r="P483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BP472" i="1" s="1"/>
  <c r="P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BO468" i="1"/>
  <c r="BM468" i="1"/>
  <c r="Y468" i="1"/>
  <c r="P468" i="1"/>
  <c r="X464" i="1"/>
  <c r="X463" i="1"/>
  <c r="BO462" i="1"/>
  <c r="BM462" i="1"/>
  <c r="Y462" i="1"/>
  <c r="BP462" i="1" s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8" i="1"/>
  <c r="X457" i="1"/>
  <c r="BO456" i="1"/>
  <c r="BM456" i="1"/>
  <c r="Y456" i="1"/>
  <c r="P456" i="1"/>
  <c r="X454" i="1"/>
  <c r="X453" i="1"/>
  <c r="BO452" i="1"/>
  <c r="BM452" i="1"/>
  <c r="Y452" i="1"/>
  <c r="BN452" i="1" s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BN441" i="1" s="1"/>
  <c r="P441" i="1"/>
  <c r="BO440" i="1"/>
  <c r="BM440" i="1"/>
  <c r="Y440" i="1"/>
  <c r="P440" i="1"/>
  <c r="BO439" i="1"/>
  <c r="BM439" i="1"/>
  <c r="Y439" i="1"/>
  <c r="Y442" i="1" s="1"/>
  <c r="P439" i="1"/>
  <c r="X437" i="1"/>
  <c r="X436" i="1"/>
  <c r="BO435" i="1"/>
  <c r="BM435" i="1"/>
  <c r="Y435" i="1"/>
  <c r="BN435" i="1" s="1"/>
  <c r="P435" i="1"/>
  <c r="BO434" i="1"/>
  <c r="BM434" i="1"/>
  <c r="Y434" i="1"/>
  <c r="P434" i="1"/>
  <c r="BO433" i="1"/>
  <c r="BM433" i="1"/>
  <c r="Y433" i="1"/>
  <c r="BP433" i="1" s="1"/>
  <c r="P433" i="1"/>
  <c r="X431" i="1"/>
  <c r="X430" i="1"/>
  <c r="BO429" i="1"/>
  <c r="BM429" i="1"/>
  <c r="Y429" i="1"/>
  <c r="BN429" i="1" s="1"/>
  <c r="P429" i="1"/>
  <c r="BO428" i="1"/>
  <c r="BM428" i="1"/>
  <c r="Y428" i="1"/>
  <c r="P428" i="1"/>
  <c r="BO427" i="1"/>
  <c r="BM427" i="1"/>
  <c r="Y427" i="1"/>
  <c r="BP427" i="1" s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N423" i="1" s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BO402" i="1"/>
  <c r="BM402" i="1"/>
  <c r="Y402" i="1"/>
  <c r="BN402" i="1" s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BN395" i="1" s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BP383" i="1" s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X379" i="1"/>
  <c r="X378" i="1"/>
  <c r="BO377" i="1"/>
  <c r="BM377" i="1"/>
  <c r="Y377" i="1"/>
  <c r="BP377" i="1" s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BN373" i="1" s="1"/>
  <c r="P373" i="1"/>
  <c r="BO372" i="1"/>
  <c r="BM372" i="1"/>
  <c r="Y372" i="1"/>
  <c r="P372" i="1"/>
  <c r="BO371" i="1"/>
  <c r="BM371" i="1"/>
  <c r="Y371" i="1"/>
  <c r="BN371" i="1" s="1"/>
  <c r="P371" i="1"/>
  <c r="X369" i="1"/>
  <c r="X368" i="1"/>
  <c r="BO367" i="1"/>
  <c r="BM367" i="1"/>
  <c r="Y367" i="1"/>
  <c r="BN367" i="1" s="1"/>
  <c r="P367" i="1"/>
  <c r="BO366" i="1"/>
  <c r="BM366" i="1"/>
  <c r="Y366" i="1"/>
  <c r="P366" i="1"/>
  <c r="BO365" i="1"/>
  <c r="BM365" i="1"/>
  <c r="Y365" i="1"/>
  <c r="BN365" i="1" s="1"/>
  <c r="P365" i="1"/>
  <c r="BO364" i="1"/>
  <c r="BM364" i="1"/>
  <c r="Y364" i="1"/>
  <c r="P364" i="1"/>
  <c r="BO363" i="1"/>
  <c r="BM363" i="1"/>
  <c r="Y363" i="1"/>
  <c r="BP363" i="1" s="1"/>
  <c r="P363" i="1"/>
  <c r="X360" i="1"/>
  <c r="X359" i="1"/>
  <c r="BO358" i="1"/>
  <c r="BM358" i="1"/>
  <c r="Z358" i="1"/>
  <c r="Y358" i="1"/>
  <c r="BN358" i="1" s="1"/>
  <c r="P358" i="1"/>
  <c r="BO357" i="1"/>
  <c r="BM357" i="1"/>
  <c r="Y357" i="1"/>
  <c r="P357" i="1"/>
  <c r="BO356" i="1"/>
  <c r="BM356" i="1"/>
  <c r="Y356" i="1"/>
  <c r="BN356" i="1" s="1"/>
  <c r="P356" i="1"/>
  <c r="X353" i="1"/>
  <c r="X352" i="1"/>
  <c r="BO351" i="1"/>
  <c r="BM351" i="1"/>
  <c r="Z351" i="1"/>
  <c r="Y351" i="1"/>
  <c r="BN351" i="1" s="1"/>
  <c r="P351" i="1"/>
  <c r="BO350" i="1"/>
  <c r="BM350" i="1"/>
  <c r="Y350" i="1"/>
  <c r="P350" i="1"/>
  <c r="X348" i="1"/>
  <c r="X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Z343" i="1"/>
  <c r="Y343" i="1"/>
  <c r="BN343" i="1" s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BN306" i="1" s="1"/>
  <c r="P306" i="1"/>
  <c r="BO305" i="1"/>
  <c r="BM305" i="1"/>
  <c r="Y305" i="1"/>
  <c r="P305" i="1"/>
  <c r="BO304" i="1"/>
  <c r="BM304" i="1"/>
  <c r="Y304" i="1"/>
  <c r="BP304" i="1" s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M295" i="1"/>
  <c r="Y295" i="1"/>
  <c r="BN295" i="1" s="1"/>
  <c r="P295" i="1"/>
  <c r="X293" i="1"/>
  <c r="X292" i="1"/>
  <c r="BO291" i="1"/>
  <c r="BM291" i="1"/>
  <c r="Y291" i="1"/>
  <c r="BN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O285" i="1"/>
  <c r="BM285" i="1"/>
  <c r="Y285" i="1"/>
  <c r="BN285" i="1" s="1"/>
  <c r="P285" i="1"/>
  <c r="BO284" i="1"/>
  <c r="BM284" i="1"/>
  <c r="Y284" i="1"/>
  <c r="P284" i="1"/>
  <c r="BO283" i="1"/>
  <c r="BM283" i="1"/>
  <c r="Y283" i="1"/>
  <c r="BN283" i="1" s="1"/>
  <c r="P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8" i="1"/>
  <c r="X277" i="1"/>
  <c r="BO276" i="1"/>
  <c r="BM276" i="1"/>
  <c r="Y276" i="1"/>
  <c r="P276" i="1"/>
  <c r="BO275" i="1"/>
  <c r="BM275" i="1"/>
  <c r="Y275" i="1"/>
  <c r="BN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BO269" i="1"/>
  <c r="BM269" i="1"/>
  <c r="Y269" i="1"/>
  <c r="BN269" i="1" s="1"/>
  <c r="P269" i="1"/>
  <c r="X267" i="1"/>
  <c r="X266" i="1"/>
  <c r="BO265" i="1"/>
  <c r="BM265" i="1"/>
  <c r="Y265" i="1"/>
  <c r="BP265" i="1" s="1"/>
  <c r="P265" i="1"/>
  <c r="BO264" i="1"/>
  <c r="BM264" i="1"/>
  <c r="Y264" i="1"/>
  <c r="Y266" i="1" s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X246" i="1"/>
  <c r="X245" i="1"/>
  <c r="BO244" i="1"/>
  <c r="BM244" i="1"/>
  <c r="Y244" i="1"/>
  <c r="P244" i="1"/>
  <c r="BO243" i="1"/>
  <c r="BM243" i="1"/>
  <c r="Y243" i="1"/>
  <c r="BP243" i="1" s="1"/>
  <c r="P243" i="1"/>
  <c r="BO242" i="1"/>
  <c r="BM242" i="1"/>
  <c r="Y242" i="1"/>
  <c r="P242" i="1"/>
  <c r="BO241" i="1"/>
  <c r="BM241" i="1"/>
  <c r="Y241" i="1"/>
  <c r="P241" i="1"/>
  <c r="BO240" i="1"/>
  <c r="BM240" i="1"/>
  <c r="Y240" i="1"/>
  <c r="P240" i="1"/>
  <c r="X238" i="1"/>
  <c r="X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BN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BO223" i="1"/>
  <c r="BM223" i="1"/>
  <c r="Z223" i="1"/>
  <c r="Y223" i="1"/>
  <c r="P223" i="1"/>
  <c r="X221" i="1"/>
  <c r="X220" i="1"/>
  <c r="BO219" i="1"/>
  <c r="BM219" i="1"/>
  <c r="Y219" i="1"/>
  <c r="Y220" i="1" s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BN212" i="1" s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BN208" i="1" s="1"/>
  <c r="P208" i="1"/>
  <c r="X204" i="1"/>
  <c r="X203" i="1"/>
  <c r="BO202" i="1"/>
  <c r="BM202" i="1"/>
  <c r="Y202" i="1"/>
  <c r="P202" i="1"/>
  <c r="X200" i="1"/>
  <c r="Y199" i="1"/>
  <c r="X199" i="1"/>
  <c r="BP198" i="1"/>
  <c r="BO198" i="1"/>
  <c r="BN198" i="1"/>
  <c r="BM198" i="1"/>
  <c r="Z198" i="1"/>
  <c r="Y198" i="1"/>
  <c r="P198" i="1"/>
  <c r="BO197" i="1"/>
  <c r="BM197" i="1"/>
  <c r="Y197" i="1"/>
  <c r="P197" i="1"/>
  <c r="X195" i="1"/>
  <c r="X194" i="1"/>
  <c r="BO193" i="1"/>
  <c r="BM193" i="1"/>
  <c r="Y193" i="1"/>
  <c r="P193" i="1"/>
  <c r="BO192" i="1"/>
  <c r="BM192" i="1"/>
  <c r="Y192" i="1"/>
  <c r="BP192" i="1" s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BP186" i="1" s="1"/>
  <c r="P186" i="1"/>
  <c r="BO185" i="1"/>
  <c r="BM185" i="1"/>
  <c r="Y185" i="1"/>
  <c r="P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P182" i="1"/>
  <c r="BO181" i="1"/>
  <c r="BM181" i="1"/>
  <c r="Y181" i="1"/>
  <c r="P181" i="1"/>
  <c r="BP180" i="1"/>
  <c r="BO180" i="1"/>
  <c r="BM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X175" i="1"/>
  <c r="X174" i="1"/>
  <c r="BO173" i="1"/>
  <c r="BM173" i="1"/>
  <c r="Y173" i="1"/>
  <c r="P173" i="1"/>
  <c r="BO172" i="1"/>
  <c r="BM172" i="1"/>
  <c r="Y172" i="1"/>
  <c r="X170" i="1"/>
  <c r="X169" i="1"/>
  <c r="BO168" i="1"/>
  <c r="BM168" i="1"/>
  <c r="Y168" i="1"/>
  <c r="P168" i="1"/>
  <c r="BO167" i="1"/>
  <c r="BM167" i="1"/>
  <c r="Z167" i="1"/>
  <c r="Y167" i="1"/>
  <c r="BN167" i="1" s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O156" i="1"/>
  <c r="BM156" i="1"/>
  <c r="Y156" i="1"/>
  <c r="BP156" i="1" s="1"/>
  <c r="P156" i="1"/>
  <c r="BO155" i="1"/>
  <c r="BM155" i="1"/>
  <c r="Y155" i="1"/>
  <c r="P155" i="1"/>
  <c r="BO154" i="1"/>
  <c r="BN154" i="1"/>
  <c r="BM154" i="1"/>
  <c r="Z154" i="1"/>
  <c r="Y154" i="1"/>
  <c r="BP154" i="1" s="1"/>
  <c r="P154" i="1"/>
  <c r="X151" i="1"/>
  <c r="X150" i="1"/>
  <c r="BO149" i="1"/>
  <c r="BM149" i="1"/>
  <c r="Y149" i="1"/>
  <c r="BP149" i="1" s="1"/>
  <c r="P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BP141" i="1" s="1"/>
  <c r="P141" i="1"/>
  <c r="BO140" i="1"/>
  <c r="BM140" i="1"/>
  <c r="Y140" i="1"/>
  <c r="P140" i="1"/>
  <c r="BP139" i="1"/>
  <c r="BO139" i="1"/>
  <c r="BN139" i="1"/>
  <c r="BM139" i="1"/>
  <c r="Z139" i="1"/>
  <c r="Y139" i="1"/>
  <c r="P139" i="1"/>
  <c r="X137" i="1"/>
  <c r="X136" i="1"/>
  <c r="BO135" i="1"/>
  <c r="BM135" i="1"/>
  <c r="Y135" i="1"/>
  <c r="BP135" i="1" s="1"/>
  <c r="P135" i="1"/>
  <c r="BO134" i="1"/>
  <c r="BM134" i="1"/>
  <c r="Y134" i="1"/>
  <c r="BP134" i="1" s="1"/>
  <c r="P134" i="1"/>
  <c r="BO133" i="1"/>
  <c r="BM133" i="1"/>
  <c r="Y133" i="1"/>
  <c r="BP133" i="1" s="1"/>
  <c r="P133" i="1"/>
  <c r="BO132" i="1"/>
  <c r="BM132" i="1"/>
  <c r="Y132" i="1"/>
  <c r="P132" i="1"/>
  <c r="X129" i="1"/>
  <c r="X128" i="1"/>
  <c r="BO127" i="1"/>
  <c r="BM127" i="1"/>
  <c r="Y127" i="1"/>
  <c r="P127" i="1"/>
  <c r="X125" i="1"/>
  <c r="X124" i="1"/>
  <c r="BP123" i="1"/>
  <c r="BO123" i="1"/>
  <c r="BM123" i="1"/>
  <c r="Y123" i="1"/>
  <c r="P123" i="1"/>
  <c r="BO122" i="1"/>
  <c r="BM122" i="1"/>
  <c r="Y122" i="1"/>
  <c r="BP122" i="1" s="1"/>
  <c r="P122" i="1"/>
  <c r="BO121" i="1"/>
  <c r="BM121" i="1"/>
  <c r="Y121" i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P115" i="1"/>
  <c r="BO115" i="1"/>
  <c r="BM115" i="1"/>
  <c r="Y115" i="1"/>
  <c r="P115" i="1"/>
  <c r="BO114" i="1"/>
  <c r="BM114" i="1"/>
  <c r="Y114" i="1"/>
  <c r="BP114" i="1" s="1"/>
  <c r="P114" i="1"/>
  <c r="BO113" i="1"/>
  <c r="BM113" i="1"/>
  <c r="Z113" i="1"/>
  <c r="Y113" i="1"/>
  <c r="BN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Z107" i="1"/>
  <c r="Y107" i="1"/>
  <c r="BN107" i="1" s="1"/>
  <c r="P107" i="1"/>
  <c r="BO106" i="1"/>
  <c r="BM106" i="1"/>
  <c r="Y106" i="1"/>
  <c r="BP106" i="1" s="1"/>
  <c r="P106" i="1"/>
  <c r="BO105" i="1"/>
  <c r="BM105" i="1"/>
  <c r="Z105" i="1"/>
  <c r="Y105" i="1"/>
  <c r="BN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X100" i="1"/>
  <c r="X99" i="1"/>
  <c r="BO98" i="1"/>
  <c r="BM98" i="1"/>
  <c r="Z98" i="1"/>
  <c r="Y98" i="1"/>
  <c r="BN98" i="1" s="1"/>
  <c r="P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O90" i="1"/>
  <c r="BM90" i="1"/>
  <c r="Z90" i="1"/>
  <c r="Y90" i="1"/>
  <c r="BN90" i="1" s="1"/>
  <c r="P90" i="1"/>
  <c r="BO89" i="1"/>
  <c r="BM89" i="1"/>
  <c r="Y89" i="1"/>
  <c r="BP89" i="1" s="1"/>
  <c r="P89" i="1"/>
  <c r="BO88" i="1"/>
  <c r="BM88" i="1"/>
  <c r="Y88" i="1"/>
  <c r="Y92" i="1" s="1"/>
  <c r="P88" i="1"/>
  <c r="X85" i="1"/>
  <c r="X84" i="1"/>
  <c r="BO83" i="1"/>
  <c r="BM83" i="1"/>
  <c r="Z83" i="1"/>
  <c r="Y83" i="1"/>
  <c r="BN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M77" i="1"/>
  <c r="Z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N71" i="1" s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O63" i="1"/>
  <c r="BM63" i="1"/>
  <c r="Z63" i="1"/>
  <c r="Y63" i="1"/>
  <c r="BN63" i="1" s="1"/>
  <c r="P63" i="1"/>
  <c r="BO62" i="1"/>
  <c r="BM62" i="1"/>
  <c r="Y62" i="1"/>
  <c r="BP62" i="1" s="1"/>
  <c r="P62" i="1"/>
  <c r="BO61" i="1"/>
  <c r="BM61" i="1"/>
  <c r="Z61" i="1"/>
  <c r="Y61" i="1"/>
  <c r="BN61" i="1" s="1"/>
  <c r="P61" i="1"/>
  <c r="BO60" i="1"/>
  <c r="BM60" i="1"/>
  <c r="Y60" i="1"/>
  <c r="BP60" i="1" s="1"/>
  <c r="P60" i="1"/>
  <c r="BO59" i="1"/>
  <c r="BM59" i="1"/>
  <c r="Y59" i="1"/>
  <c r="BP59" i="1" s="1"/>
  <c r="P59" i="1"/>
  <c r="X56" i="1"/>
  <c r="X55" i="1"/>
  <c r="BO54" i="1"/>
  <c r="BM54" i="1"/>
  <c r="Z54" i="1"/>
  <c r="Y54" i="1"/>
  <c r="BN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O44" i="1"/>
  <c r="BM44" i="1"/>
  <c r="Z44" i="1"/>
  <c r="Y44" i="1"/>
  <c r="BN44" i="1" s="1"/>
  <c r="P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60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P28" i="1" l="1"/>
  <c r="BP71" i="1"/>
  <c r="BN121" i="1"/>
  <c r="Z121" i="1"/>
  <c r="Y129" i="1"/>
  <c r="Z127" i="1"/>
  <c r="Z128" i="1" s="1"/>
  <c r="BP147" i="1"/>
  <c r="BN147" i="1"/>
  <c r="Z147" i="1"/>
  <c r="Y174" i="1"/>
  <c r="Z172" i="1"/>
  <c r="BP182" i="1"/>
  <c r="BN182" i="1"/>
  <c r="Z182" i="1"/>
  <c r="BN192" i="1"/>
  <c r="BP225" i="1"/>
  <c r="BN225" i="1"/>
  <c r="Z225" i="1"/>
  <c r="BP233" i="1"/>
  <c r="BN233" i="1"/>
  <c r="Z233" i="1"/>
  <c r="BP241" i="1"/>
  <c r="BN241" i="1"/>
  <c r="Z241" i="1"/>
  <c r="BP249" i="1"/>
  <c r="BN249" i="1"/>
  <c r="Z249" i="1"/>
  <c r="BN265" i="1"/>
  <c r="BN289" i="1"/>
  <c r="BP327" i="1"/>
  <c r="BN327" i="1"/>
  <c r="Z327" i="1"/>
  <c r="BP336" i="1"/>
  <c r="BN336" i="1"/>
  <c r="Z336" i="1"/>
  <c r="BN363" i="1"/>
  <c r="BN377" i="1"/>
  <c r="BN383" i="1"/>
  <c r="BN408" i="1"/>
  <c r="BP425" i="1"/>
  <c r="BN425" i="1"/>
  <c r="Z425" i="1"/>
  <c r="BN462" i="1"/>
  <c r="BP495" i="1"/>
  <c r="BN495" i="1"/>
  <c r="Z495" i="1"/>
  <c r="BN499" i="1"/>
  <c r="BP509" i="1"/>
  <c r="BN509" i="1"/>
  <c r="Z509" i="1"/>
  <c r="Y527" i="1"/>
  <c r="Y526" i="1"/>
  <c r="BN525" i="1"/>
  <c r="BN541" i="1"/>
  <c r="X554" i="1"/>
  <c r="Z28" i="1"/>
  <c r="Z30" i="1"/>
  <c r="BN30" i="1"/>
  <c r="BP44" i="1"/>
  <c r="BP54" i="1"/>
  <c r="BP61" i="1"/>
  <c r="BP63" i="1"/>
  <c r="Z71" i="1"/>
  <c r="Z73" i="1"/>
  <c r="BN73" i="1"/>
  <c r="BP77" i="1"/>
  <c r="BP83" i="1"/>
  <c r="BP90" i="1"/>
  <c r="BP98" i="1"/>
  <c r="BP105" i="1"/>
  <c r="BP107" i="1"/>
  <c r="Y117" i="1"/>
  <c r="BP113" i="1"/>
  <c r="BN115" i="1"/>
  <c r="Z115" i="1"/>
  <c r="BP121" i="1"/>
  <c r="BN123" i="1"/>
  <c r="Z123" i="1"/>
  <c r="BP127" i="1"/>
  <c r="BP132" i="1"/>
  <c r="BN132" i="1"/>
  <c r="Z132" i="1"/>
  <c r="BP172" i="1"/>
  <c r="BN180" i="1"/>
  <c r="Z180" i="1"/>
  <c r="BP271" i="1"/>
  <c r="BN271" i="1"/>
  <c r="Z271" i="1"/>
  <c r="BP302" i="1"/>
  <c r="BN302" i="1"/>
  <c r="Z302" i="1"/>
  <c r="BP345" i="1"/>
  <c r="BN345" i="1"/>
  <c r="Z345" i="1"/>
  <c r="BP445" i="1"/>
  <c r="BN445" i="1"/>
  <c r="Z445" i="1"/>
  <c r="Y463" i="1"/>
  <c r="BP470" i="1"/>
  <c r="BN470" i="1"/>
  <c r="Z470" i="1"/>
  <c r="BP478" i="1"/>
  <c r="BN478" i="1"/>
  <c r="Z478" i="1"/>
  <c r="BN489" i="1"/>
  <c r="BN517" i="1"/>
  <c r="Y535" i="1"/>
  <c r="Y534" i="1"/>
  <c r="BN533" i="1"/>
  <c r="BP167" i="1"/>
  <c r="BN184" i="1"/>
  <c r="BN229" i="1"/>
  <c r="BN235" i="1"/>
  <c r="BN243" i="1"/>
  <c r="BN260" i="1"/>
  <c r="BN273" i="1"/>
  <c r="BN281" i="1"/>
  <c r="BN304" i="1"/>
  <c r="BN320" i="1"/>
  <c r="BN329" i="1"/>
  <c r="BN427" i="1"/>
  <c r="BN433" i="1"/>
  <c r="BN439" i="1"/>
  <c r="BN472" i="1"/>
  <c r="BN487" i="1"/>
  <c r="BN497" i="1"/>
  <c r="BN519" i="1"/>
  <c r="BN42" i="1"/>
  <c r="BN52" i="1"/>
  <c r="BN59" i="1"/>
  <c r="BN88" i="1"/>
  <c r="BN96" i="1"/>
  <c r="BN103" i="1"/>
  <c r="BN134" i="1"/>
  <c r="BN141" i="1"/>
  <c r="BN149" i="1"/>
  <c r="BN156" i="1"/>
  <c r="BN178" i="1"/>
  <c r="BN186" i="1"/>
  <c r="BP219" i="1"/>
  <c r="Z219" i="1"/>
  <c r="Z220" i="1" s="1"/>
  <c r="Y237" i="1"/>
  <c r="BN223" i="1"/>
  <c r="BP223" i="1"/>
  <c r="BP285" i="1"/>
  <c r="BP306" i="1"/>
  <c r="Z306" i="1"/>
  <c r="BP351" i="1"/>
  <c r="S560" i="1"/>
  <c r="Y359" i="1"/>
  <c r="BP356" i="1"/>
  <c r="Z356" i="1"/>
  <c r="Z367" i="1"/>
  <c r="BP373" i="1"/>
  <c r="Z395" i="1"/>
  <c r="BP429" i="1"/>
  <c r="Z429" i="1"/>
  <c r="BP435" i="1"/>
  <c r="Z435" i="1"/>
  <c r="BP441" i="1"/>
  <c r="Z441" i="1"/>
  <c r="BN468" i="1"/>
  <c r="BP468" i="1"/>
  <c r="Z468" i="1"/>
  <c r="BN507" i="1"/>
  <c r="BP507" i="1"/>
  <c r="Z507" i="1"/>
  <c r="Y531" i="1"/>
  <c r="Y530" i="1"/>
  <c r="BN529" i="1"/>
  <c r="BP529" i="1"/>
  <c r="Z529" i="1"/>
  <c r="Z530" i="1" s="1"/>
  <c r="F9" i="1"/>
  <c r="Y204" i="1"/>
  <c r="BP202" i="1"/>
  <c r="Z202" i="1"/>
  <c r="Z203" i="1" s="1"/>
  <c r="BP208" i="1"/>
  <c r="BP227" i="1"/>
  <c r="Z227" i="1"/>
  <c r="BP231" i="1"/>
  <c r="BP269" i="1"/>
  <c r="Z285" i="1"/>
  <c r="BP343" i="1"/>
  <c r="BP358" i="1"/>
  <c r="Z373" i="1"/>
  <c r="BP452" i="1"/>
  <c r="Y458" i="1"/>
  <c r="BP456" i="1"/>
  <c r="Z456" i="1"/>
  <c r="Z457" i="1" s="1"/>
  <c r="Y521" i="1"/>
  <c r="BN513" i="1"/>
  <c r="BP513" i="1"/>
  <c r="Z513" i="1"/>
  <c r="J9" i="1"/>
  <c r="Z42" i="1"/>
  <c r="Z52" i="1"/>
  <c r="Z59" i="1"/>
  <c r="BN77" i="1"/>
  <c r="Z88" i="1"/>
  <c r="BP88" i="1"/>
  <c r="Z96" i="1"/>
  <c r="Z103" i="1"/>
  <c r="Z134" i="1"/>
  <c r="Z141" i="1"/>
  <c r="Z149" i="1"/>
  <c r="Z156" i="1"/>
  <c r="Z178" i="1"/>
  <c r="Z186" i="1"/>
  <c r="Y203" i="1"/>
  <c r="Z208" i="1"/>
  <c r="BP212" i="1"/>
  <c r="Z212" i="1"/>
  <c r="BN219" i="1"/>
  <c r="Z231" i="1"/>
  <c r="Z269" i="1"/>
  <c r="BP291" i="1"/>
  <c r="Z291" i="1"/>
  <c r="BP365" i="1"/>
  <c r="Z365" i="1"/>
  <c r="BP423" i="1"/>
  <c r="Z452" i="1"/>
  <c r="Y457" i="1"/>
  <c r="Y539" i="1"/>
  <c r="Y538" i="1"/>
  <c r="BN537" i="1"/>
  <c r="BP537" i="1"/>
  <c r="Z537" i="1"/>
  <c r="Z538" i="1" s="1"/>
  <c r="F10" i="1"/>
  <c r="Y32" i="1"/>
  <c r="BN127" i="1"/>
  <c r="Y128" i="1"/>
  <c r="BN172" i="1"/>
  <c r="Z184" i="1"/>
  <c r="Z192" i="1"/>
  <c r="BN202" i="1"/>
  <c r="BN227" i="1"/>
  <c r="Z229" i="1"/>
  <c r="BP275" i="1"/>
  <c r="Z275" i="1"/>
  <c r="BP283" i="1"/>
  <c r="Z283" i="1"/>
  <c r="BP367" i="1"/>
  <c r="BP371" i="1"/>
  <c r="Z371" i="1"/>
  <c r="BP395" i="1"/>
  <c r="BP402" i="1"/>
  <c r="Z402" i="1"/>
  <c r="Z423" i="1"/>
  <c r="BN456" i="1"/>
  <c r="Y485" i="1"/>
  <c r="Y484" i="1"/>
  <c r="BN483" i="1"/>
  <c r="BP483" i="1"/>
  <c r="Z483" i="1"/>
  <c r="Z484" i="1" s="1"/>
  <c r="BN501" i="1"/>
  <c r="BP501" i="1"/>
  <c r="Z501" i="1"/>
  <c r="Y297" i="1"/>
  <c r="Y443" i="1"/>
  <c r="Y491" i="1"/>
  <c r="Z489" i="1"/>
  <c r="Z499" i="1"/>
  <c r="Z519" i="1"/>
  <c r="Z235" i="1"/>
  <c r="Z243" i="1"/>
  <c r="Z260" i="1"/>
  <c r="Z265" i="1"/>
  <c r="Z273" i="1"/>
  <c r="Z281" i="1"/>
  <c r="Z289" i="1"/>
  <c r="Z295" i="1"/>
  <c r="BP295" i="1"/>
  <c r="Z304" i="1"/>
  <c r="Z320" i="1"/>
  <c r="Z329" i="1"/>
  <c r="Z363" i="1"/>
  <c r="Z377" i="1"/>
  <c r="Y385" i="1"/>
  <c r="Z383" i="1"/>
  <c r="Z408" i="1"/>
  <c r="Z427" i="1"/>
  <c r="Z433" i="1"/>
  <c r="Z439" i="1"/>
  <c r="BP439" i="1"/>
  <c r="Y464" i="1"/>
  <c r="Z462" i="1"/>
  <c r="Z472" i="1"/>
  <c r="Z487" i="1"/>
  <c r="BP487" i="1"/>
  <c r="Z497" i="1"/>
  <c r="Z517" i="1"/>
  <c r="Z525" i="1"/>
  <c r="Z526" i="1" s="1"/>
  <c r="BP525" i="1"/>
  <c r="Z533" i="1"/>
  <c r="Z534" i="1" s="1"/>
  <c r="BP533" i="1"/>
  <c r="Z541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40" i="1"/>
  <c r="BN140" i="1"/>
  <c r="Z140" i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BP384" i="1"/>
  <c r="BN384" i="1"/>
  <c r="Z384" i="1"/>
  <c r="Y386" i="1"/>
  <c r="Y391" i="1"/>
  <c r="BP388" i="1"/>
  <c r="BN388" i="1"/>
  <c r="Z388" i="1"/>
  <c r="Y392" i="1"/>
  <c r="BP396" i="1"/>
  <c r="BN396" i="1"/>
  <c r="Z396" i="1"/>
  <c r="F560" i="1"/>
  <c r="H9" i="1"/>
  <c r="B560" i="1"/>
  <c r="X551" i="1"/>
  <c r="X552" i="1"/>
  <c r="Z23" i="1"/>
  <c r="Z24" i="1" s="1"/>
  <c r="BN23" i="1"/>
  <c r="Y24" i="1"/>
  <c r="X550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60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Z84" i="1" s="1"/>
  <c r="BN82" i="1"/>
  <c r="BP82" i="1"/>
  <c r="Z89" i="1"/>
  <c r="BN89" i="1"/>
  <c r="Z91" i="1"/>
  <c r="BN91" i="1"/>
  <c r="Z95" i="1"/>
  <c r="BN95" i="1"/>
  <c r="BP95" i="1"/>
  <c r="Z97" i="1"/>
  <c r="BN97" i="1"/>
  <c r="G560" i="1"/>
  <c r="Z104" i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20" i="1"/>
  <c r="BN120" i="1"/>
  <c r="BP120" i="1"/>
  <c r="Z122" i="1"/>
  <c r="BN122" i="1"/>
  <c r="H560" i="1"/>
  <c r="Y137" i="1"/>
  <c r="Z133" i="1"/>
  <c r="BN133" i="1"/>
  <c r="Z135" i="1"/>
  <c r="BN135" i="1"/>
  <c r="Y136" i="1"/>
  <c r="Y143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BP168" i="1"/>
  <c r="BN168" i="1"/>
  <c r="Z168" i="1"/>
  <c r="Y170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Y215" i="1"/>
  <c r="BP224" i="1"/>
  <c r="BN224" i="1"/>
  <c r="Z224" i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BP244" i="1"/>
  <c r="BN244" i="1"/>
  <c r="Z244" i="1"/>
  <c r="Y246" i="1"/>
  <c r="Y251" i="1"/>
  <c r="BP248" i="1"/>
  <c r="BN248" i="1"/>
  <c r="Z248" i="1"/>
  <c r="Z251" i="1" s="1"/>
  <c r="BP270" i="1"/>
  <c r="BN270" i="1"/>
  <c r="Z270" i="1"/>
  <c r="Y278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BP364" i="1"/>
  <c r="BN364" i="1"/>
  <c r="Z364" i="1"/>
  <c r="Y368" i="1"/>
  <c r="BP372" i="1"/>
  <c r="BN372" i="1"/>
  <c r="Z372" i="1"/>
  <c r="Y378" i="1"/>
  <c r="BP376" i="1"/>
  <c r="BN376" i="1"/>
  <c r="Z37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Z543" i="1" s="1"/>
  <c r="AA560" i="1"/>
  <c r="Y544" i="1"/>
  <c r="AB560" i="1"/>
  <c r="Y548" i="1"/>
  <c r="BP547" i="1"/>
  <c r="BN547" i="1"/>
  <c r="Z547" i="1"/>
  <c r="Z548" i="1" s="1"/>
  <c r="Y549" i="1"/>
  <c r="W560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Z338" i="1" s="1"/>
  <c r="BP344" i="1"/>
  <c r="BN344" i="1"/>
  <c r="Z344" i="1"/>
  <c r="BP357" i="1"/>
  <c r="BN357" i="1"/>
  <c r="Z357" i="1"/>
  <c r="BP366" i="1"/>
  <c r="BN366" i="1"/>
  <c r="Z366" i="1"/>
  <c r="Y379" i="1"/>
  <c r="BP374" i="1"/>
  <c r="BN374" i="1"/>
  <c r="Z374" i="1"/>
  <c r="BP382" i="1"/>
  <c r="BN382" i="1"/>
  <c r="Z382" i="1"/>
  <c r="Z385" i="1" s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36" i="1"/>
  <c r="BP469" i="1"/>
  <c r="BN469" i="1"/>
  <c r="Z469" i="1"/>
  <c r="BP473" i="1"/>
  <c r="BN473" i="1"/>
  <c r="Z473" i="1"/>
  <c r="Y475" i="1"/>
  <c r="Y480" i="1"/>
  <c r="BP477" i="1"/>
  <c r="BN477" i="1"/>
  <c r="Z477" i="1"/>
  <c r="Z479" i="1" s="1"/>
  <c r="Y479" i="1"/>
  <c r="O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BP440" i="1"/>
  <c r="BN440" i="1"/>
  <c r="Z440" i="1"/>
  <c r="Z442" i="1" s="1"/>
  <c r="Y447" i="1"/>
  <c r="Z463" i="1"/>
  <c r="BP461" i="1"/>
  <c r="BN461" i="1"/>
  <c r="Z461" i="1"/>
  <c r="BP496" i="1"/>
  <c r="BN496" i="1"/>
  <c r="Z496" i="1"/>
  <c r="BP500" i="1"/>
  <c r="BN500" i="1"/>
  <c r="Z500" i="1"/>
  <c r="Y504" i="1"/>
  <c r="BP508" i="1"/>
  <c r="BN508" i="1"/>
  <c r="Z508" i="1"/>
  <c r="Y510" i="1"/>
  <c r="X560" i="1"/>
  <c r="Y474" i="1"/>
  <c r="BP471" i="1"/>
  <c r="BN471" i="1"/>
  <c r="Z471" i="1"/>
  <c r="BP488" i="1"/>
  <c r="BN488" i="1"/>
  <c r="Z488" i="1"/>
  <c r="Z490" i="1" s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Z520" i="1" s="1"/>
  <c r="Y543" i="1"/>
  <c r="Y560" i="1"/>
  <c r="Y505" i="1"/>
  <c r="Z109" i="1" l="1"/>
  <c r="Z510" i="1"/>
  <c r="Z359" i="1"/>
  <c r="Z245" i="1"/>
  <c r="Z215" i="1"/>
  <c r="Z136" i="1"/>
  <c r="Z261" i="1"/>
  <c r="Z474" i="1"/>
  <c r="Z368" i="1"/>
  <c r="Z143" i="1"/>
  <c r="Z378" i="1"/>
  <c r="Z277" i="1"/>
  <c r="Y552" i="1"/>
  <c r="Z237" i="1"/>
  <c r="Z117" i="1"/>
  <c r="Z67" i="1"/>
  <c r="Y551" i="1"/>
  <c r="Y553" i="1" s="1"/>
  <c r="Z504" i="1"/>
  <c r="Z308" i="1"/>
  <c r="Z92" i="1"/>
  <c r="Z391" i="1"/>
  <c r="Z322" i="1"/>
  <c r="Y550" i="1"/>
  <c r="Z404" i="1"/>
  <c r="Z430" i="1"/>
  <c r="Z410" i="1"/>
  <c r="Z398" i="1"/>
  <c r="Z331" i="1"/>
  <c r="Z292" i="1"/>
  <c r="Z188" i="1"/>
  <c r="Z158" i="1"/>
  <c r="Z124" i="1"/>
  <c r="Z99" i="1"/>
  <c r="Z74" i="1"/>
  <c r="Z55" i="1"/>
  <c r="Z46" i="1"/>
  <c r="Z32" i="1"/>
  <c r="Y554" i="1"/>
  <c r="X553" i="1"/>
  <c r="Z347" i="1"/>
  <c r="Z194" i="1"/>
  <c r="Z169" i="1"/>
  <c r="Z555" i="1" l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<sst xmlns="http://schemas.openxmlformats.org/spreadsheetml/2006/main" count="2502" uniqueCount="908">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</sst>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66" sqref="AA66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46236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880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Воскресенье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5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0.5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27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28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29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30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32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58" t="s">
        <v>36</v>
      </c>
      <c r="D17" s="680" t="s">
        <v>37</v>
      </c>
      <c r="E17" s="746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45"/>
      <c r="R17" s="745"/>
      <c r="S17" s="745"/>
      <c r="T17" s="746"/>
      <c r="U17" s="988" t="s">
        <v>49</v>
      </c>
      <c r="V17" s="716"/>
      <c r="W17" s="680" t="s">
        <v>50</v>
      </c>
      <c r="X17" s="680" t="s">
        <v>51</v>
      </c>
      <c r="Y17" s="989" t="s">
        <v>52</v>
      </c>
      <c r="Z17" s="890" t="s">
        <v>53</v>
      </c>
      <c r="AA17" s="860" t="s">
        <v>54</v>
      </c>
      <c r="AB17" s="860" t="s">
        <v>55</v>
      </c>
      <c r="AC17" s="860" t="s">
        <v>56</v>
      </c>
      <c r="AD17" s="860" t="s">
        <v>57</v>
      </c>
      <c r="AE17" s="936"/>
      <c r="AF17" s="937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59</v>
      </c>
      <c r="V18" s="67" t="s">
        <v>60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61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74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hidden="1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hidden="1" customHeight="1" x14ac:dyDescent="0.25">
      <c r="A34" s="654" t="s">
        <v>92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72</v>
      </c>
      <c r="Q36" s="651"/>
      <c r="R36" s="651"/>
      <c r="S36" s="651"/>
      <c r="T36" s="651"/>
      <c r="U36" s="651"/>
      <c r="V36" s="652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72</v>
      </c>
      <c r="Q37" s="651"/>
      <c r="R37" s="651"/>
      <c r="S37" s="651"/>
      <c r="T37" s="651"/>
      <c r="U37" s="651"/>
      <c r="V37" s="652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98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99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74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72</v>
      </c>
      <c r="Q46" s="651"/>
      <c r="R46" s="651"/>
      <c r="S46" s="651"/>
      <c r="T46" s="651"/>
      <c r="U46" s="651"/>
      <c r="V46" s="652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72</v>
      </c>
      <c r="Q47" s="651"/>
      <c r="R47" s="651"/>
      <c r="S47" s="651"/>
      <c r="T47" s="651"/>
      <c r="U47" s="651"/>
      <c r="V47" s="652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115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116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117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hidden="1" customHeight="1" x14ac:dyDescent="0.25">
      <c r="A51" s="54" t="s">
        <v>118</v>
      </c>
      <c r="B51" s="54" t="s">
        <v>119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67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72</v>
      </c>
      <c r="Q55" s="651"/>
      <c r="R55" s="651"/>
      <c r="S55" s="651"/>
      <c r="T55" s="651"/>
      <c r="U55" s="651"/>
      <c r="V55" s="652"/>
      <c r="W55" s="37" t="s">
        <v>73</v>
      </c>
      <c r="X55" s="629">
        <f>IFERROR(X51/H51,"0")+IFERROR(X52/H52,"0")+IFERROR(X53/H53,"0")+IFERROR(X54/H54,"0")</f>
        <v>0</v>
      </c>
      <c r="Y55" s="629">
        <f>IFERROR(Y51/H51,"0")+IFERROR(Y52/H52,"0")+IFERROR(Y53/H53,"0")+IFERROR(Y54/H54,"0")</f>
        <v>0</v>
      </c>
      <c r="Z55" s="629">
        <f>IFERROR(IF(Z51="",0,Z51),"0")+IFERROR(IF(Z52="",0,Z52),"0")+IFERROR(IF(Z53="",0,Z53),"0")+IFERROR(IF(Z54="",0,Z54),"0")</f>
        <v>0</v>
      </c>
      <c r="AA55" s="630"/>
      <c r="AB55" s="630"/>
      <c r="AC55" s="630"/>
    </row>
    <row r="56" spans="1:68" hidden="1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72</v>
      </c>
      <c r="Q56" s="651"/>
      <c r="R56" s="651"/>
      <c r="S56" s="651"/>
      <c r="T56" s="651"/>
      <c r="U56" s="651"/>
      <c r="V56" s="652"/>
      <c r="W56" s="37" t="s">
        <v>67</v>
      </c>
      <c r="X56" s="629">
        <f>IFERROR(SUM(X51:X54),"0")</f>
        <v>0</v>
      </c>
      <c r="Y56" s="629">
        <f>IFERROR(SUM(Y51:Y54),"0")</f>
        <v>0</v>
      </c>
      <c r="Z56" s="37"/>
      <c r="AA56" s="630"/>
      <c r="AB56" s="630"/>
      <c r="AC56" s="630"/>
    </row>
    <row r="57" spans="1:68" ht="16.5" hidden="1" customHeight="1" x14ac:dyDescent="0.25">
      <c r="A57" s="657" t="s">
        <v>132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117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hidden="1" customHeight="1" x14ac:dyDescent="0.25">
      <c r="A59" s="54" t="s">
        <v>133</v>
      </c>
      <c r="B59" s="54" t="s">
        <v>134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67</v>
      </c>
      <c r="X66" s="627">
        <v>45</v>
      </c>
      <c r="Y66" s="628">
        <f t="shared" si="0"/>
        <v>45</v>
      </c>
      <c r="Z66" s="36">
        <f>IFERROR(IF(Y66=0,"",ROUNDUP(Y66/H66,0)*0.00902),"")</f>
        <v>9.0200000000000002E-2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46.900000000000006</v>
      </c>
      <c r="BN66" s="64">
        <f t="shared" si="2"/>
        <v>46.900000000000006</v>
      </c>
      <c r="BO66" s="64">
        <f t="shared" si="3"/>
        <v>7.575757575757576E-2</v>
      </c>
      <c r="BP66" s="64">
        <f t="shared" si="4"/>
        <v>7.575757575757576E-2</v>
      </c>
    </row>
    <row r="67" spans="1:68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72</v>
      </c>
      <c r="Q67" s="651"/>
      <c r="R67" s="651"/>
      <c r="S67" s="651"/>
      <c r="T67" s="651"/>
      <c r="U67" s="651"/>
      <c r="V67" s="652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10</v>
      </c>
      <c r="Y67" s="629">
        <f>IFERROR(Y59/H59,"0")+IFERROR(Y60/H60,"0")+IFERROR(Y61/H61,"0")+IFERROR(Y62/H62,"0")+IFERROR(Y63/H63,"0")+IFERROR(Y64/H64,"0")+IFERROR(Y65/H65,"0")+IFERROR(Y66/H66,"0")</f>
        <v>10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9.0200000000000002E-2</v>
      </c>
      <c r="AA67" s="630"/>
      <c r="AB67" s="630"/>
      <c r="AC67" s="630"/>
    </row>
    <row r="68" spans="1:68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72</v>
      </c>
      <c r="Q68" s="651"/>
      <c r="R68" s="651"/>
      <c r="S68" s="651"/>
      <c r="T68" s="651"/>
      <c r="U68" s="651"/>
      <c r="V68" s="652"/>
      <c r="W68" s="37" t="s">
        <v>67</v>
      </c>
      <c r="X68" s="629">
        <f>IFERROR(SUM(X59:X66),"0")</f>
        <v>45</v>
      </c>
      <c r="Y68" s="629">
        <f>IFERROR(SUM(Y59:Y66),"0")</f>
        <v>45</v>
      </c>
      <c r="Z68" s="37"/>
      <c r="AA68" s="630"/>
      <c r="AB68" s="630"/>
      <c r="AC68" s="630"/>
    </row>
    <row r="69" spans="1:68" ht="14.25" hidden="1" customHeight="1" x14ac:dyDescent="0.25">
      <c r="A69" s="654" t="s">
        <v>153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hidden="1" customHeight="1" x14ac:dyDescent="0.25">
      <c r="A70" s="54" t="s">
        <v>154</v>
      </c>
      <c r="B70" s="54" t="s">
        <v>155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hidden="1" customHeight="1" x14ac:dyDescent="0.25">
      <c r="A76" s="654" t="s">
        <v>74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67</v>
      </c>
      <c r="X77" s="627">
        <v>60</v>
      </c>
      <c r="Y77" s="628">
        <f>IFERROR(IF(X77="",0,CEILING((X77/$H77),1)*$H77),"")</f>
        <v>61.2</v>
      </c>
      <c r="Z77" s="36">
        <f>IFERROR(IF(Y77=0,"",ROUNDUP(Y77/H77,0)*0.00651),"")</f>
        <v>0.22134000000000001</v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68.199999999999989</v>
      </c>
      <c r="BN77" s="64">
        <f>IFERROR(Y77*I77/H77,"0")</f>
        <v>69.563999999999993</v>
      </c>
      <c r="BO77" s="64">
        <f>IFERROR(1/J77*(X77/H77),"0")</f>
        <v>0.18315018315018317</v>
      </c>
      <c r="BP77" s="64">
        <f>IFERROR(1/J77*(Y77/H77),"0")</f>
        <v>0.18681318681318682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72</v>
      </c>
      <c r="Q79" s="651"/>
      <c r="R79" s="651"/>
      <c r="S79" s="651"/>
      <c r="T79" s="651"/>
      <c r="U79" s="651"/>
      <c r="V79" s="652"/>
      <c r="W79" s="37" t="s">
        <v>73</v>
      </c>
      <c r="X79" s="629">
        <f>IFERROR(X77/H77,"0")+IFERROR(X78/H78,"0")</f>
        <v>33.333333333333336</v>
      </c>
      <c r="Y79" s="629">
        <f>IFERROR(Y77/H77,"0")+IFERROR(Y78/H78,"0")</f>
        <v>34</v>
      </c>
      <c r="Z79" s="629">
        <f>IFERROR(IF(Z77="",0,Z77),"0")+IFERROR(IF(Z78="",0,Z78),"0")</f>
        <v>0.22134000000000001</v>
      </c>
      <c r="AA79" s="630"/>
      <c r="AB79" s="630"/>
      <c r="AC79" s="630"/>
    </row>
    <row r="80" spans="1:68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72</v>
      </c>
      <c r="Q80" s="651"/>
      <c r="R80" s="651"/>
      <c r="S80" s="651"/>
      <c r="T80" s="651"/>
      <c r="U80" s="651"/>
      <c r="V80" s="652"/>
      <c r="W80" s="37" t="s">
        <v>67</v>
      </c>
      <c r="X80" s="629">
        <f>IFERROR(SUM(X77:X78),"0")</f>
        <v>60</v>
      </c>
      <c r="Y80" s="629">
        <f>IFERROR(SUM(Y77:Y78),"0")</f>
        <v>61.2</v>
      </c>
      <c r="Z80" s="37"/>
      <c r="AA80" s="630"/>
      <c r="AB80" s="630"/>
      <c r="AC80" s="630"/>
    </row>
    <row r="81" spans="1:68" ht="14.25" hidden="1" customHeight="1" x14ac:dyDescent="0.25">
      <c r="A81" s="654" t="s">
        <v>170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hidden="1" customHeight="1" x14ac:dyDescent="0.25">
      <c r="A82" s="54" t="s">
        <v>171</v>
      </c>
      <c r="B82" s="54" t="s">
        <v>172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72</v>
      </c>
      <c r="Q84" s="651"/>
      <c r="R84" s="651"/>
      <c r="S84" s="651"/>
      <c r="T84" s="651"/>
      <c r="U84" s="651"/>
      <c r="V84" s="652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hidden="1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72</v>
      </c>
      <c r="Q85" s="651"/>
      <c r="R85" s="651"/>
      <c r="S85" s="651"/>
      <c r="T85" s="651"/>
      <c r="U85" s="651"/>
      <c r="V85" s="652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hidden="1" customHeight="1" x14ac:dyDescent="0.25">
      <c r="A86" s="657" t="s">
        <v>177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117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67</v>
      </c>
      <c r="X91" s="627">
        <v>225</v>
      </c>
      <c r="Y91" s="628">
        <f>IFERROR(IF(X91="",0,CEILING((X91/$H91),1)*$H91),"")</f>
        <v>225</v>
      </c>
      <c r="Z91" s="36">
        <f>IFERROR(IF(Y91=0,"",ROUNDUP(Y91/H91,0)*0.00902),"")</f>
        <v>0.45100000000000001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234.5</v>
      </c>
      <c r="BN91" s="64">
        <f>IFERROR(Y91*I91/H91,"0")</f>
        <v>234.5</v>
      </c>
      <c r="BO91" s="64">
        <f>IFERROR(1/J91*(X91/H91),"0")</f>
        <v>0.37878787878787878</v>
      </c>
      <c r="BP91" s="64">
        <f>IFERROR(1/J91*(Y91/H91),"0")</f>
        <v>0.37878787878787878</v>
      </c>
    </row>
    <row r="92" spans="1:68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72</v>
      </c>
      <c r="Q92" s="651"/>
      <c r="R92" s="651"/>
      <c r="S92" s="651"/>
      <c r="T92" s="651"/>
      <c r="U92" s="651"/>
      <c r="V92" s="652"/>
      <c r="W92" s="37" t="s">
        <v>73</v>
      </c>
      <c r="X92" s="629">
        <f>IFERROR(X88/H88,"0")+IFERROR(X89/H89,"0")+IFERROR(X90/H90,"0")+IFERROR(X91/H91,"0")</f>
        <v>50</v>
      </c>
      <c r="Y92" s="629">
        <f>IFERROR(Y88/H88,"0")+IFERROR(Y89/H89,"0")+IFERROR(Y90/H90,"0")+IFERROR(Y91/H91,"0")</f>
        <v>50</v>
      </c>
      <c r="Z92" s="629">
        <f>IFERROR(IF(Z88="",0,Z88),"0")+IFERROR(IF(Z89="",0,Z89),"0")+IFERROR(IF(Z90="",0,Z90),"0")+IFERROR(IF(Z91="",0,Z91),"0")</f>
        <v>0.45100000000000001</v>
      </c>
      <c r="AA92" s="630"/>
      <c r="AB92" s="630"/>
      <c r="AC92" s="630"/>
    </row>
    <row r="93" spans="1:68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72</v>
      </c>
      <c r="Q93" s="651"/>
      <c r="R93" s="651"/>
      <c r="S93" s="651"/>
      <c r="T93" s="651"/>
      <c r="U93" s="651"/>
      <c r="V93" s="652"/>
      <c r="W93" s="37" t="s">
        <v>67</v>
      </c>
      <c r="X93" s="629">
        <f>IFERROR(SUM(X88:X91),"0")</f>
        <v>225</v>
      </c>
      <c r="Y93" s="629">
        <f>IFERROR(SUM(Y88:Y91),"0")</f>
        <v>225</v>
      </c>
      <c r="Z93" s="37"/>
      <c r="AA93" s="630"/>
      <c r="AB93" s="630"/>
      <c r="AC93" s="630"/>
    </row>
    <row r="94" spans="1:68" ht="14.25" hidden="1" customHeight="1" x14ac:dyDescent="0.25">
      <c r="A94" s="654" t="s">
        <v>74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hidden="1" customHeight="1" x14ac:dyDescent="0.25">
      <c r="A95" s="54" t="s">
        <v>188</v>
      </c>
      <c r="B95" s="54" t="s">
        <v>189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67</v>
      </c>
      <c r="X97" s="627">
        <v>450</v>
      </c>
      <c r="Y97" s="628">
        <f>IFERROR(IF(X97="",0,CEILING((X97/$H97),1)*$H97),"")</f>
        <v>450.90000000000003</v>
      </c>
      <c r="Z97" s="36">
        <f>IFERROR(IF(Y97=0,"",ROUNDUP(Y97/H97,0)*0.00651),"")</f>
        <v>1.08717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492</v>
      </c>
      <c r="BN97" s="64">
        <f>IFERROR(Y97*I97/H97,"0")</f>
        <v>492.98399999999998</v>
      </c>
      <c r="BO97" s="64">
        <f>IFERROR(1/J97*(X97/H97),"0")</f>
        <v>0.91575091575091572</v>
      </c>
      <c r="BP97" s="64">
        <f>IFERROR(1/J97*(Y97/H97),"0")</f>
        <v>0.91758241758241765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29">
        <f>IFERROR(X95/H95,"0")+IFERROR(X96/H96,"0")+IFERROR(X97/H97,"0")+IFERROR(X98/H98,"0")</f>
        <v>166.66666666666666</v>
      </c>
      <c r="Y99" s="629">
        <f>IFERROR(Y95/H95,"0")+IFERROR(Y96/H96,"0")+IFERROR(Y97/H97,"0")+IFERROR(Y98/H98,"0")</f>
        <v>167</v>
      </c>
      <c r="Z99" s="629">
        <f>IFERROR(IF(Z95="",0,Z95),"0")+IFERROR(IF(Z96="",0,Z96),"0")+IFERROR(IF(Z97="",0,Z97),"0")+IFERROR(IF(Z98="",0,Z98),"0")</f>
        <v>1.08717</v>
      </c>
      <c r="AA99" s="630"/>
      <c r="AB99" s="630"/>
      <c r="AC99" s="630"/>
    </row>
    <row r="100" spans="1:68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29">
        <f>IFERROR(SUM(X95:X98),"0")</f>
        <v>450</v>
      </c>
      <c r="Y100" s="629">
        <f>IFERROR(SUM(Y95:Y98),"0")</f>
        <v>450.90000000000003</v>
      </c>
      <c r="Z100" s="37"/>
      <c r="AA100" s="630"/>
      <c r="AB100" s="630"/>
      <c r="AC100" s="630"/>
    </row>
    <row r="101" spans="1:68" ht="16.5" hidden="1" customHeight="1" x14ac:dyDescent="0.25">
      <c r="A101" s="657" t="s">
        <v>198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117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72</v>
      </c>
      <c r="Q109" s="651"/>
      <c r="R109" s="651"/>
      <c r="S109" s="651"/>
      <c r="T109" s="651"/>
      <c r="U109" s="651"/>
      <c r="V109" s="652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hidden="1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72</v>
      </c>
      <c r="Q110" s="651"/>
      <c r="R110" s="651"/>
      <c r="S110" s="651"/>
      <c r="T110" s="651"/>
      <c r="U110" s="651"/>
      <c r="V110" s="652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153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hidden="1" customHeight="1" x14ac:dyDescent="0.25">
      <c r="A112" s="54" t="s">
        <v>212</v>
      </c>
      <c r="B112" s="54" t="s">
        <v>213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72</v>
      </c>
      <c r="Q117" s="651"/>
      <c r="R117" s="651"/>
      <c r="S117" s="651"/>
      <c r="T117" s="651"/>
      <c r="U117" s="651"/>
      <c r="V117" s="652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hidden="1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72</v>
      </c>
      <c r="Q118" s="651"/>
      <c r="R118" s="651"/>
      <c r="S118" s="651"/>
      <c r="T118" s="651"/>
      <c r="U118" s="651"/>
      <c r="V118" s="652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hidden="1" customHeight="1" x14ac:dyDescent="0.25">
      <c r="A119" s="654" t="s">
        <v>74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67</v>
      </c>
      <c r="X120" s="627">
        <v>500</v>
      </c>
      <c r="Y120" s="628">
        <f>IFERROR(IF(X120="",0,CEILING((X120/$H120),1)*$H120),"")</f>
        <v>502.2</v>
      </c>
      <c r="Z120" s="36">
        <f>IFERROR(IF(Y120=0,"",ROUNDUP(Y120/H120,0)*0.01898),"")</f>
        <v>1.17676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530.12345679012344</v>
      </c>
      <c r="BN120" s="64">
        <f>IFERROR(Y120*I120/H120,"0")</f>
        <v>532.4559999999999</v>
      </c>
      <c r="BO120" s="64">
        <f>IFERROR(1/J120*(X120/H120),"0")</f>
        <v>0.96450617283950624</v>
      </c>
      <c r="BP120" s="64">
        <f>IFERROR(1/J120*(Y120/H120),"0")</f>
        <v>0.96875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67</v>
      </c>
      <c r="X122" s="627">
        <v>1350</v>
      </c>
      <c r="Y122" s="628">
        <f>IFERROR(IF(X122="",0,CEILING((X122/$H122),1)*$H122),"")</f>
        <v>1350</v>
      </c>
      <c r="Z122" s="36">
        <f>IFERROR(IF(Y122=0,"",ROUNDUP(Y122/H122,0)*0.00651),"")</f>
        <v>3.2549999999999999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1475.9999999999998</v>
      </c>
      <c r="BN122" s="64">
        <f>IFERROR(Y122*I122/H122,"0")</f>
        <v>1475.9999999999998</v>
      </c>
      <c r="BO122" s="64">
        <f>IFERROR(1/J122*(X122/H122),"0")</f>
        <v>2.7472527472527473</v>
      </c>
      <c r="BP122" s="64">
        <f>IFERROR(1/J122*(Y122/H122),"0")</f>
        <v>2.7472527472527473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72</v>
      </c>
      <c r="Q124" s="651"/>
      <c r="R124" s="651"/>
      <c r="S124" s="651"/>
      <c r="T124" s="651"/>
      <c r="U124" s="651"/>
      <c r="V124" s="652"/>
      <c r="W124" s="37" t="s">
        <v>73</v>
      </c>
      <c r="X124" s="629">
        <f>IFERROR(X120/H120,"0")+IFERROR(X121/H121,"0")+IFERROR(X122/H122,"0")+IFERROR(X123/H123,"0")</f>
        <v>561.72839506172829</v>
      </c>
      <c r="Y124" s="629">
        <f>IFERROR(Y120/H120,"0")+IFERROR(Y121/H121,"0")+IFERROR(Y122/H122,"0")+IFERROR(Y123/H123,"0")</f>
        <v>562</v>
      </c>
      <c r="Z124" s="629">
        <f>IFERROR(IF(Z120="",0,Z120),"0")+IFERROR(IF(Z121="",0,Z121),"0")+IFERROR(IF(Z122="",0,Z122),"0")+IFERROR(IF(Z123="",0,Z123),"0")</f>
        <v>4.4317599999999997</v>
      </c>
      <c r="AA124" s="630"/>
      <c r="AB124" s="630"/>
      <c r="AC124" s="630"/>
    </row>
    <row r="125" spans="1:68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72</v>
      </c>
      <c r="Q125" s="651"/>
      <c r="R125" s="651"/>
      <c r="S125" s="651"/>
      <c r="T125" s="651"/>
      <c r="U125" s="651"/>
      <c r="V125" s="652"/>
      <c r="W125" s="37" t="s">
        <v>67</v>
      </c>
      <c r="X125" s="629">
        <f>IFERROR(SUM(X120:X123),"0")</f>
        <v>1850</v>
      </c>
      <c r="Y125" s="629">
        <f>IFERROR(SUM(Y120:Y123),"0")</f>
        <v>1852.2</v>
      </c>
      <c r="Z125" s="37"/>
      <c r="AA125" s="630"/>
      <c r="AB125" s="630"/>
      <c r="AC125" s="630"/>
    </row>
    <row r="126" spans="1:68" ht="14.25" hidden="1" customHeight="1" x14ac:dyDescent="0.25">
      <c r="A126" s="654" t="s">
        <v>170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67</v>
      </c>
      <c r="X127" s="627">
        <v>33</v>
      </c>
      <c r="Y127" s="628">
        <f>IFERROR(IF(X127="",0,CEILING((X127/$H127),1)*$H127),"")</f>
        <v>33.659999999999997</v>
      </c>
      <c r="Z127" s="36">
        <f>IFERROR(IF(Y127=0,"",ROUNDUP(Y127/H127,0)*0.00651),"")</f>
        <v>0.11067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37.299999999999997</v>
      </c>
      <c r="BN127" s="64">
        <f>IFERROR(Y127*I127/H127,"0")</f>
        <v>38.045999999999992</v>
      </c>
      <c r="BO127" s="64">
        <f>IFERROR(1/J127*(X127/H127),"0")</f>
        <v>9.1575091575091583E-2</v>
      </c>
      <c r="BP127" s="64">
        <f>IFERROR(1/J127*(Y127/H127),"0")</f>
        <v>9.3406593406593408E-2</v>
      </c>
    </row>
    <row r="128" spans="1:68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72</v>
      </c>
      <c r="Q128" s="651"/>
      <c r="R128" s="651"/>
      <c r="S128" s="651"/>
      <c r="T128" s="651"/>
      <c r="U128" s="651"/>
      <c r="V128" s="652"/>
      <c r="W128" s="37" t="s">
        <v>73</v>
      </c>
      <c r="X128" s="629">
        <f>IFERROR(X127/H127,"0")</f>
        <v>16.666666666666668</v>
      </c>
      <c r="Y128" s="629">
        <f>IFERROR(Y127/H127,"0")</f>
        <v>17</v>
      </c>
      <c r="Z128" s="629">
        <f>IFERROR(IF(Z127="",0,Z127),"0")</f>
        <v>0.11067</v>
      </c>
      <c r="AA128" s="630"/>
      <c r="AB128" s="630"/>
      <c r="AC128" s="630"/>
    </row>
    <row r="129" spans="1:68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72</v>
      </c>
      <c r="Q129" s="651"/>
      <c r="R129" s="651"/>
      <c r="S129" s="651"/>
      <c r="T129" s="651"/>
      <c r="U129" s="651"/>
      <c r="V129" s="652"/>
      <c r="W129" s="37" t="s">
        <v>67</v>
      </c>
      <c r="X129" s="629">
        <f>IFERROR(SUM(X127:X127),"0")</f>
        <v>33</v>
      </c>
      <c r="Y129" s="629">
        <f>IFERROR(SUM(Y127:Y127),"0")</f>
        <v>33.659999999999997</v>
      </c>
      <c r="Z129" s="37"/>
      <c r="AA129" s="630"/>
      <c r="AB129" s="630"/>
      <c r="AC129" s="630"/>
    </row>
    <row r="130" spans="1:68" ht="16.5" hidden="1" customHeight="1" x14ac:dyDescent="0.25">
      <c r="A130" s="657" t="s">
        <v>237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117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245</v>
      </c>
      <c r="B134" s="54" t="s">
        <v>246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72</v>
      </c>
      <c r="Q136" s="651"/>
      <c r="R136" s="651"/>
      <c r="S136" s="651"/>
      <c r="T136" s="651"/>
      <c r="U136" s="651"/>
      <c r="V136" s="652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hidden="1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72</v>
      </c>
      <c r="Q137" s="651"/>
      <c r="R137" s="651"/>
      <c r="S137" s="651"/>
      <c r="T137" s="651"/>
      <c r="U137" s="651"/>
      <c r="V137" s="652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hidden="1" customHeight="1" x14ac:dyDescent="0.25">
      <c r="A138" s="654" t="s">
        <v>62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72</v>
      </c>
      <c r="Q143" s="651"/>
      <c r="R143" s="651"/>
      <c r="S143" s="651"/>
      <c r="T143" s="651"/>
      <c r="U143" s="651"/>
      <c r="V143" s="652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72</v>
      </c>
      <c r="Q144" s="651"/>
      <c r="R144" s="651"/>
      <c r="S144" s="651"/>
      <c r="T144" s="651"/>
      <c r="U144" s="651"/>
      <c r="V144" s="652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hidden="1" customHeight="1" x14ac:dyDescent="0.25">
      <c r="A145" s="654" t="s">
        <v>74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262</v>
      </c>
      <c r="B148" s="54" t="s">
        <v>263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hidden="1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hidden="1" customHeight="1" x14ac:dyDescent="0.25">
      <c r="A152" s="657" t="s">
        <v>265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74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72</v>
      </c>
      <c r="Q158" s="651"/>
      <c r="R158" s="651"/>
      <c r="S158" s="651"/>
      <c r="T158" s="651"/>
      <c r="U158" s="651"/>
      <c r="V158" s="652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72</v>
      </c>
      <c r="Q159" s="651"/>
      <c r="R159" s="651"/>
      <c r="S159" s="651"/>
      <c r="T159" s="651"/>
      <c r="U159" s="651"/>
      <c r="V159" s="652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92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72</v>
      </c>
      <c r="Q162" s="651"/>
      <c r="R162" s="651"/>
      <c r="S162" s="651"/>
      <c r="T162" s="651"/>
      <c r="U162" s="651"/>
      <c r="V162" s="652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72</v>
      </c>
      <c r="Q163" s="651"/>
      <c r="R163" s="651"/>
      <c r="S163" s="651"/>
      <c r="T163" s="651"/>
      <c r="U163" s="651"/>
      <c r="V163" s="652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115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117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286</v>
      </c>
      <c r="B167" s="54" t="s">
        <v>287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72</v>
      </c>
      <c r="Q169" s="651"/>
      <c r="R169" s="651"/>
      <c r="S169" s="651"/>
      <c r="T169" s="651"/>
      <c r="U169" s="651"/>
      <c r="V169" s="652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72</v>
      </c>
      <c r="Q170" s="651"/>
      <c r="R170" s="651"/>
      <c r="S170" s="651"/>
      <c r="T170" s="651"/>
      <c r="U170" s="651"/>
      <c r="V170" s="652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153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6" t="s">
        <v>294</v>
      </c>
      <c r="Q172" s="635"/>
      <c r="R172" s="635"/>
      <c r="S172" s="635"/>
      <c r="T172" s="636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72</v>
      </c>
      <c r="Q174" s="651"/>
      <c r="R174" s="651"/>
      <c r="S174" s="651"/>
      <c r="T174" s="651"/>
      <c r="U174" s="651"/>
      <c r="V174" s="652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72</v>
      </c>
      <c r="Q175" s="651"/>
      <c r="R175" s="651"/>
      <c r="S175" s="651"/>
      <c r="T175" s="651"/>
      <c r="U175" s="651"/>
      <c r="V175" s="652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62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67</v>
      </c>
      <c r="X177" s="627">
        <v>100</v>
      </c>
      <c r="Y177" s="628">
        <f t="shared" ref="Y177:Y187" si="10">IFERROR(IF(X177="",0,CEILING((X177/$H177),1)*$H177),"")</f>
        <v>101.5</v>
      </c>
      <c r="Z177" s="36">
        <f>IFERROR(IF(Y177=0,"",ROUNDUP(Y177/H177,0)*0.00902),"")</f>
        <v>0.26158000000000003</v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105.42857142857143</v>
      </c>
      <c r="BN177" s="64">
        <f t="shared" ref="BN177:BN187" si="12">IFERROR(Y177*I177/H177,"0")</f>
        <v>107.00999999999999</v>
      </c>
      <c r="BO177" s="64">
        <f t="shared" ref="BO177:BO187" si="13">IFERROR(1/J177*(X177/H177),"0")</f>
        <v>0.21645021645021648</v>
      </c>
      <c r="BP177" s="64">
        <f t="shared" ref="BP177:BP187" si="14">IFERROR(1/J177*(Y177/H177),"0")</f>
        <v>0.2196969696969697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hidden="1" customHeight="1" x14ac:dyDescent="0.25">
      <c r="A181" s="54" t="s">
        <v>311</v>
      </c>
      <c r="B181" s="54" t="s">
        <v>312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67</v>
      </c>
      <c r="X185" s="627">
        <v>84</v>
      </c>
      <c r="Y185" s="628">
        <f t="shared" si="10"/>
        <v>84</v>
      </c>
      <c r="Z185" s="36">
        <f>IFERROR(IF(Y185=0,"",ROUNDUP(Y185/H185,0)*0.00502),"")</f>
        <v>0.251</v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89.000000000000014</v>
      </c>
      <c r="BN185" s="64">
        <f t="shared" si="12"/>
        <v>89.000000000000014</v>
      </c>
      <c r="BO185" s="64">
        <f t="shared" si="13"/>
        <v>0.21367521367521369</v>
      </c>
      <c r="BP185" s="64">
        <f t="shared" si="14"/>
        <v>0.21367521367521369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67</v>
      </c>
      <c r="X187" s="627">
        <v>112</v>
      </c>
      <c r="Y187" s="628">
        <f t="shared" si="10"/>
        <v>112.56</v>
      </c>
      <c r="Z187" s="36">
        <f>IFERROR(IF(Y187=0,"",ROUNDUP(Y187/H187,0)*0.00502),"")</f>
        <v>0.33634000000000003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118.66666666666669</v>
      </c>
      <c r="BN187" s="64">
        <f t="shared" si="12"/>
        <v>119.26000000000002</v>
      </c>
      <c r="BO187" s="64">
        <f t="shared" si="13"/>
        <v>0.28490028490028496</v>
      </c>
      <c r="BP187" s="64">
        <f t="shared" si="14"/>
        <v>0.28632478632478636</v>
      </c>
    </row>
    <row r="188" spans="1:68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72</v>
      </c>
      <c r="Q188" s="651"/>
      <c r="R188" s="651"/>
      <c r="S188" s="651"/>
      <c r="T188" s="651"/>
      <c r="U188" s="651"/>
      <c r="V188" s="652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145.23809523809524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146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0.84892000000000012</v>
      </c>
      <c r="AA188" s="630"/>
      <c r="AB188" s="630"/>
      <c r="AC188" s="630"/>
    </row>
    <row r="189" spans="1:68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72</v>
      </c>
      <c r="Q189" s="651"/>
      <c r="R189" s="651"/>
      <c r="S189" s="651"/>
      <c r="T189" s="651"/>
      <c r="U189" s="651"/>
      <c r="V189" s="652"/>
      <c r="W189" s="37" t="s">
        <v>67</v>
      </c>
      <c r="X189" s="629">
        <f>IFERROR(SUM(X177:X187),"0")</f>
        <v>296</v>
      </c>
      <c r="Y189" s="629">
        <f>IFERROR(SUM(Y177:Y187),"0")</f>
        <v>298.06</v>
      </c>
      <c r="Z189" s="37"/>
      <c r="AA189" s="630"/>
      <c r="AB189" s="630"/>
      <c r="AC189" s="630"/>
    </row>
    <row r="190" spans="1:68" ht="14.25" hidden="1" customHeight="1" x14ac:dyDescent="0.25">
      <c r="A190" s="654" t="s">
        <v>74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333</v>
      </c>
      <c r="B193" s="54" t="s">
        <v>334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72</v>
      </c>
      <c r="Q194" s="651"/>
      <c r="R194" s="651"/>
      <c r="S194" s="651"/>
      <c r="T194" s="651"/>
      <c r="U194" s="651"/>
      <c r="V194" s="652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72</v>
      </c>
      <c r="Q195" s="651"/>
      <c r="R195" s="651"/>
      <c r="S195" s="651"/>
      <c r="T195" s="651"/>
      <c r="U195" s="651"/>
      <c r="V195" s="652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92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72</v>
      </c>
      <c r="Q199" s="651"/>
      <c r="R199" s="651"/>
      <c r="S199" s="651"/>
      <c r="T199" s="651"/>
      <c r="U199" s="651"/>
      <c r="V199" s="652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72</v>
      </c>
      <c r="Q200" s="651"/>
      <c r="R200" s="651"/>
      <c r="S200" s="651"/>
      <c r="T200" s="651"/>
      <c r="U200" s="651"/>
      <c r="V200" s="652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343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72</v>
      </c>
      <c r="Q203" s="651"/>
      <c r="R203" s="651"/>
      <c r="S203" s="651"/>
      <c r="T203" s="651"/>
      <c r="U203" s="651"/>
      <c r="V203" s="652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72</v>
      </c>
      <c r="Q204" s="651"/>
      <c r="R204" s="651"/>
      <c r="S204" s="651"/>
      <c r="T204" s="651"/>
      <c r="U204" s="651"/>
      <c r="V204" s="652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347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348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117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72</v>
      </c>
      <c r="Q215" s="651"/>
      <c r="R215" s="651"/>
      <c r="S215" s="651"/>
      <c r="T215" s="651"/>
      <c r="U215" s="651"/>
      <c r="V215" s="652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72</v>
      </c>
      <c r="Q216" s="651"/>
      <c r="R216" s="651"/>
      <c r="S216" s="651"/>
      <c r="T216" s="651"/>
      <c r="U216" s="651"/>
      <c r="V216" s="652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369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153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72</v>
      </c>
      <c r="Q220" s="651"/>
      <c r="R220" s="651"/>
      <c r="S220" s="651"/>
      <c r="T220" s="651"/>
      <c r="U220" s="651"/>
      <c r="V220" s="652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72</v>
      </c>
      <c r="Q221" s="651"/>
      <c r="R221" s="651"/>
      <c r="S221" s="651"/>
      <c r="T221" s="651"/>
      <c r="U221" s="651"/>
      <c r="V221" s="652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62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hidden="1" customHeight="1" x14ac:dyDescent="0.25">
      <c r="A223" s="54" t="s">
        <v>373</v>
      </c>
      <c r="B223" s="54" t="s">
        <v>374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67</v>
      </c>
      <c r="X226" s="627">
        <v>16</v>
      </c>
      <c r="Y226" s="628">
        <f t="shared" si="21"/>
        <v>16</v>
      </c>
      <c r="Z226" s="36">
        <f>IFERROR(IF(Y226=0,"",ROUNDUP(Y226/H226,0)*0.00556),"")</f>
        <v>0.11119999999999999</v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18.600000000000001</v>
      </c>
      <c r="BN226" s="64">
        <f t="shared" si="23"/>
        <v>18.600000000000001</v>
      </c>
      <c r="BO226" s="64">
        <f t="shared" si="24"/>
        <v>7.9365079365079361E-2</v>
      </c>
      <c r="BP226" s="64">
        <f t="shared" si="25"/>
        <v>7.9365079365079361E-2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398</v>
      </c>
      <c r="B232" s="54" t="s">
        <v>399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hidden="1" customHeight="1" x14ac:dyDescent="0.25">
      <c r="A234" s="54" t="s">
        <v>404</v>
      </c>
      <c r="B234" s="54" t="s">
        <v>405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72</v>
      </c>
      <c r="Q237" s="651"/>
      <c r="R237" s="651"/>
      <c r="S237" s="651"/>
      <c r="T237" s="651"/>
      <c r="U237" s="651"/>
      <c r="V237" s="652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20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20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0.11119999999999999</v>
      </c>
      <c r="AA237" s="630"/>
      <c r="AB237" s="630"/>
      <c r="AC237" s="630"/>
    </row>
    <row r="238" spans="1:68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72</v>
      </c>
      <c r="Q238" s="651"/>
      <c r="R238" s="651"/>
      <c r="S238" s="651"/>
      <c r="T238" s="651"/>
      <c r="U238" s="651"/>
      <c r="V238" s="652"/>
      <c r="W238" s="37" t="s">
        <v>67</v>
      </c>
      <c r="X238" s="629">
        <f>IFERROR(SUM(X223:X236),"0")</f>
        <v>16</v>
      </c>
      <c r="Y238" s="629">
        <f>IFERROR(SUM(Y223:Y236),"0")</f>
        <v>16</v>
      </c>
      <c r="Z238" s="37"/>
      <c r="AA238" s="630"/>
      <c r="AB238" s="630"/>
      <c r="AC238" s="630"/>
    </row>
    <row r="239" spans="1:68" ht="14.25" hidden="1" customHeight="1" x14ac:dyDescent="0.25">
      <c r="A239" s="654" t="s">
        <v>74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72</v>
      </c>
      <c r="Q245" s="651"/>
      <c r="R245" s="651"/>
      <c r="S245" s="651"/>
      <c r="T245" s="651"/>
      <c r="U245" s="651"/>
      <c r="V245" s="652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72</v>
      </c>
      <c r="Q246" s="651"/>
      <c r="R246" s="651"/>
      <c r="S246" s="651"/>
      <c r="T246" s="651"/>
      <c r="U246" s="651"/>
      <c r="V246" s="652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67</v>
      </c>
      <c r="X249" s="627">
        <v>7</v>
      </c>
      <c r="Y249" s="628">
        <f>IFERROR(IF(X249="",0,CEILING((X249/$H249),1)*$H249),"")</f>
        <v>7.5600000000000005</v>
      </c>
      <c r="Z249" s="36">
        <f>IFERROR(IF(Y249=0,"",ROUNDUP(Y249/H249,0)*0.0059),"")</f>
        <v>3.5400000000000001E-2</v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8.0555555555555554</v>
      </c>
      <c r="BN249" s="64">
        <f>IFERROR(Y249*I249/H249,"0")</f>
        <v>8.6999999999999993</v>
      </c>
      <c r="BO249" s="64">
        <f>IFERROR(1/J249*(X249/H249),"0")</f>
        <v>2.5720164609053495E-2</v>
      </c>
      <c r="BP249" s="64">
        <f>IFERROR(1/J249*(Y249/H249),"0")</f>
        <v>2.7777777777777776E-2</v>
      </c>
    </row>
    <row r="250" spans="1:68" ht="27" hidden="1" customHeight="1" x14ac:dyDescent="0.25">
      <c r="A250" s="54" t="s">
        <v>431</v>
      </c>
      <c r="B250" s="54" t="s">
        <v>432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72</v>
      </c>
      <c r="Q251" s="651"/>
      <c r="R251" s="651"/>
      <c r="S251" s="651"/>
      <c r="T251" s="651"/>
      <c r="U251" s="651"/>
      <c r="V251" s="652"/>
      <c r="W251" s="37" t="s">
        <v>73</v>
      </c>
      <c r="X251" s="629">
        <f>IFERROR(X248/H248,"0")+IFERROR(X249/H249,"0")+IFERROR(X250/H250,"0")</f>
        <v>5.5555555555555554</v>
      </c>
      <c r="Y251" s="629">
        <f>IFERROR(Y248/H248,"0")+IFERROR(Y249/H249,"0")+IFERROR(Y250/H250,"0")</f>
        <v>6</v>
      </c>
      <c r="Z251" s="629">
        <f>IFERROR(IF(Z248="",0,Z248),"0")+IFERROR(IF(Z249="",0,Z249),"0")+IFERROR(IF(Z250="",0,Z250),"0")</f>
        <v>3.5400000000000001E-2</v>
      </c>
      <c r="AA251" s="630"/>
      <c r="AB251" s="630"/>
      <c r="AC251" s="630"/>
    </row>
    <row r="252" spans="1:68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72</v>
      </c>
      <c r="Q252" s="651"/>
      <c r="R252" s="651"/>
      <c r="S252" s="651"/>
      <c r="T252" s="651"/>
      <c r="U252" s="651"/>
      <c r="V252" s="652"/>
      <c r="W252" s="37" t="s">
        <v>67</v>
      </c>
      <c r="X252" s="629">
        <f>IFERROR(SUM(X248:X250),"0")</f>
        <v>7</v>
      </c>
      <c r="Y252" s="629">
        <f>IFERROR(SUM(Y248:Y250),"0")</f>
        <v>7.5600000000000005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hidden="1" customHeight="1" x14ac:dyDescent="0.25">
      <c r="A254" s="54" t="s">
        <v>434</v>
      </c>
      <c r="B254" s="54" t="s">
        <v>435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72</v>
      </c>
      <c r="Q255" s="651"/>
      <c r="R255" s="651"/>
      <c r="S255" s="651"/>
      <c r="T255" s="651"/>
      <c r="U255" s="651"/>
      <c r="V255" s="652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hidden="1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72</v>
      </c>
      <c r="Q256" s="651"/>
      <c r="R256" s="651"/>
      <c r="S256" s="651"/>
      <c r="T256" s="651"/>
      <c r="U256" s="651"/>
      <c r="V256" s="652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hidden="1" customHeight="1" x14ac:dyDescent="0.25">
      <c r="A257" s="657" t="s">
        <v>436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117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72</v>
      </c>
      <c r="Q261" s="651"/>
      <c r="R261" s="651"/>
      <c r="S261" s="651"/>
      <c r="T261" s="651"/>
      <c r="U261" s="651"/>
      <c r="V261" s="652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72</v>
      </c>
      <c r="Q262" s="651"/>
      <c r="R262" s="651"/>
      <c r="S262" s="651"/>
      <c r="T262" s="651"/>
      <c r="U262" s="651"/>
      <c r="V262" s="652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153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72</v>
      </c>
      <c r="Q266" s="651"/>
      <c r="R266" s="651"/>
      <c r="S266" s="651"/>
      <c r="T266" s="651"/>
      <c r="U266" s="651"/>
      <c r="V266" s="652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72</v>
      </c>
      <c r="Q267" s="651"/>
      <c r="R267" s="651"/>
      <c r="S267" s="651"/>
      <c r="T267" s="651"/>
      <c r="U267" s="651"/>
      <c r="V267" s="652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62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hidden="1" customHeight="1" x14ac:dyDescent="0.25">
      <c r="A269" s="54" t="s">
        <v>447</v>
      </c>
      <c r="B269" s="54" t="s">
        <v>448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hidden="1" customHeight="1" x14ac:dyDescent="0.25">
      <c r="A270" s="54" t="s">
        <v>450</v>
      </c>
      <c r="B270" s="54" t="s">
        <v>451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hidden="1" customHeight="1" x14ac:dyDescent="0.25">
      <c r="A271" s="54" t="s">
        <v>453</v>
      </c>
      <c r="B271" s="54" t="s">
        <v>454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hidden="1" customHeight="1" x14ac:dyDescent="0.25">
      <c r="A273" s="54" t="s">
        <v>459</v>
      </c>
      <c r="B273" s="54" t="s">
        <v>460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hidden="1" customHeight="1" x14ac:dyDescent="0.25">
      <c r="A274" s="54" t="s">
        <v>461</v>
      </c>
      <c r="B274" s="54" t="s">
        <v>462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hidden="1" customHeight="1" x14ac:dyDescent="0.25">
      <c r="A276" s="54" t="s">
        <v>465</v>
      </c>
      <c r="B276" s="54" t="s">
        <v>466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hidden="1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72</v>
      </c>
      <c r="Q277" s="651"/>
      <c r="R277" s="651"/>
      <c r="S277" s="651"/>
      <c r="T277" s="651"/>
      <c r="U277" s="651"/>
      <c r="V277" s="652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0</v>
      </c>
      <c r="Y277" s="629">
        <f>IFERROR(Y269/H269,"0")+IFERROR(Y270/H270,"0")+IFERROR(Y271/H271,"0")+IFERROR(Y272/H272,"0")+IFERROR(Y273/H273,"0")+IFERROR(Y274/H274,"0")+IFERROR(Y275/H275,"0")+IFERROR(Y276/H276,"0")</f>
        <v>0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30"/>
      <c r="AB277" s="630"/>
      <c r="AC277" s="630"/>
    </row>
    <row r="278" spans="1:68" hidden="1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72</v>
      </c>
      <c r="Q278" s="651"/>
      <c r="R278" s="651"/>
      <c r="S278" s="651"/>
      <c r="T278" s="651"/>
      <c r="U278" s="651"/>
      <c r="V278" s="652"/>
      <c r="W278" s="37" t="s">
        <v>67</v>
      </c>
      <c r="X278" s="629">
        <f>IFERROR(SUM(X269:X276),"0")</f>
        <v>0</v>
      </c>
      <c r="Y278" s="629">
        <f>IFERROR(SUM(Y269:Y276),"0")</f>
        <v>0</v>
      </c>
      <c r="Z278" s="37"/>
      <c r="AA278" s="630"/>
      <c r="AB278" s="630"/>
      <c r="AC278" s="630"/>
    </row>
    <row r="279" spans="1:68" ht="14.25" hidden="1" customHeight="1" x14ac:dyDescent="0.25">
      <c r="A279" s="654" t="s">
        <v>74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hidden="1" customHeight="1" x14ac:dyDescent="0.25">
      <c r="A280" s="54" t="s">
        <v>467</v>
      </c>
      <c r="B280" s="54" t="s">
        <v>468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67</v>
      </c>
      <c r="X286" s="627">
        <v>400</v>
      </c>
      <c r="Y286" s="628">
        <f t="shared" si="32"/>
        <v>400.8</v>
      </c>
      <c r="Z286" s="36">
        <f>IFERROR(IF(Y286=0,"",ROUNDUP(Y286/H286,0)*0.00651),"")</f>
        <v>1.08717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442</v>
      </c>
      <c r="BN286" s="64">
        <f t="shared" si="34"/>
        <v>442.88400000000007</v>
      </c>
      <c r="BO286" s="64">
        <f t="shared" si="35"/>
        <v>0.91575091575091594</v>
      </c>
      <c r="BP286" s="64">
        <f t="shared" si="36"/>
        <v>0.91758241758241765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67</v>
      </c>
      <c r="X288" s="627">
        <v>400</v>
      </c>
      <c r="Y288" s="628">
        <f t="shared" si="32"/>
        <v>400.8</v>
      </c>
      <c r="Z288" s="36">
        <f>IFERROR(IF(Y288=0,"",ROUNDUP(Y288/H288,0)*0.00651),"")</f>
        <v>1.08717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442</v>
      </c>
      <c r="BN288" s="64">
        <f t="shared" si="34"/>
        <v>442.88400000000007</v>
      </c>
      <c r="BO288" s="64">
        <f t="shared" si="35"/>
        <v>0.91575091575091594</v>
      </c>
      <c r="BP288" s="64">
        <f t="shared" si="36"/>
        <v>0.91758241758241765</v>
      </c>
    </row>
    <row r="289" spans="1:68" ht="27" hidden="1" customHeight="1" x14ac:dyDescent="0.25">
      <c r="A289" s="54" t="s">
        <v>489</v>
      </c>
      <c r="B289" s="54" t="s">
        <v>490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67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hidden="1" customHeight="1" x14ac:dyDescent="0.25">
      <c r="A290" s="54" t="s">
        <v>492</v>
      </c>
      <c r="B290" s="54" t="s">
        <v>493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67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72</v>
      </c>
      <c r="Q292" s="651"/>
      <c r="R292" s="651"/>
      <c r="S292" s="651"/>
      <c r="T292" s="651"/>
      <c r="U292" s="651"/>
      <c r="V292" s="652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333.33333333333337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334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2.1743399999999999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72</v>
      </c>
      <c r="Q293" s="651"/>
      <c r="R293" s="651"/>
      <c r="S293" s="651"/>
      <c r="T293" s="651"/>
      <c r="U293" s="651"/>
      <c r="V293" s="652"/>
      <c r="W293" s="37" t="s">
        <v>67</v>
      </c>
      <c r="X293" s="629">
        <f>IFERROR(SUM(X280:X291),"0")</f>
        <v>800</v>
      </c>
      <c r="Y293" s="629">
        <f>IFERROR(SUM(Y280:Y291),"0")</f>
        <v>801.6</v>
      </c>
      <c r="Z293" s="37"/>
      <c r="AA293" s="630"/>
      <c r="AB293" s="630"/>
      <c r="AC293" s="630"/>
    </row>
    <row r="294" spans="1:68" ht="14.25" hidden="1" customHeight="1" x14ac:dyDescent="0.25">
      <c r="A294" s="654" t="s">
        <v>170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hidden="1" customHeight="1" x14ac:dyDescent="0.25">
      <c r="A295" s="54" t="s">
        <v>498</v>
      </c>
      <c r="B295" s="54" t="s">
        <v>499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501</v>
      </c>
      <c r="B296" s="54" t="s">
        <v>502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72</v>
      </c>
      <c r="Q297" s="651"/>
      <c r="R297" s="651"/>
      <c r="S297" s="651"/>
      <c r="T297" s="651"/>
      <c r="U297" s="651"/>
      <c r="V297" s="652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hidden="1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72</v>
      </c>
      <c r="Q298" s="651"/>
      <c r="R298" s="651"/>
      <c r="S298" s="651"/>
      <c r="T298" s="651"/>
      <c r="U298" s="651"/>
      <c r="V298" s="652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hidden="1" customHeight="1" x14ac:dyDescent="0.25">
      <c r="A299" s="657" t="s">
        <v>504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117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505</v>
      </c>
      <c r="B301" s="54" t="s">
        <v>506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521</v>
      </c>
      <c r="B307" s="54" t="s">
        <v>522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72</v>
      </c>
      <c r="Q308" s="651"/>
      <c r="R308" s="651"/>
      <c r="S308" s="651"/>
      <c r="T308" s="651"/>
      <c r="U308" s="651"/>
      <c r="V308" s="652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72</v>
      </c>
      <c r="Q309" s="651"/>
      <c r="R309" s="651"/>
      <c r="S309" s="651"/>
      <c r="T309" s="651"/>
      <c r="U309" s="651"/>
      <c r="V309" s="652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153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72</v>
      </c>
      <c r="Q312" s="651"/>
      <c r="R312" s="651"/>
      <c r="S312" s="651"/>
      <c r="T312" s="651"/>
      <c r="U312" s="651"/>
      <c r="V312" s="652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72</v>
      </c>
      <c r="Q313" s="651"/>
      <c r="R313" s="651"/>
      <c r="S313" s="651"/>
      <c r="T313" s="651"/>
      <c r="U313" s="651"/>
      <c r="V313" s="652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526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hidden="1" customHeight="1" x14ac:dyDescent="0.25">
      <c r="A315" s="54" t="s">
        <v>527</v>
      </c>
      <c r="B315" s="54" t="s">
        <v>528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72</v>
      </c>
      <c r="Q316" s="651"/>
      <c r="R316" s="651"/>
      <c r="S316" s="651"/>
      <c r="T316" s="651"/>
      <c r="U316" s="651"/>
      <c r="V316" s="652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hidden="1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72</v>
      </c>
      <c r="Q317" s="651"/>
      <c r="R317" s="651"/>
      <c r="S317" s="651"/>
      <c r="T317" s="651"/>
      <c r="U317" s="651"/>
      <c r="V317" s="652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343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72</v>
      </c>
      <c r="Q322" s="651"/>
      <c r="R322" s="651"/>
      <c r="S322" s="651"/>
      <c r="T322" s="651"/>
      <c r="U322" s="651"/>
      <c r="V322" s="652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72</v>
      </c>
      <c r="Q323" s="651"/>
      <c r="R323" s="651"/>
      <c r="S323" s="651"/>
      <c r="T323" s="651"/>
      <c r="U323" s="651"/>
      <c r="V323" s="652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537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117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72</v>
      </c>
      <c r="Q331" s="651"/>
      <c r="R331" s="651"/>
      <c r="S331" s="651"/>
      <c r="T331" s="651"/>
      <c r="U331" s="651"/>
      <c r="V331" s="652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72</v>
      </c>
      <c r="Q332" s="651"/>
      <c r="R332" s="651"/>
      <c r="S332" s="651"/>
      <c r="T332" s="651"/>
      <c r="U332" s="651"/>
      <c r="V332" s="652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553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74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557</v>
      </c>
      <c r="B336" s="54" t="s">
        <v>558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560</v>
      </c>
      <c r="B337" s="54" t="s">
        <v>561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72</v>
      </c>
      <c r="Q338" s="651"/>
      <c r="R338" s="651"/>
      <c r="S338" s="651"/>
      <c r="T338" s="651"/>
      <c r="U338" s="651"/>
      <c r="V338" s="652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hidden="1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72</v>
      </c>
      <c r="Q339" s="651"/>
      <c r="R339" s="651"/>
      <c r="S339" s="651"/>
      <c r="T339" s="651"/>
      <c r="U339" s="651"/>
      <c r="V339" s="652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hidden="1" customHeight="1" x14ac:dyDescent="0.25">
      <c r="A340" s="657" t="s">
        <v>562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62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72</v>
      </c>
      <c r="Q347" s="651"/>
      <c r="R347" s="651"/>
      <c r="S347" s="651"/>
      <c r="T347" s="651"/>
      <c r="U347" s="651"/>
      <c r="V347" s="652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72</v>
      </c>
      <c r="Q348" s="651"/>
      <c r="R348" s="651"/>
      <c r="S348" s="651"/>
      <c r="T348" s="651"/>
      <c r="U348" s="651"/>
      <c r="V348" s="652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74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72</v>
      </c>
      <c r="Q352" s="651"/>
      <c r="R352" s="651"/>
      <c r="S352" s="651"/>
      <c r="T352" s="651"/>
      <c r="U352" s="651"/>
      <c r="V352" s="652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72</v>
      </c>
      <c r="Q353" s="651"/>
      <c r="R353" s="651"/>
      <c r="S353" s="651"/>
      <c r="T353" s="651"/>
      <c r="U353" s="651"/>
      <c r="V353" s="652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583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117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hidden="1" customHeight="1" x14ac:dyDescent="0.25">
      <c r="A356" s="54" t="s">
        <v>584</v>
      </c>
      <c r="B356" s="54" t="s">
        <v>585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67</v>
      </c>
      <c r="X357" s="627">
        <v>400</v>
      </c>
      <c r="Y357" s="628">
        <f>IFERROR(IF(X357="",0,CEILING((X357/$H357),1)*$H357),"")</f>
        <v>405.59999999999997</v>
      </c>
      <c r="Z357" s="36">
        <f>IFERROR(IF(Y357=0,"",ROUNDUP(Y357/H357,0)*0.01898),"")</f>
        <v>0.98696000000000006</v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421.02564102564111</v>
      </c>
      <c r="BN357" s="64">
        <f>IFERROR(Y357*I357/H357,"0")</f>
        <v>426.92</v>
      </c>
      <c r="BO357" s="64">
        <f>IFERROR(1/J357*(X357/H357),"0")</f>
        <v>0.80128205128205132</v>
      </c>
      <c r="BP357" s="64">
        <f>IFERROR(1/J357*(Y357/H357),"0")</f>
        <v>0.8125</v>
      </c>
    </row>
    <row r="358" spans="1:68" ht="27" hidden="1" customHeight="1" x14ac:dyDescent="0.25">
      <c r="A358" s="54" t="s">
        <v>589</v>
      </c>
      <c r="B358" s="54" t="s">
        <v>590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72</v>
      </c>
      <c r="Q359" s="651"/>
      <c r="R359" s="651"/>
      <c r="S359" s="651"/>
      <c r="T359" s="651"/>
      <c r="U359" s="651"/>
      <c r="V359" s="652"/>
      <c r="W359" s="37" t="s">
        <v>73</v>
      </c>
      <c r="X359" s="629">
        <f>IFERROR(X356/H356,"0")+IFERROR(X357/H357,"0")+IFERROR(X358/H358,"0")</f>
        <v>51.282051282051285</v>
      </c>
      <c r="Y359" s="629">
        <f>IFERROR(Y356/H356,"0")+IFERROR(Y357/H357,"0")+IFERROR(Y358/H358,"0")</f>
        <v>52</v>
      </c>
      <c r="Z359" s="629">
        <f>IFERROR(IF(Z356="",0,Z356),"0")+IFERROR(IF(Z357="",0,Z357),"0")+IFERROR(IF(Z358="",0,Z358),"0")</f>
        <v>0.98696000000000006</v>
      </c>
      <c r="AA359" s="630"/>
      <c r="AB359" s="630"/>
      <c r="AC359" s="630"/>
    </row>
    <row r="360" spans="1:68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72</v>
      </c>
      <c r="Q360" s="651"/>
      <c r="R360" s="651"/>
      <c r="S360" s="651"/>
      <c r="T360" s="651"/>
      <c r="U360" s="651"/>
      <c r="V360" s="652"/>
      <c r="W360" s="37" t="s">
        <v>67</v>
      </c>
      <c r="X360" s="629">
        <f>IFERROR(SUM(X356:X358),"0")</f>
        <v>400</v>
      </c>
      <c r="Y360" s="629">
        <f>IFERROR(SUM(Y356:Y358),"0")</f>
        <v>405.59999999999997</v>
      </c>
      <c r="Z360" s="37"/>
      <c r="AA360" s="630"/>
      <c r="AB360" s="630"/>
      <c r="AC360" s="630"/>
    </row>
    <row r="361" spans="1:68" ht="16.5" hidden="1" customHeight="1" x14ac:dyDescent="0.25">
      <c r="A361" s="657" t="s">
        <v>592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117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596</v>
      </c>
      <c r="B364" s="54" t="s">
        <v>597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72</v>
      </c>
      <c r="Q368" s="651"/>
      <c r="R368" s="651"/>
      <c r="S368" s="651"/>
      <c r="T368" s="651"/>
      <c r="U368" s="651"/>
      <c r="V368" s="652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72</v>
      </c>
      <c r="Q369" s="651"/>
      <c r="R369" s="651"/>
      <c r="S369" s="651"/>
      <c r="T369" s="651"/>
      <c r="U369" s="651"/>
      <c r="V369" s="652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54" t="s">
        <v>62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hidden="1" customHeight="1" x14ac:dyDescent="0.25">
      <c r="A377" s="54" t="s">
        <v>623</v>
      </c>
      <c r="B377" s="54" t="s">
        <v>624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hidden="1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72</v>
      </c>
      <c r="Q378" s="651"/>
      <c r="R378" s="651"/>
      <c r="S378" s="651"/>
      <c r="T378" s="651"/>
      <c r="U378" s="651"/>
      <c r="V378" s="652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hidden="1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72</v>
      </c>
      <c r="Q379" s="651"/>
      <c r="R379" s="651"/>
      <c r="S379" s="651"/>
      <c r="T379" s="651"/>
      <c r="U379" s="651"/>
      <c r="V379" s="652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hidden="1" customHeight="1" x14ac:dyDescent="0.25">
      <c r="A380" s="654" t="s">
        <v>74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72</v>
      </c>
      <c r="Q385" s="651"/>
      <c r="R385" s="651"/>
      <c r="S385" s="651"/>
      <c r="T385" s="651"/>
      <c r="U385" s="651"/>
      <c r="V385" s="652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72</v>
      </c>
      <c r="Q386" s="651"/>
      <c r="R386" s="651"/>
      <c r="S386" s="651"/>
      <c r="T386" s="651"/>
      <c r="U386" s="651"/>
      <c r="V386" s="652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170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hidden="1" customHeight="1" x14ac:dyDescent="0.25">
      <c r="A388" s="54" t="s">
        <v>637</v>
      </c>
      <c r="B388" s="54" t="s">
        <v>638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67</v>
      </c>
      <c r="X389" s="627">
        <v>400</v>
      </c>
      <c r="Y389" s="628">
        <f>IFERROR(IF(X389="",0,CEILING((X389/$H389),1)*$H389),"")</f>
        <v>405.59999999999997</v>
      </c>
      <c r="Z389" s="36">
        <f>IFERROR(IF(Y389=0,"",ROUNDUP(Y389/H389,0)*0.01898),"")</f>
        <v>0.98696000000000006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425.33333333333337</v>
      </c>
      <c r="BN389" s="64">
        <f>IFERROR(Y389*I389/H389,"0")</f>
        <v>431.28799999999995</v>
      </c>
      <c r="BO389" s="64">
        <f>IFERROR(1/J389*(X389/H389),"0")</f>
        <v>0.80128205128205132</v>
      </c>
      <c r="BP389" s="64">
        <f>IFERROR(1/J389*(Y389/H389),"0")</f>
        <v>0.8125</v>
      </c>
    </row>
    <row r="390" spans="1:68" ht="16.5" hidden="1" customHeight="1" x14ac:dyDescent="0.25">
      <c r="A390" s="54" t="s">
        <v>643</v>
      </c>
      <c r="B390" s="54" t="s">
        <v>644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72</v>
      </c>
      <c r="Q391" s="651"/>
      <c r="R391" s="651"/>
      <c r="S391" s="651"/>
      <c r="T391" s="651"/>
      <c r="U391" s="651"/>
      <c r="V391" s="652"/>
      <c r="W391" s="37" t="s">
        <v>73</v>
      </c>
      <c r="X391" s="629">
        <f>IFERROR(X388/H388,"0")+IFERROR(X389/H389,"0")+IFERROR(X390/H390,"0")</f>
        <v>51.282051282051285</v>
      </c>
      <c r="Y391" s="629">
        <f>IFERROR(Y388/H388,"0")+IFERROR(Y389/H389,"0")+IFERROR(Y390/H390,"0")</f>
        <v>52</v>
      </c>
      <c r="Z391" s="629">
        <f>IFERROR(IF(Z388="",0,Z388),"0")+IFERROR(IF(Z389="",0,Z389),"0")+IFERROR(IF(Z390="",0,Z390),"0")</f>
        <v>0.98696000000000006</v>
      </c>
      <c r="AA391" s="630"/>
      <c r="AB391" s="630"/>
      <c r="AC391" s="630"/>
    </row>
    <row r="392" spans="1:68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72</v>
      </c>
      <c r="Q392" s="651"/>
      <c r="R392" s="651"/>
      <c r="S392" s="651"/>
      <c r="T392" s="651"/>
      <c r="U392" s="651"/>
      <c r="V392" s="652"/>
      <c r="W392" s="37" t="s">
        <v>67</v>
      </c>
      <c r="X392" s="629">
        <f>IFERROR(SUM(X388:X390),"0")</f>
        <v>400</v>
      </c>
      <c r="Y392" s="629">
        <f>IFERROR(SUM(Y388:Y390),"0")</f>
        <v>405.59999999999997</v>
      </c>
      <c r="Z392" s="37"/>
      <c r="AA392" s="630"/>
      <c r="AB392" s="630"/>
      <c r="AC392" s="630"/>
    </row>
    <row r="393" spans="1:68" ht="14.25" hidden="1" customHeight="1" x14ac:dyDescent="0.25">
      <c r="A393" s="654" t="s">
        <v>92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646</v>
      </c>
      <c r="B394" s="54" t="s">
        <v>647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649</v>
      </c>
      <c r="B395" s="54" t="s">
        <v>650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651</v>
      </c>
      <c r="B396" s="54" t="s">
        <v>652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653</v>
      </c>
      <c r="B397" s="54" t="s">
        <v>654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72</v>
      </c>
      <c r="Q398" s="651"/>
      <c r="R398" s="651"/>
      <c r="S398" s="651"/>
      <c r="T398" s="651"/>
      <c r="U398" s="651"/>
      <c r="V398" s="652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hidden="1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72</v>
      </c>
      <c r="Q399" s="651"/>
      <c r="R399" s="651"/>
      <c r="S399" s="651"/>
      <c r="T399" s="651"/>
      <c r="U399" s="651"/>
      <c r="V399" s="652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655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hidden="1" customHeight="1" x14ac:dyDescent="0.25">
      <c r="A401" s="54" t="s">
        <v>656</v>
      </c>
      <c r="B401" s="54" t="s">
        <v>657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660</v>
      </c>
      <c r="B402" s="54" t="s">
        <v>661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67</v>
      </c>
      <c r="X403" s="627">
        <v>10</v>
      </c>
      <c r="Y403" s="628">
        <f>IFERROR(IF(X403="",0,CEILING((X403/$H403),1)*$H403),"")</f>
        <v>10</v>
      </c>
      <c r="Z403" s="36">
        <f>IFERROR(IF(Y403=0,"",ROUNDUP(Y403/H403,0)*0.00474),"")</f>
        <v>2.3700000000000002E-2</v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11.200000000000001</v>
      </c>
      <c r="BN403" s="64">
        <f>IFERROR(Y403*I403/H403,"0")</f>
        <v>11.200000000000001</v>
      </c>
      <c r="BO403" s="64">
        <f>IFERROR(1/J403*(X403/H403),"0")</f>
        <v>2.1008403361344536E-2</v>
      </c>
      <c r="BP403" s="64">
        <f>IFERROR(1/J403*(Y403/H403),"0")</f>
        <v>2.1008403361344536E-2</v>
      </c>
    </row>
    <row r="404" spans="1:68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72</v>
      </c>
      <c r="Q404" s="651"/>
      <c r="R404" s="651"/>
      <c r="S404" s="651"/>
      <c r="T404" s="651"/>
      <c r="U404" s="651"/>
      <c r="V404" s="652"/>
      <c r="W404" s="37" t="s">
        <v>73</v>
      </c>
      <c r="X404" s="629">
        <f>IFERROR(X401/H401,"0")+IFERROR(X402/H402,"0")+IFERROR(X403/H403,"0")</f>
        <v>5</v>
      </c>
      <c r="Y404" s="629">
        <f>IFERROR(Y401/H401,"0")+IFERROR(Y402/H402,"0")+IFERROR(Y403/H403,"0")</f>
        <v>5</v>
      </c>
      <c r="Z404" s="629">
        <f>IFERROR(IF(Z401="",0,Z401),"0")+IFERROR(IF(Z402="",0,Z402),"0")+IFERROR(IF(Z403="",0,Z403),"0")</f>
        <v>2.3700000000000002E-2</v>
      </c>
      <c r="AA404" s="630"/>
      <c r="AB404" s="630"/>
      <c r="AC404" s="630"/>
    </row>
    <row r="405" spans="1:68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72</v>
      </c>
      <c r="Q405" s="651"/>
      <c r="R405" s="651"/>
      <c r="S405" s="651"/>
      <c r="T405" s="651"/>
      <c r="U405" s="651"/>
      <c r="V405" s="652"/>
      <c r="W405" s="37" t="s">
        <v>67</v>
      </c>
      <c r="X405" s="629">
        <f>IFERROR(SUM(X401:X403),"0")</f>
        <v>10</v>
      </c>
      <c r="Y405" s="629">
        <f>IFERROR(SUM(Y401:Y403),"0")</f>
        <v>10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664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hidden="1" customHeight="1" x14ac:dyDescent="0.25">
      <c r="A407" s="54" t="s">
        <v>665</v>
      </c>
      <c r="B407" s="54" t="s">
        <v>666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668</v>
      </c>
      <c r="B408" s="54" t="s">
        <v>669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671</v>
      </c>
      <c r="B409" s="54" t="s">
        <v>672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72</v>
      </c>
      <c r="Q410" s="651"/>
      <c r="R410" s="651"/>
      <c r="S410" s="651"/>
      <c r="T410" s="651"/>
      <c r="U410" s="651"/>
      <c r="V410" s="652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72</v>
      </c>
      <c r="Q411" s="651"/>
      <c r="R411" s="651"/>
      <c r="S411" s="651"/>
      <c r="T411" s="651"/>
      <c r="U411" s="651"/>
      <c r="V411" s="652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7" t="s">
        <v>673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74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67</v>
      </c>
      <c r="X415" s="627">
        <v>35</v>
      </c>
      <c r="Y415" s="628">
        <f>IFERROR(IF(X415="",0,CEILING((X415/$H415),1)*$H415),"")</f>
        <v>35.700000000000003</v>
      </c>
      <c r="Z415" s="36">
        <f>IFERROR(IF(Y415=0,"",ROUNDUP(Y415/H415,0)*0.00651),"")</f>
        <v>0.11067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39.199999999999996</v>
      </c>
      <c r="BN415" s="64">
        <f>IFERROR(Y415*I415/H415,"0")</f>
        <v>39.984000000000002</v>
      </c>
      <c r="BO415" s="64">
        <f>IFERROR(1/J415*(X415/H415),"0")</f>
        <v>9.1575091575091569E-2</v>
      </c>
      <c r="BP415" s="64">
        <f>IFERROR(1/J415*(Y415/H415),"0")</f>
        <v>9.3406593406593408E-2</v>
      </c>
    </row>
    <row r="416" spans="1:68" ht="27" hidden="1" customHeight="1" x14ac:dyDescent="0.25">
      <c r="A416" s="54" t="s">
        <v>680</v>
      </c>
      <c r="B416" s="54" t="s">
        <v>681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72</v>
      </c>
      <c r="Q417" s="651"/>
      <c r="R417" s="651"/>
      <c r="S417" s="651"/>
      <c r="T417" s="651"/>
      <c r="U417" s="651"/>
      <c r="V417" s="652"/>
      <c r="W417" s="37" t="s">
        <v>73</v>
      </c>
      <c r="X417" s="629">
        <f>IFERROR(X414/H414,"0")+IFERROR(X415/H415,"0")+IFERROR(X416/H416,"0")</f>
        <v>16.666666666666664</v>
      </c>
      <c r="Y417" s="629">
        <f>IFERROR(Y414/H414,"0")+IFERROR(Y415/H415,"0")+IFERROR(Y416/H416,"0")</f>
        <v>17</v>
      </c>
      <c r="Z417" s="629">
        <f>IFERROR(IF(Z414="",0,Z414),"0")+IFERROR(IF(Z415="",0,Z415),"0")+IFERROR(IF(Z416="",0,Z416),"0")</f>
        <v>0.11067</v>
      </c>
      <c r="AA417" s="630"/>
      <c r="AB417" s="630"/>
      <c r="AC417" s="630"/>
    </row>
    <row r="418" spans="1:68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72</v>
      </c>
      <c r="Q418" s="651"/>
      <c r="R418" s="651"/>
      <c r="S418" s="651"/>
      <c r="T418" s="651"/>
      <c r="U418" s="651"/>
      <c r="V418" s="652"/>
      <c r="W418" s="37" t="s">
        <v>67</v>
      </c>
      <c r="X418" s="629">
        <f>IFERROR(SUM(X414:X416),"0")</f>
        <v>35</v>
      </c>
      <c r="Y418" s="629">
        <f>IFERROR(SUM(Y414:Y416),"0")</f>
        <v>35.700000000000003</v>
      </c>
      <c r="Z418" s="37"/>
      <c r="AA418" s="630"/>
      <c r="AB418" s="630"/>
      <c r="AC418" s="630"/>
    </row>
    <row r="419" spans="1:68" ht="27.75" hidden="1" customHeight="1" x14ac:dyDescent="0.2">
      <c r="A419" s="660" t="s">
        <v>683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684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117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hidden="1" customHeight="1" x14ac:dyDescent="0.25">
      <c r="A422" s="54" t="s">
        <v>685</v>
      </c>
      <c r="B422" s="54" t="s">
        <v>686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hidden="1" customHeight="1" x14ac:dyDescent="0.25">
      <c r="A423" s="54" t="s">
        <v>688</v>
      </c>
      <c r="B423" s="54" t="s">
        <v>689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67</v>
      </c>
      <c r="X424" s="627">
        <v>900</v>
      </c>
      <c r="Y424" s="628">
        <f t="shared" si="47"/>
        <v>900</v>
      </c>
      <c r="Z424" s="36">
        <f>IFERROR(IF(Y424=0,"",ROUNDUP(Y424/H424,0)*0.02175),"")</f>
        <v>1.3049999999999999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928.2</v>
      </c>
      <c r="BN424" s="64">
        <f t="shared" si="49"/>
        <v>928.2</v>
      </c>
      <c r="BO424" s="64">
        <f t="shared" si="50"/>
        <v>1.25</v>
      </c>
      <c r="BP424" s="64">
        <f t="shared" si="51"/>
        <v>1.25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hidden="1" customHeight="1" x14ac:dyDescent="0.25">
      <c r="A426" s="54" t="s">
        <v>697</v>
      </c>
      <c r="B426" s="54" t="s">
        <v>698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72</v>
      </c>
      <c r="Q430" s="651"/>
      <c r="R430" s="651"/>
      <c r="S430" s="651"/>
      <c r="T430" s="651"/>
      <c r="U430" s="651"/>
      <c r="V430" s="652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60</v>
      </c>
      <c r="Y430" s="629">
        <f>IFERROR(Y422/H422,"0")+IFERROR(Y423/H423,"0")+IFERROR(Y424/H424,"0")+IFERROR(Y425/H425,"0")+IFERROR(Y426/H426,"0")+IFERROR(Y427/H427,"0")+IFERROR(Y428/H428,"0")+IFERROR(Y429/H429,"0")</f>
        <v>60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1.3049999999999999</v>
      </c>
      <c r="AA430" s="630"/>
      <c r="AB430" s="630"/>
      <c r="AC430" s="630"/>
    </row>
    <row r="431" spans="1:68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72</v>
      </c>
      <c r="Q431" s="651"/>
      <c r="R431" s="651"/>
      <c r="S431" s="651"/>
      <c r="T431" s="651"/>
      <c r="U431" s="651"/>
      <c r="V431" s="652"/>
      <c r="W431" s="37" t="s">
        <v>67</v>
      </c>
      <c r="X431" s="629">
        <f>IFERROR(SUM(X422:X429),"0")</f>
        <v>900</v>
      </c>
      <c r="Y431" s="629">
        <f>IFERROR(SUM(Y422:Y429),"0")</f>
        <v>900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153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hidden="1" customHeight="1" x14ac:dyDescent="0.25">
      <c r="A433" s="54" t="s">
        <v>709</v>
      </c>
      <c r="B433" s="54" t="s">
        <v>710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67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hidden="1" customHeight="1" x14ac:dyDescent="0.25">
      <c r="A434" s="54" t="s">
        <v>712</v>
      </c>
      <c r="B434" s="54" t="s">
        <v>713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idden="1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72</v>
      </c>
      <c r="Q436" s="651"/>
      <c r="R436" s="651"/>
      <c r="S436" s="651"/>
      <c r="T436" s="651"/>
      <c r="U436" s="651"/>
      <c r="V436" s="652"/>
      <c r="W436" s="37" t="s">
        <v>73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hidden="1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72</v>
      </c>
      <c r="Q437" s="651"/>
      <c r="R437" s="651"/>
      <c r="S437" s="651"/>
      <c r="T437" s="651"/>
      <c r="U437" s="651"/>
      <c r="V437" s="652"/>
      <c r="W437" s="37" t="s">
        <v>67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hidden="1" customHeight="1" x14ac:dyDescent="0.25">
      <c r="A438" s="654" t="s">
        <v>74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721</v>
      </c>
      <c r="B440" s="54" t="s">
        <v>722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72</v>
      </c>
      <c r="Q442" s="651"/>
      <c r="R442" s="651"/>
      <c r="S442" s="651"/>
      <c r="T442" s="651"/>
      <c r="U442" s="651"/>
      <c r="V442" s="652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72</v>
      </c>
      <c r="Q443" s="651"/>
      <c r="R443" s="651"/>
      <c r="S443" s="651"/>
      <c r="T443" s="651"/>
      <c r="U443" s="651"/>
      <c r="V443" s="652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170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730</v>
      </c>
      <c r="B446" s="54" t="s">
        <v>731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72</v>
      </c>
      <c r="Q447" s="651"/>
      <c r="R447" s="651"/>
      <c r="S447" s="651"/>
      <c r="T447" s="651"/>
      <c r="U447" s="651"/>
      <c r="V447" s="652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hidden="1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72</v>
      </c>
      <c r="Q448" s="651"/>
      <c r="R448" s="651"/>
      <c r="S448" s="651"/>
      <c r="T448" s="651"/>
      <c r="U448" s="651"/>
      <c r="V448" s="652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hidden="1" customHeight="1" x14ac:dyDescent="0.25">
      <c r="A449" s="657" t="s">
        <v>733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117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72</v>
      </c>
      <c r="Q453" s="651"/>
      <c r="R453" s="651"/>
      <c r="S453" s="651"/>
      <c r="T453" s="651"/>
      <c r="U453" s="651"/>
      <c r="V453" s="652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72</v>
      </c>
      <c r="Q454" s="651"/>
      <c r="R454" s="651"/>
      <c r="S454" s="651"/>
      <c r="T454" s="651"/>
      <c r="U454" s="651"/>
      <c r="V454" s="652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62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72</v>
      </c>
      <c r="Q457" s="651"/>
      <c r="R457" s="651"/>
      <c r="S457" s="651"/>
      <c r="T457" s="651"/>
      <c r="U457" s="651"/>
      <c r="V457" s="652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72</v>
      </c>
      <c r="Q458" s="651"/>
      <c r="R458" s="651"/>
      <c r="S458" s="651"/>
      <c r="T458" s="651"/>
      <c r="U458" s="651"/>
      <c r="V458" s="652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74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67</v>
      </c>
      <c r="X460" s="627">
        <v>500</v>
      </c>
      <c r="Y460" s="628">
        <f>IFERROR(IF(X460="",0,CEILING((X460/$H460),1)*$H460),"")</f>
        <v>504</v>
      </c>
      <c r="Z460" s="36">
        <f>IFERROR(IF(Y460=0,"",ROUNDUP(Y460/H460,0)*0.01898),"")</f>
        <v>1.06288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527.44444444444446</v>
      </c>
      <c r="BN460" s="64">
        <f>IFERROR(Y460*I460/H460,"0")</f>
        <v>531.66399999999999</v>
      </c>
      <c r="BO460" s="64">
        <f>IFERROR(1/J460*(X460/H460),"0")</f>
        <v>0.86805555555555558</v>
      </c>
      <c r="BP460" s="64">
        <f>IFERROR(1/J460*(Y460/H460),"0")</f>
        <v>0.875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67</v>
      </c>
      <c r="X461" s="627">
        <v>160</v>
      </c>
      <c r="Y461" s="628">
        <f>IFERROR(IF(X461="",0,CEILING((X461/$H461),1)*$H461),"")</f>
        <v>160.79999999999998</v>
      </c>
      <c r="Z461" s="36">
        <f>IFERROR(IF(Y461=0,"",ROUNDUP(Y461/H461,0)*0.00651),"")</f>
        <v>0.43617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177.60000000000002</v>
      </c>
      <c r="BN461" s="64">
        <f>IFERROR(Y461*I461/H461,"0")</f>
        <v>178.488</v>
      </c>
      <c r="BO461" s="64">
        <f>IFERROR(1/J461*(X461/H461),"0")</f>
        <v>0.36630036630036633</v>
      </c>
      <c r="BP461" s="64">
        <f>IFERROR(1/J461*(Y461/H461),"0")</f>
        <v>0.36813186813186816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72</v>
      </c>
      <c r="Q463" s="651"/>
      <c r="R463" s="651"/>
      <c r="S463" s="651"/>
      <c r="T463" s="651"/>
      <c r="U463" s="651"/>
      <c r="V463" s="652"/>
      <c r="W463" s="37" t="s">
        <v>73</v>
      </c>
      <c r="X463" s="629">
        <f>IFERROR(X460/H460,"0")+IFERROR(X461/H461,"0")+IFERROR(X462/H462,"0")</f>
        <v>122.22222222222223</v>
      </c>
      <c r="Y463" s="629">
        <f>IFERROR(Y460/H460,"0")+IFERROR(Y461/H461,"0")+IFERROR(Y462/H462,"0")</f>
        <v>123</v>
      </c>
      <c r="Z463" s="629">
        <f>IFERROR(IF(Z460="",0,Z460),"0")+IFERROR(IF(Z461="",0,Z461),"0")+IFERROR(IF(Z462="",0,Z462),"0")</f>
        <v>1.49905</v>
      </c>
      <c r="AA463" s="630"/>
      <c r="AB463" s="630"/>
      <c r="AC463" s="630"/>
    </row>
    <row r="464" spans="1:68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72</v>
      </c>
      <c r="Q464" s="651"/>
      <c r="R464" s="651"/>
      <c r="S464" s="651"/>
      <c r="T464" s="651"/>
      <c r="U464" s="651"/>
      <c r="V464" s="652"/>
      <c r="W464" s="37" t="s">
        <v>67</v>
      </c>
      <c r="X464" s="629">
        <f>IFERROR(SUM(X460:X462),"0")</f>
        <v>660</v>
      </c>
      <c r="Y464" s="629">
        <f>IFERROR(SUM(Y460:Y462),"0")</f>
        <v>664.8</v>
      </c>
      <c r="Z464" s="37"/>
      <c r="AA464" s="630"/>
      <c r="AB464" s="630"/>
      <c r="AC464" s="630"/>
    </row>
    <row r="465" spans="1:68" ht="27.75" hidden="1" customHeight="1" x14ac:dyDescent="0.2">
      <c r="A465" s="660" t="s">
        <v>749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750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62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751</v>
      </c>
      <c r="B468" s="54" t="s">
        <v>752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72</v>
      </c>
      <c r="Q474" s="651"/>
      <c r="R474" s="651"/>
      <c r="S474" s="651"/>
      <c r="T474" s="651"/>
      <c r="U474" s="651"/>
      <c r="V474" s="652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72</v>
      </c>
      <c r="Q475" s="651"/>
      <c r="R475" s="651"/>
      <c r="S475" s="651"/>
      <c r="T475" s="651"/>
      <c r="U475" s="651"/>
      <c r="V475" s="652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74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72</v>
      </c>
      <c r="Q479" s="651"/>
      <c r="R479" s="651"/>
      <c r="S479" s="651"/>
      <c r="T479" s="651"/>
      <c r="U479" s="651"/>
      <c r="V479" s="652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72</v>
      </c>
      <c r="Q480" s="651"/>
      <c r="R480" s="651"/>
      <c r="S480" s="651"/>
      <c r="T480" s="651"/>
      <c r="U480" s="651"/>
      <c r="V480" s="652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773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153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72</v>
      </c>
      <c r="Q484" s="651"/>
      <c r="R484" s="651"/>
      <c r="S484" s="651"/>
      <c r="T484" s="651"/>
      <c r="U484" s="651"/>
      <c r="V484" s="652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72</v>
      </c>
      <c r="Q485" s="651"/>
      <c r="R485" s="651"/>
      <c r="S485" s="651"/>
      <c r="T485" s="651"/>
      <c r="U485" s="651"/>
      <c r="V485" s="652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62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777</v>
      </c>
      <c r="B487" s="54" t="s">
        <v>778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72</v>
      </c>
      <c r="Q490" s="651"/>
      <c r="R490" s="651"/>
      <c r="S490" s="651"/>
      <c r="T490" s="651"/>
      <c r="U490" s="651"/>
      <c r="V490" s="652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72</v>
      </c>
      <c r="Q491" s="651"/>
      <c r="R491" s="651"/>
      <c r="S491" s="651"/>
      <c r="T491" s="651"/>
      <c r="U491" s="651"/>
      <c r="V491" s="652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785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785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117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hidden="1" customHeight="1" x14ac:dyDescent="0.25">
      <c r="A495" s="54" t="s">
        <v>786</v>
      </c>
      <c r="B495" s="54" t="s">
        <v>787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hidden="1" customHeight="1" x14ac:dyDescent="0.25">
      <c r="A497" s="54" t="s">
        <v>791</v>
      </c>
      <c r="B497" s="54" t="s">
        <v>792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67</v>
      </c>
      <c r="X498" s="627">
        <v>2300</v>
      </c>
      <c r="Y498" s="628">
        <f t="shared" si="57"/>
        <v>2302.08</v>
      </c>
      <c r="Z498" s="36">
        <f t="shared" si="58"/>
        <v>5.2145599999999996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2452.462121212121</v>
      </c>
      <c r="BN498" s="64">
        <f t="shared" si="60"/>
        <v>2454.6799999999998</v>
      </c>
      <c r="BO498" s="64">
        <f t="shared" si="61"/>
        <v>4.1885198135198136</v>
      </c>
      <c r="BP498" s="64">
        <f t="shared" si="62"/>
        <v>4.1923076923076916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67</v>
      </c>
      <c r="X500" s="627">
        <v>3500</v>
      </c>
      <c r="Y500" s="628">
        <f t="shared" si="57"/>
        <v>3500.6400000000003</v>
      </c>
      <c r="Z500" s="36">
        <f t="shared" si="58"/>
        <v>7.9294799999999999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3732.0075757575755</v>
      </c>
      <c r="BN500" s="64">
        <f t="shared" si="60"/>
        <v>3732.69</v>
      </c>
      <c r="BO500" s="64">
        <f t="shared" si="61"/>
        <v>6.3738344988344995</v>
      </c>
      <c r="BP500" s="64">
        <f t="shared" si="62"/>
        <v>6.375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67</v>
      </c>
      <c r="X502" s="627">
        <v>300</v>
      </c>
      <c r="Y502" s="628">
        <f t="shared" si="57"/>
        <v>302.39999999999998</v>
      </c>
      <c r="Z502" s="36">
        <f>IFERROR(IF(Y502=0,"",ROUNDUP(Y502/H502,0)*0.00902),"")</f>
        <v>0.56825999999999999</v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431.875</v>
      </c>
      <c r="BN502" s="64">
        <f t="shared" si="60"/>
        <v>435.33</v>
      </c>
      <c r="BO502" s="64">
        <f t="shared" si="61"/>
        <v>0.47348484848484851</v>
      </c>
      <c r="BP502" s="64">
        <f t="shared" si="62"/>
        <v>0.47727272727272729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67</v>
      </c>
      <c r="X503" s="627">
        <v>180</v>
      </c>
      <c r="Y503" s="628">
        <f t="shared" si="57"/>
        <v>182.4</v>
      </c>
      <c r="Z503" s="36">
        <f>IFERROR(IF(Y503=0,"",ROUNDUP(Y503/H503,0)*0.00902),"")</f>
        <v>0.34276000000000001</v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259.125</v>
      </c>
      <c r="BN503" s="64">
        <f t="shared" si="60"/>
        <v>262.58000000000004</v>
      </c>
      <c r="BO503" s="64">
        <f t="shared" si="61"/>
        <v>0.28409090909090912</v>
      </c>
      <c r="BP503" s="64">
        <f t="shared" si="62"/>
        <v>0.2878787878787879</v>
      </c>
    </row>
    <row r="504" spans="1:68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72</v>
      </c>
      <c r="Q504" s="651"/>
      <c r="R504" s="651"/>
      <c r="S504" s="651"/>
      <c r="T504" s="651"/>
      <c r="U504" s="651"/>
      <c r="V504" s="652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1198.4848484848485</v>
      </c>
      <c r="Y504" s="629">
        <f>IFERROR(Y495/H495,"0")+IFERROR(Y496/H496,"0")+IFERROR(Y497/H497,"0")+IFERROR(Y498/H498,"0")+IFERROR(Y499/H499,"0")+IFERROR(Y500/H500,"0")+IFERROR(Y501/H501,"0")+IFERROR(Y502/H502,"0")+IFERROR(Y503/H503,"0")</f>
        <v>1200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14.055060000000001</v>
      </c>
      <c r="AA504" s="630"/>
      <c r="AB504" s="630"/>
      <c r="AC504" s="630"/>
    </row>
    <row r="505" spans="1:68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72</v>
      </c>
      <c r="Q505" s="651"/>
      <c r="R505" s="651"/>
      <c r="S505" s="651"/>
      <c r="T505" s="651"/>
      <c r="U505" s="651"/>
      <c r="V505" s="652"/>
      <c r="W505" s="37" t="s">
        <v>67</v>
      </c>
      <c r="X505" s="629">
        <f>IFERROR(SUM(X495:X503),"0")</f>
        <v>6280</v>
      </c>
      <c r="Y505" s="629">
        <f>IFERROR(SUM(Y495:Y503),"0")</f>
        <v>6287.5199999999995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153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67</v>
      </c>
      <c r="X507" s="627">
        <v>2000</v>
      </c>
      <c r="Y507" s="628">
        <f>IFERROR(IF(X507="",0,CEILING((X507/$H507),1)*$H507),"")</f>
        <v>2001.1200000000001</v>
      </c>
      <c r="Z507" s="36">
        <f>IFERROR(IF(Y507=0,"",ROUNDUP(Y507/H507,0)*0.01196),"")</f>
        <v>4.5328400000000002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2132.5757575757575</v>
      </c>
      <c r="BN507" s="64">
        <f>IFERROR(Y507*I507/H507,"0")</f>
        <v>2133.77</v>
      </c>
      <c r="BO507" s="64">
        <f>IFERROR(1/J507*(X507/H507),"0")</f>
        <v>3.6421911421911419</v>
      </c>
      <c r="BP507" s="64">
        <f>IFERROR(1/J507*(Y507/H507),"0")</f>
        <v>3.6442307692307696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hidden="1" customHeight="1" x14ac:dyDescent="0.25">
      <c r="A509" s="54" t="s">
        <v>814</v>
      </c>
      <c r="B509" s="54" t="s">
        <v>815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72</v>
      </c>
      <c r="Q510" s="651"/>
      <c r="R510" s="651"/>
      <c r="S510" s="651"/>
      <c r="T510" s="651"/>
      <c r="U510" s="651"/>
      <c r="V510" s="652"/>
      <c r="W510" s="37" t="s">
        <v>73</v>
      </c>
      <c r="X510" s="629">
        <f>IFERROR(X507/H507,"0")+IFERROR(X508/H508,"0")+IFERROR(X509/H509,"0")</f>
        <v>378.78787878787875</v>
      </c>
      <c r="Y510" s="629">
        <f>IFERROR(Y507/H507,"0")+IFERROR(Y508/H508,"0")+IFERROR(Y509/H509,"0")</f>
        <v>379</v>
      </c>
      <c r="Z510" s="629">
        <f>IFERROR(IF(Z507="",0,Z507),"0")+IFERROR(IF(Z508="",0,Z508),"0")+IFERROR(IF(Z509="",0,Z509),"0")</f>
        <v>4.5328400000000002</v>
      </c>
      <c r="AA510" s="630"/>
      <c r="AB510" s="630"/>
      <c r="AC510" s="630"/>
    </row>
    <row r="511" spans="1:68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72</v>
      </c>
      <c r="Q511" s="651"/>
      <c r="R511" s="651"/>
      <c r="S511" s="651"/>
      <c r="T511" s="651"/>
      <c r="U511" s="651"/>
      <c r="V511" s="652"/>
      <c r="W511" s="37" t="s">
        <v>67</v>
      </c>
      <c r="X511" s="629">
        <f>IFERROR(SUM(X507:X509),"0")</f>
        <v>2000</v>
      </c>
      <c r="Y511" s="629">
        <f>IFERROR(SUM(Y507:Y509),"0")</f>
        <v>2001.1200000000001</v>
      </c>
      <c r="Z511" s="37"/>
      <c r="AA511" s="630"/>
      <c r="AB511" s="630"/>
      <c r="AC511" s="630"/>
    </row>
    <row r="512" spans="1:68" ht="14.25" hidden="1" customHeight="1" x14ac:dyDescent="0.25">
      <c r="A512" s="654" t="s">
        <v>62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67</v>
      </c>
      <c r="X513" s="627">
        <v>300</v>
      </c>
      <c r="Y513" s="628">
        <f t="shared" ref="Y513:Y519" si="63">IFERROR(IF(X513="",0,CEILING((X513/$H513),1)*$H513),"")</f>
        <v>300.96000000000004</v>
      </c>
      <c r="Z513" s="36">
        <f>IFERROR(IF(Y513=0,"",ROUNDUP(Y513/H513,0)*0.01196),"")</f>
        <v>0.68171999999999999</v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319.88636363636363</v>
      </c>
      <c r="BN513" s="64">
        <f t="shared" ref="BN513:BN519" si="65">IFERROR(Y513*I513/H513,"0")</f>
        <v>320.91000000000003</v>
      </c>
      <c r="BO513" s="64">
        <f t="shared" ref="BO513:BO519" si="66">IFERROR(1/J513*(X513/H513),"0")</f>
        <v>0.54632867132867136</v>
      </c>
      <c r="BP513" s="64">
        <f t="shared" ref="BP513:BP519" si="67">IFERROR(1/J513*(Y513/H513),"0")</f>
        <v>0.54807692307692313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67</v>
      </c>
      <c r="X514" s="627">
        <v>800</v>
      </c>
      <c r="Y514" s="628">
        <f t="shared" si="63"/>
        <v>802.56000000000006</v>
      </c>
      <c r="Z514" s="36">
        <f>IFERROR(IF(Y514=0,"",ROUNDUP(Y514/H514,0)*0.01196),"")</f>
        <v>1.81792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853.030303030303</v>
      </c>
      <c r="BN514" s="64">
        <f t="shared" si="65"/>
        <v>855.76</v>
      </c>
      <c r="BO514" s="64">
        <f t="shared" si="66"/>
        <v>1.4568764568764567</v>
      </c>
      <c r="BP514" s="64">
        <f t="shared" si="67"/>
        <v>1.4615384615384617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67</v>
      </c>
      <c r="X515" s="627">
        <v>2000</v>
      </c>
      <c r="Y515" s="628">
        <f t="shared" si="63"/>
        <v>2001.1200000000001</v>
      </c>
      <c r="Z515" s="36">
        <f>IFERROR(IF(Y515=0,"",ROUNDUP(Y515/H515,0)*0.01196),"")</f>
        <v>4.5328400000000002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2132.5757575757575</v>
      </c>
      <c r="BN515" s="64">
        <f t="shared" si="65"/>
        <v>2133.77</v>
      </c>
      <c r="BO515" s="64">
        <f t="shared" si="66"/>
        <v>3.6421911421911419</v>
      </c>
      <c r="BP515" s="64">
        <f t="shared" si="67"/>
        <v>3.6442307692307696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830</v>
      </c>
      <c r="B519" s="54" t="s">
        <v>831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72</v>
      </c>
      <c r="Q520" s="651"/>
      <c r="R520" s="651"/>
      <c r="S520" s="651"/>
      <c r="T520" s="651"/>
      <c r="U520" s="651"/>
      <c r="V520" s="652"/>
      <c r="W520" s="37" t="s">
        <v>73</v>
      </c>
      <c r="X520" s="629">
        <f>IFERROR(X513/H513,"0")+IFERROR(X514/H514,"0")+IFERROR(X515/H515,"0")+IFERROR(X516/H516,"0")+IFERROR(X517/H517,"0")+IFERROR(X518/H518,"0")+IFERROR(X519/H519,"0")</f>
        <v>587.12121212121201</v>
      </c>
      <c r="Y520" s="629">
        <f>IFERROR(Y513/H513,"0")+IFERROR(Y514/H514,"0")+IFERROR(Y515/H515,"0")+IFERROR(Y516/H516,"0")+IFERROR(Y517/H517,"0")+IFERROR(Y518/H518,"0")+IFERROR(Y519/H519,"0")</f>
        <v>588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7.0324799999999996</v>
      </c>
      <c r="AA520" s="630"/>
      <c r="AB520" s="630"/>
      <c r="AC520" s="630"/>
    </row>
    <row r="521" spans="1:68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72</v>
      </c>
      <c r="Q521" s="651"/>
      <c r="R521" s="651"/>
      <c r="S521" s="651"/>
      <c r="T521" s="651"/>
      <c r="U521" s="651"/>
      <c r="V521" s="652"/>
      <c r="W521" s="37" t="s">
        <v>67</v>
      </c>
      <c r="X521" s="629">
        <f>IFERROR(SUM(X513:X519),"0")</f>
        <v>3100</v>
      </c>
      <c r="Y521" s="629">
        <f>IFERROR(SUM(Y513:Y519),"0")</f>
        <v>3104.6400000000003</v>
      </c>
      <c r="Z521" s="37"/>
      <c r="AA521" s="630"/>
      <c r="AB521" s="630"/>
      <c r="AC521" s="630"/>
    </row>
    <row r="522" spans="1:68" ht="27.75" hidden="1" customHeight="1" x14ac:dyDescent="0.2">
      <c r="A522" s="660" t="s">
        <v>832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832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117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72</v>
      </c>
      <c r="Q526" s="651"/>
      <c r="R526" s="651"/>
      <c r="S526" s="651"/>
      <c r="T526" s="651"/>
      <c r="U526" s="651"/>
      <c r="V526" s="652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72</v>
      </c>
      <c r="Q527" s="651"/>
      <c r="R527" s="651"/>
      <c r="S527" s="651"/>
      <c r="T527" s="651"/>
      <c r="U527" s="651"/>
      <c r="V527" s="652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153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72</v>
      </c>
      <c r="Q530" s="651"/>
      <c r="R530" s="651"/>
      <c r="S530" s="651"/>
      <c r="T530" s="651"/>
      <c r="U530" s="651"/>
      <c r="V530" s="652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72</v>
      </c>
      <c r="Q531" s="651"/>
      <c r="R531" s="651"/>
      <c r="S531" s="651"/>
      <c r="T531" s="651"/>
      <c r="U531" s="651"/>
      <c r="V531" s="652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62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72</v>
      </c>
      <c r="Q534" s="651"/>
      <c r="R534" s="651"/>
      <c r="S534" s="651"/>
      <c r="T534" s="651"/>
      <c r="U534" s="651"/>
      <c r="V534" s="652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72</v>
      </c>
      <c r="Q535" s="651"/>
      <c r="R535" s="651"/>
      <c r="S535" s="651"/>
      <c r="T535" s="651"/>
      <c r="U535" s="651"/>
      <c r="V535" s="652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74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hidden="1" customHeight="1" x14ac:dyDescent="0.25">
      <c r="A537" s="54" t="s">
        <v>842</v>
      </c>
      <c r="B537" s="54" t="s">
        <v>843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72</v>
      </c>
      <c r="Q538" s="651"/>
      <c r="R538" s="651"/>
      <c r="S538" s="651"/>
      <c r="T538" s="651"/>
      <c r="U538" s="651"/>
      <c r="V538" s="652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72</v>
      </c>
      <c r="Q539" s="651"/>
      <c r="R539" s="651"/>
      <c r="S539" s="651"/>
      <c r="T539" s="651"/>
      <c r="U539" s="651"/>
      <c r="V539" s="652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54" t="s">
        <v>170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851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153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72</v>
      </c>
      <c r="Q548" s="651"/>
      <c r="R548" s="651"/>
      <c r="S548" s="651"/>
      <c r="T548" s="651"/>
      <c r="U548" s="651"/>
      <c r="V548" s="652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72</v>
      </c>
      <c r="Q549" s="651"/>
      <c r="R549" s="651"/>
      <c r="S549" s="651"/>
      <c r="T549" s="651"/>
      <c r="U549" s="651"/>
      <c r="V549" s="652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855</v>
      </c>
      <c r="Q550" s="715"/>
      <c r="R550" s="715"/>
      <c r="S550" s="715"/>
      <c r="T550" s="715"/>
      <c r="U550" s="715"/>
      <c r="V550" s="716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17567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17606.16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856</v>
      </c>
      <c r="Q551" s="715"/>
      <c r="R551" s="715"/>
      <c r="S551" s="715"/>
      <c r="T551" s="715"/>
      <c r="U551" s="715"/>
      <c r="V551" s="716"/>
      <c r="W551" s="37" t="s">
        <v>67</v>
      </c>
      <c r="X551" s="629">
        <f>IFERROR(SUM(BM22:BM547),"0")</f>
        <v>18952.315548032213</v>
      </c>
      <c r="Y551" s="629">
        <f>IFERROR(SUM(BN22:BN547),"0")</f>
        <v>18996.022000000001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857</v>
      </c>
      <c r="Q552" s="715"/>
      <c r="R552" s="715"/>
      <c r="S552" s="715"/>
      <c r="T552" s="715"/>
      <c r="U552" s="715"/>
      <c r="V552" s="716"/>
      <c r="W552" s="37" t="s">
        <v>858</v>
      </c>
      <c r="X552" s="38">
        <f>ROUNDUP(SUM(BO22:BO547),0)</f>
        <v>33</v>
      </c>
      <c r="Y552" s="38">
        <f>ROUNDUP(SUM(BP22:BP547),0)</f>
        <v>33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859</v>
      </c>
      <c r="Q553" s="715"/>
      <c r="R553" s="715"/>
      <c r="S553" s="715"/>
      <c r="T553" s="715"/>
      <c r="U553" s="715"/>
      <c r="V553" s="716"/>
      <c r="W553" s="37" t="s">
        <v>67</v>
      </c>
      <c r="X553" s="629">
        <f>GrossWeightTotal+PalletQtyTotal*25</f>
        <v>19777.315548032213</v>
      </c>
      <c r="Y553" s="629">
        <f>GrossWeightTotalR+PalletQtyTotalR*25</f>
        <v>19821.022000000001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860</v>
      </c>
      <c r="Q554" s="715"/>
      <c r="R554" s="715"/>
      <c r="S554" s="715"/>
      <c r="T554" s="715"/>
      <c r="U554" s="715"/>
      <c r="V554" s="716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3813.3689767023097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3822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861</v>
      </c>
      <c r="Q555" s="715"/>
      <c r="R555" s="715"/>
      <c r="S555" s="715"/>
      <c r="T555" s="715"/>
      <c r="U555" s="715"/>
      <c r="V555" s="716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40.094720000000002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7" t="s">
        <v>115</v>
      </c>
      <c r="E557" s="806"/>
      <c r="F557" s="806"/>
      <c r="G557" s="806"/>
      <c r="H557" s="806"/>
      <c r="I557" s="806"/>
      <c r="J557" s="777"/>
      <c r="K557" s="637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683</v>
      </c>
      <c r="W557" s="777"/>
      <c r="X557" s="637" t="s">
        <v>749</v>
      </c>
      <c r="Y557" s="777"/>
      <c r="Z557" s="624" t="s">
        <v>785</v>
      </c>
      <c r="AA557" s="637" t="s">
        <v>832</v>
      </c>
      <c r="AB557" s="777"/>
      <c r="AC557" s="52"/>
      <c r="AF557" s="625"/>
    </row>
    <row r="558" spans="1:68" ht="14.25" customHeight="1" thickTop="1" x14ac:dyDescent="0.2">
      <c r="A558" s="772" t="s">
        <v>864</v>
      </c>
      <c r="B558" s="637" t="s">
        <v>61</v>
      </c>
      <c r="C558" s="637" t="s">
        <v>99</v>
      </c>
      <c r="D558" s="637" t="s">
        <v>116</v>
      </c>
      <c r="E558" s="637" t="s">
        <v>132</v>
      </c>
      <c r="F558" s="637" t="s">
        <v>177</v>
      </c>
      <c r="G558" s="637" t="s">
        <v>198</v>
      </c>
      <c r="H558" s="637" t="s">
        <v>237</v>
      </c>
      <c r="I558" s="637" t="s">
        <v>265</v>
      </c>
      <c r="J558" s="637" t="s">
        <v>115</v>
      </c>
      <c r="K558" s="637" t="s">
        <v>348</v>
      </c>
      <c r="L558" s="637" t="s">
        <v>369</v>
      </c>
      <c r="M558" s="637" t="s">
        <v>436</v>
      </c>
      <c r="N558" s="625"/>
      <c r="O558" s="637" t="s">
        <v>504</v>
      </c>
      <c r="P558" s="637" t="s">
        <v>537</v>
      </c>
      <c r="Q558" s="637" t="s">
        <v>553</v>
      </c>
      <c r="R558" s="637" t="s">
        <v>562</v>
      </c>
      <c r="S558" s="637" t="s">
        <v>583</v>
      </c>
      <c r="T558" s="637" t="s">
        <v>592</v>
      </c>
      <c r="U558" s="637" t="s">
        <v>673</v>
      </c>
      <c r="V558" s="637" t="s">
        <v>684</v>
      </c>
      <c r="W558" s="637" t="s">
        <v>733</v>
      </c>
      <c r="X558" s="637" t="s">
        <v>750</v>
      </c>
      <c r="Y558" s="637" t="s">
        <v>773</v>
      </c>
      <c r="Z558" s="637" t="s">
        <v>785</v>
      </c>
      <c r="AA558" s="637" t="s">
        <v>832</v>
      </c>
      <c r="AB558" s="637" t="s">
        <v>851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106.2</v>
      </c>
      <c r="F560" s="46">
        <f>IFERROR(Y88*1,"0")+IFERROR(Y89*1,"0")+IFERROR(Y90*1,"0")+IFERROR(Y91*1,"0")+IFERROR(Y95*1,"0")+IFERROR(Y96*1,"0")+IFERROR(Y97*1,"0")+IFERROR(Y98*1,"0")</f>
        <v>675.90000000000009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1885.8600000000001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298.06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23.560000000000002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801.6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405.59999999999997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415.59999999999997</v>
      </c>
      <c r="U560" s="46">
        <f>IFERROR(Y414*1,"0")+IFERROR(Y415*1,"0")+IFERROR(Y416*1,"0")</f>
        <v>35.700000000000003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900</v>
      </c>
      <c r="W560" s="46">
        <f>IFERROR(Y451*1,"0")+IFERROR(Y452*1,"0")+IFERROR(Y456*1,"0")+IFERROR(Y460*1,"0")+IFERROR(Y461*1,"0")+IFERROR(Y462*1,"0")</f>
        <v>664.8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11393.279999999999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98,48"/>
        <filter val="1 350,00"/>
        <filter val="1 850,00"/>
        <filter val="10,00"/>
        <filter val="100,00"/>
        <filter val="112,00"/>
        <filter val="122,22"/>
        <filter val="145,24"/>
        <filter val="16,00"/>
        <filter val="16,67"/>
        <filter val="160,00"/>
        <filter val="166,67"/>
        <filter val="17 567,00"/>
        <filter val="18 952,32"/>
        <filter val="180,00"/>
        <filter val="19 777,32"/>
        <filter val="2 000,00"/>
        <filter val="2 300,00"/>
        <filter val="20,00"/>
        <filter val="225,00"/>
        <filter val="296,00"/>
        <filter val="3 100,00"/>
        <filter val="3 500,00"/>
        <filter val="3 813,37"/>
        <filter val="300,00"/>
        <filter val="33"/>
        <filter val="33,00"/>
        <filter val="33,33"/>
        <filter val="333,33"/>
        <filter val="35,00"/>
        <filter val="378,79"/>
        <filter val="400,00"/>
        <filter val="45,00"/>
        <filter val="450,00"/>
        <filter val="5,00"/>
        <filter val="5,56"/>
        <filter val="50,00"/>
        <filter val="500,00"/>
        <filter val="51,28"/>
        <filter val="561,73"/>
        <filter val="587,12"/>
        <filter val="6 280,00"/>
        <filter val="60,00"/>
        <filter val="660,00"/>
        <filter val="7,00"/>
        <filter val="800,00"/>
        <filter val="84,00"/>
        <filter val="900,00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2026-07-30T11:18:59Z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