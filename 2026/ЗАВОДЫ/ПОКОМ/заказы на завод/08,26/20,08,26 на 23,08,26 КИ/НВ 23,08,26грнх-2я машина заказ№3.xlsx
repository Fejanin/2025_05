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C7281CD-38DA-49F0-983A-B44D2DB2A89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Z357" i="2" s="1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N450" i="2"/>
  <c r="BP453" i="2"/>
  <c r="Z292" i="2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25" i="2" l="1"/>
  <c r="Z146" i="2"/>
  <c r="Z288" i="2"/>
  <c r="Z293" i="2"/>
  <c r="Z481" i="2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<sst xmlns="http://schemas.openxmlformats.org/spreadsheetml/2006/main" count="3645" uniqueCount="788">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</sst>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46257</v>
      </c>
      <c r="R5" s="867"/>
      <c r="T5" s="868" t="s">
        <v>3</v>
      </c>
      <c r="U5" s="869"/>
      <c r="V5" s="870" t="s">
        <v>751</v>
      </c>
      <c r="W5" s="871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>
        <v>46259</v>
      </c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518.4</v>
      </c>
      <c r="Y54" s="53">
        <f t="shared" si="6"/>
        <v>518.40000000000009</v>
      </c>
      <c r="Z54" s="39">
        <f>IFERROR(IF(Y54=0,"",ROUNDUP(Y54/H54,0)*0.01898),"")</f>
        <v>0.91104000000000007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538.07999999999993</v>
      </c>
      <c r="BN54" s="75">
        <f t="shared" si="8"/>
        <v>538.08000000000004</v>
      </c>
      <c r="BO54" s="75">
        <f t="shared" si="9"/>
        <v>0.74999999999999989</v>
      </c>
      <c r="BP54" s="75">
        <f t="shared" si="10"/>
        <v>0.75000000000000011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72</v>
      </c>
      <c r="Y59" s="41">
        <f>IFERROR(Y53/H53,"0")+IFERROR(Y54/H54,"0")+IFERROR(Y55/H55,"0")+IFERROR(Y56/H56,"0")+IFERROR(Y57/H57,"0")+IFERROR(Y58/H58,"0")</f>
        <v>72</v>
      </c>
      <c r="Z59" s="41">
        <f>IFERROR(IF(Z53="",0,Z53),"0")+IFERROR(IF(Z54="",0,Z54),"0")+IFERROR(IF(Z55="",0,Z55),"0")+IFERROR(IF(Z56="",0,Z56),"0")+IFERROR(IF(Z57="",0,Z57),"0")+IFERROR(IF(Z58="",0,Z58),"0")</f>
        <v>1.3665600000000002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787.2</v>
      </c>
      <c r="Y60" s="41">
        <f>IFERROR(SUM(Y53:Y58),"0")</f>
        <v>787.2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97.2</v>
      </c>
      <c r="Y118" s="53">
        <f>IFERROR(IF(X118="",0,CEILING((X118/$H118),1)*$H118),"")</f>
        <v>97.2</v>
      </c>
      <c r="Z118" s="39">
        <f>IFERROR(IF(Y118=0,"",ROUNDUP(Y118/H118,0)*0.00651),"")</f>
        <v>0.23436000000000001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106.27199999999999</v>
      </c>
      <c r="BN118" s="75">
        <f>IFERROR(Y118*I118/H118,"0")</f>
        <v>106.27199999999999</v>
      </c>
      <c r="BO118" s="75">
        <f>IFERROR(1/J118*(X118/H118),"0")</f>
        <v>0.19780219780219782</v>
      </c>
      <c r="BP118" s="75">
        <f>IFERROR(1/J118*(Y118/H118),"0")</f>
        <v>0.19780219780219782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76</v>
      </c>
      <c r="Y120" s="41">
        <f>IFERROR(Y116/H116,"0")+IFERROR(Y117/H117,"0")+IFERROR(Y118/H118,"0")+IFERROR(Y119/H119,"0")</f>
        <v>76</v>
      </c>
      <c r="Z120" s="41">
        <f>IFERROR(IF(Z116="",0,Z116),"0")+IFERROR(IF(Z117="",0,Z117),"0")+IFERROR(IF(Z118="",0,Z118),"0")+IFERROR(IF(Z119="",0,Z119),"0")</f>
        <v>0.99356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421.2</v>
      </c>
      <c r="Y121" s="41">
        <f>IFERROR(SUM(Y116:Y119),"0")</f>
        <v>421.2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0.50544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226.8</v>
      </c>
      <c r="Y183" s="41">
        <f>IFERROR(SUM(Y167:Y181),"0")</f>
        <v>226.80000000000004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259.2</v>
      </c>
      <c r="Y208" s="53">
        <f t="shared" si="16"/>
        <v>259.20000000000005</v>
      </c>
      <c r="Z208" s="39">
        <f>IFERROR(IF(Y208=0,"",ROUNDUP(Y208/H208,0)*0.00902),"")</f>
        <v>0.43296000000000001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268.31999999999994</v>
      </c>
      <c r="BN208" s="75">
        <f t="shared" si="18"/>
        <v>268.32</v>
      </c>
      <c r="BO208" s="75">
        <f t="shared" si="19"/>
        <v>0.36363636363636359</v>
      </c>
      <c r="BP208" s="75">
        <f t="shared" si="20"/>
        <v>0.3636363636363637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907.19999999999993</v>
      </c>
      <c r="Y215" s="41">
        <f>IFERROR(SUM(Y206:Y213),"0")</f>
        <v>907.2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57.6</v>
      </c>
      <c r="Y223" s="53">
        <f t="shared" si="21"/>
        <v>57.599999999999994</v>
      </c>
      <c r="Z223" s="39">
        <f t="shared" si="26"/>
        <v>0.15623999999999999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63.648000000000003</v>
      </c>
      <c r="BN223" s="75">
        <f t="shared" si="23"/>
        <v>63.648000000000003</v>
      </c>
      <c r="BO223" s="75">
        <f t="shared" si="24"/>
        <v>0.13186813186813187</v>
      </c>
      <c r="BP223" s="75">
        <f t="shared" si="25"/>
        <v>0.13186813186813187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160</v>
      </c>
      <c r="Y226" s="41">
        <f>IFERROR(Y217/H217,"0")+IFERROR(Y218/H218,"0")+IFERROR(Y219/H219,"0")+IFERROR(Y220/H220,"0")+IFERROR(Y221/H221,"0")+IFERROR(Y222/H222,"0")+IFERROR(Y223/H223,"0")+IFERROR(Y224/H224,"0")+IFERROR(Y225/H225,"0")</f>
        <v>160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1.5403999999999998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636</v>
      </c>
      <c r="Y227" s="41">
        <f>IFERROR(SUM(Y217:Y225),"0")</f>
        <v>636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187.2</v>
      </c>
      <c r="Y323" s="53">
        <f>IFERROR(IF(X323="",0,CEILING((X323/$H323),1)*$H323),"")</f>
        <v>187.2</v>
      </c>
      <c r="Z323" s="39">
        <f>IFERROR(IF(Y323=0,"",ROUNDUP(Y323/H323,0)*0.01898),"")</f>
        <v>0.45552000000000004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199.05600000000001</v>
      </c>
      <c r="BN323" s="75">
        <f>IFERROR(Y323*I323/H323,"0")</f>
        <v>199.05600000000001</v>
      </c>
      <c r="BO323" s="75">
        <f>IFERROR(1/J323*(X323/H323),"0")</f>
        <v>0.375</v>
      </c>
      <c r="BP323" s="75">
        <f>IFERROR(1/J323*(Y323/H323),"0")</f>
        <v>0.375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590.4</v>
      </c>
      <c r="Y326" s="41">
        <f>IFERROR(SUM(Y322:Y324),"0")</f>
        <v>590.4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hidden="1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0</v>
      </c>
      <c r="Y371" s="41">
        <f>IFERROR(Y370/H370,"0")</f>
        <v>0</v>
      </c>
      <c r="Z371" s="41">
        <f>IFERROR(IF(Z370="",0,Z370),"0")</f>
        <v>0</v>
      </c>
      <c r="AA371" s="64"/>
      <c r="AB371" s="64"/>
      <c r="AC371" s="64"/>
    </row>
    <row r="372" spans="1:68" hidden="1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0</v>
      </c>
      <c r="Y372" s="41">
        <f>IFERROR(SUM(Y370:Y370),"0")</f>
        <v>0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48</v>
      </c>
      <c r="Y387" s="41">
        <f>IFERROR(Y384/H384,"0")+IFERROR(Y385/H385,"0")+IFERROR(Y386/H386,"0")</f>
        <v>48</v>
      </c>
      <c r="Z387" s="41">
        <f>IFERROR(IF(Z384="",0,Z384),"0")+IFERROR(IF(Z385="",0,Z385),"0")+IFERROR(IF(Z386="",0,Z386),"0")</f>
        <v>0.61176000000000008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273.60000000000002</v>
      </c>
      <c r="Y388" s="41">
        <f>IFERROR(SUM(Y384:Y386),"0")</f>
        <v>273.60000000000002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0.86112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380.16</v>
      </c>
      <c r="Y440" s="41">
        <f>IFERROR(SUM(Y427:Y438),"0")</f>
        <v>380.16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hidden="1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0</v>
      </c>
      <c r="Y449" s="53">
        <f t="shared" si="54"/>
        <v>0</v>
      </c>
      <c r="Z449" s="39" t="str">
        <f>IFERROR(IF(Y449=0,"",ROUNDUP(Y449/H449,0)*0.01196),"")</f>
        <v/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0</v>
      </c>
      <c r="BN449" s="75">
        <f t="shared" si="56"/>
        <v>0</v>
      </c>
      <c r="BO449" s="75">
        <f t="shared" si="57"/>
        <v>0</v>
      </c>
      <c r="BP449" s="75">
        <f t="shared" si="58"/>
        <v>0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16</v>
      </c>
      <c r="Y455" s="41">
        <f>IFERROR(Y448/H448,"0")+IFERROR(Y449/H449,"0")+IFERROR(Y450/H450,"0")+IFERROR(Y451/H451,"0")+IFERROR(Y452/H452,"0")+IFERROR(Y453/H453,"0")+IFERROR(Y454/H454,"0")</f>
        <v>16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84.48</v>
      </c>
      <c r="Y456" s="41">
        <f>IFERROR(SUM(Y448:Y454),"0")</f>
        <v>84.48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9104.8799999999992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9104.880000000001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9527.988000000003</v>
      </c>
      <c r="Y489" s="41">
        <f>IFERROR(SUM(BN22:BN485),"0")</f>
        <v>9527.988000000003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9902.988000000003</v>
      </c>
      <c r="Y491" s="41">
        <f>GrossWeightTotalR+PalletQtyTotalR*25</f>
        <v>9902.988000000003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1204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1204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17.138360000000002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1171.2</v>
      </c>
      <c r="E498" s="50">
        <f>IFERROR(Y86*1,"0")+IFERROR(Y87*1,"0")+IFERROR(Y88*1,"0")+IFERROR(Y89*1,"0")+IFERROR(Y93*1,"0")+IFERROR(Y94*1,"0")+IFERROR(Y95*1,"0")+IFERROR(Y96*1,"0")</f>
        <v>766.80000000000007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1112.4000000000001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226.80000000000004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1543.2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590.4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2100</v>
      </c>
      <c r="T498" s="50">
        <f>IFERROR(Y375*1,"0")+IFERROR(Y376*1,"0")+IFERROR(Y380*1,"0")+IFERROR(Y384*1,"0")+IFERROR(Y385*1,"0")+IFERROR(Y386*1,"0")</f>
        <v>273.60000000000002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506.88000000000005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4,00"/>
        <filter val="1 620,00"/>
        <filter val="100,80"/>
        <filter val="108,00"/>
        <filter val="115,20"/>
        <filter val="124,80"/>
        <filter val="129,60"/>
        <filter val="134,40"/>
        <filter val="15"/>
        <filter val="16,00"/>
        <filter val="160,00"/>
        <filter val="168,00"/>
        <filter val="187,20"/>
        <filter val="194,40"/>
        <filter val="216,00"/>
        <filter val="226,80"/>
        <filter val="24,00"/>
        <filter val="259,20"/>
        <filter val="268,80"/>
        <filter val="273,60"/>
        <filter val="28,80"/>
        <filter val="295,68"/>
        <filter val="32,00"/>
        <filter val="324,00"/>
        <filter val="334,80"/>
        <filter val="348,00"/>
        <filter val="360,00"/>
        <filter val="37,80"/>
        <filter val="380,16"/>
        <filter val="40,00"/>
        <filter val="42,24"/>
        <filter val="421,20"/>
        <filter val="432,00"/>
        <filter val="48,00"/>
        <filter val="480,00"/>
        <filter val="50,40"/>
        <filter val="518,40"/>
        <filter val="540,00"/>
        <filter val="57,60"/>
        <filter val="590,40"/>
        <filter val="60,00"/>
        <filter val="636,00"/>
        <filter val="64,00"/>
        <filter val="64,80"/>
        <filter val="691,20"/>
        <filter val="72,00"/>
        <filter val="720,00"/>
        <filter val="75,60"/>
        <filter val="76,00"/>
        <filter val="787,20"/>
        <filter val="8,00"/>
        <filter val="84,48"/>
        <filter val="86,40"/>
        <filter val="9 104,88"/>
        <filter val="9 527,99"/>
        <filter val="9 902,99"/>
        <filter val="907,20"/>
        <filter val="97,2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2026-08-20T11:26:40Z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