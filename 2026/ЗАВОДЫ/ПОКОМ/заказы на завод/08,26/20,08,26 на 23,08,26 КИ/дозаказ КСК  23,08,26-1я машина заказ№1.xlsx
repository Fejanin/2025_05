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29F1241-A39B-48D1-9D08-FCF183F0319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72" i="2" l="1"/>
  <c r="BN402" i="2"/>
  <c r="BN373" i="2"/>
  <c r="BN214" i="2"/>
  <c r="BN284" i="2"/>
  <c r="BN288" i="2"/>
  <c r="BN28" i="2"/>
  <c r="Z134" i="2"/>
  <c r="BN155" i="2"/>
  <c r="Z167" i="2"/>
  <c r="BN231" i="2"/>
  <c r="BN304" i="2"/>
  <c r="Z373" i="2"/>
  <c r="BN30" i="2"/>
  <c r="Z90" i="2"/>
  <c r="BN115" i="2"/>
  <c r="BP202" i="2"/>
  <c r="Y262" i="2"/>
  <c r="Z428" i="2"/>
  <c r="BN446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Z266" i="2" s="1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27" i="2"/>
  <c r="BN462" i="2"/>
  <c r="BN474" i="2"/>
  <c r="BN499" i="2"/>
  <c r="BN509" i="2"/>
  <c r="BN519" i="2"/>
  <c r="Z543" i="2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32" i="2"/>
  <c r="Z418" i="2"/>
  <c r="Z369" i="2"/>
  <c r="Z136" i="2"/>
  <c r="Z544" i="2"/>
  <c r="Z338" i="2"/>
  <c r="Z124" i="2"/>
  <c r="Z322" i="2"/>
  <c r="Z359" i="2"/>
  <c r="Z480" i="2"/>
  <c r="Z150" i="2"/>
  <c r="Z411" i="2"/>
  <c r="Z174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<sst xmlns="http://schemas.openxmlformats.org/spreadsheetml/2006/main" count="4194" uniqueCount="891">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</sst>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46257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1500</v>
      </c>
      <c r="Y424" s="55">
        <f t="shared" si="52"/>
        <v>1500</v>
      </c>
      <c r="Z424" s="41">
        <f>IFERROR(IF(Y424=0,"",ROUNDUP(Y424/H424,0)*0.02175),"")</f>
        <v>2.1749999999999998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1547</v>
      </c>
      <c r="BN424" s="78">
        <f t="shared" si="54"/>
        <v>1547</v>
      </c>
      <c r="BO424" s="78">
        <f t="shared" si="55"/>
        <v>2.083333333333333</v>
      </c>
      <c r="BP424" s="78">
        <f t="shared" si="56"/>
        <v>2.083333333333333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1000</v>
      </c>
      <c r="Y425" s="55">
        <f t="shared" si="52"/>
        <v>1005</v>
      </c>
      <c r="Z425" s="41">
        <f>IFERROR(IF(Y425=0,"",ROUNDUP(Y425/H425,0)*0.02175),"")</f>
        <v>1.4572499999999999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1031.3333333333333</v>
      </c>
      <c r="BN425" s="78">
        <f t="shared" si="54"/>
        <v>1036.49</v>
      </c>
      <c r="BO425" s="78">
        <f t="shared" si="55"/>
        <v>1.3888888888888888</v>
      </c>
      <c r="BP425" s="78">
        <f t="shared" si="56"/>
        <v>1.3958333333333333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1700</v>
      </c>
      <c r="Y426" s="55">
        <f t="shared" si="52"/>
        <v>1710</v>
      </c>
      <c r="Z426" s="41">
        <f>IFERROR(IF(Y426=0,"",ROUNDUP(Y426/H426,0)*0.02175),"")</f>
        <v>2.4794999999999998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1753.2666666666667</v>
      </c>
      <c r="BN426" s="78">
        <f t="shared" si="54"/>
        <v>1763.5800000000002</v>
      </c>
      <c r="BO426" s="78">
        <f t="shared" si="55"/>
        <v>2.3611111111111107</v>
      </c>
      <c r="BP426" s="78">
        <f t="shared" si="56"/>
        <v>2.375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1000</v>
      </c>
      <c r="Y427" s="55">
        <f t="shared" si="52"/>
        <v>1005</v>
      </c>
      <c r="Z427" s="41">
        <f>IFERROR(IF(Y427=0,"",ROUNDUP(Y427/H427,0)*0.02175),"")</f>
        <v>1.4572499999999999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1031.3333333333333</v>
      </c>
      <c r="BN427" s="78">
        <f t="shared" si="54"/>
        <v>1036.49</v>
      </c>
      <c r="BO427" s="78">
        <f t="shared" si="55"/>
        <v>1.3888888888888888</v>
      </c>
      <c r="BP427" s="78">
        <f t="shared" si="56"/>
        <v>1.3958333333333333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346.66666666666669</v>
      </c>
      <c r="Y431" s="43">
        <f>IFERROR(Y423/H423,"0")+IFERROR(Y424/H424,"0")+IFERROR(Y425/H425,"0")+IFERROR(Y426/H426,"0")+IFERROR(Y427/H427,"0")+IFERROR(Y428/H428,"0")+IFERROR(Y429/H429,"0")+IFERROR(Y430/H430,"0")</f>
        <v>348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7.569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5200</v>
      </c>
      <c r="Y432" s="43">
        <f>IFERROR(SUM(Y423:Y430),"0")</f>
        <v>5220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1000</v>
      </c>
      <c r="Y434" s="55">
        <f>IFERROR(IF(X434="",0,CEILING((X434/$H434),1)*$H434),"")</f>
        <v>1005</v>
      </c>
      <c r="Z434" s="41">
        <f>IFERROR(IF(Y434=0,"",ROUNDUP(Y434/H434,0)*0.02175),"")</f>
        <v>1.4572499999999999</v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1031.3333333333333</v>
      </c>
      <c r="BN434" s="78">
        <f>IFERROR(Y434*I434/H434,"0")</f>
        <v>1036.49</v>
      </c>
      <c r="BO434" s="78">
        <f>IFERROR(1/J434*(X434/H434),"0")</f>
        <v>1.3888888888888888</v>
      </c>
      <c r="BP434" s="78">
        <f>IFERROR(1/J434*(Y434/H434),"0")</f>
        <v>1.3958333333333333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66.666666666666671</v>
      </c>
      <c r="Y437" s="43">
        <f>IFERROR(Y434/H434,"0")+IFERROR(Y435/H435,"0")+IFERROR(Y436/H436,"0")</f>
        <v>67</v>
      </c>
      <c r="Z437" s="43">
        <f>IFERROR(IF(Z434="",0,Z434),"0")+IFERROR(IF(Z435="",0,Z435),"0")+IFERROR(IF(Z436="",0,Z436),"0")</f>
        <v>1.4572499999999999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1000</v>
      </c>
      <c r="Y438" s="43">
        <f>IFERROR(SUM(Y434:Y436),"0")</f>
        <v>1005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6200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6225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6394.2666666666655</v>
      </c>
      <c r="Y552" s="43">
        <f>IFERROR(SUM(BN22:BN548),"0")</f>
        <v>6420.0499999999993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9</v>
      </c>
      <c r="Y553" s="44">
        <f>ROUNDUP(SUM(BP22:BP548),0)</f>
        <v>9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6619.2666666666655</v>
      </c>
      <c r="Y554" s="43">
        <f>GrossWeightTotalR+PalletQtyTotalR*25</f>
        <v>6645.0499999999993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413.33333333333337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415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9.0262499999999992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6225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500,00"/>
        <filter val="1 700,00"/>
        <filter val="346,67"/>
        <filter val="413,33"/>
        <filter val="5 200,00"/>
        <filter val="6 200,00"/>
        <filter val="6 394,27"/>
        <filter val="6 619,27"/>
        <filter val="66,67"/>
        <filter val="9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fopath/2007/PartnerControls"/>
    <ds:schemaRef ds:uri="bb0b2827-4eb3-461f-8866-28597c48f473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2026-08-24T06:08:04Z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