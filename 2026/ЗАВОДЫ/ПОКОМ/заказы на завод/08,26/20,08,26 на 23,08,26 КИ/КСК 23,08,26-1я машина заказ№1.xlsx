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D67D0B-246E-40EE-A806-81647D5BF26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Y547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X508" i="2"/>
  <c r="X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P498" i="2"/>
  <c r="X494" i="2"/>
  <c r="X493" i="2"/>
  <c r="BO492" i="2"/>
  <c r="BM492" i="2"/>
  <c r="Y492" i="2"/>
  <c r="BN492" i="2" s="1"/>
  <c r="P492" i="2"/>
  <c r="BO491" i="2"/>
  <c r="BM491" i="2"/>
  <c r="Y491" i="2"/>
  <c r="BP491" i="2" s="1"/>
  <c r="P491" i="2"/>
  <c r="BO490" i="2"/>
  <c r="BM490" i="2"/>
  <c r="Z490" i="2"/>
  <c r="Y490" i="2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BN437" i="2" s="1"/>
  <c r="P437" i="2"/>
  <c r="BO436" i="2"/>
  <c r="BM436" i="2"/>
  <c r="Y436" i="2"/>
  <c r="P436" i="2"/>
  <c r="X434" i="2"/>
  <c r="X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N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BN412" i="2" s="1"/>
  <c r="P412" i="2"/>
  <c r="BO411" i="2"/>
  <c r="BM411" i="2"/>
  <c r="Y411" i="2"/>
  <c r="BP411" i="2" s="1"/>
  <c r="P411" i="2"/>
  <c r="X408" i="2"/>
  <c r="X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X376" i="2"/>
  <c r="X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X366" i="2"/>
  <c r="X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5" i="2"/>
  <c r="X334" i="2"/>
  <c r="BO333" i="2"/>
  <c r="BM333" i="2"/>
  <c r="Y333" i="2"/>
  <c r="BP333" i="2" s="1"/>
  <c r="P333" i="2"/>
  <c r="BO332" i="2"/>
  <c r="BM332" i="2"/>
  <c r="Y332" i="2"/>
  <c r="Z332" i="2" s="1"/>
  <c r="P332" i="2"/>
  <c r="BO331" i="2"/>
  <c r="BM331" i="2"/>
  <c r="Y331" i="2"/>
  <c r="BP331" i="2" s="1"/>
  <c r="P331" i="2"/>
  <c r="X328" i="2"/>
  <c r="X327" i="2"/>
  <c r="BO326" i="2"/>
  <c r="BM326" i="2"/>
  <c r="Y326" i="2"/>
  <c r="BP326" i="2" s="1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N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BP297" i="2" s="1"/>
  <c r="P297" i="2"/>
  <c r="X294" i="2"/>
  <c r="X293" i="2"/>
  <c r="BO292" i="2"/>
  <c r="BM292" i="2"/>
  <c r="Y292" i="2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P283" i="2"/>
  <c r="BO282" i="2"/>
  <c r="BM282" i="2"/>
  <c r="Y282" i="2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BN256" i="2" s="1"/>
  <c r="P256" i="2"/>
  <c r="BO255" i="2"/>
  <c r="BM255" i="2"/>
  <c r="Y255" i="2"/>
  <c r="BN255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Z224" i="2"/>
  <c r="Y224" i="2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BP215" i="2" s="1"/>
  <c r="P215" i="2"/>
  <c r="X212" i="2"/>
  <c r="X211" i="2"/>
  <c r="BO210" i="2"/>
  <c r="BM210" i="2"/>
  <c r="Y210" i="2"/>
  <c r="Z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N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2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BN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BO141" i="2"/>
  <c r="BM141" i="2"/>
  <c r="Y141" i="2"/>
  <c r="Z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BO135" i="2"/>
  <c r="BM135" i="2"/>
  <c r="Y135" i="2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P123" i="2"/>
  <c r="X121" i="2"/>
  <c r="X120" i="2"/>
  <c r="BO119" i="2"/>
  <c r="BM119" i="2"/>
  <c r="Y119" i="2"/>
  <c r="BN119" i="2" s="1"/>
  <c r="P119" i="2"/>
  <c r="BO118" i="2"/>
  <c r="BM118" i="2"/>
  <c r="Y118" i="2"/>
  <c r="BN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Z102" i="2"/>
  <c r="Y102" i="2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BP99" i="2" s="1"/>
  <c r="P99" i="2"/>
  <c r="BO98" i="2"/>
  <c r="BM98" i="2"/>
  <c r="Y98" i="2"/>
  <c r="BP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P90" i="2" s="1"/>
  <c r="P90" i="2"/>
  <c r="X88" i="2"/>
  <c r="X87" i="2"/>
  <c r="BO86" i="2"/>
  <c r="BM86" i="2"/>
  <c r="Y86" i="2"/>
  <c r="P86" i="2"/>
  <c r="BO85" i="2"/>
  <c r="BM85" i="2"/>
  <c r="Y85" i="2"/>
  <c r="Z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BN59" i="2" s="1"/>
  <c r="P59" i="2"/>
  <c r="BO58" i="2"/>
  <c r="BM58" i="2"/>
  <c r="Z58" i="2"/>
  <c r="Y58" i="2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Z51" i="2" s="1"/>
  <c r="P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BN48" i="2" s="1"/>
  <c r="P48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A10" i="2" s="1"/>
  <c r="D7" i="2"/>
  <c r="Q6" i="2"/>
  <c r="P2" i="2"/>
  <c r="BN67" i="2" l="1"/>
  <c r="BP430" i="2"/>
  <c r="BN519" i="2"/>
  <c r="Z175" i="2"/>
  <c r="BN398" i="2"/>
  <c r="Z430" i="2"/>
  <c r="Z475" i="2"/>
  <c r="Y445" i="2"/>
  <c r="BP432" i="2"/>
  <c r="Z432" i="2"/>
  <c r="BN418" i="2"/>
  <c r="BN406" i="2"/>
  <c r="BN371" i="2"/>
  <c r="Z363" i="2"/>
  <c r="BN341" i="2"/>
  <c r="BN261" i="2"/>
  <c r="Y252" i="2"/>
  <c r="BN238" i="2"/>
  <c r="Z220" i="2"/>
  <c r="BN153" i="2"/>
  <c r="Z110" i="2"/>
  <c r="Z98" i="2"/>
  <c r="Z66" i="2"/>
  <c r="BN29" i="2"/>
  <c r="Z354" i="2"/>
  <c r="Z178" i="2"/>
  <c r="BP178" i="2"/>
  <c r="Z317" i="2"/>
  <c r="BN265" i="2"/>
  <c r="BN279" i="2"/>
  <c r="BN230" i="2"/>
  <c r="Z230" i="2"/>
  <c r="Y542" i="2"/>
  <c r="Y537" i="2"/>
  <c r="BN536" i="2"/>
  <c r="Z503" i="2"/>
  <c r="BP502" i="2"/>
  <c r="Z502" i="2"/>
  <c r="Z500" i="2"/>
  <c r="AA563" i="2"/>
  <c r="Y494" i="2"/>
  <c r="Z491" i="2"/>
  <c r="Y493" i="2"/>
  <c r="BP490" i="2"/>
  <c r="BP481" i="2"/>
  <c r="Z459" i="2"/>
  <c r="Z460" i="2" s="1"/>
  <c r="Y460" i="2"/>
  <c r="BN449" i="2"/>
  <c r="Y450" i="2"/>
  <c r="BN442" i="2"/>
  <c r="Z427" i="2"/>
  <c r="Y433" i="2"/>
  <c r="Z406" i="2"/>
  <c r="BN394" i="2"/>
  <c r="Z393" i="2"/>
  <c r="Y395" i="2"/>
  <c r="BN379" i="2"/>
  <c r="Z374" i="2"/>
  <c r="BP374" i="2"/>
  <c r="Z362" i="2"/>
  <c r="BN359" i="2"/>
  <c r="Z352" i="2"/>
  <c r="Z347" i="2"/>
  <c r="Y348" i="2"/>
  <c r="Z340" i="2"/>
  <c r="BN340" i="2"/>
  <c r="Y343" i="2"/>
  <c r="Z331" i="2"/>
  <c r="BN331" i="2"/>
  <c r="Z326" i="2"/>
  <c r="BN325" i="2"/>
  <c r="BP317" i="2"/>
  <c r="BN316" i="2"/>
  <c r="Z307" i="2"/>
  <c r="Z308" i="2" s="1"/>
  <c r="BP307" i="2"/>
  <c r="BN300" i="2"/>
  <c r="BN297" i="2"/>
  <c r="BN285" i="2"/>
  <c r="BP284" i="2"/>
  <c r="Z284" i="2"/>
  <c r="Z276" i="2"/>
  <c r="BP276" i="2"/>
  <c r="BN269" i="2"/>
  <c r="BN266" i="2"/>
  <c r="Z265" i="2"/>
  <c r="Y262" i="2"/>
  <c r="Y257" i="2"/>
  <c r="BP256" i="2"/>
  <c r="Z255" i="2"/>
  <c r="BP255" i="2"/>
  <c r="Y258" i="2"/>
  <c r="Z240" i="2"/>
  <c r="BN240" i="2"/>
  <c r="BN228" i="2"/>
  <c r="BN226" i="2"/>
  <c r="BP223" i="2"/>
  <c r="Z223" i="2"/>
  <c r="BN221" i="2"/>
  <c r="Z209" i="2"/>
  <c r="BN207" i="2"/>
  <c r="BP205" i="2"/>
  <c r="Z188" i="2"/>
  <c r="BP188" i="2"/>
  <c r="BN181" i="2"/>
  <c r="BP177" i="2"/>
  <c r="Z177" i="2"/>
  <c r="BN165" i="2"/>
  <c r="BN154" i="2"/>
  <c r="Z153" i="2"/>
  <c r="Z150" i="2"/>
  <c r="Y145" i="2"/>
  <c r="BN142" i="2"/>
  <c r="BN137" i="2"/>
  <c r="BP119" i="2"/>
  <c r="Z119" i="2"/>
  <c r="BN111" i="2"/>
  <c r="BP110" i="2"/>
  <c r="BP101" i="2"/>
  <c r="Z101" i="2"/>
  <c r="BN99" i="2"/>
  <c r="BN90" i="2"/>
  <c r="BN85" i="2"/>
  <c r="Z67" i="2"/>
  <c r="BP66" i="2"/>
  <c r="BP57" i="2"/>
  <c r="Z57" i="2"/>
  <c r="Z41" i="2"/>
  <c r="BN31" i="2"/>
  <c r="Z29" i="2"/>
  <c r="BN22" i="2"/>
  <c r="BN27" i="2"/>
  <c r="BP50" i="2"/>
  <c r="BN50" i="2"/>
  <c r="BN109" i="2"/>
  <c r="BP109" i="2"/>
  <c r="Z109" i="2"/>
  <c r="Y166" i="2"/>
  <c r="BN163" i="2"/>
  <c r="Y167" i="2"/>
  <c r="BN222" i="2"/>
  <c r="BP222" i="2"/>
  <c r="Z222" i="2"/>
  <c r="BP283" i="2"/>
  <c r="BN283" i="2"/>
  <c r="Z283" i="2"/>
  <c r="BN286" i="2"/>
  <c r="BP286" i="2"/>
  <c r="BN339" i="2"/>
  <c r="Z339" i="2"/>
  <c r="BN342" i="2"/>
  <c r="BP342" i="2"/>
  <c r="Z342" i="2"/>
  <c r="BP372" i="2"/>
  <c r="Z372" i="2"/>
  <c r="BP419" i="2"/>
  <c r="BN419" i="2"/>
  <c r="Z419" i="2"/>
  <c r="Y440" i="2"/>
  <c r="Z436" i="2"/>
  <c r="BN465" i="2"/>
  <c r="BP465" i="2"/>
  <c r="Z465" i="2"/>
  <c r="Z474" i="2"/>
  <c r="BN474" i="2"/>
  <c r="Z499" i="2"/>
  <c r="BN499" i="2"/>
  <c r="BN512" i="2"/>
  <c r="BP512" i="2"/>
  <c r="Z512" i="2"/>
  <c r="Z30" i="2"/>
  <c r="BN30" i="2"/>
  <c r="Z39" i="2"/>
  <c r="BN39" i="2"/>
  <c r="BP61" i="2"/>
  <c r="BN61" i="2"/>
  <c r="BP72" i="2"/>
  <c r="BP78" i="2"/>
  <c r="BN78" i="2"/>
  <c r="BN364" i="2"/>
  <c r="BP364" i="2"/>
  <c r="Z364" i="2"/>
  <c r="BN386" i="2"/>
  <c r="BP386" i="2"/>
  <c r="Z386" i="2"/>
  <c r="X563" i="2"/>
  <c r="Y456" i="2"/>
  <c r="Y457" i="2"/>
  <c r="BN455" i="2"/>
  <c r="BP455" i="2"/>
  <c r="Z455" i="2"/>
  <c r="BP506" i="2"/>
  <c r="Z506" i="2"/>
  <c r="BP22" i="2"/>
  <c r="E563" i="2"/>
  <c r="BN56" i="2"/>
  <c r="Y63" i="2"/>
  <c r="BP56" i="2"/>
  <c r="Z56" i="2"/>
  <c r="BN123" i="2"/>
  <c r="Y125" i="2"/>
  <c r="BP123" i="2"/>
  <c r="Y124" i="2"/>
  <c r="BN134" i="2"/>
  <c r="BP134" i="2"/>
  <c r="Z134" i="2"/>
  <c r="BN250" i="2"/>
  <c r="Z250" i="2"/>
  <c r="Z251" i="2" s="1"/>
  <c r="Z302" i="2"/>
  <c r="BN302" i="2"/>
  <c r="Y408" i="2"/>
  <c r="Z404" i="2"/>
  <c r="BN65" i="2"/>
  <c r="BP65" i="2"/>
  <c r="Z65" i="2"/>
  <c r="Z69" i="2" s="1"/>
  <c r="BN100" i="2"/>
  <c r="BP100" i="2"/>
  <c r="Z100" i="2"/>
  <c r="BN143" i="2"/>
  <c r="BP143" i="2"/>
  <c r="Z143" i="2"/>
  <c r="BN152" i="2"/>
  <c r="Z152" i="2"/>
  <c r="BN176" i="2"/>
  <c r="BP176" i="2"/>
  <c r="Z176" i="2"/>
  <c r="Z231" i="2"/>
  <c r="BP231" i="2"/>
  <c r="Z246" i="2"/>
  <c r="BN246" i="2"/>
  <c r="BP322" i="2"/>
  <c r="P563" i="2"/>
  <c r="Z323" i="2"/>
  <c r="BN323" i="2"/>
  <c r="BP339" i="2"/>
  <c r="Y356" i="2"/>
  <c r="BN353" i="2"/>
  <c r="BP353" i="2"/>
  <c r="Z353" i="2"/>
  <c r="BN429" i="2"/>
  <c r="Z429" i="2"/>
  <c r="BP443" i="2"/>
  <c r="Z443" i="2"/>
  <c r="BP474" i="2"/>
  <c r="Y478" i="2"/>
  <c r="BP499" i="2"/>
  <c r="BP520" i="2"/>
  <c r="Z520" i="2"/>
  <c r="BN38" i="2"/>
  <c r="BN41" i="2"/>
  <c r="BP48" i="2"/>
  <c r="BN49" i="2"/>
  <c r="BP118" i="2"/>
  <c r="H563" i="2"/>
  <c r="BP181" i="2"/>
  <c r="BN183" i="2"/>
  <c r="Y217" i="2"/>
  <c r="BN236" i="2"/>
  <c r="Y242" i="2"/>
  <c r="BP269" i="2"/>
  <c r="BN271" i="2"/>
  <c r="BP279" i="2"/>
  <c r="BN281" i="2"/>
  <c r="BN291" i="2"/>
  <c r="Y309" i="2"/>
  <c r="BP369" i="2"/>
  <c r="Y389" i="2"/>
  <c r="BP391" i="2"/>
  <c r="BP437" i="2"/>
  <c r="BP444" i="2"/>
  <c r="Y446" i="2"/>
  <c r="Y523" i="2"/>
  <c r="BP517" i="2"/>
  <c r="BP522" i="2"/>
  <c r="BP31" i="2"/>
  <c r="BP59" i="2"/>
  <c r="Z99" i="2"/>
  <c r="BP104" i="2"/>
  <c r="BP108" i="2"/>
  <c r="Z118" i="2"/>
  <c r="Z142" i="2"/>
  <c r="BP150" i="2"/>
  <c r="Z154" i="2"/>
  <c r="Z165" i="2"/>
  <c r="BP175" i="2"/>
  <c r="BN209" i="2"/>
  <c r="Z221" i="2"/>
  <c r="Z266" i="2"/>
  <c r="Z285" i="2"/>
  <c r="BP300" i="2"/>
  <c r="BN307" i="2"/>
  <c r="Z316" i="2"/>
  <c r="Z341" i="2"/>
  <c r="BP347" i="2"/>
  <c r="Z373" i="2"/>
  <c r="Y382" i="2"/>
  <c r="Z385" i="2"/>
  <c r="BP385" i="2"/>
  <c r="Z391" i="2"/>
  <c r="Z394" i="2"/>
  <c r="BP398" i="2"/>
  <c r="Z400" i="2"/>
  <c r="Z405" i="2"/>
  <c r="Z418" i="2"/>
  <c r="Z426" i="2"/>
  <c r="BP427" i="2"/>
  <c r="Z431" i="2"/>
  <c r="Z437" i="2"/>
  <c r="Z442" i="2"/>
  <c r="BP442" i="2"/>
  <c r="Y477" i="2"/>
  <c r="BP472" i="2"/>
  <c r="BN490" i="2"/>
  <c r="BP492" i="2"/>
  <c r="BP504" i="2"/>
  <c r="Y530" i="2"/>
  <c r="BP536" i="2"/>
  <c r="Z550" i="2"/>
  <c r="Z551" i="2" s="1"/>
  <c r="BN51" i="2"/>
  <c r="Z90" i="2"/>
  <c r="Z108" i="2"/>
  <c r="Z111" i="2"/>
  <c r="Y120" i="2"/>
  <c r="BP116" i="2"/>
  <c r="BN129" i="2"/>
  <c r="BP137" i="2"/>
  <c r="Y144" i="2"/>
  <c r="BP141" i="2"/>
  <c r="Y216" i="2"/>
  <c r="BP220" i="2"/>
  <c r="BP226" i="2"/>
  <c r="BP236" i="2"/>
  <c r="Z297" i="2"/>
  <c r="BP354" i="2"/>
  <c r="BN361" i="2"/>
  <c r="BN369" i="2"/>
  <c r="BP379" i="2"/>
  <c r="BN381" i="2"/>
  <c r="BP393" i="2"/>
  <c r="Y413" i="2"/>
  <c r="BP412" i="2"/>
  <c r="Y420" i="2"/>
  <c r="BP417" i="2"/>
  <c r="Y421" i="2"/>
  <c r="BN444" i="2"/>
  <c r="BP449" i="2"/>
  <c r="Y467" i="2"/>
  <c r="Y514" i="2"/>
  <c r="BN517" i="2"/>
  <c r="BN522" i="2"/>
  <c r="Y160" i="2"/>
  <c r="Y159" i="2"/>
  <c r="BP158" i="2"/>
  <c r="BP179" i="2"/>
  <c r="BN179" i="2"/>
  <c r="BP303" i="2"/>
  <c r="BN303" i="2"/>
  <c r="Z563" i="2"/>
  <c r="Y488" i="2"/>
  <c r="Y487" i="2"/>
  <c r="BP486" i="2"/>
  <c r="BN486" i="2"/>
  <c r="Z486" i="2"/>
  <c r="Z487" i="2" s="1"/>
  <c r="Z158" i="2"/>
  <c r="Z159" i="2" s="1"/>
  <c r="Z179" i="2"/>
  <c r="Y274" i="2"/>
  <c r="Y273" i="2"/>
  <c r="BP267" i="2"/>
  <c r="BN267" i="2"/>
  <c r="Z303" i="2"/>
  <c r="BP86" i="2"/>
  <c r="BN86" i="2"/>
  <c r="BP189" i="2"/>
  <c r="BN189" i="2"/>
  <c r="Y191" i="2"/>
  <c r="Y200" i="2"/>
  <c r="Y199" i="2"/>
  <c r="Z198" i="2"/>
  <c r="Z199" i="2" s="1"/>
  <c r="Y234" i="2"/>
  <c r="Y233" i="2"/>
  <c r="BP219" i="2"/>
  <c r="BN219" i="2"/>
  <c r="Z219" i="2"/>
  <c r="L563" i="2"/>
  <c r="Y248" i="2"/>
  <c r="BP244" i="2"/>
  <c r="Y247" i="2"/>
  <c r="BN244" i="2"/>
  <c r="BP73" i="2"/>
  <c r="BN73" i="2"/>
  <c r="Z73" i="2"/>
  <c r="Z74" i="2" s="1"/>
  <c r="Z86" i="2"/>
  <c r="BN158" i="2"/>
  <c r="Z189" i="2"/>
  <c r="BP229" i="2"/>
  <c r="BN229" i="2"/>
  <c r="Y289" i="2"/>
  <c r="Y288" i="2"/>
  <c r="BP277" i="2"/>
  <c r="BN277" i="2"/>
  <c r="X554" i="2"/>
  <c r="BN198" i="2"/>
  <c r="Z229" i="2"/>
  <c r="Z277" i="2"/>
  <c r="Z287" i="2"/>
  <c r="Y186" i="2"/>
  <c r="Y185" i="2"/>
  <c r="BP174" i="2"/>
  <c r="BN174" i="2"/>
  <c r="Z174" i="2"/>
  <c r="BP239" i="2"/>
  <c r="BN239" i="2"/>
  <c r="Z42" i="2"/>
  <c r="Y106" i="2"/>
  <c r="BP102" i="2"/>
  <c r="Y105" i="2"/>
  <c r="BN102" i="2"/>
  <c r="BP184" i="2"/>
  <c r="BN184" i="2"/>
  <c r="BP198" i="2"/>
  <c r="BN210" i="2"/>
  <c r="Z239" i="2"/>
  <c r="BN287" i="2"/>
  <c r="Y334" i="2"/>
  <c r="BP332" i="2"/>
  <c r="BN332" i="2"/>
  <c r="Y335" i="2"/>
  <c r="Y482" i="2"/>
  <c r="BP480" i="2"/>
  <c r="BN480" i="2"/>
  <c r="Y483" i="2"/>
  <c r="BP49" i="2"/>
  <c r="X555" i="2"/>
  <c r="Y139" i="2"/>
  <c r="BP135" i="2"/>
  <c r="BN135" i="2"/>
  <c r="Y138" i="2"/>
  <c r="BP272" i="2"/>
  <c r="BN272" i="2"/>
  <c r="Y319" i="2"/>
  <c r="BP315" i="2"/>
  <c r="Y318" i="2"/>
  <c r="BN315" i="2"/>
  <c r="BP428" i="2"/>
  <c r="BN428" i="2"/>
  <c r="Z428" i="2"/>
  <c r="Z480" i="2"/>
  <c r="BN42" i="2"/>
  <c r="Y70" i="2"/>
  <c r="Y69" i="2"/>
  <c r="BP68" i="2"/>
  <c r="BN68" i="2"/>
  <c r="Z135" i="2"/>
  <c r="J563" i="2"/>
  <c r="BP210" i="2"/>
  <c r="Z272" i="2"/>
  <c r="Z315" i="2"/>
  <c r="Z318" i="2" s="1"/>
  <c r="Y80" i="2"/>
  <c r="Y79" i="2"/>
  <c r="BN93" i="2"/>
  <c r="Y121" i="2"/>
  <c r="BP117" i="2"/>
  <c r="BN117" i="2"/>
  <c r="Z117" i="2"/>
  <c r="BP151" i="2"/>
  <c r="BN151" i="2"/>
  <c r="Z151" i="2"/>
  <c r="BP282" i="2"/>
  <c r="BN282" i="2"/>
  <c r="Y396" i="2"/>
  <c r="BP392" i="2"/>
  <c r="BN392" i="2"/>
  <c r="Z392" i="2"/>
  <c r="Z395" i="2" s="1"/>
  <c r="W563" i="2"/>
  <c r="Y434" i="2"/>
  <c r="BP425" i="2"/>
  <c r="Z425" i="2"/>
  <c r="Z433" i="2" s="1"/>
  <c r="Y563" i="2"/>
  <c r="BP505" i="2"/>
  <c r="Z505" i="2"/>
  <c r="Y32" i="2"/>
  <c r="BP28" i="2"/>
  <c r="BN28" i="2"/>
  <c r="Z77" i="2"/>
  <c r="Z282" i="2"/>
  <c r="Y534" i="2"/>
  <c r="Y533" i="2"/>
  <c r="BP532" i="2"/>
  <c r="BN532" i="2"/>
  <c r="Z532" i="2"/>
  <c r="Z533" i="2" s="1"/>
  <c r="F563" i="2"/>
  <c r="Y88" i="2"/>
  <c r="Y87" i="2"/>
  <c r="Z83" i="2"/>
  <c r="Z28" i="2"/>
  <c r="Z32" i="2" s="1"/>
  <c r="BP93" i="2"/>
  <c r="Y132" i="2"/>
  <c r="BP130" i="2"/>
  <c r="BN130" i="2"/>
  <c r="I563" i="2"/>
  <c r="Y155" i="2"/>
  <c r="BP148" i="2"/>
  <c r="Y171" i="2"/>
  <c r="BP169" i="2"/>
  <c r="BN169" i="2"/>
  <c r="BP208" i="2"/>
  <c r="BN208" i="2"/>
  <c r="BN425" i="2"/>
  <c r="BN505" i="2"/>
  <c r="BP83" i="2"/>
  <c r="BN60" i="2"/>
  <c r="BN23" i="2"/>
  <c r="Y33" i="2"/>
  <c r="BP40" i="2"/>
  <c r="BN40" i="2"/>
  <c r="BN77" i="2"/>
  <c r="Z130" i="2"/>
  <c r="Z148" i="2"/>
  <c r="Z169" i="2"/>
  <c r="Y192" i="2"/>
  <c r="Z208" i="2"/>
  <c r="Y305" i="2"/>
  <c r="Y304" i="2"/>
  <c r="BP298" i="2"/>
  <c r="BN298" i="2"/>
  <c r="O563" i="2"/>
  <c r="BP164" i="2"/>
  <c r="BN164" i="2"/>
  <c r="T563" i="2"/>
  <c r="Z23" i="2"/>
  <c r="C563" i="2"/>
  <c r="Y44" i="2"/>
  <c r="Y43" i="2"/>
  <c r="Z37" i="2"/>
  <c r="BP77" i="2"/>
  <c r="Y113" i="2"/>
  <c r="BP112" i="2"/>
  <c r="BN112" i="2"/>
  <c r="BN148" i="2"/>
  <c r="Z164" i="2"/>
  <c r="Y196" i="2"/>
  <c r="Y195" i="2"/>
  <c r="BP194" i="2"/>
  <c r="BN194" i="2"/>
  <c r="Z194" i="2"/>
  <c r="Z195" i="2" s="1"/>
  <c r="Y211" i="2"/>
  <c r="Y388" i="2"/>
  <c r="BP387" i="2"/>
  <c r="BN387" i="2"/>
  <c r="BP544" i="2"/>
  <c r="BN544" i="2"/>
  <c r="Z544" i="2"/>
  <c r="Y546" i="2"/>
  <c r="Z24" i="2"/>
  <c r="Y24" i="2"/>
  <c r="Y75" i="2"/>
  <c r="G563" i="2"/>
  <c r="Z112" i="2"/>
  <c r="BP224" i="2"/>
  <c r="BN224" i="2"/>
  <c r="Z387" i="2"/>
  <c r="Z388" i="2" s="1"/>
  <c r="BP438" i="2"/>
  <c r="BN438" i="2"/>
  <c r="Z438" i="2"/>
  <c r="Z439" i="2" s="1"/>
  <c r="F10" i="2"/>
  <c r="J9" i="2"/>
  <c r="H9" i="2"/>
  <c r="X553" i="2"/>
  <c r="BN37" i="2"/>
  <c r="Y95" i="2"/>
  <c r="BP91" i="2"/>
  <c r="BN91" i="2"/>
  <c r="Y94" i="2"/>
  <c r="Y156" i="2"/>
  <c r="BN231" i="2"/>
  <c r="Y241" i="2"/>
  <c r="Y294" i="2"/>
  <c r="Y293" i="2"/>
  <c r="BP292" i="2"/>
  <c r="BN292" i="2"/>
  <c r="Y401" i="2"/>
  <c r="BP399" i="2"/>
  <c r="Z399" i="2"/>
  <c r="BP60" i="2"/>
  <c r="X557" i="2"/>
  <c r="F9" i="2"/>
  <c r="Y52" i="2"/>
  <c r="Y62" i="2"/>
  <c r="BP58" i="2"/>
  <c r="BN58" i="2"/>
  <c r="Z91" i="2"/>
  <c r="BN104" i="2"/>
  <c r="Z292" i="2"/>
  <c r="Z293" i="2" s="1"/>
  <c r="Q563" i="2"/>
  <c r="BP338" i="2"/>
  <c r="BN338" i="2"/>
  <c r="R563" i="2"/>
  <c r="Y344" i="2"/>
  <c r="Z338" i="2"/>
  <c r="BP27" i="2"/>
  <c r="BP39" i="2"/>
  <c r="BP51" i="2"/>
  <c r="BN72" i="2"/>
  <c r="BP85" i="2"/>
  <c r="BN116" i="2"/>
  <c r="BP129" i="2"/>
  <c r="BP163" i="2"/>
  <c r="BP183" i="2"/>
  <c r="Z205" i="2"/>
  <c r="BP207" i="2"/>
  <c r="BP228" i="2"/>
  <c r="BP238" i="2"/>
  <c r="Y251" i="2"/>
  <c r="BP261" i="2"/>
  <c r="BP271" i="2"/>
  <c r="BP281" i="2"/>
  <c r="BP291" i="2"/>
  <c r="BP302" i="2"/>
  <c r="Y313" i="2"/>
  <c r="BP325" i="2"/>
  <c r="Z359" i="2"/>
  <c r="BP361" i="2"/>
  <c r="BP371" i="2"/>
  <c r="BP381" i="2"/>
  <c r="BN391" i="2"/>
  <c r="Y402" i="2"/>
  <c r="Z412" i="2"/>
  <c r="Y461" i="2"/>
  <c r="Z472" i="2"/>
  <c r="Y508" i="2"/>
  <c r="Z517" i="2"/>
  <c r="BP519" i="2"/>
  <c r="K563" i="2"/>
  <c r="M563" i="2"/>
  <c r="Y263" i="2"/>
  <c r="BN326" i="2"/>
  <c r="BN362" i="2"/>
  <c r="Y365" i="2"/>
  <c r="BN372" i="2"/>
  <c r="Y375" i="2"/>
  <c r="Y383" i="2"/>
  <c r="BN404" i="2"/>
  <c r="Y407" i="2"/>
  <c r="Y451" i="2"/>
  <c r="BN463" i="2"/>
  <c r="Y466" i="2"/>
  <c r="BN475" i="2"/>
  <c r="BN500" i="2"/>
  <c r="BN510" i="2"/>
  <c r="Y513" i="2"/>
  <c r="BN520" i="2"/>
  <c r="Y53" i="2"/>
  <c r="Z78" i="2"/>
  <c r="Z232" i="2"/>
  <c r="Z38" i="2"/>
  <c r="Z50" i="2"/>
  <c r="Z61" i="2"/>
  <c r="Z84" i="2"/>
  <c r="Z128" i="2"/>
  <c r="Z182" i="2"/>
  <c r="Z206" i="2"/>
  <c r="Z227" i="2"/>
  <c r="Z237" i="2"/>
  <c r="Z260" i="2"/>
  <c r="Z262" i="2" s="1"/>
  <c r="Z270" i="2"/>
  <c r="Z280" i="2"/>
  <c r="Z301" i="2"/>
  <c r="Z324" i="2"/>
  <c r="Y349" i="2"/>
  <c r="Z360" i="2"/>
  <c r="Z370" i="2"/>
  <c r="Z380" i="2"/>
  <c r="BP404" i="2"/>
  <c r="Z448" i="2"/>
  <c r="Z450" i="2" s="1"/>
  <c r="BP463" i="2"/>
  <c r="Z473" i="2"/>
  <c r="Z498" i="2"/>
  <c r="BP510" i="2"/>
  <c r="Z518" i="2"/>
  <c r="S563" i="2"/>
  <c r="Y212" i="2"/>
  <c r="BN232" i="2"/>
  <c r="Y366" i="2"/>
  <c r="Y376" i="2"/>
  <c r="BN443" i="2"/>
  <c r="Z454" i="2"/>
  <c r="BN491" i="2"/>
  <c r="BN503" i="2"/>
  <c r="Y524" i="2"/>
  <c r="Y538" i="2"/>
  <c r="BN550" i="2"/>
  <c r="BN84" i="2"/>
  <c r="BN128" i="2"/>
  <c r="Y131" i="2"/>
  <c r="Z149" i="2"/>
  <c r="BN182" i="2"/>
  <c r="BN206" i="2"/>
  <c r="BN227" i="2"/>
  <c r="BN237" i="2"/>
  <c r="BN260" i="2"/>
  <c r="BN270" i="2"/>
  <c r="BN280" i="2"/>
  <c r="BN301" i="2"/>
  <c r="Z311" i="2"/>
  <c r="Z312" i="2" s="1"/>
  <c r="BN324" i="2"/>
  <c r="Y327" i="2"/>
  <c r="Z346" i="2"/>
  <c r="Z348" i="2" s="1"/>
  <c r="BN360" i="2"/>
  <c r="BN370" i="2"/>
  <c r="BN380" i="2"/>
  <c r="Y414" i="2"/>
  <c r="BN448" i="2"/>
  <c r="BN473" i="2"/>
  <c r="BN498" i="2"/>
  <c r="BN518" i="2"/>
  <c r="B563" i="2"/>
  <c r="U563" i="2"/>
  <c r="BN431" i="2"/>
  <c r="BN454" i="2"/>
  <c r="Z464" i="2"/>
  <c r="Z476" i="2"/>
  <c r="Z501" i="2"/>
  <c r="Z511" i="2"/>
  <c r="Z521" i="2"/>
  <c r="BP550" i="2"/>
  <c r="V563" i="2"/>
  <c r="Y25" i="2"/>
  <c r="Z48" i="2"/>
  <c r="Z59" i="2"/>
  <c r="Y74" i="2"/>
  <c r="Z92" i="2"/>
  <c r="Z103" i="2"/>
  <c r="BP128" i="2"/>
  <c r="Z136" i="2"/>
  <c r="BN149" i="2"/>
  <c r="Z170" i="2"/>
  <c r="Z180" i="2"/>
  <c r="Z190" i="2"/>
  <c r="Z204" i="2"/>
  <c r="Z215" i="2"/>
  <c r="Z216" i="2" s="1"/>
  <c r="Z225" i="2"/>
  <c r="Z245" i="2"/>
  <c r="Z268" i="2"/>
  <c r="Z278" i="2"/>
  <c r="Z299" i="2"/>
  <c r="BN311" i="2"/>
  <c r="Z322" i="2"/>
  <c r="Z333" i="2"/>
  <c r="BN346" i="2"/>
  <c r="Z368" i="2"/>
  <c r="Z378" i="2"/>
  <c r="BN400" i="2"/>
  <c r="Z411" i="2"/>
  <c r="Z413" i="2" s="1"/>
  <c r="BN426" i="2"/>
  <c r="BN436" i="2"/>
  <c r="Y439" i="2"/>
  <c r="BN459" i="2"/>
  <c r="Z471" i="2"/>
  <c r="Z481" i="2"/>
  <c r="BP498" i="2"/>
  <c r="BN506" i="2"/>
  <c r="Z516" i="2"/>
  <c r="Z528" i="2"/>
  <c r="Z529" i="2" s="1"/>
  <c r="Z540" i="2"/>
  <c r="Z541" i="2" s="1"/>
  <c r="D563" i="2"/>
  <c r="Y328" i="2"/>
  <c r="BN352" i="2"/>
  <c r="Y355" i="2"/>
  <c r="BN363" i="2"/>
  <c r="BN373" i="2"/>
  <c r="BN405" i="2"/>
  <c r="BP454" i="2"/>
  <c r="BN464" i="2"/>
  <c r="BN476" i="2"/>
  <c r="BN501" i="2"/>
  <c r="BN511" i="2"/>
  <c r="BN521" i="2"/>
  <c r="Z545" i="2"/>
  <c r="Y551" i="2"/>
  <c r="BN92" i="2"/>
  <c r="BN103" i="2"/>
  <c r="Y114" i="2"/>
  <c r="Z123" i="2"/>
  <c r="Z124" i="2" s="1"/>
  <c r="BN136" i="2"/>
  <c r="BN170" i="2"/>
  <c r="BN180" i="2"/>
  <c r="BN190" i="2"/>
  <c r="BN204" i="2"/>
  <c r="BN215" i="2"/>
  <c r="BN225" i="2"/>
  <c r="BN245" i="2"/>
  <c r="Z256" i="2"/>
  <c r="Z257" i="2" s="1"/>
  <c r="BN268" i="2"/>
  <c r="BN278" i="2"/>
  <c r="Z286" i="2"/>
  <c r="BN299" i="2"/>
  <c r="BP311" i="2"/>
  <c r="BN322" i="2"/>
  <c r="BN333" i="2"/>
  <c r="BN368" i="2"/>
  <c r="BN378" i="2"/>
  <c r="BN411" i="2"/>
  <c r="BP436" i="2"/>
  <c r="BN471" i="2"/>
  <c r="Z492" i="2"/>
  <c r="Z493" i="2" s="1"/>
  <c r="Z504" i="2"/>
  <c r="BN516" i="2"/>
  <c r="BN528" i="2"/>
  <c r="BN540" i="2"/>
  <c r="BN98" i="2"/>
  <c r="BN141" i="2"/>
  <c r="Z163" i="2"/>
  <c r="Z166" i="2" s="1"/>
  <c r="BN417" i="2"/>
  <c r="BN545" i="2"/>
  <c r="Y507" i="2"/>
  <c r="BP528" i="2"/>
  <c r="BP540" i="2"/>
  <c r="Y552" i="2"/>
  <c r="AB563" i="2"/>
  <c r="Z334" i="2" l="1"/>
  <c r="Z247" i="2"/>
  <c r="Z191" i="2"/>
  <c r="Z466" i="2"/>
  <c r="Z113" i="2"/>
  <c r="Z513" i="2"/>
  <c r="Z477" i="2"/>
  <c r="Z456" i="2"/>
  <c r="Z420" i="2"/>
  <c r="Z144" i="2"/>
  <c r="Z105" i="2"/>
  <c r="Z355" i="2"/>
  <c r="Z138" i="2"/>
  <c r="Z445" i="2"/>
  <c r="Z52" i="2"/>
  <c r="Z401" i="2"/>
  <c r="Z382" i="2"/>
  <c r="Z343" i="2"/>
  <c r="Z304" i="2"/>
  <c r="Z273" i="2"/>
  <c r="Z241" i="2"/>
  <c r="Z211" i="2"/>
  <c r="Z131" i="2"/>
  <c r="Z120" i="2"/>
  <c r="Z62" i="2"/>
  <c r="Z375" i="2"/>
  <c r="Z288" i="2"/>
  <c r="Z365" i="2"/>
  <c r="Z43" i="2"/>
  <c r="Z87" i="2"/>
  <c r="Z407" i="2"/>
  <c r="Y555" i="2"/>
  <c r="Z94" i="2"/>
  <c r="Z546" i="2"/>
  <c r="Y554" i="2"/>
  <c r="Z185" i="2"/>
  <c r="Y557" i="2"/>
  <c r="Z507" i="2"/>
  <c r="Z171" i="2"/>
  <c r="Z155" i="2"/>
  <c r="Z79" i="2"/>
  <c r="Z523" i="2"/>
  <c r="X556" i="2"/>
  <c r="Y553" i="2"/>
  <c r="Z482" i="2"/>
  <c r="Z233" i="2"/>
  <c r="Z327" i="2"/>
  <c r="Z558" i="2" l="1"/>
  <c r="Y556" i="2"/>
</calcChain>
</file>

<file path=xl/sharedStrings.xml><?xml version="1.0" encoding="utf-8"?>
<sst xmlns="http://schemas.openxmlformats.org/spreadsheetml/2006/main" count="4209" uniqueCount="891">
  <si>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</si>
  <si>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</si>
  <si>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</si>
  <si>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</si>
  <si>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</si>
  <si>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</si>
  <si>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</si>
  <si>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</si>
  <si>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</si>
  <si>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</si>
  <si>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</si>
  <si>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</si>
  <si>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</si>
  <si>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</si>
  <si>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</si>
  <si>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</si>
  <si>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</si>
  <si>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</si>
  <si>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</si>
  <si>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</si>
  <si>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</si>
  <si>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</si>
  <si>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</si>
  <si>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</si>
  <si>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</si>
  <si>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</si>
  <si>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</si>
  <si>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</si>
  <si>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</si>
  <si>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</si>
  <si>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</si>
  <si>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</si>
  <si>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</si>
  <si>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</si>
  <si>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</si>
  <si>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</si>
  <si>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</si>
  <si>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</si>
  <si>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</si>
  <si>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</si>
  <si>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</si>
  <si>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</si>
  <si>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</si>
  <si>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</si>
  <si>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</si>
  <si>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</si>
  <si>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</si>
  <si>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</si>
  <si>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</si>
  <si>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</si>
  <si>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</si>
  <si>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</si>
  <si>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</si>
  <si>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</si>
  <si>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</si>
  <si>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</si>
  <si>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</si>
  <si>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</si>
  <si>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</si>
  <si>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</si>
  <si>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</si>
  <si>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</si>
  <si>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</si>
  <si>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</si>
  <si>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</si>
  <si>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</si>
  <si>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</si>
  <si>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</si>
  <si>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24.08.2026</t>
  </si>
  <si>
    <t>19.08.2026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</si>
  <si>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</si>
  <si>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</si>
  <si>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</si>
  <si>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</si>
  <si>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</si>
  <si>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</si>
  <si>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</si>
  <si>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</si>
  <si>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</si>
  <si>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</si>
  <si>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</si>
  <si>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</si>
  <si>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</si>
  <si>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</si>
  <si>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</si>
  <si>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</si>
  <si>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</si>
  <si>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</si>
  <si>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</si>
  <si>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</si>
  <si>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</si>
  <si>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</si>
  <si>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</si>
  <si>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</si>
  <si>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</si>
  <si>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</si>
  <si>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</si>
  <si>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</si>
  <si>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</si>
  <si>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</si>
  <si>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</si>
  <si>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</si>
  <si>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</si>
  <si>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</si>
  <si>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</si>
  <si>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SU004313</t>
  </si>
  <si>
    <t>P005634</t>
  </si>
  <si>
    <t>ЕАЭС N RU Д-RU.РА02.В.13825/26</t>
  </si>
  <si>
    <t>Новинка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</si>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</sst>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890</v>
      </c>
      <c r="I5" s="645"/>
      <c r="J5" s="645"/>
      <c r="K5" s="645"/>
      <c r="L5" s="645"/>
      <c r="M5" s="645"/>
      <c r="N5" s="72"/>
      <c r="P5" s="27" t="s">
        <v>4</v>
      </c>
      <c r="Q5" s="647">
        <v>46257</v>
      </c>
      <c r="R5" s="647"/>
      <c r="T5" s="648" t="s">
        <v>3</v>
      </c>
      <c r="U5" s="649"/>
      <c r="V5" s="650" t="s">
        <v>871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872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Воскресенье</v>
      </c>
      <c r="R6" s="653"/>
      <c r="T6" s="654" t="s">
        <v>5</v>
      </c>
      <c r="U6" s="655"/>
      <c r="V6" s="656" t="s">
        <v>70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71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72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73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74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75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76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76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77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86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104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86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4301052259</v>
      </c>
      <c r="D37" s="711">
        <v>4680115889590</v>
      </c>
      <c r="E37" s="711"/>
      <c r="F37" s="62">
        <v>0.3</v>
      </c>
      <c r="G37" s="37">
        <v>4</v>
      </c>
      <c r="H37" s="62">
        <v>1.2</v>
      </c>
      <c r="I37" s="62">
        <v>6.18</v>
      </c>
      <c r="J37" s="37">
        <v>182</v>
      </c>
      <c r="K37" s="37" t="s">
        <v>91</v>
      </c>
      <c r="L37" s="37" t="s">
        <v>46</v>
      </c>
      <c r="M37" s="38" t="s">
        <v>90</v>
      </c>
      <c r="N37" s="38"/>
      <c r="O37" s="37">
        <v>40</v>
      </c>
      <c r="P37" s="72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108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109</v>
      </c>
      <c r="B38" s="63" t="s">
        <v>110</v>
      </c>
      <c r="C38" s="36">
        <v>4301052187</v>
      </c>
      <c r="D38" s="711">
        <v>4680115889354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97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111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112</v>
      </c>
      <c r="B39" s="63" t="s">
        <v>113</v>
      </c>
      <c r="C39" s="36">
        <v>4301052198</v>
      </c>
      <c r="D39" s="711">
        <v>4680115888463</v>
      </c>
      <c r="E39" s="711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114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115</v>
      </c>
      <c r="B40" s="63" t="s">
        <v>116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107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16</v>
      </c>
      <c r="Y41" s="55">
        <f t="shared" si="0"/>
        <v>17.28</v>
      </c>
      <c r="Z41" s="41">
        <f t="shared" si="1"/>
        <v>5.8590000000000003E-2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17.5</v>
      </c>
      <c r="BN41" s="78">
        <f t="shared" si="3"/>
        <v>18.900000000000002</v>
      </c>
      <c r="BO41" s="78">
        <f t="shared" si="4"/>
        <v>4.5787545787545791E-2</v>
      </c>
      <c r="BP41" s="78">
        <f t="shared" si="5"/>
        <v>4.9450549450549462E-2</v>
      </c>
    </row>
    <row r="42" spans="1:68" ht="27" hidden="1" customHeight="1" x14ac:dyDescent="0.25">
      <c r="A42" s="63" t="s">
        <v>120</v>
      </c>
      <c r="B42" s="63" t="s">
        <v>121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122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8.3333333333333339</v>
      </c>
      <c r="Y43" s="43">
        <f>IFERROR(Y37/H37,"0")+IFERROR(Y38/H38,"0")+IFERROR(Y39/H39,"0")+IFERROR(Y40/H40,"0")+IFERROR(Y41/H41,"0")+IFERROR(Y42/H42,"0")</f>
        <v>9.0000000000000018</v>
      </c>
      <c r="Z43" s="43">
        <f>IFERROR(IF(Z37="",0,Z37),"0")+IFERROR(IF(Z38="",0,Z38),"0")+IFERROR(IF(Z39="",0,Z39),"0")+IFERROR(IF(Z40="",0,Z40),"0")+IFERROR(IF(Z41="",0,Z41),"0")+IFERROR(IF(Z42="",0,Z42),"0")</f>
        <v>5.8590000000000003E-2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16</v>
      </c>
      <c r="Y44" s="43">
        <f>IFERROR(SUM(Y37:Y42),"0")</f>
        <v>17.28</v>
      </c>
      <c r="Z44" s="42"/>
      <c r="AA44" s="67"/>
      <c r="AB44" s="67"/>
      <c r="AC44" s="67"/>
    </row>
    <row r="45" spans="1:68" ht="27.75" hidden="1" customHeight="1" x14ac:dyDescent="0.2">
      <c r="A45" s="708" t="s">
        <v>123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124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125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126</v>
      </c>
      <c r="B48" s="63" t="s">
        <v>127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130</v>
      </c>
      <c r="L48" s="37" t="s">
        <v>46</v>
      </c>
      <c r="M48" s="38" t="s">
        <v>129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128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103.79629629629629</v>
      </c>
      <c r="BN48" s="78">
        <f>IFERROR(Y48*I48/H48,"0")</f>
        <v>112.1</v>
      </c>
      <c r="BO48" s="78">
        <f>IFERROR(1/J48*(X48/H48),"0")</f>
        <v>0.14467592592592593</v>
      </c>
      <c r="BP48" s="78">
        <f>IFERROR(1/J48*(Y48/H48),"0")</f>
        <v>0.15625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134</v>
      </c>
      <c r="L49" s="37" t="s">
        <v>46</v>
      </c>
      <c r="M49" s="38" t="s">
        <v>81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133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137</v>
      </c>
      <c r="L50" s="37" t="s">
        <v>46</v>
      </c>
      <c r="M50" s="38" t="s">
        <v>90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120</v>
      </c>
      <c r="Y50" s="55">
        <f>IFERROR(IF(X50="",0,CEILING((X50/$H50),1)*$H50),"")</f>
        <v>120</v>
      </c>
      <c r="Z50" s="41">
        <f>IFERROR(IF(Y50=0,"",ROUNDUP(Y50/H50,0)*0.00902),"")</f>
        <v>0.27060000000000001</v>
      </c>
      <c r="AA50" s="68" t="s">
        <v>46</v>
      </c>
      <c r="AB50" s="69" t="s">
        <v>46</v>
      </c>
      <c r="AC50" s="116" t="s">
        <v>128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125.70000000000002</v>
      </c>
      <c r="BN50" s="78">
        <f>IFERROR(Y50*I50/H50,"0")</f>
        <v>125.70000000000002</v>
      </c>
      <c r="BO50" s="78">
        <f>IFERROR(1/J50*(X50/H50),"0")</f>
        <v>0.22727272727272729</v>
      </c>
      <c r="BP50" s="78">
        <f>IFERROR(1/J50*(Y50/H50),"0")</f>
        <v>0.22727272727272729</v>
      </c>
    </row>
    <row r="51" spans="1:68" ht="27" hidden="1" customHeight="1" x14ac:dyDescent="0.25">
      <c r="A51" s="63" t="s">
        <v>138</v>
      </c>
      <c r="B51" s="63" t="s">
        <v>139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137</v>
      </c>
      <c r="L51" s="37" t="s">
        <v>46</v>
      </c>
      <c r="M51" s="38" t="s">
        <v>90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128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39.25925925925926</v>
      </c>
      <c r="Y52" s="43">
        <f>IFERROR(Y48/H48,"0")+IFERROR(Y49/H49,"0")+IFERROR(Y50/H50,"0")+IFERROR(Y51/H51,"0")</f>
        <v>40</v>
      </c>
      <c r="Z52" s="43">
        <f>IFERROR(IF(Z48="",0,Z48),"0")+IFERROR(IF(Z49="",0,Z49),"0")+IFERROR(IF(Z50="",0,Z50),"0")+IFERROR(IF(Z51="",0,Z51),"0")</f>
        <v>0.46040000000000003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220</v>
      </c>
      <c r="Y53" s="43">
        <f>IFERROR(SUM(Y48:Y51),"0")</f>
        <v>228</v>
      </c>
      <c r="Z53" s="42"/>
      <c r="AA53" s="67"/>
      <c r="AB53" s="67"/>
      <c r="AC53" s="67"/>
    </row>
    <row r="54" spans="1:68" ht="16.5" hidden="1" customHeight="1" x14ac:dyDescent="0.25">
      <c r="A54" s="709" t="s">
        <v>140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125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141</v>
      </c>
      <c r="B56" s="63" t="s">
        <v>142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130</v>
      </c>
      <c r="L56" s="37" t="s">
        <v>46</v>
      </c>
      <c r="M56" s="38" t="s">
        <v>129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130</v>
      </c>
      <c r="L57" s="37" t="s">
        <v>46</v>
      </c>
      <c r="M57" s="38" t="s">
        <v>129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200</v>
      </c>
      <c r="Y57" s="55">
        <f t="shared" si="6"/>
        <v>205.20000000000002</v>
      </c>
      <c r="Z57" s="41">
        <f>IFERROR(IF(Y57=0,"",ROUNDUP(Y57/H57,0)*0.01898),"")</f>
        <v>0.36062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207.59259259259258</v>
      </c>
      <c r="BN57" s="78">
        <f t="shared" si="8"/>
        <v>212.99</v>
      </c>
      <c r="BO57" s="78">
        <f t="shared" si="9"/>
        <v>0.28935185185185186</v>
      </c>
      <c r="BP57" s="78">
        <f t="shared" si="10"/>
        <v>0.296875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129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129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152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153</v>
      </c>
      <c r="B60" s="63" t="s">
        <v>154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129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143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155</v>
      </c>
      <c r="B61" s="63" t="s">
        <v>156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137</v>
      </c>
      <c r="L61" s="37" t="s">
        <v>46</v>
      </c>
      <c r="M61" s="38" t="s">
        <v>129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270</v>
      </c>
      <c r="Y61" s="55">
        <f t="shared" si="6"/>
        <v>270</v>
      </c>
      <c r="Z61" s="41">
        <f>IFERROR(IF(Y61=0,"",ROUNDUP(Y61/H61,0)*0.00902),"")</f>
        <v>0.54120000000000001</v>
      </c>
      <c r="AA61" s="68" t="s">
        <v>46</v>
      </c>
      <c r="AB61" s="69" t="s">
        <v>46</v>
      </c>
      <c r="AC61" s="130" t="s">
        <v>157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281.40000000000003</v>
      </c>
      <c r="BN61" s="78">
        <f t="shared" si="8"/>
        <v>281.40000000000003</v>
      </c>
      <c r="BO61" s="78">
        <f t="shared" si="9"/>
        <v>0.45454545454545459</v>
      </c>
      <c r="BP61" s="78">
        <f t="shared" si="10"/>
        <v>0.45454545454545459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78.518518518518519</v>
      </c>
      <c r="Y62" s="43">
        <f>IFERROR(Y56/H56,"0")+IFERROR(Y57/H57,"0")+IFERROR(Y58/H58,"0")+IFERROR(Y59/H59,"0")+IFERROR(Y60/H60,"0")+IFERROR(Y61/H61,"0")</f>
        <v>79</v>
      </c>
      <c r="Z62" s="43">
        <f>IFERROR(IF(Z56="",0,Z56),"0")+IFERROR(IF(Z57="",0,Z57),"0")+IFERROR(IF(Z58="",0,Z58),"0")+IFERROR(IF(Z59="",0,Z59),"0")+IFERROR(IF(Z60="",0,Z60),"0")+IFERROR(IF(Z61="",0,Z61),"0")</f>
        <v>0.90182000000000007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470</v>
      </c>
      <c r="Y63" s="43">
        <f>IFERROR(SUM(Y56:Y61),"0")</f>
        <v>475.20000000000005</v>
      </c>
      <c r="Z63" s="42"/>
      <c r="AA63" s="67"/>
      <c r="AB63" s="67"/>
      <c r="AC63" s="67"/>
    </row>
    <row r="64" spans="1:68" ht="14.25" hidden="1" customHeight="1" x14ac:dyDescent="0.25">
      <c r="A64" s="710" t="s">
        <v>158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159</v>
      </c>
      <c r="B65" s="63" t="s">
        <v>160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130</v>
      </c>
      <c r="L65" s="37" t="s">
        <v>46</v>
      </c>
      <c r="M65" s="38" t="s">
        <v>129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90</v>
      </c>
      <c r="Y65" s="55">
        <f>IFERROR(IF(X65="",0,CEILING((X65/$H65),1)*$H65),"")</f>
        <v>97.2</v>
      </c>
      <c r="Z65" s="41">
        <f>IFERROR(IF(Y65=0,"",ROUNDUP(Y65/H65,0)*0.01898),"")</f>
        <v>0.17082</v>
      </c>
      <c r="AA65" s="68" t="s">
        <v>46</v>
      </c>
      <c r="AB65" s="69" t="s">
        <v>46</v>
      </c>
      <c r="AC65" s="132" t="s">
        <v>161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93.416666666666671</v>
      </c>
      <c r="BN65" s="78">
        <f>IFERROR(Y65*I65/H65,"0")</f>
        <v>100.89</v>
      </c>
      <c r="BO65" s="78">
        <f>IFERROR(1/J65*(X65/H65),"0")</f>
        <v>0.13020833333333331</v>
      </c>
      <c r="BP65" s="78">
        <f>IFERROR(1/J65*(Y65/H65),"0")</f>
        <v>0.140625</v>
      </c>
    </row>
    <row r="66" spans="1:68" ht="16.5" hidden="1" customHeight="1" x14ac:dyDescent="0.25">
      <c r="A66" s="63" t="s">
        <v>162</v>
      </c>
      <c r="B66" s="63" t="s">
        <v>163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164</v>
      </c>
      <c r="B67" s="63" t="s">
        <v>165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134</v>
      </c>
      <c r="L67" s="37" t="s">
        <v>46</v>
      </c>
      <c r="M67" s="38" t="s">
        <v>81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166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167</v>
      </c>
      <c r="B68" s="63" t="s">
        <v>168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129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90</v>
      </c>
      <c r="Y68" s="55">
        <f>IFERROR(IF(X68="",0,CEILING((X68/$H68),1)*$H68),"")</f>
        <v>91.800000000000011</v>
      </c>
      <c r="Z68" s="41">
        <f>IFERROR(IF(Y68=0,"",ROUNDUP(Y68/H68,0)*0.00651),"")</f>
        <v>0.22134000000000001</v>
      </c>
      <c r="AA68" s="68" t="s">
        <v>46</v>
      </c>
      <c r="AB68" s="69" t="s">
        <v>46</v>
      </c>
      <c r="AC68" s="138" t="s">
        <v>161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95.999999999999986</v>
      </c>
      <c r="BN68" s="78">
        <f>IFERROR(Y68*I68/H68,"0")</f>
        <v>97.92</v>
      </c>
      <c r="BO68" s="78">
        <f>IFERROR(1/J68*(X68/H68),"0")</f>
        <v>0.18315018315018314</v>
      </c>
      <c r="BP68" s="78">
        <f>IFERROR(1/J68*(Y68/H68),"0")</f>
        <v>0.18681318681318682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41.666666666666657</v>
      </c>
      <c r="Y69" s="43">
        <f>IFERROR(Y65/H65,"0")+IFERROR(Y66/H66,"0")+IFERROR(Y67/H67,"0")+IFERROR(Y68/H68,"0")</f>
        <v>43</v>
      </c>
      <c r="Z69" s="43">
        <f>IFERROR(IF(Z65="",0,Z65),"0")+IFERROR(IF(Z66="",0,Z66),"0")+IFERROR(IF(Z67="",0,Z67),"0")+IFERROR(IF(Z68="",0,Z68),"0")</f>
        <v>0.39216000000000001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180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710" t="s">
        <v>86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169</v>
      </c>
      <c r="B72" s="63" t="s">
        <v>170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174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175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176</v>
      </c>
      <c r="B77" s="63" t="s">
        <v>177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130</v>
      </c>
      <c r="L77" s="37" t="s">
        <v>46</v>
      </c>
      <c r="M77" s="38" t="s">
        <v>97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178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179</v>
      </c>
      <c r="B78" s="63" t="s">
        <v>180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137</v>
      </c>
      <c r="L78" s="37" t="s">
        <v>46</v>
      </c>
      <c r="M78" s="38" t="s">
        <v>90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181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182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125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183</v>
      </c>
      <c r="B83" s="63" t="s">
        <v>184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130</v>
      </c>
      <c r="L83" s="37" t="s">
        <v>46</v>
      </c>
      <c r="M83" s="38" t="s">
        <v>97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185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186</v>
      </c>
      <c r="B84" s="63" t="s">
        <v>187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134</v>
      </c>
      <c r="L84" s="37" t="s">
        <v>46</v>
      </c>
      <c r="M84" s="38" t="s">
        <v>81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188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189</v>
      </c>
      <c r="B85" s="63" t="s">
        <v>190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137</v>
      </c>
      <c r="L85" s="37" t="s">
        <v>46</v>
      </c>
      <c r="M85" s="38" t="s">
        <v>90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191</v>
      </c>
      <c r="B86" s="63" t="s">
        <v>192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137</v>
      </c>
      <c r="L86" s="37" t="s">
        <v>46</v>
      </c>
      <c r="M86" s="38" t="s">
        <v>97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405</v>
      </c>
      <c r="Y86" s="55">
        <f>IFERROR(IF(X86="",0,CEILING((X86/$H86),1)*$H86),"")</f>
        <v>405</v>
      </c>
      <c r="Z86" s="41">
        <f>IFERROR(IF(Y86=0,"",ROUNDUP(Y86/H86,0)*0.00902),"")</f>
        <v>0.81180000000000008</v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422.1</v>
      </c>
      <c r="BN86" s="78">
        <f>IFERROR(Y86*I86/H86,"0")</f>
        <v>422.1</v>
      </c>
      <c r="BO86" s="78">
        <f>IFERROR(1/J86*(X86/H86),"0")</f>
        <v>0.68181818181818188</v>
      </c>
      <c r="BP86" s="78">
        <f>IFERROR(1/J86*(Y86/H86),"0")</f>
        <v>0.68181818181818188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90</v>
      </c>
      <c r="Y87" s="43">
        <f>IFERROR(Y83/H83,"0")+IFERROR(Y84/H84,"0")+IFERROR(Y85/H85,"0")+IFERROR(Y86/H86,"0")</f>
        <v>90</v>
      </c>
      <c r="Z87" s="43">
        <f>IFERROR(IF(Z83="",0,Z83),"0")+IFERROR(IF(Z84="",0,Z84),"0")+IFERROR(IF(Z85="",0,Z85),"0")+IFERROR(IF(Z86="",0,Z86),"0")</f>
        <v>0.81180000000000008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405</v>
      </c>
      <c r="Y88" s="43">
        <f>IFERROR(SUM(Y83:Y86),"0")</f>
        <v>405</v>
      </c>
      <c r="Z88" s="42"/>
      <c r="AA88" s="67"/>
      <c r="AB88" s="67"/>
      <c r="AC88" s="67"/>
    </row>
    <row r="89" spans="1:68" ht="14.25" hidden="1" customHeight="1" x14ac:dyDescent="0.25">
      <c r="A89" s="710" t="s">
        <v>86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193</v>
      </c>
      <c r="B90" s="63" t="s">
        <v>194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130</v>
      </c>
      <c r="L90" s="37" t="s">
        <v>46</v>
      </c>
      <c r="M90" s="38" t="s">
        <v>97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400</v>
      </c>
      <c r="Y90" s="55">
        <f>IFERROR(IF(X90="",0,CEILING((X90/$H90),1)*$H90),"")</f>
        <v>405</v>
      </c>
      <c r="Z90" s="41">
        <f>IFERROR(IF(Y90=0,"",ROUNDUP(Y90/H90,0)*0.01898),"")</f>
        <v>0.94900000000000007</v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424.39506172839509</v>
      </c>
      <c r="BN90" s="78">
        <f>IFERROR(Y90*I90/H90,"0")</f>
        <v>429.7</v>
      </c>
      <c r="BO90" s="78">
        <f>IFERROR(1/J90*(X90/H90),"0")</f>
        <v>0.77160493827160492</v>
      </c>
      <c r="BP90" s="78">
        <f>IFERROR(1/J90*(Y90/H90),"0")</f>
        <v>0.78125</v>
      </c>
    </row>
    <row r="91" spans="1:68" ht="27" hidden="1" customHeight="1" x14ac:dyDescent="0.25">
      <c r="A91" s="63" t="s">
        <v>196</v>
      </c>
      <c r="B91" s="63" t="s">
        <v>197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91</v>
      </c>
      <c r="L91" s="37" t="s">
        <v>46</v>
      </c>
      <c r="M91" s="38" t="s">
        <v>90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198</v>
      </c>
      <c r="B92" s="63" t="s">
        <v>199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91</v>
      </c>
      <c r="L92" s="37" t="s">
        <v>46</v>
      </c>
      <c r="M92" s="38" t="s">
        <v>97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585</v>
      </c>
      <c r="Y92" s="55">
        <f>IFERROR(IF(X92="",0,CEILING((X92/$H92),1)*$H92),"")</f>
        <v>585.90000000000009</v>
      </c>
      <c r="Z92" s="41">
        <f>IFERROR(IF(Y92=0,"",ROUNDUP(Y92/H92,0)*0.00651),"")</f>
        <v>1.4126700000000001</v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639.6</v>
      </c>
      <c r="BN92" s="78">
        <f>IFERROR(Y92*I92/H92,"0")</f>
        <v>640.58400000000006</v>
      </c>
      <c r="BO92" s="78">
        <f>IFERROR(1/J92*(X92/H92),"0")</f>
        <v>1.1904761904761905</v>
      </c>
      <c r="BP92" s="78">
        <f>IFERROR(1/J92*(Y92/H92),"0")</f>
        <v>1.1923076923076925</v>
      </c>
    </row>
    <row r="93" spans="1:68" ht="16.5" hidden="1" customHeight="1" x14ac:dyDescent="0.25">
      <c r="A93" s="63" t="s">
        <v>200</v>
      </c>
      <c r="B93" s="63" t="s">
        <v>201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91</v>
      </c>
      <c r="L93" s="37" t="s">
        <v>46</v>
      </c>
      <c r="M93" s="38" t="s">
        <v>90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202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266.04938271604937</v>
      </c>
      <c r="Y94" s="43">
        <f>IFERROR(Y90/H90,"0")+IFERROR(Y91/H91,"0")+IFERROR(Y92/H92,"0")+IFERROR(Y93/H93,"0")</f>
        <v>267</v>
      </c>
      <c r="Z94" s="43">
        <f>IFERROR(IF(Z90="",0,Z90),"0")+IFERROR(IF(Z91="",0,Z91),"0")+IFERROR(IF(Z92="",0,Z92),"0")+IFERROR(IF(Z93="",0,Z93),"0")</f>
        <v>2.3616700000000002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985</v>
      </c>
      <c r="Y95" s="43">
        <f>IFERROR(SUM(Y90:Y93),"0")</f>
        <v>990.90000000000009</v>
      </c>
      <c r="Z95" s="42"/>
      <c r="AA95" s="67"/>
      <c r="AB95" s="67"/>
      <c r="AC95" s="67"/>
    </row>
    <row r="96" spans="1:68" ht="16.5" hidden="1" customHeight="1" x14ac:dyDescent="0.25">
      <c r="A96" s="709" t="s">
        <v>203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125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204</v>
      </c>
      <c r="B98" s="63" t="s">
        <v>205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130</v>
      </c>
      <c r="L98" s="37" t="s">
        <v>46</v>
      </c>
      <c r="M98" s="38" t="s">
        <v>129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206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207</v>
      </c>
      <c r="B99" s="63" t="s">
        <v>208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134</v>
      </c>
      <c r="L99" s="37" t="s">
        <v>46</v>
      </c>
      <c r="M99" s="38" t="s">
        <v>81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209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207</v>
      </c>
      <c r="B100" s="63" t="s">
        <v>210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134</v>
      </c>
      <c r="L100" s="37" t="s">
        <v>46</v>
      </c>
      <c r="M100" s="38" t="s">
        <v>81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207</v>
      </c>
      <c r="B101" s="63" t="s">
        <v>211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134</v>
      </c>
      <c r="L101" s="37" t="s">
        <v>46</v>
      </c>
      <c r="M101" s="38" t="s">
        <v>81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212</v>
      </c>
      <c r="B102" s="63" t="s">
        <v>213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137</v>
      </c>
      <c r="L102" s="37" t="s">
        <v>46</v>
      </c>
      <c r="M102" s="38" t="s">
        <v>90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206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214</v>
      </c>
      <c r="B103" s="63" t="s">
        <v>215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137</v>
      </c>
      <c r="L103" s="37" t="s">
        <v>46</v>
      </c>
      <c r="M103" s="38" t="s">
        <v>90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180</v>
      </c>
      <c r="Y103" s="55">
        <f t="shared" si="11"/>
        <v>180</v>
      </c>
      <c r="Z103" s="41">
        <f>IFERROR(IF(Y103=0,"",ROUNDUP(Y103/H103,0)*0.00902),"")</f>
        <v>0.36080000000000001</v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187.60000000000002</v>
      </c>
      <c r="BN103" s="78">
        <f t="shared" si="13"/>
        <v>187.60000000000002</v>
      </c>
      <c r="BO103" s="78">
        <f t="shared" si="14"/>
        <v>0.30303030303030304</v>
      </c>
      <c r="BP103" s="78">
        <f t="shared" si="15"/>
        <v>0.30303030303030304</v>
      </c>
    </row>
    <row r="104" spans="1:68" ht="37.5" hidden="1" customHeight="1" x14ac:dyDescent="0.25">
      <c r="A104" s="63" t="s">
        <v>216</v>
      </c>
      <c r="B104" s="63" t="s">
        <v>217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137</v>
      </c>
      <c r="L104" s="37" t="s">
        <v>46</v>
      </c>
      <c r="M104" s="38" t="s">
        <v>90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40</v>
      </c>
      <c r="Y105" s="43">
        <f>IFERROR(Y98/H98,"0")+IFERROR(Y99/H99,"0")+IFERROR(Y100/H100,"0")+IFERROR(Y101/H101,"0")+IFERROR(Y102/H102,"0")+IFERROR(Y103/H103,"0")+IFERROR(Y104/H104,"0")</f>
        <v>40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0.36080000000000001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180</v>
      </c>
      <c r="Y106" s="43">
        <f>IFERROR(SUM(Y98:Y104),"0")</f>
        <v>180</v>
      </c>
      <c r="Z106" s="42"/>
      <c r="AA106" s="67"/>
      <c r="AB106" s="67"/>
      <c r="AC106" s="67"/>
    </row>
    <row r="107" spans="1:68" ht="14.25" hidden="1" customHeight="1" x14ac:dyDescent="0.25">
      <c r="A107" s="710" t="s">
        <v>158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218</v>
      </c>
      <c r="B108" s="63" t="s">
        <v>219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130</v>
      </c>
      <c r="L108" s="37" t="s">
        <v>46</v>
      </c>
      <c r="M108" s="38" t="s">
        <v>129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220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224</v>
      </c>
      <c r="L109" s="37" t="s">
        <v>46</v>
      </c>
      <c r="M109" s="38" t="s">
        <v>81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223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225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82</v>
      </c>
      <c r="L111" s="37" t="s">
        <v>46</v>
      </c>
      <c r="M111" s="38" t="s">
        <v>129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220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228</v>
      </c>
      <c r="B112" s="63" t="s">
        <v>229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129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86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130</v>
      </c>
      <c r="L116" s="37" t="s">
        <v>46</v>
      </c>
      <c r="M116" s="38" t="s">
        <v>97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200</v>
      </c>
      <c r="Y116" s="55">
        <f>IFERROR(IF(X116="",0,CEILING((X116/$H116),1)*$H116),"")</f>
        <v>202.5</v>
      </c>
      <c r="Z116" s="41">
        <f>IFERROR(IF(Y116=0,"",ROUNDUP(Y116/H116,0)*0.01898),"")</f>
        <v>0.47450000000000003</v>
      </c>
      <c r="AA116" s="68" t="s">
        <v>46</v>
      </c>
      <c r="AB116" s="69" t="s">
        <v>46</v>
      </c>
      <c r="AC116" s="188" t="s">
        <v>232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212.04938271604939</v>
      </c>
      <c r="BN116" s="78">
        <f>IFERROR(Y116*I116/H116,"0")</f>
        <v>214.7</v>
      </c>
      <c r="BO116" s="78">
        <f>IFERROR(1/J116*(X116/H116),"0")</f>
        <v>0.38580246913580246</v>
      </c>
      <c r="BP116" s="78">
        <f>IFERROR(1/J116*(Y116/H116),"0")</f>
        <v>0.390625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91</v>
      </c>
      <c r="L117" s="37" t="s">
        <v>46</v>
      </c>
      <c r="M117" s="38" t="s">
        <v>97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450</v>
      </c>
      <c r="Y118" s="55">
        <f>IFERROR(IF(X118="",0,CEILING((X118/$H118),1)*$H118),"")</f>
        <v>450.90000000000003</v>
      </c>
      <c r="Z118" s="41">
        <f>IFERROR(IF(Y118=0,"",ROUNDUP(Y118/H118,0)*0.00651),"")</f>
        <v>1.08717</v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492</v>
      </c>
      <c r="BN118" s="78">
        <f>IFERROR(Y118*I118/H118,"0")</f>
        <v>492.98399999999998</v>
      </c>
      <c r="BO118" s="78">
        <f>IFERROR(1/J118*(X118/H118),"0")</f>
        <v>0.91575091575091572</v>
      </c>
      <c r="BP118" s="78">
        <f>IFERROR(1/J118*(Y118/H118),"0")</f>
        <v>0.91758241758241765</v>
      </c>
    </row>
    <row r="119" spans="1:68" ht="16.5" customHeight="1" x14ac:dyDescent="0.25">
      <c r="A119" s="63" t="s">
        <v>237</v>
      </c>
      <c r="B119" s="63" t="s">
        <v>238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91</v>
      </c>
      <c r="L119" s="37" t="s">
        <v>46</v>
      </c>
      <c r="M119" s="38" t="s">
        <v>90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90</v>
      </c>
      <c r="Y119" s="55">
        <f>IFERROR(IF(X119="",0,CEILING((X119/$H119),1)*$H119),"")</f>
        <v>90</v>
      </c>
      <c r="Z119" s="41">
        <f>IFERROR(IF(Y119=0,"",ROUNDUP(Y119/H119,0)*0.00651),"")</f>
        <v>0.32550000000000001</v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98.999999999999986</v>
      </c>
      <c r="BN119" s="78">
        <f>IFERROR(Y119*I119/H119,"0")</f>
        <v>98.999999999999986</v>
      </c>
      <c r="BO119" s="78">
        <f>IFERROR(1/J119*(X119/H119),"0")</f>
        <v>0.27472527472527475</v>
      </c>
      <c r="BP119" s="78">
        <f>IFERROR(1/J119*(Y119/H119),"0")</f>
        <v>0.27472527472527475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241.35802469135803</v>
      </c>
      <c r="Y120" s="43">
        <f>IFERROR(Y116/H116,"0")+IFERROR(Y117/H117,"0")+IFERROR(Y118/H118,"0")+IFERROR(Y119/H119,"0")</f>
        <v>242</v>
      </c>
      <c r="Z120" s="43">
        <f>IFERROR(IF(Z116="",0,Z116),"0")+IFERROR(IF(Z117="",0,Z117),"0")+IFERROR(IF(Z118="",0,Z118),"0")+IFERROR(IF(Z119="",0,Z119),"0")</f>
        <v>1.8871699999999998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740</v>
      </c>
      <c r="Y121" s="43">
        <f>IFERROR(SUM(Y116:Y119),"0")</f>
        <v>743.40000000000009</v>
      </c>
      <c r="Z121" s="42"/>
      <c r="AA121" s="67"/>
      <c r="AB121" s="67"/>
      <c r="AC121" s="67"/>
    </row>
    <row r="122" spans="1:68" ht="14.25" hidden="1" customHeight="1" x14ac:dyDescent="0.25">
      <c r="A122" s="710" t="s">
        <v>175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customHeight="1" x14ac:dyDescent="0.25">
      <c r="A123" s="63" t="s">
        <v>240</v>
      </c>
      <c r="B123" s="63" t="s">
        <v>241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23.1</v>
      </c>
      <c r="Y123" s="55">
        <f>IFERROR(IF(X123="",0,CEILING((X123/$H123),1)*$H123),"")</f>
        <v>23.759999999999998</v>
      </c>
      <c r="Z123" s="41">
        <f>IFERROR(IF(Y123=0,"",ROUNDUP(Y123/H123,0)*0.00651),"")</f>
        <v>7.8119999999999995E-2</v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26.11</v>
      </c>
      <c r="BN123" s="78">
        <f>IFERROR(Y123*I123/H123,"0")</f>
        <v>26.855999999999998</v>
      </c>
      <c r="BO123" s="78">
        <f>IFERROR(1/J123*(X123/H123),"0")</f>
        <v>6.4102564102564111E-2</v>
      </c>
      <c r="BP123" s="78">
        <f>IFERROR(1/J123*(Y123/H123),"0")</f>
        <v>6.5934065934065936E-2</v>
      </c>
    </row>
    <row r="124" spans="1:68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11.666666666666668</v>
      </c>
      <c r="Y124" s="43">
        <f>IFERROR(Y123/H123,"0")</f>
        <v>11.999999999999998</v>
      </c>
      <c r="Z124" s="43">
        <f>IFERROR(IF(Z123="",0,Z123),"0")</f>
        <v>7.8119999999999995E-2</v>
      </c>
      <c r="AA124" s="67"/>
      <c r="AB124" s="67"/>
      <c r="AC124" s="67"/>
    </row>
    <row r="125" spans="1:68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23.1</v>
      </c>
      <c r="Y125" s="43">
        <f>IFERROR(SUM(Y123:Y123),"0")</f>
        <v>23.759999999999998</v>
      </c>
      <c r="Z125" s="42"/>
      <c r="AA125" s="67"/>
      <c r="AB125" s="67"/>
      <c r="AC125" s="67"/>
    </row>
    <row r="126" spans="1:68" ht="16.5" hidden="1" customHeight="1" x14ac:dyDescent="0.25">
      <c r="A126" s="709" t="s">
        <v>243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125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244</v>
      </c>
      <c r="B128" s="63" t="s">
        <v>245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130</v>
      </c>
      <c r="L128" s="37" t="s">
        <v>46</v>
      </c>
      <c r="M128" s="38" t="s">
        <v>247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246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248</v>
      </c>
      <c r="B129" s="63" t="s">
        <v>249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91</v>
      </c>
      <c r="L129" s="37" t="s">
        <v>46</v>
      </c>
      <c r="M129" s="38" t="s">
        <v>251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250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252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60</v>
      </c>
      <c r="Y130" s="55">
        <f>IFERROR(IF(X130="",0,CEILING((X130/$H130),1)*$H130),"")</f>
        <v>60.800000000000004</v>
      </c>
      <c r="Z130" s="41">
        <f>IFERROR(IF(Y130=0,"",ROUNDUP(Y130/H130,0)*0.00651),"")</f>
        <v>0.12369000000000001</v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63.374999999999993</v>
      </c>
      <c r="BN130" s="78">
        <f>IFERROR(Y130*I130/H130,"0")</f>
        <v>64.22</v>
      </c>
      <c r="BO130" s="78">
        <f>IFERROR(1/J130*(X130/H130),"0")</f>
        <v>0.10302197802197803</v>
      </c>
      <c r="BP130" s="78">
        <f>IFERROR(1/J130*(Y130/H130),"0")</f>
        <v>0.1043956043956044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18.75</v>
      </c>
      <c r="Y131" s="43">
        <f>IFERROR(Y128/H128,"0")+IFERROR(Y129/H129,"0")+IFERROR(Y130/H130,"0")</f>
        <v>19</v>
      </c>
      <c r="Z131" s="43">
        <f>IFERROR(IF(Z128="",0,Z128),"0")+IFERROR(IF(Z129="",0,Z129),"0")+IFERROR(IF(Z130="",0,Z130),"0")</f>
        <v>0.12369000000000001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60</v>
      </c>
      <c r="Y132" s="43">
        <f>IFERROR(SUM(Y128:Y130),"0")</f>
        <v>60.800000000000004</v>
      </c>
      <c r="Z132" s="42"/>
      <c r="AA132" s="67"/>
      <c r="AB132" s="67"/>
      <c r="AC132" s="67"/>
    </row>
    <row r="133" spans="1:68" ht="14.25" hidden="1" customHeight="1" x14ac:dyDescent="0.25">
      <c r="A133" s="710" t="s">
        <v>77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253</v>
      </c>
      <c r="B134" s="63" t="s">
        <v>254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130</v>
      </c>
      <c r="L134" s="37" t="s">
        <v>46</v>
      </c>
      <c r="M134" s="38" t="s">
        <v>247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257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91</v>
      </c>
      <c r="L135" s="37" t="s">
        <v>46</v>
      </c>
      <c r="M135" s="38" t="s">
        <v>251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70</v>
      </c>
      <c r="Y135" s="55">
        <f>IFERROR(IF(X135="",0,CEILING((X135/$H135),1)*$H135),"")</f>
        <v>70</v>
      </c>
      <c r="Z135" s="41">
        <f>IFERROR(IF(Y135=0,"",ROUNDUP(Y135/H135,0)*0.00651),"")</f>
        <v>0.16275000000000001</v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76.7</v>
      </c>
      <c r="BN135" s="78">
        <f>IFERROR(Y135*I135/H135,"0")</f>
        <v>76.7</v>
      </c>
      <c r="BO135" s="78">
        <f>IFERROR(1/J135*(X135/H135),"0")</f>
        <v>0.13736263736263737</v>
      </c>
      <c r="BP135" s="78">
        <f>IFERROR(1/J135*(Y135/H135),"0")</f>
        <v>0.13736263736263737</v>
      </c>
    </row>
    <row r="136" spans="1:68" ht="27" hidden="1" customHeight="1" x14ac:dyDescent="0.25">
      <c r="A136" s="63" t="s">
        <v>256</v>
      </c>
      <c r="B136" s="63" t="s">
        <v>259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260</v>
      </c>
      <c r="B137" s="63" t="s">
        <v>261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82</v>
      </c>
      <c r="L137" s="37" t="s">
        <v>46</v>
      </c>
      <c r="M137" s="38" t="s">
        <v>247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25</v>
      </c>
      <c r="Y138" s="43">
        <f>IFERROR(Y134/H134,"0")+IFERROR(Y135/H135,"0")+IFERROR(Y136/H136,"0")+IFERROR(Y137/H137,"0")</f>
        <v>25</v>
      </c>
      <c r="Z138" s="43">
        <f>IFERROR(IF(Z134="",0,Z134),"0")+IFERROR(IF(Z135="",0,Z135),"0")+IFERROR(IF(Z136="",0,Z136),"0")+IFERROR(IF(Z137="",0,Z137),"0")</f>
        <v>0.16275000000000001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70</v>
      </c>
      <c r="Y139" s="43">
        <f>IFERROR(SUM(Y134:Y137),"0")</f>
        <v>70</v>
      </c>
      <c r="Z139" s="42"/>
      <c r="AA139" s="67"/>
      <c r="AB139" s="67"/>
      <c r="AC139" s="67"/>
    </row>
    <row r="140" spans="1:68" ht="14.25" hidden="1" customHeight="1" x14ac:dyDescent="0.25">
      <c r="A140" s="710" t="s">
        <v>86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262</v>
      </c>
      <c r="B141" s="63" t="s">
        <v>263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91</v>
      </c>
      <c r="L141" s="37" t="s">
        <v>46</v>
      </c>
      <c r="M141" s="38" t="s">
        <v>247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246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264</v>
      </c>
      <c r="B142" s="63" t="s">
        <v>265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115.5</v>
      </c>
      <c r="Y142" s="55">
        <f>IFERROR(IF(X142="",0,CEILING((X142/$H142),1)*$H142),"")</f>
        <v>116.16000000000001</v>
      </c>
      <c r="Z142" s="41">
        <f>IFERROR(IF(Y142=0,"",ROUNDUP(Y142/H142,0)*0.00651),"")</f>
        <v>0.28644000000000003</v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127.22499999999998</v>
      </c>
      <c r="BN142" s="78">
        <f>IFERROR(Y142*I142/H142,"0")</f>
        <v>127.95200000000001</v>
      </c>
      <c r="BO142" s="78">
        <f>IFERROR(1/J142*(X142/H142),"0")</f>
        <v>0.24038461538461539</v>
      </c>
      <c r="BP142" s="78">
        <f>IFERROR(1/J142*(Y142/H142),"0")</f>
        <v>0.24175824175824179</v>
      </c>
    </row>
    <row r="143" spans="1:68" ht="16.5" hidden="1" customHeight="1" x14ac:dyDescent="0.25">
      <c r="A143" s="63" t="s">
        <v>264</v>
      </c>
      <c r="B143" s="63" t="s">
        <v>266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43.75</v>
      </c>
      <c r="Y144" s="43">
        <f>IFERROR(Y141/H141,"0")+IFERROR(Y142/H142,"0")+IFERROR(Y143/H143,"0")</f>
        <v>44</v>
      </c>
      <c r="Z144" s="43">
        <f>IFERROR(IF(Z141="",0,Z141),"0")+IFERROR(IF(Z142="",0,Z142),"0")+IFERROR(IF(Z143="",0,Z143),"0")</f>
        <v>0.28644000000000003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115.5</v>
      </c>
      <c r="Y145" s="43">
        <f>IFERROR(SUM(Y141:Y143),"0")</f>
        <v>116.16000000000001</v>
      </c>
      <c r="Z145" s="42"/>
      <c r="AA145" s="67"/>
      <c r="AB145" s="67"/>
      <c r="AC145" s="67"/>
    </row>
    <row r="146" spans="1:68" ht="16.5" hidden="1" customHeight="1" x14ac:dyDescent="0.25">
      <c r="A146" s="709" t="s">
        <v>267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86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268</v>
      </c>
      <c r="B148" s="63" t="s">
        <v>269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270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271</v>
      </c>
      <c r="B149" s="63" t="s">
        <v>272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273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271</v>
      </c>
      <c r="B150" s="63" t="s">
        <v>274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275</v>
      </c>
      <c r="B151" s="63" t="s">
        <v>276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277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275</v>
      </c>
      <c r="B152" s="63" t="s">
        <v>278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279</v>
      </c>
      <c r="B153" s="63" t="s">
        <v>280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281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279</v>
      </c>
      <c r="B154" s="63" t="s">
        <v>282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283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284</v>
      </c>
      <c r="B158" s="63" t="s">
        <v>285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289</v>
      </c>
      <c r="L158" s="37" t="s">
        <v>46</v>
      </c>
      <c r="M158" s="38" t="s">
        <v>288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286</v>
      </c>
      <c r="AG158" s="78"/>
      <c r="AJ158" s="84" t="s">
        <v>46</v>
      </c>
      <c r="AK158" s="84">
        <v>0</v>
      </c>
      <c r="BB158" s="233" t="s">
        <v>287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123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125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290</v>
      </c>
      <c r="B163" s="63" t="s">
        <v>291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130</v>
      </c>
      <c r="L163" s="37" t="s">
        <v>46</v>
      </c>
      <c r="M163" s="38" t="s">
        <v>129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292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293</v>
      </c>
      <c r="B164" s="63" t="s">
        <v>294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137</v>
      </c>
      <c r="L164" s="37" t="s">
        <v>46</v>
      </c>
      <c r="M164" s="38" t="s">
        <v>129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295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296</v>
      </c>
      <c r="B165" s="63" t="s">
        <v>297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91</v>
      </c>
      <c r="L165" s="37" t="s">
        <v>46</v>
      </c>
      <c r="M165" s="38" t="s">
        <v>90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298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158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customHeight="1" x14ac:dyDescent="0.25">
      <c r="A169" s="63" t="s">
        <v>299</v>
      </c>
      <c r="B169" s="63" t="s">
        <v>300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82</v>
      </c>
      <c r="L169" s="37" t="s">
        <v>46</v>
      </c>
      <c r="M169" s="38" t="s">
        <v>81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6</v>
      </c>
      <c r="Y169" s="55">
        <f>IFERROR(IF(X169="",0,CEILING((X169/$H169),1)*$H169),"")</f>
        <v>6.4799999999999995</v>
      </c>
      <c r="Z169" s="41">
        <f>IFERROR(IF(Y169=0,"",ROUNDUP(Y169/H169,0)*0.00556),"")</f>
        <v>5.0040000000000001E-2</v>
      </c>
      <c r="AA169" s="68" t="s">
        <v>46</v>
      </c>
      <c r="AB169" s="69" t="s">
        <v>46</v>
      </c>
      <c r="AC169" s="240" t="s">
        <v>301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7.083333333333333</v>
      </c>
      <c r="BN169" s="78">
        <f>IFERROR(Y169*I169/H169,"0")</f>
        <v>7.6499999999999995</v>
      </c>
      <c r="BO169" s="78">
        <f>IFERROR(1/J169*(X169/H169),"0")</f>
        <v>3.3068783068783067E-2</v>
      </c>
      <c r="BP169" s="78">
        <f>IFERROR(1/J169*(Y169/H169),"0")</f>
        <v>3.5714285714285712E-2</v>
      </c>
    </row>
    <row r="170" spans="1:68" ht="16.5" hidden="1" customHeight="1" x14ac:dyDescent="0.25">
      <c r="A170" s="63" t="s">
        <v>302</v>
      </c>
      <c r="B170" s="63" t="s">
        <v>303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82</v>
      </c>
      <c r="L170" s="37" t="s">
        <v>46</v>
      </c>
      <c r="M170" s="38" t="s">
        <v>129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304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8.3333333333333339</v>
      </c>
      <c r="Y171" s="43">
        <f>IFERROR(Y169/H169,"0")+IFERROR(Y170/H170,"0")</f>
        <v>9</v>
      </c>
      <c r="Z171" s="43">
        <f>IFERROR(IF(Z169="",0,Z169),"0")+IFERROR(IF(Z170="",0,Z170),"0")</f>
        <v>5.0040000000000001E-2</v>
      </c>
      <c r="AA171" s="67"/>
      <c r="AB171" s="67"/>
      <c r="AC171" s="67"/>
    </row>
    <row r="172" spans="1:68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6</v>
      </c>
      <c r="Y172" s="43">
        <f>IFERROR(SUM(Y169:Y170),"0")</f>
        <v>6.4799999999999995</v>
      </c>
      <c r="Z172" s="42"/>
      <c r="AA172" s="67"/>
      <c r="AB172" s="67"/>
      <c r="AC172" s="67"/>
    </row>
    <row r="173" spans="1:68" ht="14.25" hidden="1" customHeight="1" x14ac:dyDescent="0.25">
      <c r="A173" s="710" t="s">
        <v>77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305</v>
      </c>
      <c r="B174" s="63" t="s">
        <v>306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81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200</v>
      </c>
      <c r="Y174" s="55">
        <f t="shared" ref="Y174:Y184" si="22">IFERROR(IF(X174="",0,CEILING((X174/$H174),1)*$H174),"")</f>
        <v>203</v>
      </c>
      <c r="Z174" s="41">
        <f>IFERROR(IF(Y174=0,"",ROUNDUP(Y174/H174,0)*0.00902),"")</f>
        <v>0.52316000000000007</v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210.85714285714286</v>
      </c>
      <c r="BN174" s="78">
        <f t="shared" ref="BN174:BN184" si="24">IFERROR(Y174*I174/H174,"0")</f>
        <v>214.01999999999998</v>
      </c>
      <c r="BO174" s="78">
        <f t="shared" ref="BO174:BO184" si="25">IFERROR(1/J174*(X174/H174),"0")</f>
        <v>0.43290043290043295</v>
      </c>
      <c r="BP174" s="78">
        <f t="shared" ref="BP174:BP184" si="26">IFERROR(1/J174*(Y174/H174),"0")</f>
        <v>0.43939393939393939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137</v>
      </c>
      <c r="L175" s="37" t="s">
        <v>46</v>
      </c>
      <c r="M175" s="38" t="s">
        <v>81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310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137</v>
      </c>
      <c r="L176" s="37" t="s">
        <v>46</v>
      </c>
      <c r="M176" s="38" t="s">
        <v>81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500</v>
      </c>
      <c r="Y176" s="55">
        <f t="shared" si="22"/>
        <v>500.5</v>
      </c>
      <c r="Z176" s="41">
        <f>IFERROR(IF(Y176=0,"",ROUNDUP(Y176/H176,0)*0.00902),"")</f>
        <v>1.28986</v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527.14285714285711</v>
      </c>
      <c r="BN176" s="78">
        <f t="shared" si="24"/>
        <v>527.66999999999996</v>
      </c>
      <c r="BO176" s="78">
        <f t="shared" si="25"/>
        <v>1.0822510822510822</v>
      </c>
      <c r="BP176" s="78">
        <f t="shared" si="26"/>
        <v>1.0833333333333333</v>
      </c>
    </row>
    <row r="177" spans="1:68" ht="27" customHeight="1" x14ac:dyDescent="0.25">
      <c r="A177" s="63" t="s">
        <v>314</v>
      </c>
      <c r="B177" s="63" t="s">
        <v>315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137</v>
      </c>
      <c r="L177" s="37" t="s">
        <v>46</v>
      </c>
      <c r="M177" s="38" t="s">
        <v>81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200</v>
      </c>
      <c r="Y177" s="55">
        <f t="shared" si="22"/>
        <v>203</v>
      </c>
      <c r="Z177" s="41">
        <f>IFERROR(IF(Y177=0,"",ROUNDUP(Y177/H177,0)*0.00902),"")</f>
        <v>0.52316000000000007</v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210.85714285714286</v>
      </c>
      <c r="BN177" s="78">
        <f t="shared" si="24"/>
        <v>214.01999999999998</v>
      </c>
      <c r="BO177" s="78">
        <f t="shared" si="25"/>
        <v>0.43290043290043295</v>
      </c>
      <c r="BP177" s="78">
        <f t="shared" si="26"/>
        <v>0.43939393939393939</v>
      </c>
    </row>
    <row r="178" spans="1:68" ht="16.5" customHeight="1" x14ac:dyDescent="0.25">
      <c r="A178" s="63" t="s">
        <v>317</v>
      </c>
      <c r="B178" s="63" t="s">
        <v>318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9</v>
      </c>
      <c r="Y178" s="55">
        <f t="shared" si="22"/>
        <v>9</v>
      </c>
      <c r="Z178" s="41">
        <f>IFERROR(IF(Y178=0,"",ROUNDUP(Y178/H178,0)*0.00417),"")</f>
        <v>4.1700000000000001E-2</v>
      </c>
      <c r="AA178" s="68" t="s">
        <v>46</v>
      </c>
      <c r="AB178" s="69" t="s">
        <v>46</v>
      </c>
      <c r="AC178" s="252" t="s">
        <v>319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11.1</v>
      </c>
      <c r="BN178" s="78">
        <f t="shared" si="24"/>
        <v>11.1</v>
      </c>
      <c r="BO178" s="78">
        <f t="shared" si="25"/>
        <v>2.976190476190476E-2</v>
      </c>
      <c r="BP178" s="78">
        <f t="shared" si="26"/>
        <v>2.976190476190476E-2</v>
      </c>
    </row>
    <row r="179" spans="1:68" ht="27" customHeight="1" x14ac:dyDescent="0.25">
      <c r="A179" s="63" t="s">
        <v>320</v>
      </c>
      <c r="B179" s="63" t="s">
        <v>321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224.00000000000003</v>
      </c>
      <c r="Y179" s="55">
        <f t="shared" si="22"/>
        <v>225.12</v>
      </c>
      <c r="Z179" s="41">
        <f>IFERROR(IF(Y179=0,"",ROUNDUP(Y179/H179,0)*0.00502),"")</f>
        <v>0.67268000000000006</v>
      </c>
      <c r="AA179" s="68" t="s">
        <v>46</v>
      </c>
      <c r="AB179" s="69" t="s">
        <v>46</v>
      </c>
      <c r="AC179" s="254" t="s">
        <v>307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237.3333333333334</v>
      </c>
      <c r="BN179" s="78">
        <f t="shared" si="24"/>
        <v>238.52000000000004</v>
      </c>
      <c r="BO179" s="78">
        <f t="shared" si="25"/>
        <v>0.56980056980056992</v>
      </c>
      <c r="BP179" s="78">
        <f t="shared" si="26"/>
        <v>0.57264957264957272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134</v>
      </c>
      <c r="L180" s="37" t="s">
        <v>46</v>
      </c>
      <c r="M180" s="38" t="s">
        <v>81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324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322</v>
      </c>
      <c r="B181" s="63" t="s">
        <v>325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326</v>
      </c>
      <c r="B182" s="63" t="s">
        <v>327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224.00000000000003</v>
      </c>
      <c r="Y182" s="55">
        <f t="shared" si="22"/>
        <v>225.12</v>
      </c>
      <c r="Z182" s="41">
        <f>IFERROR(IF(Y182=0,"",ROUNDUP(Y182/H182,0)*0.00502),"")</f>
        <v>0.67268000000000006</v>
      </c>
      <c r="AA182" s="68" t="s">
        <v>46</v>
      </c>
      <c r="AB182" s="69" t="s">
        <v>46</v>
      </c>
      <c r="AC182" s="260" t="s">
        <v>313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237.3333333333334</v>
      </c>
      <c r="BN182" s="78">
        <f t="shared" si="24"/>
        <v>238.52000000000004</v>
      </c>
      <c r="BO182" s="78">
        <f t="shared" si="25"/>
        <v>0.56980056980056992</v>
      </c>
      <c r="BP182" s="78">
        <f t="shared" si="26"/>
        <v>0.57264957264957272</v>
      </c>
    </row>
    <row r="183" spans="1:68" ht="27" hidden="1" customHeight="1" x14ac:dyDescent="0.25">
      <c r="A183" s="63" t="s">
        <v>328</v>
      </c>
      <c r="B183" s="63" t="s">
        <v>329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330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331</v>
      </c>
      <c r="B184" s="63" t="s">
        <v>332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448.00000000000006</v>
      </c>
      <c r="Y184" s="55">
        <f t="shared" si="22"/>
        <v>448.56</v>
      </c>
      <c r="Z184" s="41">
        <f>IFERROR(IF(Y184=0,"",ROUNDUP(Y184/H184,0)*0.00502),"")</f>
        <v>1.3403400000000001</v>
      </c>
      <c r="AA184" s="68" t="s">
        <v>46</v>
      </c>
      <c r="AB184" s="69" t="s">
        <v>46</v>
      </c>
      <c r="AC184" s="264" t="s">
        <v>333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474.6666666666668</v>
      </c>
      <c r="BN184" s="78">
        <f t="shared" si="24"/>
        <v>475.26000000000005</v>
      </c>
      <c r="BO184" s="78">
        <f t="shared" si="25"/>
        <v>1.1396011396011398</v>
      </c>
      <c r="BP184" s="78">
        <f t="shared" si="26"/>
        <v>1.1410256410256412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800.4761904761906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804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5.0635800000000009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1805</v>
      </c>
      <c r="Y186" s="43">
        <f>IFERROR(SUM(Y174:Y184),"0")</f>
        <v>1814.2999999999997</v>
      </c>
      <c r="Z186" s="42"/>
      <c r="AA186" s="67"/>
      <c r="AB186" s="67"/>
      <c r="AC186" s="67"/>
    </row>
    <row r="187" spans="1:68" ht="14.25" hidden="1" customHeight="1" x14ac:dyDescent="0.25">
      <c r="A187" s="710" t="s">
        <v>86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334</v>
      </c>
      <c r="B188" s="63" t="s">
        <v>335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336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337</v>
      </c>
      <c r="B189" s="63" t="s">
        <v>338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339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340</v>
      </c>
      <c r="B190" s="63" t="s">
        <v>341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342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283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343</v>
      </c>
      <c r="B194" s="63" t="s">
        <v>344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346</v>
      </c>
      <c r="L194" s="37" t="s">
        <v>46</v>
      </c>
      <c r="M194" s="38" t="s">
        <v>288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345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347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348</v>
      </c>
      <c r="B198" s="63" t="s">
        <v>349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346</v>
      </c>
      <c r="L198" s="37" t="s">
        <v>46</v>
      </c>
      <c r="M198" s="38" t="s">
        <v>288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350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351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352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125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353</v>
      </c>
      <c r="B204" s="63" t="s">
        <v>354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130</v>
      </c>
      <c r="L204" s="37" t="s">
        <v>46</v>
      </c>
      <c r="M204" s="38" t="s">
        <v>90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128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355</v>
      </c>
      <c r="B205" s="63" t="s">
        <v>356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130</v>
      </c>
      <c r="L205" s="37" t="s">
        <v>46</v>
      </c>
      <c r="M205" s="38" t="s">
        <v>90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357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358</v>
      </c>
      <c r="B206" s="63" t="s">
        <v>359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130</v>
      </c>
      <c r="L206" s="37" t="s">
        <v>46</v>
      </c>
      <c r="M206" s="38" t="s">
        <v>90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360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361</v>
      </c>
      <c r="B207" s="63" t="s">
        <v>362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130</v>
      </c>
      <c r="L207" s="37" t="s">
        <v>46</v>
      </c>
      <c r="M207" s="38" t="s">
        <v>90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363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364</v>
      </c>
      <c r="B208" s="63" t="s">
        <v>365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130</v>
      </c>
      <c r="L208" s="37" t="s">
        <v>46</v>
      </c>
      <c r="M208" s="38" t="s">
        <v>90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366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367</v>
      </c>
      <c r="B209" s="63" t="s">
        <v>368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130</v>
      </c>
      <c r="L209" s="37" t="s">
        <v>46</v>
      </c>
      <c r="M209" s="38" t="s">
        <v>90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120</v>
      </c>
      <c r="Y209" s="55">
        <f t="shared" si="27"/>
        <v>129.60000000000002</v>
      </c>
      <c r="Z209" s="41">
        <f t="shared" si="28"/>
        <v>0.22776000000000002</v>
      </c>
      <c r="AA209" s="68" t="s">
        <v>46</v>
      </c>
      <c r="AB209" s="69" t="s">
        <v>46</v>
      </c>
      <c r="AC209" s="286" t="s">
        <v>369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124.55555555555556</v>
      </c>
      <c r="BN209" s="78">
        <f t="shared" si="30"/>
        <v>134.52000000000001</v>
      </c>
      <c r="BO209" s="78">
        <f t="shared" si="31"/>
        <v>0.1736111111111111</v>
      </c>
      <c r="BP209" s="78">
        <f t="shared" si="32"/>
        <v>0.18750000000000003</v>
      </c>
    </row>
    <row r="210" spans="1:68" ht="27" hidden="1" customHeight="1" x14ac:dyDescent="0.25">
      <c r="A210" s="63" t="s">
        <v>370</v>
      </c>
      <c r="B210" s="63" t="s">
        <v>371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130</v>
      </c>
      <c r="L210" s="37" t="s">
        <v>46</v>
      </c>
      <c r="M210" s="38" t="s">
        <v>90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372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11.111111111111111</v>
      </c>
      <c r="Y211" s="43">
        <f>IFERROR(Y204/H204,"0")+IFERROR(Y205/H205,"0")+IFERROR(Y206/H206,"0")+IFERROR(Y207/H207,"0")+IFERROR(Y208/H208,"0")+IFERROR(Y209/H209,"0")+IFERROR(Y210/H210,"0")</f>
        <v>12.000000000000002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0.22776000000000002</v>
      </c>
      <c r="AA211" s="67"/>
      <c r="AB211" s="67"/>
      <c r="AC211" s="67"/>
    </row>
    <row r="212" spans="1:68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120</v>
      </c>
      <c r="Y212" s="43">
        <f>IFERROR(SUM(Y204:Y210),"0")</f>
        <v>129.60000000000002</v>
      </c>
      <c r="Z212" s="42"/>
      <c r="AA212" s="67"/>
      <c r="AB212" s="67"/>
      <c r="AC212" s="67"/>
    </row>
    <row r="213" spans="1:68" ht="16.5" hidden="1" customHeight="1" x14ac:dyDescent="0.25">
      <c r="A213" s="709" t="s">
        <v>373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158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374</v>
      </c>
      <c r="B215" s="63" t="s">
        <v>375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376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77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377</v>
      </c>
      <c r="B219" s="63" t="s">
        <v>378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137</v>
      </c>
      <c r="L219" s="37" t="s">
        <v>46</v>
      </c>
      <c r="M219" s="38" t="s">
        <v>81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137</v>
      </c>
      <c r="L220" s="37" t="s">
        <v>46</v>
      </c>
      <c r="M220" s="38" t="s">
        <v>81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137</v>
      </c>
      <c r="L221" s="37" t="s">
        <v>46</v>
      </c>
      <c r="M221" s="38" t="s">
        <v>81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386</v>
      </c>
      <c r="B222" s="63" t="s">
        <v>387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12</v>
      </c>
      <c r="Y222" s="55">
        <f t="shared" si="33"/>
        <v>12</v>
      </c>
      <c r="Z222" s="41">
        <f>IFERROR(IF(Y222=0,"",ROUNDUP(Y222/H222,0)*0.00556),"")</f>
        <v>8.3400000000000002E-2</v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13.95</v>
      </c>
      <c r="BN222" s="78">
        <f t="shared" si="35"/>
        <v>13.95</v>
      </c>
      <c r="BO222" s="78">
        <f t="shared" si="36"/>
        <v>5.9523809523809521E-2</v>
      </c>
      <c r="BP222" s="78">
        <f t="shared" si="37"/>
        <v>5.9523809523809521E-2</v>
      </c>
    </row>
    <row r="223" spans="1:68" ht="27" customHeight="1" x14ac:dyDescent="0.25">
      <c r="A223" s="63" t="s">
        <v>389</v>
      </c>
      <c r="B223" s="63" t="s">
        <v>390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70</v>
      </c>
      <c r="Y223" s="55">
        <f t="shared" si="33"/>
        <v>71.400000000000006</v>
      </c>
      <c r="Z223" s="41">
        <f t="shared" ref="Z223:Z228" si="38">IFERROR(IF(Y223=0,"",ROUNDUP(Y223/H223,0)*0.00502),"")</f>
        <v>0.17068</v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74.333333333333329</v>
      </c>
      <c r="BN223" s="78">
        <f t="shared" si="35"/>
        <v>75.820000000000007</v>
      </c>
      <c r="BO223" s="78">
        <f t="shared" si="36"/>
        <v>0.14245014245014245</v>
      </c>
      <c r="BP223" s="78">
        <f t="shared" si="37"/>
        <v>0.14529914529914531</v>
      </c>
    </row>
    <row r="224" spans="1:68" ht="27" hidden="1" customHeight="1" x14ac:dyDescent="0.25">
      <c r="A224" s="63" t="s">
        <v>391</v>
      </c>
      <c r="B224" s="63" t="s">
        <v>392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393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394</v>
      </c>
      <c r="B225" s="63" t="s">
        <v>395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175</v>
      </c>
      <c r="Y225" s="55">
        <f t="shared" si="33"/>
        <v>176.4</v>
      </c>
      <c r="Z225" s="41">
        <f t="shared" si="38"/>
        <v>0.42168</v>
      </c>
      <c r="AA225" s="68" t="s">
        <v>46</v>
      </c>
      <c r="AB225" s="69" t="s">
        <v>46</v>
      </c>
      <c r="AC225" s="304" t="s">
        <v>382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185.83333333333331</v>
      </c>
      <c r="BN225" s="78">
        <f t="shared" si="35"/>
        <v>187.32</v>
      </c>
      <c r="BO225" s="78">
        <f t="shared" si="36"/>
        <v>0.35612535612535612</v>
      </c>
      <c r="BP225" s="78">
        <f t="shared" si="37"/>
        <v>0.35897435897435903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399</v>
      </c>
      <c r="B227" s="63" t="s">
        <v>400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401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402</v>
      </c>
      <c r="B228" s="63" t="s">
        <v>403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404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405</v>
      </c>
      <c r="B229" s="63" t="s">
        <v>406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134</v>
      </c>
      <c r="L229" s="37" t="s">
        <v>46</v>
      </c>
      <c r="M229" s="38" t="s">
        <v>81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4</v>
      </c>
      <c r="Y229" s="55">
        <f t="shared" si="33"/>
        <v>4</v>
      </c>
      <c r="Z229" s="41">
        <f>IFERROR(IF(Y229=0,"",ROUNDUP(Y229/H229,0)*0.00417),"")</f>
        <v>2.085E-2</v>
      </c>
      <c r="AA229" s="68" t="s">
        <v>46</v>
      </c>
      <c r="AB229" s="69" t="s">
        <v>46</v>
      </c>
      <c r="AC229" s="312" t="s">
        <v>407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5.05</v>
      </c>
      <c r="BN229" s="78">
        <f t="shared" si="35"/>
        <v>5.05</v>
      </c>
      <c r="BO229" s="78">
        <f t="shared" si="36"/>
        <v>1.488095238095238E-2</v>
      </c>
      <c r="BP229" s="78">
        <f t="shared" si="37"/>
        <v>1.488095238095238E-2</v>
      </c>
    </row>
    <row r="230" spans="1:68" ht="37.5" customHeight="1" x14ac:dyDescent="0.25">
      <c r="A230" s="63" t="s">
        <v>408</v>
      </c>
      <c r="B230" s="63" t="s">
        <v>409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420</v>
      </c>
      <c r="Y230" s="55">
        <f t="shared" si="33"/>
        <v>420</v>
      </c>
      <c r="Z230" s="41">
        <f>IFERROR(IF(Y230=0,"",ROUNDUP(Y230/H230,0)*0.00502),"")</f>
        <v>1.004</v>
      </c>
      <c r="AA230" s="68" t="s">
        <v>46</v>
      </c>
      <c r="AB230" s="69" t="s">
        <v>46</v>
      </c>
      <c r="AC230" s="314" t="s">
        <v>385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440.00000000000006</v>
      </c>
      <c r="BN230" s="78">
        <f t="shared" si="35"/>
        <v>440.00000000000006</v>
      </c>
      <c r="BO230" s="78">
        <f t="shared" si="36"/>
        <v>0.85470085470085477</v>
      </c>
      <c r="BP230" s="78">
        <f t="shared" si="37"/>
        <v>0.85470085470085477</v>
      </c>
    </row>
    <row r="231" spans="1:68" ht="27" hidden="1" customHeight="1" x14ac:dyDescent="0.25">
      <c r="A231" s="63" t="s">
        <v>410</v>
      </c>
      <c r="B231" s="63" t="s">
        <v>411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385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412</v>
      </c>
      <c r="B232" s="63" t="s">
        <v>413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414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336.66666666666663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338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1.70061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681</v>
      </c>
      <c r="Y234" s="43">
        <f>IFERROR(SUM(Y219:Y232),"0")</f>
        <v>683.8</v>
      </c>
      <c r="Z234" s="42"/>
      <c r="AA234" s="67"/>
      <c r="AB234" s="67"/>
      <c r="AC234" s="67"/>
    </row>
    <row r="235" spans="1:68" ht="14.25" hidden="1" customHeight="1" x14ac:dyDescent="0.25">
      <c r="A235" s="710" t="s">
        <v>86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415</v>
      </c>
      <c r="B236" s="63" t="s">
        <v>416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130</v>
      </c>
      <c r="L236" s="37" t="s">
        <v>46</v>
      </c>
      <c r="M236" s="38" t="s">
        <v>97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417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418</v>
      </c>
      <c r="B237" s="63" t="s">
        <v>419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130</v>
      </c>
      <c r="L237" s="37" t="s">
        <v>46</v>
      </c>
      <c r="M237" s="38" t="s">
        <v>97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420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421</v>
      </c>
      <c r="B238" s="63" t="s">
        <v>422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137</v>
      </c>
      <c r="L238" s="37" t="s">
        <v>46</v>
      </c>
      <c r="M238" s="38" t="s">
        <v>97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423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424</v>
      </c>
      <c r="B239" s="63" t="s">
        <v>425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137</v>
      </c>
      <c r="L239" s="37" t="s">
        <v>46</v>
      </c>
      <c r="M239" s="38" t="s">
        <v>97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426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427</v>
      </c>
      <c r="B240" s="63" t="s">
        <v>428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137</v>
      </c>
      <c r="L240" s="37" t="s">
        <v>46</v>
      </c>
      <c r="M240" s="38" t="s">
        <v>97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420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283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customHeight="1" x14ac:dyDescent="0.25">
      <c r="A244" s="63" t="s">
        <v>429</v>
      </c>
      <c r="B244" s="63" t="s">
        <v>430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346</v>
      </c>
      <c r="L244" s="37" t="s">
        <v>46</v>
      </c>
      <c r="M244" s="38" t="s">
        <v>288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30" t="s">
        <v>431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ht="27" customHeight="1" x14ac:dyDescent="0.25">
      <c r="A245" s="63" t="s">
        <v>432</v>
      </c>
      <c r="B245" s="63" t="s">
        <v>433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346</v>
      </c>
      <c r="L245" s="37" t="s">
        <v>46</v>
      </c>
      <c r="M245" s="38" t="s">
        <v>288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14.000000000000002</v>
      </c>
      <c r="Y245" s="55">
        <f>IFERROR(IF(X245="",0,CEILING((X245/$H245),1)*$H245),"")</f>
        <v>15.120000000000001</v>
      </c>
      <c r="Z245" s="41">
        <f>IFERROR(IF(Y245=0,"",ROUNDUP(Y245/H245,0)*0.0059),"")</f>
        <v>7.0800000000000002E-2</v>
      </c>
      <c r="AA245" s="68" t="s">
        <v>46</v>
      </c>
      <c r="AB245" s="69" t="s">
        <v>46</v>
      </c>
      <c r="AC245" s="332" t="s">
        <v>434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16.111111111111111</v>
      </c>
      <c r="BN245" s="78">
        <f>IFERROR(Y245*I245/H245,"0")</f>
        <v>17.399999999999999</v>
      </c>
      <c r="BO245" s="78">
        <f>IFERROR(1/J245*(X245/H245),"0")</f>
        <v>5.1440329218106998E-2</v>
      </c>
      <c r="BP245" s="78">
        <f>IFERROR(1/J245*(Y245/H245),"0")</f>
        <v>5.5555555555555552E-2</v>
      </c>
    </row>
    <row r="246" spans="1:68" ht="27" customHeight="1" x14ac:dyDescent="0.25">
      <c r="A246" s="63" t="s">
        <v>435</v>
      </c>
      <c r="B246" s="63" t="s">
        <v>436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346</v>
      </c>
      <c r="L246" s="37" t="s">
        <v>46</v>
      </c>
      <c r="M246" s="38" t="s">
        <v>288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14.000000000000002</v>
      </c>
      <c r="Y246" s="55">
        <f>IFERROR(IF(X246="",0,CEILING((X246/$H246),1)*$H246),"")</f>
        <v>15.120000000000001</v>
      </c>
      <c r="Z246" s="41">
        <f>IFERROR(IF(Y246=0,"",ROUNDUP(Y246/H246,0)*0.0059),"")</f>
        <v>7.0800000000000002E-2</v>
      </c>
      <c r="AA246" s="68" t="s">
        <v>46</v>
      </c>
      <c r="AB246" s="69" t="s">
        <v>46</v>
      </c>
      <c r="AC246" s="334" t="s">
        <v>434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16.111111111111111</v>
      </c>
      <c r="BN246" s="78">
        <f>IFERROR(Y246*I246/H246,"0")</f>
        <v>17.399999999999999</v>
      </c>
      <c r="BO246" s="78">
        <f>IFERROR(1/J246*(X246/H246),"0")</f>
        <v>5.1440329218106998E-2</v>
      </c>
      <c r="BP246" s="78">
        <f>IFERROR(1/J246*(Y246/H246),"0")</f>
        <v>5.5555555555555552E-2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27.777777777777779</v>
      </c>
      <c r="Y247" s="43">
        <f>IFERROR(Y244/H244,"0")+IFERROR(Y245/H245,"0")+IFERROR(Y246/H246,"0")</f>
        <v>30</v>
      </c>
      <c r="Z247" s="43">
        <f>IFERROR(IF(Z244="",0,Z244),"0")+IFERROR(IF(Z245="",0,Z245),"0")+IFERROR(IF(Z246="",0,Z246),"0")</f>
        <v>0.17699999999999999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35.000000000000007</v>
      </c>
      <c r="Y248" s="43">
        <f>IFERROR(SUM(Y244:Y246),"0")</f>
        <v>37.799999999999997</v>
      </c>
      <c r="Z248" s="42"/>
      <c r="AA248" s="67"/>
      <c r="AB248" s="67"/>
      <c r="AC248" s="67"/>
    </row>
    <row r="249" spans="1:68" ht="14.25" hidden="1" customHeight="1" x14ac:dyDescent="0.25">
      <c r="A249" s="710" t="s">
        <v>437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customHeight="1" x14ac:dyDescent="0.25">
      <c r="A250" s="63" t="s">
        <v>438</v>
      </c>
      <c r="B250" s="63" t="s">
        <v>439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346</v>
      </c>
      <c r="L250" s="37" t="s">
        <v>46</v>
      </c>
      <c r="M250" s="38" t="s">
        <v>288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10.500000000000002</v>
      </c>
      <c r="Y250" s="55">
        <f>IFERROR(IF(X250="",0,CEILING((X250/$H250),1)*$H250),"")</f>
        <v>11.34</v>
      </c>
      <c r="Z250" s="41">
        <f>IFERROR(IF(Y250=0,"",ROUNDUP(Y250/H250,0)*0.0059),"")</f>
        <v>5.3100000000000001E-2</v>
      </c>
      <c r="AA250" s="68" t="s">
        <v>46</v>
      </c>
      <c r="AB250" s="69" t="s">
        <v>46</v>
      </c>
      <c r="AC250" s="336" t="s">
        <v>434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12.083333333333334</v>
      </c>
      <c r="BN250" s="78">
        <f>IFERROR(Y250*I250/H250,"0")</f>
        <v>13.049999999999999</v>
      </c>
      <c r="BO250" s="78">
        <f>IFERROR(1/J250*(X250/H250),"0")</f>
        <v>3.8580246913580245E-2</v>
      </c>
      <c r="BP250" s="78">
        <f>IFERROR(1/J250*(Y250/H250),"0")</f>
        <v>4.1666666666666664E-2</v>
      </c>
    </row>
    <row r="251" spans="1:68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8.3333333333333339</v>
      </c>
      <c r="Y251" s="43">
        <f>IFERROR(Y250/H250,"0")</f>
        <v>9</v>
      </c>
      <c r="Z251" s="43">
        <f>IFERROR(IF(Z250="",0,Z250),"0")</f>
        <v>5.3100000000000001E-2</v>
      </c>
      <c r="AA251" s="67"/>
      <c r="AB251" s="67"/>
      <c r="AC251" s="67"/>
    </row>
    <row r="252" spans="1:68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10.500000000000002</v>
      </c>
      <c r="Y252" s="43">
        <f>IFERROR(SUM(Y250:Y250),"0")</f>
        <v>11.34</v>
      </c>
      <c r="Z252" s="42"/>
      <c r="AA252" s="67"/>
      <c r="AB252" s="67"/>
      <c r="AC252" s="67"/>
    </row>
    <row r="253" spans="1:68" ht="16.5" hidden="1" customHeight="1" x14ac:dyDescent="0.25">
      <c r="A253" s="709" t="s">
        <v>440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125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441</v>
      </c>
      <c r="B255" s="63" t="s">
        <v>442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130</v>
      </c>
      <c r="L255" s="37" t="s">
        <v>46</v>
      </c>
      <c r="M255" s="38" t="s">
        <v>129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443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444</v>
      </c>
      <c r="B256" s="63" t="s">
        <v>445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91</v>
      </c>
      <c r="L256" s="37" t="s">
        <v>46</v>
      </c>
      <c r="M256" s="38" t="s">
        <v>129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443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158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446</v>
      </c>
      <c r="B260" s="63" t="s">
        <v>447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130</v>
      </c>
      <c r="L260" s="37" t="s">
        <v>46</v>
      </c>
      <c r="M260" s="38" t="s">
        <v>129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448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449</v>
      </c>
      <c r="B261" s="63" t="s">
        <v>450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91</v>
      </c>
      <c r="L261" s="37" t="s">
        <v>46</v>
      </c>
      <c r="M261" s="38" t="s">
        <v>129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448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77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451</v>
      </c>
      <c r="B265" s="63" t="s">
        <v>452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137</v>
      </c>
      <c r="L265" s="37" t="s">
        <v>46</v>
      </c>
      <c r="M265" s="38" t="s">
        <v>81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600</v>
      </c>
      <c r="Y265" s="55">
        <f t="shared" ref="Y265:Y272" si="39">IFERROR(IF(X265="",0,CEILING((X265/$H265),1)*$H265),"")</f>
        <v>604.80000000000007</v>
      </c>
      <c r="Z265" s="41">
        <f>IFERROR(IF(Y265=0,"",ROUNDUP(Y265/H265,0)*0.00902),"")</f>
        <v>1.01024</v>
      </c>
      <c r="AA265" s="68" t="s">
        <v>46</v>
      </c>
      <c r="AB265" s="69" t="s">
        <v>46</v>
      </c>
      <c r="AC265" s="346" t="s">
        <v>453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621.11111111111109</v>
      </c>
      <c r="BN265" s="78">
        <f t="shared" ref="BN265:BN272" si="41">IFERROR(Y265*I265/H265,"0")</f>
        <v>626.08000000000004</v>
      </c>
      <c r="BO265" s="78">
        <f t="shared" ref="BO265:BO272" si="42">IFERROR(1/J265*(X265/H265),"0")</f>
        <v>0.84175084175084169</v>
      </c>
      <c r="BP265" s="78">
        <f t="shared" ref="BP265:BP272" si="43">IFERROR(1/J265*(Y265/H265),"0")</f>
        <v>0.84848484848484851</v>
      </c>
    </row>
    <row r="266" spans="1:68" ht="27" customHeight="1" x14ac:dyDescent="0.25">
      <c r="A266" s="63" t="s">
        <v>454</v>
      </c>
      <c r="B266" s="63" t="s">
        <v>455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137</v>
      </c>
      <c r="L266" s="37" t="s">
        <v>46</v>
      </c>
      <c r="M266" s="38" t="s">
        <v>81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50</v>
      </c>
      <c r="Y266" s="55">
        <f t="shared" si="39"/>
        <v>54</v>
      </c>
      <c r="Z266" s="41">
        <f>IFERROR(IF(Y266=0,"",ROUNDUP(Y266/H266,0)*0.00902),"")</f>
        <v>9.0200000000000002E-2</v>
      </c>
      <c r="AA266" s="68" t="s">
        <v>46</v>
      </c>
      <c r="AB266" s="69" t="s">
        <v>46</v>
      </c>
      <c r="AC266" s="348" t="s">
        <v>456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51.759259259259252</v>
      </c>
      <c r="BN266" s="78">
        <f t="shared" si="41"/>
        <v>55.9</v>
      </c>
      <c r="BO266" s="78">
        <f t="shared" si="42"/>
        <v>7.0145903479236812E-2</v>
      </c>
      <c r="BP266" s="78">
        <f t="shared" si="43"/>
        <v>7.575757575757576E-2</v>
      </c>
    </row>
    <row r="267" spans="1:68" ht="27" customHeight="1" x14ac:dyDescent="0.25">
      <c r="A267" s="63" t="s">
        <v>457</v>
      </c>
      <c r="B267" s="63" t="s">
        <v>458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137</v>
      </c>
      <c r="L267" s="37" t="s">
        <v>46</v>
      </c>
      <c r="M267" s="38" t="s">
        <v>81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100</v>
      </c>
      <c r="Y267" s="55">
        <f t="shared" si="39"/>
        <v>102.60000000000001</v>
      </c>
      <c r="Z267" s="41">
        <f>IFERROR(IF(Y267=0,"",ROUNDUP(Y267/H267,0)*0.00902),"")</f>
        <v>0.17138</v>
      </c>
      <c r="AA267" s="68" t="s">
        <v>46</v>
      </c>
      <c r="AB267" s="69" t="s">
        <v>46</v>
      </c>
      <c r="AC267" s="350" t="s">
        <v>459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103.5185185185185</v>
      </c>
      <c r="BN267" s="78">
        <f t="shared" si="41"/>
        <v>106.21</v>
      </c>
      <c r="BO267" s="78">
        <f t="shared" si="42"/>
        <v>0.14029180695847362</v>
      </c>
      <c r="BP267" s="78">
        <f t="shared" si="43"/>
        <v>0.14393939393939395</v>
      </c>
    </row>
    <row r="268" spans="1:68" ht="27" customHeight="1" x14ac:dyDescent="0.25">
      <c r="A268" s="63" t="s">
        <v>460</v>
      </c>
      <c r="B268" s="63" t="s">
        <v>461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137</v>
      </c>
      <c r="L268" s="37" t="s">
        <v>46</v>
      </c>
      <c r="M268" s="38" t="s">
        <v>81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100</v>
      </c>
      <c r="Y268" s="55">
        <f t="shared" si="39"/>
        <v>102.60000000000001</v>
      </c>
      <c r="Z268" s="41">
        <f>IFERROR(IF(Y268=0,"",ROUNDUP(Y268/H268,0)*0.00902),"")</f>
        <v>0.17138</v>
      </c>
      <c r="AA268" s="68" t="s">
        <v>46</v>
      </c>
      <c r="AB268" s="69" t="s">
        <v>46</v>
      </c>
      <c r="AC268" s="352" t="s">
        <v>462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103.5185185185185</v>
      </c>
      <c r="BN268" s="78">
        <f t="shared" si="41"/>
        <v>106.21</v>
      </c>
      <c r="BO268" s="78">
        <f t="shared" si="42"/>
        <v>0.14029180695847362</v>
      </c>
      <c r="BP268" s="78">
        <f t="shared" si="43"/>
        <v>0.14393939393939395</v>
      </c>
    </row>
    <row r="269" spans="1:68" ht="27" customHeight="1" x14ac:dyDescent="0.25">
      <c r="A269" s="63" t="s">
        <v>463</v>
      </c>
      <c r="B269" s="63" t="s">
        <v>464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180</v>
      </c>
      <c r="Y269" s="55">
        <f t="shared" si="39"/>
        <v>180</v>
      </c>
      <c r="Z269" s="41">
        <f>IFERROR(IF(Y269=0,"",ROUNDUP(Y269/H269,0)*0.00502),"")</f>
        <v>0.502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192.99999999999997</v>
      </c>
      <c r="BN269" s="78">
        <f t="shared" si="41"/>
        <v>192.99999999999997</v>
      </c>
      <c r="BO269" s="78">
        <f t="shared" si="42"/>
        <v>0.42735042735042739</v>
      </c>
      <c r="BP269" s="78">
        <f t="shared" si="43"/>
        <v>0.42735042735042739</v>
      </c>
    </row>
    <row r="270" spans="1:68" ht="27" customHeight="1" x14ac:dyDescent="0.25">
      <c r="A270" s="63" t="s">
        <v>465</v>
      </c>
      <c r="B270" s="63" t="s">
        <v>466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120</v>
      </c>
      <c r="Y270" s="55">
        <f t="shared" si="39"/>
        <v>120.60000000000001</v>
      </c>
      <c r="Z270" s="41">
        <f>IFERROR(IF(Y270=0,"",ROUNDUP(Y270/H270,0)*0.00502),"")</f>
        <v>0.33634000000000003</v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126.66666666666666</v>
      </c>
      <c r="BN270" s="78">
        <f t="shared" si="41"/>
        <v>127.30000000000001</v>
      </c>
      <c r="BO270" s="78">
        <f t="shared" si="42"/>
        <v>0.28490028490028496</v>
      </c>
      <c r="BP270" s="78">
        <f t="shared" si="43"/>
        <v>0.28632478632478636</v>
      </c>
    </row>
    <row r="271" spans="1:68" ht="27" customHeight="1" x14ac:dyDescent="0.25">
      <c r="A271" s="63" t="s">
        <v>467</v>
      </c>
      <c r="B271" s="63" t="s">
        <v>468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180</v>
      </c>
      <c r="Y271" s="55">
        <f t="shared" si="39"/>
        <v>180</v>
      </c>
      <c r="Z271" s="41">
        <f>IFERROR(IF(Y271=0,"",ROUNDUP(Y271/H271,0)*0.00502),"")</f>
        <v>0.502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190</v>
      </c>
      <c r="BN271" s="78">
        <f t="shared" si="41"/>
        <v>190</v>
      </c>
      <c r="BO271" s="78">
        <f t="shared" si="42"/>
        <v>0.42735042735042739</v>
      </c>
      <c r="BP271" s="78">
        <f t="shared" si="43"/>
        <v>0.42735042735042739</v>
      </c>
    </row>
    <row r="272" spans="1:68" ht="27" customHeight="1" x14ac:dyDescent="0.25">
      <c r="A272" s="63" t="s">
        <v>469</v>
      </c>
      <c r="B272" s="63" t="s">
        <v>470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9"/>
        <v>90</v>
      </c>
      <c r="Z272" s="41">
        <f>IFERROR(IF(Y272=0,"",ROUNDUP(Y272/H272,0)*0.00502),"")</f>
        <v>0.251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95</v>
      </c>
      <c r="BN272" s="78">
        <f t="shared" si="41"/>
        <v>95</v>
      </c>
      <c r="BO272" s="78">
        <f t="shared" si="42"/>
        <v>0.21367521367521369</v>
      </c>
      <c r="BP272" s="78">
        <f t="shared" si="43"/>
        <v>0.21367521367521369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474.07407407407408</v>
      </c>
      <c r="Y273" s="43">
        <f>IFERROR(Y265/H265,"0")+IFERROR(Y266/H266,"0")+IFERROR(Y267/H267,"0")+IFERROR(Y268/H268,"0")+IFERROR(Y269/H269,"0")+IFERROR(Y270/H270,"0")+IFERROR(Y271/H271,"0")+IFERROR(Y272/H272,"0")</f>
        <v>477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3.0345400000000002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1420</v>
      </c>
      <c r="Y274" s="43">
        <f>IFERROR(SUM(Y265:Y272),"0")</f>
        <v>1434.6</v>
      </c>
      <c r="Z274" s="42"/>
      <c r="AA274" s="67"/>
      <c r="AB274" s="67"/>
      <c r="AC274" s="67"/>
    </row>
    <row r="275" spans="1:68" ht="14.25" hidden="1" customHeight="1" x14ac:dyDescent="0.25">
      <c r="A275" s="710" t="s">
        <v>86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471</v>
      </c>
      <c r="B276" s="63" t="s">
        <v>472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130</v>
      </c>
      <c r="L276" s="37" t="s">
        <v>46</v>
      </c>
      <c r="M276" s="38" t="s">
        <v>90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130</v>
      </c>
      <c r="L277" s="37" t="s">
        <v>46</v>
      </c>
      <c r="M277" s="38" t="s">
        <v>90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130</v>
      </c>
      <c r="L278" s="37" t="s">
        <v>46</v>
      </c>
      <c r="M278" s="38" t="s">
        <v>90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479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91</v>
      </c>
      <c r="L279" s="37" t="s">
        <v>46</v>
      </c>
      <c r="M279" s="38" t="s">
        <v>90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560</v>
      </c>
      <c r="Y279" s="55">
        <f t="shared" si="44"/>
        <v>561.6</v>
      </c>
      <c r="Z279" s="41">
        <f>IFERROR(IF(Y279=0,"",ROUNDUP(Y279/H279,0)*0.00651),"")</f>
        <v>1.5233400000000001</v>
      </c>
      <c r="AA279" s="68" t="s">
        <v>46</v>
      </c>
      <c r="AB279" s="69" t="s">
        <v>46</v>
      </c>
      <c r="AC279" s="368" t="s">
        <v>473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623</v>
      </c>
      <c r="BN279" s="78">
        <f t="shared" si="46"/>
        <v>624.78</v>
      </c>
      <c r="BO279" s="78">
        <f t="shared" si="47"/>
        <v>1.2820512820512822</v>
      </c>
      <c r="BP279" s="78">
        <f t="shared" si="48"/>
        <v>1.285714285714286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91</v>
      </c>
      <c r="L280" s="37" t="s">
        <v>46</v>
      </c>
      <c r="M280" s="38" t="s">
        <v>97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479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137</v>
      </c>
      <c r="L281" s="37" t="s">
        <v>46</v>
      </c>
      <c r="M281" s="38" t="s">
        <v>90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489</v>
      </c>
      <c r="B283" s="63" t="s">
        <v>490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130</v>
      </c>
      <c r="L283" s="37" t="s">
        <v>46</v>
      </c>
      <c r="M283" s="38" t="s">
        <v>90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486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491</v>
      </c>
      <c r="B284" s="63" t="s">
        <v>492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493</v>
      </c>
      <c r="B285" s="63" t="s">
        <v>494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120</v>
      </c>
      <c r="Y285" s="55">
        <f t="shared" si="44"/>
        <v>120</v>
      </c>
      <c r="Z285" s="41">
        <f>IFERROR(IF(Y285=0,"",ROUNDUP(Y285/H285,0)*0.00651),"")</f>
        <v>0.32550000000000001</v>
      </c>
      <c r="AA285" s="68" t="s">
        <v>46</v>
      </c>
      <c r="AB285" s="69" t="s">
        <v>46</v>
      </c>
      <c r="AC285" s="380" t="s">
        <v>495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132.60000000000002</v>
      </c>
      <c r="BN285" s="78">
        <f t="shared" si="46"/>
        <v>132.60000000000002</v>
      </c>
      <c r="BO285" s="78">
        <f t="shared" si="47"/>
        <v>0.27472527472527475</v>
      </c>
      <c r="BP285" s="78">
        <f t="shared" si="48"/>
        <v>0.27472527472527475</v>
      </c>
    </row>
    <row r="286" spans="1:68" ht="27" hidden="1" customHeight="1" x14ac:dyDescent="0.25">
      <c r="A286" s="63" t="s">
        <v>496</v>
      </c>
      <c r="B286" s="63" t="s">
        <v>497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498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499</v>
      </c>
      <c r="B287" s="63" t="s">
        <v>500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501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283.33333333333337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284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1.84884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680</v>
      </c>
      <c r="Y289" s="43">
        <f>IFERROR(SUM(Y276:Y287),"0")</f>
        <v>681.6</v>
      </c>
      <c r="Z289" s="42"/>
      <c r="AA289" s="67"/>
      <c r="AB289" s="67"/>
      <c r="AC289" s="67"/>
    </row>
    <row r="290" spans="1:68" ht="14.25" hidden="1" customHeight="1" x14ac:dyDescent="0.25">
      <c r="A290" s="710" t="s">
        <v>175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customHeight="1" x14ac:dyDescent="0.25">
      <c r="A291" s="63" t="s">
        <v>502</v>
      </c>
      <c r="B291" s="63" t="s">
        <v>503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40</v>
      </c>
      <c r="Y291" s="55">
        <f>IFERROR(IF(X291="",0,CEILING((X291/$H291),1)*$H291),"")</f>
        <v>40.799999999999997</v>
      </c>
      <c r="Z291" s="41">
        <f>IFERROR(IF(Y291=0,"",ROUNDUP(Y291/H291,0)*0.00651),"")</f>
        <v>0.11067</v>
      </c>
      <c r="AA291" s="68" t="s">
        <v>46</v>
      </c>
      <c r="AB291" s="69" t="s">
        <v>46</v>
      </c>
      <c r="AC291" s="386" t="s">
        <v>504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44.20000000000001</v>
      </c>
      <c r="BN291" s="78">
        <f>IFERROR(Y291*I291/H291,"0")</f>
        <v>45.084000000000003</v>
      </c>
      <c r="BO291" s="78">
        <f>IFERROR(1/J291*(X291/H291),"0")</f>
        <v>9.1575091575091583E-2</v>
      </c>
      <c r="BP291" s="78">
        <f>IFERROR(1/J291*(Y291/H291),"0")</f>
        <v>9.3406593406593408E-2</v>
      </c>
    </row>
    <row r="292" spans="1:68" ht="27" customHeight="1" x14ac:dyDescent="0.25">
      <c r="A292" s="63" t="s">
        <v>505</v>
      </c>
      <c r="B292" s="63" t="s">
        <v>506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160</v>
      </c>
      <c r="Y292" s="55">
        <f>IFERROR(IF(X292="",0,CEILING((X292/$H292),1)*$H292),"")</f>
        <v>160.79999999999998</v>
      </c>
      <c r="Z292" s="41">
        <f>IFERROR(IF(Y292=0,"",ROUNDUP(Y292/H292,0)*0.00651),"")</f>
        <v>0.43617</v>
      </c>
      <c r="AA292" s="68" t="s">
        <v>46</v>
      </c>
      <c r="AB292" s="69" t="s">
        <v>46</v>
      </c>
      <c r="AC292" s="388" t="s">
        <v>507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176.80000000000004</v>
      </c>
      <c r="BN292" s="78">
        <f>IFERROR(Y292*I292/H292,"0")</f>
        <v>177.684</v>
      </c>
      <c r="BO292" s="78">
        <f>IFERROR(1/J292*(X292/H292),"0")</f>
        <v>0.36630036630036633</v>
      </c>
      <c r="BP292" s="78">
        <f>IFERROR(1/J292*(Y292/H292),"0")</f>
        <v>0.36813186813186816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83.333333333333343</v>
      </c>
      <c r="Y293" s="43">
        <f>IFERROR(Y291/H291,"0")+IFERROR(Y292/H292,"0")</f>
        <v>84</v>
      </c>
      <c r="Z293" s="43">
        <f>IFERROR(IF(Z291="",0,Z291),"0")+IFERROR(IF(Z292="",0,Z292),"0")</f>
        <v>0.54683999999999999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200</v>
      </c>
      <c r="Y294" s="43">
        <f>IFERROR(SUM(Y291:Y292),"0")</f>
        <v>201.59999999999997</v>
      </c>
      <c r="Z294" s="42"/>
      <c r="AA294" s="67"/>
      <c r="AB294" s="67"/>
      <c r="AC294" s="67"/>
    </row>
    <row r="295" spans="1:68" ht="16.5" hidden="1" customHeight="1" x14ac:dyDescent="0.25">
      <c r="A295" s="709" t="s">
        <v>508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125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509</v>
      </c>
      <c r="B297" s="63" t="s">
        <v>510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130</v>
      </c>
      <c r="L297" s="37" t="s">
        <v>46</v>
      </c>
      <c r="M297" s="38" t="s">
        <v>129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511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512</v>
      </c>
      <c r="B298" s="63" t="s">
        <v>513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130</v>
      </c>
      <c r="L298" s="37" t="s">
        <v>46</v>
      </c>
      <c r="M298" s="38" t="s">
        <v>129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514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515</v>
      </c>
      <c r="B299" s="63" t="s">
        <v>516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130</v>
      </c>
      <c r="L299" s="37" t="s">
        <v>46</v>
      </c>
      <c r="M299" s="38" t="s">
        <v>129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369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517</v>
      </c>
      <c r="B300" s="63" t="s">
        <v>518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137</v>
      </c>
      <c r="L300" s="37" t="s">
        <v>46</v>
      </c>
      <c r="M300" s="38" t="s">
        <v>129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32</v>
      </c>
      <c r="Y300" s="55">
        <f t="shared" si="49"/>
        <v>32</v>
      </c>
      <c r="Z300" s="41">
        <f>IFERROR(IF(Y300=0,"",ROUNDUP(Y300/H300,0)*0.00902),"")</f>
        <v>7.2160000000000002E-2</v>
      </c>
      <c r="AA300" s="68" t="s">
        <v>46</v>
      </c>
      <c r="AB300" s="69" t="s">
        <v>46</v>
      </c>
      <c r="AC300" s="396" t="s">
        <v>511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33.520000000000003</v>
      </c>
      <c r="BN300" s="78">
        <f t="shared" si="51"/>
        <v>33.520000000000003</v>
      </c>
      <c r="BO300" s="78">
        <f t="shared" si="52"/>
        <v>6.0606060606060608E-2</v>
      </c>
      <c r="BP300" s="78">
        <f t="shared" si="53"/>
        <v>6.0606060606060608E-2</v>
      </c>
    </row>
    <row r="301" spans="1:68" ht="27" hidden="1" customHeight="1" x14ac:dyDescent="0.25">
      <c r="A301" s="63" t="s">
        <v>519</v>
      </c>
      <c r="B301" s="63" t="s">
        <v>520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137</v>
      </c>
      <c r="L301" s="37" t="s">
        <v>46</v>
      </c>
      <c r="M301" s="38" t="s">
        <v>129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521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522</v>
      </c>
      <c r="B302" s="63" t="s">
        <v>523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91</v>
      </c>
      <c r="L302" s="37" t="s">
        <v>46</v>
      </c>
      <c r="M302" s="38" t="s">
        <v>129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524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525</v>
      </c>
      <c r="B303" s="63" t="s">
        <v>526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137</v>
      </c>
      <c r="L303" s="37" t="s">
        <v>46</v>
      </c>
      <c r="M303" s="38" t="s">
        <v>129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44</v>
      </c>
      <c r="Y303" s="55">
        <f t="shared" si="49"/>
        <v>44</v>
      </c>
      <c r="Z303" s="41">
        <f>IFERROR(IF(Y303=0,"",ROUNDUP(Y303/H303,0)*0.00902),"")</f>
        <v>9.9220000000000003E-2</v>
      </c>
      <c r="AA303" s="68" t="s">
        <v>46</v>
      </c>
      <c r="AB303" s="69" t="s">
        <v>46</v>
      </c>
      <c r="AC303" s="402" t="s">
        <v>369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46.09</v>
      </c>
      <c r="BN303" s="78">
        <f t="shared" si="51"/>
        <v>46.09</v>
      </c>
      <c r="BO303" s="78">
        <f t="shared" si="52"/>
        <v>8.3333333333333343E-2</v>
      </c>
      <c r="BP303" s="78">
        <f t="shared" si="53"/>
        <v>8.3333333333333343E-2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19</v>
      </c>
      <c r="Y304" s="43">
        <f>IFERROR(Y297/H297,"0")+IFERROR(Y298/H298,"0")+IFERROR(Y299/H299,"0")+IFERROR(Y300/H300,"0")+IFERROR(Y301/H301,"0")+IFERROR(Y302/H302,"0")+IFERROR(Y303/H303,"0")</f>
        <v>19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0.17138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76</v>
      </c>
      <c r="Y305" s="43">
        <f>IFERROR(SUM(Y297:Y303),"0")</f>
        <v>76</v>
      </c>
      <c r="Z305" s="42"/>
      <c r="AA305" s="67"/>
      <c r="AB305" s="67"/>
      <c r="AC305" s="67"/>
    </row>
    <row r="306" spans="1:68" ht="14.25" hidden="1" customHeight="1" x14ac:dyDescent="0.25">
      <c r="A306" s="710" t="s">
        <v>158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customHeight="1" x14ac:dyDescent="0.25">
      <c r="A307" s="63" t="s">
        <v>527</v>
      </c>
      <c r="B307" s="63" t="s">
        <v>528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90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79.2</v>
      </c>
      <c r="Y307" s="55">
        <f>IFERROR(IF(X307="",0,CEILING((X307/$H307),1)*$H307),"")</f>
        <v>79.2</v>
      </c>
      <c r="Z307" s="41">
        <f>IFERROR(IF(Y307=0,"",ROUNDUP(Y307/H307,0)*0.00502),"")</f>
        <v>0.20080000000000001</v>
      </c>
      <c r="AA307" s="68" t="s">
        <v>46</v>
      </c>
      <c r="AB307" s="69" t="s">
        <v>46</v>
      </c>
      <c r="AC307" s="404" t="s">
        <v>529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83.200000000000017</v>
      </c>
      <c r="BN307" s="78">
        <f>IFERROR(Y307*I307/H307,"0")</f>
        <v>83.200000000000017</v>
      </c>
      <c r="BO307" s="78">
        <f>IFERROR(1/J307*(X307/H307),"0")</f>
        <v>0.17094017094017094</v>
      </c>
      <c r="BP307" s="78">
        <f>IFERROR(1/J307*(Y307/H307),"0")</f>
        <v>0.17094017094017094</v>
      </c>
    </row>
    <row r="308" spans="1:68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40</v>
      </c>
      <c r="Y308" s="43">
        <f>IFERROR(Y307/H307,"0")</f>
        <v>40</v>
      </c>
      <c r="Z308" s="43">
        <f>IFERROR(IF(Z307="",0,Z307),"0")</f>
        <v>0.20080000000000001</v>
      </c>
      <c r="AA308" s="67"/>
      <c r="AB308" s="67"/>
      <c r="AC308" s="67"/>
    </row>
    <row r="309" spans="1:68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79.2</v>
      </c>
      <c r="Y309" s="43">
        <f>IFERROR(SUM(Y307:Y307),"0")</f>
        <v>79.2</v>
      </c>
      <c r="Z309" s="42"/>
      <c r="AA309" s="67"/>
      <c r="AB309" s="67"/>
      <c r="AC309" s="67"/>
    </row>
    <row r="310" spans="1:68" ht="14.25" hidden="1" customHeight="1" x14ac:dyDescent="0.25">
      <c r="A310" s="710" t="s">
        <v>530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531</v>
      </c>
      <c r="B311" s="63" t="s">
        <v>532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346</v>
      </c>
      <c r="L311" s="37" t="s">
        <v>46</v>
      </c>
      <c r="M311" s="38" t="s">
        <v>288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12</v>
      </c>
      <c r="Y311" s="55">
        <f>IFERROR(IF(X311="",0,CEILING((X311/$H311),1)*$H311),"")</f>
        <v>12.6</v>
      </c>
      <c r="Z311" s="41">
        <f>IFERROR(IF(Y311=0,"",ROUNDUP(Y311/H311,0)*0.0059),"")</f>
        <v>4.1299999999999996E-2</v>
      </c>
      <c r="AA311" s="68" t="s">
        <v>46</v>
      </c>
      <c r="AB311" s="69" t="s">
        <v>46</v>
      </c>
      <c r="AC311" s="406" t="s">
        <v>533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13.166666666666668</v>
      </c>
      <c r="BN311" s="78">
        <f>IFERROR(Y311*I311/H311,"0")</f>
        <v>13.825000000000001</v>
      </c>
      <c r="BO311" s="78">
        <f>IFERROR(1/J311*(X311/H311),"0")</f>
        <v>3.0864197530864192E-2</v>
      </c>
      <c r="BP311" s="78">
        <f>IFERROR(1/J311*(Y311/H311),"0")</f>
        <v>3.2407407407407406E-2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6.6666666666666661</v>
      </c>
      <c r="Y312" s="43">
        <f>IFERROR(Y311/H311,"0")</f>
        <v>7</v>
      </c>
      <c r="Z312" s="43">
        <f>IFERROR(IF(Z311="",0,Z311),"0")</f>
        <v>4.1299999999999996E-2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12</v>
      </c>
      <c r="Y313" s="43">
        <f>IFERROR(SUM(Y311:Y311),"0")</f>
        <v>12.6</v>
      </c>
      <c r="Z313" s="42"/>
      <c r="AA313" s="67"/>
      <c r="AB313" s="67"/>
      <c r="AC313" s="67"/>
    </row>
    <row r="314" spans="1:68" ht="14.25" hidden="1" customHeight="1" x14ac:dyDescent="0.25">
      <c r="A314" s="710" t="s">
        <v>347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534</v>
      </c>
      <c r="B315" s="63" t="s">
        <v>535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346</v>
      </c>
      <c r="L315" s="37" t="s">
        <v>46</v>
      </c>
      <c r="M315" s="38" t="s">
        <v>288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536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537</v>
      </c>
      <c r="B316" s="63" t="s">
        <v>538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346</v>
      </c>
      <c r="L316" s="37" t="s">
        <v>46</v>
      </c>
      <c r="M316" s="38" t="s">
        <v>288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12</v>
      </c>
      <c r="Y316" s="55">
        <f>IFERROR(IF(X316="",0,CEILING((X316/$H316),1)*$H316),"")</f>
        <v>12.6</v>
      </c>
      <c r="Z316" s="41">
        <f>IFERROR(IF(Y316=0,"",ROUNDUP(Y316/H316,0)*0.0059),"")</f>
        <v>4.1299999999999996E-2</v>
      </c>
      <c r="AA316" s="68" t="s">
        <v>46</v>
      </c>
      <c r="AB316" s="69" t="s">
        <v>46</v>
      </c>
      <c r="AC316" s="410" t="s">
        <v>536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13.166666666666668</v>
      </c>
      <c r="BN316" s="78">
        <f>IFERROR(Y316*I316/H316,"0")</f>
        <v>13.825000000000001</v>
      </c>
      <c r="BO316" s="78">
        <f>IFERROR(1/J316*(X316/H316),"0")</f>
        <v>3.0864197530864192E-2</v>
      </c>
      <c r="BP316" s="78">
        <f>IFERROR(1/J316*(Y316/H316),"0")</f>
        <v>3.2407407407407406E-2</v>
      </c>
    </row>
    <row r="317" spans="1:68" ht="27" customHeight="1" x14ac:dyDescent="0.25">
      <c r="A317" s="63" t="s">
        <v>539</v>
      </c>
      <c r="B317" s="63" t="s">
        <v>540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346</v>
      </c>
      <c r="L317" s="37" t="s">
        <v>46</v>
      </c>
      <c r="M317" s="38" t="s">
        <v>288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5</v>
      </c>
      <c r="Y317" s="55">
        <f>IFERROR(IF(X317="",0,CEILING((X317/$H317),1)*$H317),"")</f>
        <v>5.4</v>
      </c>
      <c r="Z317" s="41">
        <f>IFERROR(IF(Y317=0,"",ROUNDUP(Y317/H317,0)*0.0059),"")</f>
        <v>3.5400000000000001E-2</v>
      </c>
      <c r="AA317" s="68" t="s">
        <v>46</v>
      </c>
      <c r="AB317" s="69" t="s">
        <v>46</v>
      </c>
      <c r="AC317" s="412" t="s">
        <v>536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6.0555555555555554</v>
      </c>
      <c r="BN317" s="78">
        <f>IFERROR(Y317*I317/H317,"0")</f>
        <v>6.5400000000000009</v>
      </c>
      <c r="BO317" s="78">
        <f>IFERROR(1/J317*(X317/H317),"0")</f>
        <v>2.5720164609053495E-2</v>
      </c>
      <c r="BP317" s="78">
        <f>IFERROR(1/J317*(Y317/H317),"0")</f>
        <v>2.7777777777777776E-2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12.222222222222221</v>
      </c>
      <c r="Y318" s="43">
        <f>IFERROR(Y315/H315,"0")+IFERROR(Y316/H316,"0")+IFERROR(Y317/H317,"0")</f>
        <v>13</v>
      </c>
      <c r="Z318" s="43">
        <f>IFERROR(IF(Z315="",0,Z315),"0")+IFERROR(IF(Z316="",0,Z316),"0")+IFERROR(IF(Z317="",0,Z317),"0")</f>
        <v>7.669999999999999E-2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17</v>
      </c>
      <c r="Y319" s="43">
        <f>IFERROR(SUM(Y315:Y317),"0")</f>
        <v>18</v>
      </c>
      <c r="Z319" s="42"/>
      <c r="AA319" s="67"/>
      <c r="AB319" s="67"/>
      <c r="AC319" s="67"/>
    </row>
    <row r="320" spans="1:68" ht="16.5" hidden="1" customHeight="1" x14ac:dyDescent="0.25">
      <c r="A320" s="709" t="s">
        <v>541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125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130</v>
      </c>
      <c r="L322" s="37" t="s">
        <v>46</v>
      </c>
      <c r="M322" s="38" t="s">
        <v>129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544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545</v>
      </c>
      <c r="B323" s="63" t="s">
        <v>546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130</v>
      </c>
      <c r="L323" s="37" t="s">
        <v>46</v>
      </c>
      <c r="M323" s="38" t="s">
        <v>129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547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130</v>
      </c>
      <c r="L324" s="37" t="s">
        <v>46</v>
      </c>
      <c r="M324" s="38" t="s">
        <v>129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550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551</v>
      </c>
      <c r="B325" s="63" t="s">
        <v>552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129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553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554</v>
      </c>
      <c r="B326" s="63" t="s">
        <v>555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137</v>
      </c>
      <c r="L326" s="37" t="s">
        <v>46</v>
      </c>
      <c r="M326" s="38" t="s">
        <v>129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556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557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86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558</v>
      </c>
      <c r="B331" s="63" t="s">
        <v>559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560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561</v>
      </c>
      <c r="B332" s="63" t="s">
        <v>562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160</v>
      </c>
      <c r="Y332" s="55">
        <f>IFERROR(IF(X332="",0,CEILING((X332/$H332),1)*$H332),"")</f>
        <v>160.79999999999998</v>
      </c>
      <c r="Z332" s="41">
        <f>IFERROR(IF(Y332=0,"",ROUNDUP(Y332/H332,0)*0.00651),"")</f>
        <v>0.43617</v>
      </c>
      <c r="AA332" s="68" t="s">
        <v>46</v>
      </c>
      <c r="AB332" s="69" t="s">
        <v>46</v>
      </c>
      <c r="AC332" s="426" t="s">
        <v>563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176.80000000000004</v>
      </c>
      <c r="BN332" s="78">
        <f>IFERROR(Y332*I332/H332,"0")</f>
        <v>177.684</v>
      </c>
      <c r="BO332" s="78">
        <f>IFERROR(1/J332*(X332/H332),"0")</f>
        <v>0.36630036630036633</v>
      </c>
      <c r="BP332" s="78">
        <f>IFERROR(1/J332*(Y332/H332),"0")</f>
        <v>0.36813186813186816</v>
      </c>
    </row>
    <row r="333" spans="1:68" ht="27" customHeight="1" x14ac:dyDescent="0.25">
      <c r="A333" s="63" t="s">
        <v>564</v>
      </c>
      <c r="B333" s="63" t="s">
        <v>565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200</v>
      </c>
      <c r="Y333" s="55">
        <f>IFERROR(IF(X333="",0,CEILING((X333/$H333),1)*$H333),"")</f>
        <v>201.6</v>
      </c>
      <c r="Z333" s="41">
        <f>IFERROR(IF(Y333=0,"",ROUNDUP(Y333/H333,0)*0.00651),"")</f>
        <v>0.54683999999999999</v>
      </c>
      <c r="AA333" s="68" t="s">
        <v>46</v>
      </c>
      <c r="AB333" s="69" t="s">
        <v>46</v>
      </c>
      <c r="AC333" s="428" t="s">
        <v>560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215</v>
      </c>
      <c r="BN333" s="78">
        <f>IFERROR(Y333*I333/H333,"0")</f>
        <v>216.72000000000003</v>
      </c>
      <c r="BO333" s="78">
        <f>IFERROR(1/J333*(X333/H333),"0")</f>
        <v>0.45787545787545797</v>
      </c>
      <c r="BP333" s="78">
        <f>IFERROR(1/J333*(Y333/H333),"0")</f>
        <v>0.46153846153846156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150</v>
      </c>
      <c r="Y334" s="43">
        <f>IFERROR(Y331/H331,"0")+IFERROR(Y332/H332,"0")+IFERROR(Y333/H333,"0")</f>
        <v>151</v>
      </c>
      <c r="Z334" s="43">
        <f>IFERROR(IF(Z331="",0,Z331),"0")+IFERROR(IF(Z332="",0,Z332),"0")+IFERROR(IF(Z333="",0,Z333),"0")</f>
        <v>0.98300999999999994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360</v>
      </c>
      <c r="Y335" s="43">
        <f>IFERROR(SUM(Y331:Y333),"0")</f>
        <v>362.4</v>
      </c>
      <c r="Z335" s="42"/>
      <c r="AA335" s="67"/>
      <c r="AB335" s="67"/>
      <c r="AC335" s="67"/>
    </row>
    <row r="336" spans="1:68" ht="16.5" hidden="1" customHeight="1" x14ac:dyDescent="0.25">
      <c r="A336" s="709" t="s">
        <v>566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77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401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571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574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575</v>
      </c>
      <c r="B341" s="63" t="s">
        <v>576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577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578</v>
      </c>
      <c r="B342" s="63" t="s">
        <v>579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580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86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581</v>
      </c>
      <c r="B346" s="63" t="s">
        <v>582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137</v>
      </c>
      <c r="L346" s="37" t="s">
        <v>46</v>
      </c>
      <c r="M346" s="38" t="s">
        <v>90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583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584</v>
      </c>
      <c r="B347" s="63" t="s">
        <v>585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137</v>
      </c>
      <c r="L347" s="37" t="s">
        <v>46</v>
      </c>
      <c r="M347" s="38" t="s">
        <v>90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586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587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125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588</v>
      </c>
      <c r="B352" s="63" t="s">
        <v>589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130</v>
      </c>
      <c r="L352" s="37" t="s">
        <v>46</v>
      </c>
      <c r="M352" s="38" t="s">
        <v>90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300</v>
      </c>
      <c r="Y352" s="55">
        <f>IFERROR(IF(X352="",0,CEILING((X352/$H352),1)*$H352),"")</f>
        <v>304.2</v>
      </c>
      <c r="Z352" s="41">
        <f>IFERROR(IF(Y352=0,"",ROUNDUP(Y352/H352,0)*0.01898),"")</f>
        <v>0.74021999999999999</v>
      </c>
      <c r="AA352" s="68" t="s">
        <v>46</v>
      </c>
      <c r="AB352" s="69" t="s">
        <v>46</v>
      </c>
      <c r="AC352" s="444" t="s">
        <v>360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315.76923076923083</v>
      </c>
      <c r="BN352" s="78">
        <f>IFERROR(Y352*I352/H352,"0")</f>
        <v>320.19</v>
      </c>
      <c r="BO352" s="78">
        <f>IFERROR(1/J352*(X352/H352),"0")</f>
        <v>0.60096153846153844</v>
      </c>
      <c r="BP352" s="78">
        <f>IFERROR(1/J352*(Y352/H352),"0")</f>
        <v>0.609375</v>
      </c>
    </row>
    <row r="353" spans="1:68" ht="27" customHeight="1" x14ac:dyDescent="0.25">
      <c r="A353" s="63" t="s">
        <v>590</v>
      </c>
      <c r="B353" s="63" t="s">
        <v>591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130</v>
      </c>
      <c r="L353" s="37" t="s">
        <v>46</v>
      </c>
      <c r="M353" s="38" t="s">
        <v>90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350</v>
      </c>
      <c r="Y353" s="55">
        <f>IFERROR(IF(X353="",0,CEILING((X353/$H353),1)*$H353),"")</f>
        <v>351</v>
      </c>
      <c r="Z353" s="41">
        <f>IFERROR(IF(Y353=0,"",ROUNDUP(Y353/H353,0)*0.01898),"")</f>
        <v>0.85409999999999997</v>
      </c>
      <c r="AA353" s="68" t="s">
        <v>46</v>
      </c>
      <c r="AB353" s="69" t="s">
        <v>46</v>
      </c>
      <c r="AC353" s="446" t="s">
        <v>592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368.39743589743597</v>
      </c>
      <c r="BN353" s="78">
        <f>IFERROR(Y353*I353/H353,"0")</f>
        <v>369.45000000000005</v>
      </c>
      <c r="BO353" s="78">
        <f>IFERROR(1/J353*(X353/H353),"0")</f>
        <v>0.70112179487179493</v>
      </c>
      <c r="BP353" s="78">
        <f>IFERROR(1/J353*(Y353/H353),"0")</f>
        <v>0.703125</v>
      </c>
    </row>
    <row r="354" spans="1:68" ht="27" customHeight="1" x14ac:dyDescent="0.25">
      <c r="A354" s="63" t="s">
        <v>593</v>
      </c>
      <c r="B354" s="63" t="s">
        <v>594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130</v>
      </c>
      <c r="L354" s="37" t="s">
        <v>46</v>
      </c>
      <c r="M354" s="38" t="s">
        <v>90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100</v>
      </c>
      <c r="Y354" s="55">
        <f>IFERROR(IF(X354="",0,CEILING((X354/$H354),1)*$H354),"")</f>
        <v>101.39999999999999</v>
      </c>
      <c r="Z354" s="41">
        <f>IFERROR(IF(Y354=0,"",ROUNDUP(Y354/H354,0)*0.01898),"")</f>
        <v>0.24674000000000001</v>
      </c>
      <c r="AA354" s="68" t="s">
        <v>46</v>
      </c>
      <c r="AB354" s="69" t="s">
        <v>46</v>
      </c>
      <c r="AC354" s="448" t="s">
        <v>595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105.25641025641028</v>
      </c>
      <c r="BN354" s="78">
        <f>IFERROR(Y354*I354/H354,"0")</f>
        <v>106.73</v>
      </c>
      <c r="BO354" s="78">
        <f>IFERROR(1/J354*(X354/H354),"0")</f>
        <v>0.20032051282051283</v>
      </c>
      <c r="BP354" s="78">
        <f>IFERROR(1/J354*(Y354/H354),"0")</f>
        <v>0.203125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96.15384615384616</v>
      </c>
      <c r="Y355" s="43">
        <f>IFERROR(Y352/H352,"0")+IFERROR(Y353/H353,"0")+IFERROR(Y354/H354,"0")</f>
        <v>97</v>
      </c>
      <c r="Z355" s="43">
        <f>IFERROR(IF(Z352="",0,Z352),"0")+IFERROR(IF(Z353="",0,Z353),"0")+IFERROR(IF(Z354="",0,Z354),"0")</f>
        <v>1.8410599999999999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750</v>
      </c>
      <c r="Y356" s="43">
        <f>IFERROR(SUM(Y352:Y354),"0")</f>
        <v>756.6</v>
      </c>
      <c r="Z356" s="42"/>
      <c r="AA356" s="67"/>
      <c r="AB356" s="67"/>
      <c r="AC356" s="67"/>
    </row>
    <row r="357" spans="1:68" ht="16.5" hidden="1" customHeight="1" x14ac:dyDescent="0.25">
      <c r="A357" s="709" t="s">
        <v>596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125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597</v>
      </c>
      <c r="B359" s="63" t="s">
        <v>598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130</v>
      </c>
      <c r="L359" s="37" t="s">
        <v>46</v>
      </c>
      <c r="M359" s="38" t="s">
        <v>129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60</v>
      </c>
      <c r="Y359" s="55">
        <f t="shared" ref="Y359:Y364" si="54">IFERROR(IF(X359="",0,CEILING((X359/$H359),1)*$H359),"")</f>
        <v>64.800000000000011</v>
      </c>
      <c r="Z359" s="41">
        <f>IFERROR(IF(Y359=0,"",ROUNDUP(Y359/H359,0)*0.01898),"")</f>
        <v>0.11388000000000001</v>
      </c>
      <c r="AA359" s="68" t="s">
        <v>46</v>
      </c>
      <c r="AB359" s="69" t="s">
        <v>46</v>
      </c>
      <c r="AC359" s="450" t="s">
        <v>599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62.277777777777779</v>
      </c>
      <c r="BN359" s="78">
        <f t="shared" ref="BN359:BN364" si="56">IFERROR(Y359*I359/H359,"0")</f>
        <v>67.260000000000005</v>
      </c>
      <c r="BO359" s="78">
        <f t="shared" ref="BO359:BO364" si="57">IFERROR(1/J359*(X359/H359),"0")</f>
        <v>8.6805555555555552E-2</v>
      </c>
      <c r="BP359" s="78">
        <f t="shared" ref="BP359:BP364" si="58">IFERROR(1/J359*(Y359/H359),"0")</f>
        <v>9.3750000000000014E-2</v>
      </c>
    </row>
    <row r="360" spans="1:68" ht="27" hidden="1" customHeight="1" x14ac:dyDescent="0.25">
      <c r="A360" s="63" t="s">
        <v>600</v>
      </c>
      <c r="B360" s="63" t="s">
        <v>601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130</v>
      </c>
      <c r="L360" s="37" t="s">
        <v>46</v>
      </c>
      <c r="M360" s="38" t="s">
        <v>129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602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603</v>
      </c>
      <c r="B361" s="63" t="s">
        <v>604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130</v>
      </c>
      <c r="L361" s="37" t="s">
        <v>46</v>
      </c>
      <c r="M361" s="38" t="s">
        <v>129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605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606</v>
      </c>
      <c r="B362" s="63" t="s">
        <v>607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130</v>
      </c>
      <c r="L362" s="37" t="s">
        <v>46</v>
      </c>
      <c r="M362" s="38" t="s">
        <v>90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608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609</v>
      </c>
      <c r="B363" s="63" t="s">
        <v>610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137</v>
      </c>
      <c r="L363" s="37" t="s">
        <v>46</v>
      </c>
      <c r="M363" s="38" t="s">
        <v>129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602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611</v>
      </c>
      <c r="B364" s="63" t="s">
        <v>612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137</v>
      </c>
      <c r="L364" s="37" t="s">
        <v>46</v>
      </c>
      <c r="M364" s="38" t="s">
        <v>129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613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5.5555555555555554</v>
      </c>
      <c r="Y365" s="43">
        <f>IFERROR(Y359/H359,"0")+IFERROR(Y360/H360,"0")+IFERROR(Y361/H361,"0")+IFERROR(Y362/H362,"0")+IFERROR(Y363/H363,"0")+IFERROR(Y364/H364,"0")</f>
        <v>6.0000000000000009</v>
      </c>
      <c r="Z365" s="43">
        <f>IFERROR(IF(Z359="",0,Z359),"0")+IFERROR(IF(Z360="",0,Z360),"0")+IFERROR(IF(Z361="",0,Z361),"0")+IFERROR(IF(Z362="",0,Z362),"0")+IFERROR(IF(Z363="",0,Z363),"0")+IFERROR(IF(Z364="",0,Z364),"0")</f>
        <v>0.11388000000000001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60</v>
      </c>
      <c r="Y366" s="43">
        <f>IFERROR(SUM(Y359:Y364),"0")</f>
        <v>64.800000000000011</v>
      </c>
      <c r="Z366" s="42"/>
      <c r="AA366" s="67"/>
      <c r="AB366" s="67"/>
      <c r="AC366" s="67"/>
    </row>
    <row r="367" spans="1:68" ht="14.25" hidden="1" customHeight="1" x14ac:dyDescent="0.25">
      <c r="A367" s="710" t="s">
        <v>77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614</v>
      </c>
      <c r="B368" s="63" t="s">
        <v>615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137</v>
      </c>
      <c r="L368" s="37" t="s">
        <v>46</v>
      </c>
      <c r="M368" s="38" t="s">
        <v>81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616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137</v>
      </c>
      <c r="L369" s="37" t="s">
        <v>46</v>
      </c>
      <c r="M369" s="38" t="s">
        <v>81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620</v>
      </c>
      <c r="B370" s="63" t="s">
        <v>621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137</v>
      </c>
      <c r="L370" s="37" t="s">
        <v>46</v>
      </c>
      <c r="M370" s="38" t="s">
        <v>81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622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623</v>
      </c>
      <c r="B371" s="63" t="s">
        <v>624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82</v>
      </c>
      <c r="L371" s="37" t="s">
        <v>46</v>
      </c>
      <c r="M371" s="38" t="s">
        <v>81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619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625</v>
      </c>
      <c r="B372" s="63" t="s">
        <v>626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244.99999999999997</v>
      </c>
      <c r="Y372" s="55">
        <f t="shared" si="59"/>
        <v>245.70000000000002</v>
      </c>
      <c r="Z372" s="41">
        <f>IFERROR(IF(Y372=0,"",ROUNDUP(Y372/H372,0)*0.00502),"")</f>
        <v>0.58733999999999997</v>
      </c>
      <c r="AA372" s="68" t="s">
        <v>46</v>
      </c>
      <c r="AB372" s="69" t="s">
        <v>46</v>
      </c>
      <c r="AC372" s="470" t="s">
        <v>627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256.66666666666663</v>
      </c>
      <c r="BN372" s="78">
        <f t="shared" si="61"/>
        <v>257.40000000000003</v>
      </c>
      <c r="BO372" s="78">
        <f t="shared" si="62"/>
        <v>0.49857549857549854</v>
      </c>
      <c r="BP372" s="78">
        <f t="shared" si="63"/>
        <v>0.5</v>
      </c>
    </row>
    <row r="373" spans="1:68" ht="27" hidden="1" customHeight="1" x14ac:dyDescent="0.25">
      <c r="A373" s="63" t="s">
        <v>628</v>
      </c>
      <c r="B373" s="63" t="s">
        <v>629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137</v>
      </c>
      <c r="L373" s="37" t="s">
        <v>46</v>
      </c>
      <c r="M373" s="38" t="s">
        <v>81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622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630</v>
      </c>
      <c r="B374" s="63" t="s">
        <v>631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91</v>
      </c>
      <c r="L374" s="37" t="s">
        <v>46</v>
      </c>
      <c r="M374" s="38" t="s">
        <v>81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30</v>
      </c>
      <c r="Y374" s="55">
        <f t="shared" si="59"/>
        <v>30.6</v>
      </c>
      <c r="Z374" s="41">
        <f>IFERROR(IF(Y374=0,"",ROUNDUP(Y374/H374,0)*0.00651),"")</f>
        <v>0.11067</v>
      </c>
      <c r="AA374" s="68" t="s">
        <v>46</v>
      </c>
      <c r="AB374" s="69" t="s">
        <v>46</v>
      </c>
      <c r="AC374" s="474" t="s">
        <v>632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33.800000000000004</v>
      </c>
      <c r="BN374" s="78">
        <f t="shared" si="61"/>
        <v>34.475999999999999</v>
      </c>
      <c r="BO374" s="78">
        <f t="shared" si="62"/>
        <v>9.1575091575091583E-2</v>
      </c>
      <c r="BP374" s="78">
        <f t="shared" si="63"/>
        <v>9.3406593406593408E-2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133.33333333333331</v>
      </c>
      <c r="Y375" s="43">
        <f>IFERROR(Y368/H368,"0")+IFERROR(Y369/H369,"0")+IFERROR(Y370/H370,"0")+IFERROR(Y371/H371,"0")+IFERROR(Y372/H372,"0")+IFERROR(Y373/H373,"0")+IFERROR(Y374/H374,"0")</f>
        <v>134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0.69801000000000002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275</v>
      </c>
      <c r="Y376" s="43">
        <f>IFERROR(SUM(Y368:Y374),"0")</f>
        <v>276.3</v>
      </c>
      <c r="Z376" s="42"/>
      <c r="AA376" s="67"/>
      <c r="AB376" s="67"/>
      <c r="AC376" s="67"/>
    </row>
    <row r="377" spans="1:68" ht="14.25" hidden="1" customHeight="1" x14ac:dyDescent="0.25">
      <c r="A377" s="710" t="s">
        <v>86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633</v>
      </c>
      <c r="B378" s="63" t="s">
        <v>634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130</v>
      </c>
      <c r="L378" s="37" t="s">
        <v>46</v>
      </c>
      <c r="M378" s="38" t="s">
        <v>90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635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636</v>
      </c>
      <c r="B379" s="63" t="s">
        <v>637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130</v>
      </c>
      <c r="L379" s="37" t="s">
        <v>46</v>
      </c>
      <c r="M379" s="38" t="s">
        <v>90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638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639</v>
      </c>
      <c r="B380" s="63" t="s">
        <v>640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130</v>
      </c>
      <c r="L380" s="37" t="s">
        <v>46</v>
      </c>
      <c r="M380" s="38" t="s">
        <v>90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641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642</v>
      </c>
      <c r="B381" s="63" t="s">
        <v>643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91</v>
      </c>
      <c r="L381" s="37" t="s">
        <v>46</v>
      </c>
      <c r="M381" s="38" t="s">
        <v>90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635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175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644</v>
      </c>
      <c r="B385" s="63" t="s">
        <v>645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130</v>
      </c>
      <c r="L385" s="37" t="s">
        <v>46</v>
      </c>
      <c r="M385" s="38" t="s">
        <v>90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800</v>
      </c>
      <c r="Y385" s="55">
        <f>IFERROR(IF(X385="",0,CEILING((X385/$H385),1)*$H385),"")</f>
        <v>806.40000000000009</v>
      </c>
      <c r="Z385" s="41">
        <f>IFERROR(IF(Y385=0,"",ROUNDUP(Y385/H385,0)*0.01898),"")</f>
        <v>1.8220800000000001</v>
      </c>
      <c r="AA385" s="68" t="s">
        <v>46</v>
      </c>
      <c r="AB385" s="69" t="s">
        <v>46</v>
      </c>
      <c r="AC385" s="484" t="s">
        <v>646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847.04761904761904</v>
      </c>
      <c r="BN385" s="78">
        <f>IFERROR(Y385*I385/H385,"0")</f>
        <v>853.82400000000007</v>
      </c>
      <c r="BO385" s="78">
        <f>IFERROR(1/J385*(X385/H385),"0")</f>
        <v>1.4880952380952381</v>
      </c>
      <c r="BP385" s="78">
        <f>IFERROR(1/J385*(Y385/H385),"0")</f>
        <v>1.5</v>
      </c>
    </row>
    <row r="386" spans="1:68" ht="27" customHeight="1" x14ac:dyDescent="0.25">
      <c r="A386" s="63" t="s">
        <v>647</v>
      </c>
      <c r="B386" s="63" t="s">
        <v>648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130</v>
      </c>
      <c r="L386" s="37" t="s">
        <v>46</v>
      </c>
      <c r="M386" s="38" t="s">
        <v>90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500</v>
      </c>
      <c r="Y386" s="55">
        <f>IFERROR(IF(X386="",0,CEILING((X386/$H386),1)*$H386),"")</f>
        <v>507</v>
      </c>
      <c r="Z386" s="41">
        <f>IFERROR(IF(Y386=0,"",ROUNDUP(Y386/H386,0)*0.01898),"")</f>
        <v>1.2337</v>
      </c>
      <c r="AA386" s="68" t="s">
        <v>46</v>
      </c>
      <c r="AB386" s="69" t="s">
        <v>46</v>
      </c>
      <c r="AC386" s="486" t="s">
        <v>649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531.66666666666663</v>
      </c>
      <c r="BN386" s="78">
        <f>IFERROR(Y386*I386/H386,"0")</f>
        <v>539.11</v>
      </c>
      <c r="BO386" s="78">
        <f>IFERROR(1/J386*(X386/H386),"0")</f>
        <v>1.0016025641025641</v>
      </c>
      <c r="BP386" s="78">
        <f>IFERROR(1/J386*(Y386/H386),"0")</f>
        <v>1.015625</v>
      </c>
    </row>
    <row r="387" spans="1:68" ht="27" customHeight="1" x14ac:dyDescent="0.25">
      <c r="A387" s="63" t="s">
        <v>650</v>
      </c>
      <c r="B387" s="63" t="s">
        <v>651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130</v>
      </c>
      <c r="L387" s="37" t="s">
        <v>46</v>
      </c>
      <c r="M387" s="38" t="s">
        <v>97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120</v>
      </c>
      <c r="Y387" s="55">
        <f>IFERROR(IF(X387="",0,CEILING((X387/$H387),1)*$H387),"")</f>
        <v>126</v>
      </c>
      <c r="Z387" s="41">
        <f>IFERROR(IF(Y387=0,"",ROUNDUP(Y387/H387,0)*0.01898),"")</f>
        <v>0.28470000000000001</v>
      </c>
      <c r="AA387" s="68" t="s">
        <v>46</v>
      </c>
      <c r="AB387" s="69" t="s">
        <v>46</v>
      </c>
      <c r="AC387" s="488" t="s">
        <v>652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127.05714285714285</v>
      </c>
      <c r="BN387" s="78">
        <f>IFERROR(Y387*I387/H387,"0")</f>
        <v>133.41</v>
      </c>
      <c r="BO387" s="78">
        <f>IFERROR(1/J387*(X387/H387),"0")</f>
        <v>0.2232142857142857</v>
      </c>
      <c r="BP387" s="78">
        <f>IFERROR(1/J387*(Y387/H387),"0")</f>
        <v>0.234375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173.62637362637361</v>
      </c>
      <c r="Y388" s="43">
        <f>IFERROR(Y385/H385,"0")+IFERROR(Y386/H386,"0")+IFERROR(Y387/H387,"0")</f>
        <v>176</v>
      </c>
      <c r="Z388" s="43">
        <f>IFERROR(IF(Z385="",0,Z385),"0")+IFERROR(IF(Z386="",0,Z386),"0")+IFERROR(IF(Z387="",0,Z387),"0")</f>
        <v>3.3404800000000003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1420</v>
      </c>
      <c r="Y389" s="43">
        <f>IFERROR(SUM(Y385:Y387),"0")</f>
        <v>1439.4</v>
      </c>
      <c r="Z389" s="42"/>
      <c r="AA389" s="67"/>
      <c r="AB389" s="67"/>
      <c r="AC389" s="67"/>
    </row>
    <row r="390" spans="1:68" ht="14.25" hidden="1" customHeight="1" x14ac:dyDescent="0.25">
      <c r="A390" s="710" t="s">
        <v>283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653</v>
      </c>
      <c r="B391" s="63" t="s">
        <v>654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137</v>
      </c>
      <c r="L391" s="37" t="s">
        <v>46</v>
      </c>
      <c r="M391" s="38" t="s">
        <v>251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655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656</v>
      </c>
      <c r="B392" s="63" t="s">
        <v>657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137</v>
      </c>
      <c r="L392" s="37" t="s">
        <v>46</v>
      </c>
      <c r="M392" s="38" t="s">
        <v>251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655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658</v>
      </c>
      <c r="B393" s="63" t="s">
        <v>659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91</v>
      </c>
      <c r="L393" s="37" t="s">
        <v>46</v>
      </c>
      <c r="M393" s="38" t="s">
        <v>251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655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660</v>
      </c>
      <c r="B394" s="63" t="s">
        <v>661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655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662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663</v>
      </c>
      <c r="B398" s="63" t="s">
        <v>664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91</v>
      </c>
      <c r="L398" s="37" t="s">
        <v>46</v>
      </c>
      <c r="M398" s="38" t="s">
        <v>666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665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667</v>
      </c>
      <c r="B399" s="63" t="s">
        <v>668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666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665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669</v>
      </c>
      <c r="B400" s="63" t="s">
        <v>670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666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665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671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672</v>
      </c>
      <c r="B404" s="63" t="s">
        <v>673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91</v>
      </c>
      <c r="L404" s="37" t="s">
        <v>46</v>
      </c>
      <c r="M404" s="38" t="s">
        <v>666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674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675</v>
      </c>
      <c r="B405" s="63" t="s">
        <v>676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137</v>
      </c>
      <c r="L405" s="37" t="s">
        <v>46</v>
      </c>
      <c r="M405" s="38" t="s">
        <v>666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677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678</v>
      </c>
      <c r="B406" s="63" t="s">
        <v>679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666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674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680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86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681</v>
      </c>
      <c r="B411" s="63" t="s">
        <v>682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130</v>
      </c>
      <c r="L411" s="37" t="s">
        <v>46</v>
      </c>
      <c r="M411" s="38" t="s">
        <v>90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108</v>
      </c>
      <c r="AC411" s="510" t="s">
        <v>683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684</v>
      </c>
      <c r="B412" s="63" t="s">
        <v>685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130</v>
      </c>
      <c r="L412" s="37" t="s">
        <v>46</v>
      </c>
      <c r="M412" s="38" t="s">
        <v>90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108</v>
      </c>
      <c r="AC412" s="512" t="s">
        <v>686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687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86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688</v>
      </c>
      <c r="B417" s="63" t="s">
        <v>689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130</v>
      </c>
      <c r="L417" s="37" t="s">
        <v>46</v>
      </c>
      <c r="M417" s="38" t="s">
        <v>97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690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691</v>
      </c>
      <c r="B418" s="63" t="s">
        <v>692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91</v>
      </c>
      <c r="L418" s="37" t="s">
        <v>46</v>
      </c>
      <c r="M418" s="38" t="s">
        <v>90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693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694</v>
      </c>
      <c r="B419" s="63" t="s">
        <v>695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91</v>
      </c>
      <c r="L419" s="37" t="s">
        <v>46</v>
      </c>
      <c r="M419" s="38" t="s">
        <v>97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696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hidden="1" customHeight="1" x14ac:dyDescent="0.2">
      <c r="A422" s="708" t="s">
        <v>697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698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125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customHeight="1" x14ac:dyDescent="0.25">
      <c r="A425" s="63" t="s">
        <v>699</v>
      </c>
      <c r="B425" s="63" t="s">
        <v>700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130</v>
      </c>
      <c r="L425" s="37" t="s">
        <v>46</v>
      </c>
      <c r="M425" s="38" t="s">
        <v>97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50</v>
      </c>
      <c r="Y425" s="55">
        <f t="shared" ref="Y425:Y432" si="64">IFERROR(IF(X425="",0,CEILING((X425/$H425),1)*$H425),"")</f>
        <v>60</v>
      </c>
      <c r="Z425" s="41">
        <f>IFERROR(IF(Y425=0,"",ROUNDUP(Y425/H425,0)*0.02175),"")</f>
        <v>8.6999999999999994E-2</v>
      </c>
      <c r="AA425" s="68" t="s">
        <v>46</v>
      </c>
      <c r="AB425" s="69" t="s">
        <v>46</v>
      </c>
      <c r="AC425" s="520" t="s">
        <v>701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51.56666666666667</v>
      </c>
      <c r="BN425" s="78">
        <f t="shared" ref="BN425:BN432" si="66">IFERROR(Y425*I425/H425,"0")</f>
        <v>61.88</v>
      </c>
      <c r="BO425" s="78">
        <f t="shared" ref="BO425:BO432" si="67">IFERROR(1/J425*(X425/H425),"0")</f>
        <v>6.9444444444444448E-2</v>
      </c>
      <c r="BP425" s="78">
        <f t="shared" ref="BP425:BP432" si="68">IFERROR(1/J425*(Y425/H425),"0")</f>
        <v>8.3333333333333329E-2</v>
      </c>
    </row>
    <row r="426" spans="1:68" ht="37.5" hidden="1" customHeight="1" x14ac:dyDescent="0.25">
      <c r="A426" s="63" t="s">
        <v>702</v>
      </c>
      <c r="B426" s="63" t="s">
        <v>703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130</v>
      </c>
      <c r="L426" s="37" t="s">
        <v>46</v>
      </c>
      <c r="M426" s="38" t="s">
        <v>81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704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705</v>
      </c>
      <c r="B427" s="63" t="s">
        <v>706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130</v>
      </c>
      <c r="L427" s="37" t="s">
        <v>46</v>
      </c>
      <c r="M427" s="38" t="s">
        <v>129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707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708</v>
      </c>
      <c r="B428" s="63" t="s">
        <v>709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130</v>
      </c>
      <c r="L428" s="37" t="s">
        <v>46</v>
      </c>
      <c r="M428" s="38" t="s">
        <v>81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710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711</v>
      </c>
      <c r="B429" s="63" t="s">
        <v>712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130</v>
      </c>
      <c r="L429" s="37" t="s">
        <v>46</v>
      </c>
      <c r="M429" s="38" t="s">
        <v>97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713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714</v>
      </c>
      <c r="B430" s="63" t="s">
        <v>715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137</v>
      </c>
      <c r="L430" s="37" t="s">
        <v>46</v>
      </c>
      <c r="M430" s="38" t="s">
        <v>129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716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717</v>
      </c>
      <c r="B431" s="63" t="s">
        <v>718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137</v>
      </c>
      <c r="L431" s="37" t="s">
        <v>46</v>
      </c>
      <c r="M431" s="38" t="s">
        <v>81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719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720</v>
      </c>
      <c r="B432" s="63" t="s">
        <v>721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137</v>
      </c>
      <c r="L432" s="37" t="s">
        <v>46</v>
      </c>
      <c r="M432" s="38" t="s">
        <v>81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722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3.3333333333333335</v>
      </c>
      <c r="Y433" s="43">
        <f>IFERROR(Y425/H425,"0")+IFERROR(Y426/H426,"0")+IFERROR(Y427/H427,"0")+IFERROR(Y428/H428,"0")+IFERROR(Y429/H429,"0")+IFERROR(Y430/H430,"0")+IFERROR(Y431/H431,"0")+IFERROR(Y432/H432,"0")</f>
        <v>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8.6999999999999994E-2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50</v>
      </c>
      <c r="Y434" s="43">
        <f>IFERROR(SUM(Y425:Y432),"0")</f>
        <v>60</v>
      </c>
      <c r="Z434" s="42"/>
      <c r="AA434" s="67"/>
      <c r="AB434" s="67"/>
      <c r="AC434" s="67"/>
    </row>
    <row r="435" spans="1:68" ht="14.25" hidden="1" customHeight="1" x14ac:dyDescent="0.25">
      <c r="A435" s="710" t="s">
        <v>158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723</v>
      </c>
      <c r="B436" s="63" t="s">
        <v>724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130</v>
      </c>
      <c r="L436" s="37" t="s">
        <v>46</v>
      </c>
      <c r="M436" s="38" t="s">
        <v>129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1000</v>
      </c>
      <c r="Y436" s="55">
        <f>IFERROR(IF(X436="",0,CEILING((X436/$H436),1)*$H436),"")</f>
        <v>1005</v>
      </c>
      <c r="Z436" s="41">
        <f>IFERROR(IF(Y436=0,"",ROUNDUP(Y436/H436,0)*0.02175),"")</f>
        <v>1.4572499999999999</v>
      </c>
      <c r="AA436" s="68" t="s">
        <v>46</v>
      </c>
      <c r="AB436" s="69" t="s">
        <v>46</v>
      </c>
      <c r="AC436" s="536" t="s">
        <v>725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1031.3333333333333</v>
      </c>
      <c r="BN436" s="78">
        <f>IFERROR(Y436*I436/H436,"0")</f>
        <v>1036.49</v>
      </c>
      <c r="BO436" s="78">
        <f>IFERROR(1/J436*(X436/H436),"0")</f>
        <v>1.3888888888888888</v>
      </c>
      <c r="BP436" s="78">
        <f>IFERROR(1/J436*(Y436/H436),"0")</f>
        <v>1.3958333333333333</v>
      </c>
    </row>
    <row r="437" spans="1:68" ht="27" customHeight="1" x14ac:dyDescent="0.25">
      <c r="A437" s="63" t="s">
        <v>726</v>
      </c>
      <c r="B437" s="63" t="s">
        <v>727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130</v>
      </c>
      <c r="L437" s="37" t="s">
        <v>46</v>
      </c>
      <c r="M437" s="38" t="s">
        <v>129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50</v>
      </c>
      <c r="Y437" s="55">
        <f>IFERROR(IF(X437="",0,CEILING((X437/$H437),1)*$H437),"")</f>
        <v>60</v>
      </c>
      <c r="Z437" s="41">
        <f>IFERROR(IF(Y437=0,"",ROUNDUP(Y437/H437,0)*0.02175),"")</f>
        <v>8.6999999999999994E-2</v>
      </c>
      <c r="AA437" s="68" t="s">
        <v>46</v>
      </c>
      <c r="AB437" s="69" t="s">
        <v>46</v>
      </c>
      <c r="AC437" s="538" t="s">
        <v>728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51.56666666666667</v>
      </c>
      <c r="BN437" s="78">
        <f>IFERROR(Y437*I437/H437,"0")</f>
        <v>61.88</v>
      </c>
      <c r="BO437" s="78">
        <f>IFERROR(1/J437*(X437/H437),"0")</f>
        <v>6.9444444444444448E-2</v>
      </c>
      <c r="BP437" s="78">
        <f>IFERROR(1/J437*(Y437/H437),"0")</f>
        <v>8.3333333333333329E-2</v>
      </c>
    </row>
    <row r="438" spans="1:68" ht="27" hidden="1" customHeight="1" x14ac:dyDescent="0.25">
      <c r="A438" s="63" t="s">
        <v>729</v>
      </c>
      <c r="B438" s="63" t="s">
        <v>730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137</v>
      </c>
      <c r="L438" s="37" t="s">
        <v>46</v>
      </c>
      <c r="M438" s="38" t="s">
        <v>129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731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70</v>
      </c>
      <c r="Y439" s="43">
        <f>IFERROR(Y436/H436,"0")+IFERROR(Y437/H437,"0")+IFERROR(Y438/H438,"0")</f>
        <v>71</v>
      </c>
      <c r="Z439" s="43">
        <f>IFERROR(IF(Z436="",0,Z436),"0")+IFERROR(IF(Z437="",0,Z437),"0")+IFERROR(IF(Z438="",0,Z438),"0")</f>
        <v>1.5442499999999999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1050</v>
      </c>
      <c r="Y440" s="43">
        <f>IFERROR(SUM(Y436:Y438),"0")</f>
        <v>1065</v>
      </c>
      <c r="Z440" s="42"/>
      <c r="AA440" s="67"/>
      <c r="AB440" s="67"/>
      <c r="AC440" s="67"/>
    </row>
    <row r="441" spans="1:68" ht="14.25" hidden="1" customHeight="1" x14ac:dyDescent="0.25">
      <c r="A441" s="710" t="s">
        <v>86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732</v>
      </c>
      <c r="B442" s="63" t="s">
        <v>733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130</v>
      </c>
      <c r="L442" s="37" t="s">
        <v>46</v>
      </c>
      <c r="M442" s="38" t="s">
        <v>90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734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735</v>
      </c>
      <c r="B443" s="63" t="s">
        <v>736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130</v>
      </c>
      <c r="L443" s="37" t="s">
        <v>46</v>
      </c>
      <c r="M443" s="38" t="s">
        <v>90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44" t="s">
        <v>737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738</v>
      </c>
      <c r="B444" s="63" t="s">
        <v>739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130</v>
      </c>
      <c r="L444" s="37" t="s">
        <v>46</v>
      </c>
      <c r="M444" s="38" t="s">
        <v>90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740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5.5555555555555554</v>
      </c>
      <c r="Y445" s="43">
        <f>IFERROR(Y442/H442,"0")+IFERROR(Y443/H443,"0")+IFERROR(Y444/H444,"0")</f>
        <v>6</v>
      </c>
      <c r="Z445" s="43">
        <f>IFERROR(IF(Z442="",0,Z442),"0")+IFERROR(IF(Z443="",0,Z443),"0")+IFERROR(IF(Z444="",0,Z444),"0")</f>
        <v>0.11388000000000001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50</v>
      </c>
      <c r="Y446" s="43">
        <f>IFERROR(SUM(Y442:Y444),"0")</f>
        <v>54</v>
      </c>
      <c r="Z446" s="42"/>
      <c r="AA446" s="67"/>
      <c r="AB446" s="67"/>
      <c r="AC446" s="67"/>
    </row>
    <row r="447" spans="1:68" ht="14.25" hidden="1" customHeight="1" x14ac:dyDescent="0.25">
      <c r="A447" s="710" t="s">
        <v>175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741</v>
      </c>
      <c r="B448" s="63" t="s">
        <v>742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130</v>
      </c>
      <c r="L448" s="37" t="s">
        <v>46</v>
      </c>
      <c r="M448" s="38" t="s">
        <v>90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743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744</v>
      </c>
      <c r="B449" s="63" t="s">
        <v>745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130</v>
      </c>
      <c r="L449" s="37" t="s">
        <v>46</v>
      </c>
      <c r="M449" s="38" t="s">
        <v>90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50</v>
      </c>
      <c r="Y449" s="55">
        <f>IFERROR(IF(X449="",0,CEILING((X449/$H449),1)*$H449),"")</f>
        <v>54</v>
      </c>
      <c r="Z449" s="41">
        <f>IFERROR(IF(Y449=0,"",ROUNDUP(Y449/H449,0)*0.01898),"")</f>
        <v>0.11388000000000001</v>
      </c>
      <c r="AA449" s="68" t="s">
        <v>46</v>
      </c>
      <c r="AB449" s="69" t="s">
        <v>46</v>
      </c>
      <c r="AC449" s="550" t="s">
        <v>746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52.74444444444444</v>
      </c>
      <c r="BN449" s="78">
        <f>IFERROR(Y449*I449/H449,"0")</f>
        <v>56.963999999999992</v>
      </c>
      <c r="BO449" s="78">
        <f>IFERROR(1/J449*(X449/H449),"0")</f>
        <v>8.6805555555555552E-2</v>
      </c>
      <c r="BP449" s="78">
        <f>IFERROR(1/J449*(Y449/H449),"0")</f>
        <v>9.375E-2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5.5555555555555554</v>
      </c>
      <c r="Y450" s="43">
        <f>IFERROR(Y448/H448,"0")+IFERROR(Y449/H449,"0")</f>
        <v>6</v>
      </c>
      <c r="Z450" s="43">
        <f>IFERROR(IF(Z448="",0,Z448),"0")+IFERROR(IF(Z449="",0,Z449),"0")</f>
        <v>0.11388000000000001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50</v>
      </c>
      <c r="Y451" s="43">
        <f>IFERROR(SUM(Y448:Y449),"0")</f>
        <v>54</v>
      </c>
      <c r="Z451" s="42"/>
      <c r="AA451" s="67"/>
      <c r="AB451" s="67"/>
      <c r="AC451" s="67"/>
    </row>
    <row r="452" spans="1:68" ht="16.5" hidden="1" customHeight="1" x14ac:dyDescent="0.25">
      <c r="A452" s="709" t="s">
        <v>747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125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748</v>
      </c>
      <c r="B454" s="63" t="s">
        <v>749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130</v>
      </c>
      <c r="L454" s="37" t="s">
        <v>46</v>
      </c>
      <c r="M454" s="38" t="s">
        <v>81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60</v>
      </c>
      <c r="Z454" s="41">
        <f>IFERROR(IF(Y454=0,"",ROUNDUP(Y454/H454,0)*0.01898),"")</f>
        <v>9.4899999999999998E-2</v>
      </c>
      <c r="AA454" s="68" t="s">
        <v>46</v>
      </c>
      <c r="AB454" s="69" t="s">
        <v>46</v>
      </c>
      <c r="AC454" s="552" t="s">
        <v>750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51.708333333333336</v>
      </c>
      <c r="BN454" s="78">
        <f>IFERROR(Y454*I454/H454,"0")</f>
        <v>62.050000000000004</v>
      </c>
      <c r="BO454" s="78">
        <f>IFERROR(1/J454*(X454/H454),"0")</f>
        <v>6.5104166666666671E-2</v>
      </c>
      <c r="BP454" s="78">
        <f>IFERROR(1/J454*(Y454/H454),"0")</f>
        <v>7.8125E-2</v>
      </c>
    </row>
    <row r="455" spans="1:68" ht="37.5" hidden="1" customHeight="1" x14ac:dyDescent="0.25">
      <c r="A455" s="63" t="s">
        <v>751</v>
      </c>
      <c r="B455" s="63" t="s">
        <v>752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137</v>
      </c>
      <c r="L455" s="37" t="s">
        <v>46</v>
      </c>
      <c r="M455" s="38" t="s">
        <v>81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750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4.166666666666667</v>
      </c>
      <c r="Y456" s="43">
        <f>IFERROR(Y454/H454,"0")+IFERROR(Y455/H455,"0")</f>
        <v>5</v>
      </c>
      <c r="Z456" s="43">
        <f>IFERROR(IF(Z454="",0,Z454),"0")+IFERROR(IF(Z455="",0,Z455),"0")</f>
        <v>9.4899999999999998E-2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50</v>
      </c>
      <c r="Y457" s="43">
        <f>IFERROR(SUM(Y454:Y455),"0")</f>
        <v>60</v>
      </c>
      <c r="Z457" s="42"/>
      <c r="AA457" s="67"/>
      <c r="AB457" s="67"/>
      <c r="AC457" s="67"/>
    </row>
    <row r="458" spans="1:68" ht="14.25" hidden="1" customHeight="1" x14ac:dyDescent="0.25">
      <c r="A458" s="710" t="s">
        <v>77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753</v>
      </c>
      <c r="B459" s="63" t="s">
        <v>754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137</v>
      </c>
      <c r="L459" s="37" t="s">
        <v>46</v>
      </c>
      <c r="M459" s="38" t="s">
        <v>81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755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86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756</v>
      </c>
      <c r="B463" s="63" t="s">
        <v>757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130</v>
      </c>
      <c r="L463" s="37" t="s">
        <v>46</v>
      </c>
      <c r="M463" s="38" t="s">
        <v>90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50</v>
      </c>
      <c r="Y463" s="55">
        <f>IFERROR(IF(X463="",0,CEILING((X463/$H463),1)*$H463),"")</f>
        <v>54</v>
      </c>
      <c r="Z463" s="41">
        <f>IFERROR(IF(Y463=0,"",ROUNDUP(Y463/H463,0)*0.01898),"")</f>
        <v>0.11388000000000001</v>
      </c>
      <c r="AA463" s="68" t="s">
        <v>46</v>
      </c>
      <c r="AB463" s="69" t="s">
        <v>46</v>
      </c>
      <c r="AC463" s="558" t="s">
        <v>758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52.74444444444444</v>
      </c>
      <c r="BN463" s="78">
        <f>IFERROR(Y463*I463/H463,"0")</f>
        <v>56.963999999999992</v>
      </c>
      <c r="BO463" s="78">
        <f>IFERROR(1/J463*(X463/H463),"0")</f>
        <v>8.6805555555555552E-2</v>
      </c>
      <c r="BP463" s="78">
        <f>IFERROR(1/J463*(Y463/H463),"0")</f>
        <v>9.375E-2</v>
      </c>
    </row>
    <row r="464" spans="1:68" ht="27" hidden="1" customHeight="1" x14ac:dyDescent="0.25">
      <c r="A464" s="63" t="s">
        <v>759</v>
      </c>
      <c r="B464" s="63" t="s">
        <v>760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91</v>
      </c>
      <c r="L464" s="37" t="s">
        <v>46</v>
      </c>
      <c r="M464" s="38" t="s">
        <v>90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758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759</v>
      </c>
      <c r="B465" s="63" t="s">
        <v>761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762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5.5555555555555554</v>
      </c>
      <c r="Y466" s="43">
        <f>IFERROR(Y463/H463,"0")+IFERROR(Y464/H464,"0")+IFERROR(Y465/H465,"0")</f>
        <v>6</v>
      </c>
      <c r="Z466" s="43">
        <f>IFERROR(IF(Z463="",0,Z463),"0")+IFERROR(IF(Z464="",0,Z464),"0")+IFERROR(IF(Z465="",0,Z465),"0")</f>
        <v>0.11388000000000001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50</v>
      </c>
      <c r="Y467" s="43">
        <f>IFERROR(SUM(Y463:Y465),"0")</f>
        <v>54</v>
      </c>
      <c r="Z467" s="42"/>
      <c r="AA467" s="67"/>
      <c r="AB467" s="67"/>
      <c r="AC467" s="67"/>
    </row>
    <row r="468" spans="1:68" ht="27.75" hidden="1" customHeight="1" x14ac:dyDescent="0.2">
      <c r="A468" s="708" t="s">
        <v>763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764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77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765</v>
      </c>
      <c r="B471" s="63" t="s">
        <v>766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137</v>
      </c>
      <c r="L471" s="37" t="s">
        <v>46</v>
      </c>
      <c r="M471" s="38" t="s">
        <v>81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767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768</v>
      </c>
      <c r="B472" s="63" t="s">
        <v>769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137</v>
      </c>
      <c r="L472" s="37" t="s">
        <v>46</v>
      </c>
      <c r="M472" s="38" t="s">
        <v>81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770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771</v>
      </c>
      <c r="B473" s="63" t="s">
        <v>772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767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778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779</v>
      </c>
      <c r="B476" s="63" t="s">
        <v>780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775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86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781</v>
      </c>
      <c r="B480" s="63" t="s">
        <v>782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137</v>
      </c>
      <c r="L480" s="37" t="s">
        <v>46</v>
      </c>
      <c r="M480" s="38" t="s">
        <v>90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783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784</v>
      </c>
      <c r="B481" s="63" t="s">
        <v>785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91</v>
      </c>
      <c r="L481" s="37" t="s">
        <v>46</v>
      </c>
      <c r="M481" s="38" t="s">
        <v>90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786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787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158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788</v>
      </c>
      <c r="B486" s="63" t="s">
        <v>789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91</v>
      </c>
      <c r="L486" s="37" t="s">
        <v>46</v>
      </c>
      <c r="M486" s="38" t="s">
        <v>81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790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77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791</v>
      </c>
      <c r="B490" s="63" t="s">
        <v>792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137</v>
      </c>
      <c r="L490" s="37" t="s">
        <v>46</v>
      </c>
      <c r="M490" s="38" t="s">
        <v>81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793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82</v>
      </c>
      <c r="L491" s="37" t="s">
        <v>46</v>
      </c>
      <c r="M491" s="38" t="s">
        <v>81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796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796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799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799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125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800</v>
      </c>
      <c r="B498" s="63" t="s">
        <v>801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130</v>
      </c>
      <c r="L498" s="37" t="s">
        <v>46</v>
      </c>
      <c r="M498" s="38" t="s">
        <v>90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128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802</v>
      </c>
      <c r="B499" s="63" t="s">
        <v>803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130</v>
      </c>
      <c r="L499" s="37" t="s">
        <v>46</v>
      </c>
      <c r="M499" s="38" t="s">
        <v>129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804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805</v>
      </c>
      <c r="B500" s="63" t="s">
        <v>806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130</v>
      </c>
      <c r="L500" s="37" t="s">
        <v>46</v>
      </c>
      <c r="M500" s="38" t="s">
        <v>129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807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808</v>
      </c>
      <c r="B501" s="63" t="s">
        <v>809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130</v>
      </c>
      <c r="L501" s="37" t="s">
        <v>46</v>
      </c>
      <c r="M501" s="38" t="s">
        <v>129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80</v>
      </c>
      <c r="Y501" s="55">
        <f t="shared" si="74"/>
        <v>84.48</v>
      </c>
      <c r="Z501" s="41">
        <f t="shared" si="75"/>
        <v>0.19136</v>
      </c>
      <c r="AA501" s="68" t="s">
        <v>46</v>
      </c>
      <c r="AB501" s="69" t="s">
        <v>46</v>
      </c>
      <c r="AC501" s="594" t="s">
        <v>810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85.303030303030297</v>
      </c>
      <c r="BN501" s="78">
        <f t="shared" si="77"/>
        <v>90.08</v>
      </c>
      <c r="BO501" s="78">
        <f t="shared" si="78"/>
        <v>0.14568764568764569</v>
      </c>
      <c r="BP501" s="78">
        <f t="shared" si="79"/>
        <v>0.15384615384615385</v>
      </c>
    </row>
    <row r="502" spans="1:68" ht="16.5" hidden="1" customHeight="1" x14ac:dyDescent="0.25">
      <c r="A502" s="63" t="s">
        <v>811</v>
      </c>
      <c r="B502" s="63" t="s">
        <v>812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130</v>
      </c>
      <c r="L502" s="37" t="s">
        <v>46</v>
      </c>
      <c r="M502" s="38" t="s">
        <v>90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813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814</v>
      </c>
      <c r="B503" s="63" t="s">
        <v>815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130</v>
      </c>
      <c r="L503" s="37" t="s">
        <v>46</v>
      </c>
      <c r="M503" s="38" t="s">
        <v>129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400</v>
      </c>
      <c r="Y503" s="55">
        <f t="shared" si="74"/>
        <v>401.28000000000003</v>
      </c>
      <c r="Z503" s="41">
        <f t="shared" si="75"/>
        <v>0.90895999999999999</v>
      </c>
      <c r="AA503" s="68" t="s">
        <v>46</v>
      </c>
      <c r="AB503" s="69" t="s">
        <v>46</v>
      </c>
      <c r="AC503" s="598" t="s">
        <v>816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426.5151515151515</v>
      </c>
      <c r="BN503" s="78">
        <f t="shared" si="77"/>
        <v>427.88</v>
      </c>
      <c r="BO503" s="78">
        <f t="shared" si="78"/>
        <v>0.72843822843822836</v>
      </c>
      <c r="BP503" s="78">
        <f t="shared" si="79"/>
        <v>0.73076923076923084</v>
      </c>
    </row>
    <row r="504" spans="1:68" ht="27" hidden="1" customHeight="1" x14ac:dyDescent="0.25">
      <c r="A504" s="63" t="s">
        <v>817</v>
      </c>
      <c r="B504" s="63" t="s">
        <v>818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91</v>
      </c>
      <c r="L504" s="37" t="s">
        <v>46</v>
      </c>
      <c r="M504" s="38" t="s">
        <v>90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128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137</v>
      </c>
      <c r="L505" s="37" t="s">
        <v>46</v>
      </c>
      <c r="M505" s="38" t="s">
        <v>90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128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821</v>
      </c>
      <c r="B506" s="63" t="s">
        <v>822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137</v>
      </c>
      <c r="L506" s="37" t="s">
        <v>46</v>
      </c>
      <c r="M506" s="38" t="s">
        <v>129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180</v>
      </c>
      <c r="Y506" s="55">
        <f t="shared" si="74"/>
        <v>182.4</v>
      </c>
      <c r="Z506" s="41">
        <f>IFERROR(IF(Y506=0,"",ROUNDUP(Y506/H506,0)*0.00902),"")</f>
        <v>0.34276000000000001</v>
      </c>
      <c r="AA506" s="68" t="s">
        <v>46</v>
      </c>
      <c r="AB506" s="69" t="s">
        <v>46</v>
      </c>
      <c r="AC506" s="604" t="s">
        <v>816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259.125</v>
      </c>
      <c r="BN506" s="78">
        <f t="shared" si="77"/>
        <v>262.58000000000004</v>
      </c>
      <c r="BO506" s="78">
        <f t="shared" si="78"/>
        <v>0.28409090909090912</v>
      </c>
      <c r="BP506" s="78">
        <f t="shared" si="79"/>
        <v>0.2878787878787879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128.40909090909091</v>
      </c>
      <c r="Y507" s="43">
        <f>IFERROR(Y498/H498,"0")+IFERROR(Y499/H499,"0")+IFERROR(Y500/H500,"0")+IFERROR(Y501/H501,"0")+IFERROR(Y502/H502,"0")+IFERROR(Y503/H503,"0")+IFERROR(Y504/H504,"0")+IFERROR(Y505/H505,"0")+IFERROR(Y506/H506,"0")</f>
        <v>130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1.4430799999999999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660</v>
      </c>
      <c r="Y508" s="43">
        <f>IFERROR(SUM(Y498:Y506),"0")</f>
        <v>668.16000000000008</v>
      </c>
      <c r="Z508" s="42"/>
      <c r="AA508" s="67"/>
      <c r="AB508" s="67"/>
      <c r="AC508" s="67"/>
    </row>
    <row r="509" spans="1:68" ht="14.25" hidden="1" customHeight="1" x14ac:dyDescent="0.25">
      <c r="A509" s="710" t="s">
        <v>158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823</v>
      </c>
      <c r="B510" s="63" t="s">
        <v>824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130</v>
      </c>
      <c r="L510" s="37" t="s">
        <v>46</v>
      </c>
      <c r="M510" s="38" t="s">
        <v>90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500</v>
      </c>
      <c r="Y510" s="55">
        <f>IFERROR(IF(X510="",0,CEILING((X510/$H510),1)*$H510),"")</f>
        <v>501.6</v>
      </c>
      <c r="Z510" s="41">
        <f>IFERROR(IF(Y510=0,"",ROUNDUP(Y510/H510,0)*0.01196),"")</f>
        <v>1.1362000000000001</v>
      </c>
      <c r="AA510" s="68" t="s">
        <v>46</v>
      </c>
      <c r="AB510" s="69" t="s">
        <v>46</v>
      </c>
      <c r="AC510" s="606" t="s">
        <v>825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533.14393939393938</v>
      </c>
      <c r="BN510" s="78">
        <f>IFERROR(Y510*I510/H510,"0")</f>
        <v>534.85</v>
      </c>
      <c r="BO510" s="78">
        <f>IFERROR(1/J510*(X510/H510),"0")</f>
        <v>0.91054778554778548</v>
      </c>
      <c r="BP510" s="78">
        <f>IFERROR(1/J510*(Y510/H510),"0")</f>
        <v>0.91346153846153855</v>
      </c>
    </row>
    <row r="511" spans="1:68" ht="16.5" hidden="1" customHeight="1" x14ac:dyDescent="0.25">
      <c r="A511" s="63" t="s">
        <v>826</v>
      </c>
      <c r="B511" s="63" t="s">
        <v>827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129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825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828</v>
      </c>
      <c r="B512" s="63" t="s">
        <v>829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137</v>
      </c>
      <c r="L512" s="37" t="s">
        <v>46</v>
      </c>
      <c r="M512" s="38" t="s">
        <v>129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156</v>
      </c>
      <c r="Y512" s="55">
        <f>IFERROR(IF(X512="",0,CEILING((X512/$H512),1)*$H512),"")</f>
        <v>158.4</v>
      </c>
      <c r="Z512" s="41">
        <f>IFERROR(IF(Y512=0,"",ROUNDUP(Y512/H512,0)*0.00902),"")</f>
        <v>0.29766000000000004</v>
      </c>
      <c r="AA512" s="68" t="s">
        <v>46</v>
      </c>
      <c r="AB512" s="69" t="s">
        <v>46</v>
      </c>
      <c r="AC512" s="610" t="s">
        <v>825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224.57500000000002</v>
      </c>
      <c r="BN512" s="78">
        <f>IFERROR(Y512*I512/H512,"0")</f>
        <v>228.03000000000003</v>
      </c>
      <c r="BO512" s="78">
        <f>IFERROR(1/J512*(X512/H512),"0")</f>
        <v>0.24621212121212122</v>
      </c>
      <c r="BP512" s="78">
        <f>IFERROR(1/J512*(Y512/H512),"0")</f>
        <v>0.25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127.19696969696969</v>
      </c>
      <c r="Y513" s="43">
        <f>IFERROR(Y510/H510,"0")+IFERROR(Y511/H511,"0")+IFERROR(Y512/H512,"0")</f>
        <v>128</v>
      </c>
      <c r="Z513" s="43">
        <f>IFERROR(IF(Z510="",0,Z510),"0")+IFERROR(IF(Z511="",0,Z511),"0")+IFERROR(IF(Z512="",0,Z512),"0")</f>
        <v>1.4338600000000001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656</v>
      </c>
      <c r="Y514" s="43">
        <f>IFERROR(SUM(Y510:Y512),"0")</f>
        <v>660</v>
      </c>
      <c r="Z514" s="42"/>
      <c r="AA514" s="67"/>
      <c r="AB514" s="67"/>
      <c r="AC514" s="67"/>
    </row>
    <row r="515" spans="1:68" ht="14.25" hidden="1" customHeight="1" x14ac:dyDescent="0.25">
      <c r="A515" s="710" t="s">
        <v>77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hidden="1" customHeight="1" x14ac:dyDescent="0.25">
      <c r="A516" s="63" t="s">
        <v>830</v>
      </c>
      <c r="B516" s="63" t="s">
        <v>831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130</v>
      </c>
      <c r="L516" s="37" t="s">
        <v>46</v>
      </c>
      <c r="M516" s="38" t="s">
        <v>129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832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833</v>
      </c>
      <c r="B517" s="63" t="s">
        <v>834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130</v>
      </c>
      <c r="L517" s="37" t="s">
        <v>46</v>
      </c>
      <c r="M517" s="38" t="s">
        <v>81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835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customHeight="1" x14ac:dyDescent="0.25">
      <c r="A518" s="63" t="s">
        <v>836</v>
      </c>
      <c r="B518" s="63" t="s">
        <v>837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130</v>
      </c>
      <c r="L518" s="37" t="s">
        <v>46</v>
      </c>
      <c r="M518" s="38" t="s">
        <v>81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0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16" t="s">
        <v>838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106.62878787878788</v>
      </c>
      <c r="BN518" s="78">
        <f t="shared" si="82"/>
        <v>106.97</v>
      </c>
      <c r="BO518" s="78">
        <f t="shared" si="83"/>
        <v>0.18210955710955709</v>
      </c>
      <c r="BP518" s="78">
        <f t="shared" si="84"/>
        <v>0.18269230769230771</v>
      </c>
    </row>
    <row r="519" spans="1:68" ht="27" hidden="1" customHeight="1" x14ac:dyDescent="0.25">
      <c r="A519" s="63" t="s">
        <v>839</v>
      </c>
      <c r="B519" s="63" t="s">
        <v>840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137</v>
      </c>
      <c r="L519" s="37" t="s">
        <v>46</v>
      </c>
      <c r="M519" s="38" t="s">
        <v>129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832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137</v>
      </c>
      <c r="L520" s="37" t="s">
        <v>46</v>
      </c>
      <c r="M520" s="38" t="s">
        <v>81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835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841</v>
      </c>
      <c r="B521" s="63" t="s">
        <v>843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137</v>
      </c>
      <c r="L521" s="37" t="s">
        <v>46</v>
      </c>
      <c r="M521" s="38" t="s">
        <v>81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844</v>
      </c>
      <c r="B522" s="63" t="s">
        <v>845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137</v>
      </c>
      <c r="L522" s="37" t="s">
        <v>46</v>
      </c>
      <c r="M522" s="38" t="s">
        <v>81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168</v>
      </c>
      <c r="Y522" s="55">
        <f t="shared" si="80"/>
        <v>168</v>
      </c>
      <c r="Z522" s="41">
        <f>IFERROR(IF(Y522=0,"",ROUNDUP(Y522/H522,0)*0.00902),"")</f>
        <v>0.31569999999999998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233.45</v>
      </c>
      <c r="BN522" s="78">
        <f t="shared" si="82"/>
        <v>233.45</v>
      </c>
      <c r="BO522" s="78">
        <f t="shared" si="83"/>
        <v>0.26515151515151514</v>
      </c>
      <c r="BP522" s="78">
        <f t="shared" si="84"/>
        <v>0.26515151515151514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59.621212121212118</v>
      </c>
      <c r="Y523" s="43">
        <f>IFERROR(Y516/H516,"0")+IFERROR(Y517/H517,"0")+IFERROR(Y518/H518,"0")+IFERROR(Y519/H519,"0")+IFERROR(Y520/H520,"0")+IFERROR(Y521/H521,"0")+IFERROR(Y522/H522,"0")</f>
        <v>60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0.61470000000000002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298</v>
      </c>
      <c r="Y524" s="43">
        <f>IFERROR(SUM(Y516:Y522),"0")</f>
        <v>300</v>
      </c>
      <c r="Z524" s="42"/>
      <c r="AA524" s="67"/>
      <c r="AB524" s="67"/>
      <c r="AC524" s="67"/>
    </row>
    <row r="525" spans="1:68" ht="27.75" hidden="1" customHeight="1" x14ac:dyDescent="0.2">
      <c r="A525" s="708" t="s">
        <v>846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846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125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847</v>
      </c>
      <c r="B528" s="63" t="s">
        <v>848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130</v>
      </c>
      <c r="L528" s="37" t="s">
        <v>46</v>
      </c>
      <c r="M528" s="38" t="s">
        <v>129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849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158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850</v>
      </c>
      <c r="B532" s="63" t="s">
        <v>851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130</v>
      </c>
      <c r="L532" s="37" t="s">
        <v>46</v>
      </c>
      <c r="M532" s="38" t="s">
        <v>129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852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77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853</v>
      </c>
      <c r="B536" s="63" t="s">
        <v>854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137</v>
      </c>
      <c r="L536" s="37" t="s">
        <v>46</v>
      </c>
      <c r="M536" s="38" t="s">
        <v>81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855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86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856</v>
      </c>
      <c r="B540" s="63" t="s">
        <v>857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130</v>
      </c>
      <c r="L540" s="37" t="s">
        <v>46</v>
      </c>
      <c r="M540" s="38" t="s">
        <v>90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1050</v>
      </c>
      <c r="Y540" s="55">
        <f>IFERROR(IF(X540="",0,CEILING((X540/$H540),1)*$H540),"")</f>
        <v>1053</v>
      </c>
      <c r="Z540" s="41">
        <f>IFERROR(IF(Y540=0,"",ROUNDUP(Y540/H540,0)*0.01898),"")</f>
        <v>2.2206600000000001</v>
      </c>
      <c r="AA540" s="68" t="s">
        <v>46</v>
      </c>
      <c r="AB540" s="69" t="s">
        <v>46</v>
      </c>
      <c r="AC540" s="632" t="s">
        <v>858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1107.6333333333332</v>
      </c>
      <c r="BN540" s="78">
        <f>IFERROR(Y540*I540/H540,"0")</f>
        <v>1110.7979999999998</v>
      </c>
      <c r="BO540" s="78">
        <f>IFERROR(1/J540*(X540/H540),"0")</f>
        <v>1.8229166666666667</v>
      </c>
      <c r="BP540" s="78">
        <f>IFERROR(1/J540*(Y540/H540),"0")</f>
        <v>1.828125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116.66666666666667</v>
      </c>
      <c r="Y541" s="43">
        <f>IFERROR(Y540/H540,"0")</f>
        <v>117</v>
      </c>
      <c r="Z541" s="43">
        <f>IFERROR(IF(Z540="",0,Z540),"0")</f>
        <v>2.2206600000000001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1050</v>
      </c>
      <c r="Y542" s="43">
        <f>IFERROR(SUM(Y540:Y540),"0")</f>
        <v>1053</v>
      </c>
      <c r="Z542" s="42"/>
      <c r="AA542" s="67"/>
      <c r="AB542" s="67"/>
      <c r="AC542" s="67"/>
    </row>
    <row r="543" spans="1:68" ht="14.25" hidden="1" customHeight="1" x14ac:dyDescent="0.25">
      <c r="A543" s="710" t="s">
        <v>175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130</v>
      </c>
      <c r="L544" s="37" t="s">
        <v>46</v>
      </c>
      <c r="M544" s="38" t="s">
        <v>90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861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862</v>
      </c>
      <c r="B545" s="63" t="s">
        <v>863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130</v>
      </c>
      <c r="L545" s="37" t="s">
        <v>46</v>
      </c>
      <c r="M545" s="38" t="s">
        <v>90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864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865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158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866</v>
      </c>
      <c r="B550" s="63" t="s">
        <v>867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130</v>
      </c>
      <c r="L550" s="37" t="s">
        <v>46</v>
      </c>
      <c r="M550" s="38" t="s">
        <v>129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868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15435.300000000001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15614.080000000002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16556.900267880268</v>
      </c>
      <c r="Y554" s="43">
        <f>IFERROR(SUM(BN22:BN550),"0")</f>
        <v>16746.978000000003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30</v>
      </c>
      <c r="Y555" s="44">
        <f>ROUNDUP(SUM(BP22:BP550),0)</f>
        <v>31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17306.900267880268</v>
      </c>
      <c r="Y556" s="43">
        <f>GrossWeightTotalR+PalletQtyTotalR*25</f>
        <v>17521.978000000003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4100.4096089096092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4133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35.834430000000005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76</v>
      </c>
      <c r="C560" s="85" t="s">
        <v>45</v>
      </c>
      <c r="D560" s="1000" t="s">
        <v>123</v>
      </c>
      <c r="E560" s="1000" t="s">
        <v>123</v>
      </c>
      <c r="F560" s="1000" t="s">
        <v>123</v>
      </c>
      <c r="G560" s="1000" t="s">
        <v>123</v>
      </c>
      <c r="H560" s="1000" t="s">
        <v>123</v>
      </c>
      <c r="I560" s="1000" t="s">
        <v>123</v>
      </c>
      <c r="J560" s="1000" t="s">
        <v>123</v>
      </c>
      <c r="K560" s="1000" t="s">
        <v>351</v>
      </c>
      <c r="L560" s="1000" t="s">
        <v>351</v>
      </c>
      <c r="M560" s="1000" t="s">
        <v>351</v>
      </c>
      <c r="N560" s="1001"/>
      <c r="O560" s="1000" t="s">
        <v>351</v>
      </c>
      <c r="P560" s="1000" t="s">
        <v>351</v>
      </c>
      <c r="Q560" s="1000" t="s">
        <v>351</v>
      </c>
      <c r="R560" s="1000" t="s">
        <v>351</v>
      </c>
      <c r="S560" s="1000" t="s">
        <v>351</v>
      </c>
      <c r="T560" s="1000" t="s">
        <v>351</v>
      </c>
      <c r="U560" s="1000" t="s">
        <v>351</v>
      </c>
      <c r="V560" s="1000" t="s">
        <v>351</v>
      </c>
      <c r="W560" s="1000" t="s">
        <v>697</v>
      </c>
      <c r="X560" s="1000" t="s">
        <v>697</v>
      </c>
      <c r="Y560" s="1000" t="s">
        <v>763</v>
      </c>
      <c r="Z560" s="1000" t="s">
        <v>763</v>
      </c>
      <c r="AA560" s="85" t="s">
        <v>799</v>
      </c>
      <c r="AB560" s="1000" t="s">
        <v>846</v>
      </c>
      <c r="AC560" s="1000" t="s">
        <v>846</v>
      </c>
      <c r="AF560" s="1"/>
    </row>
    <row r="561" spans="1:32" ht="14.25" customHeight="1" thickTop="1" x14ac:dyDescent="0.2">
      <c r="A561" s="1002" t="s">
        <v>10</v>
      </c>
      <c r="B561" s="1000" t="s">
        <v>76</v>
      </c>
      <c r="C561" s="1000" t="s">
        <v>104</v>
      </c>
      <c r="D561" s="1000" t="s">
        <v>124</v>
      </c>
      <c r="E561" s="1000" t="s">
        <v>140</v>
      </c>
      <c r="F561" s="1000" t="s">
        <v>182</v>
      </c>
      <c r="G561" s="1000" t="s">
        <v>203</v>
      </c>
      <c r="H561" s="1000" t="s">
        <v>243</v>
      </c>
      <c r="I561" s="1000" t="s">
        <v>267</v>
      </c>
      <c r="J561" s="1000" t="s">
        <v>123</v>
      </c>
      <c r="K561" s="1000" t="s">
        <v>352</v>
      </c>
      <c r="L561" s="1000" t="s">
        <v>373</v>
      </c>
      <c r="M561" s="1000" t="s">
        <v>440</v>
      </c>
      <c r="N561" s="1"/>
      <c r="O561" s="1000" t="s">
        <v>508</v>
      </c>
      <c r="P561" s="1000" t="s">
        <v>541</v>
      </c>
      <c r="Q561" s="1000" t="s">
        <v>557</v>
      </c>
      <c r="R561" s="1000" t="s">
        <v>566</v>
      </c>
      <c r="S561" s="1000" t="s">
        <v>587</v>
      </c>
      <c r="T561" s="1000" t="s">
        <v>596</v>
      </c>
      <c r="U561" s="1000" t="s">
        <v>680</v>
      </c>
      <c r="V561" s="1000" t="s">
        <v>687</v>
      </c>
      <c r="W561" s="1000" t="s">
        <v>698</v>
      </c>
      <c r="X561" s="1000" t="s">
        <v>747</v>
      </c>
      <c r="Y561" s="1000" t="s">
        <v>764</v>
      </c>
      <c r="Z561" s="1000" t="s">
        <v>787</v>
      </c>
      <c r="AA561" s="1000" t="s">
        <v>799</v>
      </c>
      <c r="AB561" s="1000" t="s">
        <v>846</v>
      </c>
      <c r="AC561" s="1000" t="s">
        <v>865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17.28</v>
      </c>
      <c r="D563" s="52">
        <f>IFERROR(Y48*1,"0")+IFERROR(Y49*1,"0")+IFERROR(Y50*1,"0")+IFERROR(Y51*1,"0")</f>
        <v>228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664.2</v>
      </c>
      <c r="F563" s="52">
        <f>IFERROR(Y83*1,"0")+IFERROR(Y84*1,"0")+IFERROR(Y85*1,"0")+IFERROR(Y86*1,"0")+IFERROR(Y90*1,"0")+IFERROR(Y91*1,"0")+IFERROR(Y92*1,"0")+IFERROR(Y93*1,"0")</f>
        <v>1395.9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947.16000000000008</v>
      </c>
      <c r="H563" s="52">
        <f>IFERROR(Y128*1,"0")+IFERROR(Y129*1,"0")+IFERROR(Y130*1,"0")+IFERROR(Y134*1,"0")+IFERROR(Y135*1,"0")+IFERROR(Y136*1,"0")+IFERROR(Y137*1,"0")+IFERROR(Y141*1,"0")+IFERROR(Y142*1,"0")+IFERROR(Y143*1,"0")</f>
        <v>246.96000000000004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1820.7799999999997</v>
      </c>
      <c r="K563" s="52">
        <f>IFERROR(Y204*1,"0")+IFERROR(Y205*1,"0")+IFERROR(Y206*1,"0")+IFERROR(Y207*1,"0")+IFERROR(Y208*1,"0")+IFERROR(Y209*1,"0")+IFERROR(Y210*1,"0")</f>
        <v>129.60000000000002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732.93999999999994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2317.8000000000002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185.79999999999998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362.4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756.6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1780.5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1233</v>
      </c>
      <c r="X563" s="52">
        <f>IFERROR(Y454*1,"0")+IFERROR(Y455*1,"0")+IFERROR(Y459*1,"0")+IFERROR(Y463*1,"0")+IFERROR(Y464*1,"0")+IFERROR(Y465*1,"0")</f>
        <v>114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1628.1600000000003</v>
      </c>
      <c r="AB563" s="52">
        <f>IFERROR(Y528*1,"0")+IFERROR(Y532*1,"0")+IFERROR(Y536*1,"0")+IFERROR(Y540*1,"0")+IFERROR(Y544*1,"0")+IFERROR(Y545*1,"0")</f>
        <v>1053</v>
      </c>
      <c r="AC563" s="52">
        <f>IFERROR(Y550*1,"0")</f>
        <v>0</v>
      </c>
      <c r="AF563" s="1"/>
    </row>
  </sheetData>
  <sheetProtection algorithmName="SHA-512" hashValue="z81mfQ6avawcQernP/3XMEvU0G6UBXCc0mEM2rCATCfoId+LFQBVDhWCfrncn+sLzhFSz9EfOb475L+MT5J0jg==" saltValue="ukvrxBCSgnSZWLod514/L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420,00"/>
        <filter val="1 805,00"/>
        <filter val="10,50"/>
        <filter val="100,00"/>
        <filter val="11,11"/>
        <filter val="11,67"/>
        <filter val="115,50"/>
        <filter val="116,67"/>
        <filter val="12,00"/>
        <filter val="12,22"/>
        <filter val="120,00"/>
        <filter val="127,20"/>
        <filter val="128,41"/>
        <filter val="133,33"/>
        <filter val="14,00"/>
        <filter val="15 435,30"/>
        <filter val="150,00"/>
        <filter val="156,00"/>
        <filter val="16 556,90"/>
        <filter val="16,00"/>
        <filter val="160,00"/>
        <filter val="168,00"/>
        <filter val="17 306,90"/>
        <filter val="17,00"/>
        <filter val="173,63"/>
        <filter val="175,00"/>
        <filter val="18,75"/>
        <filter val="180,00"/>
        <filter val="19,00"/>
        <filter val="200,00"/>
        <filter val="220,00"/>
        <filter val="224,00"/>
        <filter val="23,10"/>
        <filter val="241,36"/>
        <filter val="245,00"/>
        <filter val="25,00"/>
        <filter val="266,05"/>
        <filter val="27,78"/>
        <filter val="270,00"/>
        <filter val="275,00"/>
        <filter val="283,33"/>
        <filter val="298,00"/>
        <filter val="3,33"/>
        <filter val="30"/>
        <filter val="30,00"/>
        <filter val="300,00"/>
        <filter val="32,00"/>
        <filter val="336,67"/>
        <filter val="35,00"/>
        <filter val="350,00"/>
        <filter val="360,00"/>
        <filter val="39,26"/>
        <filter val="4 100,41"/>
        <filter val="4,00"/>
        <filter val="4,17"/>
        <filter val="40,00"/>
        <filter val="400,00"/>
        <filter val="405,00"/>
        <filter val="41,67"/>
        <filter val="420,00"/>
        <filter val="43,75"/>
        <filter val="44,00"/>
        <filter val="448,00"/>
        <filter val="450,00"/>
        <filter val="470,00"/>
        <filter val="474,07"/>
        <filter val="5,00"/>
        <filter val="5,56"/>
        <filter val="50,00"/>
        <filter val="500,00"/>
        <filter val="560,00"/>
        <filter val="585,00"/>
        <filter val="59,62"/>
        <filter val="6,00"/>
        <filter val="6,67"/>
        <filter val="60,00"/>
        <filter val="600,00"/>
        <filter val="656,00"/>
        <filter val="660,00"/>
        <filter val="680,00"/>
        <filter val="681,00"/>
        <filter val="7,00"/>
        <filter val="70,00"/>
        <filter val="740,00"/>
        <filter val="750,00"/>
        <filter val="76,00"/>
        <filter val="78,52"/>
        <filter val="79,20"/>
        <filter val="8,33"/>
        <filter val="80,00"/>
        <filter val="800,00"/>
        <filter val="800,48"/>
        <filter val="83,33"/>
        <filter val="9,00"/>
        <filter val="90,00"/>
        <filter val="96,15"/>
        <filter val="985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xaG3PqkulCPY6dP6DJ/RnPnzl0PGL2Cj38jqDCwk9Fjs2A9YNdgPB1wceUi0cb0EJ93ssaffd8iWY9BdzbJhfw==" saltValue="cBWEnvmcJ/jHTMiFZ3IW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