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DBF4F9-10BA-4CDA-BCA4-770108E3D2F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Z492" i="1"/>
  <c r="Y492" i="1"/>
  <c r="BN492" i="1" s="1"/>
  <c r="P492" i="1"/>
  <c r="BO491" i="1"/>
  <c r="BM491" i="1"/>
  <c r="Y491" i="1"/>
  <c r="P491" i="1"/>
  <c r="X489" i="1"/>
  <c r="Y488" i="1"/>
  <c r="X488" i="1"/>
  <c r="BO487" i="1"/>
  <c r="BM487" i="1"/>
  <c r="Y487" i="1"/>
  <c r="Y489" i="1" s="1"/>
  <c r="P487" i="1"/>
  <c r="X484" i="1"/>
  <c r="X483" i="1"/>
  <c r="BO482" i="1"/>
  <c r="BM482" i="1"/>
  <c r="Y482" i="1"/>
  <c r="P482" i="1"/>
  <c r="BO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O476" i="1"/>
  <c r="BM476" i="1"/>
  <c r="Z476" i="1"/>
  <c r="Y476" i="1"/>
  <c r="BN476" i="1" s="1"/>
  <c r="P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BP472" i="1" s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BN464" i="1" s="1"/>
  <c r="P464" i="1"/>
  <c r="X462" i="1"/>
  <c r="X461" i="1"/>
  <c r="BO460" i="1"/>
  <c r="BM460" i="1"/>
  <c r="Z460" i="1"/>
  <c r="Z461" i="1" s="1"/>
  <c r="Y460" i="1"/>
  <c r="Y462" i="1" s="1"/>
  <c r="P460" i="1"/>
  <c r="X458" i="1"/>
  <c r="X457" i="1"/>
  <c r="BO456" i="1"/>
  <c r="BM456" i="1"/>
  <c r="Y456" i="1"/>
  <c r="P456" i="1"/>
  <c r="BO455" i="1"/>
  <c r="BM455" i="1"/>
  <c r="Y455" i="1"/>
  <c r="P455" i="1"/>
  <c r="X452" i="1"/>
  <c r="X451" i="1"/>
  <c r="BO450" i="1"/>
  <c r="BM450" i="1"/>
  <c r="Y450" i="1"/>
  <c r="BP450" i="1" s="1"/>
  <c r="P450" i="1"/>
  <c r="BO449" i="1"/>
  <c r="BM449" i="1"/>
  <c r="Y449" i="1"/>
  <c r="BN449" i="1" s="1"/>
  <c r="P449" i="1"/>
  <c r="X447" i="1"/>
  <c r="X446" i="1"/>
  <c r="BO445" i="1"/>
  <c r="BM445" i="1"/>
  <c r="Y445" i="1"/>
  <c r="P445" i="1"/>
  <c r="BO444" i="1"/>
  <c r="BM444" i="1"/>
  <c r="Y444" i="1"/>
  <c r="BP444" i="1" s="1"/>
  <c r="P444" i="1"/>
  <c r="BO443" i="1"/>
  <c r="BM443" i="1"/>
  <c r="Y443" i="1"/>
  <c r="BN443" i="1" s="1"/>
  <c r="P443" i="1"/>
  <c r="X441" i="1"/>
  <c r="X440" i="1"/>
  <c r="BO439" i="1"/>
  <c r="BM439" i="1"/>
  <c r="Y439" i="1"/>
  <c r="BN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Z427" i="1"/>
  <c r="Y427" i="1"/>
  <c r="BN427" i="1" s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BN407" i="1" s="1"/>
  <c r="P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BN401" i="1" s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BN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N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Z381" i="1"/>
  <c r="Y381" i="1"/>
  <c r="BN381" i="1" s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X367" i="1"/>
  <c r="X366" i="1"/>
  <c r="BO365" i="1"/>
  <c r="BM365" i="1"/>
  <c r="Y365" i="1"/>
  <c r="BN365" i="1" s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Z354" i="1"/>
  <c r="Y354" i="1"/>
  <c r="BN354" i="1" s="1"/>
  <c r="P354" i="1"/>
  <c r="X351" i="1"/>
  <c r="Y350" i="1"/>
  <c r="X350" i="1"/>
  <c r="BO349" i="1"/>
  <c r="BM349" i="1"/>
  <c r="Y349" i="1"/>
  <c r="BN349" i="1" s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BN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N334" i="1" s="1"/>
  <c r="P334" i="1"/>
  <c r="BO333" i="1"/>
  <c r="BM333" i="1"/>
  <c r="Y333" i="1"/>
  <c r="Y337" i="1" s="1"/>
  <c r="P333" i="1"/>
  <c r="X330" i="1"/>
  <c r="X329" i="1"/>
  <c r="BO328" i="1"/>
  <c r="BM328" i="1"/>
  <c r="Y328" i="1"/>
  <c r="P328" i="1"/>
  <c r="BO327" i="1"/>
  <c r="BM327" i="1"/>
  <c r="Y327" i="1"/>
  <c r="Z327" i="1" s="1"/>
  <c r="P327" i="1"/>
  <c r="BO326" i="1"/>
  <c r="BM326" i="1"/>
  <c r="Y326" i="1"/>
  <c r="BP326" i="1" s="1"/>
  <c r="P326" i="1"/>
  <c r="BO325" i="1"/>
  <c r="BM325" i="1"/>
  <c r="Y325" i="1"/>
  <c r="BN325" i="1" s="1"/>
  <c r="P325" i="1"/>
  <c r="BO324" i="1"/>
  <c r="BM324" i="1"/>
  <c r="Y324" i="1"/>
  <c r="BP324" i="1" s="1"/>
  <c r="P324" i="1"/>
  <c r="X321" i="1"/>
  <c r="X320" i="1"/>
  <c r="BO319" i="1"/>
  <c r="BM319" i="1"/>
  <c r="Y319" i="1"/>
  <c r="BP319" i="1" s="1"/>
  <c r="P319" i="1"/>
  <c r="BO318" i="1"/>
  <c r="BM318" i="1"/>
  <c r="Y318" i="1"/>
  <c r="BN318" i="1" s="1"/>
  <c r="P318" i="1"/>
  <c r="BO317" i="1"/>
  <c r="BM317" i="1"/>
  <c r="Y317" i="1"/>
  <c r="Y321" i="1" s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BP305" i="1" s="1"/>
  <c r="P305" i="1"/>
  <c r="BO304" i="1"/>
  <c r="BM304" i="1"/>
  <c r="Z304" i="1"/>
  <c r="Y304" i="1"/>
  <c r="BN304" i="1" s="1"/>
  <c r="P304" i="1"/>
  <c r="BO303" i="1"/>
  <c r="BM303" i="1"/>
  <c r="Y303" i="1"/>
  <c r="BP303" i="1" s="1"/>
  <c r="P303" i="1"/>
  <c r="BO302" i="1"/>
  <c r="BM302" i="1"/>
  <c r="Y302" i="1"/>
  <c r="BN302" i="1" s="1"/>
  <c r="P302" i="1"/>
  <c r="BO301" i="1"/>
  <c r="BM301" i="1"/>
  <c r="Y301" i="1"/>
  <c r="BP301" i="1" s="1"/>
  <c r="P301" i="1"/>
  <c r="BO300" i="1"/>
  <c r="BM300" i="1"/>
  <c r="Y300" i="1"/>
  <c r="BN300" i="1" s="1"/>
  <c r="P300" i="1"/>
  <c r="BO299" i="1"/>
  <c r="BM299" i="1"/>
  <c r="Y299" i="1"/>
  <c r="P299" i="1"/>
  <c r="X296" i="1"/>
  <c r="X295" i="1"/>
  <c r="BO294" i="1"/>
  <c r="BM294" i="1"/>
  <c r="Y294" i="1"/>
  <c r="P294" i="1"/>
  <c r="BO293" i="1"/>
  <c r="BM293" i="1"/>
  <c r="Y293" i="1"/>
  <c r="Z293" i="1" s="1"/>
  <c r="P293" i="1"/>
  <c r="X291" i="1"/>
  <c r="X290" i="1"/>
  <c r="BP289" i="1"/>
  <c r="BO289" i="1"/>
  <c r="BM289" i="1"/>
  <c r="Y289" i="1"/>
  <c r="P289" i="1"/>
  <c r="BO288" i="1"/>
  <c r="BM288" i="1"/>
  <c r="Y288" i="1"/>
  <c r="BP288" i="1" s="1"/>
  <c r="P288" i="1"/>
  <c r="BO287" i="1"/>
  <c r="BM287" i="1"/>
  <c r="Z287" i="1"/>
  <c r="Y287" i="1"/>
  <c r="BN287" i="1" s="1"/>
  <c r="P287" i="1"/>
  <c r="BO286" i="1"/>
  <c r="BM286" i="1"/>
  <c r="Y286" i="1"/>
  <c r="BP286" i="1" s="1"/>
  <c r="P286" i="1"/>
  <c r="BO285" i="1"/>
  <c r="BM285" i="1"/>
  <c r="Y285" i="1"/>
  <c r="BN285" i="1" s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O281" i="1"/>
  <c r="BM281" i="1"/>
  <c r="Z281" i="1"/>
  <c r="Y281" i="1"/>
  <c r="BN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BN270" i="1" s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P267" i="1"/>
  <c r="X265" i="1"/>
  <c r="X264" i="1"/>
  <c r="BO263" i="1"/>
  <c r="BM263" i="1"/>
  <c r="Y263" i="1"/>
  <c r="Y265" i="1" s="1"/>
  <c r="P263" i="1"/>
  <c r="BO262" i="1"/>
  <c r="BM262" i="1"/>
  <c r="Y262" i="1"/>
  <c r="BN262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Y254" i="1" s="1"/>
  <c r="P252" i="1"/>
  <c r="X250" i="1"/>
  <c r="X249" i="1"/>
  <c r="BO248" i="1"/>
  <c r="BM248" i="1"/>
  <c r="Y248" i="1"/>
  <c r="BP248" i="1" s="1"/>
  <c r="P248" i="1"/>
  <c r="BO247" i="1"/>
  <c r="BM247" i="1"/>
  <c r="Y247" i="1"/>
  <c r="BN247" i="1" s="1"/>
  <c r="P247" i="1"/>
  <c r="BO246" i="1"/>
  <c r="BM246" i="1"/>
  <c r="Y246" i="1"/>
  <c r="Y250" i="1" s="1"/>
  <c r="P246" i="1"/>
  <c r="X244" i="1"/>
  <c r="X243" i="1"/>
  <c r="BO242" i="1"/>
  <c r="BM242" i="1"/>
  <c r="Y242" i="1"/>
  <c r="BP242" i="1" s="1"/>
  <c r="P242" i="1"/>
  <c r="BO241" i="1"/>
  <c r="BM241" i="1"/>
  <c r="Y241" i="1"/>
  <c r="BN241" i="1" s="1"/>
  <c r="P241" i="1"/>
  <c r="BO240" i="1"/>
  <c r="BM240" i="1"/>
  <c r="Y240" i="1"/>
  <c r="BP240" i="1" s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Z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X219" i="1"/>
  <c r="X218" i="1"/>
  <c r="BO217" i="1"/>
  <c r="BM217" i="1"/>
  <c r="Y217" i="1"/>
  <c r="Z217" i="1" s="1"/>
  <c r="Z218" i="1" s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Z210" i="1"/>
  <c r="Y210" i="1"/>
  <c r="BN210" i="1" s="1"/>
  <c r="P210" i="1"/>
  <c r="BO209" i="1"/>
  <c r="BM209" i="1"/>
  <c r="Y209" i="1"/>
  <c r="BP209" i="1" s="1"/>
  <c r="P209" i="1"/>
  <c r="BO208" i="1"/>
  <c r="BM208" i="1"/>
  <c r="Y208" i="1"/>
  <c r="BN208" i="1" s="1"/>
  <c r="P208" i="1"/>
  <c r="BO207" i="1"/>
  <c r="BM207" i="1"/>
  <c r="Y207" i="1"/>
  <c r="P207" i="1"/>
  <c r="BO206" i="1"/>
  <c r="BM206" i="1"/>
  <c r="Y206" i="1"/>
  <c r="P206" i="1"/>
  <c r="X202" i="1"/>
  <c r="X201" i="1"/>
  <c r="BO200" i="1"/>
  <c r="BM200" i="1"/>
  <c r="Z200" i="1"/>
  <c r="Z201" i="1" s="1"/>
  <c r="Y200" i="1"/>
  <c r="P200" i="1"/>
  <c r="X198" i="1"/>
  <c r="X197" i="1"/>
  <c r="BO196" i="1"/>
  <c r="BM196" i="1"/>
  <c r="Z196" i="1"/>
  <c r="Y196" i="1"/>
  <c r="BN196" i="1" s="1"/>
  <c r="P196" i="1"/>
  <c r="BO195" i="1"/>
  <c r="BM195" i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N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X168" i="1"/>
  <c r="X167" i="1"/>
  <c r="BO166" i="1"/>
  <c r="BM166" i="1"/>
  <c r="Z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O144" i="1"/>
  <c r="BM144" i="1"/>
  <c r="Y144" i="1"/>
  <c r="P144" i="1"/>
  <c r="BO143" i="1"/>
  <c r="BM143" i="1"/>
  <c r="Y143" i="1"/>
  <c r="P143" i="1"/>
  <c r="BO142" i="1"/>
  <c r="BM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Y139" i="1" s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P129" i="1"/>
  <c r="X126" i="1"/>
  <c r="X125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N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N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30" i="1" l="1"/>
  <c r="BN130" i="1"/>
  <c r="BN144" i="1"/>
  <c r="Z144" i="1"/>
  <c r="BP170" i="1"/>
  <c r="BN170" i="1"/>
  <c r="Z170" i="1"/>
  <c r="BN212" i="1"/>
  <c r="Z212" i="1"/>
  <c r="BN227" i="1"/>
  <c r="Z227" i="1"/>
  <c r="BN361" i="1"/>
  <c r="Z361" i="1"/>
  <c r="BN472" i="1"/>
  <c r="BN512" i="1"/>
  <c r="BN520" i="1"/>
  <c r="X555" i="1"/>
  <c r="Z23" i="1"/>
  <c r="BN23" i="1"/>
  <c r="X554" i="1"/>
  <c r="Y33" i="1"/>
  <c r="Z37" i="1"/>
  <c r="BN37" i="1"/>
  <c r="Z49" i="1"/>
  <c r="BN49" i="1"/>
  <c r="E564" i="1"/>
  <c r="Z62" i="1"/>
  <c r="BN62" i="1"/>
  <c r="Y70" i="1"/>
  <c r="Z78" i="1"/>
  <c r="BN78" i="1"/>
  <c r="F564" i="1"/>
  <c r="Z93" i="1"/>
  <c r="BN93" i="1"/>
  <c r="G564" i="1"/>
  <c r="Z110" i="1"/>
  <c r="BN110" i="1"/>
  <c r="Z130" i="1"/>
  <c r="BP153" i="1"/>
  <c r="BN153" i="1"/>
  <c r="Z153" i="1"/>
  <c r="BP182" i="1"/>
  <c r="BN182" i="1"/>
  <c r="Z182" i="1"/>
  <c r="BP190" i="1"/>
  <c r="BN190" i="1"/>
  <c r="Z190" i="1"/>
  <c r="BP206" i="1"/>
  <c r="BN206" i="1"/>
  <c r="Z206" i="1"/>
  <c r="BP212" i="1"/>
  <c r="BP227" i="1"/>
  <c r="BP229" i="1"/>
  <c r="BN229" i="1"/>
  <c r="Z229" i="1"/>
  <c r="BN233" i="1"/>
  <c r="Z233" i="1"/>
  <c r="BN258" i="1"/>
  <c r="Z258" i="1"/>
  <c r="BP268" i="1"/>
  <c r="BN268" i="1"/>
  <c r="Z268" i="1"/>
  <c r="BN279" i="1"/>
  <c r="Z279" i="1"/>
  <c r="BN289" i="1"/>
  <c r="Z289" i="1"/>
  <c r="BN343" i="1"/>
  <c r="Z343" i="1"/>
  <c r="BP361" i="1"/>
  <c r="BP363" i="1"/>
  <c r="BN363" i="1"/>
  <c r="Z363" i="1"/>
  <c r="BP369" i="1"/>
  <c r="BN369" i="1"/>
  <c r="Z369" i="1"/>
  <c r="BN395" i="1"/>
  <c r="Z395" i="1"/>
  <c r="BP405" i="1"/>
  <c r="BN405" i="1"/>
  <c r="Z405" i="1"/>
  <c r="BP419" i="1"/>
  <c r="BN419" i="1"/>
  <c r="Z419" i="1"/>
  <c r="BN433" i="1"/>
  <c r="Z433" i="1"/>
  <c r="BN445" i="1"/>
  <c r="Z445" i="1"/>
  <c r="BP456" i="1"/>
  <c r="BN456" i="1"/>
  <c r="Z456" i="1"/>
  <c r="BN504" i="1"/>
  <c r="BN546" i="1"/>
  <c r="Y173" i="1"/>
  <c r="Y187" i="1"/>
  <c r="BP196" i="1"/>
  <c r="Y213" i="1"/>
  <c r="BP281" i="1"/>
  <c r="BP304" i="1"/>
  <c r="BP354" i="1"/>
  <c r="BP375" i="1"/>
  <c r="BP381" i="1"/>
  <c r="BP427" i="1"/>
  <c r="BP460" i="1"/>
  <c r="BP476" i="1"/>
  <c r="BN487" i="1"/>
  <c r="BP492" i="1"/>
  <c r="BN506" i="1"/>
  <c r="BN522" i="1"/>
  <c r="BP551" i="1"/>
  <c r="BP151" i="1"/>
  <c r="BP223" i="1"/>
  <c r="Z223" i="1"/>
  <c r="BP231" i="1"/>
  <c r="Z231" i="1"/>
  <c r="BP285" i="1"/>
  <c r="Z285" i="1"/>
  <c r="BP302" i="1"/>
  <c r="Y383" i="1"/>
  <c r="BN379" i="1"/>
  <c r="BP379" i="1"/>
  <c r="BP401" i="1"/>
  <c r="BP431" i="1"/>
  <c r="Z431" i="1"/>
  <c r="BN466" i="1"/>
  <c r="BP466" i="1"/>
  <c r="Z466" i="1"/>
  <c r="B564" i="1"/>
  <c r="BN27" i="1"/>
  <c r="Z31" i="1"/>
  <c r="BP31" i="1"/>
  <c r="Z39" i="1"/>
  <c r="BP39" i="1"/>
  <c r="Z47" i="1"/>
  <c r="BP47" i="1"/>
  <c r="Z56" i="1"/>
  <c r="BP56" i="1"/>
  <c r="BN60" i="1"/>
  <c r="BN66" i="1"/>
  <c r="BN74" i="1"/>
  <c r="Z85" i="1"/>
  <c r="BP85" i="1"/>
  <c r="Z91" i="1"/>
  <c r="BP91" i="1"/>
  <c r="Z100" i="1"/>
  <c r="BP100" i="1"/>
  <c r="BN104" i="1"/>
  <c r="BN112" i="1"/>
  <c r="BN119" i="1"/>
  <c r="BN136" i="1"/>
  <c r="BN142" i="1"/>
  <c r="Y145" i="1"/>
  <c r="BP144" i="1"/>
  <c r="Z151" i="1"/>
  <c r="BP155" i="1"/>
  <c r="Z155" i="1"/>
  <c r="BN164" i="1"/>
  <c r="Y167" i="1"/>
  <c r="BP166" i="1"/>
  <c r="Y172" i="1"/>
  <c r="Y218" i="1"/>
  <c r="BN217" i="1"/>
  <c r="BP217" i="1"/>
  <c r="BP225" i="1"/>
  <c r="BP233" i="1"/>
  <c r="Y244" i="1"/>
  <c r="BP239" i="1"/>
  <c r="Z239" i="1"/>
  <c r="BP270" i="1"/>
  <c r="Z270" i="1"/>
  <c r="BP279" i="1"/>
  <c r="BP287" i="1"/>
  <c r="Z302" i="1"/>
  <c r="BP371" i="1"/>
  <c r="Z371" i="1"/>
  <c r="Z379" i="1"/>
  <c r="Z401" i="1"/>
  <c r="Y415" i="1"/>
  <c r="BP433" i="1"/>
  <c r="Y441" i="1"/>
  <c r="BP437" i="1"/>
  <c r="Z437" i="1"/>
  <c r="BN500" i="1"/>
  <c r="BP500" i="1"/>
  <c r="Z500" i="1"/>
  <c r="BP176" i="1"/>
  <c r="Z176" i="1"/>
  <c r="BP180" i="1"/>
  <c r="BP208" i="1"/>
  <c r="Z208" i="1"/>
  <c r="BP241" i="1"/>
  <c r="BP247" i="1"/>
  <c r="Z247" i="1"/>
  <c r="BP272" i="1"/>
  <c r="BN272" i="1"/>
  <c r="BP318" i="1"/>
  <c r="BP325" i="1"/>
  <c r="Z325" i="1"/>
  <c r="BP334" i="1"/>
  <c r="BP341" i="1"/>
  <c r="Z341" i="1"/>
  <c r="BP373" i="1"/>
  <c r="BP387" i="1"/>
  <c r="BP393" i="1"/>
  <c r="Z393" i="1"/>
  <c r="BN431" i="1"/>
  <c r="BP439" i="1"/>
  <c r="Y447" i="1"/>
  <c r="BP443" i="1"/>
  <c r="Z443" i="1"/>
  <c r="X556" i="1"/>
  <c r="X557" i="1" s="1"/>
  <c r="X558" i="1"/>
  <c r="Z27" i="1"/>
  <c r="BP27" i="1"/>
  <c r="Z60" i="1"/>
  <c r="Z66" i="1"/>
  <c r="BP66" i="1"/>
  <c r="Z74" i="1"/>
  <c r="Y80" i="1"/>
  <c r="BN91" i="1"/>
  <c r="Z104" i="1"/>
  <c r="Y115" i="1"/>
  <c r="Z112" i="1"/>
  <c r="Z119" i="1"/>
  <c r="Z136" i="1"/>
  <c r="Z142" i="1"/>
  <c r="BP142" i="1"/>
  <c r="BN155" i="1"/>
  <c r="Z164" i="1"/>
  <c r="Z180" i="1"/>
  <c r="BP184" i="1"/>
  <c r="Z184" i="1"/>
  <c r="Y202" i="1"/>
  <c r="Y201" i="1"/>
  <c r="BN200" i="1"/>
  <c r="BP200" i="1"/>
  <c r="BP210" i="1"/>
  <c r="Z241" i="1"/>
  <c r="M564" i="1"/>
  <c r="BP258" i="1"/>
  <c r="Y264" i="1"/>
  <c r="BP262" i="1"/>
  <c r="Z262" i="1"/>
  <c r="Z272" i="1"/>
  <c r="Y295" i="1"/>
  <c r="BN293" i="1"/>
  <c r="BP293" i="1"/>
  <c r="O564" i="1"/>
  <c r="BP300" i="1"/>
  <c r="Z300" i="1"/>
  <c r="Z318" i="1"/>
  <c r="BP327" i="1"/>
  <c r="BN327" i="1"/>
  <c r="Z334" i="1"/>
  <c r="BP343" i="1"/>
  <c r="BP349" i="1"/>
  <c r="Z349" i="1"/>
  <c r="BP365" i="1"/>
  <c r="Z365" i="1"/>
  <c r="BN371" i="1"/>
  <c r="Z373" i="1"/>
  <c r="Z387" i="1"/>
  <c r="BP395" i="1"/>
  <c r="Y403" i="1"/>
  <c r="Y402" i="1"/>
  <c r="BP399" i="1"/>
  <c r="Z399" i="1"/>
  <c r="BP407" i="1"/>
  <c r="Z407" i="1"/>
  <c r="BN437" i="1"/>
  <c r="Z439" i="1"/>
  <c r="BP445" i="1"/>
  <c r="Y451" i="1"/>
  <c r="BP449" i="1"/>
  <c r="Z449" i="1"/>
  <c r="BN474" i="1"/>
  <c r="BP474" i="1"/>
  <c r="Z474" i="1"/>
  <c r="BN482" i="1"/>
  <c r="BP482" i="1"/>
  <c r="Z482" i="1"/>
  <c r="Y468" i="1"/>
  <c r="Y193" i="1"/>
  <c r="Y236" i="1"/>
  <c r="Y275" i="1"/>
  <c r="Y357" i="1"/>
  <c r="Y377" i="1"/>
  <c r="X564" i="1"/>
  <c r="BN460" i="1"/>
  <c r="Y461" i="1"/>
  <c r="Z464" i="1"/>
  <c r="BP464" i="1"/>
  <c r="Z472" i="1"/>
  <c r="Z487" i="1"/>
  <c r="Z488" i="1" s="1"/>
  <c r="BP487" i="1"/>
  <c r="Z506" i="1"/>
  <c r="Z522" i="1"/>
  <c r="BN551" i="1"/>
  <c r="Y552" i="1"/>
  <c r="Y296" i="1"/>
  <c r="T564" i="1"/>
  <c r="Y384" i="1"/>
  <c r="Z504" i="1"/>
  <c r="Z512" i="1"/>
  <c r="Z520" i="1"/>
  <c r="Z546" i="1"/>
  <c r="H9" i="1"/>
  <c r="A10" i="1"/>
  <c r="Y24" i="1"/>
  <c r="Y32" i="1"/>
  <c r="Y42" i="1"/>
  <c r="Y52" i="1"/>
  <c r="Y63" i="1"/>
  <c r="Y71" i="1"/>
  <c r="Y75" i="1"/>
  <c r="Y81" i="1"/>
  <c r="Y88" i="1"/>
  <c r="Y96" i="1"/>
  <c r="Y107" i="1"/>
  <c r="BP118" i="1"/>
  <c r="BN118" i="1"/>
  <c r="Z118" i="1"/>
  <c r="F9" i="1"/>
  <c r="J9" i="1"/>
  <c r="Z22" i="1"/>
  <c r="Z24" i="1" s="1"/>
  <c r="BN22" i="1"/>
  <c r="BP22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Y114" i="1"/>
  <c r="Y121" i="1"/>
  <c r="BP120" i="1"/>
  <c r="BN120" i="1"/>
  <c r="Z120" i="1"/>
  <c r="Y122" i="1"/>
  <c r="Y125" i="1"/>
  <c r="BP124" i="1"/>
  <c r="BN124" i="1"/>
  <c r="Z124" i="1"/>
  <c r="Z125" i="1" s="1"/>
  <c r="Y126" i="1"/>
  <c r="H564" i="1"/>
  <c r="Y133" i="1"/>
  <c r="Y132" i="1"/>
  <c r="BP129" i="1"/>
  <c r="BN129" i="1"/>
  <c r="Z129" i="1"/>
  <c r="Z131" i="1"/>
  <c r="BN131" i="1"/>
  <c r="Z135" i="1"/>
  <c r="BN135" i="1"/>
  <c r="BP135" i="1"/>
  <c r="Z137" i="1"/>
  <c r="BN137" i="1"/>
  <c r="Y140" i="1"/>
  <c r="Z143" i="1"/>
  <c r="BN143" i="1"/>
  <c r="BP143" i="1"/>
  <c r="I564" i="1"/>
  <c r="Z150" i="1"/>
  <c r="BN150" i="1"/>
  <c r="Z152" i="1"/>
  <c r="BN152" i="1"/>
  <c r="Z154" i="1"/>
  <c r="BN154" i="1"/>
  <c r="Y157" i="1"/>
  <c r="J564" i="1"/>
  <c r="Z165" i="1"/>
  <c r="BN165" i="1"/>
  <c r="BP165" i="1"/>
  <c r="Y168" i="1"/>
  <c r="Z171" i="1"/>
  <c r="Z172" i="1" s="1"/>
  <c r="BN171" i="1"/>
  <c r="BP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Y186" i="1"/>
  <c r="Z189" i="1"/>
  <c r="Z192" i="1" s="1"/>
  <c r="BN189" i="1"/>
  <c r="BP189" i="1"/>
  <c r="Z191" i="1"/>
  <c r="BN191" i="1"/>
  <c r="Y192" i="1"/>
  <c r="Z195" i="1"/>
  <c r="Z197" i="1" s="1"/>
  <c r="BN195" i="1"/>
  <c r="BP195" i="1"/>
  <c r="Y198" i="1"/>
  <c r="K564" i="1"/>
  <c r="Z207" i="1"/>
  <c r="BN207" i="1"/>
  <c r="BP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43" i="1" s="1"/>
  <c r="BN238" i="1"/>
  <c r="BP238" i="1"/>
  <c r="Z240" i="1"/>
  <c r="BN240" i="1"/>
  <c r="Z242" i="1"/>
  <c r="BN242" i="1"/>
  <c r="Y243" i="1"/>
  <c r="Z246" i="1"/>
  <c r="Z249" i="1" s="1"/>
  <c r="BN246" i="1"/>
  <c r="BP246" i="1"/>
  <c r="Z248" i="1"/>
  <c r="BN248" i="1"/>
  <c r="Y249" i="1"/>
  <c r="Z252" i="1"/>
  <c r="Z253" i="1" s="1"/>
  <c r="BN252" i="1"/>
  <c r="BP252" i="1"/>
  <c r="Y253" i="1"/>
  <c r="Z257" i="1"/>
  <c r="Z259" i="1" s="1"/>
  <c r="BN257" i="1"/>
  <c r="BP257" i="1"/>
  <c r="Y260" i="1"/>
  <c r="Z263" i="1"/>
  <c r="Z264" i="1" s="1"/>
  <c r="BN263" i="1"/>
  <c r="BP263" i="1"/>
  <c r="Z267" i="1"/>
  <c r="BN267" i="1"/>
  <c r="BP267" i="1"/>
  <c r="Z269" i="1"/>
  <c r="BN269" i="1"/>
  <c r="Z271" i="1"/>
  <c r="BN271" i="1"/>
  <c r="Z273" i="1"/>
  <c r="BN273" i="1"/>
  <c r="BP274" i="1"/>
  <c r="BN274" i="1"/>
  <c r="Z274" i="1"/>
  <c r="Y276" i="1"/>
  <c r="Y290" i="1"/>
  <c r="Y291" i="1"/>
  <c r="BP278" i="1"/>
  <c r="BN278" i="1"/>
  <c r="Z278" i="1"/>
  <c r="Y156" i="1"/>
  <c r="Y259" i="1"/>
  <c r="BP280" i="1"/>
  <c r="BN280" i="1"/>
  <c r="Z280" i="1"/>
  <c r="Z282" i="1"/>
  <c r="BN282" i="1"/>
  <c r="Z284" i="1"/>
  <c r="BN284" i="1"/>
  <c r="Z286" i="1"/>
  <c r="BN286" i="1"/>
  <c r="Z288" i="1"/>
  <c r="BN288" i="1"/>
  <c r="Z294" i="1"/>
  <c r="Z295" i="1" s="1"/>
  <c r="BN294" i="1"/>
  <c r="BP294" i="1"/>
  <c r="Z299" i="1"/>
  <c r="BN299" i="1"/>
  <c r="BP299" i="1"/>
  <c r="Z301" i="1"/>
  <c r="BN301" i="1"/>
  <c r="Z303" i="1"/>
  <c r="BN303" i="1"/>
  <c r="Z305" i="1"/>
  <c r="BN305" i="1"/>
  <c r="Y306" i="1"/>
  <c r="Z309" i="1"/>
  <c r="Z310" i="1" s="1"/>
  <c r="BN309" i="1"/>
  <c r="BP309" i="1"/>
  <c r="Y310" i="1"/>
  <c r="Z313" i="1"/>
  <c r="Z314" i="1" s="1"/>
  <c r="BN313" i="1"/>
  <c r="BP313" i="1"/>
  <c r="Y314" i="1"/>
  <c r="Z317" i="1"/>
  <c r="BN317" i="1"/>
  <c r="BP317" i="1"/>
  <c r="Z319" i="1"/>
  <c r="BN319" i="1"/>
  <c r="Y320" i="1"/>
  <c r="Z324" i="1"/>
  <c r="BN324" i="1"/>
  <c r="Z326" i="1"/>
  <c r="BN326" i="1"/>
  <c r="BP335" i="1"/>
  <c r="BN335" i="1"/>
  <c r="Z335" i="1"/>
  <c r="Y345" i="1"/>
  <c r="BP340" i="1"/>
  <c r="BN340" i="1"/>
  <c r="Z340" i="1"/>
  <c r="R564" i="1"/>
  <c r="BP344" i="1"/>
  <c r="BN344" i="1"/>
  <c r="Z344" i="1"/>
  <c r="Y346" i="1"/>
  <c r="Y351" i="1"/>
  <c r="BP348" i="1"/>
  <c r="BN348" i="1"/>
  <c r="Z348" i="1"/>
  <c r="Z350" i="1" s="1"/>
  <c r="BP362" i="1"/>
  <c r="BN362" i="1"/>
  <c r="Z362" i="1"/>
  <c r="Y366" i="1"/>
  <c r="BP370" i="1"/>
  <c r="BN370" i="1"/>
  <c r="Z370" i="1"/>
  <c r="BP374" i="1"/>
  <c r="BN374" i="1"/>
  <c r="Z374" i="1"/>
  <c r="BP382" i="1"/>
  <c r="BN382" i="1"/>
  <c r="Z382" i="1"/>
  <c r="Y389" i="1"/>
  <c r="BP386" i="1"/>
  <c r="BN386" i="1"/>
  <c r="Z386" i="1"/>
  <c r="BP394" i="1"/>
  <c r="BN394" i="1"/>
  <c r="Z394" i="1"/>
  <c r="BP406" i="1"/>
  <c r="BN406" i="1"/>
  <c r="Z406" i="1"/>
  <c r="BP413" i="1"/>
  <c r="BN413" i="1"/>
  <c r="Z413" i="1"/>
  <c r="Y421" i="1"/>
  <c r="BP418" i="1"/>
  <c r="BN418" i="1"/>
  <c r="Z418" i="1"/>
  <c r="V564" i="1"/>
  <c r="BP428" i="1"/>
  <c r="BN428" i="1"/>
  <c r="Z428" i="1"/>
  <c r="BP432" i="1"/>
  <c r="BN432" i="1"/>
  <c r="Z432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BP364" i="1"/>
  <c r="BN364" i="1"/>
  <c r="Z364" i="1"/>
  <c r="BP372" i="1"/>
  <c r="BN372" i="1"/>
  <c r="Z372" i="1"/>
  <c r="Y376" i="1"/>
  <c r="BP380" i="1"/>
  <c r="BN380" i="1"/>
  <c r="Z380" i="1"/>
  <c r="Z383" i="1" s="1"/>
  <c r="BP388" i="1"/>
  <c r="BN388" i="1"/>
  <c r="Z388" i="1"/>
  <c r="Y390" i="1"/>
  <c r="Y397" i="1"/>
  <c r="BP392" i="1"/>
  <c r="BN392" i="1"/>
  <c r="Z392" i="1"/>
  <c r="Y396" i="1"/>
  <c r="BP400" i="1"/>
  <c r="BN400" i="1"/>
  <c r="Z400" i="1"/>
  <c r="Y409" i="1"/>
  <c r="Y408" i="1"/>
  <c r="U564" i="1"/>
  <c r="Y414" i="1"/>
  <c r="BP412" i="1"/>
  <c r="BN412" i="1"/>
  <c r="Z412" i="1"/>
  <c r="Z414" i="1" s="1"/>
  <c r="BP420" i="1"/>
  <c r="BN420" i="1"/>
  <c r="Z420" i="1"/>
  <c r="Y422" i="1"/>
  <c r="W564" i="1"/>
  <c r="Y435" i="1"/>
  <c r="BP426" i="1"/>
  <c r="BN426" i="1"/>
  <c r="Z426" i="1"/>
  <c r="Y434" i="1"/>
  <c r="BP430" i="1"/>
  <c r="BN430" i="1"/>
  <c r="Z430" i="1"/>
  <c r="Y440" i="1"/>
  <c r="Y446" i="1"/>
  <c r="Y452" i="1"/>
  <c r="Y457" i="1"/>
  <c r="Y467" i="1"/>
  <c r="Y479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Z564" i="1"/>
  <c r="S564" i="1"/>
  <c r="Y358" i="1"/>
  <c r="Y367" i="1"/>
  <c r="Z438" i="1"/>
  <c r="Z440" i="1" s="1"/>
  <c r="BN438" i="1"/>
  <c r="Z444" i="1"/>
  <c r="Z446" i="1" s="1"/>
  <c r="BN444" i="1"/>
  <c r="Z450" i="1"/>
  <c r="Z451" i="1" s="1"/>
  <c r="BN450" i="1"/>
  <c r="Z455" i="1"/>
  <c r="Z457" i="1" s="1"/>
  <c r="BN455" i="1"/>
  <c r="BP455" i="1"/>
  <c r="Y458" i="1"/>
  <c r="Z465" i="1"/>
  <c r="Z467" i="1" s="1"/>
  <c r="BN465" i="1"/>
  <c r="Y564" i="1"/>
  <c r="Z473" i="1"/>
  <c r="BN473" i="1"/>
  <c r="Z475" i="1"/>
  <c r="BN475" i="1"/>
  <c r="Z477" i="1"/>
  <c r="BN477" i="1"/>
  <c r="Y478" i="1"/>
  <c r="Z481" i="1"/>
  <c r="Z483" i="1" s="1"/>
  <c r="BN481" i="1"/>
  <c r="BP481" i="1"/>
  <c r="Y494" i="1"/>
  <c r="BP491" i="1"/>
  <c r="BN491" i="1"/>
  <c r="Z491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BP521" i="1"/>
  <c r="BN521" i="1"/>
  <c r="Z521" i="1"/>
  <c r="Y547" i="1"/>
  <c r="AB564" i="1"/>
  <c r="Y553" i="1"/>
  <c r="Z70" i="1" l="1"/>
  <c r="Z478" i="1"/>
  <c r="Z402" i="1"/>
  <c r="Z408" i="1"/>
  <c r="Z167" i="1"/>
  <c r="Z145" i="1"/>
  <c r="Z80" i="1"/>
  <c r="Z51" i="1"/>
  <c r="Z32" i="1"/>
  <c r="Z524" i="1"/>
  <c r="Z396" i="1"/>
  <c r="Z376" i="1"/>
  <c r="Z213" i="1"/>
  <c r="Z156" i="1"/>
  <c r="Z494" i="1"/>
  <c r="Z366" i="1"/>
  <c r="Z235" i="1"/>
  <c r="Z95" i="1"/>
  <c r="Z42" i="1"/>
  <c r="Z121" i="1"/>
  <c r="Z508" i="1"/>
  <c r="Z434" i="1"/>
  <c r="Z421" i="1"/>
  <c r="Z389" i="1"/>
  <c r="Z345" i="1"/>
  <c r="Z329" i="1"/>
  <c r="Z320" i="1"/>
  <c r="Z306" i="1"/>
  <c r="Z275" i="1"/>
  <c r="Z139" i="1"/>
  <c r="Z114" i="1"/>
  <c r="Z106" i="1"/>
  <c r="Z88" i="1"/>
  <c r="Y554" i="1"/>
  <c r="Y555" i="1"/>
  <c r="Y558" i="1"/>
  <c r="Z514" i="1"/>
  <c r="Z290" i="1"/>
  <c r="Z132" i="1"/>
  <c r="Z63" i="1"/>
  <c r="Y556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<sst xmlns="http://schemas.openxmlformats.org/spreadsheetml/2006/main" count="2517" uniqueCount="913">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</sst>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46257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885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268</v>
      </c>
      <c r="Y47" s="634">
        <f>IFERROR(IF(X47="",0,CEILING((X47/$H47),1)*$H47),"")</f>
        <v>270</v>
      </c>
      <c r="Z47" s="36">
        <f>IFERROR(IF(Y47=0,"",ROUNDUP(Y47/H47,0)*0.01898),"")</f>
        <v>0.47450000000000003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278.1740740740741</v>
      </c>
      <c r="BN47" s="64">
        <f>IFERROR(Y47*I47/H47,"0")</f>
        <v>280.25</v>
      </c>
      <c r="BO47" s="64">
        <f>IFERROR(1/J47*(X47/H47),"0")</f>
        <v>0.38773148148148145</v>
      </c>
      <c r="BP47" s="64">
        <f>IFERROR(1/J47*(Y47/H47),"0")</f>
        <v>0.390625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24.814814814814813</v>
      </c>
      <c r="Y51" s="635">
        <f>IFERROR(Y47/H47,"0")+IFERROR(Y48/H48,"0")+IFERROR(Y49/H49,"0")+IFERROR(Y50/H50,"0")</f>
        <v>25</v>
      </c>
      <c r="Z51" s="635">
        <f>IFERROR(IF(Z47="",0,Z47),"0")+IFERROR(IF(Z48="",0,Z48),"0")+IFERROR(IF(Z49="",0,Z49),"0")+IFERROR(IF(Z50="",0,Z50),"0")</f>
        <v>0.47450000000000003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268</v>
      </c>
      <c r="Y52" s="635">
        <f>IFERROR(SUM(Y47:Y50),"0")</f>
        <v>270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101</v>
      </c>
      <c r="Y62" s="634">
        <f t="shared" si="0"/>
        <v>103.5</v>
      </c>
      <c r="Z62" s="36">
        <f>IFERROR(IF(Y62=0,"",ROUNDUP(Y62/H62,0)*0.00902),"")</f>
        <v>0.20746000000000001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105.26444444444445</v>
      </c>
      <c r="BN62" s="64">
        <f t="shared" si="2"/>
        <v>107.87</v>
      </c>
      <c r="BO62" s="64">
        <f t="shared" si="3"/>
        <v>0.17003367003367004</v>
      </c>
      <c r="BP62" s="64">
        <f t="shared" si="4"/>
        <v>0.17424242424242425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22.444444444444443</v>
      </c>
      <c r="Y63" s="635">
        <f>IFERROR(Y55/H55,"0")+IFERROR(Y56/H56,"0")+IFERROR(Y57/H57,"0")+IFERROR(Y58/H58,"0")+IFERROR(Y59/H59,"0")+IFERROR(Y60/H60,"0")+IFERROR(Y61/H61,"0")+IFERROR(Y62/H62,"0")</f>
        <v>23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0.20746000000000001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101</v>
      </c>
      <c r="Y64" s="635">
        <f>IFERROR(SUM(Y55:Y62),"0")</f>
        <v>103.5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515</v>
      </c>
      <c r="Y84" s="634">
        <f>IFERROR(IF(X84="",0,CEILING((X84/$H84),1)*$H84),"")</f>
        <v>518.40000000000009</v>
      </c>
      <c r="Z84" s="36">
        <f>IFERROR(IF(Y84=0,"",ROUNDUP(Y84/H84,0)*0.01898),"")</f>
        <v>0.91104000000000007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534.55092592592598</v>
      </c>
      <c r="BN84" s="64">
        <f>IFERROR(Y84*I84/H84,"0")</f>
        <v>538.08000000000004</v>
      </c>
      <c r="BO84" s="64">
        <f>IFERROR(1/J84*(X84/H84),"0")</f>
        <v>0.74508101851851849</v>
      </c>
      <c r="BP84" s="64">
        <f>IFERROR(1/J84*(Y84/H84),"0")</f>
        <v>0.75000000000000011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165</v>
      </c>
      <c r="Y87" s="634">
        <f>IFERROR(IF(X87="",0,CEILING((X87/$H87),1)*$H87),"")</f>
        <v>166.5</v>
      </c>
      <c r="Z87" s="36">
        <f>IFERROR(IF(Y87=0,"",ROUNDUP(Y87/H87,0)*0.00902),"")</f>
        <v>0.33374000000000004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171.96666666666667</v>
      </c>
      <c r="BN87" s="64">
        <f>IFERROR(Y87*I87/H87,"0")</f>
        <v>173.53000000000003</v>
      </c>
      <c r="BO87" s="64">
        <f>IFERROR(1/J87*(X87/H87),"0")</f>
        <v>0.27777777777777779</v>
      </c>
      <c r="BP87" s="64">
        <f>IFERROR(1/J87*(Y87/H87),"0")</f>
        <v>0.28030303030303033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84.351851851851848</v>
      </c>
      <c r="Y88" s="635">
        <f>IFERROR(Y84/H84,"0")+IFERROR(Y85/H85,"0")+IFERROR(Y86/H86,"0")+IFERROR(Y87/H87,"0")</f>
        <v>85</v>
      </c>
      <c r="Z88" s="635">
        <f>IFERROR(IF(Z84="",0,Z84),"0")+IFERROR(IF(Z85="",0,Z85),"0")+IFERROR(IF(Z86="",0,Z86),"0")+IFERROR(IF(Z87="",0,Z87),"0")</f>
        <v>1.24478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680</v>
      </c>
      <c r="Y89" s="635">
        <f>IFERROR(SUM(Y84:Y87),"0")</f>
        <v>684.90000000000009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249</v>
      </c>
      <c r="Y91" s="634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264.18592592592591</v>
      </c>
      <c r="BN91" s="64">
        <f>IFERROR(Y91*I91/H91,"0")</f>
        <v>266.41399999999999</v>
      </c>
      <c r="BO91" s="64">
        <f>IFERROR(1/J91*(X91/H91),"0")</f>
        <v>0.48032407407407407</v>
      </c>
      <c r="BP91" s="64">
        <f>IFERROR(1/J91*(Y91/H91),"0")</f>
        <v>0.484375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299</v>
      </c>
      <c r="Y93" s="634">
        <f>IFERROR(IF(X93="",0,CEILING((X93/$H93),1)*$H93),"")</f>
        <v>299.70000000000005</v>
      </c>
      <c r="Z93" s="36">
        <f>IFERROR(IF(Y93=0,"",ROUNDUP(Y93/H93,0)*0.00651),"")</f>
        <v>0.72260999999999997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326.90666666666664</v>
      </c>
      <c r="BN93" s="64">
        <f>IFERROR(Y93*I93/H93,"0")</f>
        <v>327.67200000000003</v>
      </c>
      <c r="BO93" s="64">
        <f>IFERROR(1/J93*(X93/H93),"0")</f>
        <v>0.60846560846560849</v>
      </c>
      <c r="BP93" s="64">
        <f>IFERROR(1/J93*(Y93/H93),"0")</f>
        <v>0.60989010989011005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141.48148148148147</v>
      </c>
      <c r="Y95" s="635">
        <f>IFERROR(Y91/H91,"0")+IFERROR(Y92/H92,"0")+IFERROR(Y93/H93,"0")+IFERROR(Y94/H94,"0")</f>
        <v>142</v>
      </c>
      <c r="Z95" s="635">
        <f>IFERROR(IF(Z91="",0,Z91),"0")+IFERROR(IF(Z92="",0,Z92),"0")+IFERROR(IF(Z93="",0,Z93),"0")+IFERROR(IF(Z94="",0,Z94),"0")</f>
        <v>1.3109899999999999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548</v>
      </c>
      <c r="Y96" s="635">
        <f>IFERROR(SUM(Y91:Y94),"0")</f>
        <v>550.80000000000007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1273</v>
      </c>
      <c r="Y117" s="634">
        <f>IFERROR(IF(X117="",0,CEILING((X117/$H117),1)*$H117),"")</f>
        <v>1279.8</v>
      </c>
      <c r="Z117" s="36">
        <f>IFERROR(IF(Y117=0,"",ROUNDUP(Y117/H117,0)*0.01898),"")</f>
        <v>2.99884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1349.6943209876542</v>
      </c>
      <c r="BN117" s="64">
        <f>IFERROR(Y117*I117/H117,"0")</f>
        <v>1356.904</v>
      </c>
      <c r="BO117" s="64">
        <f>IFERROR(1/J117*(X117/H117),"0")</f>
        <v>2.4556327160493829</v>
      </c>
      <c r="BP117" s="64">
        <f>IFERROR(1/J117*(Y117/H117),"0")</f>
        <v>2.46875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199</v>
      </c>
      <c r="Y119" s="634">
        <f>IFERROR(IF(X119="",0,CEILING((X119/$H119),1)*$H119),"")</f>
        <v>199.8</v>
      </c>
      <c r="Z119" s="36">
        <f>IFERROR(IF(Y119=0,"",ROUNDUP(Y119/H119,0)*0.00651),"")</f>
        <v>0.48174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217.57333333333332</v>
      </c>
      <c r="BN119" s="64">
        <f>IFERROR(Y119*I119/H119,"0")</f>
        <v>218.44800000000001</v>
      </c>
      <c r="BO119" s="64">
        <f>IFERROR(1/J119*(X119/H119),"0")</f>
        <v>0.40496540496540495</v>
      </c>
      <c r="BP119" s="64">
        <f>IFERROR(1/J119*(Y119/H119),"0")</f>
        <v>0.40659340659340665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230.8641975308642</v>
      </c>
      <c r="Y121" s="635">
        <f>IFERROR(Y117/H117,"0")+IFERROR(Y118/H118,"0")+IFERROR(Y119/H119,"0")+IFERROR(Y120/H120,"0")</f>
        <v>232</v>
      </c>
      <c r="Z121" s="635">
        <f>IFERROR(IF(Z117="",0,Z117),"0")+IFERROR(IF(Z118="",0,Z118),"0")+IFERROR(IF(Z119="",0,Z119),"0")+IFERROR(IF(Z120="",0,Z120),"0")</f>
        <v>3.4805799999999998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1472</v>
      </c>
      <c r="Y122" s="635">
        <f>IFERROR(SUM(Y117:Y120),"0")</f>
        <v>1479.6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67</v>
      </c>
      <c r="Y180" s="634">
        <f t="shared" si="16"/>
        <v>67.2</v>
      </c>
      <c r="Z180" s="36">
        <f>IFERROR(IF(Y180=0,"",ROUNDUP(Y180/H180,0)*0.00502),"")</f>
        <v>0.20080000000000001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70.988095238095241</v>
      </c>
      <c r="BN180" s="64">
        <f t="shared" si="18"/>
        <v>71.200000000000017</v>
      </c>
      <c r="BO180" s="64">
        <f t="shared" si="19"/>
        <v>0.17043142043142046</v>
      </c>
      <c r="BP180" s="64">
        <f t="shared" si="20"/>
        <v>0.17094017094017094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39.88095238095238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0.20080000000000001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67</v>
      </c>
      <c r="Y187" s="635">
        <f>IFERROR(SUM(Y175:Y185),"0")</f>
        <v>67.2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274</v>
      </c>
      <c r="Y281" s="634">
        <f t="shared" si="38"/>
        <v>276</v>
      </c>
      <c r="Z281" s="36">
        <f>IFERROR(IF(Y281=0,"",ROUNDUP(Y281/H281,0)*0.00651),"")</f>
        <v>0.74865000000000004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304.82499999999999</v>
      </c>
      <c r="BN281" s="64">
        <f t="shared" si="40"/>
        <v>307.05</v>
      </c>
      <c r="BO281" s="64">
        <f t="shared" si="41"/>
        <v>0.62728937728937739</v>
      </c>
      <c r="BP281" s="64">
        <f t="shared" si="42"/>
        <v>0.63186813186813195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878</v>
      </c>
      <c r="Y284" s="634">
        <f t="shared" si="38"/>
        <v>878.4</v>
      </c>
      <c r="Z284" s="36">
        <f>IFERROR(IF(Y284=0,"",ROUNDUP(Y284/H284,0)*0.00651),"")</f>
        <v>2.38266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970.19</v>
      </c>
      <c r="BN284" s="64">
        <f t="shared" si="40"/>
        <v>970.63199999999995</v>
      </c>
      <c r="BO284" s="64">
        <f t="shared" si="41"/>
        <v>2.0100732600732605</v>
      </c>
      <c r="BP284" s="64">
        <f t="shared" si="42"/>
        <v>2.0109890109890109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480.00000000000006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481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3.13131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1152</v>
      </c>
      <c r="Y291" s="635">
        <f>IFERROR(SUM(Y278:Y289),"0")</f>
        <v>1154.4000000000001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831</v>
      </c>
      <c r="Y387" s="634">
        <f>IFERROR(IF(X387="",0,CEILING((X387/$H387),1)*$H387),"")</f>
        <v>834.6</v>
      </c>
      <c r="Z387" s="36">
        <f>IFERROR(IF(Y387=0,"",ROUNDUP(Y387/H387,0)*0.01898),"")</f>
        <v>2.0308600000000001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883.63000000000011</v>
      </c>
      <c r="BN387" s="64">
        <f>IFERROR(Y387*I387/H387,"0")</f>
        <v>887.45800000000008</v>
      </c>
      <c r="BO387" s="64">
        <f>IFERROR(1/J387*(X387/H387),"0")</f>
        <v>1.6646634615384617</v>
      </c>
      <c r="BP387" s="64">
        <f>IFERROR(1/J387*(Y387/H387),"0")</f>
        <v>1.671875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106.53846153846155</v>
      </c>
      <c r="Y389" s="635">
        <f>IFERROR(Y386/H386,"0")+IFERROR(Y387/H387,"0")+IFERROR(Y388/H388,"0")</f>
        <v>107</v>
      </c>
      <c r="Z389" s="635">
        <f>IFERROR(IF(Z386="",0,Z386),"0")+IFERROR(IF(Z387="",0,Z387),"0")+IFERROR(IF(Z388="",0,Z388),"0")</f>
        <v>2.0308600000000001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831</v>
      </c>
      <c r="Y390" s="635">
        <f>IFERROR(SUM(Y386:Y388),"0")</f>
        <v>834.6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2012</v>
      </c>
      <c r="Y428" s="634">
        <f t="shared" si="53"/>
        <v>2025</v>
      </c>
      <c r="Z428" s="36">
        <f>IFERROR(IF(Y428=0,"",ROUNDUP(Y428/H428,0)*0.02175),"")</f>
        <v>2.9362499999999998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2075.0426666666667</v>
      </c>
      <c r="BN428" s="64">
        <f t="shared" si="55"/>
        <v>2088.4499999999998</v>
      </c>
      <c r="BO428" s="64">
        <f t="shared" si="56"/>
        <v>2.7944444444444443</v>
      </c>
      <c r="BP428" s="64">
        <f t="shared" si="57"/>
        <v>2.8125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494</v>
      </c>
      <c r="Y429" s="634">
        <f t="shared" si="53"/>
        <v>495</v>
      </c>
      <c r="Z429" s="36">
        <f>IFERROR(IF(Y429=0,"",ROUNDUP(Y429/H429,0)*0.02175),"")</f>
        <v>0.71775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509.4786666666667</v>
      </c>
      <c r="BN429" s="64">
        <f t="shared" si="55"/>
        <v>510.51000000000005</v>
      </c>
      <c r="BO429" s="64">
        <f t="shared" si="56"/>
        <v>0.68611111111111101</v>
      </c>
      <c r="BP429" s="64">
        <f t="shared" si="57"/>
        <v>0.6875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362</v>
      </c>
      <c r="Y430" s="634">
        <f t="shared" si="53"/>
        <v>375</v>
      </c>
      <c r="Z430" s="36">
        <f>IFERROR(IF(Y430=0,"",ROUNDUP(Y430/H430,0)*0.02175),"")</f>
        <v>0.54374999999999996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373.34266666666667</v>
      </c>
      <c r="BN430" s="64">
        <f t="shared" si="55"/>
        <v>386.75</v>
      </c>
      <c r="BO430" s="64">
        <f t="shared" si="56"/>
        <v>0.50277777777777777</v>
      </c>
      <c r="BP430" s="64">
        <f t="shared" si="57"/>
        <v>0.52083333333333326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191.2</v>
      </c>
      <c r="Y434" s="635">
        <f>IFERROR(Y426/H426,"0")+IFERROR(Y427/H427,"0")+IFERROR(Y428/H428,"0")+IFERROR(Y429/H429,"0")+IFERROR(Y430/H430,"0")+IFERROR(Y431/H431,"0")+IFERROR(Y432/H432,"0")+IFERROR(Y433/H433,"0")</f>
        <v>193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4.1977500000000001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2868</v>
      </c>
      <c r="Y435" s="635">
        <f>IFERROR(SUM(Y426:Y433),"0")</f>
        <v>2895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1104</v>
      </c>
      <c r="Y437" s="634">
        <f>IFERROR(IF(X437="",0,CEILING((X437/$H437),1)*$H437),"")</f>
        <v>1110</v>
      </c>
      <c r="Z437" s="36">
        <f>IFERROR(IF(Y437=0,"",ROUNDUP(Y437/H437,0)*0.02175),"")</f>
        <v>1.6094999999999999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1138.5920000000001</v>
      </c>
      <c r="BN437" s="64">
        <f>IFERROR(Y437*I437/H437,"0")</f>
        <v>1144.78</v>
      </c>
      <c r="BO437" s="64">
        <f>IFERROR(1/J437*(X437/H437),"0")</f>
        <v>1.5333333333333332</v>
      </c>
      <c r="BP437" s="64">
        <f>IFERROR(1/J437*(Y437/H437),"0")</f>
        <v>1.5416666666666665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73.599999999999994</v>
      </c>
      <c r="Y440" s="635">
        <f>IFERROR(Y437/H437,"0")+IFERROR(Y438/H438,"0")+IFERROR(Y439/H439,"0")</f>
        <v>74</v>
      </c>
      <c r="Z440" s="635">
        <f>IFERROR(IF(Z437="",0,Z437),"0")+IFERROR(IF(Z438="",0,Z438),"0")+IFERROR(IF(Z439="",0,Z439),"0")</f>
        <v>1.6094999999999999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1104</v>
      </c>
      <c r="Y441" s="635">
        <f>IFERROR(SUM(Y437:Y439),"0")</f>
        <v>1110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1208</v>
      </c>
      <c r="Y464" s="634">
        <f>IFERROR(IF(X464="",0,CEILING((X464/$H464),1)*$H464),"")</f>
        <v>1215</v>
      </c>
      <c r="Z464" s="36">
        <f>IFERROR(IF(Y464=0,"",ROUNDUP(Y464/H464,0)*0.01898),"")</f>
        <v>2.5623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1274.3057777777778</v>
      </c>
      <c r="BN464" s="64">
        <f>IFERROR(Y464*I464/H464,"0")</f>
        <v>1281.6899999999998</v>
      </c>
      <c r="BO464" s="64">
        <f>IFERROR(1/J464*(X464/H464),"0")</f>
        <v>2.0972222222222223</v>
      </c>
      <c r="BP464" s="64">
        <f>IFERROR(1/J464*(Y464/H464),"0")</f>
        <v>2.109375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134.22222222222223</v>
      </c>
      <c r="Y467" s="635">
        <f>IFERROR(Y464/H464,"0")+IFERROR(Y465/H465,"0")+IFERROR(Y466/H466,"0")</f>
        <v>135</v>
      </c>
      <c r="Z467" s="635">
        <f>IFERROR(IF(Z464="",0,Z464),"0")+IFERROR(IF(Z465="",0,Z465),"0")+IFERROR(IF(Z466="",0,Z466),"0")</f>
        <v>2.5623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1208</v>
      </c>
      <c r="Y468" s="635">
        <f>IFERROR(SUM(Y464:Y466),"0")</f>
        <v>1215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2864</v>
      </c>
      <c r="Y502" s="634">
        <f t="shared" si="63"/>
        <v>2867.04</v>
      </c>
      <c r="Z502" s="36">
        <f t="shared" si="64"/>
        <v>6.4942799999999998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3053.8484848484845</v>
      </c>
      <c r="BN502" s="64">
        <f t="shared" si="66"/>
        <v>3057.0899999999997</v>
      </c>
      <c r="BO502" s="64">
        <f t="shared" si="67"/>
        <v>5.2156177156177153</v>
      </c>
      <c r="BP502" s="64">
        <f t="shared" si="68"/>
        <v>5.2211538461538467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2268</v>
      </c>
      <c r="Y504" s="634">
        <f t="shared" si="63"/>
        <v>2270.4</v>
      </c>
      <c r="Z504" s="36">
        <f t="shared" si="64"/>
        <v>5.1428000000000003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2418.340909090909</v>
      </c>
      <c r="BN504" s="64">
        <f t="shared" si="66"/>
        <v>2420.9</v>
      </c>
      <c r="BO504" s="64">
        <f t="shared" si="67"/>
        <v>4.130244755244755</v>
      </c>
      <c r="BP504" s="64">
        <f t="shared" si="68"/>
        <v>4.134615384615385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236</v>
      </c>
      <c r="Y506" s="634">
        <f t="shared" si="63"/>
        <v>240</v>
      </c>
      <c r="Z506" s="36">
        <f>IFERROR(IF(Y506=0,"",ROUNDUP(Y506/H506,0)*0.00902),"")</f>
        <v>0.45100000000000001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339.74166666666667</v>
      </c>
      <c r="BN506" s="64">
        <f t="shared" si="66"/>
        <v>345.50000000000006</v>
      </c>
      <c r="BO506" s="64">
        <f t="shared" si="67"/>
        <v>0.37247474747474751</v>
      </c>
      <c r="BP506" s="64">
        <f t="shared" si="68"/>
        <v>0.37878787878787878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1021.1363636363635</v>
      </c>
      <c r="Y508" s="635">
        <f>IFERROR(Y499/H499,"0")+IFERROR(Y500/H500,"0")+IFERROR(Y501/H501,"0")+IFERROR(Y502/H502,"0")+IFERROR(Y503/H503,"0")+IFERROR(Y504/H504,"0")+IFERROR(Y505/H505,"0")+IFERROR(Y506/H506,"0")+IFERROR(Y507/H507,"0")</f>
        <v>1023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12.088080000000001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5368</v>
      </c>
      <c r="Y509" s="635">
        <f>IFERROR(SUM(Y499:Y507),"0")</f>
        <v>5377.4400000000005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332</v>
      </c>
      <c r="Y511" s="634">
        <f>IFERROR(IF(X511="",0,CEILING((X511/$H511),1)*$H511),"")</f>
        <v>332.64000000000004</v>
      </c>
      <c r="Z511" s="36">
        <f>IFERROR(IF(Y511=0,"",ROUNDUP(Y511/H511,0)*0.01196),"")</f>
        <v>0.75348000000000004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354.00757575757569</v>
      </c>
      <c r="BN511" s="64">
        <f>IFERROR(Y511*I511/H511,"0")</f>
        <v>354.69</v>
      </c>
      <c r="BO511" s="64">
        <f>IFERROR(1/J511*(X511/H511),"0")</f>
        <v>0.60460372960372966</v>
      </c>
      <c r="BP511" s="64">
        <f>IFERROR(1/J511*(Y511/H511),"0")</f>
        <v>0.60576923076923084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62.878787878787875</v>
      </c>
      <c r="Y514" s="635">
        <f>IFERROR(Y511/H511,"0")+IFERROR(Y512/H512,"0")+IFERROR(Y513/H513,"0")</f>
        <v>63.000000000000007</v>
      </c>
      <c r="Z514" s="635">
        <f>IFERROR(IF(Z511="",0,Z511),"0")+IFERROR(IF(Z512="",0,Z512),"0")+IFERROR(IF(Z513="",0,Z513),"0")</f>
        <v>0.75348000000000004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332</v>
      </c>
      <c r="Y515" s="635">
        <f>IFERROR(SUM(Y511:Y513),"0")</f>
        <v>332.64000000000004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401</v>
      </c>
      <c r="Y518" s="634">
        <f t="shared" si="69"/>
        <v>401.28000000000003</v>
      </c>
      <c r="Z518" s="36">
        <f>IFERROR(IF(Y518=0,"",ROUNDUP(Y518/H518,0)*0.01196),"")</f>
        <v>0.90895999999999999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427.58143939393938</v>
      </c>
      <c r="BN518" s="64">
        <f t="shared" si="71"/>
        <v>427.88</v>
      </c>
      <c r="BO518" s="64">
        <f t="shared" si="72"/>
        <v>0.73025932400932392</v>
      </c>
      <c r="BP518" s="64">
        <f t="shared" si="73"/>
        <v>0.73076923076923084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1347</v>
      </c>
      <c r="Y519" s="634">
        <f t="shared" si="69"/>
        <v>1351.68</v>
      </c>
      <c r="Z519" s="36">
        <f>IFERROR(IF(Y519=0,"",ROUNDUP(Y519/H519,0)*0.01196),"")</f>
        <v>3.06176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1436.2897727272725</v>
      </c>
      <c r="BN519" s="64">
        <f t="shared" si="71"/>
        <v>1441.28</v>
      </c>
      <c r="BO519" s="64">
        <f t="shared" si="72"/>
        <v>2.4530157342657342</v>
      </c>
      <c r="BP519" s="64">
        <f t="shared" si="73"/>
        <v>2.4615384615384617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331.06060606060601</v>
      </c>
      <c r="Y524" s="635">
        <f>IFERROR(Y517/H517,"0")+IFERROR(Y518/H518,"0")+IFERROR(Y519/H519,"0")+IFERROR(Y520/H520,"0")+IFERROR(Y521/H521,"0")+IFERROR(Y522/H522,"0")+IFERROR(Y523/H523,"0")</f>
        <v>332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3.97072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1748</v>
      </c>
      <c r="Y525" s="635">
        <f>IFERROR(SUM(Y517:Y523),"0")</f>
        <v>1752.96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17747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17828.04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18878.52107952541</v>
      </c>
      <c r="Y555" s="635">
        <f>IFERROR(SUM(BN22:BN551),"0")</f>
        <v>18965.028000000002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19678.52107952541</v>
      </c>
      <c r="Y557" s="635">
        <f>GrossWeightTotalR+PalletQtyTotalR*25</f>
        <v>19765.028000000002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2944.4741838408499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2955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37.263110000000005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270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103.5</v>
      </c>
      <c r="F564" s="46">
        <f>IFERROR(Y84*1,"0")+IFERROR(Y85*1,"0")+IFERROR(Y86*1,"0")+IFERROR(Y87*1,"0")+IFERROR(Y91*1,"0")+IFERROR(Y92*1,"0")+IFERROR(Y93*1,"0")+IFERROR(Y94*1,"0")</f>
        <v>1235.7000000000003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1479.6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67.2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1154.4000000000001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834.6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4005</v>
      </c>
      <c r="X564" s="46">
        <f>IFERROR(Y455*1,"0")+IFERROR(Y456*1,"0")+IFERROR(Y460*1,"0")+IFERROR(Y464*1,"0")+IFERROR(Y465*1,"0")+IFERROR(Y466*1,"0")</f>
        <v>1215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7463.0400000000009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1,14"/>
        <filter val="1 104,00"/>
        <filter val="1 152,00"/>
        <filter val="1 208,00"/>
        <filter val="1 273,00"/>
        <filter val="1 347,00"/>
        <filter val="1 472,00"/>
        <filter val="1 748,00"/>
        <filter val="101,00"/>
        <filter val="106,54"/>
        <filter val="134,22"/>
        <filter val="141,48"/>
        <filter val="165,00"/>
        <filter val="17 747,00"/>
        <filter val="18 878,52"/>
        <filter val="19 678,52"/>
        <filter val="191,20"/>
        <filter val="199,00"/>
        <filter val="2 012,00"/>
        <filter val="2 268,00"/>
        <filter val="2 864,00"/>
        <filter val="2 868,00"/>
        <filter val="2 944,47"/>
        <filter val="22,44"/>
        <filter val="230,86"/>
        <filter val="236,00"/>
        <filter val="24,81"/>
        <filter val="249,00"/>
        <filter val="268,00"/>
        <filter val="274,00"/>
        <filter val="299,00"/>
        <filter val="32"/>
        <filter val="331,06"/>
        <filter val="332,00"/>
        <filter val="362,00"/>
        <filter val="39,88"/>
        <filter val="401,00"/>
        <filter val="480,00"/>
        <filter val="494,00"/>
        <filter val="5 368,00"/>
        <filter val="515,00"/>
        <filter val="548,00"/>
        <filter val="62,88"/>
        <filter val="67,00"/>
        <filter val="680,00"/>
        <filter val="73,60"/>
        <filter val="831,00"/>
        <filter val="84,35"/>
        <filter val="878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