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0D29142-C7C5-4A04-BA7C-12B71382557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Y552" i="1"/>
  <c r="X552" i="1"/>
  <c r="BO551" i="1"/>
  <c r="BM551" i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Y547" i="1" s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AB564" i="1" s="1"/>
  <c r="P529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O518" i="1"/>
  <c r="BM518" i="1"/>
  <c r="Y518" i="1"/>
  <c r="BP518" i="1" s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O506" i="1"/>
  <c r="BM506" i="1"/>
  <c r="Y506" i="1"/>
  <c r="BP506" i="1" s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BP502" i="1" s="1"/>
  <c r="P502" i="1"/>
  <c r="BO501" i="1"/>
  <c r="BM501" i="1"/>
  <c r="Y501" i="1"/>
  <c r="P501" i="1"/>
  <c r="BO500" i="1"/>
  <c r="BM500" i="1"/>
  <c r="Y500" i="1"/>
  <c r="BP500" i="1" s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BP492" i="1" s="1"/>
  <c r="P492" i="1"/>
  <c r="BO491" i="1"/>
  <c r="BM491" i="1"/>
  <c r="Y491" i="1"/>
  <c r="P491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BP481" i="1" s="1"/>
  <c r="P481" i="1"/>
  <c r="X479" i="1"/>
  <c r="X478" i="1"/>
  <c r="BO477" i="1"/>
  <c r="BM477" i="1"/>
  <c r="Y477" i="1"/>
  <c r="BP477" i="1" s="1"/>
  <c r="P477" i="1"/>
  <c r="BO476" i="1"/>
  <c r="BM476" i="1"/>
  <c r="Y476" i="1"/>
  <c r="P476" i="1"/>
  <c r="BO475" i="1"/>
  <c r="BM475" i="1"/>
  <c r="Y475" i="1"/>
  <c r="BP475" i="1" s="1"/>
  <c r="P475" i="1"/>
  <c r="BO474" i="1"/>
  <c r="BM474" i="1"/>
  <c r="Y474" i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P466" i="1"/>
  <c r="BO465" i="1"/>
  <c r="BM465" i="1"/>
  <c r="Y465" i="1"/>
  <c r="BP465" i="1" s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P455" i="1"/>
  <c r="BO455" i="1"/>
  <c r="BN455" i="1"/>
  <c r="BM455" i="1"/>
  <c r="Z455" i="1"/>
  <c r="Y455" i="1"/>
  <c r="P455" i="1"/>
  <c r="X452" i="1"/>
  <c r="Y451" i="1"/>
  <c r="X451" i="1"/>
  <c r="BO450" i="1"/>
  <c r="BM450" i="1"/>
  <c r="Y450" i="1"/>
  <c r="BP450" i="1" s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BP438" i="1" s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BP432" i="1" s="1"/>
  <c r="P432" i="1"/>
  <c r="BO431" i="1"/>
  <c r="BM431" i="1"/>
  <c r="Y431" i="1"/>
  <c r="P431" i="1"/>
  <c r="BO430" i="1"/>
  <c r="BM430" i="1"/>
  <c r="Y430" i="1"/>
  <c r="BP430" i="1" s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BP426" i="1" s="1"/>
  <c r="P426" i="1"/>
  <c r="X422" i="1"/>
  <c r="X421" i="1"/>
  <c r="BO420" i="1"/>
  <c r="BM420" i="1"/>
  <c r="Y420" i="1"/>
  <c r="P420" i="1"/>
  <c r="BO419" i="1"/>
  <c r="BM419" i="1"/>
  <c r="Y419" i="1"/>
  <c r="P419" i="1"/>
  <c r="BO418" i="1"/>
  <c r="BM418" i="1"/>
  <c r="Y418" i="1"/>
  <c r="BP418" i="1" s="1"/>
  <c r="P418" i="1"/>
  <c r="X415" i="1"/>
  <c r="X414" i="1"/>
  <c r="BO413" i="1"/>
  <c r="BM413" i="1"/>
  <c r="Y413" i="1"/>
  <c r="BN413" i="1" s="1"/>
  <c r="BO412" i="1"/>
  <c r="BM412" i="1"/>
  <c r="Y412" i="1"/>
  <c r="U564" i="1" s="1"/>
  <c r="X409" i="1"/>
  <c r="X408" i="1"/>
  <c r="BO407" i="1"/>
  <c r="BM407" i="1"/>
  <c r="Y407" i="1"/>
  <c r="P407" i="1"/>
  <c r="BO406" i="1"/>
  <c r="BM406" i="1"/>
  <c r="Y406" i="1"/>
  <c r="BP406" i="1" s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X397" i="1"/>
  <c r="X396" i="1"/>
  <c r="BO395" i="1"/>
  <c r="BM395" i="1"/>
  <c r="Y395" i="1"/>
  <c r="P395" i="1"/>
  <c r="BO394" i="1"/>
  <c r="BM394" i="1"/>
  <c r="Y394" i="1"/>
  <c r="BN394" i="1" s="1"/>
  <c r="P394" i="1"/>
  <c r="BO393" i="1"/>
  <c r="BM393" i="1"/>
  <c r="Y393" i="1"/>
  <c r="P393" i="1"/>
  <c r="BO392" i="1"/>
  <c r="BM392" i="1"/>
  <c r="Y392" i="1"/>
  <c r="P392" i="1"/>
  <c r="X390" i="1"/>
  <c r="X389" i="1"/>
  <c r="BO388" i="1"/>
  <c r="BM388" i="1"/>
  <c r="Y388" i="1"/>
  <c r="BN388" i="1" s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BN382" i="1" s="1"/>
  <c r="P382" i="1"/>
  <c r="BO381" i="1"/>
  <c r="BM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BN374" i="1" s="1"/>
  <c r="P374" i="1"/>
  <c r="BO373" i="1"/>
  <c r="BM373" i="1"/>
  <c r="Y373" i="1"/>
  <c r="P373" i="1"/>
  <c r="BO372" i="1"/>
  <c r="BM372" i="1"/>
  <c r="Y372" i="1"/>
  <c r="P372" i="1"/>
  <c r="BO371" i="1"/>
  <c r="BM371" i="1"/>
  <c r="Y371" i="1"/>
  <c r="P371" i="1"/>
  <c r="BO370" i="1"/>
  <c r="BM370" i="1"/>
  <c r="Y370" i="1"/>
  <c r="BP370" i="1" s="1"/>
  <c r="P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BP362" i="1" s="1"/>
  <c r="P362" i="1"/>
  <c r="BO361" i="1"/>
  <c r="BM361" i="1"/>
  <c r="Y361" i="1"/>
  <c r="P361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X351" i="1"/>
  <c r="X350" i="1"/>
  <c r="BO349" i="1"/>
  <c r="BM349" i="1"/>
  <c r="Y349" i="1"/>
  <c r="P349" i="1"/>
  <c r="BO348" i="1"/>
  <c r="BM348" i="1"/>
  <c r="Y348" i="1"/>
  <c r="BN348" i="1" s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BP342" i="1" s="1"/>
  <c r="P342" i="1"/>
  <c r="BO341" i="1"/>
  <c r="BM341" i="1"/>
  <c r="Y341" i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Y334" i="1"/>
  <c r="P334" i="1"/>
  <c r="BP333" i="1"/>
  <c r="BO333" i="1"/>
  <c r="BN333" i="1"/>
  <c r="BM333" i="1"/>
  <c r="Z333" i="1"/>
  <c r="Y333" i="1"/>
  <c r="Y336" i="1" s="1"/>
  <c r="P333" i="1"/>
  <c r="X330" i="1"/>
  <c r="X329" i="1"/>
  <c r="BO328" i="1"/>
  <c r="BM328" i="1"/>
  <c r="Y328" i="1"/>
  <c r="BP328" i="1" s="1"/>
  <c r="P328" i="1"/>
  <c r="BO327" i="1"/>
  <c r="BM327" i="1"/>
  <c r="Y327" i="1"/>
  <c r="P327" i="1"/>
  <c r="BP326" i="1"/>
  <c r="BO326" i="1"/>
  <c r="BN326" i="1"/>
  <c r="BM326" i="1"/>
  <c r="Z326" i="1"/>
  <c r="Y326" i="1"/>
  <c r="P326" i="1"/>
  <c r="BO325" i="1"/>
  <c r="BM325" i="1"/>
  <c r="Y325" i="1"/>
  <c r="P325" i="1"/>
  <c r="BO324" i="1"/>
  <c r="BM324" i="1"/>
  <c r="Y324" i="1"/>
  <c r="P324" i="1"/>
  <c r="X321" i="1"/>
  <c r="X320" i="1"/>
  <c r="BO319" i="1"/>
  <c r="BM319" i="1"/>
  <c r="Y319" i="1"/>
  <c r="BP319" i="1" s="1"/>
  <c r="P319" i="1"/>
  <c r="BO318" i="1"/>
  <c r="BM318" i="1"/>
  <c r="Y318" i="1"/>
  <c r="P318" i="1"/>
  <c r="BO317" i="1"/>
  <c r="BM317" i="1"/>
  <c r="Y317" i="1"/>
  <c r="P317" i="1"/>
  <c r="X315" i="1"/>
  <c r="X314" i="1"/>
  <c r="BO313" i="1"/>
  <c r="BM313" i="1"/>
  <c r="Y313" i="1"/>
  <c r="Y315" i="1" s="1"/>
  <c r="P313" i="1"/>
  <c r="X311" i="1"/>
  <c r="X310" i="1"/>
  <c r="BO309" i="1"/>
  <c r="BM309" i="1"/>
  <c r="Y309" i="1"/>
  <c r="P309" i="1"/>
  <c r="X307" i="1"/>
  <c r="X306" i="1"/>
  <c r="BP305" i="1"/>
  <c r="BO305" i="1"/>
  <c r="BN305" i="1"/>
  <c r="BM305" i="1"/>
  <c r="Z305" i="1"/>
  <c r="Y305" i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BP299" i="1" s="1"/>
  <c r="P299" i="1"/>
  <c r="X296" i="1"/>
  <c r="X295" i="1"/>
  <c r="BO294" i="1"/>
  <c r="BM294" i="1"/>
  <c r="Y294" i="1"/>
  <c r="P294" i="1"/>
  <c r="BO293" i="1"/>
  <c r="BM293" i="1"/>
  <c r="Y293" i="1"/>
  <c r="P293" i="1"/>
  <c r="X291" i="1"/>
  <c r="X290" i="1"/>
  <c r="BO289" i="1"/>
  <c r="BM289" i="1"/>
  <c r="Y289" i="1"/>
  <c r="P289" i="1"/>
  <c r="BO288" i="1"/>
  <c r="BM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O284" i="1"/>
  <c r="BM284" i="1"/>
  <c r="Y284" i="1"/>
  <c r="BP284" i="1" s="1"/>
  <c r="P284" i="1"/>
  <c r="BO283" i="1"/>
  <c r="BM283" i="1"/>
  <c r="Y283" i="1"/>
  <c r="P283" i="1"/>
  <c r="BP282" i="1"/>
  <c r="BO282" i="1"/>
  <c r="BN282" i="1"/>
  <c r="BM282" i="1"/>
  <c r="Z282" i="1"/>
  <c r="Y282" i="1"/>
  <c r="P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BN278" i="1" s="1"/>
  <c r="P278" i="1"/>
  <c r="X276" i="1"/>
  <c r="X275" i="1"/>
  <c r="BO274" i="1"/>
  <c r="BM274" i="1"/>
  <c r="Y274" i="1"/>
  <c r="P274" i="1"/>
  <c r="BO273" i="1"/>
  <c r="BM273" i="1"/>
  <c r="Z273" i="1"/>
  <c r="Y273" i="1"/>
  <c r="P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BO269" i="1"/>
  <c r="BM269" i="1"/>
  <c r="Y269" i="1"/>
  <c r="BP269" i="1" s="1"/>
  <c r="P269" i="1"/>
  <c r="BO268" i="1"/>
  <c r="BM268" i="1"/>
  <c r="Y268" i="1"/>
  <c r="P268" i="1"/>
  <c r="BO267" i="1"/>
  <c r="BM267" i="1"/>
  <c r="Y267" i="1"/>
  <c r="BP267" i="1" s="1"/>
  <c r="P267" i="1"/>
  <c r="X265" i="1"/>
  <c r="X264" i="1"/>
  <c r="BO263" i="1"/>
  <c r="BM263" i="1"/>
  <c r="Y263" i="1"/>
  <c r="P263" i="1"/>
  <c r="BO262" i="1"/>
  <c r="BM262" i="1"/>
  <c r="Y262" i="1"/>
  <c r="Y264" i="1" s="1"/>
  <c r="P262" i="1"/>
  <c r="X260" i="1"/>
  <c r="X259" i="1"/>
  <c r="BO258" i="1"/>
  <c r="BM258" i="1"/>
  <c r="Y258" i="1"/>
  <c r="P258" i="1"/>
  <c r="BO257" i="1"/>
  <c r="BM257" i="1"/>
  <c r="Z257" i="1"/>
  <c r="Y257" i="1"/>
  <c r="BN257" i="1" s="1"/>
  <c r="P257" i="1"/>
  <c r="X254" i="1"/>
  <c r="Y253" i="1"/>
  <c r="X253" i="1"/>
  <c r="BO252" i="1"/>
  <c r="BM252" i="1"/>
  <c r="Y252" i="1"/>
  <c r="Y254" i="1" s="1"/>
  <c r="P252" i="1"/>
  <c r="X250" i="1"/>
  <c r="X249" i="1"/>
  <c r="BO248" i="1"/>
  <c r="BM248" i="1"/>
  <c r="Y248" i="1"/>
  <c r="P248" i="1"/>
  <c r="BO247" i="1"/>
  <c r="BM247" i="1"/>
  <c r="Y247" i="1"/>
  <c r="P247" i="1"/>
  <c r="BO246" i="1"/>
  <c r="BM246" i="1"/>
  <c r="Y246" i="1"/>
  <c r="BP246" i="1" s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N238" i="1"/>
  <c r="BM238" i="1"/>
  <c r="Z238" i="1"/>
  <c r="Y238" i="1"/>
  <c r="BP238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Z230" i="1"/>
  <c r="Y230" i="1"/>
  <c r="BN230" i="1" s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BO223" i="1"/>
  <c r="BM223" i="1"/>
  <c r="Y223" i="1"/>
  <c r="P223" i="1"/>
  <c r="BO222" i="1"/>
  <c r="BM222" i="1"/>
  <c r="Z222" i="1"/>
  <c r="Y222" i="1"/>
  <c r="BN222" i="1" s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BO195" i="1"/>
  <c r="BM195" i="1"/>
  <c r="Z195" i="1"/>
  <c r="Y195" i="1"/>
  <c r="BN195" i="1" s="1"/>
  <c r="P195" i="1"/>
  <c r="X193" i="1"/>
  <c r="X192" i="1"/>
  <c r="BO191" i="1"/>
  <c r="BM191" i="1"/>
  <c r="Y191" i="1"/>
  <c r="P191" i="1"/>
  <c r="BO190" i="1"/>
  <c r="BM190" i="1"/>
  <c r="Y190" i="1"/>
  <c r="P190" i="1"/>
  <c r="BO189" i="1"/>
  <c r="BM189" i="1"/>
  <c r="Y189" i="1"/>
  <c r="P189" i="1"/>
  <c r="X187" i="1"/>
  <c r="X186" i="1"/>
  <c r="BO185" i="1"/>
  <c r="BM185" i="1"/>
  <c r="Y185" i="1"/>
  <c r="BN185" i="1" s="1"/>
  <c r="P185" i="1"/>
  <c r="BO184" i="1"/>
  <c r="BM184" i="1"/>
  <c r="Y184" i="1"/>
  <c r="P184" i="1"/>
  <c r="BO183" i="1"/>
  <c r="BM183" i="1"/>
  <c r="Y183" i="1"/>
  <c r="P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Z179" i="1"/>
  <c r="Y179" i="1"/>
  <c r="BN179" i="1" s="1"/>
  <c r="P179" i="1"/>
  <c r="BO178" i="1"/>
  <c r="BM178" i="1"/>
  <c r="Y178" i="1"/>
  <c r="P178" i="1"/>
  <c r="BO177" i="1"/>
  <c r="BM177" i="1"/>
  <c r="Y177" i="1"/>
  <c r="BN177" i="1" s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Y172" i="1" s="1"/>
  <c r="P170" i="1"/>
  <c r="X168" i="1"/>
  <c r="X167" i="1"/>
  <c r="BO166" i="1"/>
  <c r="BM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Z155" i="1"/>
  <c r="Y155" i="1"/>
  <c r="P155" i="1"/>
  <c r="BO154" i="1"/>
  <c r="BM154" i="1"/>
  <c r="Y154" i="1"/>
  <c r="BP154" i="1" s="1"/>
  <c r="P154" i="1"/>
  <c r="BO153" i="1"/>
  <c r="BM153" i="1"/>
  <c r="Z153" i="1"/>
  <c r="Y153" i="1"/>
  <c r="BN153" i="1" s="1"/>
  <c r="P153" i="1"/>
  <c r="BO152" i="1"/>
  <c r="BM152" i="1"/>
  <c r="Y152" i="1"/>
  <c r="BP152" i="1" s="1"/>
  <c r="P152" i="1"/>
  <c r="BO151" i="1"/>
  <c r="BM151" i="1"/>
  <c r="Y151" i="1"/>
  <c r="BN151" i="1" s="1"/>
  <c r="P151" i="1"/>
  <c r="BO150" i="1"/>
  <c r="BM150" i="1"/>
  <c r="Y150" i="1"/>
  <c r="BP150" i="1" s="1"/>
  <c r="P150" i="1"/>
  <c r="BO149" i="1"/>
  <c r="BM149" i="1"/>
  <c r="Y149" i="1"/>
  <c r="BN149" i="1" s="1"/>
  <c r="P149" i="1"/>
  <c r="X146" i="1"/>
  <c r="X145" i="1"/>
  <c r="BO144" i="1"/>
  <c r="BM144" i="1"/>
  <c r="Y144" i="1"/>
  <c r="BN144" i="1" s="1"/>
  <c r="P144" i="1"/>
  <c r="BO143" i="1"/>
  <c r="BM143" i="1"/>
  <c r="Y143" i="1"/>
  <c r="BP143" i="1" s="1"/>
  <c r="P143" i="1"/>
  <c r="BO142" i="1"/>
  <c r="BM142" i="1"/>
  <c r="Y142" i="1"/>
  <c r="P142" i="1"/>
  <c r="X140" i="1"/>
  <c r="X139" i="1"/>
  <c r="BO138" i="1"/>
  <c r="BM138" i="1"/>
  <c r="Y138" i="1"/>
  <c r="BN138" i="1" s="1"/>
  <c r="P138" i="1"/>
  <c r="BO137" i="1"/>
  <c r="BM137" i="1"/>
  <c r="Y137" i="1"/>
  <c r="BP137" i="1" s="1"/>
  <c r="P137" i="1"/>
  <c r="BO136" i="1"/>
  <c r="BM136" i="1"/>
  <c r="Y136" i="1"/>
  <c r="BN136" i="1" s="1"/>
  <c r="P136" i="1"/>
  <c r="BO135" i="1"/>
  <c r="BM135" i="1"/>
  <c r="Y135" i="1"/>
  <c r="P135" i="1"/>
  <c r="X133" i="1"/>
  <c r="X132" i="1"/>
  <c r="BO131" i="1"/>
  <c r="BM131" i="1"/>
  <c r="Y131" i="1"/>
  <c r="BP131" i="1" s="1"/>
  <c r="P131" i="1"/>
  <c r="BO130" i="1"/>
  <c r="BM130" i="1"/>
  <c r="Z130" i="1"/>
  <c r="Y130" i="1"/>
  <c r="BN130" i="1" s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BN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X115" i="1"/>
  <c r="X114" i="1"/>
  <c r="BO113" i="1"/>
  <c r="BM113" i="1"/>
  <c r="Y113" i="1"/>
  <c r="P113" i="1"/>
  <c r="BO112" i="1"/>
  <c r="BM112" i="1"/>
  <c r="Y112" i="1"/>
  <c r="BP112" i="1" s="1"/>
  <c r="P112" i="1"/>
  <c r="BO111" i="1"/>
  <c r="BM111" i="1"/>
  <c r="Y111" i="1"/>
  <c r="P111" i="1"/>
  <c r="BO110" i="1"/>
  <c r="BM110" i="1"/>
  <c r="Y110" i="1"/>
  <c r="BP110" i="1" s="1"/>
  <c r="P110" i="1"/>
  <c r="BP109" i="1"/>
  <c r="BO109" i="1"/>
  <c r="BM109" i="1"/>
  <c r="Y109" i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Z103" i="1"/>
  <c r="Y103" i="1"/>
  <c r="BN103" i="1" s="1"/>
  <c r="P103" i="1"/>
  <c r="BO102" i="1"/>
  <c r="BM102" i="1"/>
  <c r="Y102" i="1"/>
  <c r="BP102" i="1" s="1"/>
  <c r="P102" i="1"/>
  <c r="BO101" i="1"/>
  <c r="BM101" i="1"/>
  <c r="Y101" i="1"/>
  <c r="BN101" i="1" s="1"/>
  <c r="P101" i="1"/>
  <c r="BO100" i="1"/>
  <c r="BM100" i="1"/>
  <c r="Y100" i="1"/>
  <c r="BP100" i="1" s="1"/>
  <c r="P100" i="1"/>
  <c r="BO99" i="1"/>
  <c r="BM99" i="1"/>
  <c r="Y99" i="1"/>
  <c r="BN99" i="1" s="1"/>
  <c r="P99" i="1"/>
  <c r="X96" i="1"/>
  <c r="X95" i="1"/>
  <c r="BO94" i="1"/>
  <c r="BM94" i="1"/>
  <c r="Y94" i="1"/>
  <c r="BN94" i="1" s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O86" i="1"/>
  <c r="BM86" i="1"/>
  <c r="Y86" i="1"/>
  <c r="BN86" i="1" s="1"/>
  <c r="P86" i="1"/>
  <c r="BO85" i="1"/>
  <c r="BM85" i="1"/>
  <c r="Y85" i="1"/>
  <c r="BP85" i="1" s="1"/>
  <c r="P85" i="1"/>
  <c r="BO84" i="1"/>
  <c r="BM84" i="1"/>
  <c r="Y84" i="1"/>
  <c r="BN84" i="1" s="1"/>
  <c r="P84" i="1"/>
  <c r="X81" i="1"/>
  <c r="X80" i="1"/>
  <c r="BO79" i="1"/>
  <c r="BM79" i="1"/>
  <c r="Z79" i="1"/>
  <c r="Y79" i="1"/>
  <c r="BN79" i="1" s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Z73" i="1" s="1"/>
  <c r="P73" i="1"/>
  <c r="X71" i="1"/>
  <c r="X70" i="1"/>
  <c r="BO69" i="1"/>
  <c r="BM69" i="1"/>
  <c r="Y69" i="1"/>
  <c r="BN69" i="1" s="1"/>
  <c r="P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O50" i="1"/>
  <c r="BM50" i="1"/>
  <c r="Y50" i="1"/>
  <c r="BP50" i="1" s="1"/>
  <c r="P50" i="1"/>
  <c r="BO49" i="1"/>
  <c r="BM49" i="1"/>
  <c r="Y49" i="1"/>
  <c r="BP49" i="1" s="1"/>
  <c r="P49" i="1"/>
  <c r="BP48" i="1"/>
  <c r="BO48" i="1"/>
  <c r="BN48" i="1"/>
  <c r="BM48" i="1"/>
  <c r="Z48" i="1"/>
  <c r="Y48" i="1"/>
  <c r="P48" i="1"/>
  <c r="BO47" i="1"/>
  <c r="BM47" i="1"/>
  <c r="Y47" i="1"/>
  <c r="P47" i="1"/>
  <c r="X43" i="1"/>
  <c r="X42" i="1"/>
  <c r="BO41" i="1"/>
  <c r="BM41" i="1"/>
  <c r="Y41" i="1"/>
  <c r="BP41" i="1" s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P38" i="1"/>
  <c r="BO37" i="1"/>
  <c r="BM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558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38" i="1" l="1"/>
  <c r="BN38" i="1"/>
  <c r="Z38" i="1"/>
  <c r="BP111" i="1"/>
  <c r="BN111" i="1"/>
  <c r="Z111" i="1"/>
  <c r="BN165" i="1"/>
  <c r="Z165" i="1"/>
  <c r="BN181" i="1"/>
  <c r="Z181" i="1"/>
  <c r="BN226" i="1"/>
  <c r="BN246" i="1"/>
  <c r="BP294" i="1"/>
  <c r="BN294" i="1"/>
  <c r="BN55" i="1"/>
  <c r="BN61" i="1"/>
  <c r="BN109" i="1"/>
  <c r="Z109" i="1"/>
  <c r="BP165" i="1"/>
  <c r="BN171" i="1"/>
  <c r="Z171" i="1"/>
  <c r="BP181" i="1"/>
  <c r="BP183" i="1"/>
  <c r="BN183" i="1"/>
  <c r="Z183" i="1"/>
  <c r="BP189" i="1"/>
  <c r="BN189" i="1"/>
  <c r="Z189" i="1"/>
  <c r="Z192" i="1" s="1"/>
  <c r="BN209" i="1"/>
  <c r="BN234" i="1"/>
  <c r="BN269" i="1"/>
  <c r="BN284" i="1"/>
  <c r="BN301" i="1"/>
  <c r="BN313" i="1"/>
  <c r="BN328" i="1"/>
  <c r="BN335" i="1"/>
  <c r="BP348" i="1"/>
  <c r="BN362" i="1"/>
  <c r="BP374" i="1"/>
  <c r="BP382" i="1"/>
  <c r="BP388" i="1"/>
  <c r="BP394" i="1"/>
  <c r="BN406" i="1"/>
  <c r="BN412" i="1"/>
  <c r="BP413" i="1"/>
  <c r="BN418" i="1"/>
  <c r="BN465" i="1"/>
  <c r="BN475" i="1"/>
  <c r="BN481" i="1"/>
  <c r="BN500" i="1"/>
  <c r="BP103" i="1"/>
  <c r="BP153" i="1"/>
  <c r="Y192" i="1"/>
  <c r="BP195" i="1"/>
  <c r="BP222" i="1"/>
  <c r="BP230" i="1"/>
  <c r="BN240" i="1"/>
  <c r="BN252" i="1"/>
  <c r="BP257" i="1"/>
  <c r="BN267" i="1"/>
  <c r="BN286" i="1"/>
  <c r="BN299" i="1"/>
  <c r="Y314" i="1"/>
  <c r="Z319" i="1"/>
  <c r="BN319" i="1"/>
  <c r="Z342" i="1"/>
  <c r="BN342" i="1"/>
  <c r="BN344" i="1"/>
  <c r="Z348" i="1"/>
  <c r="BN370" i="1"/>
  <c r="Z374" i="1"/>
  <c r="Z382" i="1"/>
  <c r="Z388" i="1"/>
  <c r="Z394" i="1"/>
  <c r="Z413" i="1"/>
  <c r="BN426" i="1"/>
  <c r="Z430" i="1"/>
  <c r="BN430" i="1"/>
  <c r="BN432" i="1"/>
  <c r="Z438" i="1"/>
  <c r="BN438" i="1"/>
  <c r="BN450" i="1"/>
  <c r="BN477" i="1"/>
  <c r="BN492" i="1"/>
  <c r="BN502" i="1"/>
  <c r="Z506" i="1"/>
  <c r="BN506" i="1"/>
  <c r="BN518" i="1"/>
  <c r="Z522" i="1"/>
  <c r="BN522" i="1"/>
  <c r="BN551" i="1"/>
  <c r="F9" i="1"/>
  <c r="BN22" i="1"/>
  <c r="BN30" i="1"/>
  <c r="BN40" i="1"/>
  <c r="BN50" i="1"/>
  <c r="BN57" i="1"/>
  <c r="Z61" i="1"/>
  <c r="Y71" i="1"/>
  <c r="Z69" i="1"/>
  <c r="BP69" i="1"/>
  <c r="Y75" i="1"/>
  <c r="BN73" i="1"/>
  <c r="BP73" i="1"/>
  <c r="BP79" i="1"/>
  <c r="BP84" i="1"/>
  <c r="Z84" i="1"/>
  <c r="Z101" i="1"/>
  <c r="H564" i="1"/>
  <c r="BP130" i="1"/>
  <c r="Y140" i="1"/>
  <c r="BP136" i="1"/>
  <c r="Z136" i="1"/>
  <c r="Z151" i="1"/>
  <c r="BP171" i="1"/>
  <c r="BP179" i="1"/>
  <c r="BN242" i="1"/>
  <c r="BP242" i="1"/>
  <c r="Z242" i="1"/>
  <c r="BN317" i="1"/>
  <c r="BP317" i="1"/>
  <c r="Z317" i="1"/>
  <c r="Z320" i="1" s="1"/>
  <c r="BN355" i="1"/>
  <c r="BP355" i="1"/>
  <c r="Z355" i="1"/>
  <c r="J9" i="1"/>
  <c r="BP86" i="1"/>
  <c r="BP92" i="1"/>
  <c r="Z92" i="1"/>
  <c r="BP113" i="1"/>
  <c r="Z113" i="1"/>
  <c r="BP138" i="1"/>
  <c r="Y146" i="1"/>
  <c r="BP142" i="1"/>
  <c r="Z142" i="1"/>
  <c r="BP191" i="1"/>
  <c r="Z191" i="1"/>
  <c r="BN228" i="1"/>
  <c r="BP228" i="1"/>
  <c r="Z228" i="1"/>
  <c r="BN263" i="1"/>
  <c r="BP263" i="1"/>
  <c r="Z263" i="1"/>
  <c r="BN271" i="1"/>
  <c r="BP271" i="1"/>
  <c r="Z271" i="1"/>
  <c r="BN280" i="1"/>
  <c r="BP280" i="1"/>
  <c r="Z280" i="1"/>
  <c r="BN303" i="1"/>
  <c r="BP303" i="1"/>
  <c r="Z303" i="1"/>
  <c r="Y330" i="1"/>
  <c r="BN324" i="1"/>
  <c r="BP324" i="1"/>
  <c r="Z324" i="1"/>
  <c r="BN444" i="1"/>
  <c r="BP444" i="1"/>
  <c r="Z444" i="1"/>
  <c r="F10" i="1"/>
  <c r="Z22" i="1"/>
  <c r="Y32" i="1"/>
  <c r="Z30" i="1"/>
  <c r="C564" i="1"/>
  <c r="Z40" i="1"/>
  <c r="D564" i="1"/>
  <c r="Z50" i="1"/>
  <c r="Z57" i="1"/>
  <c r="Z86" i="1"/>
  <c r="BP94" i="1"/>
  <c r="BP99" i="1"/>
  <c r="Z99" i="1"/>
  <c r="Z138" i="1"/>
  <c r="BP144" i="1"/>
  <c r="BP149" i="1"/>
  <c r="Z149" i="1"/>
  <c r="BN274" i="1"/>
  <c r="BP274" i="1"/>
  <c r="Z274" i="1"/>
  <c r="BN288" i="1"/>
  <c r="BP288" i="1"/>
  <c r="Z288" i="1"/>
  <c r="Y311" i="1"/>
  <c r="Y310" i="1"/>
  <c r="BN309" i="1"/>
  <c r="BP309" i="1"/>
  <c r="Z309" i="1"/>
  <c r="Z310" i="1" s="1"/>
  <c r="BN340" i="1"/>
  <c r="BP340" i="1"/>
  <c r="Z340" i="1"/>
  <c r="BN372" i="1"/>
  <c r="BP372" i="1"/>
  <c r="Z372" i="1"/>
  <c r="BN380" i="1"/>
  <c r="BP380" i="1"/>
  <c r="Z380" i="1"/>
  <c r="BN386" i="1"/>
  <c r="BP386" i="1"/>
  <c r="Z386" i="1"/>
  <c r="Y396" i="1"/>
  <c r="BN392" i="1"/>
  <c r="BP392" i="1"/>
  <c r="Z392" i="1"/>
  <c r="BN400" i="1"/>
  <c r="BP400" i="1"/>
  <c r="Z400" i="1"/>
  <c r="BN428" i="1"/>
  <c r="BP428" i="1"/>
  <c r="Z428" i="1"/>
  <c r="BN504" i="1"/>
  <c r="BP504" i="1"/>
  <c r="Z504" i="1"/>
  <c r="BN520" i="1"/>
  <c r="BP520" i="1"/>
  <c r="Z520" i="1"/>
  <c r="Z55" i="1"/>
  <c r="BN92" i="1"/>
  <c r="Z94" i="1"/>
  <c r="BP101" i="1"/>
  <c r="BN113" i="1"/>
  <c r="BP119" i="1"/>
  <c r="Z119" i="1"/>
  <c r="BN142" i="1"/>
  <c r="Z144" i="1"/>
  <c r="BP151" i="1"/>
  <c r="BP177" i="1"/>
  <c r="Z177" i="1"/>
  <c r="BP185" i="1"/>
  <c r="Z185" i="1"/>
  <c r="BN191" i="1"/>
  <c r="BN211" i="1"/>
  <c r="BP211" i="1"/>
  <c r="Z211" i="1"/>
  <c r="BN248" i="1"/>
  <c r="BP248" i="1"/>
  <c r="Z248" i="1"/>
  <c r="BN364" i="1"/>
  <c r="BP364" i="1"/>
  <c r="Z364" i="1"/>
  <c r="BN420" i="1"/>
  <c r="BP420" i="1"/>
  <c r="Z420" i="1"/>
  <c r="BN512" i="1"/>
  <c r="BP512" i="1"/>
  <c r="Z512" i="1"/>
  <c r="BN546" i="1"/>
  <c r="BP546" i="1"/>
  <c r="Z546" i="1"/>
  <c r="Y243" i="1"/>
  <c r="Y290" i="1"/>
  <c r="Y121" i="1"/>
  <c r="Y193" i="1"/>
  <c r="Z209" i="1"/>
  <c r="Z226" i="1"/>
  <c r="Z234" i="1"/>
  <c r="Z240" i="1"/>
  <c r="Z246" i="1"/>
  <c r="Z252" i="1"/>
  <c r="Z253" i="1" s="1"/>
  <c r="BP252" i="1"/>
  <c r="Z269" i="1"/>
  <c r="Z278" i="1"/>
  <c r="BP278" i="1"/>
  <c r="Z286" i="1"/>
  <c r="Z294" i="1"/>
  <c r="Z301" i="1"/>
  <c r="Z362" i="1"/>
  <c r="Z370" i="1"/>
  <c r="Z406" i="1"/>
  <c r="Z412" i="1"/>
  <c r="Z414" i="1" s="1"/>
  <c r="BP412" i="1"/>
  <c r="Y414" i="1"/>
  <c r="Z418" i="1"/>
  <c r="Z426" i="1"/>
  <c r="Z450" i="1"/>
  <c r="Z477" i="1"/>
  <c r="Z492" i="1"/>
  <c r="Z502" i="1"/>
  <c r="Z518" i="1"/>
  <c r="Y115" i="1"/>
  <c r="Z267" i="1"/>
  <c r="Z284" i="1"/>
  <c r="Z299" i="1"/>
  <c r="Z313" i="1"/>
  <c r="Z314" i="1" s="1"/>
  <c r="BP313" i="1"/>
  <c r="Z328" i="1"/>
  <c r="Z335" i="1"/>
  <c r="Z344" i="1"/>
  <c r="Z432" i="1"/>
  <c r="Z465" i="1"/>
  <c r="Z475" i="1"/>
  <c r="Z481" i="1"/>
  <c r="Z500" i="1"/>
  <c r="Z551" i="1"/>
  <c r="Z552" i="1" s="1"/>
  <c r="BP551" i="1"/>
  <c r="Y25" i="1"/>
  <c r="Y43" i="1"/>
  <c r="Y51" i="1"/>
  <c r="Y64" i="1"/>
  <c r="Y76" i="1"/>
  <c r="Y114" i="1"/>
  <c r="Y145" i="1"/>
  <c r="Y160" i="1"/>
  <c r="BP159" i="1"/>
  <c r="BN159" i="1"/>
  <c r="Z159" i="1"/>
  <c r="Z160" i="1" s="1"/>
  <c r="Y161" i="1"/>
  <c r="BP176" i="1"/>
  <c r="BN176" i="1"/>
  <c r="Z176" i="1"/>
  <c r="BP180" i="1"/>
  <c r="BN180" i="1"/>
  <c r="Z180" i="1"/>
  <c r="BP184" i="1"/>
  <c r="BN184" i="1"/>
  <c r="Z184" i="1"/>
  <c r="BP196" i="1"/>
  <c r="BN196" i="1"/>
  <c r="Z196" i="1"/>
  <c r="Z197" i="1" s="1"/>
  <c r="Y201" i="1"/>
  <c r="BP200" i="1"/>
  <c r="BN200" i="1"/>
  <c r="Z200" i="1"/>
  <c r="Z201" i="1" s="1"/>
  <c r="K564" i="1"/>
  <c r="Y213" i="1"/>
  <c r="BP206" i="1"/>
  <c r="BN206" i="1"/>
  <c r="Z206" i="1"/>
  <c r="BP210" i="1"/>
  <c r="BN210" i="1"/>
  <c r="Z210" i="1"/>
  <c r="BP227" i="1"/>
  <c r="BN227" i="1"/>
  <c r="Z227" i="1"/>
  <c r="BP231" i="1"/>
  <c r="BN231" i="1"/>
  <c r="Z231" i="1"/>
  <c r="Y33" i="1"/>
  <c r="Y70" i="1"/>
  <c r="Y80" i="1"/>
  <c r="Y89" i="1"/>
  <c r="Y95" i="1"/>
  <c r="Y106" i="1"/>
  <c r="Y122" i="1"/>
  <c r="Y126" i="1"/>
  <c r="Y133" i="1"/>
  <c r="Y139" i="1"/>
  <c r="Y157" i="1"/>
  <c r="J564" i="1"/>
  <c r="Y167" i="1"/>
  <c r="BP164" i="1"/>
  <c r="BN164" i="1"/>
  <c r="Z164" i="1"/>
  <c r="Y198" i="1"/>
  <c r="Y202" i="1"/>
  <c r="BP223" i="1"/>
  <c r="BN223" i="1"/>
  <c r="Z223" i="1"/>
  <c r="Y235" i="1"/>
  <c r="BP239" i="1"/>
  <c r="BN239" i="1"/>
  <c r="Z239" i="1"/>
  <c r="BP247" i="1"/>
  <c r="BN247" i="1"/>
  <c r="Z247" i="1"/>
  <c r="Z249" i="1" s="1"/>
  <c r="BP268" i="1"/>
  <c r="BN268" i="1"/>
  <c r="Z268" i="1"/>
  <c r="BP272" i="1"/>
  <c r="BN272" i="1"/>
  <c r="Z272" i="1"/>
  <c r="BP281" i="1"/>
  <c r="BN281" i="1"/>
  <c r="Z281" i="1"/>
  <c r="BP285" i="1"/>
  <c r="BN285" i="1"/>
  <c r="Z285" i="1"/>
  <c r="BP289" i="1"/>
  <c r="BN289" i="1"/>
  <c r="Z289" i="1"/>
  <c r="Y291" i="1"/>
  <c r="Y296" i="1"/>
  <c r="BP293" i="1"/>
  <c r="BN293" i="1"/>
  <c r="Z293" i="1"/>
  <c r="Z295" i="1" s="1"/>
  <c r="Y295" i="1"/>
  <c r="BP327" i="1"/>
  <c r="BN327" i="1"/>
  <c r="Z327" i="1"/>
  <c r="BP395" i="1"/>
  <c r="BN395" i="1"/>
  <c r="Z395" i="1"/>
  <c r="Y397" i="1"/>
  <c r="Y402" i="1"/>
  <c r="BP399" i="1"/>
  <c r="BN399" i="1"/>
  <c r="Z399" i="1"/>
  <c r="Y403" i="1"/>
  <c r="BP407" i="1"/>
  <c r="BN407" i="1"/>
  <c r="Z407" i="1"/>
  <c r="Y409" i="1"/>
  <c r="BP419" i="1"/>
  <c r="BN419" i="1"/>
  <c r="Z419" i="1"/>
  <c r="Z421" i="1" s="1"/>
  <c r="Y421" i="1"/>
  <c r="P564" i="1"/>
  <c r="H9" i="1"/>
  <c r="B564" i="1"/>
  <c r="X555" i="1"/>
  <c r="X556" i="1"/>
  <c r="Z23" i="1"/>
  <c r="Z24" i="1" s="1"/>
  <c r="BN23" i="1"/>
  <c r="Y24" i="1"/>
  <c r="X554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4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BN143" i="1"/>
  <c r="I564" i="1"/>
  <c r="Y156" i="1"/>
  <c r="Z150" i="1"/>
  <c r="BN150" i="1"/>
  <c r="Z152" i="1"/>
  <c r="BN152" i="1"/>
  <c r="Z154" i="1"/>
  <c r="BN154" i="1"/>
  <c r="BP155" i="1"/>
  <c r="BN155" i="1"/>
  <c r="BP166" i="1"/>
  <c r="BN166" i="1"/>
  <c r="Z166" i="1"/>
  <c r="Y168" i="1"/>
  <c r="Y173" i="1"/>
  <c r="BP170" i="1"/>
  <c r="BN170" i="1"/>
  <c r="Z170" i="1"/>
  <c r="Z172" i="1" s="1"/>
  <c r="Y187" i="1"/>
  <c r="BP178" i="1"/>
  <c r="BN178" i="1"/>
  <c r="Z178" i="1"/>
  <c r="BP182" i="1"/>
  <c r="BN182" i="1"/>
  <c r="Z182" i="1"/>
  <c r="Y186" i="1"/>
  <c r="BP190" i="1"/>
  <c r="BN190" i="1"/>
  <c r="Z190" i="1"/>
  <c r="Y197" i="1"/>
  <c r="BP208" i="1"/>
  <c r="BN208" i="1"/>
  <c r="Z208" i="1"/>
  <c r="BP212" i="1"/>
  <c r="BN212" i="1"/>
  <c r="Z212" i="1"/>
  <c r="Y214" i="1"/>
  <c r="L564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4" i="1"/>
  <c r="BP241" i="1"/>
  <c r="BN241" i="1"/>
  <c r="Z241" i="1"/>
  <c r="Y250" i="1"/>
  <c r="Y249" i="1"/>
  <c r="BP258" i="1"/>
  <c r="BN258" i="1"/>
  <c r="Z258" i="1"/>
  <c r="Z259" i="1" s="1"/>
  <c r="Y260" i="1"/>
  <c r="Y265" i="1"/>
  <c r="BP262" i="1"/>
  <c r="BN262" i="1"/>
  <c r="Z262" i="1"/>
  <c r="Z264" i="1" s="1"/>
  <c r="BP270" i="1"/>
  <c r="BN270" i="1"/>
  <c r="Z270" i="1"/>
  <c r="BP302" i="1"/>
  <c r="BN302" i="1"/>
  <c r="Z302" i="1"/>
  <c r="Y306" i="1"/>
  <c r="BP318" i="1"/>
  <c r="BN318" i="1"/>
  <c r="Z318" i="1"/>
  <c r="Y320" i="1"/>
  <c r="BP341" i="1"/>
  <c r="BN341" i="1"/>
  <c r="Z341" i="1"/>
  <c r="Y345" i="1"/>
  <c r="BP349" i="1"/>
  <c r="BN349" i="1"/>
  <c r="Z349" i="1"/>
  <c r="Z350" i="1" s="1"/>
  <c r="Y351" i="1"/>
  <c r="S564" i="1"/>
  <c r="Y357" i="1"/>
  <c r="BP354" i="1"/>
  <c r="BN354" i="1"/>
  <c r="Z354" i="1"/>
  <c r="Y358" i="1"/>
  <c r="BP363" i="1"/>
  <c r="BN363" i="1"/>
  <c r="Z363" i="1"/>
  <c r="BP371" i="1"/>
  <c r="BN371" i="1"/>
  <c r="Z371" i="1"/>
  <c r="BP375" i="1"/>
  <c r="BN375" i="1"/>
  <c r="Z375" i="1"/>
  <c r="Y377" i="1"/>
  <c r="Y384" i="1"/>
  <c r="BP379" i="1"/>
  <c r="BN379" i="1"/>
  <c r="Z379" i="1"/>
  <c r="Y383" i="1"/>
  <c r="BP387" i="1"/>
  <c r="BN387" i="1"/>
  <c r="Z387" i="1"/>
  <c r="Z389" i="1" s="1"/>
  <c r="Y389" i="1"/>
  <c r="BP429" i="1"/>
  <c r="BN429" i="1"/>
  <c r="Z429" i="1"/>
  <c r="M564" i="1"/>
  <c r="Y259" i="1"/>
  <c r="Y276" i="1"/>
  <c r="BP273" i="1"/>
  <c r="BN273" i="1"/>
  <c r="Y275" i="1"/>
  <c r="BP279" i="1"/>
  <c r="BN279" i="1"/>
  <c r="Z279" i="1"/>
  <c r="BP283" i="1"/>
  <c r="BN283" i="1"/>
  <c r="Z283" i="1"/>
  <c r="BP287" i="1"/>
  <c r="BN287" i="1"/>
  <c r="Z287" i="1"/>
  <c r="BP300" i="1"/>
  <c r="BN300" i="1"/>
  <c r="Z300" i="1"/>
  <c r="BP304" i="1"/>
  <c r="BN304" i="1"/>
  <c r="Z304" i="1"/>
  <c r="Y321" i="1"/>
  <c r="BP325" i="1"/>
  <c r="BN325" i="1"/>
  <c r="Z325" i="1"/>
  <c r="Z329" i="1" s="1"/>
  <c r="Y329" i="1"/>
  <c r="BP334" i="1"/>
  <c r="BN334" i="1"/>
  <c r="Z334" i="1"/>
  <c r="Z336" i="1" s="1"/>
  <c r="BP343" i="1"/>
  <c r="BN343" i="1"/>
  <c r="Z343" i="1"/>
  <c r="Y350" i="1"/>
  <c r="BP356" i="1"/>
  <c r="BN356" i="1"/>
  <c r="Z356" i="1"/>
  <c r="T564" i="1"/>
  <c r="Y366" i="1"/>
  <c r="BP361" i="1"/>
  <c r="BN361" i="1"/>
  <c r="Z361" i="1"/>
  <c r="BP365" i="1"/>
  <c r="BN365" i="1"/>
  <c r="Z365" i="1"/>
  <c r="Y367" i="1"/>
  <c r="Y376" i="1"/>
  <c r="BP369" i="1"/>
  <c r="BN369" i="1"/>
  <c r="Z369" i="1"/>
  <c r="BP373" i="1"/>
  <c r="BN373" i="1"/>
  <c r="Z373" i="1"/>
  <c r="BP381" i="1"/>
  <c r="BN381" i="1"/>
  <c r="Z381" i="1"/>
  <c r="Y390" i="1"/>
  <c r="BP393" i="1"/>
  <c r="BN393" i="1"/>
  <c r="Z393" i="1"/>
  <c r="BP401" i="1"/>
  <c r="BN401" i="1"/>
  <c r="Z401" i="1"/>
  <c r="Y408" i="1"/>
  <c r="BP405" i="1"/>
  <c r="BN405" i="1"/>
  <c r="Z405" i="1"/>
  <c r="BP427" i="1"/>
  <c r="BN427" i="1"/>
  <c r="Z427" i="1"/>
  <c r="BP431" i="1"/>
  <c r="BN431" i="1"/>
  <c r="Z431" i="1"/>
  <c r="BP439" i="1"/>
  <c r="BN439" i="1"/>
  <c r="Z439" i="1"/>
  <c r="Y441" i="1"/>
  <c r="Y446" i="1"/>
  <c r="BP443" i="1"/>
  <c r="BN443" i="1"/>
  <c r="Z443" i="1"/>
  <c r="Y447" i="1"/>
  <c r="BP456" i="1"/>
  <c r="BN456" i="1"/>
  <c r="Z456" i="1"/>
  <c r="Z457" i="1" s="1"/>
  <c r="Y458" i="1"/>
  <c r="Y461" i="1"/>
  <c r="BP460" i="1"/>
  <c r="BN460" i="1"/>
  <c r="Z460" i="1"/>
  <c r="Z461" i="1" s="1"/>
  <c r="Y462" i="1"/>
  <c r="Y467" i="1"/>
  <c r="BP464" i="1"/>
  <c r="BN464" i="1"/>
  <c r="Z464" i="1"/>
  <c r="Y468" i="1"/>
  <c r="BP474" i="1"/>
  <c r="BN474" i="1"/>
  <c r="Z474" i="1"/>
  <c r="Y478" i="1"/>
  <c r="BP482" i="1"/>
  <c r="BN482" i="1"/>
  <c r="Z482" i="1"/>
  <c r="Z483" i="1" s="1"/>
  <c r="Y484" i="1"/>
  <c r="Z564" i="1"/>
  <c r="Y488" i="1"/>
  <c r="BP487" i="1"/>
  <c r="BN487" i="1"/>
  <c r="Z487" i="1"/>
  <c r="Z488" i="1" s="1"/>
  <c r="Y489" i="1"/>
  <c r="Y494" i="1"/>
  <c r="BP491" i="1"/>
  <c r="BN491" i="1"/>
  <c r="Z491" i="1"/>
  <c r="Y495" i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Y525" i="1"/>
  <c r="BP521" i="1"/>
  <c r="BN521" i="1"/>
  <c r="Z521" i="1"/>
  <c r="X564" i="1"/>
  <c r="O564" i="1"/>
  <c r="Y307" i="1"/>
  <c r="Q564" i="1"/>
  <c r="Y337" i="1"/>
  <c r="R564" i="1"/>
  <c r="Y346" i="1"/>
  <c r="Y415" i="1"/>
  <c r="V564" i="1"/>
  <c r="Y422" i="1"/>
  <c r="W564" i="1"/>
  <c r="Y434" i="1"/>
  <c r="BP433" i="1"/>
  <c r="BN433" i="1"/>
  <c r="Z433" i="1"/>
  <c r="Y435" i="1"/>
  <c r="Y440" i="1"/>
  <c r="BP437" i="1"/>
  <c r="BN437" i="1"/>
  <c r="Z437" i="1"/>
  <c r="BP445" i="1"/>
  <c r="BN445" i="1"/>
  <c r="Z445" i="1"/>
  <c r="Y452" i="1"/>
  <c r="BP449" i="1"/>
  <c r="BN449" i="1"/>
  <c r="Z449" i="1"/>
  <c r="Z451" i="1" s="1"/>
  <c r="Y457" i="1"/>
  <c r="BP466" i="1"/>
  <c r="BN466" i="1"/>
  <c r="Z466" i="1"/>
  <c r="Y564" i="1"/>
  <c r="Y479" i="1"/>
  <c r="BP472" i="1"/>
  <c r="BN472" i="1"/>
  <c r="Z472" i="1"/>
  <c r="BP476" i="1"/>
  <c r="BN476" i="1"/>
  <c r="Z476" i="1"/>
  <c r="Y483" i="1"/>
  <c r="BP493" i="1"/>
  <c r="BN493" i="1"/>
  <c r="Z493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Z514" i="1" s="1"/>
  <c r="BP519" i="1"/>
  <c r="BN519" i="1"/>
  <c r="Z519" i="1"/>
  <c r="BP523" i="1"/>
  <c r="BN523" i="1"/>
  <c r="Z523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Y553" i="1"/>
  <c r="Z408" i="1" l="1"/>
  <c r="Z306" i="1"/>
  <c r="Z145" i="1"/>
  <c r="Z88" i="1"/>
  <c r="X557" i="1"/>
  <c r="Z156" i="1"/>
  <c r="Z63" i="1"/>
  <c r="Y556" i="1"/>
  <c r="Z345" i="1"/>
  <c r="Z186" i="1"/>
  <c r="Z106" i="1"/>
  <c r="Z243" i="1"/>
  <c r="Z434" i="1"/>
  <c r="Z121" i="1"/>
  <c r="Z114" i="1"/>
  <c r="Y555" i="1"/>
  <c r="Y557" i="1" s="1"/>
  <c r="Z32" i="1"/>
  <c r="Z275" i="1"/>
  <c r="Z494" i="1"/>
  <c r="Z290" i="1"/>
  <c r="Z357" i="1"/>
  <c r="Y558" i="1"/>
  <c r="Z167" i="1"/>
  <c r="Z508" i="1"/>
  <c r="Z478" i="1"/>
  <c r="Z440" i="1"/>
  <c r="Z524" i="1"/>
  <c r="Z467" i="1"/>
  <c r="Z446" i="1"/>
  <c r="Z396" i="1"/>
  <c r="Z376" i="1"/>
  <c r="Z366" i="1"/>
  <c r="Z383" i="1"/>
  <c r="Z235" i="1"/>
  <c r="Z139" i="1"/>
  <c r="Z132" i="1"/>
  <c r="Z95" i="1"/>
  <c r="Z70" i="1"/>
  <c r="Z51" i="1"/>
  <c r="Z42" i="1"/>
  <c r="Z402" i="1"/>
  <c r="Z213" i="1"/>
  <c r="Y554" i="1"/>
  <c r="Z559" i="1" l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<sst xmlns="http://schemas.openxmlformats.org/spreadsheetml/2006/main" count="2517" uniqueCount="913">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</sst>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 t="s">
        <v>912</v>
      </c>
      <c r="I5" s="909"/>
      <c r="J5" s="909"/>
      <c r="K5" s="909"/>
      <c r="L5" s="909"/>
      <c r="M5" s="728"/>
      <c r="N5" s="58"/>
      <c r="P5" s="24" t="s">
        <v>10</v>
      </c>
      <c r="Q5" s="983">
        <v>46257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 t="s">
        <v>888</v>
      </c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Воскресенье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 t="str">
        <f>IFERROR(VLOOKUP(DeliveryAddress,Table,3,0),1)</f>
        <v>6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0.41666666666666669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296</v>
      </c>
      <c r="Y47" s="634">
        <f>IFERROR(IF(X47="",0,CEILING((X47/$H47),1)*$H47),"")</f>
        <v>302.40000000000003</v>
      </c>
      <c r="Z47" s="36">
        <f>IFERROR(IF(Y47=0,"",ROUNDUP(Y47/H47,0)*0.01898),"")</f>
        <v>0.53144000000000002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307.23703703703706</v>
      </c>
      <c r="BN47" s="64">
        <f>IFERROR(Y47*I47/H47,"0")</f>
        <v>313.88</v>
      </c>
      <c r="BO47" s="64">
        <f>IFERROR(1/J47*(X47/H47),"0")</f>
        <v>0.4282407407407407</v>
      </c>
      <c r="BP47" s="64">
        <f>IFERROR(1/J47*(Y47/H47),"0")</f>
        <v>0.4375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27.407407407407405</v>
      </c>
      <c r="Y51" s="635">
        <f>IFERROR(Y47/H47,"0")+IFERROR(Y48/H48,"0")+IFERROR(Y49/H49,"0")+IFERROR(Y50/H50,"0")</f>
        <v>28</v>
      </c>
      <c r="Z51" s="635">
        <f>IFERROR(IF(Z47="",0,Z47),"0")+IFERROR(IF(Z48="",0,Z48),"0")+IFERROR(IF(Z49="",0,Z49),"0")+IFERROR(IF(Z50="",0,Z50),"0")</f>
        <v>0.53144000000000002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296</v>
      </c>
      <c r="Y52" s="635">
        <f>IFERROR(SUM(Y47:Y50),"0")</f>
        <v>302.40000000000003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hidden="1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hidden="1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hidden="1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hidden="1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hidden="1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hidden="1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hidden="1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388</v>
      </c>
      <c r="Y91" s="634">
        <f>IFERROR(IF(X91="",0,CEILING((X91/$H91),1)*$H91),"")</f>
        <v>388.79999999999995</v>
      </c>
      <c r="Z91" s="36">
        <f>IFERROR(IF(Y91=0,"",ROUNDUP(Y91/H91,0)*0.01898),"")</f>
        <v>0.91104000000000007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411.66320987654319</v>
      </c>
      <c r="BN91" s="64">
        <f>IFERROR(Y91*I91/H91,"0")</f>
        <v>412.51199999999994</v>
      </c>
      <c r="BO91" s="64">
        <f>IFERROR(1/J91*(X91/H91),"0")</f>
        <v>0.74845679012345678</v>
      </c>
      <c r="BP91" s="64">
        <f>IFERROR(1/J91*(Y91/H91),"0")</f>
        <v>0.75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47.901234567901234</v>
      </c>
      <c r="Y95" s="635">
        <f>IFERROR(Y91/H91,"0")+IFERROR(Y92/H92,"0")+IFERROR(Y93/H93,"0")+IFERROR(Y94/H94,"0")</f>
        <v>48</v>
      </c>
      <c r="Z95" s="635">
        <f>IFERROR(IF(Z91="",0,Z91),"0")+IFERROR(IF(Z92="",0,Z92),"0")+IFERROR(IF(Z93="",0,Z93),"0")+IFERROR(IF(Z94="",0,Z94),"0")</f>
        <v>0.91104000000000007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388</v>
      </c>
      <c r="Y96" s="635">
        <f>IFERROR(SUM(Y91:Y94),"0")</f>
        <v>388.79999999999995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hidden="1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idden="1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hidden="1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hidden="1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421</v>
      </c>
      <c r="Y117" s="634">
        <f>IFERROR(IF(X117="",0,CEILING((X117/$H117),1)*$H117),"")</f>
        <v>421.2</v>
      </c>
      <c r="Z117" s="36">
        <f>IFERROR(IF(Y117=0,"",ROUNDUP(Y117/H117,0)*0.01898),"")</f>
        <v>0.98696000000000006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446.36395061728393</v>
      </c>
      <c r="BN117" s="64">
        <f>IFERROR(Y117*I117/H117,"0")</f>
        <v>446.57599999999996</v>
      </c>
      <c r="BO117" s="64">
        <f>IFERROR(1/J117*(X117/H117),"0")</f>
        <v>0.81211419753086422</v>
      </c>
      <c r="BP117" s="64">
        <f>IFERROR(1/J117*(Y117/H117),"0")</f>
        <v>0.8125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173</v>
      </c>
      <c r="Y119" s="634">
        <f>IFERROR(IF(X119="",0,CEILING((X119/$H119),1)*$H119),"")</f>
        <v>175.5</v>
      </c>
      <c r="Z119" s="36">
        <f>IFERROR(IF(Y119=0,"",ROUNDUP(Y119/H119,0)*0.00651),"")</f>
        <v>0.42315000000000003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189.14666666666665</v>
      </c>
      <c r="BN119" s="64">
        <f>IFERROR(Y119*I119/H119,"0")</f>
        <v>191.88</v>
      </c>
      <c r="BO119" s="64">
        <f>IFERROR(1/J119*(X119/H119),"0")</f>
        <v>0.3520553520553521</v>
      </c>
      <c r="BP119" s="64">
        <f>IFERROR(1/J119*(Y119/H119),"0")</f>
        <v>0.35714285714285715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116.04938271604939</v>
      </c>
      <c r="Y121" s="635">
        <f>IFERROR(Y117/H117,"0")+IFERROR(Y118/H118,"0")+IFERROR(Y119/H119,"0")+IFERROR(Y120/H120,"0")</f>
        <v>117</v>
      </c>
      <c r="Z121" s="635">
        <f>IFERROR(IF(Z117="",0,Z117),"0")+IFERROR(IF(Z118="",0,Z118),"0")+IFERROR(IF(Z119="",0,Z119),"0")+IFERROR(IF(Z120="",0,Z120),"0")</f>
        <v>1.41011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594</v>
      </c>
      <c r="Y122" s="635">
        <f>IFERROR(SUM(Y117:Y120),"0")</f>
        <v>596.70000000000005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hidden="1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hidden="1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hidden="1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idden="1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hidden="1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110</v>
      </c>
      <c r="Y232" s="634">
        <f t="shared" si="27"/>
        <v>111.30000000000001</v>
      </c>
      <c r="Z232" s="36">
        <f>IFERROR(IF(Y232=0,"",ROUNDUP(Y232/H232,0)*0.00502),"")</f>
        <v>0.26606000000000002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115.23809523809524</v>
      </c>
      <c r="BN232" s="64">
        <f t="shared" si="29"/>
        <v>116.60000000000001</v>
      </c>
      <c r="BO232" s="64">
        <f t="shared" si="30"/>
        <v>0.22385022385022388</v>
      </c>
      <c r="BP232" s="64">
        <f t="shared" si="31"/>
        <v>0.22649572649572652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52.38095238095238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53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0.26606000000000002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110</v>
      </c>
      <c r="Y236" s="635">
        <f>IFERROR(SUM(Y221:Y234),"0")</f>
        <v>111.30000000000001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hidden="1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hidden="1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287</v>
      </c>
      <c r="Y268" s="634">
        <f t="shared" si="33"/>
        <v>291.60000000000002</v>
      </c>
      <c r="Z268" s="36">
        <f>IFERROR(IF(Y268=0,"",ROUNDUP(Y268/H268,0)*0.00902),"")</f>
        <v>0.48708000000000001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297.09814814814814</v>
      </c>
      <c r="BN268" s="64">
        <f t="shared" si="35"/>
        <v>301.86</v>
      </c>
      <c r="BO268" s="64">
        <f t="shared" si="36"/>
        <v>0.40263748597081928</v>
      </c>
      <c r="BP268" s="64">
        <f t="shared" si="37"/>
        <v>0.40909090909090912</v>
      </c>
    </row>
    <row r="269" spans="1:68" ht="27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576</v>
      </c>
      <c r="Y269" s="634">
        <f t="shared" si="33"/>
        <v>577.80000000000007</v>
      </c>
      <c r="Z269" s="36">
        <f>IFERROR(IF(Y269=0,"",ROUNDUP(Y269/H269,0)*0.00902),"")</f>
        <v>0.96514</v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596.26666666666665</v>
      </c>
      <c r="BN269" s="64">
        <f t="shared" si="35"/>
        <v>598.13000000000011</v>
      </c>
      <c r="BO269" s="64">
        <f t="shared" si="36"/>
        <v>0.80808080808080807</v>
      </c>
      <c r="BP269" s="64">
        <f t="shared" si="37"/>
        <v>0.81060606060606066</v>
      </c>
    </row>
    <row r="270" spans="1:68" ht="27" hidden="1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hidden="1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159.81481481481481</v>
      </c>
      <c r="Y275" s="635">
        <f>IFERROR(Y267/H267,"0")+IFERROR(Y268/H268,"0")+IFERROR(Y269/H269,"0")+IFERROR(Y270/H270,"0")+IFERROR(Y271/H271,"0")+IFERROR(Y272/H272,"0")+IFERROR(Y273/H273,"0")+IFERROR(Y274/H274,"0")</f>
        <v>161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1.4522200000000001</v>
      </c>
      <c r="AA275" s="636"/>
      <c r="AB275" s="636"/>
      <c r="AC275" s="636"/>
    </row>
    <row r="276" spans="1:68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863</v>
      </c>
      <c r="Y276" s="635">
        <f>IFERROR(SUM(Y267:Y274),"0")</f>
        <v>869.40000000000009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hidden="1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322</v>
      </c>
      <c r="Y281" s="634">
        <f t="shared" si="38"/>
        <v>324</v>
      </c>
      <c r="Z281" s="36">
        <f>IFERROR(IF(Y281=0,"",ROUNDUP(Y281/H281,0)*0.00651),"")</f>
        <v>0.87885000000000002</v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358.22500000000002</v>
      </c>
      <c r="BN281" s="64">
        <f t="shared" si="40"/>
        <v>360.45</v>
      </c>
      <c r="BO281" s="64">
        <f t="shared" si="41"/>
        <v>0.73717948717948734</v>
      </c>
      <c r="BP281" s="64">
        <f t="shared" si="42"/>
        <v>0.74175824175824179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626</v>
      </c>
      <c r="Y284" s="634">
        <f t="shared" si="38"/>
        <v>626.4</v>
      </c>
      <c r="Z284" s="36">
        <f>IFERROR(IF(Y284=0,"",ROUNDUP(Y284/H284,0)*0.00651),"")</f>
        <v>1.6991100000000001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691.73</v>
      </c>
      <c r="BN284" s="64">
        <f t="shared" si="40"/>
        <v>692.17200000000003</v>
      </c>
      <c r="BO284" s="64">
        <f t="shared" si="41"/>
        <v>1.4331501831501834</v>
      </c>
      <c r="BP284" s="64">
        <f t="shared" si="42"/>
        <v>1.4340659340659341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hidden="1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105</v>
      </c>
      <c r="Y287" s="634">
        <f t="shared" si="38"/>
        <v>105.6</v>
      </c>
      <c r="Z287" s="36">
        <f>IFERROR(IF(Y287=0,"",ROUNDUP(Y287/H287,0)*0.00651),"")</f>
        <v>0.28644000000000003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116.02500000000002</v>
      </c>
      <c r="BN287" s="64">
        <f t="shared" si="40"/>
        <v>116.688</v>
      </c>
      <c r="BO287" s="64">
        <f t="shared" si="41"/>
        <v>0.24038461538461539</v>
      </c>
      <c r="BP287" s="64">
        <f t="shared" si="42"/>
        <v>0.24175824175824179</v>
      </c>
    </row>
    <row r="288" spans="1:68" ht="27" hidden="1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438.75000000000006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440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2.8643999999999998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1053</v>
      </c>
      <c r="Y291" s="635">
        <f>IFERROR(SUM(Y278:Y289),"0")</f>
        <v>1056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hidden="1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hidden="1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hidden="1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hidden="1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hidden="1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idden="1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hidden="1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783</v>
      </c>
      <c r="Y387" s="634">
        <f>IFERROR(IF(X387="",0,CEILING((X387/$H387),1)*$H387),"")</f>
        <v>787.8</v>
      </c>
      <c r="Z387" s="36">
        <f>IFERROR(IF(Y387=0,"",ROUNDUP(Y387/H387,0)*0.01898),"")</f>
        <v>1.9169800000000001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832.59</v>
      </c>
      <c r="BN387" s="64">
        <f>IFERROR(Y387*I387/H387,"0")</f>
        <v>837.69400000000007</v>
      </c>
      <c r="BO387" s="64">
        <f>IFERROR(1/J387*(X387/H387),"0")</f>
        <v>1.5685096153846154</v>
      </c>
      <c r="BP387" s="64">
        <f>IFERROR(1/J387*(Y387/H387),"0")</f>
        <v>1.578125</v>
      </c>
    </row>
    <row r="388" spans="1:68" ht="27" hidden="1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100.38461538461539</v>
      </c>
      <c r="Y389" s="635">
        <f>IFERROR(Y386/H386,"0")+IFERROR(Y387/H387,"0")+IFERROR(Y388/H388,"0")</f>
        <v>101</v>
      </c>
      <c r="Z389" s="635">
        <f>IFERROR(IF(Z386="",0,Z386),"0")+IFERROR(IF(Z387="",0,Z387),"0")+IFERROR(IF(Z388="",0,Z388),"0")</f>
        <v>1.9169800000000001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783</v>
      </c>
      <c r="Y390" s="635">
        <f>IFERROR(SUM(Y386:Y388),"0")</f>
        <v>787.8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hidden="1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hidden="1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hidden="1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451</v>
      </c>
      <c r="Y427" s="634">
        <f t="shared" si="53"/>
        <v>465</v>
      </c>
      <c r="Z427" s="36">
        <f>IFERROR(IF(Y427=0,"",ROUNDUP(Y427/H427,0)*0.02175),"")</f>
        <v>0.6742499999999999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465.13133333333337</v>
      </c>
      <c r="BN427" s="64">
        <f t="shared" si="55"/>
        <v>479.57</v>
      </c>
      <c r="BO427" s="64">
        <f t="shared" si="56"/>
        <v>0.62638888888888888</v>
      </c>
      <c r="BP427" s="64">
        <f t="shared" si="57"/>
        <v>0.64583333333333326</v>
      </c>
    </row>
    <row r="428" spans="1:68" ht="27" hidden="1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0</v>
      </c>
      <c r="Y428" s="634">
        <f t="shared" si="53"/>
        <v>0</v>
      </c>
      <c r="Z428" s="36" t="str">
        <f>IFERROR(IF(Y428=0,"",ROUNDUP(Y428/H428,0)*0.02175),"")</f>
        <v/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0</v>
      </c>
      <c r="BN428" s="64">
        <f t="shared" si="55"/>
        <v>0</v>
      </c>
      <c r="BO428" s="64">
        <f t="shared" si="56"/>
        <v>0</v>
      </c>
      <c r="BP428" s="64">
        <f t="shared" si="57"/>
        <v>0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913</v>
      </c>
      <c r="Y429" s="634">
        <f t="shared" si="53"/>
        <v>915</v>
      </c>
      <c r="Z429" s="36">
        <f>IFERROR(IF(Y429=0,"",ROUNDUP(Y429/H429,0)*0.02175),"")</f>
        <v>1.3267499999999999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941.60733333333337</v>
      </c>
      <c r="BN429" s="64">
        <f t="shared" si="55"/>
        <v>943.67000000000007</v>
      </c>
      <c r="BO429" s="64">
        <f t="shared" si="56"/>
        <v>1.2680555555555555</v>
      </c>
      <c r="BP429" s="64">
        <f t="shared" si="57"/>
        <v>1.2708333333333333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407</v>
      </c>
      <c r="Y430" s="634">
        <f t="shared" si="53"/>
        <v>420</v>
      </c>
      <c r="Z430" s="36">
        <f>IFERROR(IF(Y430=0,"",ROUNDUP(Y430/H430,0)*0.02175),"")</f>
        <v>0.60899999999999999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419.75266666666664</v>
      </c>
      <c r="BN430" s="64">
        <f t="shared" si="55"/>
        <v>433.16</v>
      </c>
      <c r="BO430" s="64">
        <f t="shared" si="56"/>
        <v>0.56527777777777777</v>
      </c>
      <c r="BP430" s="64">
        <f t="shared" si="57"/>
        <v>0.58333333333333326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118.06666666666666</v>
      </c>
      <c r="Y434" s="635">
        <f>IFERROR(Y426/H426,"0")+IFERROR(Y427/H427,"0")+IFERROR(Y428/H428,"0")+IFERROR(Y429/H429,"0")+IFERROR(Y430/H430,"0")+IFERROR(Y431/H431,"0")+IFERROR(Y432/H432,"0")+IFERROR(Y433/H433,"0")</f>
        <v>120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2.61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1771</v>
      </c>
      <c r="Y435" s="635">
        <f>IFERROR(SUM(Y426:Y433),"0")</f>
        <v>1800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1190</v>
      </c>
      <c r="Y437" s="634">
        <f>IFERROR(IF(X437="",0,CEILING((X437/$H437),1)*$H437),"")</f>
        <v>1200</v>
      </c>
      <c r="Z437" s="36">
        <f>IFERROR(IF(Y437=0,"",ROUNDUP(Y437/H437,0)*0.02175),"")</f>
        <v>1.7399999999999998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1227.2866666666666</v>
      </c>
      <c r="BN437" s="64">
        <f>IFERROR(Y437*I437/H437,"0")</f>
        <v>1237.5999999999999</v>
      </c>
      <c r="BO437" s="64">
        <f>IFERROR(1/J437*(X437/H437),"0")</f>
        <v>1.6527777777777777</v>
      </c>
      <c r="BP437" s="64">
        <f>IFERROR(1/J437*(Y437/H437),"0")</f>
        <v>1.6666666666666665</v>
      </c>
    </row>
    <row r="438" spans="1:68" ht="27" hidden="1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79.333333333333329</v>
      </c>
      <c r="Y440" s="635">
        <f>IFERROR(Y437/H437,"0")+IFERROR(Y438/H438,"0")+IFERROR(Y439/H439,"0")</f>
        <v>80</v>
      </c>
      <c r="Z440" s="635">
        <f>IFERROR(IF(Z437="",0,Z437),"0")+IFERROR(IF(Z438="",0,Z438),"0")+IFERROR(IF(Z439="",0,Z439),"0")</f>
        <v>1.7399999999999998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1190</v>
      </c>
      <c r="Y441" s="635">
        <f>IFERROR(SUM(Y437:Y439),"0")</f>
        <v>1200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626</v>
      </c>
      <c r="Y464" s="634">
        <f>IFERROR(IF(X464="",0,CEILING((X464/$H464),1)*$H464),"")</f>
        <v>630</v>
      </c>
      <c r="Z464" s="36">
        <f>IFERROR(IF(Y464=0,"",ROUNDUP(Y464/H464,0)*0.01898),"")</f>
        <v>1.3286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660.3604444444444</v>
      </c>
      <c r="BN464" s="64">
        <f>IFERROR(Y464*I464/H464,"0")</f>
        <v>664.58</v>
      </c>
      <c r="BO464" s="64">
        <f>IFERROR(1/J464*(X464/H464),"0")</f>
        <v>1.0868055555555556</v>
      </c>
      <c r="BP464" s="64">
        <f>IFERROR(1/J464*(Y464/H464),"0")</f>
        <v>1.09375</v>
      </c>
    </row>
    <row r="465" spans="1:68" ht="27" hidden="1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69.555555555555557</v>
      </c>
      <c r="Y467" s="635">
        <f>IFERROR(Y464/H464,"0")+IFERROR(Y465/H465,"0")+IFERROR(Y466/H466,"0")</f>
        <v>70</v>
      </c>
      <c r="Z467" s="635">
        <f>IFERROR(IF(Z464="",0,Z464),"0")+IFERROR(IF(Z465="",0,Z465),"0")+IFERROR(IF(Z466="",0,Z466),"0")</f>
        <v>1.3286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626</v>
      </c>
      <c r="Y468" s="635">
        <f>IFERROR(SUM(Y464:Y466),"0")</f>
        <v>630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hidden="1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331</v>
      </c>
      <c r="Y504" s="634">
        <f t="shared" si="63"/>
        <v>332.64000000000004</v>
      </c>
      <c r="Z504" s="36">
        <f t="shared" si="64"/>
        <v>0.75348000000000004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352.94128787878788</v>
      </c>
      <c r="BN504" s="64">
        <f t="shared" si="66"/>
        <v>354.69</v>
      </c>
      <c r="BO504" s="64">
        <f t="shared" si="67"/>
        <v>0.6027826340326341</v>
      </c>
      <c r="BP504" s="64">
        <f t="shared" si="68"/>
        <v>0.60576923076923084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62.689393939393938</v>
      </c>
      <c r="Y508" s="635">
        <f>IFERROR(Y499/H499,"0")+IFERROR(Y500/H500,"0")+IFERROR(Y501/H501,"0")+IFERROR(Y502/H502,"0")+IFERROR(Y503/H503,"0")+IFERROR(Y504/H504,"0")+IFERROR(Y505/H505,"0")+IFERROR(Y506/H506,"0")+IFERROR(Y507/H507,"0")</f>
        <v>63.000000000000007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0.75348000000000004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331</v>
      </c>
      <c r="Y509" s="635">
        <f>IFERROR(SUM(Y499:Y507),"0")</f>
        <v>332.64000000000004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hidden="1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hidden="1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hidden="1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hidden="1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hidden="1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8005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8075.0400000000009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8428.6635065736737</v>
      </c>
      <c r="Y555" s="635">
        <f>IFERROR(SUM(BN22:BN551),"0")</f>
        <v>8501.7119999999995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14</v>
      </c>
      <c r="Y556" s="38">
        <f>ROUNDUP(SUM(BP22:BP551),0)</f>
        <v>14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8778.6635065736737</v>
      </c>
      <c r="Y557" s="635">
        <f>GrossWeightTotalR+PalletQtyTotalR*25</f>
        <v>8851.7119999999995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1272.3333567666903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1281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15.784329999999999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302.40000000000003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388.79999999999995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596.70000000000005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111.30000000000001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1925.4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787.8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3000</v>
      </c>
      <c r="X564" s="46">
        <f>IFERROR(Y455*1,"0")+IFERROR(Y456*1,"0")+IFERROR(Y460*1,"0")+IFERROR(Y464*1,"0")+IFERROR(Y465*1,"0")+IFERROR(Y466*1,"0")</f>
        <v>630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332.64000000000004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3,00"/>
        <filter val="1 190,00"/>
        <filter val="1 272,33"/>
        <filter val="1 771,00"/>
        <filter val="100,38"/>
        <filter val="105,00"/>
        <filter val="110,00"/>
        <filter val="116,05"/>
        <filter val="118,07"/>
        <filter val="14"/>
        <filter val="159,81"/>
        <filter val="173,00"/>
        <filter val="27,41"/>
        <filter val="287,00"/>
        <filter val="296,00"/>
        <filter val="322,00"/>
        <filter val="331,00"/>
        <filter val="388,00"/>
        <filter val="407,00"/>
        <filter val="421,00"/>
        <filter val="438,75"/>
        <filter val="451,00"/>
        <filter val="47,90"/>
        <filter val="52,38"/>
        <filter val="576,00"/>
        <filter val="594,00"/>
        <filter val="62,69"/>
        <filter val="626,00"/>
        <filter val="69,56"/>
        <filter val="783,00"/>
        <filter val="79,33"/>
        <filter val="8 005,00"/>
        <filter val="8 428,66"/>
        <filter val="8 778,66"/>
        <filter val="863,00"/>
        <filter val="913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2026-08-20T11:27:27Z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