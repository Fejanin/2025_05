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FD09A0-CE00-4A6C-AB98-CB9F503FCFD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P551" i="2" s="1"/>
  <c r="P551" i="2"/>
  <c r="X549" i="2"/>
  <c r="X548" i="2"/>
  <c r="BO547" i="2"/>
  <c r="BM547" i="2"/>
  <c r="Y547" i="2"/>
  <c r="Y548" i="2" s="1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P528" i="2"/>
  <c r="BO527" i="2"/>
  <c r="BM527" i="2"/>
  <c r="Y527" i="2"/>
  <c r="BP527" i="2" s="1"/>
  <c r="P527" i="2"/>
  <c r="BO526" i="2"/>
  <c r="BM526" i="2"/>
  <c r="Y526" i="2"/>
  <c r="BN526" i="2" s="1"/>
  <c r="P526" i="2"/>
  <c r="BO525" i="2"/>
  <c r="BM525" i="2"/>
  <c r="Y525" i="2"/>
  <c r="P525" i="2"/>
  <c r="BO524" i="2"/>
  <c r="BM524" i="2"/>
  <c r="Y524" i="2"/>
  <c r="BN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Z519" i="2" s="1"/>
  <c r="P519" i="2"/>
  <c r="BO518" i="2"/>
  <c r="BM518" i="2"/>
  <c r="Y518" i="2"/>
  <c r="BP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P505" i="2"/>
  <c r="X501" i="2"/>
  <c r="X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Z497" i="2" s="1"/>
  <c r="P497" i="2"/>
  <c r="X495" i="2"/>
  <c r="X494" i="2"/>
  <c r="BO493" i="2"/>
  <c r="BM493" i="2"/>
  <c r="Y493" i="2"/>
  <c r="Y495" i="2" s="1"/>
  <c r="P493" i="2"/>
  <c r="X490" i="2"/>
  <c r="X489" i="2"/>
  <c r="BO488" i="2"/>
  <c r="BM488" i="2"/>
  <c r="Y488" i="2"/>
  <c r="BN488" i="2" s="1"/>
  <c r="P488" i="2"/>
  <c r="BO487" i="2"/>
  <c r="BM487" i="2"/>
  <c r="Y487" i="2"/>
  <c r="Y489" i="2" s="1"/>
  <c r="P487" i="2"/>
  <c r="X485" i="2"/>
  <c r="X484" i="2"/>
  <c r="BO483" i="2"/>
  <c r="BM483" i="2"/>
  <c r="Y483" i="2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N479" i="2" s="1"/>
  <c r="P479" i="2"/>
  <c r="BO478" i="2"/>
  <c r="BM478" i="2"/>
  <c r="Y478" i="2"/>
  <c r="P478" i="2"/>
  <c r="X474" i="2"/>
  <c r="X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N462" i="2" s="1"/>
  <c r="P462" i="2"/>
  <c r="BO461" i="2"/>
  <c r="BM461" i="2"/>
  <c r="Y461" i="2"/>
  <c r="BP461" i="2" s="1"/>
  <c r="P461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3" i="2"/>
  <c r="X452" i="2"/>
  <c r="BO451" i="2"/>
  <c r="BM451" i="2"/>
  <c r="Y451" i="2"/>
  <c r="BP451" i="2" s="1"/>
  <c r="P451" i="2"/>
  <c r="BO450" i="2"/>
  <c r="BM450" i="2"/>
  <c r="Y450" i="2"/>
  <c r="Z450" i="2" s="1"/>
  <c r="P450" i="2"/>
  <c r="BO449" i="2"/>
  <c r="BM449" i="2"/>
  <c r="Y449" i="2"/>
  <c r="Z449" i="2" s="1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Y427" i="2" s="1"/>
  <c r="P424" i="2"/>
  <c r="X421" i="2"/>
  <c r="X420" i="2"/>
  <c r="BO419" i="2"/>
  <c r="BM419" i="2"/>
  <c r="Y419" i="2"/>
  <c r="BN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Z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BN376" i="2" s="1"/>
  <c r="P376" i="2"/>
  <c r="BO375" i="2"/>
  <c r="BM375" i="2"/>
  <c r="Y375" i="2"/>
  <c r="BN375" i="2" s="1"/>
  <c r="P375" i="2"/>
  <c r="X373" i="2"/>
  <c r="X372" i="2"/>
  <c r="BO371" i="2"/>
  <c r="BM371" i="2"/>
  <c r="Y371" i="2"/>
  <c r="Z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N340" i="2" s="1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N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N253" i="2" s="1"/>
  <c r="P253" i="2"/>
  <c r="BO252" i="2"/>
  <c r="BM252" i="2"/>
  <c r="Y252" i="2"/>
  <c r="BN252" i="2" s="1"/>
  <c r="P252" i="2"/>
  <c r="BO251" i="2"/>
  <c r="BM251" i="2"/>
  <c r="Y251" i="2"/>
  <c r="Z251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BN243" i="2" s="1"/>
  <c r="P243" i="2"/>
  <c r="X241" i="2"/>
  <c r="X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Z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N212" i="2" s="1"/>
  <c r="P212" i="2"/>
  <c r="BO211" i="2"/>
  <c r="BM211" i="2"/>
  <c r="Y211" i="2"/>
  <c r="BN211" i="2" s="1"/>
  <c r="P211" i="2"/>
  <c r="X207" i="2"/>
  <c r="X206" i="2"/>
  <c r="BO205" i="2"/>
  <c r="BM205" i="2"/>
  <c r="Y205" i="2"/>
  <c r="Z205" i="2" s="1"/>
  <c r="Z206" i="2" s="1"/>
  <c r="P205" i="2"/>
  <c r="X203" i="2"/>
  <c r="X202" i="2"/>
  <c r="BO201" i="2"/>
  <c r="BM201" i="2"/>
  <c r="Y201" i="2"/>
  <c r="Y202" i="2" s="1"/>
  <c r="P201" i="2"/>
  <c r="X199" i="2"/>
  <c r="X198" i="2"/>
  <c r="BO197" i="2"/>
  <c r="BM197" i="2"/>
  <c r="Y197" i="2"/>
  <c r="P197" i="2"/>
  <c r="BO196" i="2"/>
  <c r="BM196" i="2"/>
  <c r="Y196" i="2"/>
  <c r="BN196" i="2" s="1"/>
  <c r="P196" i="2"/>
  <c r="BO195" i="2"/>
  <c r="BM195" i="2"/>
  <c r="Y195" i="2"/>
  <c r="P195" i="2"/>
  <c r="X193" i="2"/>
  <c r="X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P188" i="2"/>
  <c r="BO187" i="2"/>
  <c r="BM187" i="2"/>
  <c r="Y187" i="2"/>
  <c r="P187" i="2"/>
  <c r="BO186" i="2"/>
  <c r="BM186" i="2"/>
  <c r="Y186" i="2"/>
  <c r="BN186" i="2" s="1"/>
  <c r="BO185" i="2"/>
  <c r="BM185" i="2"/>
  <c r="Y185" i="2"/>
  <c r="P185" i="2"/>
  <c r="BO184" i="2"/>
  <c r="BM184" i="2"/>
  <c r="Y184" i="2"/>
  <c r="BP184" i="2" s="1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X178" i="2"/>
  <c r="X177" i="2"/>
  <c r="BO176" i="2"/>
  <c r="BM176" i="2"/>
  <c r="Y176" i="2"/>
  <c r="Z176" i="2" s="1"/>
  <c r="P176" i="2"/>
  <c r="BO175" i="2"/>
  <c r="BM175" i="2"/>
  <c r="Y175" i="2"/>
  <c r="Z175" i="2" s="1"/>
  <c r="Z177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Y173" i="2" s="1"/>
  <c r="P169" i="2"/>
  <c r="X166" i="2"/>
  <c r="X165" i="2"/>
  <c r="BO164" i="2"/>
  <c r="BM164" i="2"/>
  <c r="Y164" i="2"/>
  <c r="BN164" i="2" s="1"/>
  <c r="P164" i="2"/>
  <c r="X162" i="2"/>
  <c r="X161" i="2"/>
  <c r="BO160" i="2"/>
  <c r="BM160" i="2"/>
  <c r="Y160" i="2"/>
  <c r="BN160" i="2" s="1"/>
  <c r="P160" i="2"/>
  <c r="BO159" i="2"/>
  <c r="BM159" i="2"/>
  <c r="Y159" i="2"/>
  <c r="BN159" i="2" s="1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N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P138" i="2" s="1"/>
  <c r="P138" i="2"/>
  <c r="X135" i="2"/>
  <c r="X134" i="2"/>
  <c r="BO133" i="2"/>
  <c r="BM133" i="2"/>
  <c r="Y133" i="2"/>
  <c r="BN133" i="2" s="1"/>
  <c r="BO132" i="2"/>
  <c r="BM132" i="2"/>
  <c r="Y132" i="2"/>
  <c r="BN132" i="2" s="1"/>
  <c r="P132" i="2"/>
  <c r="X130" i="2"/>
  <c r="X129" i="2"/>
  <c r="BO128" i="2"/>
  <c r="BM128" i="2"/>
  <c r="Y128" i="2"/>
  <c r="BN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Z125" i="2" s="1"/>
  <c r="P125" i="2"/>
  <c r="BO124" i="2"/>
  <c r="BM124" i="2"/>
  <c r="Y124" i="2"/>
  <c r="BN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Z110" i="2" s="1"/>
  <c r="P110" i="2"/>
  <c r="BO109" i="2"/>
  <c r="BM109" i="2"/>
  <c r="Y109" i="2"/>
  <c r="BN109" i="2" s="1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BO96" i="2"/>
  <c r="BM96" i="2"/>
  <c r="Y96" i="2"/>
  <c r="Z96" i="2" s="1"/>
  <c r="P96" i="2"/>
  <c r="BO95" i="2"/>
  <c r="BM95" i="2"/>
  <c r="Y95" i="2"/>
  <c r="Z95" i="2" s="1"/>
  <c r="P95" i="2"/>
  <c r="BO94" i="2"/>
  <c r="BM94" i="2"/>
  <c r="Y94" i="2"/>
  <c r="BN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Z87" i="2" s="1"/>
  <c r="BO86" i="2"/>
  <c r="BM86" i="2"/>
  <c r="Y86" i="2"/>
  <c r="BN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AA570" i="2" l="1"/>
  <c r="BP156" i="2"/>
  <c r="BP340" i="2"/>
  <c r="Z443" i="2"/>
  <c r="Z48" i="2"/>
  <c r="BN48" i="2"/>
  <c r="BP211" i="2"/>
  <c r="Z304" i="2"/>
  <c r="Z376" i="2"/>
  <c r="BP493" i="2"/>
  <c r="X562" i="2"/>
  <c r="X560" i="2"/>
  <c r="Z77" i="2"/>
  <c r="BN77" i="2"/>
  <c r="Z104" i="2"/>
  <c r="BN104" i="2"/>
  <c r="Z117" i="2"/>
  <c r="BN117" i="2"/>
  <c r="BP124" i="2"/>
  <c r="BP126" i="2"/>
  <c r="Z234" i="2"/>
  <c r="BN234" i="2"/>
  <c r="Z284" i="2"/>
  <c r="Z310" i="2"/>
  <c r="Z353" i="2"/>
  <c r="Z355" i="2" s="1"/>
  <c r="Z461" i="2"/>
  <c r="BN461" i="2"/>
  <c r="Z480" i="2"/>
  <c r="Z524" i="2"/>
  <c r="Z31" i="2"/>
  <c r="BN31" i="2"/>
  <c r="Z64" i="2"/>
  <c r="Z86" i="2"/>
  <c r="Z93" i="2"/>
  <c r="BN93" i="2"/>
  <c r="Z97" i="2"/>
  <c r="Z148" i="2"/>
  <c r="BN148" i="2"/>
  <c r="Z160" i="2"/>
  <c r="BP201" i="2"/>
  <c r="Z229" i="2"/>
  <c r="BN229" i="2"/>
  <c r="Z244" i="2"/>
  <c r="BN244" i="2"/>
  <c r="Y255" i="2"/>
  <c r="Z257" i="2"/>
  <c r="Z258" i="2" s="1"/>
  <c r="BN257" i="2"/>
  <c r="Z276" i="2"/>
  <c r="Z288" i="2"/>
  <c r="BN288" i="2"/>
  <c r="Z307" i="2"/>
  <c r="Z331" i="2"/>
  <c r="BN331" i="2"/>
  <c r="Z346" i="2"/>
  <c r="BN346" i="2"/>
  <c r="Z367" i="2"/>
  <c r="Z379" i="2"/>
  <c r="Y396" i="2"/>
  <c r="Z393" i="2"/>
  <c r="Z456" i="2"/>
  <c r="Z481" i="2"/>
  <c r="BN481" i="2"/>
  <c r="Z513" i="2"/>
  <c r="BP547" i="2"/>
  <c r="BN27" i="2"/>
  <c r="BP27" i="2"/>
  <c r="BP57" i="2"/>
  <c r="BN57" i="2"/>
  <c r="Z57" i="2"/>
  <c r="BN40" i="2"/>
  <c r="Z40" i="2"/>
  <c r="BP67" i="2"/>
  <c r="BN67" i="2"/>
  <c r="Z67" i="2"/>
  <c r="Z73" i="2"/>
  <c r="BN73" i="2"/>
  <c r="BN176" i="2"/>
  <c r="BN189" i="2"/>
  <c r="X561" i="2"/>
  <c r="X563" i="2" s="1"/>
  <c r="X564" i="2"/>
  <c r="BN72" i="2"/>
  <c r="BP79" i="2"/>
  <c r="F570" i="2"/>
  <c r="BN87" i="2"/>
  <c r="BP98" i="2"/>
  <c r="Z108" i="2"/>
  <c r="BP114" i="2"/>
  <c r="Z138" i="2"/>
  <c r="BN138" i="2"/>
  <c r="Y151" i="2"/>
  <c r="Z155" i="2"/>
  <c r="BP160" i="2"/>
  <c r="Y177" i="2"/>
  <c r="BN181" i="2"/>
  <c r="Z191" i="2"/>
  <c r="Y203" i="2"/>
  <c r="Z214" i="2"/>
  <c r="BN214" i="2"/>
  <c r="BN215" i="2"/>
  <c r="BP226" i="2"/>
  <c r="Z233" i="2"/>
  <c r="Z236" i="2"/>
  <c r="BN236" i="2"/>
  <c r="BN246" i="2"/>
  <c r="BP257" i="2"/>
  <c r="Y258" i="2"/>
  <c r="BN267" i="2"/>
  <c r="Y270" i="2"/>
  <c r="BP277" i="2"/>
  <c r="BN292" i="2"/>
  <c r="BN308" i="2"/>
  <c r="BN333" i="2"/>
  <c r="BP345" i="2"/>
  <c r="BN361" i="2"/>
  <c r="BP367" i="2"/>
  <c r="BN368" i="2"/>
  <c r="BN370" i="2"/>
  <c r="BP375" i="2"/>
  <c r="Z387" i="2"/>
  <c r="Z388" i="2"/>
  <c r="BN388" i="2"/>
  <c r="BP392" i="2"/>
  <c r="Z394" i="2"/>
  <c r="Y395" i="2"/>
  <c r="BN405" i="2"/>
  <c r="BN412" i="2"/>
  <c r="BP418" i="2"/>
  <c r="Z424" i="2"/>
  <c r="BN424" i="2"/>
  <c r="BP424" i="2"/>
  <c r="BN426" i="2"/>
  <c r="BP435" i="2"/>
  <c r="BN436" i="2"/>
  <c r="BP456" i="2"/>
  <c r="Z470" i="2"/>
  <c r="BN470" i="2"/>
  <c r="BN482" i="2"/>
  <c r="BP505" i="2"/>
  <c r="BN510" i="2"/>
  <c r="BP526" i="2"/>
  <c r="Y541" i="2"/>
  <c r="BN552" i="2"/>
  <c r="BN89" i="2"/>
  <c r="BP252" i="2"/>
  <c r="BN263" i="2"/>
  <c r="Z273" i="2"/>
  <c r="Y280" i="2"/>
  <c r="Z277" i="2"/>
  <c r="Z279" i="2"/>
  <c r="BN279" i="2"/>
  <c r="BP285" i="2"/>
  <c r="BN294" i="2"/>
  <c r="BP306" i="2"/>
  <c r="BN332" i="2"/>
  <c r="BN348" i="2"/>
  <c r="BN359" i="2"/>
  <c r="Y362" i="2"/>
  <c r="BN369" i="2"/>
  <c r="BN377" i="2"/>
  <c r="BP387" i="2"/>
  <c r="BN400" i="2"/>
  <c r="BN406" i="2"/>
  <c r="Z419" i="2"/>
  <c r="BN438" i="2"/>
  <c r="BN450" i="2"/>
  <c r="BP480" i="2"/>
  <c r="BN498" i="2"/>
  <c r="Z505" i="2"/>
  <c r="Z506" i="2"/>
  <c r="BN506" i="2"/>
  <c r="BN507" i="2"/>
  <c r="Z517" i="2"/>
  <c r="BN517" i="2"/>
  <c r="BN518" i="2"/>
  <c r="BP523" i="2"/>
  <c r="Z526" i="2"/>
  <c r="Z527" i="2"/>
  <c r="BN527" i="2"/>
  <c r="Z539" i="2"/>
  <c r="Z540" i="2" s="1"/>
  <c r="A10" i="2"/>
  <c r="BP29" i="2"/>
  <c r="Y32" i="2"/>
  <c r="BP38" i="2"/>
  <c r="BP50" i="2"/>
  <c r="BP71" i="2"/>
  <c r="BP133" i="2"/>
  <c r="BN157" i="2"/>
  <c r="BP157" i="2"/>
  <c r="BP183" i="2"/>
  <c r="BN187" i="2"/>
  <c r="BP187" i="2"/>
  <c r="BN188" i="2"/>
  <c r="Z188" i="2"/>
  <c r="BP213" i="2"/>
  <c r="BN227" i="2"/>
  <c r="BP227" i="2"/>
  <c r="Z227" i="2"/>
  <c r="BN283" i="2"/>
  <c r="Z283" i="2"/>
  <c r="BN349" i="2"/>
  <c r="Z349" i="2"/>
  <c r="BN378" i="2"/>
  <c r="BP378" i="2"/>
  <c r="Z378" i="2"/>
  <c r="BP411" i="2"/>
  <c r="BN411" i="2"/>
  <c r="Z411" i="2"/>
  <c r="BP466" i="2"/>
  <c r="Y467" i="2"/>
  <c r="Z466" i="2"/>
  <c r="Z467" i="2" s="1"/>
  <c r="H9" i="2"/>
  <c r="BP22" i="2"/>
  <c r="BN30" i="2"/>
  <c r="Z38" i="2"/>
  <c r="BP39" i="2"/>
  <c r="BP41" i="2"/>
  <c r="Y52" i="2"/>
  <c r="Z50" i="2"/>
  <c r="Z59" i="2"/>
  <c r="BP59" i="2"/>
  <c r="BP66" i="2"/>
  <c r="BN78" i="2"/>
  <c r="BP86" i="2"/>
  <c r="BP89" i="2"/>
  <c r="Y99" i="2"/>
  <c r="BP97" i="2"/>
  <c r="BN106" i="2"/>
  <c r="BP108" i="2"/>
  <c r="BP109" i="2"/>
  <c r="Z116" i="2"/>
  <c r="BP116" i="2"/>
  <c r="BN118" i="2"/>
  <c r="Y119" i="2"/>
  <c r="Z123" i="2"/>
  <c r="BP123" i="2"/>
  <c r="Z127" i="2"/>
  <c r="BP127" i="2"/>
  <c r="Z133" i="2"/>
  <c r="Y140" i="2"/>
  <c r="Y141" i="2"/>
  <c r="BN143" i="2"/>
  <c r="BN149" i="2"/>
  <c r="Y150" i="2"/>
  <c r="BP155" i="2"/>
  <c r="Z157" i="2"/>
  <c r="BP158" i="2"/>
  <c r="Z158" i="2"/>
  <c r="BN180" i="2"/>
  <c r="Y192" i="2"/>
  <c r="Z180" i="2"/>
  <c r="Z183" i="2"/>
  <c r="Z213" i="2"/>
  <c r="BP216" i="2"/>
  <c r="Y223" i="2"/>
  <c r="BP222" i="2"/>
  <c r="BN237" i="2"/>
  <c r="BP237" i="2"/>
  <c r="BP322" i="2"/>
  <c r="BN322" i="2"/>
  <c r="Z322" i="2"/>
  <c r="BN399" i="2"/>
  <c r="BP399" i="2"/>
  <c r="BN445" i="2"/>
  <c r="BP445" i="2"/>
  <c r="Y468" i="2"/>
  <c r="BP471" i="2"/>
  <c r="BN471" i="2"/>
  <c r="Z471" i="2"/>
  <c r="BP483" i="2"/>
  <c r="BN483" i="2"/>
  <c r="Z483" i="2"/>
  <c r="J9" i="2"/>
  <c r="BP28" i="2"/>
  <c r="BN29" i="2"/>
  <c r="Y33" i="2"/>
  <c r="BN71" i="2"/>
  <c r="BP87" i="2"/>
  <c r="BN88" i="2"/>
  <c r="G570" i="2"/>
  <c r="BP115" i="2"/>
  <c r="BP128" i="2"/>
  <c r="Y134" i="2"/>
  <c r="BN144" i="2"/>
  <c r="BP159" i="2"/>
  <c r="BP190" i="2"/>
  <c r="Z190" i="2"/>
  <c r="BN286" i="2"/>
  <c r="Z286" i="2"/>
  <c r="BN289" i="2"/>
  <c r="BP289" i="2"/>
  <c r="Z289" i="2"/>
  <c r="Y300" i="2"/>
  <c r="BN305" i="2"/>
  <c r="Z305" i="2"/>
  <c r="BN309" i="2"/>
  <c r="BP309" i="2"/>
  <c r="Z309" i="2"/>
  <c r="BP407" i="2"/>
  <c r="Y408" i="2"/>
  <c r="Z407" i="2"/>
  <c r="BN439" i="2"/>
  <c r="Z439" i="2"/>
  <c r="BN455" i="2"/>
  <c r="Y457" i="2"/>
  <c r="BP455" i="2"/>
  <c r="Z455" i="2"/>
  <c r="Z457" i="2" s="1"/>
  <c r="BP499" i="2"/>
  <c r="BN499" i="2"/>
  <c r="BP508" i="2"/>
  <c r="BN508" i="2"/>
  <c r="Z508" i="2"/>
  <c r="BN525" i="2"/>
  <c r="BP525" i="2"/>
  <c r="Z525" i="2"/>
  <c r="BP528" i="2"/>
  <c r="Z528" i="2"/>
  <c r="Z28" i="2"/>
  <c r="Z30" i="2"/>
  <c r="BP40" i="2"/>
  <c r="BN41" i="2"/>
  <c r="BP56" i="2"/>
  <c r="BP73" i="2"/>
  <c r="Z78" i="2"/>
  <c r="BP85" i="2"/>
  <c r="Y100" i="2"/>
  <c r="BP94" i="2"/>
  <c r="Z106" i="2"/>
  <c r="Z115" i="2"/>
  <c r="Z118" i="2"/>
  <c r="Y120" i="2"/>
  <c r="Z128" i="2"/>
  <c r="Z132" i="2"/>
  <c r="Z134" i="2" s="1"/>
  <c r="BP132" i="2"/>
  <c r="Y135" i="2"/>
  <c r="Z149" i="2"/>
  <c r="Z150" i="2" s="1"/>
  <c r="Z159" i="2"/>
  <c r="BP182" i="2"/>
  <c r="Z182" i="2"/>
  <c r="BP188" i="2"/>
  <c r="BP191" i="2"/>
  <c r="BN197" i="2"/>
  <c r="BP197" i="2"/>
  <c r="BN232" i="2"/>
  <c r="BP232" i="2"/>
  <c r="Y248" i="2"/>
  <c r="BP247" i="2"/>
  <c r="BN268" i="2"/>
  <c r="BP268" i="2"/>
  <c r="Z268" i="2"/>
  <c r="Z269" i="2" s="1"/>
  <c r="BN275" i="2"/>
  <c r="BP275" i="2"/>
  <c r="BP299" i="2"/>
  <c r="BN299" i="2"/>
  <c r="Z299" i="2"/>
  <c r="BP318" i="2"/>
  <c r="Y319" i="2"/>
  <c r="Z318" i="2"/>
  <c r="Z319" i="2" s="1"/>
  <c r="BN329" i="2"/>
  <c r="Y334" i="2"/>
  <c r="BP329" i="2"/>
  <c r="Y335" i="2"/>
  <c r="BN339" i="2"/>
  <c r="Z339" i="2"/>
  <c r="BN385" i="2"/>
  <c r="BP385" i="2"/>
  <c r="BP433" i="2"/>
  <c r="Z433" i="2"/>
  <c r="Y570" i="2"/>
  <c r="BP478" i="2"/>
  <c r="Y484" i="2"/>
  <c r="BP511" i="2"/>
  <c r="BN511" i="2"/>
  <c r="BN551" i="2"/>
  <c r="Z551" i="2"/>
  <c r="BP233" i="2"/>
  <c r="BN235" i="2"/>
  <c r="BP239" i="2"/>
  <c r="BP243" i="2"/>
  <c r="BN245" i="2"/>
  <c r="BP262" i="2"/>
  <c r="BN272" i="2"/>
  <c r="BP276" i="2"/>
  <c r="BN278" i="2"/>
  <c r="BP284" i="2"/>
  <c r="BN287" i="2"/>
  <c r="Y301" i="2"/>
  <c r="Y311" i="2"/>
  <c r="BP330" i="2"/>
  <c r="T570" i="2"/>
  <c r="BP366" i="2"/>
  <c r="BP386" i="2"/>
  <c r="BP479" i="2"/>
  <c r="BP487" i="2"/>
  <c r="J570" i="2"/>
  <c r="BP171" i="2"/>
  <c r="BP186" i="2"/>
  <c r="Y198" i="2"/>
  <c r="BP196" i="2"/>
  <c r="BP212" i="2"/>
  <c r="BP231" i="2"/>
  <c r="Z243" i="2"/>
  <c r="Z246" i="2"/>
  <c r="BP253" i="2"/>
  <c r="BP267" i="2"/>
  <c r="BP274" i="2"/>
  <c r="Y281" i="2"/>
  <c r="Z298" i="2"/>
  <c r="BP298" i="2"/>
  <c r="Z308" i="2"/>
  <c r="BN310" i="2"/>
  <c r="Z314" i="2"/>
  <c r="Z315" i="2" s="1"/>
  <c r="Z330" i="2"/>
  <c r="Z333" i="2"/>
  <c r="Z348" i="2"/>
  <c r="Z366" i="2"/>
  <c r="Z369" i="2"/>
  <c r="Z377" i="2"/>
  <c r="BN379" i="2"/>
  <c r="Z386" i="2"/>
  <c r="BN392" i="2"/>
  <c r="Z400" i="2"/>
  <c r="BP419" i="2"/>
  <c r="Y428" i="2"/>
  <c r="Z426" i="2"/>
  <c r="Z438" i="2"/>
  <c r="X570" i="2"/>
  <c r="Z462" i="2"/>
  <c r="Z479" i="2"/>
  <c r="Z482" i="2"/>
  <c r="Z487" i="2"/>
  <c r="BP488" i="2"/>
  <c r="Z570" i="2"/>
  <c r="BP498" i="2"/>
  <c r="BN505" i="2"/>
  <c r="Z507" i="2"/>
  <c r="BP510" i="2"/>
  <c r="Z518" i="2"/>
  <c r="BP524" i="2"/>
  <c r="BP535" i="2"/>
  <c r="BP539" i="2"/>
  <c r="Y559" i="2"/>
  <c r="Z169" i="2"/>
  <c r="BP176" i="2"/>
  <c r="Y178" i="2"/>
  <c r="BP181" i="2"/>
  <c r="Z184" i="2"/>
  <c r="Y193" i="2"/>
  <c r="Z186" i="2"/>
  <c r="BP189" i="2"/>
  <c r="Z196" i="2"/>
  <c r="Z212" i="2"/>
  <c r="Z215" i="2"/>
  <c r="Z231" i="2"/>
  <c r="Z235" i="2"/>
  <c r="BN239" i="2"/>
  <c r="Z245" i="2"/>
  <c r="Y254" i="2"/>
  <c r="BP251" i="2"/>
  <c r="Z253" i="2"/>
  <c r="BN262" i="2"/>
  <c r="Z272" i="2"/>
  <c r="Z274" i="2"/>
  <c r="Z278" i="2"/>
  <c r="Z287" i="2"/>
  <c r="BP292" i="2"/>
  <c r="BN293" i="2"/>
  <c r="BP307" i="2"/>
  <c r="Y312" i="2"/>
  <c r="Z332" i="2"/>
  <c r="Y341" i="2"/>
  <c r="BP361" i="2"/>
  <c r="Y363" i="2"/>
  <c r="Z368" i="2"/>
  <c r="BP376" i="2"/>
  <c r="BN380" i="2"/>
  <c r="BP394" i="2"/>
  <c r="W570" i="2"/>
  <c r="Z436" i="2"/>
  <c r="BP450" i="2"/>
  <c r="BN451" i="2"/>
  <c r="BN512" i="2"/>
  <c r="Y514" i="2"/>
  <c r="Z107" i="2"/>
  <c r="Z164" i="2"/>
  <c r="Z165" i="2" s="1"/>
  <c r="Z195" i="2"/>
  <c r="Z230" i="2"/>
  <c r="BN170" i="2"/>
  <c r="BN354" i="2"/>
  <c r="BN398" i="2"/>
  <c r="Y409" i="2"/>
  <c r="BN434" i="2"/>
  <c r="BN444" i="2"/>
  <c r="Y515" i="2"/>
  <c r="Y553" i="2"/>
  <c r="K570" i="2"/>
  <c r="H570" i="2"/>
  <c r="Y43" i="2"/>
  <c r="BN55" i="2"/>
  <c r="Y68" i="2"/>
  <c r="Z47" i="2"/>
  <c r="BP49" i="2"/>
  <c r="Z58" i="2"/>
  <c r="BN80" i="2"/>
  <c r="Z105" i="2"/>
  <c r="BP107" i="2"/>
  <c r="BN110" i="2"/>
  <c r="BP122" i="2"/>
  <c r="BN125" i="2"/>
  <c r="Z139" i="2"/>
  <c r="BP154" i="2"/>
  <c r="BP164" i="2"/>
  <c r="BN175" i="2"/>
  <c r="BP195" i="2"/>
  <c r="BN205" i="2"/>
  <c r="BN217" i="2"/>
  <c r="Z228" i="2"/>
  <c r="BP230" i="2"/>
  <c r="BN238" i="2"/>
  <c r="Y249" i="2"/>
  <c r="Y264" i="2"/>
  <c r="BP273" i="2"/>
  <c r="BP283" i="2"/>
  <c r="BN291" i="2"/>
  <c r="BP304" i="2"/>
  <c r="BP314" i="2"/>
  <c r="BN324" i="2"/>
  <c r="BP338" i="2"/>
  <c r="Z347" i="2"/>
  <c r="BP349" i="2"/>
  <c r="BN360" i="2"/>
  <c r="BN371" i="2"/>
  <c r="BN381" i="2"/>
  <c r="BP393" i="2"/>
  <c r="Z401" i="2"/>
  <c r="BN413" i="2"/>
  <c r="Z425" i="2"/>
  <c r="Z437" i="2"/>
  <c r="BP439" i="2"/>
  <c r="BN449" i="2"/>
  <c r="Y452" i="2"/>
  <c r="BP462" i="2"/>
  <c r="BN472" i="2"/>
  <c r="Y485" i="2"/>
  <c r="BN497" i="2"/>
  <c r="Y500" i="2"/>
  <c r="BN509" i="2"/>
  <c r="BN519" i="2"/>
  <c r="BN529" i="2"/>
  <c r="BN543" i="2"/>
  <c r="L570" i="2"/>
  <c r="Z185" i="2"/>
  <c r="BN96" i="2"/>
  <c r="BN185" i="2"/>
  <c r="Y320" i="2"/>
  <c r="BN23" i="2"/>
  <c r="BP37" i="2"/>
  <c r="BP60" i="2"/>
  <c r="F9" i="2"/>
  <c r="BP55" i="2"/>
  <c r="BP65" i="2"/>
  <c r="Z94" i="2"/>
  <c r="BP96" i="2"/>
  <c r="Z144" i="2"/>
  <c r="BP170" i="2"/>
  <c r="BP185" i="2"/>
  <c r="Y199" i="2"/>
  <c r="Y224" i="2"/>
  <c r="Y269" i="2"/>
  <c r="Z294" i="2"/>
  <c r="Y342" i="2"/>
  <c r="BP354" i="2"/>
  <c r="BN366" i="2"/>
  <c r="Y389" i="2"/>
  <c r="BP398" i="2"/>
  <c r="Z406" i="2"/>
  <c r="Z432" i="2"/>
  <c r="BP434" i="2"/>
  <c r="BP444" i="2"/>
  <c r="Y490" i="2"/>
  <c r="Z512" i="2"/>
  <c r="Y537" i="2"/>
  <c r="Y549" i="2"/>
  <c r="M570" i="2"/>
  <c r="Z60" i="2"/>
  <c r="BN65" i="2"/>
  <c r="BP23" i="2"/>
  <c r="BN47" i="2"/>
  <c r="BN58" i="2"/>
  <c r="Y61" i="2"/>
  <c r="Y69" i="2"/>
  <c r="BP80" i="2"/>
  <c r="BN105" i="2"/>
  <c r="BP110" i="2"/>
  <c r="BP125" i="2"/>
  <c r="BN139" i="2"/>
  <c r="Y165" i="2"/>
  <c r="BP175" i="2"/>
  <c r="BP205" i="2"/>
  <c r="BP217" i="2"/>
  <c r="BN228" i="2"/>
  <c r="BP238" i="2"/>
  <c r="BP291" i="2"/>
  <c r="Y315" i="2"/>
  <c r="BP324" i="2"/>
  <c r="BN347" i="2"/>
  <c r="Y350" i="2"/>
  <c r="BP360" i="2"/>
  <c r="BP371" i="2"/>
  <c r="BP381" i="2"/>
  <c r="BN401" i="2"/>
  <c r="BP413" i="2"/>
  <c r="BN425" i="2"/>
  <c r="BN437" i="2"/>
  <c r="Y440" i="2"/>
  <c r="BP449" i="2"/>
  <c r="Y463" i="2"/>
  <c r="BP472" i="2"/>
  <c r="BP497" i="2"/>
  <c r="BP509" i="2"/>
  <c r="BP519" i="2"/>
  <c r="BP529" i="2"/>
  <c r="BP543" i="2"/>
  <c r="Y554" i="2"/>
  <c r="O570" i="2"/>
  <c r="Y241" i="2"/>
  <c r="Y265" i="2"/>
  <c r="Y355" i="2"/>
  <c r="Y453" i="2"/>
  <c r="Y501" i="2"/>
  <c r="P570" i="2"/>
  <c r="Z126" i="2"/>
  <c r="Z171" i="2"/>
  <c r="Z201" i="2"/>
  <c r="Z202" i="2" s="1"/>
  <c r="Y206" i="2"/>
  <c r="Y218" i="2"/>
  <c r="Z226" i="2"/>
  <c r="Y325" i="2"/>
  <c r="Z345" i="2"/>
  <c r="Y372" i="2"/>
  <c r="Y382" i="2"/>
  <c r="Y390" i="2"/>
  <c r="Z399" i="2"/>
  <c r="Y414" i="2"/>
  <c r="Z435" i="2"/>
  <c r="Z445" i="2"/>
  <c r="Y473" i="2"/>
  <c r="Z493" i="2"/>
  <c r="Z494" i="2" s="1"/>
  <c r="Y520" i="2"/>
  <c r="Y530" i="2"/>
  <c r="Y544" i="2"/>
  <c r="Q570" i="2"/>
  <c r="Y62" i="2"/>
  <c r="Y129" i="2"/>
  <c r="Y166" i="2"/>
  <c r="BN251" i="2"/>
  <c r="Y316" i="2"/>
  <c r="Y351" i="2"/>
  <c r="Y420" i="2"/>
  <c r="BP432" i="2"/>
  <c r="Y441" i="2"/>
  <c r="Y464" i="2"/>
  <c r="BN487" i="2"/>
  <c r="Z557" i="2"/>
  <c r="Z558" i="2" s="1"/>
  <c r="R570" i="2"/>
  <c r="Z37" i="2"/>
  <c r="Z154" i="2"/>
  <c r="Y24" i="2"/>
  <c r="BP47" i="2"/>
  <c r="Z56" i="2"/>
  <c r="Z66" i="2"/>
  <c r="Y81" i="2"/>
  <c r="Z103" i="2"/>
  <c r="Y111" i="2"/>
  <c r="BN103" i="2"/>
  <c r="BN201" i="2"/>
  <c r="Y356" i="2"/>
  <c r="Y402" i="2"/>
  <c r="BN493" i="2"/>
  <c r="BN539" i="2"/>
  <c r="S570" i="2"/>
  <c r="Z49" i="2"/>
  <c r="Z122" i="2"/>
  <c r="Y25" i="2"/>
  <c r="Y74" i="2"/>
  <c r="Y82" i="2"/>
  <c r="Y90" i="2"/>
  <c r="Y112" i="2"/>
  <c r="Y145" i="2"/>
  <c r="Y207" i="2"/>
  <c r="Y219" i="2"/>
  <c r="Y295" i="2"/>
  <c r="Y326" i="2"/>
  <c r="Y373" i="2"/>
  <c r="Y383" i="2"/>
  <c r="Y415" i="2"/>
  <c r="Y474" i="2"/>
  <c r="Y521" i="2"/>
  <c r="Y531" i="2"/>
  <c r="Y545" i="2"/>
  <c r="BN557" i="2"/>
  <c r="Y161" i="2"/>
  <c r="Y421" i="2"/>
  <c r="B570" i="2"/>
  <c r="U570" i="2"/>
  <c r="Z109" i="2"/>
  <c r="Z124" i="2"/>
  <c r="Z216" i="2"/>
  <c r="Z237" i="2"/>
  <c r="Z247" i="2"/>
  <c r="Z290" i="2"/>
  <c r="Z323" i="2"/>
  <c r="Z359" i="2"/>
  <c r="Z362" i="2" s="1"/>
  <c r="Z370" i="2"/>
  <c r="Z380" i="2"/>
  <c r="Y403" i="2"/>
  <c r="Z412" i="2"/>
  <c r="BP557" i="2"/>
  <c r="C570" i="2"/>
  <c r="V570" i="2"/>
  <c r="Y130" i="2"/>
  <c r="Z22" i="2"/>
  <c r="Z24" i="2" s="1"/>
  <c r="Y51" i="2"/>
  <c r="Z79" i="2"/>
  <c r="Z81" i="2" s="1"/>
  <c r="Z27" i="2"/>
  <c r="Z39" i="2"/>
  <c r="BN64" i="2"/>
  <c r="Y75" i="2"/>
  <c r="Z85" i="2"/>
  <c r="Y91" i="2"/>
  <c r="BN95" i="2"/>
  <c r="Z98" i="2"/>
  <c r="Z114" i="2"/>
  <c r="Y146" i="2"/>
  <c r="Z156" i="2"/>
  <c r="BN169" i="2"/>
  <c r="Y172" i="2"/>
  <c r="BN184" i="2"/>
  <c r="Z187" i="2"/>
  <c r="Z197" i="2"/>
  <c r="Z211" i="2"/>
  <c r="Z222" i="2"/>
  <c r="Z223" i="2" s="1"/>
  <c r="Z232" i="2"/>
  <c r="Z252" i="2"/>
  <c r="Z275" i="2"/>
  <c r="Z285" i="2"/>
  <c r="Y296" i="2"/>
  <c r="Z306" i="2"/>
  <c r="BN318" i="2"/>
  <c r="Z329" i="2"/>
  <c r="Z340" i="2"/>
  <c r="BN353" i="2"/>
  <c r="Z375" i="2"/>
  <c r="Z385" i="2"/>
  <c r="BN407" i="2"/>
  <c r="Z418" i="2"/>
  <c r="Z420" i="2" s="1"/>
  <c r="BN433" i="2"/>
  <c r="BN443" i="2"/>
  <c r="Y446" i="2"/>
  <c r="BN466" i="2"/>
  <c r="Z478" i="2"/>
  <c r="Z488" i="2"/>
  <c r="Y494" i="2"/>
  <c r="BN513" i="2"/>
  <c r="Z523" i="2"/>
  <c r="Z535" i="2"/>
  <c r="Z536" i="2" s="1"/>
  <c r="Z547" i="2"/>
  <c r="Z548" i="2" s="1"/>
  <c r="D570" i="2"/>
  <c r="BN528" i="2"/>
  <c r="Z552" i="2"/>
  <c r="Y558" i="2"/>
  <c r="E570" i="2"/>
  <c r="Y162" i="2"/>
  <c r="Y240" i="2"/>
  <c r="BN247" i="2"/>
  <c r="BN290" i="2"/>
  <c r="BN323" i="2"/>
  <c r="Y42" i="2"/>
  <c r="Z72" i="2"/>
  <c r="BN85" i="2"/>
  <c r="Z88" i="2"/>
  <c r="BP95" i="2"/>
  <c r="Z143" i="2"/>
  <c r="BP169" i="2"/>
  <c r="BN222" i="2"/>
  <c r="Z263" i="2"/>
  <c r="Z264" i="2" s="1"/>
  <c r="Z293" i="2"/>
  <c r="Z405" i="2"/>
  <c r="Z451" i="2"/>
  <c r="Z452" i="2" s="1"/>
  <c r="BN478" i="2"/>
  <c r="Z499" i="2"/>
  <c r="Z500" i="2" s="1"/>
  <c r="Z511" i="2"/>
  <c r="BN535" i="2"/>
  <c r="BN547" i="2"/>
  <c r="Y447" i="2"/>
  <c r="I570" i="2"/>
  <c r="AB570" i="2"/>
  <c r="BN195" i="2"/>
  <c r="BN338" i="2"/>
  <c r="Z489" i="2" l="1"/>
  <c r="Z446" i="2"/>
  <c r="Z463" i="2"/>
  <c r="Z68" i="2"/>
  <c r="Z520" i="2"/>
  <c r="Z300" i="2"/>
  <c r="Z172" i="2"/>
  <c r="Z427" i="2"/>
  <c r="Z395" i="2"/>
  <c r="Z145" i="2"/>
  <c r="Z74" i="2"/>
  <c r="Z530" i="2"/>
  <c r="Z484" i="2"/>
  <c r="Z382" i="2"/>
  <c r="Z341" i="2"/>
  <c r="Z280" i="2"/>
  <c r="Z192" i="2"/>
  <c r="Z119" i="2"/>
  <c r="Z32" i="2"/>
  <c r="Z414" i="2"/>
  <c r="Z402" i="2"/>
  <c r="Z350" i="2"/>
  <c r="Z473" i="2"/>
  <c r="Z514" i="2"/>
  <c r="Z553" i="2"/>
  <c r="Z389" i="2"/>
  <c r="Z334" i="2"/>
  <c r="Z311" i="2"/>
  <c r="Z295" i="2"/>
  <c r="Z254" i="2"/>
  <c r="Z372" i="2"/>
  <c r="Z325" i="2"/>
  <c r="Z248" i="2"/>
  <c r="Z61" i="2"/>
  <c r="Z140" i="2"/>
  <c r="Z42" i="2"/>
  <c r="Z99" i="2"/>
  <c r="Z218" i="2"/>
  <c r="Z90" i="2"/>
  <c r="Z440" i="2"/>
  <c r="Y562" i="2"/>
  <c r="Y561" i="2"/>
  <c r="Z161" i="2"/>
  <c r="Y564" i="2"/>
  <c r="Z198" i="2"/>
  <c r="Y560" i="2"/>
  <c r="Z129" i="2"/>
  <c r="Z51" i="2"/>
  <c r="Z408" i="2"/>
  <c r="Z111" i="2"/>
  <c r="Z240" i="2"/>
  <c r="Y563" i="2" l="1"/>
  <c r="Z565" i="2"/>
</calcChain>
</file>

<file path=xl/sharedStrings.xml><?xml version="1.0" encoding="utf-8"?>
<sst xmlns="http://schemas.openxmlformats.org/spreadsheetml/2006/main" count="4318" uniqueCount="905">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</sst>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904</v>
      </c>
      <c r="I5" s="1001"/>
      <c r="J5" s="1001"/>
      <c r="K5" s="1001"/>
      <c r="L5" s="1001"/>
      <c r="M5" s="1001"/>
      <c r="N5" s="72"/>
      <c r="P5" s="27" t="s">
        <v>4</v>
      </c>
      <c r="Q5" s="1003">
        <v>46266</v>
      </c>
      <c r="R5" s="1003"/>
      <c r="T5" s="1004" t="s">
        <v>3</v>
      </c>
      <c r="U5" s="1005"/>
      <c r="V5" s="1006" t="s">
        <v>880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887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Вторник</v>
      </c>
      <c r="R6" s="1009"/>
      <c r="T6" s="1010" t="s">
        <v>5</v>
      </c>
      <c r="U6" s="1011"/>
      <c r="V6" s="1012" t="s">
        <v>70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3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58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0.41666666666666669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55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72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73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74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75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61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59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66</v>
      </c>
      <c r="L17" s="955" t="s">
        <v>64</v>
      </c>
      <c r="M17" s="955" t="s">
        <v>2</v>
      </c>
      <c r="N17" s="955" t="s">
        <v>63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56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60</v>
      </c>
      <c r="AB17" s="961" t="s">
        <v>19</v>
      </c>
      <c r="AC17" s="961" t="s">
        <v>65</v>
      </c>
      <c r="AD17" s="963" t="s">
        <v>57</v>
      </c>
      <c r="AE17" s="964"/>
      <c r="AF17" s="965"/>
      <c r="AG17" s="82"/>
      <c r="BD17" s="81" t="s">
        <v>62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76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77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86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104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86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121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122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144</v>
      </c>
      <c r="Y49" s="55">
        <f>IFERROR(IF(X49="",0,CEILING((X49/$H49),1)*$H49),"")</f>
        <v>144</v>
      </c>
      <c r="Z49" s="41">
        <f>IFERROR(IF(Y49=0,"",ROUNDUP(Y49/H49,0)*0.00902),"")</f>
        <v>0.32472000000000001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150.84</v>
      </c>
      <c r="BN49" s="78">
        <f>IFERROR(Y49*I49/H49,"0")</f>
        <v>150.84</v>
      </c>
      <c r="BO49" s="78">
        <f>IFERROR(1/J49*(X49/H49),"0")</f>
        <v>0.27272727272727271</v>
      </c>
      <c r="BP49" s="78">
        <f>IFERROR(1/J49*(Y49/H49),"0")</f>
        <v>0.27272727272727271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36</v>
      </c>
      <c r="Y51" s="43">
        <f>IFERROR(Y47/H47,"0")+IFERROR(Y48/H48,"0")+IFERROR(Y49/H49,"0")+IFERROR(Y50/H50,"0")</f>
        <v>36</v>
      </c>
      <c r="Z51" s="43">
        <f>IFERROR(IF(Z47="",0,Z47),"0")+IFERROR(IF(Z48="",0,Z48),"0")+IFERROR(IF(Z49="",0,Z49),"0")+IFERROR(IF(Z50="",0,Z50),"0")</f>
        <v>0.32472000000000001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144</v>
      </c>
      <c r="Y52" s="43">
        <f>IFERROR(SUM(Y47:Y50),"0")</f>
        <v>144</v>
      </c>
      <c r="Z52" s="42"/>
      <c r="AA52" s="67"/>
      <c r="AB52" s="67"/>
      <c r="AC52" s="67"/>
    </row>
    <row r="53" spans="1:68" ht="16.5" hidden="1" customHeight="1" x14ac:dyDescent="0.25">
      <c r="A53" s="663" t="s">
        <v>137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122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155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69.3</v>
      </c>
      <c r="Y67" s="55">
        <f>IFERROR(IF(X67="",0,CEILING((X67/$H67),1)*$H67),"")</f>
        <v>70.2</v>
      </c>
      <c r="Z67" s="41">
        <f>IFERROR(IF(Y67=0,"",ROUNDUP(Y67/H67,0)*0.00651),"")</f>
        <v>0.16925999999999999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73.919999999999987</v>
      </c>
      <c r="BN67" s="78">
        <f>IFERROR(Y67*I67/H67,"0")</f>
        <v>74.88</v>
      </c>
      <c r="BO67" s="78">
        <f>IFERROR(1/J67*(X67/H67),"0")</f>
        <v>0.14102564102564102</v>
      </c>
      <c r="BP67" s="78">
        <f>IFERROR(1/J67*(Y67/H67),"0")</f>
        <v>0.14285714285714288</v>
      </c>
    </row>
    <row r="68" spans="1:68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25.666666666666664</v>
      </c>
      <c r="Y68" s="43">
        <f>IFERROR(Y64/H64,"0")+IFERROR(Y65/H65,"0")+IFERROR(Y66/H66,"0")+IFERROR(Y67/H67,"0")</f>
        <v>26</v>
      </c>
      <c r="Z68" s="43">
        <f>IFERROR(IF(Z64="",0,Z64),"0")+IFERROR(IF(Z65="",0,Z65),"0")+IFERROR(IF(Z66="",0,Z66),"0")+IFERROR(IF(Z67="",0,Z67),"0")</f>
        <v>0.16925999999999999</v>
      </c>
      <c r="AA68" s="67"/>
      <c r="AB68" s="67"/>
      <c r="AC68" s="67"/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69.3</v>
      </c>
      <c r="Y69" s="43">
        <f>IFERROR(SUM(Y64:Y67),"0")</f>
        <v>70.2</v>
      </c>
      <c r="Z69" s="42"/>
      <c r="AA69" s="67"/>
      <c r="AB69" s="67"/>
      <c r="AC69" s="67"/>
    </row>
    <row r="70" spans="1:68" ht="14.25" hidden="1" customHeight="1" x14ac:dyDescent="0.25">
      <c r="A70" s="664" t="s">
        <v>86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18</v>
      </c>
      <c r="Y71" s="55">
        <f>IFERROR(IF(X71="",0,CEILING((X71/$H71),1)*$H71),"")</f>
        <v>18</v>
      </c>
      <c r="Z71" s="41">
        <f>IFERROR(IF(Y71=0,"",ROUNDUP(Y71/H71,0)*0.00651),"")</f>
        <v>6.5100000000000005E-2</v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20.459999999999997</v>
      </c>
      <c r="BN71" s="78">
        <f>IFERROR(Y71*I71/H71,"0")</f>
        <v>20.459999999999997</v>
      </c>
      <c r="BO71" s="78">
        <f>IFERROR(1/J71*(X71/H71),"0")</f>
        <v>5.4945054945054951E-2</v>
      </c>
      <c r="BP71" s="78">
        <f>IFERROR(1/J71*(Y71/H71),"0")</f>
        <v>5.4945054945054951E-2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10</v>
      </c>
      <c r="Y74" s="43">
        <f>IFERROR(Y71/H71,"0")+IFERROR(Y72/H72,"0")+IFERROR(Y73/H73,"0")</f>
        <v>10</v>
      </c>
      <c r="Z74" s="43">
        <f>IFERROR(IF(Z71="",0,Z71),"0")+IFERROR(IF(Z72="",0,Z72),"0")+IFERROR(IF(Z73="",0,Z73),"0")</f>
        <v>6.5100000000000005E-2</v>
      </c>
      <c r="AA74" s="67"/>
      <c r="AB74" s="67"/>
      <c r="AC74" s="67"/>
    </row>
    <row r="75" spans="1:68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18</v>
      </c>
      <c r="Y75" s="43">
        <f>IFERROR(SUM(Y71:Y73),"0")</f>
        <v>18</v>
      </c>
      <c r="Z75" s="42"/>
      <c r="AA75" s="67"/>
      <c r="AB75" s="67"/>
      <c r="AC75" s="67"/>
    </row>
    <row r="76" spans="1:68" ht="14.25" hidden="1" customHeight="1" x14ac:dyDescent="0.25">
      <c r="A76" s="664" t="s">
        <v>173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182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122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10.199999999999999</v>
      </c>
      <c r="Y86" s="55">
        <f>IFERROR(IF(X86="",0,CEILING((X86/$H86),1)*$H86),"")</f>
        <v>10.199999999999999</v>
      </c>
      <c r="Z86" s="41">
        <f>IFERROR(IF(Y86=0,"",ROUNDUP(Y86/H86,0)*0.00726),"")</f>
        <v>4.3560000000000001E-2</v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10.8</v>
      </c>
      <c r="BN86" s="78">
        <f>IFERROR(Y86*I86/H86,"0")</f>
        <v>10.8</v>
      </c>
      <c r="BO86" s="78">
        <f>IFERROR(1/J86*(X86/H86),"0")</f>
        <v>3.125E-2</v>
      </c>
      <c r="BP86" s="78">
        <f>IFERROR(1/J86*(Y86/H86),"0")</f>
        <v>3.125E-2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24" t="s">
        <v>190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6</v>
      </c>
      <c r="Y90" s="43">
        <f>IFERROR(Y85/H85,"0")+IFERROR(Y86/H86,"0")+IFERROR(Y87/H87,"0")+IFERROR(Y88/H88,"0")+IFERROR(Y89/H89,"0")</f>
        <v>6</v>
      </c>
      <c r="Z90" s="43">
        <f>IFERROR(IF(Z85="",0,Z85),"0")+IFERROR(IF(Z86="",0,Z86),"0")+IFERROR(IF(Z87="",0,Z87),"0")+IFERROR(IF(Z88="",0,Z88),"0")+IFERROR(IF(Z89="",0,Z89),"0")</f>
        <v>4.3560000000000001E-2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10.199999999999999</v>
      </c>
      <c r="Y91" s="43">
        <f>IFERROR(SUM(Y85:Y89),"0")</f>
        <v>10.199999999999999</v>
      </c>
      <c r="Z91" s="42"/>
      <c r="AA91" s="67"/>
      <c r="AB91" s="67"/>
      <c r="AC91" s="67"/>
    </row>
    <row r="92" spans="1:68" ht="14.25" hidden="1" customHeight="1" x14ac:dyDescent="0.25">
      <c r="A92" s="664" t="s">
        <v>86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5" t="s">
        <v>199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135</v>
      </c>
      <c r="Y96" s="55">
        <f t="shared" si="5"/>
        <v>135</v>
      </c>
      <c r="Z96" s="41">
        <f>IFERROR(IF(Y96=0,"",ROUNDUP(Y96/H96,0)*0.00651),"")</f>
        <v>0.32550000000000001</v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147.6</v>
      </c>
      <c r="BN96" s="78">
        <f t="shared" si="7"/>
        <v>147.6</v>
      </c>
      <c r="BO96" s="78">
        <f t="shared" si="8"/>
        <v>0.27472527472527475</v>
      </c>
      <c r="BP96" s="78">
        <f t="shared" si="9"/>
        <v>0.27472527472527475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8" t="s">
        <v>205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50</v>
      </c>
      <c r="Y99" s="43">
        <f>IFERROR(Y93/H93,"0")+IFERROR(Y94/H94,"0")+IFERROR(Y95/H95,"0")+IFERROR(Y96/H96,"0")+IFERROR(Y97/H97,"0")+IFERROR(Y98/H98,"0")</f>
        <v>50</v>
      </c>
      <c r="Z99" s="43">
        <f>IFERROR(IF(Z93="",0,Z93),"0")+IFERROR(IF(Z94="",0,Z94),"0")+IFERROR(IF(Z95="",0,Z95),"0")+IFERROR(IF(Z96="",0,Z96),"0")+IFERROR(IF(Z97="",0,Z97),"0")+IFERROR(IF(Z98="",0,Z98),"0")</f>
        <v>0.32550000000000001</v>
      </c>
      <c r="AA99" s="67"/>
      <c r="AB99" s="67"/>
      <c r="AC99" s="67"/>
    </row>
    <row r="100" spans="1:68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135</v>
      </c>
      <c r="Y100" s="43">
        <f>IFERROR(SUM(Y93:Y98),"0")</f>
        <v>135</v>
      </c>
      <c r="Z100" s="42"/>
      <c r="AA100" s="67"/>
      <c r="AB100" s="67"/>
      <c r="AC100" s="67"/>
    </row>
    <row r="101" spans="1:68" ht="16.5" hidden="1" customHeight="1" x14ac:dyDescent="0.25">
      <c r="A101" s="663" t="s">
        <v>209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3.3</v>
      </c>
      <c r="Y104" s="55">
        <f t="shared" si="10"/>
        <v>3.3000000000000003</v>
      </c>
      <c r="Z104" s="41">
        <f>IFERROR(IF(Y104=0,"",ROUNDUP(Y104/H104,0)*0.00726),"")</f>
        <v>2.1780000000000001E-2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3.9299999999999993</v>
      </c>
      <c r="BN104" s="78">
        <f t="shared" si="12"/>
        <v>3.93</v>
      </c>
      <c r="BO104" s="78">
        <f t="shared" si="13"/>
        <v>1.5624999999999997E-2</v>
      </c>
      <c r="BP104" s="78">
        <f t="shared" si="14"/>
        <v>1.5625E-2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0" t="s">
        <v>223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2.9999999999999996</v>
      </c>
      <c r="Y111" s="43">
        <f>IFERROR(Y103/H103,"0")+IFERROR(Y104/H104,"0")+IFERROR(Y105/H105,"0")+IFERROR(Y106/H106,"0")+IFERROR(Y107/H107,"0")+IFERROR(Y108/H108,"0")+IFERROR(Y109/H109,"0")+IFERROR(Y110/H110,"0")</f>
        <v>3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2.1780000000000001E-2</v>
      </c>
      <c r="AA111" s="67"/>
      <c r="AB111" s="67"/>
      <c r="AC111" s="67"/>
    </row>
    <row r="112" spans="1:68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3.3</v>
      </c>
      <c r="Y112" s="43">
        <f>IFERROR(SUM(Y103:Y110),"0")</f>
        <v>3.3000000000000003</v>
      </c>
      <c r="Z112" s="42"/>
      <c r="AA112" s="67"/>
      <c r="AB112" s="67"/>
      <c r="AC112" s="67"/>
    </row>
    <row r="113" spans="1:68" ht="14.25" hidden="1" customHeight="1" x14ac:dyDescent="0.25">
      <c r="A113" s="664" t="s">
        <v>155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230</v>
      </c>
      <c r="B115" s="63" t="s">
        <v>231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22</v>
      </c>
      <c r="Y115" s="55">
        <f>IFERROR(IF(X115="",0,CEILING((X115/$H115),1)*$H115),"")</f>
        <v>22</v>
      </c>
      <c r="Z115" s="41">
        <f>IFERROR(IF(Y115=0,"",ROUNDUP(Y115/H115,0)*0.00358),"")</f>
        <v>7.8759999999999997E-2</v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26.619999999999997</v>
      </c>
      <c r="BN115" s="78">
        <f>IFERROR(Y115*I115/H115,"0")</f>
        <v>26.619999999999997</v>
      </c>
      <c r="BO115" s="78">
        <f>IFERROR(1/J115*(X115/H115),"0")</f>
        <v>5.612244897959183E-2</v>
      </c>
      <c r="BP115" s="78">
        <f>IFERROR(1/J115*(Y115/H115),"0")</f>
        <v>5.612244897959183E-2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22</v>
      </c>
      <c r="Y119" s="43">
        <f>IFERROR(Y114/H114,"0")+IFERROR(Y115/H115,"0")+IFERROR(Y116/H116,"0")+IFERROR(Y117/H117,"0")+IFERROR(Y118/H118,"0")</f>
        <v>22</v>
      </c>
      <c r="Z119" s="43">
        <f>IFERROR(IF(Z114="",0,Z114),"0")+IFERROR(IF(Z115="",0,Z115),"0")+IFERROR(IF(Z116="",0,Z116),"0")+IFERROR(IF(Z117="",0,Z117),"0")+IFERROR(IF(Z118="",0,Z118),"0")</f>
        <v>7.8759999999999997E-2</v>
      </c>
      <c r="AA119" s="67"/>
      <c r="AB119" s="67"/>
      <c r="AC119" s="67"/>
    </row>
    <row r="120" spans="1:68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22</v>
      </c>
      <c r="Y120" s="43">
        <f>IFERROR(SUM(Y114:Y118),"0")</f>
        <v>22</v>
      </c>
      <c r="Z120" s="42"/>
      <c r="AA120" s="67"/>
      <c r="AB120" s="67"/>
      <c r="AC120" s="67"/>
    </row>
    <row r="121" spans="1:68" ht="14.25" hidden="1" customHeight="1" x14ac:dyDescent="0.25">
      <c r="A121" s="664" t="s">
        <v>86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894" t="s">
        <v>243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97" t="s">
        <v>249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customHeight="1" x14ac:dyDescent="0.25">
      <c r="A127" s="63" t="s">
        <v>250</v>
      </c>
      <c r="B127" s="63" t="s">
        <v>251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42</v>
      </c>
      <c r="Y127" s="55">
        <f t="shared" si="15"/>
        <v>43.2</v>
      </c>
      <c r="Z127" s="41">
        <f>IFERROR(IF(Y127=0,"",ROUNDUP(Y127/H127,0)*0.00651),"")</f>
        <v>0.15623999999999999</v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46.199999999999996</v>
      </c>
      <c r="BN127" s="78">
        <f t="shared" si="17"/>
        <v>47.52</v>
      </c>
      <c r="BO127" s="78">
        <f t="shared" si="18"/>
        <v>0.12820512820512822</v>
      </c>
      <c r="BP127" s="78">
        <f t="shared" si="19"/>
        <v>0.13186813186813187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99" t="s">
        <v>254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/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23.333333333333332</v>
      </c>
      <c r="Y129" s="43">
        <f>IFERROR(Y122/H122,"0")+IFERROR(Y123/H123,"0")+IFERROR(Y124/H124,"0")+IFERROR(Y125/H125,"0")+IFERROR(Y126/H126,"0")+IFERROR(Y127/H127,"0")+IFERROR(Y128/H128,"0")</f>
        <v>24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0.15623999999999999</v>
      </c>
      <c r="AA129" s="67"/>
      <c r="AB129" s="67"/>
      <c r="AC129" s="67"/>
    </row>
    <row r="130" spans="1:68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42</v>
      </c>
      <c r="Y130" s="43">
        <f>IFERROR(SUM(Y122:Y128),"0")</f>
        <v>43.2</v>
      </c>
      <c r="Z130" s="42"/>
      <c r="AA130" s="67"/>
      <c r="AB130" s="67"/>
      <c r="AC130" s="67"/>
    </row>
    <row r="131" spans="1:68" ht="14.25" hidden="1" customHeight="1" x14ac:dyDescent="0.25">
      <c r="A131" s="664" t="s">
        <v>173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890" t="s">
        <v>259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260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122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77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86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273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86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289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120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122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155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77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60" t="s">
        <v>324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62" t="s">
        <v>330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86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289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356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360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361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122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382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155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77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7.52</v>
      </c>
      <c r="Y229" s="55">
        <f t="shared" si="37"/>
        <v>8</v>
      </c>
      <c r="Z229" s="41">
        <f>IFERROR(IF(Y229=0,"",ROUNDUP(Y229/H229,0)*0.00556),"")</f>
        <v>5.5599999999999997E-2</v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8.7419999999999991</v>
      </c>
      <c r="BN229" s="78">
        <f t="shared" si="39"/>
        <v>9.3000000000000007</v>
      </c>
      <c r="BO229" s="78">
        <f t="shared" si="40"/>
        <v>3.7301587301587294E-2</v>
      </c>
      <c r="BP229" s="78">
        <f t="shared" si="41"/>
        <v>3.968253968253968E-2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customHeight="1" x14ac:dyDescent="0.25">
      <c r="A236" s="63" t="s">
        <v>414</v>
      </c>
      <c r="B236" s="63" t="s">
        <v>415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8.4</v>
      </c>
      <c r="Y236" s="55">
        <f t="shared" si="37"/>
        <v>8.8000000000000007</v>
      </c>
      <c r="Z236" s="41">
        <f>IFERROR(IF(Y236=0,"",ROUNDUP(Y236/H236,0)*0.00417),"")</f>
        <v>4.5870000000000001E-2</v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10.604999999999999</v>
      </c>
      <c r="BN236" s="78">
        <f t="shared" si="39"/>
        <v>11.110000000000001</v>
      </c>
      <c r="BO236" s="78">
        <f t="shared" si="40"/>
        <v>3.125E-2</v>
      </c>
      <c r="BP236" s="78">
        <f t="shared" si="41"/>
        <v>3.2738095238095233E-2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19.899999999999999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21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0.10147</v>
      </c>
      <c r="AA240" s="67"/>
      <c r="AB240" s="67"/>
      <c r="AC240" s="67"/>
    </row>
    <row r="241" spans="1:68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15.92</v>
      </c>
      <c r="Y241" s="43">
        <f>IFERROR(SUM(Y226:Y239),"0")</f>
        <v>16.8</v>
      </c>
      <c r="Z241" s="42"/>
      <c r="AA241" s="67"/>
      <c r="AB241" s="67"/>
      <c r="AC241" s="67"/>
    </row>
    <row r="242" spans="1:68" ht="14.25" hidden="1" customHeight="1" x14ac:dyDescent="0.25">
      <c r="A242" s="664" t="s">
        <v>86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289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446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449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122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155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77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86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168</v>
      </c>
      <c r="Y289" s="55">
        <f t="shared" si="48"/>
        <v>168</v>
      </c>
      <c r="Z289" s="41">
        <f>IFERROR(IF(Y289=0,"",ROUNDUP(Y289/H289,0)*0.00651),"")</f>
        <v>0.45569999999999999</v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185.64000000000001</v>
      </c>
      <c r="BN289" s="78">
        <f t="shared" si="50"/>
        <v>185.64000000000001</v>
      </c>
      <c r="BO289" s="78">
        <f t="shared" si="51"/>
        <v>0.38461538461538464</v>
      </c>
      <c r="BP289" s="78">
        <f t="shared" si="52"/>
        <v>0.38461538461538464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500</v>
      </c>
      <c r="B291" s="63" t="s">
        <v>501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120</v>
      </c>
      <c r="Y291" s="55">
        <f t="shared" si="48"/>
        <v>120</v>
      </c>
      <c r="Z291" s="41">
        <f>IFERROR(IF(Y291=0,"",ROUNDUP(Y291/H291,0)*0.00651),"")</f>
        <v>0.32550000000000001</v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132.60000000000002</v>
      </c>
      <c r="BN291" s="78">
        <f t="shared" si="50"/>
        <v>132.60000000000002</v>
      </c>
      <c r="BO291" s="78">
        <f t="shared" si="51"/>
        <v>0.27472527472527475</v>
      </c>
      <c r="BP291" s="78">
        <f t="shared" si="52"/>
        <v>0.27472527472527475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120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120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0.78120000000000001</v>
      </c>
      <c r="AA295" s="67"/>
      <c r="AB295" s="67"/>
      <c r="AC295" s="67"/>
    </row>
    <row r="296" spans="1:68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288</v>
      </c>
      <c r="Y296" s="43">
        <f>IFERROR(SUM(Y283:Y294),"0")</f>
        <v>288</v>
      </c>
      <c r="Z296" s="42"/>
      <c r="AA296" s="67"/>
      <c r="AB296" s="67"/>
      <c r="AC296" s="67"/>
    </row>
    <row r="297" spans="1:68" ht="14.25" hidden="1" customHeight="1" x14ac:dyDescent="0.25">
      <c r="A297" s="664" t="s">
        <v>173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517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122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customHeight="1" x14ac:dyDescent="0.25">
      <c r="A307" s="63" t="s">
        <v>526</v>
      </c>
      <c r="B307" s="63" t="s">
        <v>527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36</v>
      </c>
      <c r="Y307" s="55">
        <f t="shared" si="53"/>
        <v>36</v>
      </c>
      <c r="Z307" s="41">
        <f>IFERROR(IF(Y307=0,"",ROUNDUP(Y307/H307,0)*0.00902),"")</f>
        <v>8.1180000000000002E-2</v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37.71</v>
      </c>
      <c r="BN307" s="78">
        <f t="shared" si="55"/>
        <v>37.71</v>
      </c>
      <c r="BO307" s="78">
        <f t="shared" si="56"/>
        <v>6.8181818181818177E-2</v>
      </c>
      <c r="BP307" s="78">
        <f t="shared" si="57"/>
        <v>6.8181818181818177E-2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47.2</v>
      </c>
      <c r="Y310" s="55">
        <f t="shared" si="53"/>
        <v>48</v>
      </c>
      <c r="Z310" s="41">
        <f>IFERROR(IF(Y310=0,"",ROUNDUP(Y310/H310,0)*0.00902),"")</f>
        <v>0.10824</v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49.442000000000007</v>
      </c>
      <c r="BN310" s="78">
        <f t="shared" si="55"/>
        <v>50.28</v>
      </c>
      <c r="BO310" s="78">
        <f t="shared" si="56"/>
        <v>8.9393939393939401E-2</v>
      </c>
      <c r="BP310" s="78">
        <f t="shared" si="57"/>
        <v>9.0909090909090912E-2</v>
      </c>
    </row>
    <row r="311" spans="1:68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20.8</v>
      </c>
      <c r="Y311" s="43">
        <f>IFERROR(Y304/H304,"0")+IFERROR(Y305/H305,"0")+IFERROR(Y306/H306,"0")+IFERROR(Y307/H307,"0")+IFERROR(Y308/H308,"0")+IFERROR(Y309/H309,"0")+IFERROR(Y310/H310,"0")</f>
        <v>21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0.18942000000000001</v>
      </c>
      <c r="AA311" s="67"/>
      <c r="AB311" s="67"/>
      <c r="AC311" s="67"/>
    </row>
    <row r="312" spans="1:68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83.2</v>
      </c>
      <c r="Y312" s="43">
        <f>IFERROR(SUM(Y304:Y310),"0")</f>
        <v>84</v>
      </c>
      <c r="Z312" s="42"/>
      <c r="AA312" s="67"/>
      <c r="AB312" s="67"/>
      <c r="AC312" s="67"/>
    </row>
    <row r="313" spans="1:68" ht="14.25" hidden="1" customHeight="1" x14ac:dyDescent="0.25">
      <c r="A313" s="664" t="s">
        <v>155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539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356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550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122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566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86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20</v>
      </c>
      <c r="Y340" s="55">
        <f>IFERROR(IF(X340="",0,CEILING((X340/$H340),1)*$H340),"")</f>
        <v>21.599999999999998</v>
      </c>
      <c r="Z340" s="41">
        <f>IFERROR(IF(Y340=0,"",ROUNDUP(Y340/H340,0)*0.00651),"")</f>
        <v>5.8590000000000003E-2</v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21.5</v>
      </c>
      <c r="BN340" s="78">
        <f>IFERROR(Y340*I340/H340,"0")</f>
        <v>23.22</v>
      </c>
      <c r="BO340" s="78">
        <f>IFERROR(1/J340*(X340/H340),"0")</f>
        <v>4.5787545787545791E-2</v>
      </c>
      <c r="BP340" s="78">
        <f>IFERROR(1/J340*(Y340/H340),"0")</f>
        <v>4.9450549450549455E-2</v>
      </c>
    </row>
    <row r="341" spans="1:68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8.3333333333333339</v>
      </c>
      <c r="Y341" s="43">
        <f>IFERROR(Y338/H338,"0")+IFERROR(Y339/H339,"0")+IFERROR(Y340/H340,"0")</f>
        <v>9</v>
      </c>
      <c r="Z341" s="43">
        <f>IFERROR(IF(Z338="",0,Z338),"0")+IFERROR(IF(Z339="",0,Z339),"0")+IFERROR(IF(Z340="",0,Z340),"0")</f>
        <v>5.8590000000000003E-2</v>
      </c>
      <c r="AA341" s="67"/>
      <c r="AB341" s="67"/>
      <c r="AC341" s="67"/>
    </row>
    <row r="342" spans="1:68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20</v>
      </c>
      <c r="Y342" s="43">
        <f>IFERROR(SUM(Y338:Y340),"0")</f>
        <v>21.599999999999998</v>
      </c>
      <c r="Z342" s="42"/>
      <c r="AA342" s="67"/>
      <c r="AB342" s="67"/>
      <c r="AC342" s="67"/>
    </row>
    <row r="343" spans="1:68" ht="16.5" hidden="1" customHeight="1" x14ac:dyDescent="0.25">
      <c r="A343" s="663" t="s">
        <v>575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77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86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customHeight="1" x14ac:dyDescent="0.25">
      <c r="A353" s="63" t="s">
        <v>590</v>
      </c>
      <c r="B353" s="63" t="s">
        <v>591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75.599999999999994</v>
      </c>
      <c r="Y353" s="55">
        <f>IFERROR(IF(X353="",0,CEILING((X353/$H353),1)*$H353),"")</f>
        <v>75.600000000000009</v>
      </c>
      <c r="Z353" s="41">
        <f>IFERROR(IF(Y353=0,"",ROUNDUP(Y353/H353,0)*0.00902),"")</f>
        <v>0.18942000000000001</v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79.59</v>
      </c>
      <c r="BN353" s="78">
        <f>IFERROR(Y353*I353/H353,"0")</f>
        <v>79.590000000000018</v>
      </c>
      <c r="BO353" s="78">
        <f>IFERROR(1/J353*(X353/H353),"0")</f>
        <v>0.15909090909090906</v>
      </c>
      <c r="BP353" s="78">
        <f>IFERROR(1/J353*(Y353/H353),"0")</f>
        <v>0.15909090909090912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20.999999999999996</v>
      </c>
      <c r="Y355" s="43">
        <f>IFERROR(Y353/H353,"0")+IFERROR(Y354/H354,"0")</f>
        <v>21.000000000000004</v>
      </c>
      <c r="Z355" s="43">
        <f>IFERROR(IF(Z353="",0,Z353),"0")+IFERROR(IF(Z354="",0,Z354),"0")</f>
        <v>0.18942000000000001</v>
      </c>
      <c r="AA355" s="67"/>
      <c r="AB355" s="67"/>
      <c r="AC355" s="67"/>
    </row>
    <row r="356" spans="1:68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75.599999999999994</v>
      </c>
      <c r="Y356" s="43">
        <f>IFERROR(SUM(Y353:Y354),"0")</f>
        <v>75.600000000000009</v>
      </c>
      <c r="Z356" s="42"/>
      <c r="AA356" s="67"/>
      <c r="AB356" s="67"/>
      <c r="AC356" s="67"/>
    </row>
    <row r="357" spans="1:68" ht="16.5" hidden="1" customHeight="1" x14ac:dyDescent="0.25">
      <c r="A357" s="663" t="s">
        <v>596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122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605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122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77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42.7</v>
      </c>
      <c r="Y379" s="55">
        <f t="shared" si="63"/>
        <v>44.1</v>
      </c>
      <c r="Z379" s="41">
        <f>IFERROR(IF(Y379=0,"",ROUNDUP(Y379/H379,0)*0.00502),"")</f>
        <v>0.10542</v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44.733333333333334</v>
      </c>
      <c r="BN379" s="78">
        <f t="shared" si="65"/>
        <v>46.2</v>
      </c>
      <c r="BO379" s="78">
        <f t="shared" si="66"/>
        <v>8.68945868945869E-2</v>
      </c>
      <c r="BP379" s="78">
        <f t="shared" si="67"/>
        <v>8.9743589743589758E-2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40.799999999999997</v>
      </c>
      <c r="Y381" s="55">
        <f t="shared" si="63"/>
        <v>41.4</v>
      </c>
      <c r="Z381" s="41">
        <f>IFERROR(IF(Y381=0,"",ROUNDUP(Y381/H381,0)*0.00651),"")</f>
        <v>0.14973</v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45.967999999999996</v>
      </c>
      <c r="BN381" s="78">
        <f t="shared" si="65"/>
        <v>46.643999999999998</v>
      </c>
      <c r="BO381" s="78">
        <f t="shared" si="66"/>
        <v>0.12454212454212454</v>
      </c>
      <c r="BP381" s="78">
        <f t="shared" si="67"/>
        <v>0.1263736263736264</v>
      </c>
    </row>
    <row r="382" spans="1:68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43</v>
      </c>
      <c r="Y382" s="43">
        <f>IFERROR(Y375/H375,"0")+IFERROR(Y376/H376,"0")+IFERROR(Y377/H377,"0")+IFERROR(Y378/H378,"0")+IFERROR(Y379/H379,"0")+IFERROR(Y380/H380,"0")+IFERROR(Y381/H381,"0")</f>
        <v>44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0.25514999999999999</v>
      </c>
      <c r="AA382" s="67"/>
      <c r="AB382" s="67"/>
      <c r="AC382" s="67"/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83.5</v>
      </c>
      <c r="Y383" s="43">
        <f>IFERROR(SUM(Y375:Y381),"0")</f>
        <v>85.5</v>
      </c>
      <c r="Z383" s="42"/>
      <c r="AA383" s="67"/>
      <c r="AB383" s="67"/>
      <c r="AC383" s="67"/>
    </row>
    <row r="384" spans="1:68" ht="14.25" hidden="1" customHeight="1" x14ac:dyDescent="0.25">
      <c r="A384" s="664" t="s">
        <v>86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173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289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671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678</v>
      </c>
      <c r="B407" s="63" t="s">
        <v>679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36</v>
      </c>
      <c r="Y407" s="55">
        <f>IFERROR(IF(X407="",0,CEILING((X407/$H407),1)*$H407),"")</f>
        <v>36</v>
      </c>
      <c r="Z407" s="41">
        <f>IFERROR(IF(Y407=0,"",ROUNDUP(Y407/H407,0)*0.00474),"")</f>
        <v>8.5320000000000007E-2</v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40.320000000000007</v>
      </c>
      <c r="BN407" s="78">
        <f>IFERROR(Y407*I407/H407,"0")</f>
        <v>40.320000000000007</v>
      </c>
      <c r="BO407" s="78">
        <f>IFERROR(1/J407*(X407/H407),"0")</f>
        <v>7.5630252100840331E-2</v>
      </c>
      <c r="BP407" s="78">
        <f>IFERROR(1/J407*(Y407/H407),"0")</f>
        <v>7.5630252100840331E-2</v>
      </c>
    </row>
    <row r="408" spans="1:68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18</v>
      </c>
      <c r="Y408" s="43">
        <f>IFERROR(Y405/H405,"0")+IFERROR(Y406/H406,"0")+IFERROR(Y407/H407,"0")</f>
        <v>18</v>
      </c>
      <c r="Z408" s="43">
        <f>IFERROR(IF(Z405="",0,Z405),"0")+IFERROR(IF(Z406="",0,Z406),"0")+IFERROR(IF(Z407="",0,Z407),"0")</f>
        <v>8.5320000000000007E-2</v>
      </c>
      <c r="AA408" s="67"/>
      <c r="AB408" s="67"/>
      <c r="AC408" s="67"/>
    </row>
    <row r="409" spans="1:68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36</v>
      </c>
      <c r="Y409" s="43">
        <f>IFERROR(SUM(Y405:Y407),"0")</f>
        <v>36</v>
      </c>
      <c r="Z409" s="42"/>
      <c r="AA409" s="67"/>
      <c r="AB409" s="67"/>
      <c r="AC409" s="67"/>
    </row>
    <row r="410" spans="1:68" ht="14.25" hidden="1" customHeight="1" x14ac:dyDescent="0.25">
      <c r="A410" s="664" t="s">
        <v>680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689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86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696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86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706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122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hidden="1" customHeight="1" x14ac:dyDescent="0.25">
      <c r="A433" s="63" t="s">
        <v>711</v>
      </c>
      <c r="B433" s="63" t="s">
        <v>712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customHeight="1" x14ac:dyDescent="0.25">
      <c r="A439" s="63" t="s">
        <v>729</v>
      </c>
      <c r="B439" s="63" t="s">
        <v>730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59.5</v>
      </c>
      <c r="Y439" s="55">
        <f t="shared" si="68"/>
        <v>60</v>
      </c>
      <c r="Z439" s="41">
        <f>IFERROR(IF(Y439=0,"",ROUNDUP(Y439/H439,0)*0.00902),"")</f>
        <v>0.10824</v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61.761000000000003</v>
      </c>
      <c r="BN439" s="78">
        <f t="shared" si="70"/>
        <v>62.280000000000008</v>
      </c>
      <c r="BO439" s="78">
        <f t="shared" si="71"/>
        <v>9.0151515151515163E-2</v>
      </c>
      <c r="BP439" s="78">
        <f t="shared" si="72"/>
        <v>9.0909090909090912E-2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11.9</v>
      </c>
      <c r="Y440" s="43">
        <f>IFERROR(Y432/H432,"0")+IFERROR(Y433/H433,"0")+IFERROR(Y434/H434,"0")+IFERROR(Y435/H435,"0")+IFERROR(Y436/H436,"0")+IFERROR(Y437/H437,"0")+IFERROR(Y438/H438,"0")+IFERROR(Y439/H439,"0")</f>
        <v>12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0.10824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59.5</v>
      </c>
      <c r="Y441" s="43">
        <f>IFERROR(SUM(Y432:Y439),"0")</f>
        <v>60</v>
      </c>
      <c r="Z441" s="42"/>
      <c r="AA441" s="67"/>
      <c r="AB441" s="67"/>
      <c r="AC441" s="67"/>
    </row>
    <row r="442" spans="1:68" ht="14.25" hidden="1" customHeight="1" x14ac:dyDescent="0.25">
      <c r="A442" s="664" t="s">
        <v>155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738</v>
      </c>
      <c r="B445" s="63" t="s">
        <v>739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28</v>
      </c>
      <c r="Y445" s="55">
        <f>IFERROR(IF(X445="",0,CEILING((X445/$H445),1)*$H445),"")</f>
        <v>28</v>
      </c>
      <c r="Z445" s="41">
        <f>IFERROR(IF(Y445=0,"",ROUNDUP(Y445/H445,0)*0.00902),"")</f>
        <v>6.3140000000000002E-2</v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29.330000000000002</v>
      </c>
      <c r="BN445" s="78">
        <f>IFERROR(Y445*I445/H445,"0")</f>
        <v>29.330000000000002</v>
      </c>
      <c r="BO445" s="78">
        <f>IFERROR(1/J445*(X445/H445),"0")</f>
        <v>5.3030303030303032E-2</v>
      </c>
      <c r="BP445" s="78">
        <f>IFERROR(1/J445*(Y445/H445),"0")</f>
        <v>5.3030303030303032E-2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7</v>
      </c>
      <c r="Y446" s="43">
        <f>IFERROR(Y443/H443,"0")+IFERROR(Y444/H444,"0")+IFERROR(Y445/H445,"0")</f>
        <v>7</v>
      </c>
      <c r="Z446" s="43">
        <f>IFERROR(IF(Z443="",0,Z443),"0")+IFERROR(IF(Z444="",0,Z444),"0")+IFERROR(IF(Z445="",0,Z445),"0")</f>
        <v>6.3140000000000002E-2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28</v>
      </c>
      <c r="Y447" s="43">
        <f>IFERROR(SUM(Y443:Y445),"0")</f>
        <v>28</v>
      </c>
      <c r="Z447" s="42"/>
      <c r="AA447" s="67"/>
      <c r="AB447" s="67"/>
      <c r="AC447" s="67"/>
    </row>
    <row r="448" spans="1:68" ht="14.25" hidden="1" customHeight="1" x14ac:dyDescent="0.25">
      <c r="A448" s="664" t="s">
        <v>86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173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756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122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77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86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765</v>
      </c>
      <c r="B470" s="63" t="s">
        <v>766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772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773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77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customHeight="1" x14ac:dyDescent="0.25">
      <c r="A480" s="63" t="s">
        <v>780</v>
      </c>
      <c r="B480" s="63" t="s">
        <v>781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21</v>
      </c>
      <c r="Y480" s="55">
        <f t="shared" si="73"/>
        <v>21</v>
      </c>
      <c r="Z480" s="41">
        <f>IFERROR(IF(Y480=0,"",ROUNDUP(Y480/H480,0)*0.00502),"")</f>
        <v>5.0200000000000002E-2</v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22.299999999999997</v>
      </c>
      <c r="BN480" s="78">
        <f t="shared" si="75"/>
        <v>22.299999999999997</v>
      </c>
      <c r="BO480" s="78">
        <f t="shared" si="76"/>
        <v>4.2735042735042736E-2</v>
      </c>
      <c r="BP480" s="78">
        <f t="shared" si="77"/>
        <v>4.2735042735042736E-2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customHeight="1" x14ac:dyDescent="0.25">
      <c r="A483" s="63" t="s">
        <v>788</v>
      </c>
      <c r="B483" s="63" t="s">
        <v>789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10.5</v>
      </c>
      <c r="Y483" s="55">
        <f t="shared" si="73"/>
        <v>10.5</v>
      </c>
      <c r="Z483" s="41">
        <f>IFERROR(IF(Y483=0,"",ROUNDUP(Y483/H483,0)*0.00502),"")</f>
        <v>2.5100000000000001E-2</v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11.149999999999999</v>
      </c>
      <c r="BN483" s="78">
        <f t="shared" si="75"/>
        <v>11.149999999999999</v>
      </c>
      <c r="BO483" s="78">
        <f t="shared" si="76"/>
        <v>2.1367521367521368E-2</v>
      </c>
      <c r="BP483" s="78">
        <f t="shared" si="77"/>
        <v>2.1367521367521368E-2</v>
      </c>
    </row>
    <row r="484" spans="1:68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15</v>
      </c>
      <c r="Y484" s="43">
        <f>IFERROR(Y478/H478,"0")+IFERROR(Y479/H479,"0")+IFERROR(Y480/H480,"0")+IFERROR(Y481/H481,"0")+IFERROR(Y482/H482,"0")+IFERROR(Y483/H483,"0")</f>
        <v>15</v>
      </c>
      <c r="Z484" s="43">
        <f>IFERROR(IF(Z478="",0,Z478),"0")+IFERROR(IF(Z479="",0,Z479),"0")+IFERROR(IF(Z480="",0,Z480),"0")+IFERROR(IF(Z481="",0,Z481),"0")+IFERROR(IF(Z482="",0,Z482),"0")+IFERROR(IF(Z483="",0,Z483),"0")</f>
        <v>7.5300000000000006E-2</v>
      </c>
      <c r="AA484" s="67"/>
      <c r="AB484" s="67"/>
      <c r="AC484" s="67"/>
    </row>
    <row r="485" spans="1:68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31.5</v>
      </c>
      <c r="Y485" s="43">
        <f>IFERROR(SUM(Y478:Y483),"0")</f>
        <v>31.5</v>
      </c>
      <c r="Z485" s="42"/>
      <c r="AA485" s="67"/>
      <c r="AB485" s="67"/>
      <c r="AC485" s="67"/>
    </row>
    <row r="486" spans="1:68" ht="14.25" hidden="1" customHeight="1" x14ac:dyDescent="0.25">
      <c r="A486" s="664" t="s">
        <v>86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customHeight="1" x14ac:dyDescent="0.25">
      <c r="A487" s="63" t="s">
        <v>790</v>
      </c>
      <c r="B487" s="63" t="s">
        <v>791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45</v>
      </c>
      <c r="Y487" s="55">
        <f>IFERROR(IF(X487="",0,CEILING((X487/$H487),1)*$H487),"")</f>
        <v>45.6</v>
      </c>
      <c r="Z487" s="41">
        <f>IFERROR(IF(Y487=0,"",ROUNDUP(Y487/H487,0)*0.00902),"")</f>
        <v>0.17138</v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49.237500000000004</v>
      </c>
      <c r="BN487" s="78">
        <f>IFERROR(Y487*I487/H487,"0")</f>
        <v>49.893999999999998</v>
      </c>
      <c r="BO487" s="78">
        <f>IFERROR(1/J487*(X487/H487),"0")</f>
        <v>0.14204545454545456</v>
      </c>
      <c r="BP487" s="78">
        <f>IFERROR(1/J487*(Y487/H487),"0")</f>
        <v>0.14393939393939395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18.75</v>
      </c>
      <c r="Y489" s="43">
        <f>IFERROR(Y487/H487,"0")+IFERROR(Y488/H488,"0")</f>
        <v>19</v>
      </c>
      <c r="Z489" s="43">
        <f>IFERROR(IF(Z487="",0,Z487),"0")+IFERROR(IF(Z488="",0,Z488),"0")</f>
        <v>0.17138</v>
      </c>
      <c r="AA489" s="67"/>
      <c r="AB489" s="67"/>
      <c r="AC489" s="67"/>
    </row>
    <row r="490" spans="1:68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45</v>
      </c>
      <c r="Y490" s="43">
        <f>IFERROR(SUM(Y487:Y488),"0")</f>
        <v>45.6</v>
      </c>
      <c r="Z490" s="42"/>
      <c r="AA490" s="67"/>
      <c r="AB490" s="67"/>
      <c r="AC490" s="67"/>
    </row>
    <row r="491" spans="1:68" ht="16.5" hidden="1" customHeight="1" x14ac:dyDescent="0.25">
      <c r="A491" s="663" t="s">
        <v>796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155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77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808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808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122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customHeight="1" x14ac:dyDescent="0.25">
      <c r="A512" s="63" t="s">
        <v>828</v>
      </c>
      <c r="B512" s="63" t="s">
        <v>829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162</v>
      </c>
      <c r="Y512" s="55">
        <f t="shared" si="78"/>
        <v>163.19999999999999</v>
      </c>
      <c r="Z512" s="41">
        <f>IFERROR(IF(Y512=0,"",ROUNDUP(Y512/H512,0)*0.00902),"")</f>
        <v>0.30668000000000001</v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233.21250000000003</v>
      </c>
      <c r="BN512" s="78">
        <f t="shared" si="81"/>
        <v>234.94</v>
      </c>
      <c r="BO512" s="78">
        <f t="shared" si="82"/>
        <v>0.25568181818181818</v>
      </c>
      <c r="BP512" s="78">
        <f t="shared" si="83"/>
        <v>0.25757575757575757</v>
      </c>
    </row>
    <row r="513" spans="1:68" ht="27" customHeight="1" x14ac:dyDescent="0.25">
      <c r="A513" s="63" t="s">
        <v>830</v>
      </c>
      <c r="B513" s="63" t="s">
        <v>831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180</v>
      </c>
      <c r="Y513" s="55">
        <f t="shared" si="78"/>
        <v>182.4</v>
      </c>
      <c r="Z513" s="41">
        <f>IFERROR(IF(Y513=0,"",ROUNDUP(Y513/H513,0)*0.00902),"")</f>
        <v>0.34276000000000001</v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259.125</v>
      </c>
      <c r="BN513" s="78">
        <f t="shared" si="81"/>
        <v>262.58000000000004</v>
      </c>
      <c r="BO513" s="78">
        <f t="shared" si="82"/>
        <v>0.28409090909090912</v>
      </c>
      <c r="BP513" s="78">
        <f t="shared" si="83"/>
        <v>0.2878787878787879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71.25</v>
      </c>
      <c r="Y514" s="43">
        <f>IFERROR(Y505/H505,"0")+IFERROR(Y506/H506,"0")+IFERROR(Y507/H507,"0")+IFERROR(Y508/H508,"0")+IFERROR(Y509/H509,"0")+IFERROR(Y510/H510,"0")+IFERROR(Y511/H511,"0")+IFERROR(Y512/H512,"0")+IFERROR(Y513/H513,"0")</f>
        <v>72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0.64944000000000002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342</v>
      </c>
      <c r="Y515" s="43">
        <f>IFERROR(SUM(Y505:Y513),"0")</f>
        <v>345.6</v>
      </c>
      <c r="Z515" s="42"/>
      <c r="AA515" s="67"/>
      <c r="AB515" s="67"/>
      <c r="AC515" s="67"/>
    </row>
    <row r="516" spans="1:68" ht="14.25" hidden="1" customHeight="1" x14ac:dyDescent="0.25">
      <c r="A516" s="664" t="s">
        <v>155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832</v>
      </c>
      <c r="B517" s="63" t="s">
        <v>833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77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855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855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122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155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77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86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173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874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155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1552.02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1564.1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1803.3363333333334</v>
      </c>
      <c r="Y561" s="43">
        <f>IFERROR(SUM(BN22:BN557),"0")</f>
        <v>1817.7380000000003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4</v>
      </c>
      <c r="Y562" s="44">
        <f>ROUNDUP(SUM(BP22:BP557),0)</f>
        <v>4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1903.3363333333334</v>
      </c>
      <c r="Y563" s="43">
        <f>GrossWeightTotalR+PalletQtyTotalR*25</f>
        <v>1917.7380000000003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550.93333333333328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556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3.9129900000000006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654" t="s">
        <v>120</v>
      </c>
      <c r="E567" s="654" t="s">
        <v>120</v>
      </c>
      <c r="F567" s="654" t="s">
        <v>120</v>
      </c>
      <c r="G567" s="654" t="s">
        <v>120</v>
      </c>
      <c r="H567" s="654" t="s">
        <v>120</v>
      </c>
      <c r="I567" s="654" t="s">
        <v>120</v>
      </c>
      <c r="J567" s="654" t="s">
        <v>120</v>
      </c>
      <c r="K567" s="654" t="s">
        <v>360</v>
      </c>
      <c r="L567" s="654" t="s">
        <v>360</v>
      </c>
      <c r="M567" s="654" t="s">
        <v>360</v>
      </c>
      <c r="N567" s="655"/>
      <c r="O567" s="654" t="s">
        <v>360</v>
      </c>
      <c r="P567" s="654" t="s">
        <v>360</v>
      </c>
      <c r="Q567" s="654" t="s">
        <v>360</v>
      </c>
      <c r="R567" s="654" t="s">
        <v>360</v>
      </c>
      <c r="S567" s="654" t="s">
        <v>360</v>
      </c>
      <c r="T567" s="654" t="s">
        <v>360</v>
      </c>
      <c r="U567" s="654" t="s">
        <v>360</v>
      </c>
      <c r="V567" s="654" t="s">
        <v>360</v>
      </c>
      <c r="W567" s="654" t="s">
        <v>706</v>
      </c>
      <c r="X567" s="654" t="s">
        <v>706</v>
      </c>
      <c r="Y567" s="654" t="s">
        <v>772</v>
      </c>
      <c r="Z567" s="654" t="s">
        <v>772</v>
      </c>
      <c r="AA567" s="85" t="s">
        <v>808</v>
      </c>
      <c r="AB567" s="654" t="s">
        <v>855</v>
      </c>
      <c r="AC567" s="654" t="s">
        <v>855</v>
      </c>
      <c r="AF567" s="1"/>
    </row>
    <row r="568" spans="1:32" ht="14.25" customHeight="1" thickTop="1" x14ac:dyDescent="0.2">
      <c r="A568" s="656" t="s">
        <v>10</v>
      </c>
      <c r="B568" s="654" t="s">
        <v>76</v>
      </c>
      <c r="C568" s="654" t="s">
        <v>104</v>
      </c>
      <c r="D568" s="654" t="s">
        <v>121</v>
      </c>
      <c r="E568" s="654" t="s">
        <v>137</v>
      </c>
      <c r="F568" s="654" t="s">
        <v>182</v>
      </c>
      <c r="G568" s="654" t="s">
        <v>209</v>
      </c>
      <c r="H568" s="654" t="s">
        <v>260</v>
      </c>
      <c r="I568" s="654" t="s">
        <v>273</v>
      </c>
      <c r="J568" s="654" t="s">
        <v>120</v>
      </c>
      <c r="K568" s="654" t="s">
        <v>361</v>
      </c>
      <c r="L568" s="654" t="s">
        <v>382</v>
      </c>
      <c r="M568" s="654" t="s">
        <v>449</v>
      </c>
      <c r="N568" s="1"/>
      <c r="O568" s="654" t="s">
        <v>517</v>
      </c>
      <c r="P568" s="654" t="s">
        <v>550</v>
      </c>
      <c r="Q568" s="654" t="s">
        <v>566</v>
      </c>
      <c r="R568" s="654" t="s">
        <v>575</v>
      </c>
      <c r="S568" s="654" t="s">
        <v>596</v>
      </c>
      <c r="T568" s="654" t="s">
        <v>605</v>
      </c>
      <c r="U568" s="654" t="s">
        <v>689</v>
      </c>
      <c r="V568" s="654" t="s">
        <v>696</v>
      </c>
      <c r="W568" s="654" t="s">
        <v>707</v>
      </c>
      <c r="X568" s="654" t="s">
        <v>756</v>
      </c>
      <c r="Y568" s="654" t="s">
        <v>773</v>
      </c>
      <c r="Z568" s="654" t="s">
        <v>796</v>
      </c>
      <c r="AA568" s="654" t="s">
        <v>808</v>
      </c>
      <c r="AB568" s="654" t="s">
        <v>855</v>
      </c>
      <c r="AC568" s="654" t="s">
        <v>874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144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88.2</v>
      </c>
      <c r="F570" s="52">
        <f>IFERROR(Y85*1,"0")+IFERROR(Y86*1,"0")+IFERROR(Y87*1,"0")+IFERROR(Y88*1,"0")+IFERROR(Y89*1,"0")+IFERROR(Y93*1,"0")+IFERROR(Y94*1,"0")+IFERROR(Y95*1,"0")+IFERROR(Y96*1,"0")+IFERROR(Y97*1,"0")+IFERROR(Y98*1,"0")</f>
        <v>145.19999999999999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68.5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16.8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288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84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21.599999999999998</v>
      </c>
      <c r="R570" s="52">
        <f>IFERROR(Y345*1,"0")+IFERROR(Y346*1,"0")+IFERROR(Y347*1,"0")+IFERROR(Y348*1,"0")+IFERROR(Y349*1,"0")+IFERROR(Y353*1,"0")+IFERROR(Y354*1,"0")</f>
        <v>75.600000000000009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121.5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88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77.099999999999994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345.6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uSRBYg9xXxrqv8C90DM9Oa/rj+1Bqi3tPUiyCoNW5CabgOmyR0nnyTmgsnQfcB03dcsrj3mCZtUJ4KlxAYg7TQ==" saltValue="qaAKLlgLjq8YotU9e/xdJA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52,02"/>
        <filter val="1 803,34"/>
        <filter val="1 903,34"/>
        <filter val="10,00"/>
        <filter val="10,20"/>
        <filter val="10,50"/>
        <filter val="11,90"/>
        <filter val="120,00"/>
        <filter val="135,00"/>
        <filter val="144,00"/>
        <filter val="15,00"/>
        <filter val="15,92"/>
        <filter val="162,00"/>
        <filter val="168,00"/>
        <filter val="18,00"/>
        <filter val="18,75"/>
        <filter val="180,00"/>
        <filter val="19,90"/>
        <filter val="20,00"/>
        <filter val="20,80"/>
        <filter val="21,00"/>
        <filter val="22,00"/>
        <filter val="23,33"/>
        <filter val="25,67"/>
        <filter val="28,00"/>
        <filter val="288,00"/>
        <filter val="3,00"/>
        <filter val="3,30"/>
        <filter val="31,50"/>
        <filter val="342,00"/>
        <filter val="36,00"/>
        <filter val="4"/>
        <filter val="40,80"/>
        <filter val="42,00"/>
        <filter val="42,70"/>
        <filter val="43,00"/>
        <filter val="45,00"/>
        <filter val="47,20"/>
        <filter val="50,00"/>
        <filter val="550,93"/>
        <filter val="59,50"/>
        <filter val="6,00"/>
        <filter val="69,30"/>
        <filter val="7,00"/>
        <filter val="7,52"/>
        <filter val="71,25"/>
        <filter val="75,60"/>
        <filter val="8,33"/>
        <filter val="8,40"/>
        <filter val="83,20"/>
        <filter val="83,5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8" spans="2:8" x14ac:dyDescent="0.2">
      <c r="B8" s="53" t="s">
        <v>887</v>
      </c>
      <c r="C8" s="53" t="s">
        <v>888</v>
      </c>
      <c r="D8" s="53" t="s">
        <v>889</v>
      </c>
      <c r="E8" s="53" t="s">
        <v>46</v>
      </c>
    </row>
    <row r="10" spans="2:8" x14ac:dyDescent="0.2">
      <c r="B10" s="53" t="s">
        <v>890</v>
      </c>
      <c r="C10" s="53" t="s">
        <v>882</v>
      </c>
      <c r="D10" s="53" t="s">
        <v>46</v>
      </c>
      <c r="E10" s="53" t="s">
        <v>46</v>
      </c>
    </row>
    <row r="12" spans="2:8" x14ac:dyDescent="0.2">
      <c r="B12" s="53" t="s">
        <v>891</v>
      </c>
      <c r="C12" s="53" t="s">
        <v>885</v>
      </c>
      <c r="D12" s="53" t="s">
        <v>46</v>
      </c>
      <c r="E12" s="53" t="s">
        <v>46</v>
      </c>
    </row>
    <row r="14" spans="2:8" x14ac:dyDescent="0.2">
      <c r="B14" s="53" t="s">
        <v>892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893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901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902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903</v>
      </c>
      <c r="C26" s="53" t="s">
        <v>46</v>
      </c>
      <c r="D26" s="53" t="s">
        <v>46</v>
      </c>
      <c r="E26" s="53" t="s">
        <v>46</v>
      </c>
    </row>
  </sheetData>
  <sheetProtection algorithmName="SHA-512" hashValue="3FsORioM+sqRC4kELcvd8fyeJJF6ogeS3manYWGYj1hDADyuVh7eyPm8oM8mrTMoTi4pcOd2UTH0cvwJ6fcA7Q==" saltValue="K+jVcJupVfPn2ZbB5XP8r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2026-08-28T14:02:38Z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