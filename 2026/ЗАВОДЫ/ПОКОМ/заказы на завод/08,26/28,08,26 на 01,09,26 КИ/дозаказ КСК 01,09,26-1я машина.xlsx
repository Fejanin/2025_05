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FE72EE3-0D06-48FC-AEA1-D32BFA59AA8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N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N272" i="2"/>
  <c r="BM272" i="2"/>
  <c r="Z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Y241" i="2" s="1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P201" i="2"/>
  <c r="BO201" i="2"/>
  <c r="BM201" i="2"/>
  <c r="Y201" i="2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Z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P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P64" i="2"/>
  <c r="BO64" i="2"/>
  <c r="BN64" i="2"/>
  <c r="BM64" i="2"/>
  <c r="Z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Z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560" i="2" s="1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Y81" i="2" l="1"/>
  <c r="Z31" i="2"/>
  <c r="Z59" i="2"/>
  <c r="BN59" i="2"/>
  <c r="BP85" i="2"/>
  <c r="Z106" i="2"/>
  <c r="BN106" i="2"/>
  <c r="Z126" i="2"/>
  <c r="Z169" i="2"/>
  <c r="BN169" i="2"/>
  <c r="BP262" i="2"/>
  <c r="Z279" i="2"/>
  <c r="BN279" i="2"/>
  <c r="Z291" i="2"/>
  <c r="BN291" i="2"/>
  <c r="Z379" i="2"/>
  <c r="BN23" i="2"/>
  <c r="BP27" i="2"/>
  <c r="Z37" i="2"/>
  <c r="BP39" i="2"/>
  <c r="BN40" i="2"/>
  <c r="Z48" i="2"/>
  <c r="Z49" i="2"/>
  <c r="BN49" i="2"/>
  <c r="Z56" i="2"/>
  <c r="BP58" i="2"/>
  <c r="Z67" i="2"/>
  <c r="BN77" i="2"/>
  <c r="Z95" i="2"/>
  <c r="BN95" i="2"/>
  <c r="BP98" i="2"/>
  <c r="G570" i="2"/>
  <c r="BP114" i="2"/>
  <c r="BN115" i="2"/>
  <c r="BN125" i="2"/>
  <c r="BN128" i="2"/>
  <c r="BN133" i="2"/>
  <c r="Y135" i="2"/>
  <c r="BP139" i="2"/>
  <c r="BN143" i="2"/>
  <c r="BN157" i="2"/>
  <c r="BN181" i="2"/>
  <c r="Z183" i="2"/>
  <c r="Z184" i="2"/>
  <c r="BN184" i="2"/>
  <c r="BN229" i="2"/>
  <c r="BN238" i="2"/>
  <c r="BN246" i="2"/>
  <c r="BN252" i="2"/>
  <c r="Y280" i="2"/>
  <c r="BN289" i="2"/>
  <c r="BN293" i="2"/>
  <c r="Z299" i="2"/>
  <c r="BN299" i="2"/>
  <c r="BN306" i="2"/>
  <c r="Y315" i="2"/>
  <c r="BN322" i="2"/>
  <c r="BN331" i="2"/>
  <c r="Y341" i="2"/>
  <c r="BN367" i="2"/>
  <c r="BN375" i="2"/>
  <c r="BN392" i="2"/>
  <c r="Y396" i="2"/>
  <c r="BN401" i="2"/>
  <c r="BN411" i="2"/>
  <c r="BN425" i="2"/>
  <c r="BN437" i="2"/>
  <c r="BN461" i="2"/>
  <c r="BN480" i="2"/>
  <c r="BN513" i="2"/>
  <c r="BN525" i="2"/>
  <c r="BN30" i="2"/>
  <c r="BP37" i="2"/>
  <c r="BP48" i="2"/>
  <c r="BN60" i="2"/>
  <c r="BN80" i="2"/>
  <c r="BN86" i="2"/>
  <c r="BN93" i="2"/>
  <c r="BN107" i="2"/>
  <c r="BN116" i="2"/>
  <c r="BN187" i="2"/>
  <c r="Z195" i="2"/>
  <c r="BN195" i="2"/>
  <c r="Y198" i="2"/>
  <c r="BN211" i="2"/>
  <c r="Z215" i="2"/>
  <c r="BN232" i="2"/>
  <c r="Z236" i="2"/>
  <c r="BN236" i="2"/>
  <c r="BN244" i="2"/>
  <c r="BN257" i="2"/>
  <c r="BN263" i="2"/>
  <c r="BN277" i="2"/>
  <c r="Z283" i="2"/>
  <c r="BN283" i="2"/>
  <c r="BN285" i="2"/>
  <c r="Y300" i="2"/>
  <c r="BN314" i="2"/>
  <c r="BP324" i="2"/>
  <c r="BN347" i="2"/>
  <c r="Z349" i="2"/>
  <c r="BN349" i="2"/>
  <c r="BN360" i="2"/>
  <c r="BN371" i="2"/>
  <c r="BP385" i="2"/>
  <c r="BN387" i="2"/>
  <c r="BN393" i="2"/>
  <c r="BN426" i="2"/>
  <c r="BN438" i="2"/>
  <c r="BP450" i="2"/>
  <c r="BN456" i="2"/>
  <c r="BN462" i="2"/>
  <c r="BN482" i="2"/>
  <c r="BN506" i="2"/>
  <c r="BP510" i="2"/>
  <c r="BN511" i="2"/>
  <c r="Y521" i="2"/>
  <c r="BN517" i="2"/>
  <c r="Z519" i="2"/>
  <c r="BN527" i="2"/>
  <c r="BP535" i="2"/>
  <c r="Z551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3" i="2" s="1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2" i="2" s="1"/>
  <c r="Z39" i="2"/>
  <c r="Z85" i="2"/>
  <c r="Z90" i="2" s="1"/>
  <c r="Y91" i="2"/>
  <c r="Z98" i="2"/>
  <c r="Z99" i="2" s="1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4" i="2" s="1"/>
  <c r="Z488" i="2"/>
  <c r="Z489" i="2" s="1"/>
  <c r="Z523" i="2"/>
  <c r="Z530" i="2" s="1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18" i="2" s="1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81" i="2" l="1"/>
  <c r="Z68" i="2"/>
  <c r="Z269" i="2"/>
  <c r="Z161" i="2"/>
  <c r="Z520" i="2"/>
  <c r="Z382" i="2"/>
  <c r="Z463" i="2"/>
  <c r="Z446" i="2"/>
  <c r="Z395" i="2"/>
  <c r="Z402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<sst xmlns="http://schemas.openxmlformats.org/spreadsheetml/2006/main" count="4310" uniqueCount="900">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</sst>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898</v>
      </c>
      <c r="I5" s="1001"/>
      <c r="J5" s="1001"/>
      <c r="K5" s="1001"/>
      <c r="L5" s="1001"/>
      <c r="M5" s="1001"/>
      <c r="N5" s="72"/>
      <c r="P5" s="27" t="s">
        <v>4</v>
      </c>
      <c r="Q5" s="1003">
        <v>46266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Вторник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0.375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899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700</v>
      </c>
      <c r="Y433" s="55">
        <f t="shared" si="68"/>
        <v>705</v>
      </c>
      <c r="Z433" s="41">
        <f>IFERROR(IF(Y433=0,"",ROUNDUP(Y433/H433,0)*0.02175),"")</f>
        <v>1.0222499999999999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721.93333333333328</v>
      </c>
      <c r="BN433" s="78">
        <f t="shared" si="70"/>
        <v>727.09</v>
      </c>
      <c r="BO433" s="78">
        <f t="shared" si="71"/>
        <v>0.9722222222222221</v>
      </c>
      <c r="BP433" s="78">
        <f t="shared" si="72"/>
        <v>0.97916666666666663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700</v>
      </c>
      <c r="Y434" s="55">
        <f t="shared" si="68"/>
        <v>705</v>
      </c>
      <c r="Z434" s="41">
        <f>IFERROR(IF(Y434=0,"",ROUNDUP(Y434/H434,0)*0.02175),"")</f>
        <v>1.0222499999999999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721.93333333333328</v>
      </c>
      <c r="BN434" s="78">
        <f t="shared" si="70"/>
        <v>727.09</v>
      </c>
      <c r="BO434" s="78">
        <f t="shared" si="71"/>
        <v>0.9722222222222221</v>
      </c>
      <c r="BP434" s="78">
        <f t="shared" si="72"/>
        <v>0.97916666666666663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700</v>
      </c>
      <c r="Y435" s="55">
        <f t="shared" si="68"/>
        <v>705</v>
      </c>
      <c r="Z435" s="41">
        <f>IFERROR(IF(Y435=0,"",ROUNDUP(Y435/H435,0)*0.02175),"")</f>
        <v>1.0222499999999999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721.93333333333328</v>
      </c>
      <c r="BN435" s="78">
        <f t="shared" si="70"/>
        <v>727.09</v>
      </c>
      <c r="BO435" s="78">
        <f t="shared" si="71"/>
        <v>0.9722222222222221</v>
      </c>
      <c r="BP435" s="78">
        <f t="shared" si="72"/>
        <v>0.97916666666666663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140</v>
      </c>
      <c r="Y440" s="43">
        <f>IFERROR(Y432/H432,"0")+IFERROR(Y433/H433,"0")+IFERROR(Y434/H434,"0")+IFERROR(Y435/H435,"0")+IFERROR(Y436/H436,"0")+IFERROR(Y437/H437,"0")+IFERROR(Y438/H438,"0")+IFERROR(Y439/H439,"0")</f>
        <v>141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3.0667499999999999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2100</v>
      </c>
      <c r="Y441" s="43">
        <f>IFERROR(SUM(Y432:Y439),"0")</f>
        <v>2115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2100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2115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2165.7999999999997</v>
      </c>
      <c r="Y561" s="43">
        <f>IFERROR(SUM(BN22:BN557),"0")</f>
        <v>2181.27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3</v>
      </c>
      <c r="Y562" s="44">
        <f>ROUNDUP(SUM(BP22:BP557),0)</f>
        <v>3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2240.7999999999997</v>
      </c>
      <c r="Y563" s="43">
        <f>GrossWeightTotalR+PalletQtyTotalR*25</f>
        <v>2256.27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140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141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3.0667499999999999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2115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40,00"/>
        <filter val="2 100,00"/>
        <filter val="2 165,80"/>
        <filter val="2 240,80"/>
        <filter val="3"/>
        <filter val="70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2026-09-01T06:22:32Z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