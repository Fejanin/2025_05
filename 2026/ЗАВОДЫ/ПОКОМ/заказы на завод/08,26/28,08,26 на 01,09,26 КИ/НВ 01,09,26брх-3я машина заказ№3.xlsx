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52DD019-E9BF-418A-AB11-69880D937A5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Y557" i="1"/>
  <c r="X557" i="1"/>
  <c r="BO556" i="1"/>
  <c r="BM556" i="1"/>
  <c r="Y556" i="1"/>
  <c r="AC569" i="1" s="1"/>
  <c r="P556" i="1"/>
  <c r="X553" i="1"/>
  <c r="X552" i="1"/>
  <c r="BO551" i="1"/>
  <c r="BM551" i="1"/>
  <c r="Y551" i="1"/>
  <c r="BN551" i="1" s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BN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BN517" i="1" s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BP486" i="1" s="1"/>
  <c r="P486" i="1"/>
  <c r="X484" i="1"/>
  <c r="X483" i="1"/>
  <c r="BO482" i="1"/>
  <c r="BM482" i="1"/>
  <c r="Y482" i="1"/>
  <c r="P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O455" i="1"/>
  <c r="BM455" i="1"/>
  <c r="Y455" i="1"/>
  <c r="BN455" i="1" s="1"/>
  <c r="P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Z433" i="1"/>
  <c r="Y433" i="1"/>
  <c r="BN433" i="1" s="1"/>
  <c r="P433" i="1"/>
  <c r="BO432" i="1"/>
  <c r="BM432" i="1"/>
  <c r="Y432" i="1"/>
  <c r="P432" i="1"/>
  <c r="BO431" i="1"/>
  <c r="BM431" i="1"/>
  <c r="Y431" i="1"/>
  <c r="BN431" i="1" s="1"/>
  <c r="P431" i="1"/>
  <c r="X427" i="1"/>
  <c r="X426" i="1"/>
  <c r="BO425" i="1"/>
  <c r="BM425" i="1"/>
  <c r="Z425" i="1"/>
  <c r="Y425" i="1"/>
  <c r="BN425" i="1" s="1"/>
  <c r="P425" i="1"/>
  <c r="BO424" i="1"/>
  <c r="BM424" i="1"/>
  <c r="Y424" i="1"/>
  <c r="P424" i="1"/>
  <c r="BO423" i="1"/>
  <c r="BM423" i="1"/>
  <c r="Y423" i="1"/>
  <c r="P423" i="1"/>
  <c r="X420" i="1"/>
  <c r="X419" i="1"/>
  <c r="BO418" i="1"/>
  <c r="BM418" i="1"/>
  <c r="Z418" i="1"/>
  <c r="Y418" i="1"/>
  <c r="BN418" i="1" s="1"/>
  <c r="P418" i="1"/>
  <c r="BO417" i="1"/>
  <c r="BM417" i="1"/>
  <c r="Y417" i="1"/>
  <c r="Y419" i="1" s="1"/>
  <c r="P417" i="1"/>
  <c r="X414" i="1"/>
  <c r="X413" i="1"/>
  <c r="BO412" i="1"/>
  <c r="BM412" i="1"/>
  <c r="Y412" i="1"/>
  <c r="P412" i="1"/>
  <c r="BO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BN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BN397" i="1" s="1"/>
  <c r="P397" i="1"/>
  <c r="X395" i="1"/>
  <c r="X394" i="1"/>
  <c r="BO393" i="1"/>
  <c r="BM393" i="1"/>
  <c r="Z393" i="1"/>
  <c r="Y393" i="1"/>
  <c r="BN393" i="1" s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Z387" i="1"/>
  <c r="Y387" i="1"/>
  <c r="BN387" i="1" s="1"/>
  <c r="P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Z379" i="1"/>
  <c r="Y379" i="1"/>
  <c r="BN379" i="1" s="1"/>
  <c r="P379" i="1"/>
  <c r="BO378" i="1"/>
  <c r="BM378" i="1"/>
  <c r="Y378" i="1"/>
  <c r="P378" i="1"/>
  <c r="BO377" i="1"/>
  <c r="BM377" i="1"/>
  <c r="Y377" i="1"/>
  <c r="BN377" i="1" s="1"/>
  <c r="P377" i="1"/>
  <c r="BO376" i="1"/>
  <c r="BM376" i="1"/>
  <c r="Y376" i="1"/>
  <c r="P376" i="1"/>
  <c r="BO375" i="1"/>
  <c r="BM375" i="1"/>
  <c r="Y375" i="1"/>
  <c r="BN375" i="1" s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BN369" i="1" s="1"/>
  <c r="P369" i="1"/>
  <c r="BO368" i="1"/>
  <c r="BM368" i="1"/>
  <c r="Y368" i="1"/>
  <c r="P368" i="1"/>
  <c r="BO367" i="1"/>
  <c r="BM367" i="1"/>
  <c r="Y367" i="1"/>
  <c r="BN367" i="1" s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BN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Z347" i="1"/>
  <c r="Y347" i="1"/>
  <c r="BN347" i="1" s="1"/>
  <c r="P347" i="1"/>
  <c r="BO346" i="1"/>
  <c r="BM346" i="1"/>
  <c r="Y346" i="1"/>
  <c r="P346" i="1"/>
  <c r="BO345" i="1"/>
  <c r="BM345" i="1"/>
  <c r="Y345" i="1"/>
  <c r="BN345" i="1" s="1"/>
  <c r="P345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BN338" i="1" s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BN329" i="1" s="1"/>
  <c r="P329" i="1"/>
  <c r="X326" i="1"/>
  <c r="X325" i="1"/>
  <c r="BO324" i="1"/>
  <c r="BM324" i="1"/>
  <c r="Z324" i="1"/>
  <c r="Y324" i="1"/>
  <c r="BN324" i="1" s="1"/>
  <c r="P324" i="1"/>
  <c r="BO323" i="1"/>
  <c r="BM323" i="1"/>
  <c r="Y323" i="1"/>
  <c r="P323" i="1"/>
  <c r="BO322" i="1"/>
  <c r="BM322" i="1"/>
  <c r="Y322" i="1"/>
  <c r="P322" i="1"/>
  <c r="X320" i="1"/>
  <c r="Y319" i="1"/>
  <c r="X319" i="1"/>
  <c r="BO318" i="1"/>
  <c r="BM318" i="1"/>
  <c r="Y318" i="1"/>
  <c r="Y320" i="1" s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N308" i="1" s="1"/>
  <c r="P308" i="1"/>
  <c r="BO307" i="1"/>
  <c r="BM307" i="1"/>
  <c r="Y307" i="1"/>
  <c r="P307" i="1"/>
  <c r="BO306" i="1"/>
  <c r="BM306" i="1"/>
  <c r="Y306" i="1"/>
  <c r="BN306" i="1" s="1"/>
  <c r="P306" i="1"/>
  <c r="BO305" i="1"/>
  <c r="BM305" i="1"/>
  <c r="Y305" i="1"/>
  <c r="P305" i="1"/>
  <c r="BO304" i="1"/>
  <c r="BM304" i="1"/>
  <c r="Y304" i="1"/>
  <c r="BP304" i="1" s="1"/>
  <c r="P304" i="1"/>
  <c r="X301" i="1"/>
  <c r="X300" i="1"/>
  <c r="BO299" i="1"/>
  <c r="BM299" i="1"/>
  <c r="Y299" i="1"/>
  <c r="P299" i="1"/>
  <c r="BO298" i="1"/>
  <c r="BM298" i="1"/>
  <c r="Y298" i="1"/>
  <c r="Y300" i="1" s="1"/>
  <c r="P298" i="1"/>
  <c r="X296" i="1"/>
  <c r="X295" i="1"/>
  <c r="BO294" i="1"/>
  <c r="BM294" i="1"/>
  <c r="Y294" i="1"/>
  <c r="P294" i="1"/>
  <c r="BP293" i="1"/>
  <c r="BO293" i="1"/>
  <c r="BM293" i="1"/>
  <c r="Y293" i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N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Z283" i="1"/>
  <c r="Y283" i="1"/>
  <c r="BN283" i="1" s="1"/>
  <c r="P283" i="1"/>
  <c r="X281" i="1"/>
  <c r="X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Z276" i="1"/>
  <c r="Y276" i="1"/>
  <c r="BN276" i="1" s="1"/>
  <c r="P276" i="1"/>
  <c r="BO275" i="1"/>
  <c r="BM275" i="1"/>
  <c r="Y275" i="1"/>
  <c r="P275" i="1"/>
  <c r="BO274" i="1"/>
  <c r="BM274" i="1"/>
  <c r="Y274" i="1"/>
  <c r="BN274" i="1" s="1"/>
  <c r="P274" i="1"/>
  <c r="BO273" i="1"/>
  <c r="BM273" i="1"/>
  <c r="Y273" i="1"/>
  <c r="P273" i="1"/>
  <c r="BO272" i="1"/>
  <c r="BM272" i="1"/>
  <c r="Y272" i="1"/>
  <c r="BP272" i="1" s="1"/>
  <c r="P272" i="1"/>
  <c r="X270" i="1"/>
  <c r="X269" i="1"/>
  <c r="BO268" i="1"/>
  <c r="BM268" i="1"/>
  <c r="Y268" i="1"/>
  <c r="BN268" i="1" s="1"/>
  <c r="P268" i="1"/>
  <c r="BO267" i="1"/>
  <c r="BM267" i="1"/>
  <c r="Y267" i="1"/>
  <c r="P267" i="1"/>
  <c r="X265" i="1"/>
  <c r="X264" i="1"/>
  <c r="BO263" i="1"/>
  <c r="BM263" i="1"/>
  <c r="Y263" i="1"/>
  <c r="P263" i="1"/>
  <c r="BO262" i="1"/>
  <c r="BM262" i="1"/>
  <c r="Z262" i="1"/>
  <c r="Y262" i="1"/>
  <c r="BN262" i="1" s="1"/>
  <c r="P262" i="1"/>
  <c r="X259" i="1"/>
  <c r="Y258" i="1"/>
  <c r="X258" i="1"/>
  <c r="BO257" i="1"/>
  <c r="BM257" i="1"/>
  <c r="Y257" i="1"/>
  <c r="Y259" i="1" s="1"/>
  <c r="P257" i="1"/>
  <c r="X255" i="1"/>
  <c r="X254" i="1"/>
  <c r="BO253" i="1"/>
  <c r="BM253" i="1"/>
  <c r="Y253" i="1"/>
  <c r="P253" i="1"/>
  <c r="BO252" i="1"/>
  <c r="BM252" i="1"/>
  <c r="Y252" i="1"/>
  <c r="P252" i="1"/>
  <c r="BO251" i="1"/>
  <c r="BM251" i="1"/>
  <c r="Y251" i="1"/>
  <c r="BN251" i="1" s="1"/>
  <c r="P251" i="1"/>
  <c r="X249" i="1"/>
  <c r="X248" i="1"/>
  <c r="BO247" i="1"/>
  <c r="BM247" i="1"/>
  <c r="Y247" i="1"/>
  <c r="BN247" i="1" s="1"/>
  <c r="P247" i="1"/>
  <c r="BO246" i="1"/>
  <c r="BM246" i="1"/>
  <c r="Y246" i="1"/>
  <c r="P246" i="1"/>
  <c r="BO245" i="1"/>
  <c r="BM245" i="1"/>
  <c r="Y245" i="1"/>
  <c r="BN245" i="1" s="1"/>
  <c r="P245" i="1"/>
  <c r="BO244" i="1"/>
  <c r="BM244" i="1"/>
  <c r="Y244" i="1"/>
  <c r="P244" i="1"/>
  <c r="BO243" i="1"/>
  <c r="BM243" i="1"/>
  <c r="Y243" i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Z227" i="1"/>
  <c r="Y227" i="1"/>
  <c r="BN227" i="1" s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P217" i="1"/>
  <c r="BO216" i="1"/>
  <c r="BM216" i="1"/>
  <c r="Y216" i="1"/>
  <c r="BN216" i="1" s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BN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BO189" i="1"/>
  <c r="BM189" i="1"/>
  <c r="Y189" i="1"/>
  <c r="P189" i="1"/>
  <c r="BO188" i="1"/>
  <c r="BM188" i="1"/>
  <c r="Y188" i="1"/>
  <c r="BN188" i="1" s="1"/>
  <c r="P188" i="1"/>
  <c r="BO187" i="1"/>
  <c r="BM187" i="1"/>
  <c r="Y187" i="1"/>
  <c r="P187" i="1"/>
  <c r="BO186" i="1"/>
  <c r="BM186" i="1"/>
  <c r="Y186" i="1"/>
  <c r="BP186" i="1" s="1"/>
  <c r="BO185" i="1"/>
  <c r="BM185" i="1"/>
  <c r="Y185" i="1"/>
  <c r="P185" i="1"/>
  <c r="BO184" i="1"/>
  <c r="BM184" i="1"/>
  <c r="Y184" i="1"/>
  <c r="BO183" i="1"/>
  <c r="BM183" i="1"/>
  <c r="Y183" i="1"/>
  <c r="P183" i="1"/>
  <c r="BO182" i="1"/>
  <c r="BN182" i="1"/>
  <c r="BM182" i="1"/>
  <c r="Z182" i="1"/>
  <c r="Y182" i="1"/>
  <c r="BP182" i="1" s="1"/>
  <c r="P182" i="1"/>
  <c r="BO181" i="1"/>
  <c r="BM181" i="1"/>
  <c r="Y181" i="1"/>
  <c r="P181" i="1"/>
  <c r="BO180" i="1"/>
  <c r="BM180" i="1"/>
  <c r="Z180" i="1"/>
  <c r="Y180" i="1"/>
  <c r="BN180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BN169" i="1" s="1"/>
  <c r="P169" i="1"/>
  <c r="X166" i="1"/>
  <c r="Y165" i="1"/>
  <c r="X165" i="1"/>
  <c r="BO164" i="1"/>
  <c r="BM164" i="1"/>
  <c r="Y164" i="1"/>
  <c r="Y166" i="1" s="1"/>
  <c r="P164" i="1"/>
  <c r="X162" i="1"/>
  <c r="X161" i="1"/>
  <c r="BO160" i="1"/>
  <c r="BM160" i="1"/>
  <c r="Y160" i="1"/>
  <c r="BN160" i="1" s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O156" i="1"/>
  <c r="BM156" i="1"/>
  <c r="Z156" i="1"/>
  <c r="Y156" i="1"/>
  <c r="BN156" i="1" s="1"/>
  <c r="P156" i="1"/>
  <c r="BO155" i="1"/>
  <c r="BM155" i="1"/>
  <c r="Y155" i="1"/>
  <c r="BP155" i="1" s="1"/>
  <c r="P155" i="1"/>
  <c r="BO154" i="1"/>
  <c r="BM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O143" i="1"/>
  <c r="BM143" i="1"/>
  <c r="Y143" i="1"/>
  <c r="BN143" i="1" s="1"/>
  <c r="P143" i="1"/>
  <c r="X141" i="1"/>
  <c r="X140" i="1"/>
  <c r="BO139" i="1"/>
  <c r="BM139" i="1"/>
  <c r="Y139" i="1"/>
  <c r="BN139" i="1" s="1"/>
  <c r="P139" i="1"/>
  <c r="BO138" i="1"/>
  <c r="BM138" i="1"/>
  <c r="Y138" i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O122" i="1"/>
  <c r="BM122" i="1"/>
  <c r="Y122" i="1"/>
  <c r="P122" i="1"/>
  <c r="X120" i="1"/>
  <c r="X119" i="1"/>
  <c r="BO118" i="1"/>
  <c r="BM118" i="1"/>
  <c r="Y118" i="1"/>
  <c r="BN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Z110" i="1"/>
  <c r="Y110" i="1"/>
  <c r="BN110" i="1" s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Z85" i="1"/>
  <c r="Y85" i="1"/>
  <c r="BN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BN64" i="1" s="1"/>
  <c r="P64" i="1"/>
  <c r="X62" i="1"/>
  <c r="X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BP31" i="1" l="1"/>
  <c r="BN31" i="1"/>
  <c r="Z31" i="1"/>
  <c r="BP60" i="1"/>
  <c r="BN60" i="1"/>
  <c r="Z60" i="1"/>
  <c r="BN125" i="1"/>
  <c r="BN126" i="1"/>
  <c r="Z126" i="1"/>
  <c r="BN154" i="1"/>
  <c r="Z154" i="1"/>
  <c r="BN185" i="1"/>
  <c r="Z185" i="1"/>
  <c r="BN190" i="1"/>
  <c r="Z190" i="1"/>
  <c r="BP212" i="1"/>
  <c r="BN212" i="1"/>
  <c r="Z212" i="1"/>
  <c r="BN235" i="1"/>
  <c r="Z235" i="1"/>
  <c r="BP278" i="1"/>
  <c r="BN278" i="1"/>
  <c r="Z278" i="1"/>
  <c r="BN299" i="1"/>
  <c r="Z299" i="1"/>
  <c r="BP310" i="1"/>
  <c r="BN310" i="1"/>
  <c r="Z310" i="1"/>
  <c r="BN331" i="1"/>
  <c r="Z331" i="1"/>
  <c r="Y355" i="1"/>
  <c r="Z353" i="1"/>
  <c r="BN435" i="1"/>
  <c r="Z435" i="1"/>
  <c r="BN505" i="1"/>
  <c r="BP527" i="1"/>
  <c r="BN527" i="1"/>
  <c r="Z527" i="1"/>
  <c r="BP47" i="1"/>
  <c r="BN47" i="1"/>
  <c r="Z47" i="1"/>
  <c r="BP78" i="1"/>
  <c r="BN78" i="1"/>
  <c r="Z78" i="1"/>
  <c r="BP88" i="1"/>
  <c r="BN88" i="1"/>
  <c r="Z88" i="1"/>
  <c r="BN105" i="1"/>
  <c r="Z105" i="1"/>
  <c r="BN176" i="1"/>
  <c r="BN186" i="1"/>
  <c r="BP235" i="1"/>
  <c r="BP237" i="1"/>
  <c r="BN237" i="1"/>
  <c r="Z237" i="1"/>
  <c r="BP243" i="1"/>
  <c r="BN243" i="1"/>
  <c r="Z243" i="1"/>
  <c r="BN253" i="1"/>
  <c r="Z253" i="1"/>
  <c r="BP285" i="1"/>
  <c r="BN285" i="1"/>
  <c r="Z285" i="1"/>
  <c r="BN293" i="1"/>
  <c r="Z293" i="1"/>
  <c r="BP340" i="1"/>
  <c r="BN340" i="1"/>
  <c r="Z340" i="1"/>
  <c r="BP353" i="1"/>
  <c r="BN399" i="1"/>
  <c r="Z399" i="1"/>
  <c r="BN411" i="1"/>
  <c r="BP435" i="1"/>
  <c r="BN437" i="1"/>
  <c r="BN449" i="1"/>
  <c r="Z449" i="1"/>
  <c r="BN470" i="1"/>
  <c r="BN480" i="1"/>
  <c r="B569" i="1"/>
  <c r="X561" i="1"/>
  <c r="BP85" i="1"/>
  <c r="BP110" i="1"/>
  <c r="BN116" i="1"/>
  <c r="H569" i="1"/>
  <c r="BP156" i="1"/>
  <c r="BN164" i="1"/>
  <c r="BP180" i="1"/>
  <c r="BP227" i="1"/>
  <c r="BN257" i="1"/>
  <c r="BN272" i="1"/>
  <c r="BN287" i="1"/>
  <c r="BN304" i="1"/>
  <c r="BN318" i="1"/>
  <c r="BP324" i="1"/>
  <c r="BP347" i="1"/>
  <c r="BN349" i="1"/>
  <c r="BP379" i="1"/>
  <c r="BP387" i="1"/>
  <c r="BP393" i="1"/>
  <c r="BP418" i="1"/>
  <c r="BN486" i="1"/>
  <c r="BN556" i="1"/>
  <c r="BP95" i="1"/>
  <c r="Z95" i="1"/>
  <c r="BP98" i="1"/>
  <c r="Y120" i="1"/>
  <c r="BP114" i="1"/>
  <c r="Z114" i="1"/>
  <c r="BP118" i="1"/>
  <c r="Y129" i="1"/>
  <c r="BP122" i="1"/>
  <c r="Z122" i="1"/>
  <c r="BP169" i="1"/>
  <c r="BP214" i="1"/>
  <c r="Z214" i="1"/>
  <c r="BP231" i="1"/>
  <c r="Z231" i="1"/>
  <c r="BP239" i="1"/>
  <c r="Z239" i="1"/>
  <c r="Z247" i="1"/>
  <c r="BP253" i="1"/>
  <c r="BP262" i="1"/>
  <c r="BP268" i="1"/>
  <c r="Z268" i="1"/>
  <c r="BP274" i="1"/>
  <c r="Z274" i="1"/>
  <c r="BP283" i="1"/>
  <c r="Z291" i="1"/>
  <c r="Z308" i="1"/>
  <c r="BP329" i="1"/>
  <c r="Z329" i="1"/>
  <c r="BP338" i="1"/>
  <c r="Z345" i="1"/>
  <c r="Z369" i="1"/>
  <c r="BP377" i="1"/>
  <c r="Y395" i="1"/>
  <c r="BN391" i="1"/>
  <c r="Y394" i="1"/>
  <c r="BP391" i="1"/>
  <c r="X560" i="1"/>
  <c r="X562" i="1" s="1"/>
  <c r="Z23" i="1"/>
  <c r="BP23" i="1"/>
  <c r="Y33" i="1"/>
  <c r="Z29" i="1"/>
  <c r="BP29" i="1"/>
  <c r="Z37" i="1"/>
  <c r="BP37" i="1"/>
  <c r="BN41" i="1"/>
  <c r="BN49" i="1"/>
  <c r="BN58" i="1"/>
  <c r="BN72" i="1"/>
  <c r="BN80" i="1"/>
  <c r="Z98" i="1"/>
  <c r="Z103" i="1"/>
  <c r="BP103" i="1"/>
  <c r="Z118" i="1"/>
  <c r="BP160" i="1"/>
  <c r="Z160" i="1"/>
  <c r="Z169" i="1"/>
  <c r="BP188" i="1"/>
  <c r="Z188" i="1"/>
  <c r="BP216" i="1"/>
  <c r="BP233" i="1"/>
  <c r="BP276" i="1"/>
  <c r="BP299" i="1"/>
  <c r="BP331" i="1"/>
  <c r="Z338" i="1"/>
  <c r="Z377" i="1"/>
  <c r="Z391" i="1"/>
  <c r="BP423" i="1"/>
  <c r="Z423" i="1"/>
  <c r="BP482" i="1"/>
  <c r="Z482" i="1"/>
  <c r="BP497" i="1"/>
  <c r="Z497" i="1"/>
  <c r="BP507" i="1"/>
  <c r="Z507" i="1"/>
  <c r="BP517" i="1"/>
  <c r="BP523" i="1"/>
  <c r="Z523" i="1"/>
  <c r="BP551" i="1"/>
  <c r="Y68" i="1"/>
  <c r="BN95" i="1"/>
  <c r="BN114" i="1"/>
  <c r="Z116" i="1"/>
  <c r="BN122" i="1"/>
  <c r="BP154" i="1"/>
  <c r="BP190" i="1"/>
  <c r="BP196" i="1"/>
  <c r="Z196" i="1"/>
  <c r="BN214" i="1"/>
  <c r="Z216" i="1"/>
  <c r="BN231" i="1"/>
  <c r="Z233" i="1"/>
  <c r="BP245" i="1"/>
  <c r="Z245" i="1"/>
  <c r="BP289" i="1"/>
  <c r="Z289" i="1"/>
  <c r="BP306" i="1"/>
  <c r="Z306" i="1"/>
  <c r="Y316" i="1"/>
  <c r="Y315" i="1"/>
  <c r="BN314" i="1"/>
  <c r="BP314" i="1"/>
  <c r="Y326" i="1"/>
  <c r="BN322" i="1"/>
  <c r="Y325" i="1"/>
  <c r="BP322" i="1"/>
  <c r="BP360" i="1"/>
  <c r="BP367" i="1"/>
  <c r="Z367" i="1"/>
  <c r="BP385" i="1"/>
  <c r="BP397" i="1"/>
  <c r="Z397" i="1"/>
  <c r="BP425" i="1"/>
  <c r="BP431" i="1"/>
  <c r="Z431" i="1"/>
  <c r="BP509" i="1"/>
  <c r="Z517" i="1"/>
  <c r="BP525" i="1"/>
  <c r="Z551" i="1"/>
  <c r="X559" i="1"/>
  <c r="Z41" i="1"/>
  <c r="Z49" i="1"/>
  <c r="E569" i="1"/>
  <c r="Z58" i="1"/>
  <c r="Z64" i="1"/>
  <c r="BP64" i="1"/>
  <c r="Z72" i="1"/>
  <c r="Z80" i="1"/>
  <c r="BP105" i="1"/>
  <c r="BP126" i="1"/>
  <c r="BP139" i="1"/>
  <c r="Z139" i="1"/>
  <c r="BP185" i="1"/>
  <c r="BP247" i="1"/>
  <c r="Y255" i="1"/>
  <c r="Y254" i="1"/>
  <c r="BP251" i="1"/>
  <c r="Z251" i="1"/>
  <c r="BP291" i="1"/>
  <c r="BP308" i="1"/>
  <c r="Z314" i="1"/>
  <c r="Z315" i="1" s="1"/>
  <c r="Z322" i="1"/>
  <c r="BP345" i="1"/>
  <c r="Z360" i="1"/>
  <c r="BP369" i="1"/>
  <c r="BP375" i="1"/>
  <c r="Z375" i="1"/>
  <c r="Z385" i="1"/>
  <c r="BP399" i="1"/>
  <c r="BP405" i="1"/>
  <c r="Z405" i="1"/>
  <c r="BN423" i="1"/>
  <c r="BP433" i="1"/>
  <c r="BP449" i="1"/>
  <c r="BP455" i="1"/>
  <c r="Z455" i="1"/>
  <c r="BN482" i="1"/>
  <c r="BN497" i="1"/>
  <c r="BN507" i="1"/>
  <c r="Z509" i="1"/>
  <c r="BN523" i="1"/>
  <c r="Z525" i="1"/>
  <c r="Y145" i="1"/>
  <c r="Y249" i="1"/>
  <c r="BN353" i="1"/>
  <c r="Y100" i="1"/>
  <c r="Z125" i="1"/>
  <c r="Z143" i="1"/>
  <c r="BP143" i="1"/>
  <c r="Z164" i="1"/>
  <c r="Z165" i="1" s="1"/>
  <c r="BP164" i="1"/>
  <c r="Z176" i="1"/>
  <c r="Y192" i="1"/>
  <c r="Z186" i="1"/>
  <c r="Z257" i="1"/>
  <c r="Z258" i="1" s="1"/>
  <c r="BP257" i="1"/>
  <c r="Z272" i="1"/>
  <c r="Z287" i="1"/>
  <c r="Z304" i="1"/>
  <c r="Z318" i="1"/>
  <c r="Z319" i="1" s="1"/>
  <c r="BP318" i="1"/>
  <c r="Z349" i="1"/>
  <c r="Z411" i="1"/>
  <c r="Z437" i="1"/>
  <c r="Z470" i="1"/>
  <c r="Z480" i="1"/>
  <c r="Z486" i="1"/>
  <c r="Z505" i="1"/>
  <c r="Z556" i="1"/>
  <c r="Z557" i="1" s="1"/>
  <c r="BP556" i="1"/>
  <c r="H9" i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3" i="1"/>
  <c r="Y178" i="1"/>
  <c r="BP175" i="1"/>
  <c r="BN175" i="1"/>
  <c r="Z175" i="1"/>
  <c r="BP183" i="1"/>
  <c r="BN183" i="1"/>
  <c r="Z183" i="1"/>
  <c r="BP187" i="1"/>
  <c r="BN187" i="1"/>
  <c r="Z187" i="1"/>
  <c r="BP191" i="1"/>
  <c r="BN191" i="1"/>
  <c r="Z191" i="1"/>
  <c r="Y193" i="1"/>
  <c r="Y198" i="1"/>
  <c r="BP195" i="1"/>
  <c r="BN195" i="1"/>
  <c r="Z195" i="1"/>
  <c r="BP213" i="1"/>
  <c r="BN213" i="1"/>
  <c r="Z213" i="1"/>
  <c r="BP217" i="1"/>
  <c r="BN217" i="1"/>
  <c r="Z217" i="1"/>
  <c r="Y219" i="1"/>
  <c r="L569" i="1"/>
  <c r="Y223" i="1"/>
  <c r="BP222" i="1"/>
  <c r="BN222" i="1"/>
  <c r="Z222" i="1"/>
  <c r="Z223" i="1" s="1"/>
  <c r="Y224" i="1"/>
  <c r="Y241" i="1"/>
  <c r="BP226" i="1"/>
  <c r="BN226" i="1"/>
  <c r="Z226" i="1"/>
  <c r="BP230" i="1"/>
  <c r="BN230" i="1"/>
  <c r="Z230" i="1"/>
  <c r="BP234" i="1"/>
  <c r="BN234" i="1"/>
  <c r="Z234" i="1"/>
  <c r="BP238" i="1"/>
  <c r="BN238" i="1"/>
  <c r="Z238" i="1"/>
  <c r="BP246" i="1"/>
  <c r="BN246" i="1"/>
  <c r="Z246" i="1"/>
  <c r="BP263" i="1"/>
  <c r="BN263" i="1"/>
  <c r="Z263" i="1"/>
  <c r="Z264" i="1" s="1"/>
  <c r="Y265" i="1"/>
  <c r="Y270" i="1"/>
  <c r="BP267" i="1"/>
  <c r="BN267" i="1"/>
  <c r="Z267" i="1"/>
  <c r="Z269" i="1" s="1"/>
  <c r="BP275" i="1"/>
  <c r="BN275" i="1"/>
  <c r="Z275" i="1"/>
  <c r="BP279" i="1"/>
  <c r="BN279" i="1"/>
  <c r="Z279" i="1"/>
  <c r="BP284" i="1"/>
  <c r="BN284" i="1"/>
  <c r="Z284" i="1"/>
  <c r="Y296" i="1"/>
  <c r="BP288" i="1"/>
  <c r="BN288" i="1"/>
  <c r="Z288" i="1"/>
  <c r="BP292" i="1"/>
  <c r="BN292" i="1"/>
  <c r="Z292" i="1"/>
  <c r="BP305" i="1"/>
  <c r="BN305" i="1"/>
  <c r="Z305" i="1"/>
  <c r="Y311" i="1"/>
  <c r="BP309" i="1"/>
  <c r="BN309" i="1"/>
  <c r="Z309" i="1"/>
  <c r="BP348" i="1"/>
  <c r="BN348" i="1"/>
  <c r="Z348" i="1"/>
  <c r="BP398" i="1"/>
  <c r="BN398" i="1"/>
  <c r="Z398" i="1"/>
  <c r="Y402" i="1"/>
  <c r="BP406" i="1"/>
  <c r="BN406" i="1"/>
  <c r="Z406" i="1"/>
  <c r="Y408" i="1"/>
  <c r="Y413" i="1"/>
  <c r="BP410" i="1"/>
  <c r="BN410" i="1"/>
  <c r="Z410" i="1"/>
  <c r="Y414" i="1"/>
  <c r="BP424" i="1"/>
  <c r="BN424" i="1"/>
  <c r="Z424" i="1"/>
  <c r="Z426" i="1" s="1"/>
  <c r="Y426" i="1"/>
  <c r="F9" i="1"/>
  <c r="J9" i="1"/>
  <c r="Z22" i="1"/>
  <c r="Z24" i="1" s="1"/>
  <c r="BN22" i="1"/>
  <c r="BP22" i="1"/>
  <c r="X563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69" i="1"/>
  <c r="Z86" i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G569" i="1"/>
  <c r="Z104" i="1"/>
  <c r="BN104" i="1"/>
  <c r="Z106" i="1"/>
  <c r="BN106" i="1"/>
  <c r="Z108" i="1"/>
  <c r="BN108" i="1"/>
  <c r="Z109" i="1"/>
  <c r="BN109" i="1"/>
  <c r="Y112" i="1"/>
  <c r="Z115" i="1"/>
  <c r="BN115" i="1"/>
  <c r="Z117" i="1"/>
  <c r="BN117" i="1"/>
  <c r="Z124" i="1"/>
  <c r="BN124" i="1"/>
  <c r="Z127" i="1"/>
  <c r="BN127" i="1"/>
  <c r="Z128" i="1"/>
  <c r="BN128" i="1"/>
  <c r="Z132" i="1"/>
  <c r="BN132" i="1"/>
  <c r="BP132" i="1"/>
  <c r="Z133" i="1"/>
  <c r="BN133" i="1"/>
  <c r="Z138" i="1"/>
  <c r="BN138" i="1"/>
  <c r="BP138" i="1"/>
  <c r="Y141" i="1"/>
  <c r="Z144" i="1"/>
  <c r="BN144" i="1"/>
  <c r="Z148" i="1"/>
  <c r="Z150" i="1" s="1"/>
  <c r="BN148" i="1"/>
  <c r="BP148" i="1"/>
  <c r="I569" i="1"/>
  <c r="Z155" i="1"/>
  <c r="BN155" i="1"/>
  <c r="Z157" i="1"/>
  <c r="BN157" i="1"/>
  <c r="Z159" i="1"/>
  <c r="BN159" i="1"/>
  <c r="Y162" i="1"/>
  <c r="J569" i="1"/>
  <c r="Y172" i="1"/>
  <c r="Z170" i="1"/>
  <c r="Z172" i="1" s="1"/>
  <c r="BN170" i="1"/>
  <c r="BP171" i="1"/>
  <c r="BN171" i="1"/>
  <c r="Y177" i="1"/>
  <c r="BP181" i="1"/>
  <c r="BN181" i="1"/>
  <c r="Z181" i="1"/>
  <c r="BP184" i="1"/>
  <c r="BN184" i="1"/>
  <c r="Z184" i="1"/>
  <c r="BP189" i="1"/>
  <c r="BN189" i="1"/>
  <c r="Z189" i="1"/>
  <c r="BP197" i="1"/>
  <c r="BN197" i="1"/>
  <c r="Z197" i="1"/>
  <c r="Y199" i="1"/>
  <c r="Y202" i="1"/>
  <c r="BP201" i="1"/>
  <c r="BN201" i="1"/>
  <c r="Z201" i="1"/>
  <c r="Z202" i="1" s="1"/>
  <c r="Y203" i="1"/>
  <c r="Y206" i="1"/>
  <c r="BP205" i="1"/>
  <c r="BN205" i="1"/>
  <c r="Z205" i="1"/>
  <c r="Z206" i="1" s="1"/>
  <c r="Y207" i="1"/>
  <c r="K569" i="1"/>
  <c r="Y218" i="1"/>
  <c r="BP211" i="1"/>
  <c r="BN211" i="1"/>
  <c r="Z211" i="1"/>
  <c r="BP215" i="1"/>
  <c r="BN215" i="1"/>
  <c r="Z215" i="1"/>
  <c r="BP228" i="1"/>
  <c r="BN228" i="1"/>
  <c r="Z228" i="1"/>
  <c r="BP232" i="1"/>
  <c r="BN232" i="1"/>
  <c r="Z232" i="1"/>
  <c r="BP236" i="1"/>
  <c r="BN236" i="1"/>
  <c r="Z236" i="1"/>
  <c r="Y240" i="1"/>
  <c r="BP244" i="1"/>
  <c r="BN244" i="1"/>
  <c r="Z244" i="1"/>
  <c r="Z248" i="1" s="1"/>
  <c r="Y248" i="1"/>
  <c r="Z254" i="1"/>
  <c r="BP252" i="1"/>
  <c r="BN252" i="1"/>
  <c r="Z252" i="1"/>
  <c r="Y269" i="1"/>
  <c r="BP273" i="1"/>
  <c r="BN273" i="1"/>
  <c r="Z273" i="1"/>
  <c r="BP277" i="1"/>
  <c r="BN277" i="1"/>
  <c r="Z277" i="1"/>
  <c r="BP330" i="1"/>
  <c r="BN330" i="1"/>
  <c r="Z330" i="1"/>
  <c r="P569" i="1"/>
  <c r="Y334" i="1"/>
  <c r="BP339" i="1"/>
  <c r="BN339" i="1"/>
  <c r="Z339" i="1"/>
  <c r="Z341" i="1" s="1"/>
  <c r="Y341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Y382" i="1"/>
  <c r="BP378" i="1"/>
  <c r="BN378" i="1"/>
  <c r="Z378" i="1"/>
  <c r="BP386" i="1"/>
  <c r="BN386" i="1"/>
  <c r="Z386" i="1"/>
  <c r="BP434" i="1"/>
  <c r="BN434" i="1"/>
  <c r="Z434" i="1"/>
  <c r="M569" i="1"/>
  <c r="Y264" i="1"/>
  <c r="Y281" i="1"/>
  <c r="Y280" i="1"/>
  <c r="Y295" i="1"/>
  <c r="BP286" i="1"/>
  <c r="BN286" i="1"/>
  <c r="Z286" i="1"/>
  <c r="BP290" i="1"/>
  <c r="BN290" i="1"/>
  <c r="Z290" i="1"/>
  <c r="BP294" i="1"/>
  <c r="BN294" i="1"/>
  <c r="Z294" i="1"/>
  <c r="Y301" i="1"/>
  <c r="BP298" i="1"/>
  <c r="BN298" i="1"/>
  <c r="Z298" i="1"/>
  <c r="Z300" i="1" s="1"/>
  <c r="BP307" i="1"/>
  <c r="BN307" i="1"/>
  <c r="Z307" i="1"/>
  <c r="BP323" i="1"/>
  <c r="BN323" i="1"/>
  <c r="Z323" i="1"/>
  <c r="Z325" i="1" s="1"/>
  <c r="Y335" i="1"/>
  <c r="BP332" i="1"/>
  <c r="BN332" i="1"/>
  <c r="Z332" i="1"/>
  <c r="BP346" i="1"/>
  <c r="BN346" i="1"/>
  <c r="Z346" i="1"/>
  <c r="Y350" i="1"/>
  <c r="BP354" i="1"/>
  <c r="BN354" i="1"/>
  <c r="Z354" i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Z407" i="1" s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119" i="1" l="1"/>
  <c r="Z42" i="1"/>
  <c r="Z362" i="1"/>
  <c r="Z355" i="1"/>
  <c r="Z350" i="1"/>
  <c r="Z145" i="1"/>
  <c r="Z140" i="1"/>
  <c r="Z177" i="1"/>
  <c r="Z90" i="1"/>
  <c r="Z51" i="1"/>
  <c r="Z483" i="1"/>
  <c r="Z334" i="1"/>
  <c r="Z161" i="1"/>
  <c r="Z99" i="1"/>
  <c r="Z401" i="1"/>
  <c r="Z295" i="1"/>
  <c r="Z129" i="1"/>
  <c r="Z439" i="1"/>
  <c r="Z111" i="1"/>
  <c r="Z74" i="1"/>
  <c r="Z68" i="1"/>
  <c r="Z61" i="1"/>
  <c r="Z32" i="1"/>
  <c r="Z311" i="1"/>
  <c r="Z529" i="1"/>
  <c r="Z472" i="1"/>
  <c r="Z451" i="1"/>
  <c r="Z280" i="1"/>
  <c r="Z218" i="1"/>
  <c r="Z134" i="1"/>
  <c r="Z81" i="1"/>
  <c r="Y559" i="1"/>
  <c r="Y561" i="1"/>
  <c r="Z413" i="1"/>
  <c r="Z240" i="1"/>
  <c r="Z513" i="1"/>
  <c r="Z499" i="1"/>
  <c r="Z381" i="1"/>
  <c r="Z371" i="1"/>
  <c r="Z192" i="1"/>
  <c r="Y560" i="1"/>
  <c r="Y562" i="1" s="1"/>
  <c r="Z198" i="1"/>
  <c r="Y563" i="1"/>
  <c r="Z564" i="1" l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<sst xmlns="http://schemas.openxmlformats.org/spreadsheetml/2006/main" count="2558" uniqueCount="917">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</sst>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46266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877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Вторник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0.45833333333333331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139</v>
      </c>
      <c r="Y47" s="644">
        <f>IFERROR(IF(X47="",0,CEILING((X47/$H47),1)*$H47),"")</f>
        <v>140.4</v>
      </c>
      <c r="Z47" s="36">
        <f>IFERROR(IF(Y47=0,"",ROUNDUP(Y47/H47,0)*0.01898),"")</f>
        <v>0.24674000000000001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144.27685185185186</v>
      </c>
      <c r="BN47" s="64">
        <f>IFERROR(Y47*I47/H47,"0")</f>
        <v>145.73000000000002</v>
      </c>
      <c r="BO47" s="64">
        <f>IFERROR(1/J47*(X47/H47),"0")</f>
        <v>0.20109953703703703</v>
      </c>
      <c r="BP47" s="64">
        <f>IFERROR(1/J47*(Y47/H47),"0")</f>
        <v>0.203125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12.87037037037037</v>
      </c>
      <c r="Y51" s="645">
        <f>IFERROR(Y47/H47,"0")+IFERROR(Y48/H48,"0")+IFERROR(Y49/H49,"0")+IFERROR(Y50/H50,"0")</f>
        <v>13</v>
      </c>
      <c r="Z51" s="645">
        <f>IFERROR(IF(Z47="",0,Z47),"0")+IFERROR(IF(Z48="",0,Z48),"0")+IFERROR(IF(Z49="",0,Z49),"0")+IFERROR(IF(Z50="",0,Z50),"0")</f>
        <v>0.24674000000000001</v>
      </c>
      <c r="AA51" s="646"/>
      <c r="AB51" s="646"/>
      <c r="AC51" s="646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139</v>
      </c>
      <c r="Y52" s="645">
        <f>IFERROR(SUM(Y47:Y50),"0")</f>
        <v>140.4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32</v>
      </c>
      <c r="Y60" s="644">
        <f t="shared" si="0"/>
        <v>36</v>
      </c>
      <c r="Z60" s="36">
        <f>IFERROR(IF(Y60=0,"",ROUNDUP(Y60/H60,0)*0.00902),"")</f>
        <v>7.2160000000000002E-2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33.351111111111116</v>
      </c>
      <c r="BN60" s="64">
        <f t="shared" si="2"/>
        <v>37.520000000000003</v>
      </c>
      <c r="BO60" s="64">
        <f t="shared" si="3"/>
        <v>5.387205387205387E-2</v>
      </c>
      <c r="BP60" s="64">
        <f t="shared" si="4"/>
        <v>6.0606060606060608E-2</v>
      </c>
    </row>
    <row r="61" spans="1:68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7.1111111111111107</v>
      </c>
      <c r="Y61" s="645">
        <f>IFERROR(Y55/H55,"0")+IFERROR(Y56/H56,"0")+IFERROR(Y57/H57,"0")+IFERROR(Y58/H58,"0")+IFERROR(Y59/H59,"0")+IFERROR(Y60/H60,"0")</f>
        <v>8</v>
      </c>
      <c r="Z61" s="645">
        <f>IFERROR(IF(Z55="",0,Z55),"0")+IFERROR(IF(Z56="",0,Z56),"0")+IFERROR(IF(Z57="",0,Z57),"0")+IFERROR(IF(Z58="",0,Z58),"0")+IFERROR(IF(Z59="",0,Z59),"0")+IFERROR(IF(Z60="",0,Z60),"0")</f>
        <v>7.2160000000000002E-2</v>
      </c>
      <c r="AA61" s="646"/>
      <c r="AB61" s="646"/>
      <c r="AC61" s="646"/>
    </row>
    <row r="62" spans="1:68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32</v>
      </c>
      <c r="Y62" s="645">
        <f>IFERROR(SUM(Y55:Y60),"0")</f>
        <v>36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hidden="1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hidden="1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108</v>
      </c>
      <c r="Y85" s="644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112.1</v>
      </c>
      <c r="BN85" s="64">
        <f>IFERROR(Y85*I85/H85,"0")</f>
        <v>112.1</v>
      </c>
      <c r="BO85" s="64">
        <f>IFERROR(1/J85*(X85/H85),"0")</f>
        <v>0.15625</v>
      </c>
      <c r="BP85" s="64">
        <f>IFERROR(1/J85*(Y85/H85),"0")</f>
        <v>0.15625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10</v>
      </c>
      <c r="Y90" s="645">
        <f>IFERROR(Y85/H85,"0")+IFERROR(Y86/H86,"0")+IFERROR(Y87/H87,"0")+IFERROR(Y88/H88,"0")+IFERROR(Y89/H89,"0")</f>
        <v>10</v>
      </c>
      <c r="Z90" s="645">
        <f>IFERROR(IF(Z85="",0,Z85),"0")+IFERROR(IF(Z86="",0,Z86),"0")+IFERROR(IF(Z87="",0,Z87),"0")+IFERROR(IF(Z88="",0,Z88),"0")+IFERROR(IF(Z89="",0,Z89),"0")</f>
        <v>0.1898</v>
      </c>
      <c r="AA90" s="646"/>
      <c r="AB90" s="646"/>
      <c r="AC90" s="646"/>
    </row>
    <row r="91" spans="1:68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108</v>
      </c>
      <c r="Y91" s="645">
        <f>IFERROR(SUM(Y85:Y89),"0")</f>
        <v>108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200</v>
      </c>
      <c r="Y93" s="644">
        <f t="shared" ref="Y93:Y98" si="5"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212.19753086419755</v>
      </c>
      <c r="BN93" s="64">
        <f t="shared" ref="BN93:BN98" si="7">IFERROR(Y93*I93/H93,"0")</f>
        <v>214.85</v>
      </c>
      <c r="BO93" s="64">
        <f t="shared" ref="BO93:BO98" si="8">IFERROR(1/J93*(X93/H93),"0")</f>
        <v>0.38580246913580246</v>
      </c>
      <c r="BP93" s="64">
        <f t="shared" ref="BP93:BP98" si="9">IFERROR(1/J93*(Y93/H93),"0")</f>
        <v>0.390625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68</v>
      </c>
      <c r="Y96" s="644">
        <f t="shared" si="5"/>
        <v>70.2</v>
      </c>
      <c r="Z96" s="36">
        <f>IFERROR(IF(Y96=0,"",ROUNDUP(Y96/H96,0)*0.00651),"")</f>
        <v>0.16925999999999999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74.346666666666664</v>
      </c>
      <c r="BN96" s="64">
        <f t="shared" si="7"/>
        <v>76.751999999999995</v>
      </c>
      <c r="BO96" s="64">
        <f t="shared" si="8"/>
        <v>0.13838013838013838</v>
      </c>
      <c r="BP96" s="64">
        <f t="shared" si="9"/>
        <v>0.14285714285714288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49.876543209876544</v>
      </c>
      <c r="Y99" s="645">
        <f>IFERROR(Y93/H93,"0")+IFERROR(Y94/H94,"0")+IFERROR(Y95/H95,"0")+IFERROR(Y96/H96,"0")+IFERROR(Y97/H97,"0")+IFERROR(Y98/H98,"0")</f>
        <v>51</v>
      </c>
      <c r="Z99" s="645">
        <f>IFERROR(IF(Z93="",0,Z93),"0")+IFERROR(IF(Z94="",0,Z94),"0")+IFERROR(IF(Z95="",0,Z95),"0")+IFERROR(IF(Z96="",0,Z96),"0")+IFERROR(IF(Z97="",0,Z97),"0")+IFERROR(IF(Z98="",0,Z98),"0")</f>
        <v>0.64376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268</v>
      </c>
      <c r="Y100" s="645">
        <f>IFERROR(SUM(Y93:Y98),"0")</f>
        <v>272.7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162</v>
      </c>
      <c r="Y103" s="644">
        <f t="shared" ref="Y103:Y110" si="10">IFERROR(IF(X103="",0,CEILING((X103/$H103),1)*$H103),"")</f>
        <v>162</v>
      </c>
      <c r="Z103" s="36">
        <f>IFERROR(IF(Y103=0,"",ROUNDUP(Y103/H103,0)*0.01898),"")</f>
        <v>0.28470000000000001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168.15</v>
      </c>
      <c r="BN103" s="64">
        <f t="shared" ref="BN103:BN110" si="12">IFERROR(Y103*I103/H103,"0")</f>
        <v>168.15</v>
      </c>
      <c r="BO103" s="64">
        <f t="shared" ref="BO103:BO110" si="13">IFERROR(1/J103*(X103/H103),"0")</f>
        <v>0.23437499999999997</v>
      </c>
      <c r="BP103" s="64">
        <f t="shared" ref="BP103:BP110" si="14">IFERROR(1/J103*(Y103/H103),"0")</f>
        <v>0.23437499999999997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28</v>
      </c>
      <c r="Y108" s="644">
        <f t="shared" si="10"/>
        <v>31.5</v>
      </c>
      <c r="Z108" s="36">
        <f>IFERROR(IF(Y108=0,"",ROUNDUP(Y108/H108,0)*0.00902),"")</f>
        <v>6.3140000000000002E-2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29.182222222222226</v>
      </c>
      <c r="BN108" s="64">
        <f t="shared" si="12"/>
        <v>32.830000000000005</v>
      </c>
      <c r="BO108" s="64">
        <f t="shared" si="13"/>
        <v>4.7138047138047139E-2</v>
      </c>
      <c r="BP108" s="64">
        <f t="shared" si="14"/>
        <v>5.3030303030303032E-2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21.222222222222221</v>
      </c>
      <c r="Y111" s="645">
        <f>IFERROR(Y103/H103,"0")+IFERROR(Y104/H104,"0")+IFERROR(Y105/H105,"0")+IFERROR(Y106/H106,"0")+IFERROR(Y107/H107,"0")+IFERROR(Y108/H108,"0")+IFERROR(Y109/H109,"0")+IFERROR(Y110/H110,"0")</f>
        <v>22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0.34784000000000004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190</v>
      </c>
      <c r="Y112" s="645">
        <f>IFERROR(SUM(Y103:Y110),"0")</f>
        <v>193.5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hidden="1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hidden="1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80</v>
      </c>
      <c r="Y122" s="644">
        <f t="shared" ref="Y122:Y128" si="15">IFERROR(IF(X122="",0,CEILING((X122/$H122),1)*$H122),"")</f>
        <v>81</v>
      </c>
      <c r="Z122" s="36">
        <f>IFERROR(IF(Y122=0,"",ROUNDUP(Y122/H122,0)*0.01898),"")</f>
        <v>0.1898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84.819753086419752</v>
      </c>
      <c r="BN122" s="64">
        <f t="shared" ref="BN122:BN128" si="17">IFERROR(Y122*I122/H122,"0")</f>
        <v>85.88</v>
      </c>
      <c r="BO122" s="64">
        <f t="shared" ref="BO122:BO128" si="18">IFERROR(1/J122*(X122/H122),"0")</f>
        <v>0.15432098765432101</v>
      </c>
      <c r="BP122" s="64">
        <f t="shared" ref="BP122:BP128" si="19">IFERROR(1/J122*(Y122/H122),"0")</f>
        <v>0.15625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0</v>
      </c>
      <c r="Y125" s="644">
        <f t="shared" si="15"/>
        <v>0</v>
      </c>
      <c r="Z125" s="36" t="str">
        <f>IFERROR(IF(Y125=0,"",ROUNDUP(Y125/H125,0)*0.00651),"")</f>
        <v/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9.8765432098765444</v>
      </c>
      <c r="Y129" s="645">
        <f>IFERROR(Y122/H122,"0")+IFERROR(Y123/H123,"0")+IFERROR(Y124/H124,"0")+IFERROR(Y125/H125,"0")+IFERROR(Y126/H126,"0")+IFERROR(Y127/H127,"0")+IFERROR(Y128/H128,"0")</f>
        <v>10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0.1898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80</v>
      </c>
      <c r="Y130" s="645">
        <f>IFERROR(SUM(Y122:Y128),"0")</f>
        <v>81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hidden="1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hidden="1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39</v>
      </c>
      <c r="Y138" s="644">
        <f>IFERROR(IF(X138="",0,CEILING((X138/$H138),1)*$H138),"")</f>
        <v>41.6</v>
      </c>
      <c r="Z138" s="36">
        <f>IFERROR(IF(Y138=0,"",ROUNDUP(Y138/H138,0)*0.00651),"")</f>
        <v>8.4629999999999997E-2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41.193749999999994</v>
      </c>
      <c r="BN138" s="64">
        <f>IFERROR(Y138*I138/H138,"0")</f>
        <v>43.94</v>
      </c>
      <c r="BO138" s="64">
        <f>IFERROR(1/J138*(X138/H138),"0")</f>
        <v>6.6964285714285726E-2</v>
      </c>
      <c r="BP138" s="64">
        <f>IFERROR(1/J138*(Y138/H138),"0")</f>
        <v>7.1428571428571438E-2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12.1875</v>
      </c>
      <c r="Y140" s="645">
        <f>IFERROR(Y138/H138,"0")+IFERROR(Y139/H139,"0")</f>
        <v>13</v>
      </c>
      <c r="Z140" s="645">
        <f>IFERROR(IF(Z138="",0,Z138),"0")+IFERROR(IF(Z139="",0,Z139),"0")</f>
        <v>8.4629999999999997E-2</v>
      </c>
      <c r="AA140" s="646"/>
      <c r="AB140" s="646"/>
      <c r="AC140" s="646"/>
    </row>
    <row r="141" spans="1:68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39</v>
      </c>
      <c r="Y141" s="645">
        <f>IFERROR(SUM(Y138:Y139),"0")</f>
        <v>41.6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hidden="1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27</v>
      </c>
      <c r="Y148" s="644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29.740909090909085</v>
      </c>
      <c r="BN148" s="64">
        <f>IFERROR(Y148*I148/H148,"0")</f>
        <v>31.988000000000003</v>
      </c>
      <c r="BO148" s="64">
        <f>IFERROR(1/J148*(X148/H148),"0")</f>
        <v>5.6193806193806192E-2</v>
      </c>
      <c r="BP148" s="64">
        <f>IFERROR(1/J148*(Y148/H148),"0")</f>
        <v>6.0439560439560447E-2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10.227272727272727</v>
      </c>
      <c r="Y150" s="645">
        <f>IFERROR(Y148/H148,"0")+IFERROR(Y149/H149,"0")</f>
        <v>11</v>
      </c>
      <c r="Z150" s="645">
        <f>IFERROR(IF(Z148="",0,Z148),"0")+IFERROR(IF(Z149="",0,Z149),"0")</f>
        <v>7.1610000000000007E-2</v>
      </c>
      <c r="AA150" s="646"/>
      <c r="AB150" s="646"/>
      <c r="AC150" s="646"/>
    </row>
    <row r="151" spans="1:68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27</v>
      </c>
      <c r="Y151" s="645">
        <f>IFERROR(SUM(Y148:Y149),"0")</f>
        <v>29.040000000000003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hidden="1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hidden="1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0</v>
      </c>
      <c r="Y180" s="644">
        <f t="shared" ref="Y180:Y191" si="26">IFERROR(IF(X180="",0,CEILING((X180/$H180),1)*$H180),"")</f>
        <v>0</v>
      </c>
      <c r="Z180" s="36" t="str">
        <f>IFERROR(IF(Y180=0,"",ROUNDUP(Y180/H180,0)*0.00902),"")</f>
        <v/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0</v>
      </c>
      <c r="BN180" s="64">
        <f t="shared" ref="BN180:BN191" si="28">IFERROR(Y180*I180/H180,"0")</f>
        <v>0</v>
      </c>
      <c r="BO180" s="64">
        <f t="shared" ref="BO180:BO191" si="29">IFERROR(1/J180*(X180/H180),"0")</f>
        <v>0</v>
      </c>
      <c r="BP180" s="64">
        <f t="shared" ref="BP180:BP191" si="30">IFERROR(1/J180*(Y180/H180),"0")</f>
        <v>0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hidden="1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hidden="1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hidden="1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hidden="1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0</v>
      </c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hidden="1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0</v>
      </c>
      <c r="Y193" s="645">
        <f>IFERROR(SUM(Y180:Y191),"0")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hidden="1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hidden="1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0</v>
      </c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hidden="1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0</v>
      </c>
      <c r="Y230" s="644">
        <f t="shared" si="37"/>
        <v>0</v>
      </c>
      <c r="Z230" s="36" t="str">
        <f t="shared" ref="Z230:Z235" si="42">IFERROR(IF(Y230=0,"",ROUNDUP(Y230/H230,0)*0.00502),"")</f>
        <v/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0</v>
      </c>
      <c r="BN230" s="64">
        <f t="shared" si="39"/>
        <v>0</v>
      </c>
      <c r="BO230" s="64">
        <f t="shared" si="40"/>
        <v>0</v>
      </c>
      <c r="BP230" s="64">
        <f t="shared" si="41"/>
        <v>0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0</v>
      </c>
      <c r="Y235" s="644">
        <f t="shared" si="37"/>
        <v>0</v>
      </c>
      <c r="Z235" s="36" t="str">
        <f t="shared" si="42"/>
        <v/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hidden="1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0</v>
      </c>
      <c r="Y237" s="644">
        <f t="shared" si="37"/>
        <v>0</v>
      </c>
      <c r="Z237" s="36" t="str">
        <f>IFERROR(IF(Y237=0,"",ROUNDUP(Y237/H237,0)*0.00502),"")</f>
        <v/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idden="1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6"/>
      <c r="AB240" s="646"/>
      <c r="AC240" s="646"/>
    </row>
    <row r="241" spans="1:68" hidden="1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0</v>
      </c>
      <c r="Y241" s="645">
        <f>IFERROR(SUM(Y226:Y239),"0")</f>
        <v>0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0</v>
      </c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idden="1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hidden="1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hidden="1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hidden="1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idden="1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0</v>
      </c>
      <c r="Y280" s="645">
        <f>IFERROR(Y272/H272,"0")+IFERROR(Y273/H273,"0")+IFERROR(Y274/H274,"0")+IFERROR(Y275/H275,"0")+IFERROR(Y276/H276,"0")+IFERROR(Y277/H277,"0")+IFERROR(Y278/H278,"0")+IFERROR(Y279/H279,"0")</f>
        <v>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6"/>
      <c r="AB280" s="646"/>
      <c r="AC280" s="646"/>
    </row>
    <row r="281" spans="1:68" hidden="1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0</v>
      </c>
      <c r="Y281" s="645">
        <f>IFERROR(SUM(Y272:Y279),"0")</f>
        <v>0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hidden="1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80</v>
      </c>
      <c r="Y284" s="644">
        <f t="shared" si="48"/>
        <v>81</v>
      </c>
      <c r="Z284" s="36">
        <f>IFERROR(IF(Y284=0,"",ROUNDUP(Y284/H284,0)*0.01898),"")</f>
        <v>0.1898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84.701234567901238</v>
      </c>
      <c r="BN284" s="64">
        <f t="shared" si="50"/>
        <v>85.76</v>
      </c>
      <c r="BO284" s="64">
        <f t="shared" si="51"/>
        <v>0.15432098765432101</v>
      </c>
      <c r="BP284" s="64">
        <f t="shared" si="52"/>
        <v>0.15625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64</v>
      </c>
      <c r="Y286" s="644">
        <f t="shared" si="48"/>
        <v>64.8</v>
      </c>
      <c r="Z286" s="36">
        <f>IFERROR(IF(Y286=0,"",ROUNDUP(Y286/H286,0)*0.00651),"")</f>
        <v>0.17577000000000001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71.2</v>
      </c>
      <c r="BN286" s="64">
        <f t="shared" si="50"/>
        <v>72.09</v>
      </c>
      <c r="BO286" s="64">
        <f t="shared" si="51"/>
        <v>0.14652014652014653</v>
      </c>
      <c r="BP286" s="64">
        <f t="shared" si="52"/>
        <v>0.14835164835164835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hidden="1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0</v>
      </c>
      <c r="Y289" s="644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0</v>
      </c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hidden="1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36.543209876543216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37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0.36557000000000001</v>
      </c>
      <c r="AA295" s="646"/>
      <c r="AB295" s="646"/>
      <c r="AC295" s="646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144</v>
      </c>
      <c r="Y296" s="645">
        <f>IFERROR(SUM(Y283:Y294),"0")</f>
        <v>145.80000000000001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hidden="1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hidden="1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0</v>
      </c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0</v>
      </c>
      <c r="Y340" s="644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0</v>
      </c>
      <c r="Y341" s="645">
        <f>IFERROR(Y338/H338,"0")+IFERROR(Y339/H339,"0")+IFERROR(Y340/H340,"0")</f>
        <v>0</v>
      </c>
      <c r="Z341" s="645">
        <f>IFERROR(IF(Z338="",0,Z338),"0")+IFERROR(IF(Z339="",0,Z339),"0")+IFERROR(IF(Z340="",0,Z340),"0")</f>
        <v>0</v>
      </c>
      <c r="AA341" s="646"/>
      <c r="AB341" s="646"/>
      <c r="AC341" s="646"/>
    </row>
    <row r="342" spans="1:68" hidden="1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0</v>
      </c>
      <c r="Y342" s="645">
        <f>IFERROR(SUM(Y338:Y340),"0")</f>
        <v>0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hidden="1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99</v>
      </c>
      <c r="Y360" s="644">
        <f>IFERROR(IF(X360="",0,CEILING((X360/$H360),1)*$H360),"")</f>
        <v>101.39999999999999</v>
      </c>
      <c r="Z360" s="36">
        <f>IFERROR(IF(Y360=0,"",ROUNDUP(Y360/H360,0)*0.01898),"")</f>
        <v>0.24674000000000001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104.20384615384617</v>
      </c>
      <c r="BN360" s="64">
        <f>IFERROR(Y360*I360/H360,"0")</f>
        <v>106.73</v>
      </c>
      <c r="BO360" s="64">
        <f>IFERROR(1/J360*(X360/H360),"0")</f>
        <v>0.19831730769230771</v>
      </c>
      <c r="BP360" s="64">
        <f>IFERROR(1/J360*(Y360/H360),"0")</f>
        <v>0.203125</v>
      </c>
    </row>
    <row r="361" spans="1:68" ht="27" hidden="1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12.692307692307693</v>
      </c>
      <c r="Y362" s="645">
        <f>IFERROR(Y359/H359,"0")+IFERROR(Y360/H360,"0")+IFERROR(Y361/H361,"0")</f>
        <v>13</v>
      </c>
      <c r="Z362" s="645">
        <f>IFERROR(IF(Z359="",0,Z359),"0")+IFERROR(IF(Z360="",0,Z360),"0")+IFERROR(IF(Z361="",0,Z361),"0")</f>
        <v>0.24674000000000001</v>
      </c>
      <c r="AA362" s="646"/>
      <c r="AB362" s="646"/>
      <c r="AC362" s="646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99</v>
      </c>
      <c r="Y363" s="645">
        <f>IFERROR(SUM(Y359:Y361),"0")</f>
        <v>101.39999999999999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idden="1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hidden="1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102</v>
      </c>
      <c r="Y391" s="644">
        <f>IFERROR(IF(X391="",0,CEILING((X391/$H391),1)*$H391),"")</f>
        <v>109.2</v>
      </c>
      <c r="Z391" s="36">
        <f>IFERROR(IF(Y391=0,"",ROUNDUP(Y391/H391,0)*0.01898),"")</f>
        <v>0.24674000000000001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107.99857142857142</v>
      </c>
      <c r="BN391" s="64">
        <f>IFERROR(Y391*I391/H391,"0")</f>
        <v>115.622</v>
      </c>
      <c r="BO391" s="64">
        <f>IFERROR(1/J391*(X391/H391),"0")</f>
        <v>0.18973214285714285</v>
      </c>
      <c r="BP391" s="64">
        <f>IFERROR(1/J391*(Y391/H391),"0")</f>
        <v>0.203125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112</v>
      </c>
      <c r="Y392" s="644">
        <f>IFERROR(IF(X392="",0,CEILING((X392/$H392),1)*$H392),"")</f>
        <v>117</v>
      </c>
      <c r="Z392" s="36">
        <f>IFERROR(IF(Y392=0,"",ROUNDUP(Y392/H392,0)*0.01898),"")</f>
        <v>0.28470000000000001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119.09333333333335</v>
      </c>
      <c r="BN392" s="64">
        <f>IFERROR(Y392*I392/H392,"0")</f>
        <v>124.41000000000001</v>
      </c>
      <c r="BO392" s="64">
        <f>IFERROR(1/J392*(X392/H392),"0")</f>
        <v>0.22435897435897437</v>
      </c>
      <c r="BP392" s="64">
        <f>IFERROR(1/J392*(Y392/H392),"0")</f>
        <v>0.234375</v>
      </c>
    </row>
    <row r="393" spans="1:68" ht="27" hidden="1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26.501831501831504</v>
      </c>
      <c r="Y394" s="645">
        <f>IFERROR(Y391/H391,"0")+IFERROR(Y392/H392,"0")+IFERROR(Y393/H393,"0")</f>
        <v>28</v>
      </c>
      <c r="Z394" s="645">
        <f>IFERROR(IF(Z391="",0,Z391),"0")+IFERROR(IF(Z392="",0,Z392),"0")+IFERROR(IF(Z393="",0,Z393),"0")</f>
        <v>0.53144000000000002</v>
      </c>
      <c r="AA394" s="646"/>
      <c r="AB394" s="646"/>
      <c r="AC394" s="646"/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214</v>
      </c>
      <c r="Y395" s="645">
        <f>IFERROR(SUM(Y391:Y393),"0")</f>
        <v>226.2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0</v>
      </c>
      <c r="Y401" s="645">
        <f>IFERROR(Y397/H397,"0")+IFERROR(Y398/H398,"0")+IFERROR(Y399/H399,"0")+IFERROR(Y400/H400,"0")</f>
        <v>0</v>
      </c>
      <c r="Z401" s="645">
        <f>IFERROR(IF(Z397="",0,Z397),"0")+IFERROR(IF(Z398="",0,Z398),"0")+IFERROR(IF(Z399="",0,Z399),"0")+IFERROR(IF(Z400="",0,Z400),"0")</f>
        <v>0</v>
      </c>
      <c r="AA401" s="646"/>
      <c r="AB401" s="646"/>
      <c r="AC401" s="646"/>
    </row>
    <row r="402" spans="1:68" hidden="1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0</v>
      </c>
      <c r="Y402" s="645">
        <f>IFERROR(SUM(Y397:Y400),"0")</f>
        <v>0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40</v>
      </c>
      <c r="Y404" s="644">
        <f>IFERROR(IF(X404="",0,CEILING((X404/$H404),1)*$H404),"")</f>
        <v>40</v>
      </c>
      <c r="Z404" s="36">
        <f>IFERROR(IF(Y404=0,"",ROUNDUP(Y404/H404,0)*0.00474),"")</f>
        <v>9.4800000000000009E-2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44.800000000000004</v>
      </c>
      <c r="BN404" s="64">
        <f>IFERROR(Y404*I404/H404,"0")</f>
        <v>44.800000000000004</v>
      </c>
      <c r="BO404" s="64">
        <f>IFERROR(1/J404*(X404/H404),"0")</f>
        <v>8.4033613445378144E-2</v>
      </c>
      <c r="BP404" s="64">
        <f>IFERROR(1/J404*(Y404/H404),"0")</f>
        <v>8.4033613445378144E-2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30</v>
      </c>
      <c r="Y405" s="644">
        <f>IFERROR(IF(X405="",0,CEILING((X405/$H405),1)*$H405),"")</f>
        <v>30</v>
      </c>
      <c r="Z405" s="36">
        <f>IFERROR(IF(Y405=0,"",ROUNDUP(Y405/H405,0)*0.00474),"")</f>
        <v>7.110000000000001E-2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33.6</v>
      </c>
      <c r="BN405" s="64">
        <f>IFERROR(Y405*I405/H405,"0")</f>
        <v>33.6</v>
      </c>
      <c r="BO405" s="64">
        <f>IFERROR(1/J405*(X405/H405),"0")</f>
        <v>6.3025210084033612E-2</v>
      </c>
      <c r="BP405" s="64">
        <f>IFERROR(1/J405*(Y405/H405),"0")</f>
        <v>6.3025210084033612E-2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27</v>
      </c>
      <c r="Y406" s="644">
        <f>IFERROR(IF(X406="",0,CEILING((X406/$H406),1)*$H406),"")</f>
        <v>28</v>
      </c>
      <c r="Z406" s="36">
        <f>IFERROR(IF(Y406=0,"",ROUNDUP(Y406/H406,0)*0.00474),"")</f>
        <v>6.6360000000000002E-2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30.240000000000002</v>
      </c>
      <c r="BN406" s="64">
        <f>IFERROR(Y406*I406/H406,"0")</f>
        <v>31.360000000000003</v>
      </c>
      <c r="BO406" s="64">
        <f>IFERROR(1/J406*(X406/H406),"0")</f>
        <v>5.6722689075630252E-2</v>
      </c>
      <c r="BP406" s="64">
        <f>IFERROR(1/J406*(Y406/H406),"0")</f>
        <v>5.8823529411764705E-2</v>
      </c>
    </row>
    <row r="407" spans="1:68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48.5</v>
      </c>
      <c r="Y407" s="645">
        <f>IFERROR(Y404/H404,"0")+IFERROR(Y405/H405,"0")+IFERROR(Y406/H406,"0")</f>
        <v>49</v>
      </c>
      <c r="Z407" s="645">
        <f>IFERROR(IF(Z404="",0,Z404),"0")+IFERROR(IF(Z405="",0,Z405),"0")+IFERROR(IF(Z406="",0,Z406),"0")</f>
        <v>0.23226000000000002</v>
      </c>
      <c r="AA407" s="646"/>
      <c r="AB407" s="646"/>
      <c r="AC407" s="646"/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97</v>
      </c>
      <c r="Y408" s="645">
        <f>IFERROR(SUM(Y404:Y406),"0")</f>
        <v>98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13</v>
      </c>
      <c r="Y412" s="644">
        <f>IFERROR(IF(X412="",0,CEILING((X412/$H412),1)*$H412),"")</f>
        <v>15</v>
      </c>
      <c r="Z412" s="36">
        <f>IFERROR(IF(Y412=0,"",ROUNDUP(Y412/H412,0)*0.0045),"")</f>
        <v>2.2499999999999999E-2</v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13.953333333333333</v>
      </c>
      <c r="BN412" s="64">
        <f>IFERROR(Y412*I412/H412,"0")</f>
        <v>16.100000000000001</v>
      </c>
      <c r="BO412" s="64">
        <f>IFERROR(1/J412*(X412/H412),"0")</f>
        <v>1.9345238095238092E-2</v>
      </c>
      <c r="BP412" s="64">
        <f>IFERROR(1/J412*(Y412/H412),"0")</f>
        <v>2.2321428571428568E-2</v>
      </c>
    </row>
    <row r="413" spans="1:68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4.333333333333333</v>
      </c>
      <c r="Y413" s="645">
        <f>IFERROR(Y410/H410,"0")+IFERROR(Y411/H411,"0")+IFERROR(Y412/H412,"0")</f>
        <v>5</v>
      </c>
      <c r="Z413" s="645">
        <f>IFERROR(IF(Z410="",0,Z410),"0")+IFERROR(IF(Z411="",0,Z411),"0")+IFERROR(IF(Z412="",0,Z412),"0")</f>
        <v>2.2499999999999999E-2</v>
      </c>
      <c r="AA413" s="646"/>
      <c r="AB413" s="646"/>
      <c r="AC413" s="646"/>
    </row>
    <row r="414" spans="1:68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13</v>
      </c>
      <c r="Y414" s="645">
        <f>IFERROR(SUM(Y410:Y412),"0")</f>
        <v>15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hidden="1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400</v>
      </c>
      <c r="Y432" s="644">
        <f t="shared" si="63"/>
        <v>405</v>
      </c>
      <c r="Z432" s="36">
        <f>IFERROR(IF(Y432=0,"",ROUNDUP(Y432/H432,0)*0.02175),"")</f>
        <v>0.58724999999999994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412.53333333333336</v>
      </c>
      <c r="BN432" s="64">
        <f t="shared" si="65"/>
        <v>417.69</v>
      </c>
      <c r="BO432" s="64">
        <f t="shared" si="66"/>
        <v>0.55555555555555558</v>
      </c>
      <c r="BP432" s="64">
        <f t="shared" si="67"/>
        <v>0.5625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684</v>
      </c>
      <c r="Y433" s="644">
        <f t="shared" si="63"/>
        <v>690</v>
      </c>
      <c r="Z433" s="36">
        <f>IFERROR(IF(Y433=0,"",ROUNDUP(Y433/H433,0)*0.02175),"")</f>
        <v>1.0004999999999999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705.43200000000002</v>
      </c>
      <c r="BN433" s="64">
        <f t="shared" si="65"/>
        <v>711.62000000000012</v>
      </c>
      <c r="BO433" s="64">
        <f t="shared" si="66"/>
        <v>0.95</v>
      </c>
      <c r="BP433" s="64">
        <f t="shared" si="67"/>
        <v>0.95833333333333326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250</v>
      </c>
      <c r="Y434" s="644">
        <f t="shared" si="63"/>
        <v>255</v>
      </c>
      <c r="Z434" s="36">
        <f>IFERROR(IF(Y434=0,"",ROUNDUP(Y434/H434,0)*0.02175),"")</f>
        <v>0.36974999999999997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257.83333333333331</v>
      </c>
      <c r="BN434" s="64">
        <f t="shared" si="65"/>
        <v>262.99</v>
      </c>
      <c r="BO434" s="64">
        <f t="shared" si="66"/>
        <v>0.34722222222222221</v>
      </c>
      <c r="BP434" s="64">
        <f t="shared" si="67"/>
        <v>0.35416666666666663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88.933333333333337</v>
      </c>
      <c r="Y439" s="645">
        <f>IFERROR(Y431/H431,"0")+IFERROR(Y432/H432,"0")+IFERROR(Y433/H433,"0")+IFERROR(Y434/H434,"0")+IFERROR(Y435/H435,"0")+IFERROR(Y436/H436,"0")+IFERROR(Y437/H437,"0")+IFERROR(Y438/H438,"0")</f>
        <v>90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1.9574999999999998</v>
      </c>
      <c r="AA439" s="646"/>
      <c r="AB439" s="646"/>
      <c r="AC439" s="646"/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1334</v>
      </c>
      <c r="Y440" s="645">
        <f>IFERROR(SUM(Y431:Y438),"0")</f>
        <v>1350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600</v>
      </c>
      <c r="Y442" s="644">
        <f>IFERROR(IF(X442="",0,CEILING((X442/$H442),1)*$H442),"")</f>
        <v>600</v>
      </c>
      <c r="Z442" s="36">
        <f>IFERROR(IF(Y442=0,"",ROUNDUP(Y442/H442,0)*0.02175),"")</f>
        <v>0.86999999999999988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618.79999999999995</v>
      </c>
      <c r="BN442" s="64">
        <f>IFERROR(Y442*I442/H442,"0")</f>
        <v>618.79999999999995</v>
      </c>
      <c r="BO442" s="64">
        <f>IFERROR(1/J442*(X442/H442),"0")</f>
        <v>0.83333333333333326</v>
      </c>
      <c r="BP442" s="64">
        <f>IFERROR(1/J442*(Y442/H442),"0")</f>
        <v>0.83333333333333326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40</v>
      </c>
      <c r="Y445" s="645">
        <f>IFERROR(Y442/H442,"0")+IFERROR(Y443/H443,"0")+IFERROR(Y444/H444,"0")</f>
        <v>40</v>
      </c>
      <c r="Z445" s="645">
        <f>IFERROR(IF(Z442="",0,Z442),"0")+IFERROR(IF(Z443="",0,Z443),"0")+IFERROR(IF(Z444="",0,Z444),"0")</f>
        <v>0.86999999999999988</v>
      </c>
      <c r="AA445" s="646"/>
      <c r="AB445" s="646"/>
      <c r="AC445" s="646"/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600</v>
      </c>
      <c r="Y446" s="645">
        <f>IFERROR(SUM(Y442:Y444),"0")</f>
        <v>600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hidden="1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0</v>
      </c>
      <c r="Y472" s="645">
        <f>IFERROR(Y469/H469,"0")+IFERROR(Y470/H470,"0")+IFERROR(Y471/H471,"0")</f>
        <v>0</v>
      </c>
      <c r="Z472" s="645">
        <f>IFERROR(IF(Z469="",0,Z469),"0")+IFERROR(IF(Z470="",0,Z470),"0")+IFERROR(IF(Z471="",0,Z471),"0")</f>
        <v>0</v>
      </c>
      <c r="AA472" s="646"/>
      <c r="AB472" s="646"/>
      <c r="AC472" s="646"/>
    </row>
    <row r="473" spans="1:68" hidden="1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0</v>
      </c>
      <c r="Y473" s="645">
        <f>IFERROR(SUM(Y469:Y471),"0")</f>
        <v>0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hidden="1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hidden="1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hidden="1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100</v>
      </c>
      <c r="Y509" s="644">
        <f t="shared" si="73"/>
        <v>100.32000000000001</v>
      </c>
      <c r="Z509" s="36">
        <f t="shared" si="74"/>
        <v>0.22724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106.62878787878788</v>
      </c>
      <c r="BN509" s="64">
        <f t="shared" si="76"/>
        <v>106.97</v>
      </c>
      <c r="BO509" s="64">
        <f t="shared" si="77"/>
        <v>0.18210955710955709</v>
      </c>
      <c r="BP509" s="64">
        <f t="shared" si="78"/>
        <v>0.18269230769230771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0</v>
      </c>
      <c r="Y512" s="644">
        <f t="shared" si="73"/>
        <v>0</v>
      </c>
      <c r="Z512" s="36" t="str">
        <f>IFERROR(IF(Y512=0,"",ROUNDUP(Y512/H512,0)*0.00902),"")</f>
        <v/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18.939393939393938</v>
      </c>
      <c r="Y513" s="645">
        <f>IFERROR(Y504/H504,"0")+IFERROR(Y505/H505,"0")+IFERROR(Y506/H506,"0")+IFERROR(Y507/H507,"0")+IFERROR(Y508/H508,"0")+IFERROR(Y509/H509,"0")+IFERROR(Y510/H510,"0")+IFERROR(Y511/H511,"0")+IFERROR(Y512/H512,"0")</f>
        <v>19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0.22724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100</v>
      </c>
      <c r="Y514" s="645">
        <f>IFERROR(SUM(Y504:Y512),"0")</f>
        <v>100.32000000000001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80</v>
      </c>
      <c r="Y516" s="644">
        <f>IFERROR(IF(X516="",0,CEILING((X516/$H516),1)*$H516),"")</f>
        <v>84.48</v>
      </c>
      <c r="Z516" s="36">
        <f>IFERROR(IF(Y516=0,"",ROUNDUP(Y516/H516,0)*0.01196),"")</f>
        <v>0.19136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85.303030303030297</v>
      </c>
      <c r="BN516" s="64">
        <f>IFERROR(Y516*I516/H516,"0")</f>
        <v>90.08</v>
      </c>
      <c r="BO516" s="64">
        <f>IFERROR(1/J516*(X516/H516),"0")</f>
        <v>0.14568764568764569</v>
      </c>
      <c r="BP516" s="64">
        <f>IFERROR(1/J516*(Y516/H516),"0")</f>
        <v>0.15384615384615385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15.15151515151515</v>
      </c>
      <c r="Y519" s="645">
        <f>IFERROR(Y516/H516,"0")+IFERROR(Y517/H517,"0")+IFERROR(Y518/H518,"0")</f>
        <v>16</v>
      </c>
      <c r="Z519" s="645">
        <f>IFERROR(IF(Z516="",0,Z516),"0")+IFERROR(IF(Z517="",0,Z517),"0")+IFERROR(IF(Z518="",0,Z518),"0")</f>
        <v>0.19136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80</v>
      </c>
      <c r="Y520" s="645">
        <f>IFERROR(SUM(Y516:Y518),"0")</f>
        <v>84.48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hidden="1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0</v>
      </c>
      <c r="Y523" s="644">
        <f t="shared" si="79"/>
        <v>0</v>
      </c>
      <c r="Z523" s="36" t="str">
        <f>IFERROR(IF(Y523=0,"",ROUNDUP(Y523/H523,0)*0.01196),"")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0</v>
      </c>
      <c r="BN523" s="64">
        <f t="shared" si="81"/>
        <v>0</v>
      </c>
      <c r="BO523" s="64">
        <f t="shared" si="82"/>
        <v>0</v>
      </c>
      <c r="BP523" s="64">
        <f t="shared" si="83"/>
        <v>0</v>
      </c>
    </row>
    <row r="524" spans="1:68" ht="27" hidden="1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0</v>
      </c>
      <c r="Y524" s="644">
        <f t="shared" si="79"/>
        <v>0</v>
      </c>
      <c r="Z524" s="36" t="str">
        <f>IFERROR(IF(Y524=0,"",ROUNDUP(Y524/H524,0)*0.01196),"")</f>
        <v/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0</v>
      </c>
      <c r="BN524" s="64">
        <f t="shared" si="81"/>
        <v>0</v>
      </c>
      <c r="BO524" s="64">
        <f t="shared" si="82"/>
        <v>0</v>
      </c>
      <c r="BP524" s="64">
        <f t="shared" si="83"/>
        <v>0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hidden="1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0</v>
      </c>
      <c r="Y529" s="645">
        <f>IFERROR(Y522/H522,"0")+IFERROR(Y523/H523,"0")+IFERROR(Y524/H524,"0")+IFERROR(Y525/H525,"0")+IFERROR(Y526/H526,"0")+IFERROR(Y527/H527,"0")+IFERROR(Y528/H528,"0")</f>
        <v>0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6"/>
      <c r="AB529" s="646"/>
      <c r="AC529" s="646"/>
    </row>
    <row r="530" spans="1:68" hidden="1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0</v>
      </c>
      <c r="Y530" s="645">
        <f>IFERROR(SUM(Y522:Y528),"0")</f>
        <v>0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hidden="1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3564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3623.4400000000005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3725.6795985588483</v>
      </c>
      <c r="Y560" s="645">
        <f>IFERROR(SUM(BN22:BN556),"0")</f>
        <v>3788.3619999999996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6</v>
      </c>
      <c r="Y561" s="38">
        <f>ROUNDUP(SUM(BP22:BP556),0)</f>
        <v>6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3875.6795985588483</v>
      </c>
      <c r="Y562" s="645">
        <f>GrossWeightTotalR+PalletQtyTotalR*25</f>
        <v>3938.3619999999996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424.96648767898768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435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6.4909500000000007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140.4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36</v>
      </c>
      <c r="F569" s="46">
        <f>IFERROR(Y85*1,"0")+IFERROR(Y86*1,"0")+IFERROR(Y87*1,"0")+IFERROR(Y88*1,"0")+IFERROR(Y89*1,"0")+IFERROR(Y93*1,"0")+IFERROR(Y94*1,"0")+IFERROR(Y95*1,"0")+IFERROR(Y96*1,"0")+IFERROR(Y97*1,"0")+IFERROR(Y98*1,"0")</f>
        <v>380.7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274.5</v>
      </c>
      <c r="H569" s="46">
        <f>IFERROR(Y138*1,"0")+IFERROR(Y139*1,"0")+IFERROR(Y143*1,"0")+IFERROR(Y144*1,"0")+IFERROR(Y148*1,"0")+IFERROR(Y149*1,"0")</f>
        <v>70.64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145.80000000000001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0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101.39999999999999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339.2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1950</v>
      </c>
      <c r="X569" s="46">
        <f>IFERROR(Y460*1,"0")+IFERROR(Y461*1,"0")+IFERROR(Y465*1,"0")+IFERROR(Y469*1,"0")+IFERROR(Y470*1,"0")+IFERROR(Y471*1,"0")</f>
        <v>0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184.8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4,00"/>
        <filter val="10,00"/>
        <filter val="10,23"/>
        <filter val="100,00"/>
        <filter val="102,00"/>
        <filter val="108,00"/>
        <filter val="112,00"/>
        <filter val="12,19"/>
        <filter val="12,69"/>
        <filter val="12,87"/>
        <filter val="13,00"/>
        <filter val="139,00"/>
        <filter val="144,00"/>
        <filter val="15,15"/>
        <filter val="162,00"/>
        <filter val="18,94"/>
        <filter val="190,00"/>
        <filter val="200,00"/>
        <filter val="21,22"/>
        <filter val="214,00"/>
        <filter val="250,00"/>
        <filter val="26,50"/>
        <filter val="268,00"/>
        <filter val="27,00"/>
        <filter val="28,00"/>
        <filter val="3 564,00"/>
        <filter val="3 725,68"/>
        <filter val="3 875,68"/>
        <filter val="30,00"/>
        <filter val="32,00"/>
        <filter val="36,54"/>
        <filter val="39,00"/>
        <filter val="4,33"/>
        <filter val="40,00"/>
        <filter val="400,00"/>
        <filter val="424,97"/>
        <filter val="48,50"/>
        <filter val="49,88"/>
        <filter val="6"/>
        <filter val="600,00"/>
        <filter val="64,00"/>
        <filter val="68,00"/>
        <filter val="684,00"/>
        <filter val="7,11"/>
        <filter val="80,00"/>
        <filter val="88,93"/>
        <filter val="9,88"/>
        <filter val="97,00"/>
        <filter val="99,00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2026-08-28T14:13:33Z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