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F1F4710-D0F5-409A-B150-79815D3F718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Y557" i="1"/>
  <c r="X557" i="1"/>
  <c r="BO556" i="1"/>
  <c r="BM556" i="1"/>
  <c r="Y556" i="1"/>
  <c r="AC569" i="1" s="1"/>
  <c r="P556" i="1"/>
  <c r="X553" i="1"/>
  <c r="X552" i="1"/>
  <c r="BO551" i="1"/>
  <c r="BM551" i="1"/>
  <c r="Y551" i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O523" i="1"/>
  <c r="BM523" i="1"/>
  <c r="Y523" i="1"/>
  <c r="BP523" i="1" s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BP486" i="1" s="1"/>
  <c r="P486" i="1"/>
  <c r="X484" i="1"/>
  <c r="X483" i="1"/>
  <c r="BO482" i="1"/>
  <c r="BM482" i="1"/>
  <c r="Y482" i="1"/>
  <c r="BP482" i="1" s="1"/>
  <c r="P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O455" i="1"/>
  <c r="BM455" i="1"/>
  <c r="Y455" i="1"/>
  <c r="BP455" i="1" s="1"/>
  <c r="P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BP431" i="1" s="1"/>
  <c r="P431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O411" i="1"/>
  <c r="BM411" i="1"/>
  <c r="Y411" i="1"/>
  <c r="BP411" i="1" s="1"/>
  <c r="P411" i="1"/>
  <c r="BO410" i="1"/>
  <c r="BM410" i="1"/>
  <c r="Y410" i="1"/>
  <c r="P410" i="1"/>
  <c r="X408" i="1"/>
  <c r="X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BN397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O360" i="1"/>
  <c r="BM360" i="1"/>
  <c r="Y360" i="1"/>
  <c r="BP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Z349" i="1"/>
  <c r="Y349" i="1"/>
  <c r="BN349" i="1" s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BN329" i="1" s="1"/>
  <c r="P329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BP322" i="1" s="1"/>
  <c r="P322" i="1"/>
  <c r="X320" i="1"/>
  <c r="X319" i="1"/>
  <c r="BP318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M304" i="1"/>
  <c r="Y304" i="1"/>
  <c r="P304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O289" i="1"/>
  <c r="BM289" i="1"/>
  <c r="Z289" i="1"/>
  <c r="Y289" i="1"/>
  <c r="BN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X280" i="1"/>
  <c r="BO279" i="1"/>
  <c r="BM279" i="1"/>
  <c r="Y279" i="1"/>
  <c r="BP279" i="1" s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O275" i="1"/>
  <c r="BM275" i="1"/>
  <c r="Z275" i="1"/>
  <c r="Y275" i="1"/>
  <c r="BN275" i="1" s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70" i="1"/>
  <c r="X269" i="1"/>
  <c r="BO268" i="1"/>
  <c r="BM268" i="1"/>
  <c r="Y268" i="1"/>
  <c r="BP268" i="1" s="1"/>
  <c r="P268" i="1"/>
  <c r="BO267" i="1"/>
  <c r="BM267" i="1"/>
  <c r="Z267" i="1"/>
  <c r="Y267" i="1"/>
  <c r="Y269" i="1" s="1"/>
  <c r="P267" i="1"/>
  <c r="X265" i="1"/>
  <c r="X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O252" i="1"/>
  <c r="BM252" i="1"/>
  <c r="Y252" i="1"/>
  <c r="P252" i="1"/>
  <c r="BO251" i="1"/>
  <c r="BM251" i="1"/>
  <c r="Y251" i="1"/>
  <c r="Y254" i="1" s="1"/>
  <c r="P251" i="1"/>
  <c r="X249" i="1"/>
  <c r="X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BP245" i="1" s="1"/>
  <c r="P245" i="1"/>
  <c r="BO244" i="1"/>
  <c r="BM244" i="1"/>
  <c r="Z244" i="1"/>
  <c r="Y244" i="1"/>
  <c r="BN244" i="1" s="1"/>
  <c r="P244" i="1"/>
  <c r="BO243" i="1"/>
  <c r="BM243" i="1"/>
  <c r="Y243" i="1"/>
  <c r="P243" i="1"/>
  <c r="X241" i="1"/>
  <c r="X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P236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P213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P191" i="1"/>
  <c r="BO191" i="1"/>
  <c r="BM191" i="1"/>
  <c r="Y191" i="1"/>
  <c r="P191" i="1"/>
  <c r="BO190" i="1"/>
  <c r="BM190" i="1"/>
  <c r="Y190" i="1"/>
  <c r="BP190" i="1" s="1"/>
  <c r="P190" i="1"/>
  <c r="BO189" i="1"/>
  <c r="BM189" i="1"/>
  <c r="Y189" i="1"/>
  <c r="BN189" i="1" s="1"/>
  <c r="P189" i="1"/>
  <c r="BO188" i="1"/>
  <c r="BM188" i="1"/>
  <c r="Y188" i="1"/>
  <c r="BP188" i="1" s="1"/>
  <c r="P188" i="1"/>
  <c r="BO187" i="1"/>
  <c r="BM187" i="1"/>
  <c r="Y187" i="1"/>
  <c r="BN187" i="1" s="1"/>
  <c r="P187" i="1"/>
  <c r="BO186" i="1"/>
  <c r="BM186" i="1"/>
  <c r="Y186" i="1"/>
  <c r="BP186" i="1" s="1"/>
  <c r="BO185" i="1"/>
  <c r="BM185" i="1"/>
  <c r="Y185" i="1"/>
  <c r="BP185" i="1" s="1"/>
  <c r="P185" i="1"/>
  <c r="BP184" i="1"/>
  <c r="BO184" i="1"/>
  <c r="BM184" i="1"/>
  <c r="Y184" i="1"/>
  <c r="BO183" i="1"/>
  <c r="BM183" i="1"/>
  <c r="Y183" i="1"/>
  <c r="BN183" i="1" s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BN175" i="1" s="1"/>
  <c r="P175" i="1"/>
  <c r="X173" i="1"/>
  <c r="X172" i="1"/>
  <c r="BO171" i="1"/>
  <c r="BM171" i="1"/>
  <c r="Y171" i="1"/>
  <c r="BN171" i="1" s="1"/>
  <c r="P171" i="1"/>
  <c r="BO170" i="1"/>
  <c r="BM170" i="1"/>
  <c r="Y170" i="1"/>
  <c r="BP170" i="1" s="1"/>
  <c r="P170" i="1"/>
  <c r="BO169" i="1"/>
  <c r="BM169" i="1"/>
  <c r="Y169" i="1"/>
  <c r="BN169" i="1" s="1"/>
  <c r="P169" i="1"/>
  <c r="X166" i="1"/>
  <c r="X165" i="1"/>
  <c r="BO164" i="1"/>
  <c r="BM164" i="1"/>
  <c r="Z164" i="1"/>
  <c r="Z165" i="1" s="1"/>
  <c r="Y164" i="1"/>
  <c r="Y166" i="1" s="1"/>
  <c r="P164" i="1"/>
  <c r="X162" i="1"/>
  <c r="X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BN158" i="1" s="1"/>
  <c r="P158" i="1"/>
  <c r="BO157" i="1"/>
  <c r="BM157" i="1"/>
  <c r="Y157" i="1"/>
  <c r="BP157" i="1" s="1"/>
  <c r="P157" i="1"/>
  <c r="BO156" i="1"/>
  <c r="BM156" i="1"/>
  <c r="Y156" i="1"/>
  <c r="BN156" i="1" s="1"/>
  <c r="P156" i="1"/>
  <c r="BO155" i="1"/>
  <c r="BM155" i="1"/>
  <c r="Y155" i="1"/>
  <c r="BP155" i="1" s="1"/>
  <c r="P155" i="1"/>
  <c r="BO154" i="1"/>
  <c r="BM154" i="1"/>
  <c r="Y154" i="1"/>
  <c r="BN154" i="1" s="1"/>
  <c r="P154" i="1"/>
  <c r="X151" i="1"/>
  <c r="X150" i="1"/>
  <c r="BO149" i="1"/>
  <c r="BM149" i="1"/>
  <c r="Y149" i="1"/>
  <c r="BN149" i="1" s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O143" i="1"/>
  <c r="BM143" i="1"/>
  <c r="Y143" i="1"/>
  <c r="Z143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5" i="1"/>
  <c r="X134" i="1"/>
  <c r="BO133" i="1"/>
  <c r="BM133" i="1"/>
  <c r="Y133" i="1"/>
  <c r="BP133" i="1" s="1"/>
  <c r="BO132" i="1"/>
  <c r="BM132" i="1"/>
  <c r="Y132" i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O126" i="1"/>
  <c r="BM126" i="1"/>
  <c r="Y126" i="1"/>
  <c r="BN126" i="1" s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Y129" i="1" s="1"/>
  <c r="P122" i="1"/>
  <c r="X120" i="1"/>
  <c r="X119" i="1"/>
  <c r="BO118" i="1"/>
  <c r="BM118" i="1"/>
  <c r="Y118" i="1"/>
  <c r="BN118" i="1" s="1"/>
  <c r="P118" i="1"/>
  <c r="BO117" i="1"/>
  <c r="BM117" i="1"/>
  <c r="Y117" i="1"/>
  <c r="BP117" i="1" s="1"/>
  <c r="P117" i="1"/>
  <c r="BO116" i="1"/>
  <c r="BM116" i="1"/>
  <c r="Y116" i="1"/>
  <c r="BN116" i="1" s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N110" i="1" s="1"/>
  <c r="P110" i="1"/>
  <c r="BO109" i="1"/>
  <c r="BM109" i="1"/>
  <c r="Y109" i="1"/>
  <c r="BP109" i="1" s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N23" i="1" s="1"/>
  <c r="P23" i="1"/>
  <c r="BO22" i="1"/>
  <c r="X561" i="1" s="1"/>
  <c r="BM22" i="1"/>
  <c r="Y22" i="1"/>
  <c r="B569" i="1" s="1"/>
  <c r="P22" i="1"/>
  <c r="H10" i="1"/>
  <c r="A9" i="1"/>
  <c r="F10" i="1" s="1"/>
  <c r="D7" i="1"/>
  <c r="Q6" i="1"/>
  <c r="P2" i="1"/>
  <c r="BP118" i="1" l="1"/>
  <c r="BP158" i="1"/>
  <c r="BP160" i="1"/>
  <c r="BN160" i="1"/>
  <c r="Z160" i="1"/>
  <c r="BN197" i="1"/>
  <c r="Z197" i="1"/>
  <c r="BP215" i="1"/>
  <c r="BN215" i="1"/>
  <c r="Z215" i="1"/>
  <c r="Y223" i="1"/>
  <c r="BP222" i="1"/>
  <c r="BN222" i="1"/>
  <c r="Z222" i="1"/>
  <c r="Z223" i="1" s="1"/>
  <c r="BN228" i="1"/>
  <c r="Z228" i="1"/>
  <c r="BP238" i="1"/>
  <c r="BN238" i="1"/>
  <c r="Z238" i="1"/>
  <c r="BN252" i="1"/>
  <c r="Z252" i="1"/>
  <c r="BN279" i="1"/>
  <c r="BN285" i="1"/>
  <c r="BP306" i="1"/>
  <c r="BN306" i="1"/>
  <c r="Z306" i="1"/>
  <c r="Y316" i="1"/>
  <c r="Y315" i="1"/>
  <c r="BN314" i="1"/>
  <c r="BN322" i="1"/>
  <c r="BN340" i="1"/>
  <c r="Z340" i="1"/>
  <c r="BN486" i="1"/>
  <c r="BP511" i="1"/>
  <c r="BN511" i="1"/>
  <c r="Z511" i="1"/>
  <c r="BP527" i="1"/>
  <c r="BN527" i="1"/>
  <c r="Z527" i="1"/>
  <c r="X563" i="1"/>
  <c r="Z27" i="1"/>
  <c r="BN27" i="1"/>
  <c r="Z39" i="1"/>
  <c r="BN39" i="1"/>
  <c r="Z56" i="1"/>
  <c r="BN56" i="1"/>
  <c r="Z66" i="1"/>
  <c r="BN66" i="1"/>
  <c r="Z85" i="1"/>
  <c r="BN85" i="1"/>
  <c r="Z88" i="1"/>
  <c r="BN88" i="1"/>
  <c r="Y100" i="1"/>
  <c r="Z95" i="1"/>
  <c r="BN95" i="1"/>
  <c r="Z98" i="1"/>
  <c r="BN98" i="1"/>
  <c r="Y112" i="1"/>
  <c r="Z118" i="1"/>
  <c r="Z158" i="1"/>
  <c r="BN184" i="1"/>
  <c r="Z184" i="1"/>
  <c r="BN191" i="1"/>
  <c r="Z191" i="1"/>
  <c r="BP197" i="1"/>
  <c r="Y207" i="1"/>
  <c r="Y206" i="1"/>
  <c r="BP205" i="1"/>
  <c r="BN205" i="1"/>
  <c r="Z205" i="1"/>
  <c r="Z206" i="1" s="1"/>
  <c r="BN213" i="1"/>
  <c r="Z213" i="1"/>
  <c r="BP228" i="1"/>
  <c r="BP230" i="1"/>
  <c r="BN230" i="1"/>
  <c r="Z230" i="1"/>
  <c r="BN236" i="1"/>
  <c r="Z236" i="1"/>
  <c r="BP252" i="1"/>
  <c r="BP263" i="1"/>
  <c r="BN263" i="1"/>
  <c r="Z263" i="1"/>
  <c r="BN293" i="1"/>
  <c r="BN304" i="1"/>
  <c r="Z304" i="1"/>
  <c r="Y320" i="1"/>
  <c r="Z318" i="1"/>
  <c r="Z319" i="1" s="1"/>
  <c r="BN333" i="1"/>
  <c r="Z333" i="1"/>
  <c r="BP340" i="1"/>
  <c r="BN345" i="1"/>
  <c r="BP367" i="1"/>
  <c r="BN367" i="1"/>
  <c r="Z367" i="1"/>
  <c r="BP375" i="1"/>
  <c r="BN375" i="1"/>
  <c r="Z375" i="1"/>
  <c r="BN385" i="1"/>
  <c r="BN411" i="1"/>
  <c r="BP425" i="1"/>
  <c r="BN425" i="1"/>
  <c r="Z425" i="1"/>
  <c r="BP435" i="1"/>
  <c r="BN435" i="1"/>
  <c r="Z435" i="1"/>
  <c r="BP443" i="1"/>
  <c r="BN443" i="1"/>
  <c r="Z443" i="1"/>
  <c r="BN470" i="1"/>
  <c r="BN480" i="1"/>
  <c r="BN505" i="1"/>
  <c r="BP164" i="1"/>
  <c r="BN217" i="1"/>
  <c r="BN232" i="1"/>
  <c r="BP244" i="1"/>
  <c r="BP267" i="1"/>
  <c r="Y281" i="1"/>
  <c r="BP275" i="1"/>
  <c r="BP289" i="1"/>
  <c r="BN308" i="1"/>
  <c r="BP349" i="1"/>
  <c r="BN360" i="1"/>
  <c r="BN369" i="1"/>
  <c r="BN377" i="1"/>
  <c r="BN391" i="1"/>
  <c r="BN405" i="1"/>
  <c r="BN431" i="1"/>
  <c r="BN437" i="1"/>
  <c r="BN455" i="1"/>
  <c r="BN482" i="1"/>
  <c r="BN497" i="1"/>
  <c r="BN507" i="1"/>
  <c r="BN523" i="1"/>
  <c r="BN556" i="1"/>
  <c r="Z149" i="1"/>
  <c r="BP156" i="1"/>
  <c r="BP183" i="1"/>
  <c r="Z183" i="1"/>
  <c r="Y199" i="1"/>
  <c r="BN195" i="1"/>
  <c r="BP195" i="1"/>
  <c r="Z195" i="1"/>
  <c r="Y203" i="1"/>
  <c r="Y202" i="1"/>
  <c r="BN201" i="1"/>
  <c r="BP201" i="1"/>
  <c r="Z201" i="1"/>
  <c r="Z202" i="1" s="1"/>
  <c r="BN211" i="1"/>
  <c r="BP211" i="1"/>
  <c r="Z211" i="1"/>
  <c r="BN234" i="1"/>
  <c r="BP234" i="1"/>
  <c r="Z234" i="1"/>
  <c r="BN310" i="1"/>
  <c r="BP310" i="1"/>
  <c r="Z310" i="1"/>
  <c r="BN393" i="1"/>
  <c r="BP393" i="1"/>
  <c r="Z393" i="1"/>
  <c r="BN423" i="1"/>
  <c r="Y426" i="1"/>
  <c r="BP423" i="1"/>
  <c r="Z423" i="1"/>
  <c r="X560" i="1"/>
  <c r="X562" i="1" s="1"/>
  <c r="Z23" i="1"/>
  <c r="BP23" i="1"/>
  <c r="Y33" i="1"/>
  <c r="Z29" i="1"/>
  <c r="BP29" i="1"/>
  <c r="Z37" i="1"/>
  <c r="BP37" i="1"/>
  <c r="BN41" i="1"/>
  <c r="BN49" i="1"/>
  <c r="BN58" i="1"/>
  <c r="BN64" i="1"/>
  <c r="BN72" i="1"/>
  <c r="BN80" i="1"/>
  <c r="Z103" i="1"/>
  <c r="BP103" i="1"/>
  <c r="BN107" i="1"/>
  <c r="Z110" i="1"/>
  <c r="BP110" i="1"/>
  <c r="Y120" i="1"/>
  <c r="Z116" i="1"/>
  <c r="BP116" i="1"/>
  <c r="Z122" i="1"/>
  <c r="BP122" i="1"/>
  <c r="BN123" i="1"/>
  <c r="Y134" i="1"/>
  <c r="Z156" i="1"/>
  <c r="BP169" i="1"/>
  <c r="Z169" i="1"/>
  <c r="BP187" i="1"/>
  <c r="Z187" i="1"/>
  <c r="BN273" i="1"/>
  <c r="BP273" i="1"/>
  <c r="Z273" i="1"/>
  <c r="BN287" i="1"/>
  <c r="BP287" i="1"/>
  <c r="Z287" i="1"/>
  <c r="BN387" i="1"/>
  <c r="BP387" i="1"/>
  <c r="Z387" i="1"/>
  <c r="BN449" i="1"/>
  <c r="BP449" i="1"/>
  <c r="Z449" i="1"/>
  <c r="BP171" i="1"/>
  <c r="Y177" i="1"/>
  <c r="BP175" i="1"/>
  <c r="Z175" i="1"/>
  <c r="BP189" i="1"/>
  <c r="Y240" i="1"/>
  <c r="BN226" i="1"/>
  <c r="BP226" i="1"/>
  <c r="Z226" i="1"/>
  <c r="BN331" i="1"/>
  <c r="BP331" i="1"/>
  <c r="Z331" i="1"/>
  <c r="BN338" i="1"/>
  <c r="Y341" i="1"/>
  <c r="BP338" i="1"/>
  <c r="Z338" i="1"/>
  <c r="BN379" i="1"/>
  <c r="BP379" i="1"/>
  <c r="Z379" i="1"/>
  <c r="BN433" i="1"/>
  <c r="BP433" i="1"/>
  <c r="Z433" i="1"/>
  <c r="BN509" i="1"/>
  <c r="BP509" i="1"/>
  <c r="Z509" i="1"/>
  <c r="BN525" i="1"/>
  <c r="BP525" i="1"/>
  <c r="Z525" i="1"/>
  <c r="X559" i="1"/>
  <c r="Z41" i="1"/>
  <c r="Z49" i="1"/>
  <c r="E569" i="1"/>
  <c r="Z58" i="1"/>
  <c r="Z64" i="1"/>
  <c r="BP64" i="1"/>
  <c r="Z72" i="1"/>
  <c r="Y82" i="1"/>
  <c r="Z80" i="1"/>
  <c r="BN103" i="1"/>
  <c r="Z107" i="1"/>
  <c r="BN122" i="1"/>
  <c r="Z123" i="1"/>
  <c r="BP126" i="1"/>
  <c r="Z126" i="1"/>
  <c r="Y145" i="1"/>
  <c r="BN143" i="1"/>
  <c r="BP143" i="1"/>
  <c r="BP149" i="1"/>
  <c r="BP154" i="1"/>
  <c r="Z154" i="1"/>
  <c r="Z171" i="1"/>
  <c r="Z189" i="1"/>
  <c r="BN324" i="1"/>
  <c r="BP324" i="1"/>
  <c r="Z324" i="1"/>
  <c r="BN347" i="1"/>
  <c r="BP347" i="1"/>
  <c r="Z347" i="1"/>
  <c r="BN353" i="1"/>
  <c r="BP353" i="1"/>
  <c r="Z353" i="1"/>
  <c r="BN399" i="1"/>
  <c r="BP399" i="1"/>
  <c r="Z399" i="1"/>
  <c r="BN517" i="1"/>
  <c r="BP517" i="1"/>
  <c r="Z517" i="1"/>
  <c r="BN551" i="1"/>
  <c r="BP551" i="1"/>
  <c r="Z551" i="1"/>
  <c r="Y335" i="1"/>
  <c r="Y401" i="1"/>
  <c r="H569" i="1"/>
  <c r="BN164" i="1"/>
  <c r="Y165" i="1"/>
  <c r="Y193" i="1"/>
  <c r="Z217" i="1"/>
  <c r="Z232" i="1"/>
  <c r="M569" i="1"/>
  <c r="BN267" i="1"/>
  <c r="Z279" i="1"/>
  <c r="Y295" i="1"/>
  <c r="Z285" i="1"/>
  <c r="Z293" i="1"/>
  <c r="Z308" i="1"/>
  <c r="Z314" i="1"/>
  <c r="Z315" i="1" s="1"/>
  <c r="BP314" i="1"/>
  <c r="BN318" i="1"/>
  <c r="Y319" i="1"/>
  <c r="Z322" i="1"/>
  <c r="Z329" i="1"/>
  <c r="BP329" i="1"/>
  <c r="Z345" i="1"/>
  <c r="Z360" i="1"/>
  <c r="Z369" i="1"/>
  <c r="Z377" i="1"/>
  <c r="Z385" i="1"/>
  <c r="Z391" i="1"/>
  <c r="Z397" i="1"/>
  <c r="BP397" i="1"/>
  <c r="Z405" i="1"/>
  <c r="Z431" i="1"/>
  <c r="Z455" i="1"/>
  <c r="Z482" i="1"/>
  <c r="Z497" i="1"/>
  <c r="Z507" i="1"/>
  <c r="Z523" i="1"/>
  <c r="Y248" i="1"/>
  <c r="Z411" i="1"/>
  <c r="Z437" i="1"/>
  <c r="Z470" i="1"/>
  <c r="Z480" i="1"/>
  <c r="Z486" i="1"/>
  <c r="Z505" i="1"/>
  <c r="Z556" i="1"/>
  <c r="Z557" i="1" s="1"/>
  <c r="BP556" i="1"/>
  <c r="H9" i="1"/>
  <c r="A10" i="1"/>
  <c r="Y24" i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61" i="1"/>
  <c r="Y172" i="1"/>
  <c r="Y178" i="1"/>
  <c r="Y192" i="1"/>
  <c r="Y198" i="1"/>
  <c r="Y218" i="1"/>
  <c r="Y241" i="1"/>
  <c r="Y249" i="1"/>
  <c r="Y255" i="1"/>
  <c r="Y259" i="1"/>
  <c r="Y264" i="1"/>
  <c r="Y270" i="1"/>
  <c r="Y280" i="1"/>
  <c r="BP286" i="1"/>
  <c r="BN286" i="1"/>
  <c r="Z286" i="1"/>
  <c r="BP290" i="1"/>
  <c r="BN290" i="1"/>
  <c r="Z290" i="1"/>
  <c r="BP294" i="1"/>
  <c r="BN294" i="1"/>
  <c r="Z294" i="1"/>
  <c r="Y296" i="1"/>
  <c r="Y301" i="1"/>
  <c r="BP298" i="1"/>
  <c r="BN298" i="1"/>
  <c r="Z298" i="1"/>
  <c r="Z300" i="1" s="1"/>
  <c r="BP307" i="1"/>
  <c r="BN307" i="1"/>
  <c r="Z307" i="1"/>
  <c r="Y311" i="1"/>
  <c r="BP323" i="1"/>
  <c r="BN323" i="1"/>
  <c r="Z323" i="1"/>
  <c r="BP332" i="1"/>
  <c r="BN332" i="1"/>
  <c r="Z332" i="1"/>
  <c r="BP346" i="1"/>
  <c r="BN346" i="1"/>
  <c r="Z346" i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2" i="1"/>
  <c r="Y389" i="1"/>
  <c r="BP384" i="1"/>
  <c r="BN384" i="1"/>
  <c r="Z384" i="1"/>
  <c r="Y388" i="1"/>
  <c r="BP392" i="1"/>
  <c r="BN392" i="1"/>
  <c r="Z392" i="1"/>
  <c r="BP400" i="1"/>
  <c r="BN400" i="1"/>
  <c r="Z400" i="1"/>
  <c r="Y402" i="1"/>
  <c r="Y407" i="1"/>
  <c r="BP404" i="1"/>
  <c r="BN404" i="1"/>
  <c r="Z404" i="1"/>
  <c r="BP412" i="1"/>
  <c r="BN412" i="1"/>
  <c r="Z412" i="1"/>
  <c r="Y414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G569" i="1"/>
  <c r="X569" i="1"/>
  <c r="F9" i="1"/>
  <c r="J9" i="1"/>
  <c r="Z22" i="1"/>
  <c r="Z24" i="1" s="1"/>
  <c r="BN22" i="1"/>
  <c r="BP22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69" i="1"/>
  <c r="Z86" i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Z104" i="1"/>
  <c r="BN104" i="1"/>
  <c r="Z106" i="1"/>
  <c r="BN106" i="1"/>
  <c r="Z108" i="1"/>
  <c r="BN108" i="1"/>
  <c r="Z109" i="1"/>
  <c r="BN109" i="1"/>
  <c r="Z115" i="1"/>
  <c r="BN115" i="1"/>
  <c r="Z117" i="1"/>
  <c r="BN117" i="1"/>
  <c r="Z124" i="1"/>
  <c r="BN124" i="1"/>
  <c r="Z127" i="1"/>
  <c r="BN127" i="1"/>
  <c r="Z128" i="1"/>
  <c r="BN128" i="1"/>
  <c r="Z132" i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BN155" i="1"/>
  <c r="Z157" i="1"/>
  <c r="BN157" i="1"/>
  <c r="Z159" i="1"/>
  <c r="BN159" i="1"/>
  <c r="Y162" i="1"/>
  <c r="J569" i="1"/>
  <c r="Z170" i="1"/>
  <c r="BN170" i="1"/>
  <c r="Y173" i="1"/>
  <c r="Z176" i="1"/>
  <c r="Z177" i="1" s="1"/>
  <c r="BN176" i="1"/>
  <c r="Z180" i="1"/>
  <c r="BN180" i="1"/>
  <c r="BP180" i="1"/>
  <c r="Z182" i="1"/>
  <c r="BN182" i="1"/>
  <c r="Z185" i="1"/>
  <c r="BN185" i="1"/>
  <c r="Z186" i="1"/>
  <c r="BN186" i="1"/>
  <c r="Z188" i="1"/>
  <c r="BN188" i="1"/>
  <c r="Z190" i="1"/>
  <c r="BN190" i="1"/>
  <c r="Z196" i="1"/>
  <c r="BN196" i="1"/>
  <c r="K569" i="1"/>
  <c r="Z212" i="1"/>
  <c r="BN212" i="1"/>
  <c r="Z214" i="1"/>
  <c r="BN214" i="1"/>
  <c r="Z216" i="1"/>
  <c r="BN216" i="1"/>
  <c r="Y219" i="1"/>
  <c r="L569" i="1"/>
  <c r="Y224" i="1"/>
  <c r="Z227" i="1"/>
  <c r="BN227" i="1"/>
  <c r="Z229" i="1"/>
  <c r="BN229" i="1"/>
  <c r="Z231" i="1"/>
  <c r="BN231" i="1"/>
  <c r="Z233" i="1"/>
  <c r="BN233" i="1"/>
  <c r="Z235" i="1"/>
  <c r="BN235" i="1"/>
  <c r="Z237" i="1"/>
  <c r="BN237" i="1"/>
  <c r="Z239" i="1"/>
  <c r="BN239" i="1"/>
  <c r="Z243" i="1"/>
  <c r="BN243" i="1"/>
  <c r="BP243" i="1"/>
  <c r="Z245" i="1"/>
  <c r="BN245" i="1"/>
  <c r="Z247" i="1"/>
  <c r="BN247" i="1"/>
  <c r="Z251" i="1"/>
  <c r="Z254" i="1" s="1"/>
  <c r="BN251" i="1"/>
  <c r="BP251" i="1"/>
  <c r="Z253" i="1"/>
  <c r="BN253" i="1"/>
  <c r="Z257" i="1"/>
  <c r="Z258" i="1" s="1"/>
  <c r="BN257" i="1"/>
  <c r="BP257" i="1"/>
  <c r="Z262" i="1"/>
  <c r="Z264" i="1" s="1"/>
  <c r="BN262" i="1"/>
  <c r="BP262" i="1"/>
  <c r="Y265" i="1"/>
  <c r="Z268" i="1"/>
  <c r="Z269" i="1" s="1"/>
  <c r="BN268" i="1"/>
  <c r="Z272" i="1"/>
  <c r="BN272" i="1"/>
  <c r="BP272" i="1"/>
  <c r="Z274" i="1"/>
  <c r="BN274" i="1"/>
  <c r="Z276" i="1"/>
  <c r="BN276" i="1"/>
  <c r="Z278" i="1"/>
  <c r="BN278" i="1"/>
  <c r="BP284" i="1"/>
  <c r="BN284" i="1"/>
  <c r="Z284" i="1"/>
  <c r="BP288" i="1"/>
  <c r="BN288" i="1"/>
  <c r="Z288" i="1"/>
  <c r="BP292" i="1"/>
  <c r="BN292" i="1"/>
  <c r="Z292" i="1"/>
  <c r="Y300" i="1"/>
  <c r="BP305" i="1"/>
  <c r="BN305" i="1"/>
  <c r="Z305" i="1"/>
  <c r="BP309" i="1"/>
  <c r="BN309" i="1"/>
  <c r="Z309" i="1"/>
  <c r="Y326" i="1"/>
  <c r="Y325" i="1"/>
  <c r="BP330" i="1"/>
  <c r="BN330" i="1"/>
  <c r="Z330" i="1"/>
  <c r="Y334" i="1"/>
  <c r="BP339" i="1"/>
  <c r="BN339" i="1"/>
  <c r="Z339" i="1"/>
  <c r="BP348" i="1"/>
  <c r="BN348" i="1"/>
  <c r="Z348" i="1"/>
  <c r="Z350" i="1" s="1"/>
  <c r="Y355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BP378" i="1"/>
  <c r="BN378" i="1"/>
  <c r="Z378" i="1"/>
  <c r="BP386" i="1"/>
  <c r="BN386" i="1"/>
  <c r="Z386" i="1"/>
  <c r="Y395" i="1"/>
  <c r="Y394" i="1"/>
  <c r="BP398" i="1"/>
  <c r="BN398" i="1"/>
  <c r="Z398" i="1"/>
  <c r="BP406" i="1"/>
  <c r="BN406" i="1"/>
  <c r="Z406" i="1"/>
  <c r="Y408" i="1"/>
  <c r="Y413" i="1"/>
  <c r="BP410" i="1"/>
  <c r="BN410" i="1"/>
  <c r="Z410" i="1"/>
  <c r="Y419" i="1"/>
  <c r="BP424" i="1"/>
  <c r="BN424" i="1"/>
  <c r="Z424" i="1"/>
  <c r="BP434" i="1"/>
  <c r="BN434" i="1"/>
  <c r="Z434" i="1"/>
  <c r="P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439" i="1" l="1"/>
  <c r="Z119" i="1"/>
  <c r="Z51" i="1"/>
  <c r="Z445" i="1"/>
  <c r="Z426" i="1"/>
  <c r="Z413" i="1"/>
  <c r="Z401" i="1"/>
  <c r="Z341" i="1"/>
  <c r="Z334" i="1"/>
  <c r="Z311" i="1"/>
  <c r="Z198" i="1"/>
  <c r="Z172" i="1"/>
  <c r="Z68" i="1"/>
  <c r="Z32" i="1"/>
  <c r="Z280" i="1"/>
  <c r="Z218" i="1"/>
  <c r="Z192" i="1"/>
  <c r="Z134" i="1"/>
  <c r="Z81" i="1"/>
  <c r="Z42" i="1"/>
  <c r="Z161" i="1"/>
  <c r="Z394" i="1"/>
  <c r="Z129" i="1"/>
  <c r="Z111" i="1"/>
  <c r="Z90" i="1"/>
  <c r="Z240" i="1"/>
  <c r="Z325" i="1"/>
  <c r="Z513" i="1"/>
  <c r="Z483" i="1"/>
  <c r="Z381" i="1"/>
  <c r="Z371" i="1"/>
  <c r="Z295" i="1"/>
  <c r="Z248" i="1"/>
  <c r="Z99" i="1"/>
  <c r="Z74" i="1"/>
  <c r="Z61" i="1"/>
  <c r="Y561" i="1"/>
  <c r="Z499" i="1"/>
  <c r="Z388" i="1"/>
  <c r="Z362" i="1"/>
  <c r="Y563" i="1"/>
  <c r="Y559" i="1"/>
  <c r="Y560" i="1"/>
  <c r="Y562" i="1" s="1"/>
  <c r="Z529" i="1"/>
  <c r="Z472" i="1"/>
  <c r="Z451" i="1"/>
  <c r="Z407" i="1"/>
  <c r="Z564" i="1" l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<sst xmlns="http://schemas.openxmlformats.org/spreadsheetml/2006/main" count="2558" uniqueCount="917">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</sst>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9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38" t="s">
        <v>0</v>
      </c>
      <c r="E1" s="679"/>
      <c r="F1" s="679"/>
      <c r="G1" s="12" t="s">
        <v>1</v>
      </c>
      <c r="H1" s="738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2" t="s">
        <v>8</v>
      </c>
      <c r="B5" s="697"/>
      <c r="C5" s="698"/>
      <c r="D5" s="720"/>
      <c r="E5" s="721"/>
      <c r="F5" s="960" t="s">
        <v>9</v>
      </c>
      <c r="G5" s="698"/>
      <c r="H5" s="720" t="s">
        <v>916</v>
      </c>
      <c r="I5" s="901"/>
      <c r="J5" s="901"/>
      <c r="K5" s="901"/>
      <c r="L5" s="901"/>
      <c r="M5" s="721"/>
      <c r="N5" s="58"/>
      <c r="P5" s="24" t="s">
        <v>10</v>
      </c>
      <c r="Q5" s="980">
        <v>46266</v>
      </c>
      <c r="R5" s="761"/>
      <c r="T5" s="837" t="s">
        <v>11</v>
      </c>
      <c r="U5" s="822"/>
      <c r="V5" s="840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2" t="s">
        <v>13</v>
      </c>
      <c r="B6" s="697"/>
      <c r="C6" s="698"/>
      <c r="D6" s="903" t="s">
        <v>889</v>
      </c>
      <c r="E6" s="904"/>
      <c r="F6" s="904"/>
      <c r="G6" s="904"/>
      <c r="H6" s="904"/>
      <c r="I6" s="904"/>
      <c r="J6" s="904"/>
      <c r="K6" s="904"/>
      <c r="L6" s="904"/>
      <c r="M6" s="761"/>
      <c r="N6" s="59"/>
      <c r="P6" s="24" t="s">
        <v>14</v>
      </c>
      <c r="Q6" s="990" t="str">
        <f>IF(Q5=0," ",CHOOSE(WEEKDAY(Q5,2),"Понедельник","Вторник","Среда","Четверг","Пятница","Суббота","Воскресенье"))</f>
        <v>Вторник</v>
      </c>
      <c r="R6" s="652"/>
      <c r="T6" s="821" t="s">
        <v>15</v>
      </c>
      <c r="U6" s="822"/>
      <c r="V6" s="888" t="s">
        <v>16</v>
      </c>
      <c r="W6" s="69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22" t="str">
        <f>IFERROR(VLOOKUP(DeliveryAddress,Table,3,0),1)</f>
        <v>5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54"/>
      <c r="U7" s="822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04" t="s">
        <v>17</v>
      </c>
      <c r="B8" s="659"/>
      <c r="C8" s="660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770">
        <v>0.5</v>
      </c>
      <c r="R8" s="724"/>
      <c r="T8" s="654"/>
      <c r="U8" s="822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8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84"/>
      <c r="E9" s="667"/>
      <c r="F9" s="8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5"/>
      <c r="P9" s="26" t="s">
        <v>19</v>
      </c>
      <c r="Q9" s="786"/>
      <c r="R9" s="787"/>
      <c r="T9" s="654"/>
      <c r="U9" s="822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84"/>
      <c r="E10" s="667"/>
      <c r="F10" s="8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1" t="str">
        <f>IFERROR(VLOOKUP($D$10,Proxy,2,FALSE),"")</f>
        <v/>
      </c>
      <c r="I10" s="654"/>
      <c r="J10" s="654"/>
      <c r="K10" s="654"/>
      <c r="L10" s="654"/>
      <c r="M10" s="654"/>
      <c r="N10" s="636"/>
      <c r="P10" s="26" t="s">
        <v>20</v>
      </c>
      <c r="Q10" s="823"/>
      <c r="R10" s="824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39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07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0"/>
      <c r="R12" s="724"/>
      <c r="S12" s="23"/>
      <c r="U12" s="24"/>
      <c r="V12" s="679"/>
      <c r="W12" s="654"/>
      <c r="AB12" s="51"/>
      <c r="AC12" s="51"/>
      <c r="AD12" s="51"/>
      <c r="AE12" s="51"/>
    </row>
    <row r="13" spans="1:32" s="637" customFormat="1" ht="23.25" customHeight="1" x14ac:dyDescent="0.2">
      <c r="A13" s="807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39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07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09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811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81" t="s">
        <v>36</v>
      </c>
      <c r="D17" s="689" t="s">
        <v>37</v>
      </c>
      <c r="E17" s="744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3"/>
      <c r="R17" s="743"/>
      <c r="S17" s="743"/>
      <c r="T17" s="744"/>
      <c r="U17" s="996" t="s">
        <v>49</v>
      </c>
      <c r="V17" s="698"/>
      <c r="W17" s="689" t="s">
        <v>50</v>
      </c>
      <c r="X17" s="689" t="s">
        <v>51</v>
      </c>
      <c r="Y17" s="1019" t="s">
        <v>52</v>
      </c>
      <c r="Z17" s="917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5"/>
      <c r="E18" s="747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90"/>
      <c r="X18" s="690"/>
      <c r="Y18" s="1020"/>
      <c r="Z18" s="918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57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8"/>
      <c r="AB20" s="638"/>
      <c r="AC20" s="638"/>
    </row>
    <row r="21" spans="1:68" ht="14.25" hidden="1" customHeight="1" x14ac:dyDescent="0.25">
      <c r="A21" s="656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1">
        <v>4680115886643</v>
      </c>
      <c r="E22" s="652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1">
        <v>4680115889071</v>
      </c>
      <c r="E23" s="652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8" t="s">
        <v>72</v>
      </c>
      <c r="Q24" s="659"/>
      <c r="R24" s="659"/>
      <c r="S24" s="659"/>
      <c r="T24" s="659"/>
      <c r="U24" s="659"/>
      <c r="V24" s="660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8" t="s">
        <v>72</v>
      </c>
      <c r="Q25" s="659"/>
      <c r="R25" s="659"/>
      <c r="S25" s="659"/>
      <c r="T25" s="659"/>
      <c r="U25" s="659"/>
      <c r="V25" s="660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6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1">
        <v>4680115885912</v>
      </c>
      <c r="E27" s="652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1">
        <v>4607091388237</v>
      </c>
      <c r="E28" s="652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1">
        <v>4680115887350</v>
      </c>
      <c r="E29" s="652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1">
        <v>4680115885905</v>
      </c>
      <c r="E30" s="652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1">
        <v>4680115887619</v>
      </c>
      <c r="E31" s="652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8" t="s">
        <v>72</v>
      </c>
      <c r="Q32" s="659"/>
      <c r="R32" s="659"/>
      <c r="S32" s="659"/>
      <c r="T32" s="659"/>
      <c r="U32" s="659"/>
      <c r="V32" s="660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8" t="s">
        <v>72</v>
      </c>
      <c r="Q33" s="659"/>
      <c r="R33" s="659"/>
      <c r="S33" s="659"/>
      <c r="T33" s="659"/>
      <c r="U33" s="659"/>
      <c r="V33" s="660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57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8"/>
      <c r="AB35" s="638"/>
      <c r="AC35" s="638"/>
    </row>
    <row r="36" spans="1:68" ht="14.25" hidden="1" customHeight="1" x14ac:dyDescent="0.25">
      <c r="A36" s="656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1">
        <v>4680115889354</v>
      </c>
      <c r="E37" s="652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1">
        <v>4680115888463</v>
      </c>
      <c r="E38" s="652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1">
        <v>4680115889590</v>
      </c>
      <c r="E39" s="652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1">
        <v>4680115888272</v>
      </c>
      <c r="E40" s="652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1">
        <v>4680115888364</v>
      </c>
      <c r="E41" s="652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8" t="s">
        <v>72</v>
      </c>
      <c r="Q42" s="659"/>
      <c r="R42" s="659"/>
      <c r="S42" s="659"/>
      <c r="T42" s="659"/>
      <c r="U42" s="659"/>
      <c r="V42" s="660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8" t="s">
        <v>72</v>
      </c>
      <c r="Q43" s="659"/>
      <c r="R43" s="659"/>
      <c r="S43" s="659"/>
      <c r="T43" s="659"/>
      <c r="U43" s="659"/>
      <c r="V43" s="660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57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8"/>
      <c r="AB45" s="638"/>
      <c r="AC45" s="638"/>
    </row>
    <row r="46" spans="1:68" ht="14.25" hidden="1" customHeight="1" x14ac:dyDescent="0.25">
      <c r="A46" s="656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1">
        <v>4607091385670</v>
      </c>
      <c r="E47" s="652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6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600</v>
      </c>
      <c r="Y47" s="644">
        <f>IFERROR(IF(X47="",0,CEILING((X47/$H47),1)*$H47),"")</f>
        <v>604.80000000000007</v>
      </c>
      <c r="Z47" s="36">
        <f>IFERROR(IF(Y47=0,"",ROUNDUP(Y47/H47,0)*0.01898),"")</f>
        <v>1.06288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622.77777777777783</v>
      </c>
      <c r="BN47" s="64">
        <f>IFERROR(Y47*I47/H47,"0")</f>
        <v>627.76</v>
      </c>
      <c r="BO47" s="64">
        <f>IFERROR(1/J47*(X47/H47),"0")</f>
        <v>0.86805555555555547</v>
      </c>
      <c r="BP47" s="64">
        <f>IFERROR(1/J47*(Y47/H47),"0")</f>
        <v>0.875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1">
        <v>4680115887725</v>
      </c>
      <c r="E48" s="652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1">
        <v>4607091385687</v>
      </c>
      <c r="E49" s="652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1">
        <v>4680115882539</v>
      </c>
      <c r="E50" s="652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8" t="s">
        <v>72</v>
      </c>
      <c r="Q51" s="659"/>
      <c r="R51" s="659"/>
      <c r="S51" s="659"/>
      <c r="T51" s="659"/>
      <c r="U51" s="659"/>
      <c r="V51" s="660"/>
      <c r="W51" s="37" t="s">
        <v>73</v>
      </c>
      <c r="X51" s="645">
        <f>IFERROR(X47/H47,"0")+IFERROR(X48/H48,"0")+IFERROR(X49/H49,"0")+IFERROR(X50/H50,"0")</f>
        <v>55.55555555555555</v>
      </c>
      <c r="Y51" s="645">
        <f>IFERROR(Y47/H47,"0")+IFERROR(Y48/H48,"0")+IFERROR(Y49/H49,"0")+IFERROR(Y50/H50,"0")</f>
        <v>56</v>
      </c>
      <c r="Z51" s="645">
        <f>IFERROR(IF(Z47="",0,Z47),"0")+IFERROR(IF(Z48="",0,Z48),"0")+IFERROR(IF(Z49="",0,Z49),"0")+IFERROR(IF(Z50="",0,Z50),"0")</f>
        <v>1.06288</v>
      </c>
      <c r="AA51" s="646"/>
      <c r="AB51" s="646"/>
      <c r="AC51" s="646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8" t="s">
        <v>72</v>
      </c>
      <c r="Q52" s="659"/>
      <c r="R52" s="659"/>
      <c r="S52" s="659"/>
      <c r="T52" s="659"/>
      <c r="U52" s="659"/>
      <c r="V52" s="660"/>
      <c r="W52" s="37" t="s">
        <v>67</v>
      </c>
      <c r="X52" s="645">
        <f>IFERROR(SUM(X47:X50),"0")</f>
        <v>600</v>
      </c>
      <c r="Y52" s="645">
        <f>IFERROR(SUM(Y47:Y50),"0")</f>
        <v>604.80000000000007</v>
      </c>
      <c r="Z52" s="37"/>
      <c r="AA52" s="646"/>
      <c r="AB52" s="646"/>
      <c r="AC52" s="646"/>
    </row>
    <row r="53" spans="1:68" ht="16.5" hidden="1" customHeight="1" x14ac:dyDescent="0.25">
      <c r="A53" s="657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8"/>
      <c r="AB53" s="638"/>
      <c r="AC53" s="638"/>
    </row>
    <row r="54" spans="1:68" ht="14.25" hidden="1" customHeight="1" x14ac:dyDescent="0.25">
      <c r="A54" s="656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1">
        <v>4680115885882</v>
      </c>
      <c r="E55" s="652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1">
        <v>4680115881426</v>
      </c>
      <c r="E56" s="652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1">
        <v>4680115880283</v>
      </c>
      <c r="E57" s="652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1">
        <v>4680115881525</v>
      </c>
      <c r="E58" s="652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1">
        <v>4680115885899</v>
      </c>
      <c r="E59" s="652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51">
        <v>4680115881419</v>
      </c>
      <c r="E60" s="652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idden="1" x14ac:dyDescent="0.2">
      <c r="A61" s="653"/>
      <c r="B61" s="654"/>
      <c r="C61" s="654"/>
      <c r="D61" s="654"/>
      <c r="E61" s="654"/>
      <c r="F61" s="654"/>
      <c r="G61" s="654"/>
      <c r="H61" s="654"/>
      <c r="I61" s="654"/>
      <c r="J61" s="654"/>
      <c r="K61" s="654"/>
      <c r="L61" s="654"/>
      <c r="M61" s="654"/>
      <c r="N61" s="654"/>
      <c r="O61" s="655"/>
      <c r="P61" s="658" t="s">
        <v>72</v>
      </c>
      <c r="Q61" s="659"/>
      <c r="R61" s="659"/>
      <c r="S61" s="659"/>
      <c r="T61" s="659"/>
      <c r="U61" s="659"/>
      <c r="V61" s="660"/>
      <c r="W61" s="37" t="s">
        <v>73</v>
      </c>
      <c r="X61" s="645">
        <f>IFERROR(X55/H55,"0")+IFERROR(X56/H56,"0")+IFERROR(X57/H57,"0")+IFERROR(X58/H58,"0")+IFERROR(X59/H59,"0")+IFERROR(X60/H60,"0")</f>
        <v>0</v>
      </c>
      <c r="Y61" s="645">
        <f>IFERROR(Y55/H55,"0")+IFERROR(Y56/H56,"0")+IFERROR(Y57/H57,"0")+IFERROR(Y58/H58,"0")+IFERROR(Y59/H59,"0")+IFERROR(Y60/H60,"0")</f>
        <v>0</v>
      </c>
      <c r="Z61" s="645">
        <f>IFERROR(IF(Z55="",0,Z55),"0")+IFERROR(IF(Z56="",0,Z56),"0")+IFERROR(IF(Z57="",0,Z57),"0")+IFERROR(IF(Z58="",0,Z58),"0")+IFERROR(IF(Z59="",0,Z59),"0")+IFERROR(IF(Z60="",0,Z60),"0")</f>
        <v>0</v>
      </c>
      <c r="AA61" s="646"/>
      <c r="AB61" s="646"/>
      <c r="AC61" s="646"/>
    </row>
    <row r="62" spans="1:68" hidden="1" x14ac:dyDescent="0.2">
      <c r="A62" s="654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58" t="s">
        <v>72</v>
      </c>
      <c r="Q62" s="659"/>
      <c r="R62" s="659"/>
      <c r="S62" s="659"/>
      <c r="T62" s="659"/>
      <c r="U62" s="659"/>
      <c r="V62" s="660"/>
      <c r="W62" s="37" t="s">
        <v>67</v>
      </c>
      <c r="X62" s="645">
        <f>IFERROR(SUM(X55:X60),"0")</f>
        <v>0</v>
      </c>
      <c r="Y62" s="645">
        <f>IFERROR(SUM(Y55:Y60),"0")</f>
        <v>0</v>
      </c>
      <c r="Z62" s="37"/>
      <c r="AA62" s="646"/>
      <c r="AB62" s="646"/>
      <c r="AC62" s="646"/>
    </row>
    <row r="63" spans="1:68" ht="14.25" hidden="1" customHeight="1" x14ac:dyDescent="0.25">
      <c r="A63" s="656" t="s">
        <v>144</v>
      </c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4"/>
      <c r="W63" s="654"/>
      <c r="X63" s="654"/>
      <c r="Y63" s="654"/>
      <c r="Z63" s="654"/>
      <c r="AA63" s="639"/>
      <c r="AB63" s="639"/>
      <c r="AC63" s="639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51">
        <v>4680115881440</v>
      </c>
      <c r="E64" s="652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0</v>
      </c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1">
        <v>4680115885950</v>
      </c>
      <c r="E65" s="652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1">
        <v>4680115887688</v>
      </c>
      <c r="E66" s="652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8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1">
        <v>4680115881433</v>
      </c>
      <c r="E67" s="652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53"/>
      <c r="B68" s="654"/>
      <c r="C68" s="654"/>
      <c r="D68" s="654"/>
      <c r="E68" s="654"/>
      <c r="F68" s="654"/>
      <c r="G68" s="654"/>
      <c r="H68" s="654"/>
      <c r="I68" s="654"/>
      <c r="J68" s="654"/>
      <c r="K68" s="654"/>
      <c r="L68" s="654"/>
      <c r="M68" s="654"/>
      <c r="N68" s="654"/>
      <c r="O68" s="655"/>
      <c r="P68" s="658" t="s">
        <v>72</v>
      </c>
      <c r="Q68" s="659"/>
      <c r="R68" s="659"/>
      <c r="S68" s="659"/>
      <c r="T68" s="659"/>
      <c r="U68" s="659"/>
      <c r="V68" s="660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hidden="1" x14ac:dyDescent="0.2">
      <c r="A69" s="654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58" t="s">
        <v>72</v>
      </c>
      <c r="Q69" s="659"/>
      <c r="R69" s="659"/>
      <c r="S69" s="659"/>
      <c r="T69" s="659"/>
      <c r="U69" s="659"/>
      <c r="V69" s="660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hidden="1" customHeight="1" x14ac:dyDescent="0.25">
      <c r="A70" s="656" t="s">
        <v>74</v>
      </c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39"/>
      <c r="AB70" s="639"/>
      <c r="AC70" s="639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1">
        <v>4680115884311</v>
      </c>
      <c r="E71" s="652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1">
        <v>4680115884403</v>
      </c>
      <c r="E72" s="652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1">
        <v>4680115884403</v>
      </c>
      <c r="E73" s="652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3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8" t="s">
        <v>72</v>
      </c>
      <c r="Q74" s="659"/>
      <c r="R74" s="659"/>
      <c r="S74" s="659"/>
      <c r="T74" s="659"/>
      <c r="U74" s="659"/>
      <c r="V74" s="660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hidden="1" x14ac:dyDescent="0.2">
      <c r="A75" s="654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58" t="s">
        <v>72</v>
      </c>
      <c r="Q75" s="659"/>
      <c r="R75" s="659"/>
      <c r="S75" s="659"/>
      <c r="T75" s="659"/>
      <c r="U75" s="659"/>
      <c r="V75" s="660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hidden="1" customHeight="1" x14ac:dyDescent="0.25">
      <c r="A76" s="656" t="s">
        <v>162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39"/>
      <c r="AB76" s="639"/>
      <c r="AC76" s="639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51">
        <v>4680115881532</v>
      </c>
      <c r="E77" s="652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7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1">
        <v>4680115881532</v>
      </c>
      <c r="E78" s="652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1">
        <v>4680115881464</v>
      </c>
      <c r="E79" s="652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7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1">
        <v>4680115881464</v>
      </c>
      <c r="E80" s="652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58" t="s">
        <v>72</v>
      </c>
      <c r="Q81" s="659"/>
      <c r="R81" s="659"/>
      <c r="S81" s="659"/>
      <c r="T81" s="659"/>
      <c r="U81" s="659"/>
      <c r="V81" s="660"/>
      <c r="W81" s="37" t="s">
        <v>73</v>
      </c>
      <c r="X81" s="645">
        <f>IFERROR(X77/H77,"0")+IFERROR(X78/H78,"0")+IFERROR(X79/H79,"0")+IFERROR(X80/H80,"0")</f>
        <v>0</v>
      </c>
      <c r="Y81" s="645">
        <f>IFERROR(Y77/H77,"0")+IFERROR(Y78/H78,"0")+IFERROR(Y79/H79,"0")+IFERROR(Y80/H80,"0")</f>
        <v>0</v>
      </c>
      <c r="Z81" s="645">
        <f>IFERROR(IF(Z77="",0,Z77),"0")+IFERROR(IF(Z78="",0,Z78),"0")+IFERROR(IF(Z79="",0,Z79),"0")+IFERROR(IF(Z80="",0,Z80),"0")</f>
        <v>0</v>
      </c>
      <c r="AA81" s="646"/>
      <c r="AB81" s="646"/>
      <c r="AC81" s="646"/>
    </row>
    <row r="82" spans="1:68" hidden="1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58" t="s">
        <v>72</v>
      </c>
      <c r="Q82" s="659"/>
      <c r="R82" s="659"/>
      <c r="S82" s="659"/>
      <c r="T82" s="659"/>
      <c r="U82" s="659"/>
      <c r="V82" s="660"/>
      <c r="W82" s="37" t="s">
        <v>67</v>
      </c>
      <c r="X82" s="645">
        <f>IFERROR(SUM(X77:X80),"0")</f>
        <v>0</v>
      </c>
      <c r="Y82" s="645">
        <f>IFERROR(SUM(Y77:Y80),"0")</f>
        <v>0</v>
      </c>
      <c r="Z82" s="37"/>
      <c r="AA82" s="646"/>
      <c r="AB82" s="646"/>
      <c r="AC82" s="646"/>
    </row>
    <row r="83" spans="1:68" ht="16.5" hidden="1" customHeight="1" x14ac:dyDescent="0.25">
      <c r="A83" s="657" t="s">
        <v>171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8"/>
      <c r="AB83" s="638"/>
      <c r="AC83" s="638"/>
    </row>
    <row r="84" spans="1:68" ht="14.25" hidden="1" customHeight="1" x14ac:dyDescent="0.25">
      <c r="A84" s="656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9"/>
      <c r="AB84" s="639"/>
      <c r="AC84" s="6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651">
        <v>4680115881327</v>
      </c>
      <c r="E85" s="652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0</v>
      </c>
      <c r="Y85" s="6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51">
        <v>4680115887732</v>
      </c>
      <c r="E86" s="652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1">
        <v>4680115887732</v>
      </c>
      <c r="E87" s="652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1">
        <v>4680115881518</v>
      </c>
      <c r="E88" s="652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1">
        <v>4680115881303</v>
      </c>
      <c r="E89" s="652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53"/>
      <c r="B90" s="654"/>
      <c r="C90" s="654"/>
      <c r="D90" s="654"/>
      <c r="E90" s="654"/>
      <c r="F90" s="654"/>
      <c r="G90" s="654"/>
      <c r="H90" s="654"/>
      <c r="I90" s="654"/>
      <c r="J90" s="654"/>
      <c r="K90" s="654"/>
      <c r="L90" s="654"/>
      <c r="M90" s="654"/>
      <c r="N90" s="654"/>
      <c r="O90" s="655"/>
      <c r="P90" s="658" t="s">
        <v>72</v>
      </c>
      <c r="Q90" s="659"/>
      <c r="R90" s="659"/>
      <c r="S90" s="659"/>
      <c r="T90" s="659"/>
      <c r="U90" s="659"/>
      <c r="V90" s="660"/>
      <c r="W90" s="37" t="s">
        <v>73</v>
      </c>
      <c r="X90" s="645">
        <f>IFERROR(X85/H85,"0")+IFERROR(X86/H86,"0")+IFERROR(X87/H87,"0")+IFERROR(X88/H88,"0")+IFERROR(X89/H89,"0")</f>
        <v>0</v>
      </c>
      <c r="Y90" s="645">
        <f>IFERROR(Y85/H85,"0")+IFERROR(Y86/H86,"0")+IFERROR(Y87/H87,"0")+IFERROR(Y88/H88,"0")+IFERROR(Y89/H89,"0")</f>
        <v>0</v>
      </c>
      <c r="Z90" s="645">
        <f>IFERROR(IF(Z85="",0,Z85),"0")+IFERROR(IF(Z86="",0,Z86),"0")+IFERROR(IF(Z87="",0,Z87),"0")+IFERROR(IF(Z88="",0,Z88),"0")+IFERROR(IF(Z89="",0,Z89),"0")</f>
        <v>0</v>
      </c>
      <c r="AA90" s="646"/>
      <c r="AB90" s="646"/>
      <c r="AC90" s="646"/>
    </row>
    <row r="91" spans="1:68" hidden="1" x14ac:dyDescent="0.2">
      <c r="A91" s="654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58" t="s">
        <v>72</v>
      </c>
      <c r="Q91" s="659"/>
      <c r="R91" s="659"/>
      <c r="S91" s="659"/>
      <c r="T91" s="659"/>
      <c r="U91" s="659"/>
      <c r="V91" s="660"/>
      <c r="W91" s="37" t="s">
        <v>67</v>
      </c>
      <c r="X91" s="645">
        <f>IFERROR(SUM(X85:X89),"0")</f>
        <v>0</v>
      </c>
      <c r="Y91" s="645">
        <f>IFERROR(SUM(Y85:Y89),"0")</f>
        <v>0</v>
      </c>
      <c r="Z91" s="37"/>
      <c r="AA91" s="646"/>
      <c r="AB91" s="646"/>
      <c r="AC91" s="646"/>
    </row>
    <row r="92" spans="1:68" ht="14.25" hidden="1" customHeight="1" x14ac:dyDescent="0.25">
      <c r="A92" s="656" t="s">
        <v>74</v>
      </c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  <c r="AA92" s="639"/>
      <c r="AB92" s="639"/>
      <c r="AC92" s="639"/>
    </row>
    <row r="93" spans="1:68" ht="27" hidden="1" customHeight="1" x14ac:dyDescent="0.25">
      <c r="A93" s="54" t="s">
        <v>184</v>
      </c>
      <c r="B93" s="54" t="s">
        <v>185</v>
      </c>
      <c r="C93" s="31">
        <v>4301051712</v>
      </c>
      <c r="D93" s="651">
        <v>4607091386967</v>
      </c>
      <c r="E93" s="652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0</v>
      </c>
      <c r="Y93" s="644">
        <f t="shared" ref="Y93:Y98" si="5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0</v>
      </c>
      <c r="BN93" s="64">
        <f t="shared" ref="BN93:BN98" si="7">IFERROR(Y93*I93/H93,"0")</f>
        <v>0</v>
      </c>
      <c r="BO93" s="64">
        <f t="shared" ref="BO93:BO98" si="8">IFERROR(1/J93*(X93/H93),"0")</f>
        <v>0</v>
      </c>
      <c r="BP93" s="64">
        <f t="shared" ref="BP93:BP98" si="9">IFERROR(1/J93*(Y93/H93),"0")</f>
        <v>0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1">
        <v>4607091386967</v>
      </c>
      <c r="E94" s="652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7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1">
        <v>4680115884953</v>
      </c>
      <c r="E95" s="652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1">
        <v>4607091385731</v>
      </c>
      <c r="E96" s="652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182</v>
      </c>
      <c r="Y96" s="644">
        <f t="shared" si="5"/>
        <v>183.60000000000002</v>
      </c>
      <c r="Z96" s="36">
        <f>IFERROR(IF(Y96=0,"",ROUNDUP(Y96/H96,0)*0.00651),"")</f>
        <v>0.44268000000000002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198.98666666666665</v>
      </c>
      <c r="BN96" s="64">
        <f t="shared" si="7"/>
        <v>200.73599999999999</v>
      </c>
      <c r="BO96" s="64">
        <f t="shared" si="8"/>
        <v>0.37037037037037041</v>
      </c>
      <c r="BP96" s="64">
        <f t="shared" si="9"/>
        <v>0.37362637362637363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51">
        <v>4607091385731</v>
      </c>
      <c r="E97" s="652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34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1">
        <v>4680115880894</v>
      </c>
      <c r="E98" s="652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3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58" t="s">
        <v>72</v>
      </c>
      <c r="Q99" s="659"/>
      <c r="R99" s="659"/>
      <c r="S99" s="659"/>
      <c r="T99" s="659"/>
      <c r="U99" s="659"/>
      <c r="V99" s="660"/>
      <c r="W99" s="37" t="s">
        <v>73</v>
      </c>
      <c r="X99" s="645">
        <f>IFERROR(X93/H93,"0")+IFERROR(X94/H94,"0")+IFERROR(X95/H95,"0")+IFERROR(X96/H96,"0")+IFERROR(X97/H97,"0")+IFERROR(X98/H98,"0")</f>
        <v>67.407407407407405</v>
      </c>
      <c r="Y99" s="645">
        <f>IFERROR(Y93/H93,"0")+IFERROR(Y94/H94,"0")+IFERROR(Y95/H95,"0")+IFERROR(Y96/H96,"0")+IFERROR(Y97/H97,"0")+IFERROR(Y98/H98,"0")</f>
        <v>68</v>
      </c>
      <c r="Z99" s="645">
        <f>IFERROR(IF(Z93="",0,Z93),"0")+IFERROR(IF(Z94="",0,Z94),"0")+IFERROR(IF(Z95="",0,Z95),"0")+IFERROR(IF(Z96="",0,Z96),"0")+IFERROR(IF(Z97="",0,Z97),"0")+IFERROR(IF(Z98="",0,Z98),"0")</f>
        <v>0.44268000000000002</v>
      </c>
      <c r="AA99" s="646"/>
      <c r="AB99" s="646"/>
      <c r="AC99" s="646"/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8" t="s">
        <v>72</v>
      </c>
      <c r="Q100" s="659"/>
      <c r="R100" s="659"/>
      <c r="S100" s="659"/>
      <c r="T100" s="659"/>
      <c r="U100" s="659"/>
      <c r="V100" s="660"/>
      <c r="W100" s="37" t="s">
        <v>67</v>
      </c>
      <c r="X100" s="645">
        <f>IFERROR(SUM(X93:X98),"0")</f>
        <v>182</v>
      </c>
      <c r="Y100" s="645">
        <f>IFERROR(SUM(Y93:Y98),"0")</f>
        <v>183.60000000000002</v>
      </c>
      <c r="Z100" s="37"/>
      <c r="AA100" s="646"/>
      <c r="AB100" s="646"/>
      <c r="AC100" s="646"/>
    </row>
    <row r="101" spans="1:68" ht="16.5" hidden="1" customHeight="1" x14ac:dyDescent="0.25">
      <c r="A101" s="657" t="s">
        <v>198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8"/>
      <c r="AB101" s="638"/>
      <c r="AC101" s="638"/>
    </row>
    <row r="102" spans="1:68" ht="14.25" hidden="1" customHeight="1" x14ac:dyDescent="0.25">
      <c r="A102" s="656" t="s">
        <v>111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1">
        <v>4680115882133</v>
      </c>
      <c r="E103" s="652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123</v>
      </c>
      <c r="Y103" s="644">
        <f t="shared" ref="Y103:Y110" si="10">IFERROR(IF(X103="",0,CEILING((X103/$H103),1)*$H103),"")</f>
        <v>129.60000000000002</v>
      </c>
      <c r="Z103" s="36">
        <f>IFERROR(IF(Y103=0,"",ROUNDUP(Y103/H103,0)*0.01898),"")</f>
        <v>0.22776000000000002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127.66944444444445</v>
      </c>
      <c r="BN103" s="64">
        <f t="shared" ref="BN103:BN110" si="12">IFERROR(Y103*I103/H103,"0")</f>
        <v>134.52000000000001</v>
      </c>
      <c r="BO103" s="64">
        <f t="shared" ref="BO103:BO110" si="13">IFERROR(1/J103*(X103/H103),"0")</f>
        <v>0.17795138888888887</v>
      </c>
      <c r="BP103" s="64">
        <f t="shared" ref="BP103:BP110" si="14">IFERROR(1/J103*(Y103/H103),"0")</f>
        <v>0.18750000000000003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51">
        <v>4680115887718</v>
      </c>
      <c r="E104" s="652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51">
        <v>4680115887718</v>
      </c>
      <c r="E105" s="652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51">
        <v>4680115887718</v>
      </c>
      <c r="E106" s="652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1">
        <v>4680115880269</v>
      </c>
      <c r="E107" s="652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4301011415</v>
      </c>
      <c r="D108" s="651">
        <v>4680115880429</v>
      </c>
      <c r="E108" s="652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51">
        <v>4680115880429</v>
      </c>
      <c r="E109" s="652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51">
        <v>4680115881457</v>
      </c>
      <c r="E110" s="652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100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3"/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5"/>
      <c r="P111" s="658" t="s">
        <v>72</v>
      </c>
      <c r="Q111" s="659"/>
      <c r="R111" s="659"/>
      <c r="S111" s="659"/>
      <c r="T111" s="659"/>
      <c r="U111" s="659"/>
      <c r="V111" s="660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11.388888888888888</v>
      </c>
      <c r="Y111" s="645">
        <f>IFERROR(Y103/H103,"0")+IFERROR(Y104/H104,"0")+IFERROR(Y105/H105,"0")+IFERROR(Y106/H106,"0")+IFERROR(Y107/H107,"0")+IFERROR(Y108/H108,"0")+IFERROR(Y109/H109,"0")+IFERROR(Y110/H110,"0")</f>
        <v>12.000000000000002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0.22776000000000002</v>
      </c>
      <c r="AA111" s="646"/>
      <c r="AB111" s="646"/>
      <c r="AC111" s="646"/>
    </row>
    <row r="112" spans="1:68" x14ac:dyDescent="0.2">
      <c r="A112" s="654"/>
      <c r="B112" s="654"/>
      <c r="C112" s="654"/>
      <c r="D112" s="654"/>
      <c r="E112" s="654"/>
      <c r="F112" s="654"/>
      <c r="G112" s="654"/>
      <c r="H112" s="654"/>
      <c r="I112" s="654"/>
      <c r="J112" s="654"/>
      <c r="K112" s="654"/>
      <c r="L112" s="654"/>
      <c r="M112" s="654"/>
      <c r="N112" s="654"/>
      <c r="O112" s="655"/>
      <c r="P112" s="658" t="s">
        <v>72</v>
      </c>
      <c r="Q112" s="659"/>
      <c r="R112" s="659"/>
      <c r="S112" s="659"/>
      <c r="T112" s="659"/>
      <c r="U112" s="659"/>
      <c r="V112" s="660"/>
      <c r="W112" s="37" t="s">
        <v>67</v>
      </c>
      <c r="X112" s="645">
        <f>IFERROR(SUM(X103:X110),"0")</f>
        <v>123</v>
      </c>
      <c r="Y112" s="645">
        <f>IFERROR(SUM(Y103:Y110),"0")</f>
        <v>129.60000000000002</v>
      </c>
      <c r="Z112" s="37"/>
      <c r="AA112" s="646"/>
      <c r="AB112" s="646"/>
      <c r="AC112" s="646"/>
    </row>
    <row r="113" spans="1:68" ht="14.25" hidden="1" customHeight="1" x14ac:dyDescent="0.25">
      <c r="A113" s="656" t="s">
        <v>144</v>
      </c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4"/>
      <c r="P113" s="654"/>
      <c r="Q113" s="654"/>
      <c r="R113" s="654"/>
      <c r="S113" s="654"/>
      <c r="T113" s="654"/>
      <c r="U113" s="654"/>
      <c r="V113" s="654"/>
      <c r="W113" s="654"/>
      <c r="X113" s="654"/>
      <c r="Y113" s="654"/>
      <c r="Z113" s="654"/>
      <c r="AA113" s="639"/>
      <c r="AB113" s="639"/>
      <c r="AC113" s="639"/>
    </row>
    <row r="114" spans="1:68" ht="27" hidden="1" customHeight="1" x14ac:dyDescent="0.25">
      <c r="A114" s="54" t="s">
        <v>216</v>
      </c>
      <c r="B114" s="54" t="s">
        <v>217</v>
      </c>
      <c r="C114" s="31">
        <v>4301020391</v>
      </c>
      <c r="D114" s="651">
        <v>4680115881488</v>
      </c>
      <c r="E114" s="652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2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4301020186</v>
      </c>
      <c r="D115" s="651">
        <v>4680115887664</v>
      </c>
      <c r="E115" s="652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51">
        <v>4680115887664</v>
      </c>
      <c r="E116" s="652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51">
        <v>4680115882775</v>
      </c>
      <c r="E117" s="652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4301020392</v>
      </c>
      <c r="D118" s="651">
        <v>4680115880658</v>
      </c>
      <c r="E118" s="652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6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53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8" t="s">
        <v>72</v>
      </c>
      <c r="Q119" s="659"/>
      <c r="R119" s="659"/>
      <c r="S119" s="659"/>
      <c r="T119" s="659"/>
      <c r="U119" s="659"/>
      <c r="V119" s="660"/>
      <c r="W119" s="37" t="s">
        <v>73</v>
      </c>
      <c r="X119" s="645">
        <f>IFERROR(X114/H114,"0")+IFERROR(X115/H115,"0")+IFERROR(X116/H116,"0")+IFERROR(X117/H117,"0")+IFERROR(X118/H118,"0")</f>
        <v>0</v>
      </c>
      <c r="Y119" s="645">
        <f>IFERROR(Y114/H114,"0")+IFERROR(Y115/H115,"0")+IFERROR(Y116/H116,"0")+IFERROR(Y117/H117,"0")+IFERROR(Y118/H118,"0")</f>
        <v>0</v>
      </c>
      <c r="Z119" s="645">
        <f>IFERROR(IF(Z114="",0,Z114),"0")+IFERROR(IF(Z115="",0,Z115),"0")+IFERROR(IF(Z116="",0,Z116),"0")+IFERROR(IF(Z117="",0,Z117),"0")+IFERROR(IF(Z118="",0,Z118),"0")</f>
        <v>0</v>
      </c>
      <c r="AA119" s="646"/>
      <c r="AB119" s="646"/>
      <c r="AC119" s="646"/>
    </row>
    <row r="120" spans="1:68" hidden="1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8" t="s">
        <v>72</v>
      </c>
      <c r="Q120" s="659"/>
      <c r="R120" s="659"/>
      <c r="S120" s="659"/>
      <c r="T120" s="659"/>
      <c r="U120" s="659"/>
      <c r="V120" s="660"/>
      <c r="W120" s="37" t="s">
        <v>67</v>
      </c>
      <c r="X120" s="645">
        <f>IFERROR(SUM(X114:X118),"0")</f>
        <v>0</v>
      </c>
      <c r="Y120" s="645">
        <f>IFERROR(SUM(Y114:Y118),"0")</f>
        <v>0</v>
      </c>
      <c r="Z120" s="37"/>
      <c r="AA120" s="646"/>
      <c r="AB120" s="646"/>
      <c r="AC120" s="646"/>
    </row>
    <row r="121" spans="1:68" ht="14.25" hidden="1" customHeight="1" x14ac:dyDescent="0.25">
      <c r="A121" s="656" t="s">
        <v>74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39"/>
      <c r="AB121" s="639"/>
      <c r="AC121" s="639"/>
    </row>
    <row r="122" spans="1:68" ht="27" hidden="1" customHeight="1" x14ac:dyDescent="0.25">
      <c r="A122" s="54" t="s">
        <v>228</v>
      </c>
      <c r="B122" s="54" t="s">
        <v>229</v>
      </c>
      <c r="C122" s="31">
        <v>4301051724</v>
      </c>
      <c r="D122" s="651">
        <v>4607091385168</v>
      </c>
      <c r="E122" s="652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79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0</v>
      </c>
      <c r="Y122" s="644">
        <f t="shared" ref="Y122:Y128" si="15"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0</v>
      </c>
      <c r="BN122" s="64">
        <f t="shared" ref="BN122:BN128" si="17">IFERROR(Y122*I122/H122,"0")</f>
        <v>0</v>
      </c>
      <c r="BO122" s="64">
        <f t="shared" ref="BO122:BO128" si="18">IFERROR(1/J122*(X122/H122),"0")</f>
        <v>0</v>
      </c>
      <c r="BP122" s="64">
        <f t="shared" ref="BP122:BP128" si="19">IFERROR(1/J122*(Y122/H122),"0")</f>
        <v>0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51">
        <v>4607091385168</v>
      </c>
      <c r="E123" s="652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94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51">
        <v>4607091383256</v>
      </c>
      <c r="E124" s="652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1">
        <v>4607091385748</v>
      </c>
      <c r="E125" s="652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180</v>
      </c>
      <c r="Y125" s="644">
        <f t="shared" si="15"/>
        <v>180.9</v>
      </c>
      <c r="Z125" s="36">
        <f>IFERROR(IF(Y125=0,"",ROUNDUP(Y125/H125,0)*0.00651),"")</f>
        <v>0.43617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196.79999999999998</v>
      </c>
      <c r="BN125" s="64">
        <f t="shared" si="17"/>
        <v>197.78399999999999</v>
      </c>
      <c r="BO125" s="64">
        <f t="shared" si="18"/>
        <v>0.36630036630036628</v>
      </c>
      <c r="BP125" s="64">
        <f t="shared" si="19"/>
        <v>0.36813186813186816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51">
        <v>4607091385748</v>
      </c>
      <c r="E126" s="652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07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51">
        <v>4680115884533</v>
      </c>
      <c r="E127" s="652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51">
        <v>4680115884533</v>
      </c>
      <c r="E128" s="652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5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3"/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5"/>
      <c r="P129" s="658" t="s">
        <v>72</v>
      </c>
      <c r="Q129" s="659"/>
      <c r="R129" s="659"/>
      <c r="S129" s="659"/>
      <c r="T129" s="659"/>
      <c r="U129" s="659"/>
      <c r="V129" s="660"/>
      <c r="W129" s="37" t="s">
        <v>73</v>
      </c>
      <c r="X129" s="645">
        <f>IFERROR(X122/H122,"0")+IFERROR(X123/H123,"0")+IFERROR(X124/H124,"0")+IFERROR(X125/H125,"0")+IFERROR(X126/H126,"0")+IFERROR(X127/H127,"0")+IFERROR(X128/H128,"0")</f>
        <v>66.666666666666657</v>
      </c>
      <c r="Y129" s="645">
        <f>IFERROR(Y122/H122,"0")+IFERROR(Y123/H123,"0")+IFERROR(Y124/H124,"0")+IFERROR(Y125/H125,"0")+IFERROR(Y126/H126,"0")+IFERROR(Y127/H127,"0")+IFERROR(Y128/H128,"0")</f>
        <v>67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0.43617</v>
      </c>
      <c r="AA129" s="646"/>
      <c r="AB129" s="646"/>
      <c r="AC129" s="646"/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8" t="s">
        <v>72</v>
      </c>
      <c r="Q130" s="659"/>
      <c r="R130" s="659"/>
      <c r="S130" s="659"/>
      <c r="T130" s="659"/>
      <c r="U130" s="659"/>
      <c r="V130" s="660"/>
      <c r="W130" s="37" t="s">
        <v>67</v>
      </c>
      <c r="X130" s="645">
        <f>IFERROR(SUM(X122:X128),"0")</f>
        <v>180</v>
      </c>
      <c r="Y130" s="645">
        <f>IFERROR(SUM(Y122:Y128),"0")</f>
        <v>180.9</v>
      </c>
      <c r="Z130" s="37"/>
      <c r="AA130" s="646"/>
      <c r="AB130" s="646"/>
      <c r="AC130" s="646"/>
    </row>
    <row r="131" spans="1:68" ht="14.25" hidden="1" customHeight="1" x14ac:dyDescent="0.25">
      <c r="A131" s="656" t="s">
        <v>162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1">
        <v>4680115880238</v>
      </c>
      <c r="E132" s="652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20</v>
      </c>
      <c r="Y132" s="644">
        <f>IFERROR(IF(X132="",0,CEILING((X132/$H132),1)*$H132),"")</f>
        <v>21.78</v>
      </c>
      <c r="Z132" s="36">
        <f>IFERROR(IF(Y132=0,"",ROUNDUP(Y132/H132,0)*0.00651),"")</f>
        <v>7.1610000000000007E-2</v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22.606060606060606</v>
      </c>
      <c r="BN132" s="64">
        <f>IFERROR(Y132*I132/H132,"0")</f>
        <v>24.617999999999999</v>
      </c>
      <c r="BO132" s="64">
        <f>IFERROR(1/J132*(X132/H132),"0")</f>
        <v>5.5500055500055503E-2</v>
      </c>
      <c r="BP132" s="64">
        <f>IFERROR(1/J132*(Y132/H132),"0")</f>
        <v>6.0439560439560447E-2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51">
        <v>4680115880238</v>
      </c>
      <c r="E133" s="652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45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3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58" t="s">
        <v>72</v>
      </c>
      <c r="Q134" s="659"/>
      <c r="R134" s="659"/>
      <c r="S134" s="659"/>
      <c r="T134" s="659"/>
      <c r="U134" s="659"/>
      <c r="V134" s="660"/>
      <c r="W134" s="37" t="s">
        <v>73</v>
      </c>
      <c r="X134" s="645">
        <f>IFERROR(X132/H132,"0")+IFERROR(X133/H133,"0")</f>
        <v>10.1010101010101</v>
      </c>
      <c r="Y134" s="645">
        <f>IFERROR(Y132/H132,"0")+IFERROR(Y133/H133,"0")</f>
        <v>11</v>
      </c>
      <c r="Z134" s="645">
        <f>IFERROR(IF(Z132="",0,Z132),"0")+IFERROR(IF(Z133="",0,Z133),"0")</f>
        <v>7.1610000000000007E-2</v>
      </c>
      <c r="AA134" s="646"/>
      <c r="AB134" s="646"/>
      <c r="AC134" s="646"/>
    </row>
    <row r="135" spans="1:68" x14ac:dyDescent="0.2">
      <c r="A135" s="654"/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5"/>
      <c r="P135" s="658" t="s">
        <v>72</v>
      </c>
      <c r="Q135" s="659"/>
      <c r="R135" s="659"/>
      <c r="S135" s="659"/>
      <c r="T135" s="659"/>
      <c r="U135" s="659"/>
      <c r="V135" s="660"/>
      <c r="W135" s="37" t="s">
        <v>67</v>
      </c>
      <c r="X135" s="645">
        <f>IFERROR(SUM(X132:X133),"0")</f>
        <v>20</v>
      </c>
      <c r="Y135" s="645">
        <f>IFERROR(SUM(Y132:Y133),"0")</f>
        <v>21.78</v>
      </c>
      <c r="Z135" s="37"/>
      <c r="AA135" s="646"/>
      <c r="AB135" s="646"/>
      <c r="AC135" s="646"/>
    </row>
    <row r="136" spans="1:68" ht="16.5" hidden="1" customHeight="1" x14ac:dyDescent="0.25">
      <c r="A136" s="657" t="s">
        <v>249</v>
      </c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  <c r="AA136" s="638"/>
      <c r="AB136" s="638"/>
      <c r="AC136" s="638"/>
    </row>
    <row r="137" spans="1:68" ht="14.25" hidden="1" customHeight="1" x14ac:dyDescent="0.25">
      <c r="A137" s="656" t="s">
        <v>111</v>
      </c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  <c r="AA137" s="639"/>
      <c r="AB137" s="639"/>
      <c r="AC137" s="639"/>
    </row>
    <row r="138" spans="1:68" ht="27" hidden="1" customHeight="1" x14ac:dyDescent="0.25">
      <c r="A138" s="54" t="s">
        <v>250</v>
      </c>
      <c r="B138" s="54" t="s">
        <v>251</v>
      </c>
      <c r="C138" s="31">
        <v>4301011562</v>
      </c>
      <c r="D138" s="651">
        <v>4680115882577</v>
      </c>
      <c r="E138" s="652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51">
        <v>4680115882577</v>
      </c>
      <c r="E139" s="652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53"/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5"/>
      <c r="P140" s="658" t="s">
        <v>72</v>
      </c>
      <c r="Q140" s="659"/>
      <c r="R140" s="659"/>
      <c r="S140" s="659"/>
      <c r="T140" s="659"/>
      <c r="U140" s="659"/>
      <c r="V140" s="660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hidden="1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8" t="s">
        <v>72</v>
      </c>
      <c r="Q141" s="659"/>
      <c r="R141" s="659"/>
      <c r="S141" s="659"/>
      <c r="T141" s="659"/>
      <c r="U141" s="659"/>
      <c r="V141" s="660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hidden="1" customHeight="1" x14ac:dyDescent="0.25">
      <c r="A142" s="656" t="s">
        <v>62</v>
      </c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  <c r="AA142" s="639"/>
      <c r="AB142" s="639"/>
      <c r="AC142" s="639"/>
    </row>
    <row r="143" spans="1:68" ht="27" hidden="1" customHeight="1" x14ac:dyDescent="0.25">
      <c r="A143" s="54" t="s">
        <v>255</v>
      </c>
      <c r="B143" s="54" t="s">
        <v>256</v>
      </c>
      <c r="C143" s="31">
        <v>4301031234</v>
      </c>
      <c r="D143" s="651">
        <v>4680115883444</v>
      </c>
      <c r="E143" s="652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51">
        <v>4680115883444</v>
      </c>
      <c r="E144" s="652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3"/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5"/>
      <c r="P145" s="658" t="s">
        <v>72</v>
      </c>
      <c r="Q145" s="659"/>
      <c r="R145" s="659"/>
      <c r="S145" s="659"/>
      <c r="T145" s="659"/>
      <c r="U145" s="659"/>
      <c r="V145" s="660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8" t="s">
        <v>72</v>
      </c>
      <c r="Q146" s="659"/>
      <c r="R146" s="659"/>
      <c r="S146" s="659"/>
      <c r="T146" s="659"/>
      <c r="U146" s="659"/>
      <c r="V146" s="660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hidden="1" customHeight="1" x14ac:dyDescent="0.25">
      <c r="A147" s="656" t="s">
        <v>74</v>
      </c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  <c r="AA147" s="639"/>
      <c r="AB147" s="639"/>
      <c r="AC147" s="639"/>
    </row>
    <row r="148" spans="1:68" ht="16.5" hidden="1" customHeight="1" x14ac:dyDescent="0.25">
      <c r="A148" s="54" t="s">
        <v>259</v>
      </c>
      <c r="B148" s="54" t="s">
        <v>260</v>
      </c>
      <c r="C148" s="31">
        <v>4301051476</v>
      </c>
      <c r="D148" s="651">
        <v>4680115882584</v>
      </c>
      <c r="E148" s="652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0</v>
      </c>
      <c r="Y148" s="6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51">
        <v>4680115882584</v>
      </c>
      <c r="E149" s="652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9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3"/>
      <c r="B150" s="654"/>
      <c r="C150" s="654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5"/>
      <c r="P150" s="658" t="s">
        <v>72</v>
      </c>
      <c r="Q150" s="659"/>
      <c r="R150" s="659"/>
      <c r="S150" s="659"/>
      <c r="T150" s="659"/>
      <c r="U150" s="659"/>
      <c r="V150" s="660"/>
      <c r="W150" s="37" t="s">
        <v>73</v>
      </c>
      <c r="X150" s="645">
        <f>IFERROR(X148/H148,"0")+IFERROR(X149/H149,"0")</f>
        <v>0</v>
      </c>
      <c r="Y150" s="645">
        <f>IFERROR(Y148/H148,"0")+IFERROR(Y149/H149,"0")</f>
        <v>0</v>
      </c>
      <c r="Z150" s="645">
        <f>IFERROR(IF(Z148="",0,Z148),"0")+IFERROR(IF(Z149="",0,Z149),"0")</f>
        <v>0</v>
      </c>
      <c r="AA150" s="646"/>
      <c r="AB150" s="646"/>
      <c r="AC150" s="646"/>
    </row>
    <row r="151" spans="1:68" hidden="1" x14ac:dyDescent="0.2">
      <c r="A151" s="654"/>
      <c r="B151" s="654"/>
      <c r="C151" s="654"/>
      <c r="D151" s="654"/>
      <c r="E151" s="654"/>
      <c r="F151" s="654"/>
      <c r="G151" s="654"/>
      <c r="H151" s="654"/>
      <c r="I151" s="654"/>
      <c r="J151" s="654"/>
      <c r="K151" s="654"/>
      <c r="L151" s="654"/>
      <c r="M151" s="654"/>
      <c r="N151" s="654"/>
      <c r="O151" s="655"/>
      <c r="P151" s="658" t="s">
        <v>72</v>
      </c>
      <c r="Q151" s="659"/>
      <c r="R151" s="659"/>
      <c r="S151" s="659"/>
      <c r="T151" s="659"/>
      <c r="U151" s="659"/>
      <c r="V151" s="660"/>
      <c r="W151" s="37" t="s">
        <v>67</v>
      </c>
      <c r="X151" s="645">
        <f>IFERROR(SUM(X148:X149),"0")</f>
        <v>0</v>
      </c>
      <c r="Y151" s="645">
        <f>IFERROR(SUM(Y148:Y149),"0")</f>
        <v>0</v>
      </c>
      <c r="Z151" s="37"/>
      <c r="AA151" s="646"/>
      <c r="AB151" s="646"/>
      <c r="AC151" s="646"/>
    </row>
    <row r="152" spans="1:68" ht="16.5" hidden="1" customHeight="1" x14ac:dyDescent="0.25">
      <c r="A152" s="657" t="s">
        <v>262</v>
      </c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  <c r="AA152" s="638"/>
      <c r="AB152" s="638"/>
      <c r="AC152" s="638"/>
    </row>
    <row r="153" spans="1:68" ht="14.25" hidden="1" customHeight="1" x14ac:dyDescent="0.25">
      <c r="A153" s="656" t="s">
        <v>74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51">
        <v>4680115888203</v>
      </c>
      <c r="E154" s="652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4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51">
        <v>4680115888180</v>
      </c>
      <c r="E155" s="652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51">
        <v>4680115888180</v>
      </c>
      <c r="E156" s="652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51">
        <v>4680115888197</v>
      </c>
      <c r="E157" s="652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51">
        <v>4680115888197</v>
      </c>
      <c r="E158" s="652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1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51">
        <v>4680115888210</v>
      </c>
      <c r="E159" s="652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51">
        <v>4680115888210</v>
      </c>
      <c r="E160" s="652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3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8" t="s">
        <v>72</v>
      </c>
      <c r="Q161" s="659"/>
      <c r="R161" s="659"/>
      <c r="S161" s="659"/>
      <c r="T161" s="659"/>
      <c r="U161" s="659"/>
      <c r="V161" s="660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4"/>
      <c r="B162" s="654"/>
      <c r="C162" s="654"/>
      <c r="D162" s="654"/>
      <c r="E162" s="654"/>
      <c r="F162" s="654"/>
      <c r="G162" s="654"/>
      <c r="H162" s="654"/>
      <c r="I162" s="654"/>
      <c r="J162" s="654"/>
      <c r="K162" s="654"/>
      <c r="L162" s="654"/>
      <c r="M162" s="654"/>
      <c r="N162" s="654"/>
      <c r="O162" s="655"/>
      <c r="P162" s="658" t="s">
        <v>72</v>
      </c>
      <c r="Q162" s="659"/>
      <c r="R162" s="659"/>
      <c r="S162" s="659"/>
      <c r="T162" s="659"/>
      <c r="U162" s="659"/>
      <c r="V162" s="660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56" t="s">
        <v>278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51">
        <v>4680115889132</v>
      </c>
      <c r="E164" s="652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3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58" t="s">
        <v>72</v>
      </c>
      <c r="Q165" s="659"/>
      <c r="R165" s="659"/>
      <c r="S165" s="659"/>
      <c r="T165" s="659"/>
      <c r="U165" s="659"/>
      <c r="V165" s="660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4"/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5"/>
      <c r="P166" s="658" t="s">
        <v>72</v>
      </c>
      <c r="Q166" s="659"/>
      <c r="R166" s="659"/>
      <c r="S166" s="659"/>
      <c r="T166" s="659"/>
      <c r="U166" s="659"/>
      <c r="V166" s="660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57" t="s">
        <v>109</v>
      </c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  <c r="AA167" s="638"/>
      <c r="AB167" s="638"/>
      <c r="AC167" s="638"/>
    </row>
    <row r="168" spans="1:68" ht="14.25" hidden="1" customHeight="1" x14ac:dyDescent="0.25">
      <c r="A168" s="656" t="s">
        <v>111</v>
      </c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1">
        <v>4680115887374</v>
      </c>
      <c r="E169" s="652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7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20</v>
      </c>
      <c r="Y169" s="644">
        <f>IFERROR(IF(X169="",0,CEILING((X169/$H169),1)*$H169),"")</f>
        <v>24</v>
      </c>
      <c r="Z169" s="36">
        <f>IFERROR(IF(Y169=0,"",ROUNDUP(Y169/H169,0)*0.01196),"")</f>
        <v>4.7840000000000001E-2</v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21.166666666666668</v>
      </c>
      <c r="BN169" s="64">
        <f>IFERROR(Y169*I169/H169,"0")</f>
        <v>25.399999999999995</v>
      </c>
      <c r="BO169" s="64">
        <f>IFERROR(1/J169*(X169/H169),"0")</f>
        <v>3.2051282051282055E-2</v>
      </c>
      <c r="BP169" s="64">
        <f>IFERROR(1/J169*(Y169/H169),"0")</f>
        <v>3.8461538461538464E-2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51">
        <v>4607091384604</v>
      </c>
      <c r="E170" s="652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51">
        <v>4680115888876</v>
      </c>
      <c r="E171" s="652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3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5"/>
      <c r="P172" s="658" t="s">
        <v>72</v>
      </c>
      <c r="Q172" s="659"/>
      <c r="R172" s="659"/>
      <c r="S172" s="659"/>
      <c r="T172" s="659"/>
      <c r="U172" s="659"/>
      <c r="V172" s="660"/>
      <c r="W172" s="37" t="s">
        <v>73</v>
      </c>
      <c r="X172" s="645">
        <f>IFERROR(X169/H169,"0")+IFERROR(X170/H170,"0")+IFERROR(X171/H171,"0")</f>
        <v>3.3333333333333335</v>
      </c>
      <c r="Y172" s="645">
        <f>IFERROR(Y169/H169,"0")+IFERROR(Y170/H170,"0")+IFERROR(Y171/H171,"0")</f>
        <v>4</v>
      </c>
      <c r="Z172" s="645">
        <f>IFERROR(IF(Z169="",0,Z169),"0")+IFERROR(IF(Z170="",0,Z170),"0")+IFERROR(IF(Z171="",0,Z171),"0")</f>
        <v>4.7840000000000001E-2</v>
      </c>
      <c r="AA172" s="646"/>
      <c r="AB172" s="646"/>
      <c r="AC172" s="646"/>
    </row>
    <row r="173" spans="1:68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8" t="s">
        <v>72</v>
      </c>
      <c r="Q173" s="659"/>
      <c r="R173" s="659"/>
      <c r="S173" s="659"/>
      <c r="T173" s="659"/>
      <c r="U173" s="659"/>
      <c r="V173" s="660"/>
      <c r="W173" s="37" t="s">
        <v>67</v>
      </c>
      <c r="X173" s="645">
        <f>IFERROR(SUM(X169:X171),"0")</f>
        <v>20</v>
      </c>
      <c r="Y173" s="645">
        <f>IFERROR(SUM(Y169:Y171),"0")</f>
        <v>24</v>
      </c>
      <c r="Z173" s="37"/>
      <c r="AA173" s="646"/>
      <c r="AB173" s="646"/>
      <c r="AC173" s="646"/>
    </row>
    <row r="174" spans="1:68" ht="14.25" hidden="1" customHeight="1" x14ac:dyDescent="0.25">
      <c r="A174" s="656" t="s">
        <v>144</v>
      </c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51">
        <v>4680115887695</v>
      </c>
      <c r="E175" s="652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51">
        <v>4680115889491</v>
      </c>
      <c r="E176" s="652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3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5"/>
      <c r="P177" s="658" t="s">
        <v>72</v>
      </c>
      <c r="Q177" s="659"/>
      <c r="R177" s="659"/>
      <c r="S177" s="659"/>
      <c r="T177" s="659"/>
      <c r="U177" s="659"/>
      <c r="V177" s="660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5"/>
      <c r="P178" s="658" t="s">
        <v>72</v>
      </c>
      <c r="Q178" s="659"/>
      <c r="R178" s="659"/>
      <c r="S178" s="659"/>
      <c r="T178" s="659"/>
      <c r="U178" s="659"/>
      <c r="V178" s="660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56" t="s">
        <v>62</v>
      </c>
      <c r="B179" s="654"/>
      <c r="C179" s="654"/>
      <c r="D179" s="654"/>
      <c r="E179" s="654"/>
      <c r="F179" s="654"/>
      <c r="G179" s="654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1">
        <v>4680115887428</v>
      </c>
      <c r="E180" s="652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100</v>
      </c>
      <c r="Y180" s="644">
        <f t="shared" ref="Y180:Y191" si="26">IFERROR(IF(X180="",0,CEILING((X180/$H180),1)*$H180),"")</f>
        <v>101.5</v>
      </c>
      <c r="Z180" s="36">
        <f>IFERROR(IF(Y180=0,"",ROUNDUP(Y180/H180,0)*0.00902),"")</f>
        <v>0.26158000000000003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105.42857142857143</v>
      </c>
      <c r="BN180" s="64">
        <f t="shared" ref="BN180:BN191" si="28">IFERROR(Y180*I180/H180,"0")</f>
        <v>107.00999999999999</v>
      </c>
      <c r="BO180" s="64">
        <f t="shared" ref="BO180:BO191" si="29">IFERROR(1/J180*(X180/H180),"0")</f>
        <v>0.21645021645021648</v>
      </c>
      <c r="BP180" s="64">
        <f t="shared" ref="BP180:BP191" si="30">IFERROR(1/J180*(Y180/H180),"0")</f>
        <v>0.2196969696969697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51">
        <v>4680115889170</v>
      </c>
      <c r="E181" s="652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1">
        <v>4680115887398</v>
      </c>
      <c r="E182" s="652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100</v>
      </c>
      <c r="Y182" s="644">
        <f t="shared" si="26"/>
        <v>101.5</v>
      </c>
      <c r="Z182" s="36">
        <f>IFERROR(IF(Y182=0,"",ROUNDUP(Y182/H182,0)*0.00902),"")</f>
        <v>0.26158000000000003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105.42857142857143</v>
      </c>
      <c r="BN182" s="64">
        <f t="shared" si="28"/>
        <v>107.00999999999999</v>
      </c>
      <c r="BO182" s="64">
        <f t="shared" si="29"/>
        <v>0.21645021645021648</v>
      </c>
      <c r="BP182" s="64">
        <f t="shared" si="30"/>
        <v>0.2196969696969697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1">
        <v>4680115887336</v>
      </c>
      <c r="E183" s="652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6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50</v>
      </c>
      <c r="Y183" s="644">
        <f t="shared" si="26"/>
        <v>52.5</v>
      </c>
      <c r="Z183" s="36">
        <f>IFERROR(IF(Y183=0,"",ROUNDUP(Y183/H183,0)*0.00902),"")</f>
        <v>0.1353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52.714285714285715</v>
      </c>
      <c r="BN183" s="64">
        <f t="shared" si="28"/>
        <v>55.35</v>
      </c>
      <c r="BO183" s="64">
        <f t="shared" si="29"/>
        <v>0.10822510822510824</v>
      </c>
      <c r="BP183" s="64">
        <f t="shared" si="30"/>
        <v>0.11363636363636365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51">
        <v>4680115887336</v>
      </c>
      <c r="E184" s="652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40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hidden="1" customHeight="1" x14ac:dyDescent="0.25">
      <c r="A185" s="54" t="s">
        <v>315</v>
      </c>
      <c r="B185" s="54" t="s">
        <v>316</v>
      </c>
      <c r="C185" s="31">
        <v>4301032049</v>
      </c>
      <c r="D185" s="651">
        <v>4680115887787</v>
      </c>
      <c r="E185" s="652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51">
        <v>4680115887787</v>
      </c>
      <c r="E186" s="652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63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1">
        <v>4680115887503</v>
      </c>
      <c r="E187" s="652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42</v>
      </c>
      <c r="Y187" s="644">
        <f t="shared" si="26"/>
        <v>42</v>
      </c>
      <c r="Z187" s="36">
        <f>IFERROR(IF(Y187=0,"",ROUNDUP(Y187/H187,0)*0.00502),"")</f>
        <v>0.1255</v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44.500000000000007</v>
      </c>
      <c r="BN187" s="64">
        <f t="shared" si="28"/>
        <v>44.500000000000007</v>
      </c>
      <c r="BO187" s="64">
        <f t="shared" si="29"/>
        <v>0.10683760683760685</v>
      </c>
      <c r="BP187" s="64">
        <f t="shared" si="30"/>
        <v>0.10683760683760685</v>
      </c>
    </row>
    <row r="188" spans="1:68" ht="27" hidden="1" customHeight="1" x14ac:dyDescent="0.25">
      <c r="A188" s="54" t="s">
        <v>322</v>
      </c>
      <c r="B188" s="54" t="s">
        <v>323</v>
      </c>
      <c r="C188" s="31">
        <v>4301031389</v>
      </c>
      <c r="D188" s="651">
        <v>4680115887763</v>
      </c>
      <c r="E188" s="652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1">
        <v>4680115887480</v>
      </c>
      <c r="E189" s="652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34</v>
      </c>
      <c r="Y189" s="644">
        <f t="shared" si="26"/>
        <v>35.28</v>
      </c>
      <c r="Z189" s="36">
        <f>IFERROR(IF(Y189=0,"",ROUNDUP(Y189/H189,0)*0.00502),"")</f>
        <v>0.10542</v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36.023809523809526</v>
      </c>
      <c r="BN189" s="64">
        <f t="shared" si="28"/>
        <v>37.380000000000003</v>
      </c>
      <c r="BO189" s="64">
        <f t="shared" si="29"/>
        <v>8.648758648758649E-2</v>
      </c>
      <c r="BP189" s="64">
        <f t="shared" si="30"/>
        <v>8.9743589743589758E-2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51">
        <v>4680115888067</v>
      </c>
      <c r="E190" s="652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1">
        <v>4680115887435</v>
      </c>
      <c r="E191" s="652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56</v>
      </c>
      <c r="Y191" s="644">
        <f t="shared" si="26"/>
        <v>57.12</v>
      </c>
      <c r="Z191" s="36">
        <f>IFERROR(IF(Y191=0,"",ROUNDUP(Y191/H191,0)*0.00502),"")</f>
        <v>0.17068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59.333333333333343</v>
      </c>
      <c r="BN191" s="64">
        <f t="shared" si="28"/>
        <v>60.519999999999996</v>
      </c>
      <c r="BO191" s="64">
        <f t="shared" si="29"/>
        <v>0.14245014245014248</v>
      </c>
      <c r="BP191" s="64">
        <f t="shared" si="30"/>
        <v>0.14529914529914531</v>
      </c>
    </row>
    <row r="192" spans="1:68" x14ac:dyDescent="0.2">
      <c r="A192" s="653"/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5"/>
      <c r="P192" s="658" t="s">
        <v>72</v>
      </c>
      <c r="Q192" s="659"/>
      <c r="R192" s="659"/>
      <c r="S192" s="659"/>
      <c r="T192" s="659"/>
      <c r="U192" s="659"/>
      <c r="V192" s="660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150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153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1.06006</v>
      </c>
      <c r="AA192" s="646"/>
      <c r="AB192" s="646"/>
      <c r="AC192" s="646"/>
    </row>
    <row r="193" spans="1:68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8" t="s">
        <v>72</v>
      </c>
      <c r="Q193" s="659"/>
      <c r="R193" s="659"/>
      <c r="S193" s="659"/>
      <c r="T193" s="659"/>
      <c r="U193" s="659"/>
      <c r="V193" s="660"/>
      <c r="W193" s="37" t="s">
        <v>67</v>
      </c>
      <c r="X193" s="645">
        <f>IFERROR(SUM(X180:X191),"0")</f>
        <v>382</v>
      </c>
      <c r="Y193" s="645">
        <f>IFERROR(SUM(Y180:Y191),"0")</f>
        <v>389.9</v>
      </c>
      <c r="Z193" s="37"/>
      <c r="AA193" s="646"/>
      <c r="AB193" s="646"/>
      <c r="AC193" s="646"/>
    </row>
    <row r="194" spans="1:68" ht="14.25" hidden="1" customHeight="1" x14ac:dyDescent="0.25">
      <c r="A194" s="656" t="s">
        <v>74</v>
      </c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51">
        <v>4680115888395</v>
      </c>
      <c r="E195" s="652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51">
        <v>4680115888371</v>
      </c>
      <c r="E196" s="652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51">
        <v>4680115887459</v>
      </c>
      <c r="E197" s="652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8" t="s">
        <v>72</v>
      </c>
      <c r="Q198" s="659"/>
      <c r="R198" s="659"/>
      <c r="S198" s="659"/>
      <c r="T198" s="659"/>
      <c r="U198" s="659"/>
      <c r="V198" s="660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58" t="s">
        <v>72</v>
      </c>
      <c r="Q199" s="659"/>
      <c r="R199" s="659"/>
      <c r="S199" s="659"/>
      <c r="T199" s="659"/>
      <c r="U199" s="659"/>
      <c r="V199" s="660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56" t="s">
        <v>278</v>
      </c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51">
        <v>4680115889026</v>
      </c>
      <c r="E201" s="652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3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8" t="s">
        <v>72</v>
      </c>
      <c r="Q202" s="659"/>
      <c r="R202" s="659"/>
      <c r="S202" s="659"/>
      <c r="T202" s="659"/>
      <c r="U202" s="659"/>
      <c r="V202" s="660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4"/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5"/>
      <c r="P203" s="658" t="s">
        <v>72</v>
      </c>
      <c r="Q203" s="659"/>
      <c r="R203" s="659"/>
      <c r="S203" s="659"/>
      <c r="T203" s="659"/>
      <c r="U203" s="659"/>
      <c r="V203" s="660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56" t="s">
        <v>345</v>
      </c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51">
        <v>4680115889033</v>
      </c>
      <c r="E205" s="652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3"/>
      <c r="B206" s="654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655"/>
      <c r="P206" s="658" t="s">
        <v>72</v>
      </c>
      <c r="Q206" s="659"/>
      <c r="R206" s="659"/>
      <c r="S206" s="659"/>
      <c r="T206" s="659"/>
      <c r="U206" s="659"/>
      <c r="V206" s="660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4"/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5"/>
      <c r="P207" s="658" t="s">
        <v>72</v>
      </c>
      <c r="Q207" s="659"/>
      <c r="R207" s="659"/>
      <c r="S207" s="659"/>
      <c r="T207" s="659"/>
      <c r="U207" s="659"/>
      <c r="V207" s="660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61" t="s">
        <v>349</v>
      </c>
      <c r="B208" s="662"/>
      <c r="C208" s="662"/>
      <c r="D208" s="662"/>
      <c r="E208" s="662"/>
      <c r="F208" s="662"/>
      <c r="G208" s="662"/>
      <c r="H208" s="662"/>
      <c r="I208" s="662"/>
      <c r="J208" s="662"/>
      <c r="K208" s="662"/>
      <c r="L208" s="662"/>
      <c r="M208" s="662"/>
      <c r="N208" s="662"/>
      <c r="O208" s="662"/>
      <c r="P208" s="662"/>
      <c r="Q208" s="662"/>
      <c r="R208" s="662"/>
      <c r="S208" s="662"/>
      <c r="T208" s="662"/>
      <c r="U208" s="662"/>
      <c r="V208" s="662"/>
      <c r="W208" s="662"/>
      <c r="X208" s="662"/>
      <c r="Y208" s="662"/>
      <c r="Z208" s="662"/>
      <c r="AA208" s="48"/>
      <c r="AB208" s="48"/>
      <c r="AC208" s="48"/>
    </row>
    <row r="209" spans="1:68" ht="16.5" hidden="1" customHeight="1" x14ac:dyDescent="0.25">
      <c r="A209" s="657" t="s">
        <v>350</v>
      </c>
      <c r="B209" s="654"/>
      <c r="C209" s="654"/>
      <c r="D209" s="654"/>
      <c r="E209" s="654"/>
      <c r="F209" s="654"/>
      <c r="G209" s="654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  <c r="AA209" s="638"/>
      <c r="AB209" s="638"/>
      <c r="AC209" s="638"/>
    </row>
    <row r="210" spans="1:68" ht="14.25" hidden="1" customHeight="1" x14ac:dyDescent="0.25">
      <c r="A210" s="656" t="s">
        <v>111</v>
      </c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51">
        <v>4607091383423</v>
      </c>
      <c r="E211" s="652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51">
        <v>4680115888760</v>
      </c>
      <c r="E212" s="652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51">
        <v>4680115888807</v>
      </c>
      <c r="E213" s="652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51">
        <v>4680115888852</v>
      </c>
      <c r="E214" s="652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51">
        <v>4680115886957</v>
      </c>
      <c r="E215" s="652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51">
        <v>4680115885660</v>
      </c>
      <c r="E216" s="652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51">
        <v>4680115886773</v>
      </c>
      <c r="E217" s="652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3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8" t="s">
        <v>72</v>
      </c>
      <c r="Q218" s="659"/>
      <c r="R218" s="659"/>
      <c r="S218" s="659"/>
      <c r="T218" s="659"/>
      <c r="U218" s="659"/>
      <c r="V218" s="660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8" t="s">
        <v>72</v>
      </c>
      <c r="Q219" s="659"/>
      <c r="R219" s="659"/>
      <c r="S219" s="659"/>
      <c r="T219" s="659"/>
      <c r="U219" s="659"/>
      <c r="V219" s="660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57" t="s">
        <v>371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38"/>
      <c r="AB220" s="638"/>
      <c r="AC220" s="638"/>
    </row>
    <row r="221" spans="1:68" ht="14.25" hidden="1" customHeight="1" x14ac:dyDescent="0.25">
      <c r="A221" s="656" t="s">
        <v>144</v>
      </c>
      <c r="B221" s="654"/>
      <c r="C221" s="654"/>
      <c r="D221" s="654"/>
      <c r="E221" s="654"/>
      <c r="F221" s="654"/>
      <c r="G221" s="654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  <c r="Y221" s="654"/>
      <c r="Z221" s="654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51">
        <v>4680115886223</v>
      </c>
      <c r="E222" s="652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3"/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5"/>
      <c r="P223" s="658" t="s">
        <v>72</v>
      </c>
      <c r="Q223" s="659"/>
      <c r="R223" s="659"/>
      <c r="S223" s="659"/>
      <c r="T223" s="659"/>
      <c r="U223" s="659"/>
      <c r="V223" s="660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4"/>
      <c r="B224" s="654"/>
      <c r="C224" s="654"/>
      <c r="D224" s="654"/>
      <c r="E224" s="654"/>
      <c r="F224" s="654"/>
      <c r="G224" s="654"/>
      <c r="H224" s="654"/>
      <c r="I224" s="654"/>
      <c r="J224" s="654"/>
      <c r="K224" s="654"/>
      <c r="L224" s="654"/>
      <c r="M224" s="654"/>
      <c r="N224" s="654"/>
      <c r="O224" s="655"/>
      <c r="P224" s="658" t="s">
        <v>72</v>
      </c>
      <c r="Q224" s="659"/>
      <c r="R224" s="659"/>
      <c r="S224" s="659"/>
      <c r="T224" s="659"/>
      <c r="U224" s="659"/>
      <c r="V224" s="660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56" t="s">
        <v>62</v>
      </c>
      <c r="B225" s="654"/>
      <c r="C225" s="654"/>
      <c r="D225" s="654"/>
      <c r="E225" s="654"/>
      <c r="F225" s="654"/>
      <c r="G225" s="654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  <c r="Y225" s="654"/>
      <c r="Z225" s="654"/>
      <c r="AA225" s="639"/>
      <c r="AB225" s="639"/>
      <c r="AC225" s="639"/>
    </row>
    <row r="226" spans="1:68" ht="27" hidden="1" customHeight="1" x14ac:dyDescent="0.25">
      <c r="A226" s="54" t="s">
        <v>375</v>
      </c>
      <c r="B226" s="54" t="s">
        <v>376</v>
      </c>
      <c r="C226" s="31">
        <v>4301031191</v>
      </c>
      <c r="D226" s="651">
        <v>4680115880993</v>
      </c>
      <c r="E226" s="652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0</v>
      </c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51">
        <v>4680115881761</v>
      </c>
      <c r="E227" s="652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hidden="1" customHeight="1" x14ac:dyDescent="0.25">
      <c r="A228" s="54" t="s">
        <v>381</v>
      </c>
      <c r="B228" s="54" t="s">
        <v>382</v>
      </c>
      <c r="C228" s="31">
        <v>4301031201</v>
      </c>
      <c r="D228" s="651">
        <v>4680115881563</v>
      </c>
      <c r="E228" s="652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0</v>
      </c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1">
        <v>4680115887565</v>
      </c>
      <c r="E229" s="652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7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4</v>
      </c>
      <c r="Y229" s="644">
        <f t="shared" si="37"/>
        <v>4</v>
      </c>
      <c r="Z229" s="36">
        <f>IFERROR(IF(Y229=0,"",ROUNDUP(Y229/H229,0)*0.00556),"")</f>
        <v>2.7799999999999998E-2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4.6500000000000004</v>
      </c>
      <c r="BN229" s="64">
        <f t="shared" si="39"/>
        <v>4.6500000000000004</v>
      </c>
      <c r="BO229" s="64">
        <f t="shared" si="40"/>
        <v>1.984126984126984E-2</v>
      </c>
      <c r="BP229" s="64">
        <f t="shared" si="41"/>
        <v>1.984126984126984E-2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1">
        <v>4680115880986</v>
      </c>
      <c r="E230" s="652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14</v>
      </c>
      <c r="Y230" s="644">
        <f t="shared" si="37"/>
        <v>14.700000000000001</v>
      </c>
      <c r="Z230" s="36">
        <f t="shared" ref="Z230:Z235" si="42">IFERROR(IF(Y230=0,"",ROUNDUP(Y230/H230,0)*0.00502),"")</f>
        <v>3.5140000000000005E-2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14.866666666666665</v>
      </c>
      <c r="BN230" s="64">
        <f t="shared" si="39"/>
        <v>15.61</v>
      </c>
      <c r="BO230" s="64">
        <f t="shared" si="40"/>
        <v>2.8490028490028491E-2</v>
      </c>
      <c r="BP230" s="64">
        <f t="shared" si="41"/>
        <v>2.9914529914529919E-2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51">
        <v>4680115887213</v>
      </c>
      <c r="E231" s="652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51">
        <v>4680115881785</v>
      </c>
      <c r="E232" s="652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51">
        <v>4680115888432</v>
      </c>
      <c r="E233" s="652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6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51">
        <v>4680115888104</v>
      </c>
      <c r="E234" s="652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1">
        <v>4680115886537</v>
      </c>
      <c r="E235" s="652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6</v>
      </c>
      <c r="Y235" s="644">
        <f t="shared" si="37"/>
        <v>7.2</v>
      </c>
      <c r="Z235" s="36">
        <f t="shared" si="42"/>
        <v>2.0080000000000001E-2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6.4333333333333336</v>
      </c>
      <c r="BN235" s="64">
        <f t="shared" si="39"/>
        <v>7.7199999999999989</v>
      </c>
      <c r="BO235" s="64">
        <f t="shared" si="40"/>
        <v>1.4245014245014245E-2</v>
      </c>
      <c r="BP235" s="64">
        <f t="shared" si="41"/>
        <v>1.7094017094017096E-2</v>
      </c>
    </row>
    <row r="236" spans="1:68" ht="27" hidden="1" customHeight="1" x14ac:dyDescent="0.25">
      <c r="A236" s="54" t="s">
        <v>403</v>
      </c>
      <c r="B236" s="54" t="s">
        <v>404</v>
      </c>
      <c r="C236" s="31">
        <v>4301031279</v>
      </c>
      <c r="D236" s="651">
        <v>4680115887596</v>
      </c>
      <c r="E236" s="652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1">
        <v>4680115881679</v>
      </c>
      <c r="E237" s="652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58</v>
      </c>
      <c r="Y237" s="644">
        <f t="shared" si="37"/>
        <v>58.800000000000004</v>
      </c>
      <c r="Z237" s="36">
        <f>IFERROR(IF(Y237=0,"",ROUNDUP(Y237/H237,0)*0.00502),"")</f>
        <v>0.14056000000000002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60.761904761904766</v>
      </c>
      <c r="BN237" s="64">
        <f t="shared" si="39"/>
        <v>61.6</v>
      </c>
      <c r="BO237" s="64">
        <f t="shared" si="40"/>
        <v>0.11803011803011804</v>
      </c>
      <c r="BP237" s="64">
        <f t="shared" si="41"/>
        <v>0.11965811965811968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51">
        <v>4680115880191</v>
      </c>
      <c r="E238" s="652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51">
        <v>4680115883963</v>
      </c>
      <c r="E239" s="652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3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5"/>
      <c r="P240" s="658" t="s">
        <v>72</v>
      </c>
      <c r="Q240" s="659"/>
      <c r="R240" s="659"/>
      <c r="S240" s="659"/>
      <c r="T240" s="659"/>
      <c r="U240" s="659"/>
      <c r="V240" s="660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42.61904761904762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44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0.22358</v>
      </c>
      <c r="AA240" s="646"/>
      <c r="AB240" s="646"/>
      <c r="AC240" s="646"/>
    </row>
    <row r="241" spans="1:68" x14ac:dyDescent="0.2">
      <c r="A241" s="65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54"/>
      <c r="O241" s="655"/>
      <c r="P241" s="658" t="s">
        <v>72</v>
      </c>
      <c r="Q241" s="659"/>
      <c r="R241" s="659"/>
      <c r="S241" s="659"/>
      <c r="T241" s="659"/>
      <c r="U241" s="659"/>
      <c r="V241" s="660"/>
      <c r="W241" s="37" t="s">
        <v>67</v>
      </c>
      <c r="X241" s="645">
        <f>IFERROR(SUM(X226:X239),"0")</f>
        <v>82</v>
      </c>
      <c r="Y241" s="645">
        <f>IFERROR(SUM(Y226:Y239),"0")</f>
        <v>84.7</v>
      </c>
      <c r="Z241" s="37"/>
      <c r="AA241" s="646"/>
      <c r="AB241" s="646"/>
      <c r="AC241" s="646"/>
    </row>
    <row r="242" spans="1:68" ht="14.25" hidden="1" customHeight="1" x14ac:dyDescent="0.25">
      <c r="A242" s="656" t="s">
        <v>74</v>
      </c>
      <c r="B242" s="654"/>
      <c r="C242" s="654"/>
      <c r="D242" s="654"/>
      <c r="E242" s="654"/>
      <c r="F242" s="654"/>
      <c r="G242" s="654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  <c r="Y242" s="654"/>
      <c r="Z242" s="654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51">
        <v>4680115888692</v>
      </c>
      <c r="E243" s="652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51">
        <v>4680115888722</v>
      </c>
      <c r="E244" s="652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70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51">
        <v>4680115888951</v>
      </c>
      <c r="E245" s="652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51">
        <v>4680115888975</v>
      </c>
      <c r="E246" s="652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51">
        <v>4680115888982</v>
      </c>
      <c r="E247" s="652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3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8" t="s">
        <v>72</v>
      </c>
      <c r="Q248" s="659"/>
      <c r="R248" s="659"/>
      <c r="S248" s="659"/>
      <c r="T248" s="659"/>
      <c r="U248" s="659"/>
      <c r="V248" s="660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8" t="s">
        <v>72</v>
      </c>
      <c r="Q249" s="659"/>
      <c r="R249" s="659"/>
      <c r="S249" s="659"/>
      <c r="T249" s="659"/>
      <c r="U249" s="659"/>
      <c r="V249" s="660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56" t="s">
        <v>278</v>
      </c>
      <c r="B250" s="654"/>
      <c r="C250" s="654"/>
      <c r="D250" s="654"/>
      <c r="E250" s="654"/>
      <c r="F250" s="654"/>
      <c r="G250" s="654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  <c r="Y250" s="654"/>
      <c r="Z250" s="654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51">
        <v>4680115886780</v>
      </c>
      <c r="E251" s="652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1">
        <v>4680115886742</v>
      </c>
      <c r="E252" s="652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7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7</v>
      </c>
      <c r="Y252" s="644">
        <f>IFERROR(IF(X252="",0,CEILING((X252/$H252),1)*$H252),"")</f>
        <v>7.5600000000000005</v>
      </c>
      <c r="Z252" s="36">
        <f>IFERROR(IF(Y252=0,"",ROUNDUP(Y252/H252,0)*0.0059),"")</f>
        <v>3.5400000000000001E-2</v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8.0555555555555554</v>
      </c>
      <c r="BN252" s="64">
        <f>IFERROR(Y252*I252/H252,"0")</f>
        <v>8.6999999999999993</v>
      </c>
      <c r="BO252" s="64">
        <f>IFERROR(1/J252*(X252/H252),"0")</f>
        <v>2.5720164609053495E-2</v>
      </c>
      <c r="BP252" s="64">
        <f>IFERROR(1/J252*(Y252/H252),"0")</f>
        <v>2.7777777777777776E-2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1">
        <v>4680115886766</v>
      </c>
      <c r="E253" s="652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7</v>
      </c>
      <c r="Y253" s="644">
        <f>IFERROR(IF(X253="",0,CEILING((X253/$H253),1)*$H253),"")</f>
        <v>7.5600000000000005</v>
      </c>
      <c r="Z253" s="36">
        <f>IFERROR(IF(Y253=0,"",ROUNDUP(Y253/H253,0)*0.0059),"")</f>
        <v>3.5400000000000001E-2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8.0555555555555554</v>
      </c>
      <c r="BN253" s="64">
        <f>IFERROR(Y253*I253/H253,"0")</f>
        <v>8.6999999999999993</v>
      </c>
      <c r="BO253" s="64">
        <f>IFERROR(1/J253*(X253/H253),"0")</f>
        <v>2.5720164609053495E-2</v>
      </c>
      <c r="BP253" s="64">
        <f>IFERROR(1/J253*(Y253/H253),"0")</f>
        <v>2.7777777777777776E-2</v>
      </c>
    </row>
    <row r="254" spans="1:68" x14ac:dyDescent="0.2">
      <c r="A254" s="653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8" t="s">
        <v>72</v>
      </c>
      <c r="Q254" s="659"/>
      <c r="R254" s="659"/>
      <c r="S254" s="659"/>
      <c r="T254" s="659"/>
      <c r="U254" s="659"/>
      <c r="V254" s="660"/>
      <c r="W254" s="37" t="s">
        <v>73</v>
      </c>
      <c r="X254" s="645">
        <f>IFERROR(X251/H251,"0")+IFERROR(X252/H252,"0")+IFERROR(X253/H253,"0")</f>
        <v>11.111111111111111</v>
      </c>
      <c r="Y254" s="645">
        <f>IFERROR(Y251/H251,"0")+IFERROR(Y252/H252,"0")+IFERROR(Y253/H253,"0")</f>
        <v>12</v>
      </c>
      <c r="Z254" s="645">
        <f>IFERROR(IF(Z251="",0,Z251),"0")+IFERROR(IF(Z252="",0,Z252),"0")+IFERROR(IF(Z253="",0,Z253),"0")</f>
        <v>7.0800000000000002E-2</v>
      </c>
      <c r="AA254" s="646"/>
      <c r="AB254" s="646"/>
      <c r="AC254" s="646"/>
    </row>
    <row r="255" spans="1:68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8" t="s">
        <v>72</v>
      </c>
      <c r="Q255" s="659"/>
      <c r="R255" s="659"/>
      <c r="S255" s="659"/>
      <c r="T255" s="659"/>
      <c r="U255" s="659"/>
      <c r="V255" s="660"/>
      <c r="W255" s="37" t="s">
        <v>67</v>
      </c>
      <c r="X255" s="645">
        <f>IFERROR(SUM(X251:X253),"0")</f>
        <v>14</v>
      </c>
      <c r="Y255" s="645">
        <f>IFERROR(SUM(Y251:Y253),"0")</f>
        <v>15.120000000000001</v>
      </c>
      <c r="Z255" s="37"/>
      <c r="AA255" s="646"/>
      <c r="AB255" s="646"/>
      <c r="AC255" s="646"/>
    </row>
    <row r="256" spans="1:68" ht="14.25" hidden="1" customHeight="1" x14ac:dyDescent="0.25">
      <c r="A256" s="656" t="s">
        <v>435</v>
      </c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4"/>
      <c r="P256" s="654"/>
      <c r="Q256" s="654"/>
      <c r="R256" s="654"/>
      <c r="S256" s="654"/>
      <c r="T256" s="654"/>
      <c r="U256" s="654"/>
      <c r="V256" s="654"/>
      <c r="W256" s="654"/>
      <c r="X256" s="654"/>
      <c r="Y256" s="654"/>
      <c r="Z256" s="654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1">
        <v>4680115886797</v>
      </c>
      <c r="E257" s="652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4</v>
      </c>
      <c r="Y257" s="644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4.6031746031746028</v>
      </c>
      <c r="BN257" s="64">
        <f>IFERROR(Y257*I257/H257,"0")</f>
        <v>5.8</v>
      </c>
      <c r="BO257" s="64">
        <f>IFERROR(1/J257*(X257/H257),"0")</f>
        <v>1.469723691945914E-2</v>
      </c>
      <c r="BP257" s="64">
        <f>IFERROR(1/J257*(Y257/H257),"0")</f>
        <v>1.8518518518518517E-2</v>
      </c>
    </row>
    <row r="258" spans="1:68" x14ac:dyDescent="0.2">
      <c r="A258" s="653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8" t="s">
        <v>72</v>
      </c>
      <c r="Q258" s="659"/>
      <c r="R258" s="659"/>
      <c r="S258" s="659"/>
      <c r="T258" s="659"/>
      <c r="U258" s="659"/>
      <c r="V258" s="660"/>
      <c r="W258" s="37" t="s">
        <v>73</v>
      </c>
      <c r="X258" s="645">
        <f>IFERROR(X257/H257,"0")</f>
        <v>3.1746031746031744</v>
      </c>
      <c r="Y258" s="645">
        <f>IFERROR(Y257/H257,"0")</f>
        <v>4</v>
      </c>
      <c r="Z258" s="645">
        <f>IFERROR(IF(Z257="",0,Z257),"0")</f>
        <v>2.3599999999999999E-2</v>
      </c>
      <c r="AA258" s="646"/>
      <c r="AB258" s="646"/>
      <c r="AC258" s="646"/>
    </row>
    <row r="259" spans="1:68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8" t="s">
        <v>72</v>
      </c>
      <c r="Q259" s="659"/>
      <c r="R259" s="659"/>
      <c r="S259" s="659"/>
      <c r="T259" s="659"/>
      <c r="U259" s="659"/>
      <c r="V259" s="660"/>
      <c r="W259" s="37" t="s">
        <v>67</v>
      </c>
      <c r="X259" s="645">
        <f>IFERROR(SUM(X257:X257),"0")</f>
        <v>4</v>
      </c>
      <c r="Y259" s="645">
        <f>IFERROR(SUM(Y257:Y257),"0")</f>
        <v>5.04</v>
      </c>
      <c r="Z259" s="37"/>
      <c r="AA259" s="646"/>
      <c r="AB259" s="646"/>
      <c r="AC259" s="646"/>
    </row>
    <row r="260" spans="1:68" ht="16.5" hidden="1" customHeight="1" x14ac:dyDescent="0.25">
      <c r="A260" s="657" t="s">
        <v>438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38"/>
      <c r="AB260" s="638"/>
      <c r="AC260" s="638"/>
    </row>
    <row r="261" spans="1:68" ht="14.25" hidden="1" customHeight="1" x14ac:dyDescent="0.25">
      <c r="A261" s="656" t="s">
        <v>111</v>
      </c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4"/>
      <c r="P261" s="654"/>
      <c r="Q261" s="654"/>
      <c r="R261" s="654"/>
      <c r="S261" s="654"/>
      <c r="T261" s="654"/>
      <c r="U261" s="654"/>
      <c r="V261" s="654"/>
      <c r="W261" s="654"/>
      <c r="X261" s="654"/>
      <c r="Y261" s="654"/>
      <c r="Z261" s="654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51">
        <v>4680115881402</v>
      </c>
      <c r="E262" s="652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51">
        <v>4680115881396</v>
      </c>
      <c r="E263" s="652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3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8" t="s">
        <v>72</v>
      </c>
      <c r="Q264" s="659"/>
      <c r="R264" s="659"/>
      <c r="S264" s="659"/>
      <c r="T264" s="659"/>
      <c r="U264" s="659"/>
      <c r="V264" s="660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8" t="s">
        <v>72</v>
      </c>
      <c r="Q265" s="659"/>
      <c r="R265" s="659"/>
      <c r="S265" s="659"/>
      <c r="T265" s="659"/>
      <c r="U265" s="659"/>
      <c r="V265" s="660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56" t="s">
        <v>144</v>
      </c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4"/>
      <c r="P266" s="654"/>
      <c r="Q266" s="654"/>
      <c r="R266" s="654"/>
      <c r="S266" s="654"/>
      <c r="T266" s="654"/>
      <c r="U266" s="654"/>
      <c r="V266" s="654"/>
      <c r="W266" s="654"/>
      <c r="X266" s="654"/>
      <c r="Y266" s="654"/>
      <c r="Z266" s="654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51">
        <v>4680115882935</v>
      </c>
      <c r="E267" s="652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51">
        <v>4680115880764</v>
      </c>
      <c r="E268" s="652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3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8" t="s">
        <v>72</v>
      </c>
      <c r="Q269" s="659"/>
      <c r="R269" s="659"/>
      <c r="S269" s="659"/>
      <c r="T269" s="659"/>
      <c r="U269" s="659"/>
      <c r="V269" s="660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8" t="s">
        <v>72</v>
      </c>
      <c r="Q270" s="659"/>
      <c r="R270" s="659"/>
      <c r="S270" s="659"/>
      <c r="T270" s="659"/>
      <c r="U270" s="659"/>
      <c r="V270" s="660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56" t="s">
        <v>62</v>
      </c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4"/>
      <c r="P271" s="654"/>
      <c r="Q271" s="654"/>
      <c r="R271" s="654"/>
      <c r="S271" s="654"/>
      <c r="T271" s="654"/>
      <c r="U271" s="654"/>
      <c r="V271" s="654"/>
      <c r="W271" s="654"/>
      <c r="X271" s="654"/>
      <c r="Y271" s="654"/>
      <c r="Z271" s="654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1">
        <v>4680115882683</v>
      </c>
      <c r="E272" s="652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30</v>
      </c>
      <c r="Y272" s="644">
        <f t="shared" ref="Y272:Y279" si="43">IFERROR(IF(X272="",0,CEILING((X272/$H272),1)*$H272),"")</f>
        <v>32.400000000000006</v>
      </c>
      <c r="Z272" s="36">
        <f>IFERROR(IF(Y272=0,"",ROUNDUP(Y272/H272,0)*0.00902),"")</f>
        <v>5.4120000000000001E-2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31.05555555555555</v>
      </c>
      <c r="BN272" s="64">
        <f t="shared" ref="BN272:BN279" si="45">IFERROR(Y272*I272/H272,"0")</f>
        <v>33.54</v>
      </c>
      <c r="BO272" s="64">
        <f t="shared" ref="BO272:BO279" si="46">IFERROR(1/J272*(X272/H272),"0")</f>
        <v>4.208754208754209E-2</v>
      </c>
      <c r="BP272" s="64">
        <f t="shared" ref="BP272:BP279" si="47">IFERROR(1/J272*(Y272/H272),"0")</f>
        <v>4.5454545454545463E-2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4301031230</v>
      </c>
      <c r="D273" s="651">
        <v>4680115882690</v>
      </c>
      <c r="E273" s="652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1">
        <v>4680115882669</v>
      </c>
      <c r="E274" s="652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200</v>
      </c>
      <c r="Y274" s="644">
        <f t="shared" si="43"/>
        <v>205.20000000000002</v>
      </c>
      <c r="Z274" s="36">
        <f>IFERROR(IF(Y274=0,"",ROUNDUP(Y274/H274,0)*0.00902),"")</f>
        <v>0.34276000000000001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207.03703703703701</v>
      </c>
      <c r="BN274" s="64">
        <f t="shared" si="45"/>
        <v>212.42</v>
      </c>
      <c r="BO274" s="64">
        <f t="shared" si="46"/>
        <v>0.28058361391694725</v>
      </c>
      <c r="BP274" s="64">
        <f t="shared" si="47"/>
        <v>0.2878787878787879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1">
        <v>4680115882676</v>
      </c>
      <c r="E275" s="652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30</v>
      </c>
      <c r="Y275" s="644">
        <f t="shared" si="43"/>
        <v>32.400000000000006</v>
      </c>
      <c r="Z275" s="36">
        <f>IFERROR(IF(Y275=0,"",ROUNDUP(Y275/H275,0)*0.00902),"")</f>
        <v>5.4120000000000001E-2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31.05555555555555</v>
      </c>
      <c r="BN275" s="64">
        <f t="shared" si="45"/>
        <v>33.54</v>
      </c>
      <c r="BO275" s="64">
        <f t="shared" si="46"/>
        <v>4.208754208754209E-2</v>
      </c>
      <c r="BP275" s="64">
        <f t="shared" si="47"/>
        <v>4.5454545454545463E-2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1">
        <v>4680115884014</v>
      </c>
      <c r="E276" s="652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21</v>
      </c>
      <c r="Y276" s="644">
        <f t="shared" si="43"/>
        <v>21.6</v>
      </c>
      <c r="Z276" s="36">
        <f>IFERROR(IF(Y276=0,"",ROUNDUP(Y276/H276,0)*0.00502),"")</f>
        <v>6.0240000000000002E-2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22.516666666666666</v>
      </c>
      <c r="BN276" s="64">
        <f t="shared" si="45"/>
        <v>23.16</v>
      </c>
      <c r="BO276" s="64">
        <f t="shared" si="46"/>
        <v>4.9857549857549859E-2</v>
      </c>
      <c r="BP276" s="64">
        <f t="shared" si="47"/>
        <v>5.1282051282051287E-2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1">
        <v>4680115884007</v>
      </c>
      <c r="E277" s="652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15</v>
      </c>
      <c r="Y277" s="644">
        <f t="shared" si="43"/>
        <v>16.2</v>
      </c>
      <c r="Z277" s="36">
        <f>IFERROR(IF(Y277=0,"",ROUNDUP(Y277/H277,0)*0.00502),"")</f>
        <v>4.5179999999999998E-2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15.833333333333332</v>
      </c>
      <c r="BN277" s="64">
        <f t="shared" si="45"/>
        <v>17.099999999999998</v>
      </c>
      <c r="BO277" s="64">
        <f t="shared" si="46"/>
        <v>3.561253561253562E-2</v>
      </c>
      <c r="BP277" s="64">
        <f t="shared" si="47"/>
        <v>3.8461538461538464E-2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51">
        <v>4680115884038</v>
      </c>
      <c r="E278" s="652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1">
        <v>4680115884021</v>
      </c>
      <c r="E279" s="652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12</v>
      </c>
      <c r="Y279" s="644">
        <f t="shared" si="43"/>
        <v>12.6</v>
      </c>
      <c r="Z279" s="36">
        <f>IFERROR(IF(Y279=0,"",ROUNDUP(Y279/H279,0)*0.00502),"")</f>
        <v>3.5140000000000005E-2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12.666666666666664</v>
      </c>
      <c r="BN279" s="64">
        <f t="shared" si="45"/>
        <v>13.299999999999999</v>
      </c>
      <c r="BO279" s="64">
        <f t="shared" si="46"/>
        <v>2.8490028490028491E-2</v>
      </c>
      <c r="BP279" s="64">
        <f t="shared" si="47"/>
        <v>2.9914529914529919E-2</v>
      </c>
    </row>
    <row r="280" spans="1:68" x14ac:dyDescent="0.2">
      <c r="A280" s="653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8" t="s">
        <v>72</v>
      </c>
      <c r="Q280" s="659"/>
      <c r="R280" s="659"/>
      <c r="S280" s="659"/>
      <c r="T280" s="659"/>
      <c r="U280" s="659"/>
      <c r="V280" s="660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74.814814814814824</v>
      </c>
      <c r="Y280" s="645">
        <f>IFERROR(Y272/H272,"0")+IFERROR(Y273/H273,"0")+IFERROR(Y274/H274,"0")+IFERROR(Y275/H275,"0")+IFERROR(Y276/H276,"0")+IFERROR(Y277/H277,"0")+IFERROR(Y278/H278,"0")+IFERROR(Y279/H279,"0")</f>
        <v>78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0.59156000000000009</v>
      </c>
      <c r="AA280" s="646"/>
      <c r="AB280" s="646"/>
      <c r="AC280" s="646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8" t="s">
        <v>72</v>
      </c>
      <c r="Q281" s="659"/>
      <c r="R281" s="659"/>
      <c r="S281" s="659"/>
      <c r="T281" s="659"/>
      <c r="U281" s="659"/>
      <c r="V281" s="660"/>
      <c r="W281" s="37" t="s">
        <v>67</v>
      </c>
      <c r="X281" s="645">
        <f>IFERROR(SUM(X272:X279),"0")</f>
        <v>308</v>
      </c>
      <c r="Y281" s="645">
        <f>IFERROR(SUM(Y272:Y279),"0")</f>
        <v>320.40000000000003</v>
      </c>
      <c r="Z281" s="37"/>
      <c r="AA281" s="646"/>
      <c r="AB281" s="646"/>
      <c r="AC281" s="646"/>
    </row>
    <row r="282" spans="1:68" ht="14.25" hidden="1" customHeight="1" x14ac:dyDescent="0.25">
      <c r="A282" s="656" t="s">
        <v>74</v>
      </c>
      <c r="B282" s="654"/>
      <c r="C282" s="654"/>
      <c r="D282" s="654"/>
      <c r="E282" s="654"/>
      <c r="F282" s="654"/>
      <c r="G282" s="654"/>
      <c r="H282" s="654"/>
      <c r="I282" s="654"/>
      <c r="J282" s="654"/>
      <c r="K282" s="654"/>
      <c r="L282" s="654"/>
      <c r="M282" s="654"/>
      <c r="N282" s="654"/>
      <c r="O282" s="654"/>
      <c r="P282" s="654"/>
      <c r="Q282" s="654"/>
      <c r="R282" s="654"/>
      <c r="S282" s="654"/>
      <c r="T282" s="654"/>
      <c r="U282" s="654"/>
      <c r="V282" s="654"/>
      <c r="W282" s="654"/>
      <c r="X282" s="654"/>
      <c r="Y282" s="654"/>
      <c r="Z282" s="654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1">
        <v>4680115881594</v>
      </c>
      <c r="E283" s="652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130</v>
      </c>
      <c r="Y283" s="644">
        <f t="shared" ref="Y283:Y294" si="48">IFERROR(IF(X283="",0,CEILING((X283/$H283),1)*$H283),"")</f>
        <v>137.69999999999999</v>
      </c>
      <c r="Z283" s="36">
        <f>IFERROR(IF(Y283=0,"",ROUNDUP(Y283/H283,0)*0.01898),"")</f>
        <v>0.32266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137.92839506172839</v>
      </c>
      <c r="BN283" s="64">
        <f t="shared" ref="BN283:BN294" si="50">IFERROR(Y283*I283/H283,"0")</f>
        <v>146.09799999999998</v>
      </c>
      <c r="BO283" s="64">
        <f t="shared" ref="BO283:BO294" si="51">IFERROR(1/J283*(X283/H283),"0")</f>
        <v>0.25077160493827161</v>
      </c>
      <c r="BP283" s="64">
        <f t="shared" ref="BP283:BP294" si="52">IFERROR(1/J283*(Y283/H283),"0")</f>
        <v>0.265625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1">
        <v>4680115881617</v>
      </c>
      <c r="E284" s="652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70</v>
      </c>
      <c r="Y284" s="644">
        <f t="shared" si="48"/>
        <v>72.899999999999991</v>
      </c>
      <c r="Z284" s="36">
        <f>IFERROR(IF(Y284=0,"",ROUNDUP(Y284/H284,0)*0.01898),"")</f>
        <v>0.17082</v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74.113580246913585</v>
      </c>
      <c r="BN284" s="64">
        <f t="shared" si="50"/>
        <v>77.183999999999997</v>
      </c>
      <c r="BO284" s="64">
        <f t="shared" si="51"/>
        <v>0.13503086419753088</v>
      </c>
      <c r="BP284" s="64">
        <f t="shared" si="52"/>
        <v>0.140625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1">
        <v>4680115880573</v>
      </c>
      <c r="E285" s="652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50</v>
      </c>
      <c r="Y285" s="644">
        <f t="shared" si="48"/>
        <v>52.199999999999996</v>
      </c>
      <c r="Z285" s="36">
        <f>IFERROR(IF(Y285=0,"",ROUNDUP(Y285/H285,0)*0.01898),"")</f>
        <v>0.11388000000000001</v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52.839080459770123</v>
      </c>
      <c r="BN285" s="64">
        <f t="shared" si="50"/>
        <v>55.164000000000009</v>
      </c>
      <c r="BO285" s="64">
        <f t="shared" si="51"/>
        <v>8.9798850574712652E-2</v>
      </c>
      <c r="BP285" s="64">
        <f t="shared" si="52"/>
        <v>9.375E-2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1">
        <v>4680115882195</v>
      </c>
      <c r="E286" s="652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63</v>
      </c>
      <c r="Y286" s="644">
        <f t="shared" si="48"/>
        <v>64.8</v>
      </c>
      <c r="Z286" s="36">
        <f>IFERROR(IF(Y286=0,"",ROUNDUP(Y286/H286,0)*0.00651),"")</f>
        <v>0.17577000000000001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70.087500000000006</v>
      </c>
      <c r="BN286" s="64">
        <f t="shared" si="50"/>
        <v>72.09</v>
      </c>
      <c r="BO286" s="64">
        <f t="shared" si="51"/>
        <v>0.14423076923076925</v>
      </c>
      <c r="BP286" s="64">
        <f t="shared" si="52"/>
        <v>0.14835164835164835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51">
        <v>4680115882607</v>
      </c>
      <c r="E287" s="652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51">
        <v>4680115882607</v>
      </c>
      <c r="E288" s="652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1">
        <v>4680115880092</v>
      </c>
      <c r="E289" s="652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483</v>
      </c>
      <c r="Y289" s="644">
        <f t="shared" si="48"/>
        <v>484.79999999999995</v>
      </c>
      <c r="Z289" s="36">
        <f>IFERROR(IF(Y289=0,"",ROUNDUP(Y289/H289,0)*0.00651),"")</f>
        <v>1.3150200000000001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533.71500000000015</v>
      </c>
      <c r="BN289" s="64">
        <f t="shared" si="50"/>
        <v>535.70399999999995</v>
      </c>
      <c r="BO289" s="64">
        <f t="shared" si="51"/>
        <v>1.1057692307692308</v>
      </c>
      <c r="BP289" s="64">
        <f t="shared" si="52"/>
        <v>1.1098901098901099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51">
        <v>4680115889064</v>
      </c>
      <c r="E290" s="652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1">
        <v>4680115880221</v>
      </c>
      <c r="E291" s="652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66</v>
      </c>
      <c r="Y291" s="644">
        <f t="shared" si="48"/>
        <v>67.2</v>
      </c>
      <c r="Z291" s="36">
        <f>IFERROR(IF(Y291=0,"",ROUNDUP(Y291/H291,0)*0.00651),"")</f>
        <v>0.18228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72.930000000000007</v>
      </c>
      <c r="BN291" s="64">
        <f t="shared" si="50"/>
        <v>74.256000000000014</v>
      </c>
      <c r="BO291" s="64">
        <f t="shared" si="51"/>
        <v>0.15109890109890112</v>
      </c>
      <c r="BP291" s="64">
        <f t="shared" si="52"/>
        <v>0.15384615384615388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1">
        <v>4680115880504</v>
      </c>
      <c r="E292" s="652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92</v>
      </c>
      <c r="Y292" s="644">
        <f t="shared" si="48"/>
        <v>93.6</v>
      </c>
      <c r="Z292" s="36">
        <f>IFERROR(IF(Y292=0,"",ROUNDUP(Y292/H292,0)*0.00651),"")</f>
        <v>0.25389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101.66000000000001</v>
      </c>
      <c r="BN292" s="64">
        <f t="shared" si="50"/>
        <v>103.42800000000001</v>
      </c>
      <c r="BO292" s="64">
        <f t="shared" si="51"/>
        <v>0.21062271062271065</v>
      </c>
      <c r="BP292" s="64">
        <f t="shared" si="52"/>
        <v>0.2142857142857143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1">
        <v>4680115882164</v>
      </c>
      <c r="E293" s="652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20</v>
      </c>
      <c r="Y293" s="644">
        <f t="shared" si="48"/>
        <v>21.599999999999998</v>
      </c>
      <c r="Z293" s="36">
        <f>IFERROR(IF(Y293=0,"",ROUNDUP(Y293/H293,0)*0.00651),"")</f>
        <v>5.8590000000000003E-2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22.15</v>
      </c>
      <c r="BN293" s="64">
        <f t="shared" si="50"/>
        <v>23.921999999999997</v>
      </c>
      <c r="BO293" s="64">
        <f t="shared" si="51"/>
        <v>4.5787545787545791E-2</v>
      </c>
      <c r="BP293" s="64">
        <f t="shared" si="52"/>
        <v>4.9450549450549455E-2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51">
        <v>4680115888340</v>
      </c>
      <c r="E294" s="652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3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8" t="s">
        <v>72</v>
      </c>
      <c r="Q295" s="659"/>
      <c r="R295" s="659"/>
      <c r="S295" s="659"/>
      <c r="T295" s="659"/>
      <c r="U295" s="659"/>
      <c r="V295" s="660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332.1051511281396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337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2.5929100000000003</v>
      </c>
      <c r="AA295" s="646"/>
      <c r="AB295" s="646"/>
      <c r="AC295" s="646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8" t="s">
        <v>72</v>
      </c>
      <c r="Q296" s="659"/>
      <c r="R296" s="659"/>
      <c r="S296" s="659"/>
      <c r="T296" s="659"/>
      <c r="U296" s="659"/>
      <c r="V296" s="660"/>
      <c r="W296" s="37" t="s">
        <v>67</v>
      </c>
      <c r="X296" s="645">
        <f>IFERROR(SUM(X283:X294),"0")</f>
        <v>974</v>
      </c>
      <c r="Y296" s="645">
        <f>IFERROR(SUM(Y283:Y294),"0")</f>
        <v>994.8</v>
      </c>
      <c r="Z296" s="37"/>
      <c r="AA296" s="646"/>
      <c r="AB296" s="646"/>
      <c r="AC296" s="646"/>
    </row>
    <row r="297" spans="1:68" ht="14.25" hidden="1" customHeight="1" x14ac:dyDescent="0.25">
      <c r="A297" s="656" t="s">
        <v>162</v>
      </c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4"/>
      <c r="P297" s="654"/>
      <c r="Q297" s="654"/>
      <c r="R297" s="654"/>
      <c r="S297" s="654"/>
      <c r="T297" s="654"/>
      <c r="U297" s="654"/>
      <c r="V297" s="654"/>
      <c r="W297" s="654"/>
      <c r="X297" s="654"/>
      <c r="Y297" s="654"/>
      <c r="Z297" s="654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1">
        <v>4680115880818</v>
      </c>
      <c r="E298" s="652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20</v>
      </c>
      <c r="Y298" s="644">
        <f>IFERROR(IF(X298="",0,CEILING((X298/$H298),1)*$H298),"")</f>
        <v>21.599999999999998</v>
      </c>
      <c r="Z298" s="36">
        <f>IFERROR(IF(Y298=0,"",ROUNDUP(Y298/H298,0)*0.00651),"")</f>
        <v>5.8590000000000003E-2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22.100000000000005</v>
      </c>
      <c r="BN298" s="64">
        <f>IFERROR(Y298*I298/H298,"0")</f>
        <v>23.868000000000002</v>
      </c>
      <c r="BO298" s="64">
        <f>IFERROR(1/J298*(X298/H298),"0")</f>
        <v>4.5787545787545791E-2</v>
      </c>
      <c r="BP298" s="64">
        <f>IFERROR(1/J298*(Y298/H298),"0")</f>
        <v>4.9450549450549455E-2</v>
      </c>
    </row>
    <row r="299" spans="1:68" ht="27" hidden="1" customHeight="1" x14ac:dyDescent="0.25">
      <c r="A299" s="54" t="s">
        <v>503</v>
      </c>
      <c r="B299" s="54" t="s">
        <v>504</v>
      </c>
      <c r="C299" s="31">
        <v>4301060389</v>
      </c>
      <c r="D299" s="651">
        <v>4680115880801</v>
      </c>
      <c r="E299" s="652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3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8" t="s">
        <v>72</v>
      </c>
      <c r="Q300" s="659"/>
      <c r="R300" s="659"/>
      <c r="S300" s="659"/>
      <c r="T300" s="659"/>
      <c r="U300" s="659"/>
      <c r="V300" s="660"/>
      <c r="W300" s="37" t="s">
        <v>73</v>
      </c>
      <c r="X300" s="645">
        <f>IFERROR(X298/H298,"0")+IFERROR(X299/H299,"0")</f>
        <v>8.3333333333333339</v>
      </c>
      <c r="Y300" s="645">
        <f>IFERROR(Y298/H298,"0")+IFERROR(Y299/H299,"0")</f>
        <v>9</v>
      </c>
      <c r="Z300" s="645">
        <f>IFERROR(IF(Z298="",0,Z298),"0")+IFERROR(IF(Z299="",0,Z299),"0")</f>
        <v>5.8590000000000003E-2</v>
      </c>
      <c r="AA300" s="646"/>
      <c r="AB300" s="646"/>
      <c r="AC300" s="646"/>
    </row>
    <row r="301" spans="1:68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8" t="s">
        <v>72</v>
      </c>
      <c r="Q301" s="659"/>
      <c r="R301" s="659"/>
      <c r="S301" s="659"/>
      <c r="T301" s="659"/>
      <c r="U301" s="659"/>
      <c r="V301" s="660"/>
      <c r="W301" s="37" t="s">
        <v>67</v>
      </c>
      <c r="X301" s="645">
        <f>IFERROR(SUM(X298:X299),"0")</f>
        <v>20</v>
      </c>
      <c r="Y301" s="645">
        <f>IFERROR(SUM(Y298:Y299),"0")</f>
        <v>21.599999999999998</v>
      </c>
      <c r="Z301" s="37"/>
      <c r="AA301" s="646"/>
      <c r="AB301" s="646"/>
      <c r="AC301" s="646"/>
    </row>
    <row r="302" spans="1:68" ht="16.5" hidden="1" customHeight="1" x14ac:dyDescent="0.25">
      <c r="A302" s="657" t="s">
        <v>506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38"/>
      <c r="AB302" s="638"/>
      <c r="AC302" s="638"/>
    </row>
    <row r="303" spans="1:68" ht="14.25" hidden="1" customHeight="1" x14ac:dyDescent="0.25">
      <c r="A303" s="656" t="s">
        <v>111</v>
      </c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4"/>
      <c r="P303" s="654"/>
      <c r="Q303" s="654"/>
      <c r="R303" s="654"/>
      <c r="S303" s="654"/>
      <c r="T303" s="654"/>
      <c r="U303" s="654"/>
      <c r="V303" s="654"/>
      <c r="W303" s="654"/>
      <c r="X303" s="654"/>
      <c r="Y303" s="654"/>
      <c r="Z303" s="654"/>
      <c r="AA303" s="639"/>
      <c r="AB303" s="639"/>
      <c r="AC303" s="639"/>
    </row>
    <row r="304" spans="1:68" ht="27" hidden="1" customHeight="1" x14ac:dyDescent="0.25">
      <c r="A304" s="54" t="s">
        <v>507</v>
      </c>
      <c r="B304" s="54" t="s">
        <v>508</v>
      </c>
      <c r="C304" s="31">
        <v>4301011826</v>
      </c>
      <c r="D304" s="651">
        <v>4680115884137</v>
      </c>
      <c r="E304" s="652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510</v>
      </c>
      <c r="B305" s="54" t="s">
        <v>511</v>
      </c>
      <c r="C305" s="31">
        <v>4301011724</v>
      </c>
      <c r="D305" s="651">
        <v>4680115884236</v>
      </c>
      <c r="E305" s="652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51">
        <v>4680115884175</v>
      </c>
      <c r="E306" s="652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9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51">
        <v>4680115884144</v>
      </c>
      <c r="E307" s="652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51">
        <v>4680115886551</v>
      </c>
      <c r="E308" s="652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51">
        <v>4680115887282</v>
      </c>
      <c r="E309" s="652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4301011722</v>
      </c>
      <c r="D310" s="651">
        <v>4680115884205</v>
      </c>
      <c r="E310" s="652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3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8" t="s">
        <v>72</v>
      </c>
      <c r="Q311" s="659"/>
      <c r="R311" s="659"/>
      <c r="S311" s="659"/>
      <c r="T311" s="659"/>
      <c r="U311" s="659"/>
      <c r="V311" s="660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8" t="s">
        <v>72</v>
      </c>
      <c r="Q312" s="659"/>
      <c r="R312" s="659"/>
      <c r="S312" s="659"/>
      <c r="T312" s="659"/>
      <c r="U312" s="659"/>
      <c r="V312" s="660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56" t="s">
        <v>144</v>
      </c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4"/>
      <c r="P313" s="654"/>
      <c r="Q313" s="654"/>
      <c r="R313" s="654"/>
      <c r="S313" s="654"/>
      <c r="T313" s="654"/>
      <c r="U313" s="654"/>
      <c r="V313" s="654"/>
      <c r="W313" s="654"/>
      <c r="X313" s="654"/>
      <c r="Y313" s="654"/>
      <c r="Z313" s="654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51">
        <v>4680115885981</v>
      </c>
      <c r="E314" s="652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3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8" t="s">
        <v>72</v>
      </c>
      <c r="Q315" s="659"/>
      <c r="R315" s="659"/>
      <c r="S315" s="659"/>
      <c r="T315" s="659"/>
      <c r="U315" s="659"/>
      <c r="V315" s="660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8" t="s">
        <v>72</v>
      </c>
      <c r="Q316" s="659"/>
      <c r="R316" s="659"/>
      <c r="S316" s="659"/>
      <c r="T316" s="659"/>
      <c r="U316" s="659"/>
      <c r="V316" s="660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56" t="s">
        <v>528</v>
      </c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4"/>
      <c r="P317" s="654"/>
      <c r="Q317" s="654"/>
      <c r="R317" s="654"/>
      <c r="S317" s="654"/>
      <c r="T317" s="654"/>
      <c r="U317" s="654"/>
      <c r="V317" s="654"/>
      <c r="W317" s="654"/>
      <c r="X317" s="654"/>
      <c r="Y317" s="654"/>
      <c r="Z317" s="654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1">
        <v>4680115886803</v>
      </c>
      <c r="E318" s="652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4</v>
      </c>
      <c r="Y318" s="644">
        <f>IFERROR(IF(X318="",0,CEILING((X318/$H318),1)*$H318),"")</f>
        <v>5.4</v>
      </c>
      <c r="Z318" s="36">
        <f>IFERROR(IF(Y318=0,"",ROUNDUP(Y318/H318,0)*0.0059),"")</f>
        <v>1.77E-2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4.3888888888888893</v>
      </c>
      <c r="BN318" s="64">
        <f>IFERROR(Y318*I318/H318,"0")</f>
        <v>5.9250000000000007</v>
      </c>
      <c r="BO318" s="64">
        <f>IFERROR(1/J318*(X318/H318),"0")</f>
        <v>1.0288065843621399E-2</v>
      </c>
      <c r="BP318" s="64">
        <f>IFERROR(1/J318*(Y318/H318),"0")</f>
        <v>1.3888888888888888E-2</v>
      </c>
    </row>
    <row r="319" spans="1:68" x14ac:dyDescent="0.2">
      <c r="A319" s="653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8" t="s">
        <v>72</v>
      </c>
      <c r="Q319" s="659"/>
      <c r="R319" s="659"/>
      <c r="S319" s="659"/>
      <c r="T319" s="659"/>
      <c r="U319" s="659"/>
      <c r="V319" s="660"/>
      <c r="W319" s="37" t="s">
        <v>73</v>
      </c>
      <c r="X319" s="645">
        <f>IFERROR(X318/H318,"0")</f>
        <v>2.2222222222222223</v>
      </c>
      <c r="Y319" s="645">
        <f>IFERROR(Y318/H318,"0")</f>
        <v>3</v>
      </c>
      <c r="Z319" s="645">
        <f>IFERROR(IF(Z318="",0,Z318),"0")</f>
        <v>1.77E-2</v>
      </c>
      <c r="AA319" s="646"/>
      <c r="AB319" s="646"/>
      <c r="AC319" s="646"/>
    </row>
    <row r="320" spans="1:68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8" t="s">
        <v>72</v>
      </c>
      <c r="Q320" s="659"/>
      <c r="R320" s="659"/>
      <c r="S320" s="659"/>
      <c r="T320" s="659"/>
      <c r="U320" s="659"/>
      <c r="V320" s="660"/>
      <c r="W320" s="37" t="s">
        <v>67</v>
      </c>
      <c r="X320" s="645">
        <f>IFERROR(SUM(X318:X318),"0")</f>
        <v>4</v>
      </c>
      <c r="Y320" s="645">
        <f>IFERROR(SUM(Y318:Y318),"0")</f>
        <v>5.4</v>
      </c>
      <c r="Z320" s="37"/>
      <c r="AA320" s="646"/>
      <c r="AB320" s="646"/>
      <c r="AC320" s="646"/>
    </row>
    <row r="321" spans="1:68" ht="14.25" hidden="1" customHeight="1" x14ac:dyDescent="0.25">
      <c r="A321" s="656" t="s">
        <v>345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51">
        <v>4680115886704</v>
      </c>
      <c r="E322" s="652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51">
        <v>4680115886681</v>
      </c>
      <c r="E323" s="652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51">
        <v>4680115886735</v>
      </c>
      <c r="E324" s="652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3"/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5"/>
      <c r="P325" s="658" t="s">
        <v>72</v>
      </c>
      <c r="Q325" s="659"/>
      <c r="R325" s="659"/>
      <c r="S325" s="659"/>
      <c r="T325" s="659"/>
      <c r="U325" s="659"/>
      <c r="V325" s="660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5"/>
      <c r="P326" s="658" t="s">
        <v>72</v>
      </c>
      <c r="Q326" s="659"/>
      <c r="R326" s="659"/>
      <c r="S326" s="659"/>
      <c r="T326" s="659"/>
      <c r="U326" s="659"/>
      <c r="V326" s="660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57" t="s">
        <v>539</v>
      </c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4"/>
      <c r="P327" s="654"/>
      <c r="Q327" s="654"/>
      <c r="R327" s="654"/>
      <c r="S327" s="654"/>
      <c r="T327" s="654"/>
      <c r="U327" s="654"/>
      <c r="V327" s="654"/>
      <c r="W327" s="654"/>
      <c r="X327" s="654"/>
      <c r="Y327" s="654"/>
      <c r="Z327" s="654"/>
      <c r="AA327" s="638"/>
      <c r="AB327" s="638"/>
      <c r="AC327" s="638"/>
    </row>
    <row r="328" spans="1:68" ht="14.25" hidden="1" customHeight="1" x14ac:dyDescent="0.25">
      <c r="A328" s="656" t="s">
        <v>111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51">
        <v>4680115885837</v>
      </c>
      <c r="E329" s="652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51">
        <v>4680115887237</v>
      </c>
      <c r="E330" s="652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5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51">
        <v>4680115885806</v>
      </c>
      <c r="E331" s="652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51">
        <v>4680115885844</v>
      </c>
      <c r="E332" s="652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51">
        <v>4680115885820</v>
      </c>
      <c r="E333" s="652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3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8" t="s">
        <v>72</v>
      </c>
      <c r="Q334" s="659"/>
      <c r="R334" s="659"/>
      <c r="S334" s="659"/>
      <c r="T334" s="659"/>
      <c r="U334" s="659"/>
      <c r="V334" s="660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4"/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5"/>
      <c r="P335" s="658" t="s">
        <v>72</v>
      </c>
      <c r="Q335" s="659"/>
      <c r="R335" s="659"/>
      <c r="S335" s="659"/>
      <c r="T335" s="659"/>
      <c r="U335" s="659"/>
      <c r="V335" s="660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57" t="s">
        <v>555</v>
      </c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4"/>
      <c r="P336" s="654"/>
      <c r="Q336" s="654"/>
      <c r="R336" s="654"/>
      <c r="S336" s="654"/>
      <c r="T336" s="654"/>
      <c r="U336" s="654"/>
      <c r="V336" s="654"/>
      <c r="W336" s="654"/>
      <c r="X336" s="654"/>
      <c r="Y336" s="654"/>
      <c r="Z336" s="654"/>
      <c r="AA336" s="638"/>
      <c r="AB336" s="638"/>
      <c r="AC336" s="638"/>
    </row>
    <row r="337" spans="1:68" ht="14.25" hidden="1" customHeight="1" x14ac:dyDescent="0.25">
      <c r="A337" s="656" t="s">
        <v>74</v>
      </c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4"/>
      <c r="P337" s="654"/>
      <c r="Q337" s="654"/>
      <c r="R337" s="654"/>
      <c r="S337" s="654"/>
      <c r="T337" s="654"/>
      <c r="U337" s="654"/>
      <c r="V337" s="654"/>
      <c r="W337" s="654"/>
      <c r="X337" s="654"/>
      <c r="Y337" s="654"/>
      <c r="Z337" s="654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51">
        <v>4680115886186</v>
      </c>
      <c r="E338" s="652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1">
        <v>4680115881228</v>
      </c>
      <c r="E339" s="652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40</v>
      </c>
      <c r="Y339" s="644">
        <f>IFERROR(IF(X339="",0,CEILING((X339/$H339),1)*$H339),"")</f>
        <v>40.799999999999997</v>
      </c>
      <c r="Z339" s="36">
        <f>IFERROR(IF(Y339=0,"",ROUNDUP(Y339/H339,0)*0.00651),"")</f>
        <v>0.11067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44.20000000000001</v>
      </c>
      <c r="BN339" s="64">
        <f>IFERROR(Y339*I339/H339,"0")</f>
        <v>45.084000000000003</v>
      </c>
      <c r="BO339" s="64">
        <f>IFERROR(1/J339*(X339/H339),"0")</f>
        <v>9.1575091575091583E-2</v>
      </c>
      <c r="BP339" s="64">
        <f>IFERROR(1/J339*(Y339/H339),"0")</f>
        <v>9.3406593406593408E-2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1">
        <v>4680115881211</v>
      </c>
      <c r="E340" s="652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60</v>
      </c>
      <c r="Y340" s="644">
        <f>IFERROR(IF(X340="",0,CEILING((X340/$H340),1)*$H340),"")</f>
        <v>60</v>
      </c>
      <c r="Z340" s="36">
        <f>IFERROR(IF(Y340=0,"",ROUNDUP(Y340/H340,0)*0.00651),"")</f>
        <v>0.16275000000000001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64.500000000000014</v>
      </c>
      <c r="BN340" s="64">
        <f>IFERROR(Y340*I340/H340,"0")</f>
        <v>64.500000000000014</v>
      </c>
      <c r="BO340" s="64">
        <f>IFERROR(1/J340*(X340/H340),"0")</f>
        <v>0.13736263736263737</v>
      </c>
      <c r="BP340" s="64">
        <f>IFERROR(1/J340*(Y340/H340),"0")</f>
        <v>0.13736263736263737</v>
      </c>
    </row>
    <row r="341" spans="1:68" x14ac:dyDescent="0.2">
      <c r="A341" s="653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8" t="s">
        <v>72</v>
      </c>
      <c r="Q341" s="659"/>
      <c r="R341" s="659"/>
      <c r="S341" s="659"/>
      <c r="T341" s="659"/>
      <c r="U341" s="659"/>
      <c r="V341" s="660"/>
      <c r="W341" s="37" t="s">
        <v>73</v>
      </c>
      <c r="X341" s="645">
        <f>IFERROR(X338/H338,"0")+IFERROR(X339/H339,"0")+IFERROR(X340/H340,"0")</f>
        <v>41.666666666666671</v>
      </c>
      <c r="Y341" s="645">
        <f>IFERROR(Y338/H338,"0")+IFERROR(Y339/H339,"0")+IFERROR(Y340/H340,"0")</f>
        <v>42</v>
      </c>
      <c r="Z341" s="645">
        <f>IFERROR(IF(Z338="",0,Z338),"0")+IFERROR(IF(Z339="",0,Z339),"0")+IFERROR(IF(Z340="",0,Z340),"0")</f>
        <v>0.27342</v>
      </c>
      <c r="AA341" s="646"/>
      <c r="AB341" s="646"/>
      <c r="AC341" s="646"/>
    </row>
    <row r="342" spans="1:68" x14ac:dyDescent="0.2">
      <c r="A342" s="654"/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5"/>
      <c r="P342" s="658" t="s">
        <v>72</v>
      </c>
      <c r="Q342" s="659"/>
      <c r="R342" s="659"/>
      <c r="S342" s="659"/>
      <c r="T342" s="659"/>
      <c r="U342" s="659"/>
      <c r="V342" s="660"/>
      <c r="W342" s="37" t="s">
        <v>67</v>
      </c>
      <c r="X342" s="645">
        <f>IFERROR(SUM(X338:X340),"0")</f>
        <v>100</v>
      </c>
      <c r="Y342" s="645">
        <f>IFERROR(SUM(Y338:Y340),"0")</f>
        <v>100.8</v>
      </c>
      <c r="Z342" s="37"/>
      <c r="AA342" s="646"/>
      <c r="AB342" s="646"/>
      <c r="AC342" s="646"/>
    </row>
    <row r="343" spans="1:68" ht="16.5" hidden="1" customHeight="1" x14ac:dyDescent="0.25">
      <c r="A343" s="657" t="s">
        <v>564</v>
      </c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4"/>
      <c r="P343" s="654"/>
      <c r="Q343" s="654"/>
      <c r="R343" s="654"/>
      <c r="S343" s="654"/>
      <c r="T343" s="654"/>
      <c r="U343" s="654"/>
      <c r="V343" s="654"/>
      <c r="W343" s="654"/>
      <c r="X343" s="654"/>
      <c r="Y343" s="654"/>
      <c r="Z343" s="654"/>
      <c r="AA343" s="638"/>
      <c r="AB343" s="638"/>
      <c r="AC343" s="638"/>
    </row>
    <row r="344" spans="1:68" ht="14.25" hidden="1" customHeight="1" x14ac:dyDescent="0.25">
      <c r="A344" s="656" t="s">
        <v>62</v>
      </c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4"/>
      <c r="P344" s="654"/>
      <c r="Q344" s="654"/>
      <c r="R344" s="654"/>
      <c r="S344" s="654"/>
      <c r="T344" s="654"/>
      <c r="U344" s="654"/>
      <c r="V344" s="654"/>
      <c r="W344" s="654"/>
      <c r="X344" s="654"/>
      <c r="Y344" s="654"/>
      <c r="Z344" s="654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51">
        <v>4680115888319</v>
      </c>
      <c r="E345" s="652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51">
        <v>4680115884700</v>
      </c>
      <c r="E346" s="652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51">
        <v>4680115880344</v>
      </c>
      <c r="E347" s="652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51">
        <v>4680115886919</v>
      </c>
      <c r="E348" s="652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3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51">
        <v>4680115883970</v>
      </c>
      <c r="E349" s="652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3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8" t="s">
        <v>72</v>
      </c>
      <c r="Q350" s="659"/>
      <c r="R350" s="659"/>
      <c r="S350" s="659"/>
      <c r="T350" s="659"/>
      <c r="U350" s="659"/>
      <c r="V350" s="660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4"/>
      <c r="B351" s="654"/>
      <c r="C351" s="654"/>
      <c r="D351" s="654"/>
      <c r="E351" s="654"/>
      <c r="F351" s="654"/>
      <c r="G351" s="654"/>
      <c r="H351" s="654"/>
      <c r="I351" s="654"/>
      <c r="J351" s="654"/>
      <c r="K351" s="654"/>
      <c r="L351" s="654"/>
      <c r="M351" s="654"/>
      <c r="N351" s="654"/>
      <c r="O351" s="655"/>
      <c r="P351" s="658" t="s">
        <v>72</v>
      </c>
      <c r="Q351" s="659"/>
      <c r="R351" s="659"/>
      <c r="S351" s="659"/>
      <c r="T351" s="659"/>
      <c r="U351" s="659"/>
      <c r="V351" s="660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56" t="s">
        <v>74</v>
      </c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4"/>
      <c r="P352" s="654"/>
      <c r="Q352" s="654"/>
      <c r="R352" s="654"/>
      <c r="S352" s="654"/>
      <c r="T352" s="654"/>
      <c r="U352" s="654"/>
      <c r="V352" s="654"/>
      <c r="W352" s="654"/>
      <c r="X352" s="654"/>
      <c r="Y352" s="654"/>
      <c r="Z352" s="654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51">
        <v>4680115884618</v>
      </c>
      <c r="E353" s="652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51">
        <v>4680115887114</v>
      </c>
      <c r="E354" s="652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3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8" t="s">
        <v>72</v>
      </c>
      <c r="Q355" s="659"/>
      <c r="R355" s="659"/>
      <c r="S355" s="659"/>
      <c r="T355" s="659"/>
      <c r="U355" s="659"/>
      <c r="V355" s="660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5"/>
      <c r="P356" s="658" t="s">
        <v>72</v>
      </c>
      <c r="Q356" s="659"/>
      <c r="R356" s="659"/>
      <c r="S356" s="659"/>
      <c r="T356" s="659"/>
      <c r="U356" s="659"/>
      <c r="V356" s="660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57" t="s">
        <v>585</v>
      </c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4"/>
      <c r="P357" s="654"/>
      <c r="Q357" s="654"/>
      <c r="R357" s="654"/>
      <c r="S357" s="654"/>
      <c r="T357" s="654"/>
      <c r="U357" s="654"/>
      <c r="V357" s="654"/>
      <c r="W357" s="654"/>
      <c r="X357" s="654"/>
      <c r="Y357" s="654"/>
      <c r="Z357" s="654"/>
      <c r="AA357" s="638"/>
      <c r="AB357" s="638"/>
      <c r="AC357" s="638"/>
    </row>
    <row r="358" spans="1:68" ht="14.25" hidden="1" customHeight="1" x14ac:dyDescent="0.25">
      <c r="A358" s="656" t="s">
        <v>111</v>
      </c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54"/>
      <c r="O358" s="654"/>
      <c r="P358" s="654"/>
      <c r="Q358" s="654"/>
      <c r="R358" s="654"/>
      <c r="S358" s="654"/>
      <c r="T358" s="654"/>
      <c r="U358" s="654"/>
      <c r="V358" s="654"/>
      <c r="W358" s="654"/>
      <c r="X358" s="654"/>
      <c r="Y358" s="654"/>
      <c r="Z358" s="654"/>
      <c r="AA358" s="639"/>
      <c r="AB358" s="639"/>
      <c r="AC358" s="639"/>
    </row>
    <row r="359" spans="1:68" ht="27" hidden="1" customHeight="1" x14ac:dyDescent="0.25">
      <c r="A359" s="54" t="s">
        <v>586</v>
      </c>
      <c r="B359" s="54" t="s">
        <v>587</v>
      </c>
      <c r="C359" s="31">
        <v>4301012324</v>
      </c>
      <c r="D359" s="651">
        <v>4680115887947</v>
      </c>
      <c r="E359" s="652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1">
        <v>4680115887978</v>
      </c>
      <c r="E360" s="652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250</v>
      </c>
      <c r="Y360" s="644">
        <f>IFERROR(IF(X360="",0,CEILING((X360/$H360),1)*$H360),"")</f>
        <v>257.39999999999998</v>
      </c>
      <c r="Z360" s="36">
        <f>IFERROR(IF(Y360=0,"",ROUNDUP(Y360/H360,0)*0.01898),"")</f>
        <v>0.62634000000000001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263.14102564102564</v>
      </c>
      <c r="BN360" s="64">
        <f>IFERROR(Y360*I360/H360,"0")</f>
        <v>270.93</v>
      </c>
      <c r="BO360" s="64">
        <f>IFERROR(1/J360*(X360/H360),"0")</f>
        <v>0.50080128205128205</v>
      </c>
      <c r="BP360" s="64">
        <f>IFERROR(1/J360*(Y360/H360),"0")</f>
        <v>0.515625</v>
      </c>
    </row>
    <row r="361" spans="1:68" ht="27" hidden="1" customHeight="1" x14ac:dyDescent="0.25">
      <c r="A361" s="54" t="s">
        <v>591</v>
      </c>
      <c r="B361" s="54" t="s">
        <v>592</v>
      </c>
      <c r="C361" s="31">
        <v>4301012327</v>
      </c>
      <c r="D361" s="651">
        <v>4680115887992</v>
      </c>
      <c r="E361" s="652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3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8" t="s">
        <v>72</v>
      </c>
      <c r="Q362" s="659"/>
      <c r="R362" s="659"/>
      <c r="S362" s="659"/>
      <c r="T362" s="659"/>
      <c r="U362" s="659"/>
      <c r="V362" s="660"/>
      <c r="W362" s="37" t="s">
        <v>73</v>
      </c>
      <c r="X362" s="645">
        <f>IFERROR(X359/H359,"0")+IFERROR(X360/H360,"0")+IFERROR(X361/H361,"0")</f>
        <v>32.051282051282051</v>
      </c>
      <c r="Y362" s="645">
        <f>IFERROR(Y359/H359,"0")+IFERROR(Y360/H360,"0")+IFERROR(Y361/H361,"0")</f>
        <v>33</v>
      </c>
      <c r="Z362" s="645">
        <f>IFERROR(IF(Z359="",0,Z359),"0")+IFERROR(IF(Z360="",0,Z360),"0")+IFERROR(IF(Z361="",0,Z361),"0")</f>
        <v>0.62634000000000001</v>
      </c>
      <c r="AA362" s="646"/>
      <c r="AB362" s="646"/>
      <c r="AC362" s="646"/>
    </row>
    <row r="363" spans="1:68" x14ac:dyDescent="0.2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5"/>
      <c r="P363" s="658" t="s">
        <v>72</v>
      </c>
      <c r="Q363" s="659"/>
      <c r="R363" s="659"/>
      <c r="S363" s="659"/>
      <c r="T363" s="659"/>
      <c r="U363" s="659"/>
      <c r="V363" s="660"/>
      <c r="W363" s="37" t="s">
        <v>67</v>
      </c>
      <c r="X363" s="645">
        <f>IFERROR(SUM(X359:X361),"0")</f>
        <v>250</v>
      </c>
      <c r="Y363" s="645">
        <f>IFERROR(SUM(Y359:Y361),"0")</f>
        <v>257.39999999999998</v>
      </c>
      <c r="Z363" s="37"/>
      <c r="AA363" s="646"/>
      <c r="AB363" s="646"/>
      <c r="AC363" s="646"/>
    </row>
    <row r="364" spans="1:68" ht="16.5" hidden="1" customHeight="1" x14ac:dyDescent="0.25">
      <c r="A364" s="657" t="s">
        <v>594</v>
      </c>
      <c r="B364" s="654"/>
      <c r="C364" s="654"/>
      <c r="D364" s="654"/>
      <c r="E364" s="654"/>
      <c r="F364" s="654"/>
      <c r="G364" s="654"/>
      <c r="H364" s="654"/>
      <c r="I364" s="654"/>
      <c r="J364" s="654"/>
      <c r="K364" s="654"/>
      <c r="L364" s="654"/>
      <c r="M364" s="654"/>
      <c r="N364" s="654"/>
      <c r="O364" s="654"/>
      <c r="P364" s="654"/>
      <c r="Q364" s="654"/>
      <c r="R364" s="654"/>
      <c r="S364" s="654"/>
      <c r="T364" s="654"/>
      <c r="U364" s="654"/>
      <c r="V364" s="654"/>
      <c r="W364" s="654"/>
      <c r="X364" s="654"/>
      <c r="Y364" s="654"/>
      <c r="Z364" s="654"/>
      <c r="AA364" s="638"/>
      <c r="AB364" s="638"/>
      <c r="AC364" s="638"/>
    </row>
    <row r="365" spans="1:68" ht="14.25" hidden="1" customHeight="1" x14ac:dyDescent="0.25">
      <c r="A365" s="656" t="s">
        <v>111</v>
      </c>
      <c r="B365" s="654"/>
      <c r="C365" s="654"/>
      <c r="D365" s="654"/>
      <c r="E365" s="654"/>
      <c r="F365" s="654"/>
      <c r="G365" s="654"/>
      <c r="H365" s="654"/>
      <c r="I365" s="654"/>
      <c r="J365" s="654"/>
      <c r="K365" s="654"/>
      <c r="L365" s="654"/>
      <c r="M365" s="654"/>
      <c r="N365" s="654"/>
      <c r="O365" s="654"/>
      <c r="P365" s="654"/>
      <c r="Q365" s="654"/>
      <c r="R365" s="654"/>
      <c r="S365" s="654"/>
      <c r="T365" s="654"/>
      <c r="U365" s="654"/>
      <c r="V365" s="654"/>
      <c r="W365" s="654"/>
      <c r="X365" s="654"/>
      <c r="Y365" s="654"/>
      <c r="Z365" s="654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51">
        <v>4680115887190</v>
      </c>
      <c r="E366" s="652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hidden="1" customHeight="1" x14ac:dyDescent="0.25">
      <c r="A367" s="54" t="s">
        <v>598</v>
      </c>
      <c r="B367" s="54" t="s">
        <v>599</v>
      </c>
      <c r="C367" s="31">
        <v>4301012233</v>
      </c>
      <c r="D367" s="651">
        <v>4680115887138</v>
      </c>
      <c r="E367" s="652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4301012016</v>
      </c>
      <c r="D368" s="651">
        <v>4680115885554</v>
      </c>
      <c r="E368" s="652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51">
        <v>4680115887220</v>
      </c>
      <c r="E369" s="652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51">
        <v>4680115885608</v>
      </c>
      <c r="E370" s="652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10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53"/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5"/>
      <c r="P371" s="658" t="s">
        <v>72</v>
      </c>
      <c r="Q371" s="659"/>
      <c r="R371" s="659"/>
      <c r="S371" s="659"/>
      <c r="T371" s="659"/>
      <c r="U371" s="659"/>
      <c r="V371" s="660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8" t="s">
        <v>72</v>
      </c>
      <c r="Q372" s="659"/>
      <c r="R372" s="659"/>
      <c r="S372" s="659"/>
      <c r="T372" s="659"/>
      <c r="U372" s="659"/>
      <c r="V372" s="660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56" t="s">
        <v>62</v>
      </c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4"/>
      <c r="P373" s="654"/>
      <c r="Q373" s="654"/>
      <c r="R373" s="654"/>
      <c r="S373" s="654"/>
      <c r="T373" s="654"/>
      <c r="U373" s="654"/>
      <c r="V373" s="654"/>
      <c r="W373" s="654"/>
      <c r="X373" s="654"/>
      <c r="Y373" s="654"/>
      <c r="Z373" s="654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51">
        <v>4607091387193</v>
      </c>
      <c r="E374" s="652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4301031153</v>
      </c>
      <c r="D375" s="651">
        <v>4607091387230</v>
      </c>
      <c r="E375" s="652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51">
        <v>4607091387292</v>
      </c>
      <c r="E376" s="652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51">
        <v>4607091387285</v>
      </c>
      <c r="E377" s="652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6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51">
        <v>4607091389845</v>
      </c>
      <c r="E378" s="652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51">
        <v>4680115887442</v>
      </c>
      <c r="E379" s="652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1">
        <v>4607091383836</v>
      </c>
      <c r="E380" s="652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6</v>
      </c>
      <c r="Y380" s="644">
        <f t="shared" si="58"/>
        <v>7.2</v>
      </c>
      <c r="Z380" s="36">
        <f>IFERROR(IF(Y380=0,"",ROUNDUP(Y380/H380,0)*0.00651),"")</f>
        <v>2.6040000000000001E-2</v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6.76</v>
      </c>
      <c r="BN380" s="64">
        <f t="shared" si="60"/>
        <v>8.1120000000000001</v>
      </c>
      <c r="BO380" s="64">
        <f t="shared" si="61"/>
        <v>1.8315018315018316E-2</v>
      </c>
      <c r="BP380" s="64">
        <f t="shared" si="62"/>
        <v>2.197802197802198E-2</v>
      </c>
    </row>
    <row r="381" spans="1:68" x14ac:dyDescent="0.2">
      <c r="A381" s="653"/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5"/>
      <c r="P381" s="658" t="s">
        <v>72</v>
      </c>
      <c r="Q381" s="659"/>
      <c r="R381" s="659"/>
      <c r="S381" s="659"/>
      <c r="T381" s="659"/>
      <c r="U381" s="659"/>
      <c r="V381" s="660"/>
      <c r="W381" s="37" t="s">
        <v>73</v>
      </c>
      <c r="X381" s="645">
        <f>IFERROR(X374/H374,"0")+IFERROR(X375/H375,"0")+IFERROR(X376/H376,"0")+IFERROR(X377/H377,"0")+IFERROR(X378/H378,"0")+IFERROR(X379/H379,"0")+IFERROR(X380/H380,"0")</f>
        <v>3.333333333333333</v>
      </c>
      <c r="Y381" s="645">
        <f>IFERROR(Y374/H374,"0")+IFERROR(Y375/H375,"0")+IFERROR(Y376/H376,"0")+IFERROR(Y377/H377,"0")+IFERROR(Y378/H378,"0")+IFERROR(Y379/H379,"0")+IFERROR(Y380/H380,"0")</f>
        <v>4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2.6040000000000001E-2</v>
      </c>
      <c r="AA381" s="646"/>
      <c r="AB381" s="646"/>
      <c r="AC381" s="646"/>
    </row>
    <row r="382" spans="1:68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8" t="s">
        <v>72</v>
      </c>
      <c r="Q382" s="659"/>
      <c r="R382" s="659"/>
      <c r="S382" s="659"/>
      <c r="T382" s="659"/>
      <c r="U382" s="659"/>
      <c r="V382" s="660"/>
      <c r="W382" s="37" t="s">
        <v>67</v>
      </c>
      <c r="X382" s="645">
        <f>IFERROR(SUM(X374:X380),"0")</f>
        <v>6</v>
      </c>
      <c r="Y382" s="645">
        <f>IFERROR(SUM(Y374:Y380),"0")</f>
        <v>7.2</v>
      </c>
      <c r="Z382" s="37"/>
      <c r="AA382" s="646"/>
      <c r="AB382" s="646"/>
      <c r="AC382" s="646"/>
    </row>
    <row r="383" spans="1:68" ht="14.25" hidden="1" customHeight="1" x14ac:dyDescent="0.25">
      <c r="A383" s="656" t="s">
        <v>74</v>
      </c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4"/>
      <c r="P383" s="654"/>
      <c r="Q383" s="654"/>
      <c r="R383" s="654"/>
      <c r="S383" s="654"/>
      <c r="T383" s="654"/>
      <c r="U383" s="654"/>
      <c r="V383" s="654"/>
      <c r="W383" s="654"/>
      <c r="X383" s="654"/>
      <c r="Y383" s="654"/>
      <c r="Z383" s="654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51">
        <v>4607091387766</v>
      </c>
      <c r="E384" s="652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51">
        <v>4607091387957</v>
      </c>
      <c r="E385" s="652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51">
        <v>4607091387964</v>
      </c>
      <c r="E386" s="652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51">
        <v>4680115884588</v>
      </c>
      <c r="E387" s="652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3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5"/>
      <c r="P388" s="658" t="s">
        <v>72</v>
      </c>
      <c r="Q388" s="659"/>
      <c r="R388" s="659"/>
      <c r="S388" s="659"/>
      <c r="T388" s="659"/>
      <c r="U388" s="659"/>
      <c r="V388" s="660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8" t="s">
        <v>72</v>
      </c>
      <c r="Q389" s="659"/>
      <c r="R389" s="659"/>
      <c r="S389" s="659"/>
      <c r="T389" s="659"/>
      <c r="U389" s="659"/>
      <c r="V389" s="660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6" t="s">
        <v>162</v>
      </c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  <c r="AA390" s="639"/>
      <c r="AB390" s="639"/>
      <c r="AC390" s="639"/>
    </row>
    <row r="391" spans="1:68" ht="27" hidden="1" customHeight="1" x14ac:dyDescent="0.25">
      <c r="A391" s="54" t="s">
        <v>639</v>
      </c>
      <c r="B391" s="54" t="s">
        <v>640</v>
      </c>
      <c r="C391" s="31">
        <v>4301060387</v>
      </c>
      <c r="D391" s="651">
        <v>4607091380880</v>
      </c>
      <c r="E391" s="652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1">
        <v>4607091384482</v>
      </c>
      <c r="E392" s="652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245</v>
      </c>
      <c r="Y392" s="644">
        <f>IFERROR(IF(X392="",0,CEILING((X392/$H392),1)*$H392),"")</f>
        <v>249.6</v>
      </c>
      <c r="Z392" s="36">
        <f>IFERROR(IF(Y392=0,"",ROUNDUP(Y392/H392,0)*0.01898),"")</f>
        <v>0.60736000000000001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260.51666666666671</v>
      </c>
      <c r="BN392" s="64">
        <f>IFERROR(Y392*I392/H392,"0")</f>
        <v>265.40800000000002</v>
      </c>
      <c r="BO392" s="64">
        <f>IFERROR(1/J392*(X392/H392),"0")</f>
        <v>0.49078525641025644</v>
      </c>
      <c r="BP392" s="64">
        <f>IFERROR(1/J392*(Y392/H392),"0")</f>
        <v>0.5</v>
      </c>
    </row>
    <row r="393" spans="1:68" ht="27" hidden="1" customHeight="1" x14ac:dyDescent="0.25">
      <c r="A393" s="54" t="s">
        <v>645</v>
      </c>
      <c r="B393" s="54" t="s">
        <v>646</v>
      </c>
      <c r="C393" s="31">
        <v>4301060484</v>
      </c>
      <c r="D393" s="651">
        <v>4607091380897</v>
      </c>
      <c r="E393" s="652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3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5"/>
      <c r="P394" s="658" t="s">
        <v>72</v>
      </c>
      <c r="Q394" s="659"/>
      <c r="R394" s="659"/>
      <c r="S394" s="659"/>
      <c r="T394" s="659"/>
      <c r="U394" s="659"/>
      <c r="V394" s="660"/>
      <c r="W394" s="37" t="s">
        <v>73</v>
      </c>
      <c r="X394" s="645">
        <f>IFERROR(X391/H391,"0")+IFERROR(X392/H392,"0")+IFERROR(X393/H393,"0")</f>
        <v>31.410256410256412</v>
      </c>
      <c r="Y394" s="645">
        <f>IFERROR(Y391/H391,"0")+IFERROR(Y392/H392,"0")+IFERROR(Y393/H393,"0")</f>
        <v>32</v>
      </c>
      <c r="Z394" s="645">
        <f>IFERROR(IF(Z391="",0,Z391),"0")+IFERROR(IF(Z392="",0,Z392),"0")+IFERROR(IF(Z393="",0,Z393),"0")</f>
        <v>0.60736000000000001</v>
      </c>
      <c r="AA394" s="646"/>
      <c r="AB394" s="646"/>
      <c r="AC394" s="646"/>
    </row>
    <row r="395" spans="1:68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8" t="s">
        <v>72</v>
      </c>
      <c r="Q395" s="659"/>
      <c r="R395" s="659"/>
      <c r="S395" s="659"/>
      <c r="T395" s="659"/>
      <c r="U395" s="659"/>
      <c r="V395" s="660"/>
      <c r="W395" s="37" t="s">
        <v>67</v>
      </c>
      <c r="X395" s="645">
        <f>IFERROR(SUM(X391:X393),"0")</f>
        <v>245</v>
      </c>
      <c r="Y395" s="645">
        <f>IFERROR(SUM(Y391:Y393),"0")</f>
        <v>249.6</v>
      </c>
      <c r="Z395" s="37"/>
      <c r="AA395" s="646"/>
      <c r="AB395" s="646"/>
      <c r="AC395" s="646"/>
    </row>
    <row r="396" spans="1:68" ht="14.25" hidden="1" customHeight="1" x14ac:dyDescent="0.25">
      <c r="A396" s="656" t="s">
        <v>278</v>
      </c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4"/>
      <c r="P396" s="654"/>
      <c r="Q396" s="654"/>
      <c r="R396" s="654"/>
      <c r="S396" s="654"/>
      <c r="T396" s="654"/>
      <c r="U396" s="654"/>
      <c r="V396" s="654"/>
      <c r="W396" s="654"/>
      <c r="X396" s="654"/>
      <c r="Y396" s="654"/>
      <c r="Z396" s="654"/>
      <c r="AA396" s="639"/>
      <c r="AB396" s="639"/>
      <c r="AC396" s="639"/>
    </row>
    <row r="397" spans="1:68" ht="27" hidden="1" customHeight="1" x14ac:dyDescent="0.25">
      <c r="A397" s="54" t="s">
        <v>648</v>
      </c>
      <c r="B397" s="54" t="s">
        <v>649</v>
      </c>
      <c r="C397" s="31">
        <v>4301030235</v>
      </c>
      <c r="D397" s="651">
        <v>4607091388381</v>
      </c>
      <c r="E397" s="652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4301030232</v>
      </c>
      <c r="D398" s="651">
        <v>4607091388374</v>
      </c>
      <c r="E398" s="652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4301032015</v>
      </c>
      <c r="D399" s="651">
        <v>4607091383102</v>
      </c>
      <c r="E399" s="652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4301030233</v>
      </c>
      <c r="D400" s="651">
        <v>4607091388404</v>
      </c>
      <c r="E400" s="652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53"/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5"/>
      <c r="P401" s="658" t="s">
        <v>72</v>
      </c>
      <c r="Q401" s="659"/>
      <c r="R401" s="659"/>
      <c r="S401" s="659"/>
      <c r="T401" s="659"/>
      <c r="U401" s="659"/>
      <c r="V401" s="660"/>
      <c r="W401" s="37" t="s">
        <v>73</v>
      </c>
      <c r="X401" s="645">
        <f>IFERROR(X397/H397,"0")+IFERROR(X398/H398,"0")+IFERROR(X399/H399,"0")+IFERROR(X400/H400,"0")</f>
        <v>0</v>
      </c>
      <c r="Y401" s="645">
        <f>IFERROR(Y397/H397,"0")+IFERROR(Y398/H398,"0")+IFERROR(Y399/H399,"0")+IFERROR(Y400/H400,"0")</f>
        <v>0</v>
      </c>
      <c r="Z401" s="645">
        <f>IFERROR(IF(Z397="",0,Z397),"0")+IFERROR(IF(Z398="",0,Z398),"0")+IFERROR(IF(Z399="",0,Z399),"0")+IFERROR(IF(Z400="",0,Z400),"0")</f>
        <v>0</v>
      </c>
      <c r="AA401" s="646"/>
      <c r="AB401" s="646"/>
      <c r="AC401" s="646"/>
    </row>
    <row r="402" spans="1:68" hidden="1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8" t="s">
        <v>72</v>
      </c>
      <c r="Q402" s="659"/>
      <c r="R402" s="659"/>
      <c r="S402" s="659"/>
      <c r="T402" s="659"/>
      <c r="U402" s="659"/>
      <c r="V402" s="660"/>
      <c r="W402" s="37" t="s">
        <v>67</v>
      </c>
      <c r="X402" s="645">
        <f>IFERROR(SUM(X397:X400),"0")</f>
        <v>0</v>
      </c>
      <c r="Y402" s="645">
        <f>IFERROR(SUM(Y397:Y400),"0")</f>
        <v>0</v>
      </c>
      <c r="Z402" s="37"/>
      <c r="AA402" s="646"/>
      <c r="AB402" s="646"/>
      <c r="AC402" s="646"/>
    </row>
    <row r="403" spans="1:68" ht="14.25" hidden="1" customHeight="1" x14ac:dyDescent="0.25">
      <c r="A403" s="656" t="s">
        <v>657</v>
      </c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4"/>
      <c r="P403" s="654"/>
      <c r="Q403" s="654"/>
      <c r="R403" s="654"/>
      <c r="S403" s="654"/>
      <c r="T403" s="654"/>
      <c r="U403" s="654"/>
      <c r="V403" s="654"/>
      <c r="W403" s="654"/>
      <c r="X403" s="654"/>
      <c r="Y403" s="654"/>
      <c r="Z403" s="654"/>
      <c r="AA403" s="639"/>
      <c r="AB403" s="639"/>
      <c r="AC403" s="639"/>
    </row>
    <row r="404" spans="1:68" ht="16.5" hidden="1" customHeight="1" x14ac:dyDescent="0.25">
      <c r="A404" s="54" t="s">
        <v>658</v>
      </c>
      <c r="B404" s="54" t="s">
        <v>659</v>
      </c>
      <c r="C404" s="31">
        <v>4301180007</v>
      </c>
      <c r="D404" s="651">
        <v>4680115881808</v>
      </c>
      <c r="E404" s="652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0</v>
      </c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4301180006</v>
      </c>
      <c r="D405" s="651">
        <v>4680115881822</v>
      </c>
      <c r="E405" s="652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664</v>
      </c>
      <c r="B406" s="54" t="s">
        <v>665</v>
      </c>
      <c r="C406" s="31">
        <v>4301180001</v>
      </c>
      <c r="D406" s="651">
        <v>4680115880016</v>
      </c>
      <c r="E406" s="652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53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5"/>
      <c r="P407" s="658" t="s">
        <v>72</v>
      </c>
      <c r="Q407" s="659"/>
      <c r="R407" s="659"/>
      <c r="S407" s="659"/>
      <c r="T407" s="659"/>
      <c r="U407" s="659"/>
      <c r="V407" s="660"/>
      <c r="W407" s="37" t="s">
        <v>73</v>
      </c>
      <c r="X407" s="645">
        <f>IFERROR(X404/H404,"0")+IFERROR(X405/H405,"0")+IFERROR(X406/H406,"0")</f>
        <v>0</v>
      </c>
      <c r="Y407" s="645">
        <f>IFERROR(Y404/H404,"0")+IFERROR(Y405/H405,"0")+IFERROR(Y406/H406,"0")</f>
        <v>0</v>
      </c>
      <c r="Z407" s="645">
        <f>IFERROR(IF(Z404="",0,Z404),"0")+IFERROR(IF(Z405="",0,Z405),"0")+IFERROR(IF(Z406="",0,Z406),"0")</f>
        <v>0</v>
      </c>
      <c r="AA407" s="646"/>
      <c r="AB407" s="646"/>
      <c r="AC407" s="646"/>
    </row>
    <row r="408" spans="1:68" hidden="1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8" t="s">
        <v>72</v>
      </c>
      <c r="Q408" s="659"/>
      <c r="R408" s="659"/>
      <c r="S408" s="659"/>
      <c r="T408" s="659"/>
      <c r="U408" s="659"/>
      <c r="V408" s="660"/>
      <c r="W408" s="37" t="s">
        <v>67</v>
      </c>
      <c r="X408" s="645">
        <f>IFERROR(SUM(X404:X406),"0")</f>
        <v>0</v>
      </c>
      <c r="Y408" s="645">
        <f>IFERROR(SUM(Y404:Y406),"0")</f>
        <v>0</v>
      </c>
      <c r="Z408" s="37"/>
      <c r="AA408" s="646"/>
      <c r="AB408" s="646"/>
      <c r="AC408" s="646"/>
    </row>
    <row r="409" spans="1:68" ht="14.25" hidden="1" customHeight="1" x14ac:dyDescent="0.25">
      <c r="A409" s="656" t="s">
        <v>666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39"/>
      <c r="AB409" s="639"/>
      <c r="AC409" s="639"/>
    </row>
    <row r="410" spans="1:68" ht="27" hidden="1" customHeight="1" x14ac:dyDescent="0.25">
      <c r="A410" s="54" t="s">
        <v>667</v>
      </c>
      <c r="B410" s="54" t="s">
        <v>668</v>
      </c>
      <c r="C410" s="31">
        <v>4301220003</v>
      </c>
      <c r="D410" s="651">
        <v>4680115888678</v>
      </c>
      <c r="E410" s="652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99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670</v>
      </c>
      <c r="B411" s="54" t="s">
        <v>671</v>
      </c>
      <c r="C411" s="31">
        <v>4301220001</v>
      </c>
      <c r="D411" s="651">
        <v>4680115888654</v>
      </c>
      <c r="E411" s="652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7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673</v>
      </c>
      <c r="B412" s="54" t="s">
        <v>674</v>
      </c>
      <c r="C412" s="31">
        <v>4301220002</v>
      </c>
      <c r="D412" s="651">
        <v>4680115888753</v>
      </c>
      <c r="E412" s="652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3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5"/>
      <c r="P413" s="658" t="s">
        <v>72</v>
      </c>
      <c r="Q413" s="659"/>
      <c r="R413" s="659"/>
      <c r="S413" s="659"/>
      <c r="T413" s="659"/>
      <c r="U413" s="659"/>
      <c r="V413" s="660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8" t="s">
        <v>72</v>
      </c>
      <c r="Q414" s="659"/>
      <c r="R414" s="659"/>
      <c r="S414" s="659"/>
      <c r="T414" s="659"/>
      <c r="U414" s="659"/>
      <c r="V414" s="660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57" t="s">
        <v>675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38"/>
      <c r="AB415" s="638"/>
      <c r="AC415" s="638"/>
    </row>
    <row r="416" spans="1:68" ht="14.25" hidden="1" customHeight="1" x14ac:dyDescent="0.25">
      <c r="A416" s="656" t="s">
        <v>74</v>
      </c>
      <c r="B416" s="654"/>
      <c r="C416" s="654"/>
      <c r="D416" s="654"/>
      <c r="E416" s="654"/>
      <c r="F416" s="654"/>
      <c r="G416" s="654"/>
      <c r="H416" s="654"/>
      <c r="I416" s="654"/>
      <c r="J416" s="654"/>
      <c r="K416" s="654"/>
      <c r="L416" s="654"/>
      <c r="M416" s="654"/>
      <c r="N416" s="654"/>
      <c r="O416" s="654"/>
      <c r="P416" s="654"/>
      <c r="Q416" s="654"/>
      <c r="R416" s="654"/>
      <c r="S416" s="654"/>
      <c r="T416" s="654"/>
      <c r="U416" s="654"/>
      <c r="V416" s="654"/>
      <c r="W416" s="654"/>
      <c r="X416" s="654"/>
      <c r="Y416" s="654"/>
      <c r="Z416" s="654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51">
        <v>4680115889415</v>
      </c>
      <c r="E417" s="652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51">
        <v>4680115889422</v>
      </c>
      <c r="E418" s="652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3"/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5"/>
      <c r="P419" s="658" t="s">
        <v>72</v>
      </c>
      <c r="Q419" s="659"/>
      <c r="R419" s="659"/>
      <c r="S419" s="659"/>
      <c r="T419" s="659"/>
      <c r="U419" s="659"/>
      <c r="V419" s="660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8" t="s">
        <v>72</v>
      </c>
      <c r="Q420" s="659"/>
      <c r="R420" s="659"/>
      <c r="S420" s="659"/>
      <c r="T420" s="659"/>
      <c r="U420" s="659"/>
      <c r="V420" s="660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57" t="s">
        <v>682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38"/>
      <c r="AB421" s="638"/>
      <c r="AC421" s="638"/>
    </row>
    <row r="422" spans="1:68" ht="14.25" hidden="1" customHeight="1" x14ac:dyDescent="0.25">
      <c r="A422" s="656" t="s">
        <v>74</v>
      </c>
      <c r="B422" s="654"/>
      <c r="C422" s="654"/>
      <c r="D422" s="654"/>
      <c r="E422" s="654"/>
      <c r="F422" s="654"/>
      <c r="G422" s="654"/>
      <c r="H422" s="654"/>
      <c r="I422" s="654"/>
      <c r="J422" s="654"/>
      <c r="K422" s="654"/>
      <c r="L422" s="654"/>
      <c r="M422" s="654"/>
      <c r="N422" s="654"/>
      <c r="O422" s="654"/>
      <c r="P422" s="654"/>
      <c r="Q422" s="654"/>
      <c r="R422" s="654"/>
      <c r="S422" s="654"/>
      <c r="T422" s="654"/>
      <c r="U422" s="654"/>
      <c r="V422" s="654"/>
      <c r="W422" s="654"/>
      <c r="X422" s="654"/>
      <c r="Y422" s="654"/>
      <c r="Z422" s="654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51">
        <v>4607091387919</v>
      </c>
      <c r="E423" s="652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66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1">
        <v>4680115883604</v>
      </c>
      <c r="E424" s="652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53</v>
      </c>
      <c r="Y424" s="644">
        <f>IFERROR(IF(X424="",0,CEILING((X424/$H424),1)*$H424),"")</f>
        <v>54.6</v>
      </c>
      <c r="Z424" s="36">
        <f>IFERROR(IF(Y424=0,"",ROUNDUP(Y424/H424,0)*0.00651),"")</f>
        <v>0.16925999999999999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59.359999999999992</v>
      </c>
      <c r="BN424" s="64">
        <f>IFERROR(Y424*I424/H424,"0")</f>
        <v>61.151999999999994</v>
      </c>
      <c r="BO424" s="64">
        <f>IFERROR(1/J424*(X424/H424),"0")</f>
        <v>0.13867085295656725</v>
      </c>
      <c r="BP424" s="64">
        <f>IFERROR(1/J424*(Y424/H424),"0")</f>
        <v>0.14285714285714288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1">
        <v>4680115883567</v>
      </c>
      <c r="E425" s="652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35</v>
      </c>
      <c r="Y425" s="644">
        <f>IFERROR(IF(X425="",0,CEILING((X425/$H425),1)*$H425),"")</f>
        <v>35.700000000000003</v>
      </c>
      <c r="Z425" s="36">
        <f>IFERROR(IF(Y425=0,"",ROUNDUP(Y425/H425,0)*0.00651),"")</f>
        <v>0.11067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38.999999999999993</v>
      </c>
      <c r="BN425" s="64">
        <f>IFERROR(Y425*I425/H425,"0")</f>
        <v>39.779999999999994</v>
      </c>
      <c r="BO425" s="64">
        <f>IFERROR(1/J425*(X425/H425),"0")</f>
        <v>9.1575091575091569E-2</v>
      </c>
      <c r="BP425" s="64">
        <f>IFERROR(1/J425*(Y425/H425),"0")</f>
        <v>9.3406593406593408E-2</v>
      </c>
    </row>
    <row r="426" spans="1:68" x14ac:dyDescent="0.2">
      <c r="A426" s="653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5"/>
      <c r="P426" s="658" t="s">
        <v>72</v>
      </c>
      <c r="Q426" s="659"/>
      <c r="R426" s="659"/>
      <c r="S426" s="659"/>
      <c r="T426" s="659"/>
      <c r="U426" s="659"/>
      <c r="V426" s="660"/>
      <c r="W426" s="37" t="s">
        <v>73</v>
      </c>
      <c r="X426" s="645">
        <f>IFERROR(X423/H423,"0")+IFERROR(X424/H424,"0")+IFERROR(X425/H425,"0")</f>
        <v>41.904761904761898</v>
      </c>
      <c r="Y426" s="645">
        <f>IFERROR(Y423/H423,"0")+IFERROR(Y424/H424,"0")+IFERROR(Y425/H425,"0")</f>
        <v>43</v>
      </c>
      <c r="Z426" s="645">
        <f>IFERROR(IF(Z423="",0,Z423),"0")+IFERROR(IF(Z424="",0,Z424),"0")+IFERROR(IF(Z425="",0,Z425),"0")</f>
        <v>0.27993000000000001</v>
      </c>
      <c r="AA426" s="646"/>
      <c r="AB426" s="646"/>
      <c r="AC426" s="646"/>
    </row>
    <row r="427" spans="1:68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8" t="s">
        <v>72</v>
      </c>
      <c r="Q427" s="659"/>
      <c r="R427" s="659"/>
      <c r="S427" s="659"/>
      <c r="T427" s="659"/>
      <c r="U427" s="659"/>
      <c r="V427" s="660"/>
      <c r="W427" s="37" t="s">
        <v>67</v>
      </c>
      <c r="X427" s="645">
        <f>IFERROR(SUM(X423:X425),"0")</f>
        <v>88</v>
      </c>
      <c r="Y427" s="645">
        <f>IFERROR(SUM(Y423:Y425),"0")</f>
        <v>90.300000000000011</v>
      </c>
      <c r="Z427" s="37"/>
      <c r="AA427" s="646"/>
      <c r="AB427" s="646"/>
      <c r="AC427" s="646"/>
    </row>
    <row r="428" spans="1:68" ht="27.75" hidden="1" customHeight="1" x14ac:dyDescent="0.2">
      <c r="A428" s="661" t="s">
        <v>692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57" t="s">
        <v>693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38"/>
      <c r="AB429" s="638"/>
      <c r="AC429" s="638"/>
    </row>
    <row r="430" spans="1:68" ht="14.25" hidden="1" customHeight="1" x14ac:dyDescent="0.25">
      <c r="A430" s="656" t="s">
        <v>111</v>
      </c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4"/>
      <c r="P430" s="654"/>
      <c r="Q430" s="654"/>
      <c r="R430" s="654"/>
      <c r="S430" s="654"/>
      <c r="T430" s="654"/>
      <c r="U430" s="654"/>
      <c r="V430" s="654"/>
      <c r="W430" s="654"/>
      <c r="X430" s="654"/>
      <c r="Y430" s="654"/>
      <c r="Z430" s="654"/>
      <c r="AA430" s="639"/>
      <c r="AB430" s="639"/>
      <c r="AC430" s="639"/>
    </row>
    <row r="431" spans="1:68" ht="27" hidden="1" customHeight="1" x14ac:dyDescent="0.25">
      <c r="A431" s="54" t="s">
        <v>694</v>
      </c>
      <c r="B431" s="54" t="s">
        <v>695</v>
      </c>
      <c r="C431" s="31">
        <v>4301012332</v>
      </c>
      <c r="D431" s="651">
        <v>4680115888401</v>
      </c>
      <c r="E431" s="652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1">
        <v>4680115884847</v>
      </c>
      <c r="E432" s="652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1000</v>
      </c>
      <c r="Y432" s="644">
        <f t="shared" si="63"/>
        <v>1005</v>
      </c>
      <c r="Z432" s="36">
        <f>IFERROR(IF(Y432=0,"",ROUNDUP(Y432/H432,0)*0.02175),"")</f>
        <v>1.4572499999999999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1031.3333333333333</v>
      </c>
      <c r="BN432" s="64">
        <f t="shared" si="65"/>
        <v>1036.49</v>
      </c>
      <c r="BO432" s="64">
        <f t="shared" si="66"/>
        <v>1.3888888888888888</v>
      </c>
      <c r="BP432" s="64">
        <f t="shared" si="67"/>
        <v>1.3958333333333333</v>
      </c>
    </row>
    <row r="433" spans="1:68" ht="27" hidden="1" customHeight="1" x14ac:dyDescent="0.25">
      <c r="A433" s="54" t="s">
        <v>700</v>
      </c>
      <c r="B433" s="54" t="s">
        <v>701</v>
      </c>
      <c r="C433" s="31">
        <v>4301012083</v>
      </c>
      <c r="D433" s="651">
        <v>4680115884854</v>
      </c>
      <c r="E433" s="652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1">
        <v>4680115884830</v>
      </c>
      <c r="E434" s="652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400</v>
      </c>
      <c r="Y434" s="644">
        <f t="shared" si="63"/>
        <v>405</v>
      </c>
      <c r="Z434" s="36">
        <f>IFERROR(IF(Y434=0,"",ROUNDUP(Y434/H434,0)*0.02175),"")</f>
        <v>0.58724999999999994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412.53333333333336</v>
      </c>
      <c r="BN434" s="64">
        <f t="shared" si="65"/>
        <v>417.69</v>
      </c>
      <c r="BO434" s="64">
        <f t="shared" si="66"/>
        <v>0.55555555555555558</v>
      </c>
      <c r="BP434" s="64">
        <f t="shared" si="67"/>
        <v>0.5625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4301012356</v>
      </c>
      <c r="D435" s="651">
        <v>4680115889231</v>
      </c>
      <c r="E435" s="652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51">
        <v>4680115882638</v>
      </c>
      <c r="E436" s="652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51">
        <v>4680115884922</v>
      </c>
      <c r="E437" s="652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51">
        <v>4680115884861</v>
      </c>
      <c r="E438" s="652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3"/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5"/>
      <c r="P439" s="658" t="s">
        <v>72</v>
      </c>
      <c r="Q439" s="659"/>
      <c r="R439" s="659"/>
      <c r="S439" s="659"/>
      <c r="T439" s="659"/>
      <c r="U439" s="659"/>
      <c r="V439" s="660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93.333333333333343</v>
      </c>
      <c r="Y439" s="645">
        <f>IFERROR(Y431/H431,"0")+IFERROR(Y432/H432,"0")+IFERROR(Y433/H433,"0")+IFERROR(Y434/H434,"0")+IFERROR(Y435/H435,"0")+IFERROR(Y436/H436,"0")+IFERROR(Y437/H437,"0")+IFERROR(Y438/H438,"0")</f>
        <v>94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2.0444999999999998</v>
      </c>
      <c r="AA439" s="646"/>
      <c r="AB439" s="646"/>
      <c r="AC439" s="646"/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8" t="s">
        <v>72</v>
      </c>
      <c r="Q440" s="659"/>
      <c r="R440" s="659"/>
      <c r="S440" s="659"/>
      <c r="T440" s="659"/>
      <c r="U440" s="659"/>
      <c r="V440" s="660"/>
      <c r="W440" s="37" t="s">
        <v>67</v>
      </c>
      <c r="X440" s="645">
        <f>IFERROR(SUM(X431:X438),"0")</f>
        <v>1400</v>
      </c>
      <c r="Y440" s="645">
        <f>IFERROR(SUM(Y431:Y438),"0")</f>
        <v>1410</v>
      </c>
      <c r="Z440" s="37"/>
      <c r="AA440" s="646"/>
      <c r="AB440" s="646"/>
      <c r="AC440" s="646"/>
    </row>
    <row r="441" spans="1:68" ht="14.25" hidden="1" customHeight="1" x14ac:dyDescent="0.25">
      <c r="A441" s="656" t="s">
        <v>144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1">
        <v>4607091383980</v>
      </c>
      <c r="E442" s="652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420</v>
      </c>
      <c r="Y442" s="644">
        <f>IFERROR(IF(X442="",0,CEILING((X442/$H442),1)*$H442),"")</f>
        <v>420</v>
      </c>
      <c r="Z442" s="36">
        <f>IFERROR(IF(Y442=0,"",ROUNDUP(Y442/H442,0)*0.02175),"")</f>
        <v>0.60899999999999999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433.16</v>
      </c>
      <c r="BN442" s="64">
        <f>IFERROR(Y442*I442/H442,"0")</f>
        <v>433.16</v>
      </c>
      <c r="BO442" s="64">
        <f>IFERROR(1/J442*(X442/H442),"0")</f>
        <v>0.58333333333333326</v>
      </c>
      <c r="BP442" s="64">
        <f>IFERROR(1/J442*(Y442/H442),"0")</f>
        <v>0.58333333333333326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4301020355</v>
      </c>
      <c r="D443" s="651">
        <v>4680115888425</v>
      </c>
      <c r="E443" s="652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51">
        <v>4607091384178</v>
      </c>
      <c r="E444" s="652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3"/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5"/>
      <c r="P445" s="658" t="s">
        <v>72</v>
      </c>
      <c r="Q445" s="659"/>
      <c r="R445" s="659"/>
      <c r="S445" s="659"/>
      <c r="T445" s="659"/>
      <c r="U445" s="659"/>
      <c r="V445" s="660"/>
      <c r="W445" s="37" t="s">
        <v>73</v>
      </c>
      <c r="X445" s="645">
        <f>IFERROR(X442/H442,"0")+IFERROR(X443/H443,"0")+IFERROR(X444/H444,"0")</f>
        <v>28</v>
      </c>
      <c r="Y445" s="645">
        <f>IFERROR(Y442/H442,"0")+IFERROR(Y443/H443,"0")+IFERROR(Y444/H444,"0")</f>
        <v>28</v>
      </c>
      <c r="Z445" s="645">
        <f>IFERROR(IF(Z442="",0,Z442),"0")+IFERROR(IF(Z443="",0,Z443),"0")+IFERROR(IF(Z444="",0,Z444),"0")</f>
        <v>0.60899999999999999</v>
      </c>
      <c r="AA445" s="646"/>
      <c r="AB445" s="646"/>
      <c r="AC445" s="646"/>
    </row>
    <row r="446" spans="1:68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8" t="s">
        <v>72</v>
      </c>
      <c r="Q446" s="659"/>
      <c r="R446" s="659"/>
      <c r="S446" s="659"/>
      <c r="T446" s="659"/>
      <c r="U446" s="659"/>
      <c r="V446" s="660"/>
      <c r="W446" s="37" t="s">
        <v>67</v>
      </c>
      <c r="X446" s="645">
        <f>IFERROR(SUM(X442:X444),"0")</f>
        <v>420</v>
      </c>
      <c r="Y446" s="645">
        <f>IFERROR(SUM(Y442:Y444),"0")</f>
        <v>420</v>
      </c>
      <c r="Z446" s="37"/>
      <c r="AA446" s="646"/>
      <c r="AB446" s="646"/>
      <c r="AC446" s="646"/>
    </row>
    <row r="447" spans="1:68" ht="14.25" hidden="1" customHeight="1" x14ac:dyDescent="0.25">
      <c r="A447" s="656" t="s">
        <v>74</v>
      </c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4"/>
      <c r="P447" s="654"/>
      <c r="Q447" s="654"/>
      <c r="R447" s="654"/>
      <c r="S447" s="654"/>
      <c r="T447" s="654"/>
      <c r="U447" s="654"/>
      <c r="V447" s="654"/>
      <c r="W447" s="654"/>
      <c r="X447" s="654"/>
      <c r="Y447" s="654"/>
      <c r="Z447" s="654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51">
        <v>4607091383928</v>
      </c>
      <c r="E448" s="652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730</v>
      </c>
      <c r="B449" s="54" t="s">
        <v>731</v>
      </c>
      <c r="C449" s="31">
        <v>4301051897</v>
      </c>
      <c r="D449" s="651">
        <v>4607091384260</v>
      </c>
      <c r="E449" s="652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51">
        <v>4680115889538</v>
      </c>
      <c r="E450" s="652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3"/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5"/>
      <c r="P451" s="658" t="s">
        <v>72</v>
      </c>
      <c r="Q451" s="659"/>
      <c r="R451" s="659"/>
      <c r="S451" s="659"/>
      <c r="T451" s="659"/>
      <c r="U451" s="659"/>
      <c r="V451" s="660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8" t="s">
        <v>72</v>
      </c>
      <c r="Q452" s="659"/>
      <c r="R452" s="659"/>
      <c r="S452" s="659"/>
      <c r="T452" s="659"/>
      <c r="U452" s="659"/>
      <c r="V452" s="660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56" t="s">
        <v>162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51">
        <v>4680115889545</v>
      </c>
      <c r="E454" s="652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hidden="1" customHeight="1" x14ac:dyDescent="0.25">
      <c r="A455" s="54" t="s">
        <v>739</v>
      </c>
      <c r="B455" s="54" t="s">
        <v>740</v>
      </c>
      <c r="C455" s="31">
        <v>4301060524</v>
      </c>
      <c r="D455" s="651">
        <v>4607091384673</v>
      </c>
      <c r="E455" s="652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3"/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5"/>
      <c r="P456" s="658" t="s">
        <v>72</v>
      </c>
      <c r="Q456" s="659"/>
      <c r="R456" s="659"/>
      <c r="S456" s="659"/>
      <c r="T456" s="659"/>
      <c r="U456" s="659"/>
      <c r="V456" s="660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hidden="1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8" t="s">
        <v>72</v>
      </c>
      <c r="Q457" s="659"/>
      <c r="R457" s="659"/>
      <c r="S457" s="659"/>
      <c r="T457" s="659"/>
      <c r="U457" s="659"/>
      <c r="V457" s="660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hidden="1" customHeight="1" x14ac:dyDescent="0.25">
      <c r="A458" s="657" t="s">
        <v>742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38"/>
      <c r="AB458" s="638"/>
      <c r="AC458" s="638"/>
    </row>
    <row r="459" spans="1:68" ht="14.25" hidden="1" customHeight="1" x14ac:dyDescent="0.25">
      <c r="A459" s="656" t="s">
        <v>111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51">
        <v>4680115884885</v>
      </c>
      <c r="E460" s="652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51">
        <v>4680115884908</v>
      </c>
      <c r="E461" s="652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3"/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5"/>
      <c r="P462" s="658" t="s">
        <v>72</v>
      </c>
      <c r="Q462" s="659"/>
      <c r="R462" s="659"/>
      <c r="S462" s="659"/>
      <c r="T462" s="659"/>
      <c r="U462" s="659"/>
      <c r="V462" s="660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8" t="s">
        <v>72</v>
      </c>
      <c r="Q463" s="659"/>
      <c r="R463" s="659"/>
      <c r="S463" s="659"/>
      <c r="T463" s="659"/>
      <c r="U463" s="659"/>
      <c r="V463" s="660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6" t="s">
        <v>62</v>
      </c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4"/>
      <c r="P464" s="654"/>
      <c r="Q464" s="654"/>
      <c r="R464" s="654"/>
      <c r="S464" s="654"/>
      <c r="T464" s="654"/>
      <c r="U464" s="654"/>
      <c r="V464" s="654"/>
      <c r="W464" s="654"/>
      <c r="X464" s="654"/>
      <c r="Y464" s="654"/>
      <c r="Z464" s="654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51">
        <v>4607091384802</v>
      </c>
      <c r="E465" s="652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7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3"/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5"/>
      <c r="P466" s="658" t="s">
        <v>72</v>
      </c>
      <c r="Q466" s="659"/>
      <c r="R466" s="659"/>
      <c r="S466" s="659"/>
      <c r="T466" s="659"/>
      <c r="U466" s="659"/>
      <c r="V466" s="660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8" t="s">
        <v>72</v>
      </c>
      <c r="Q467" s="659"/>
      <c r="R467" s="659"/>
      <c r="S467" s="659"/>
      <c r="T467" s="659"/>
      <c r="U467" s="659"/>
      <c r="V467" s="660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6" t="s">
        <v>74</v>
      </c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4"/>
      <c r="P468" s="654"/>
      <c r="Q468" s="654"/>
      <c r="R468" s="654"/>
      <c r="S468" s="654"/>
      <c r="T468" s="654"/>
      <c r="U468" s="654"/>
      <c r="V468" s="654"/>
      <c r="W468" s="654"/>
      <c r="X468" s="654"/>
      <c r="Y468" s="654"/>
      <c r="Z468" s="654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1">
        <v>4607091384246</v>
      </c>
      <c r="E469" s="652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600</v>
      </c>
      <c r="Y469" s="644">
        <f>IFERROR(IF(X469="",0,CEILING((X469/$H469),1)*$H469),"")</f>
        <v>603</v>
      </c>
      <c r="Z469" s="36">
        <f>IFERROR(IF(Y469=0,"",ROUNDUP(Y469/H469,0)*0.01898),"")</f>
        <v>1.27166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632.93333333333328</v>
      </c>
      <c r="BN469" s="64">
        <f>IFERROR(Y469*I469/H469,"0")</f>
        <v>636.09799999999996</v>
      </c>
      <c r="BO469" s="64">
        <f>IFERROR(1/J469*(X469/H469),"0")</f>
        <v>1.0416666666666667</v>
      </c>
      <c r="BP469" s="64">
        <f>IFERROR(1/J469*(Y469/H469),"0")</f>
        <v>1.046875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1">
        <v>4607091384253</v>
      </c>
      <c r="E470" s="652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80</v>
      </c>
      <c r="Y470" s="644">
        <f>IFERROR(IF(X470="",0,CEILING((X470/$H470),1)*$H470),"")</f>
        <v>81.599999999999994</v>
      </c>
      <c r="Z470" s="36">
        <f>IFERROR(IF(Y470=0,"",ROUNDUP(Y470/H470,0)*0.00651),"")</f>
        <v>0.22134000000000001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88.800000000000011</v>
      </c>
      <c r="BN470" s="64">
        <f>IFERROR(Y470*I470/H470,"0")</f>
        <v>90.575999999999993</v>
      </c>
      <c r="BO470" s="64">
        <f>IFERROR(1/J470*(X470/H470),"0")</f>
        <v>0.18315018315018317</v>
      </c>
      <c r="BP470" s="64">
        <f>IFERROR(1/J470*(Y470/H470),"0")</f>
        <v>0.18681318681318682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51">
        <v>4607091384253</v>
      </c>
      <c r="E471" s="652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3"/>
      <c r="B472" s="654"/>
      <c r="C472" s="654"/>
      <c r="D472" s="654"/>
      <c r="E472" s="654"/>
      <c r="F472" s="654"/>
      <c r="G472" s="654"/>
      <c r="H472" s="654"/>
      <c r="I472" s="654"/>
      <c r="J472" s="654"/>
      <c r="K472" s="654"/>
      <c r="L472" s="654"/>
      <c r="M472" s="654"/>
      <c r="N472" s="654"/>
      <c r="O472" s="655"/>
      <c r="P472" s="658" t="s">
        <v>72</v>
      </c>
      <c r="Q472" s="659"/>
      <c r="R472" s="659"/>
      <c r="S472" s="659"/>
      <c r="T472" s="659"/>
      <c r="U472" s="659"/>
      <c r="V472" s="660"/>
      <c r="W472" s="37" t="s">
        <v>73</v>
      </c>
      <c r="X472" s="645">
        <f>IFERROR(X469/H469,"0")+IFERROR(X470/H470,"0")+IFERROR(X471/H471,"0")</f>
        <v>100</v>
      </c>
      <c r="Y472" s="645">
        <f>IFERROR(Y469/H469,"0")+IFERROR(Y470/H470,"0")+IFERROR(Y471/H471,"0")</f>
        <v>101</v>
      </c>
      <c r="Z472" s="645">
        <f>IFERROR(IF(Z469="",0,Z469),"0")+IFERROR(IF(Z470="",0,Z470),"0")+IFERROR(IF(Z471="",0,Z471),"0")</f>
        <v>1.4930000000000001</v>
      </c>
      <c r="AA472" s="646"/>
      <c r="AB472" s="646"/>
      <c r="AC472" s="646"/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8" t="s">
        <v>72</v>
      </c>
      <c r="Q473" s="659"/>
      <c r="R473" s="659"/>
      <c r="S473" s="659"/>
      <c r="T473" s="659"/>
      <c r="U473" s="659"/>
      <c r="V473" s="660"/>
      <c r="W473" s="37" t="s">
        <v>67</v>
      </c>
      <c r="X473" s="645">
        <f>IFERROR(SUM(X469:X471),"0")</f>
        <v>680</v>
      </c>
      <c r="Y473" s="645">
        <f>IFERROR(SUM(Y469:Y471),"0")</f>
        <v>684.6</v>
      </c>
      <c r="Z473" s="37"/>
      <c r="AA473" s="646"/>
      <c r="AB473" s="646"/>
      <c r="AC473" s="646"/>
    </row>
    <row r="474" spans="1:68" ht="27.75" hidden="1" customHeight="1" x14ac:dyDescent="0.2">
      <c r="A474" s="661" t="s">
        <v>758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57" t="s">
        <v>759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38"/>
      <c r="AB475" s="638"/>
      <c r="AC475" s="638"/>
    </row>
    <row r="476" spans="1:68" ht="14.25" hidden="1" customHeight="1" x14ac:dyDescent="0.25">
      <c r="A476" s="656" t="s">
        <v>62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39"/>
      <c r="AB476" s="639"/>
      <c r="AC476" s="639"/>
    </row>
    <row r="477" spans="1:68" ht="27" hidden="1" customHeight="1" x14ac:dyDescent="0.25">
      <c r="A477" s="54" t="s">
        <v>760</v>
      </c>
      <c r="B477" s="54" t="s">
        <v>761</v>
      </c>
      <c r="C477" s="31">
        <v>4301031405</v>
      </c>
      <c r="D477" s="651">
        <v>4680115886100</v>
      </c>
      <c r="E477" s="652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51">
        <v>4680115886124</v>
      </c>
      <c r="E478" s="652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51">
        <v>4607091384338</v>
      </c>
      <c r="E479" s="652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51">
        <v>4680115883161</v>
      </c>
      <c r="E480" s="652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51">
        <v>4607091389531</v>
      </c>
      <c r="E481" s="652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51">
        <v>4607091384345</v>
      </c>
      <c r="E482" s="652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idden="1" x14ac:dyDescent="0.2">
      <c r="A483" s="653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5"/>
      <c r="P483" s="658" t="s">
        <v>72</v>
      </c>
      <c r="Q483" s="659"/>
      <c r="R483" s="659"/>
      <c r="S483" s="659"/>
      <c r="T483" s="659"/>
      <c r="U483" s="659"/>
      <c r="V483" s="660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8" t="s">
        <v>72</v>
      </c>
      <c r="Q484" s="659"/>
      <c r="R484" s="659"/>
      <c r="S484" s="659"/>
      <c r="T484" s="659"/>
      <c r="U484" s="659"/>
      <c r="V484" s="660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6" t="s">
        <v>74</v>
      </c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4"/>
      <c r="P485" s="654"/>
      <c r="Q485" s="654"/>
      <c r="R485" s="654"/>
      <c r="S485" s="654"/>
      <c r="T485" s="654"/>
      <c r="U485" s="654"/>
      <c r="V485" s="654"/>
      <c r="W485" s="654"/>
      <c r="X485" s="654"/>
      <c r="Y485" s="654"/>
      <c r="Z485" s="654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51">
        <v>4607091384352</v>
      </c>
      <c r="E486" s="652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51">
        <v>4607091389654</v>
      </c>
      <c r="E487" s="652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3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5"/>
      <c r="P488" s="658" t="s">
        <v>72</v>
      </c>
      <c r="Q488" s="659"/>
      <c r="R488" s="659"/>
      <c r="S488" s="659"/>
      <c r="T488" s="659"/>
      <c r="U488" s="659"/>
      <c r="V488" s="660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8" t="s">
        <v>72</v>
      </c>
      <c r="Q489" s="659"/>
      <c r="R489" s="659"/>
      <c r="S489" s="659"/>
      <c r="T489" s="659"/>
      <c r="U489" s="659"/>
      <c r="V489" s="660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57" t="s">
        <v>782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38"/>
      <c r="AB490" s="638"/>
      <c r="AC490" s="638"/>
    </row>
    <row r="491" spans="1:68" ht="14.25" hidden="1" customHeight="1" x14ac:dyDescent="0.25">
      <c r="A491" s="656" t="s">
        <v>144</v>
      </c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4"/>
      <c r="P491" s="654"/>
      <c r="Q491" s="654"/>
      <c r="R491" s="654"/>
      <c r="S491" s="654"/>
      <c r="T491" s="654"/>
      <c r="U491" s="654"/>
      <c r="V491" s="654"/>
      <c r="W491" s="654"/>
      <c r="X491" s="654"/>
      <c r="Y491" s="654"/>
      <c r="Z491" s="654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51">
        <v>4680115885240</v>
      </c>
      <c r="E492" s="652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3"/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5"/>
      <c r="P493" s="658" t="s">
        <v>72</v>
      </c>
      <c r="Q493" s="659"/>
      <c r="R493" s="659"/>
      <c r="S493" s="659"/>
      <c r="T493" s="659"/>
      <c r="U493" s="659"/>
      <c r="V493" s="660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8" t="s">
        <v>72</v>
      </c>
      <c r="Q494" s="659"/>
      <c r="R494" s="659"/>
      <c r="S494" s="659"/>
      <c r="T494" s="659"/>
      <c r="U494" s="659"/>
      <c r="V494" s="660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6" t="s">
        <v>62</v>
      </c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4"/>
      <c r="P495" s="654"/>
      <c r="Q495" s="654"/>
      <c r="R495" s="654"/>
      <c r="S495" s="654"/>
      <c r="T495" s="654"/>
      <c r="U495" s="654"/>
      <c r="V495" s="654"/>
      <c r="W495" s="654"/>
      <c r="X495" s="654"/>
      <c r="Y495" s="654"/>
      <c r="Z495" s="654"/>
      <c r="AA495" s="639"/>
      <c r="AB495" s="639"/>
      <c r="AC495" s="639"/>
    </row>
    <row r="496" spans="1:68" ht="27" hidden="1" customHeight="1" x14ac:dyDescent="0.25">
      <c r="A496" s="54" t="s">
        <v>786</v>
      </c>
      <c r="B496" s="54" t="s">
        <v>787</v>
      </c>
      <c r="C496" s="31">
        <v>4301031407</v>
      </c>
      <c r="D496" s="651">
        <v>4680115886094</v>
      </c>
      <c r="E496" s="652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51">
        <v>4680115880771</v>
      </c>
      <c r="E497" s="652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51">
        <v>4607091389500</v>
      </c>
      <c r="E498" s="652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3"/>
      <c r="B499" s="654"/>
      <c r="C499" s="654"/>
      <c r="D499" s="654"/>
      <c r="E499" s="654"/>
      <c r="F499" s="654"/>
      <c r="G499" s="654"/>
      <c r="H499" s="654"/>
      <c r="I499" s="654"/>
      <c r="J499" s="654"/>
      <c r="K499" s="654"/>
      <c r="L499" s="654"/>
      <c r="M499" s="654"/>
      <c r="N499" s="654"/>
      <c r="O499" s="655"/>
      <c r="P499" s="658" t="s">
        <v>72</v>
      </c>
      <c r="Q499" s="659"/>
      <c r="R499" s="659"/>
      <c r="S499" s="659"/>
      <c r="T499" s="659"/>
      <c r="U499" s="659"/>
      <c r="V499" s="660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8" t="s">
        <v>72</v>
      </c>
      <c r="Q500" s="659"/>
      <c r="R500" s="659"/>
      <c r="S500" s="659"/>
      <c r="T500" s="659"/>
      <c r="U500" s="659"/>
      <c r="V500" s="660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61" t="s">
        <v>794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57" t="s">
        <v>794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38"/>
      <c r="AB502" s="638"/>
      <c r="AC502" s="638"/>
    </row>
    <row r="503" spans="1:68" ht="14.25" hidden="1" customHeight="1" x14ac:dyDescent="0.25">
      <c r="A503" s="656" t="s">
        <v>111</v>
      </c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654"/>
      <c r="P503" s="654"/>
      <c r="Q503" s="654"/>
      <c r="R503" s="654"/>
      <c r="S503" s="654"/>
      <c r="T503" s="654"/>
      <c r="U503" s="654"/>
      <c r="V503" s="654"/>
      <c r="W503" s="654"/>
      <c r="X503" s="654"/>
      <c r="Y503" s="654"/>
      <c r="Z503" s="654"/>
      <c r="AA503" s="639"/>
      <c r="AB503" s="639"/>
      <c r="AC503" s="639"/>
    </row>
    <row r="504" spans="1:68" ht="27" hidden="1" customHeight="1" x14ac:dyDescent="0.25">
      <c r="A504" s="54" t="s">
        <v>795</v>
      </c>
      <c r="B504" s="54" t="s">
        <v>796</v>
      </c>
      <c r="C504" s="31">
        <v>4301011769</v>
      </c>
      <c r="D504" s="651">
        <v>4607091389067</v>
      </c>
      <c r="E504" s="652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0</v>
      </c>
      <c r="Y504" s="644">
        <f t="shared" ref="Y504:Y512" si="73">IFERROR(IF(X504="",0,CEILING((X504/$H504),1)*$H504),"")</f>
        <v>0</v>
      </c>
      <c r="Z504" s="36" t="str">
        <f t="shared" ref="Z504:Z509" si="74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0</v>
      </c>
      <c r="BN504" s="64">
        <f t="shared" ref="BN504:BN512" si="76">IFERROR(Y504*I504/H504,"0")</f>
        <v>0</v>
      </c>
      <c r="BO504" s="64">
        <f t="shared" ref="BO504:BO512" si="77">IFERROR(1/J504*(X504/H504),"0")</f>
        <v>0</v>
      </c>
      <c r="BP504" s="64">
        <f t="shared" ref="BP504:BP512" si="78">IFERROR(1/J504*(Y504/H504),"0")</f>
        <v>0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51">
        <v>4680115889576</v>
      </c>
      <c r="E505" s="652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hidden="1" customHeight="1" x14ac:dyDescent="0.25">
      <c r="A506" s="54" t="s">
        <v>800</v>
      </c>
      <c r="B506" s="54" t="s">
        <v>801</v>
      </c>
      <c r="C506" s="31">
        <v>4301011961</v>
      </c>
      <c r="D506" s="651">
        <v>4680115885271</v>
      </c>
      <c r="E506" s="652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4301011369</v>
      </c>
      <c r="D507" s="651">
        <v>4680115885226</v>
      </c>
      <c r="E507" s="652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51">
        <v>4680115884502</v>
      </c>
      <c r="E508" s="652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1">
        <v>4607091389104</v>
      </c>
      <c r="E509" s="652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753</v>
      </c>
      <c r="Y509" s="644">
        <f t="shared" si="73"/>
        <v>755.04000000000008</v>
      </c>
      <c r="Z509" s="36">
        <f t="shared" si="74"/>
        <v>1.71028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802.91477272727275</v>
      </c>
      <c r="BN509" s="64">
        <f t="shared" si="76"/>
        <v>805.09</v>
      </c>
      <c r="BO509" s="64">
        <f t="shared" si="77"/>
        <v>1.371284965034965</v>
      </c>
      <c r="BP509" s="64">
        <f t="shared" si="78"/>
        <v>1.375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51">
        <v>4680115886391</v>
      </c>
      <c r="E510" s="652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2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1">
        <v>4680115880603</v>
      </c>
      <c r="E511" s="652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69</v>
      </c>
      <c r="Y511" s="644">
        <f t="shared" si="73"/>
        <v>72</v>
      </c>
      <c r="Z511" s="36">
        <f>IFERROR(IF(Y511=0,"",ROUNDUP(Y511/H511,0)*0.00902),"")</f>
        <v>0.1353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99.331250000000011</v>
      </c>
      <c r="BN511" s="64">
        <f t="shared" si="76"/>
        <v>103.65</v>
      </c>
      <c r="BO511" s="64">
        <f t="shared" si="77"/>
        <v>0.10890151515151515</v>
      </c>
      <c r="BP511" s="64">
        <f t="shared" si="78"/>
        <v>0.11363636363636365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1">
        <v>4607091389982</v>
      </c>
      <c r="E512" s="652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74</v>
      </c>
      <c r="Y512" s="644">
        <f t="shared" si="73"/>
        <v>76.8</v>
      </c>
      <c r="Z512" s="36">
        <f>IFERROR(IF(Y512=0,"",ROUNDUP(Y512/H512,0)*0.00902),"")</f>
        <v>0.14432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106.52916666666668</v>
      </c>
      <c r="BN512" s="64">
        <f t="shared" si="76"/>
        <v>110.56</v>
      </c>
      <c r="BO512" s="64">
        <f t="shared" si="77"/>
        <v>0.11679292929292931</v>
      </c>
      <c r="BP512" s="64">
        <f t="shared" si="78"/>
        <v>0.12121212121212122</v>
      </c>
    </row>
    <row r="513" spans="1:68" x14ac:dyDescent="0.2">
      <c r="A513" s="653"/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5"/>
      <c r="P513" s="658" t="s">
        <v>72</v>
      </c>
      <c r="Q513" s="659"/>
      <c r="R513" s="659"/>
      <c r="S513" s="659"/>
      <c r="T513" s="659"/>
      <c r="U513" s="659"/>
      <c r="V513" s="660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172.405303030303</v>
      </c>
      <c r="Y513" s="645">
        <f>IFERROR(Y504/H504,"0")+IFERROR(Y505/H505,"0")+IFERROR(Y506/H506,"0")+IFERROR(Y507/H507,"0")+IFERROR(Y508/H508,"0")+IFERROR(Y509/H509,"0")+IFERROR(Y510/H510,"0")+IFERROR(Y511/H511,"0")+IFERROR(Y512/H512,"0")</f>
        <v>174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1.9899</v>
      </c>
      <c r="AA513" s="646"/>
      <c r="AB513" s="646"/>
      <c r="AC513" s="646"/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8" t="s">
        <v>72</v>
      </c>
      <c r="Q514" s="659"/>
      <c r="R514" s="659"/>
      <c r="S514" s="659"/>
      <c r="T514" s="659"/>
      <c r="U514" s="659"/>
      <c r="V514" s="660"/>
      <c r="W514" s="37" t="s">
        <v>67</v>
      </c>
      <c r="X514" s="645">
        <f>IFERROR(SUM(X504:X512),"0")</f>
        <v>896</v>
      </c>
      <c r="Y514" s="645">
        <f>IFERROR(SUM(Y504:Y512),"0")</f>
        <v>903.84</v>
      </c>
      <c r="Z514" s="37"/>
      <c r="AA514" s="646"/>
      <c r="AB514" s="646"/>
      <c r="AC514" s="646"/>
    </row>
    <row r="515" spans="1:68" ht="14.25" hidden="1" customHeight="1" x14ac:dyDescent="0.25">
      <c r="A515" s="656" t="s">
        <v>144</v>
      </c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4"/>
      <c r="P515" s="654"/>
      <c r="Q515" s="654"/>
      <c r="R515" s="654"/>
      <c r="S515" s="654"/>
      <c r="T515" s="654"/>
      <c r="U515" s="654"/>
      <c r="V515" s="654"/>
      <c r="W515" s="654"/>
      <c r="X515" s="654"/>
      <c r="Y515" s="654"/>
      <c r="Z515" s="654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1">
        <v>4607091388930</v>
      </c>
      <c r="E516" s="652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1110</v>
      </c>
      <c r="Y516" s="644">
        <f>IFERROR(IF(X516="",0,CEILING((X516/$H516),1)*$H516),"")</f>
        <v>1114.0800000000002</v>
      </c>
      <c r="Z516" s="36">
        <f>IFERROR(IF(Y516=0,"",ROUNDUP(Y516/H516,0)*0.01196),"")</f>
        <v>2.5235600000000002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1183.5795454545455</v>
      </c>
      <c r="BN516" s="64">
        <f>IFERROR(Y516*I516/H516,"0")</f>
        <v>1187.93</v>
      </c>
      <c r="BO516" s="64">
        <f>IFERROR(1/J516*(X516/H516),"0")</f>
        <v>2.0214160839160837</v>
      </c>
      <c r="BP516" s="64">
        <f>IFERROR(1/J516*(Y516/H516),"0")</f>
        <v>2.0288461538461542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51">
        <v>4680115886407</v>
      </c>
      <c r="E517" s="652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823</v>
      </c>
      <c r="B518" s="54" t="s">
        <v>824</v>
      </c>
      <c r="C518" s="31">
        <v>4301020385</v>
      </c>
      <c r="D518" s="651">
        <v>4680115880054</v>
      </c>
      <c r="E518" s="652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3"/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5"/>
      <c r="P519" s="658" t="s">
        <v>72</v>
      </c>
      <c r="Q519" s="659"/>
      <c r="R519" s="659"/>
      <c r="S519" s="659"/>
      <c r="T519" s="659"/>
      <c r="U519" s="659"/>
      <c r="V519" s="660"/>
      <c r="W519" s="37" t="s">
        <v>73</v>
      </c>
      <c r="X519" s="645">
        <f>IFERROR(X516/H516,"0")+IFERROR(X517/H517,"0")+IFERROR(X518/H518,"0")</f>
        <v>210.22727272727272</v>
      </c>
      <c r="Y519" s="645">
        <f>IFERROR(Y516/H516,"0")+IFERROR(Y517/H517,"0")+IFERROR(Y518/H518,"0")</f>
        <v>211.00000000000003</v>
      </c>
      <c r="Z519" s="645">
        <f>IFERROR(IF(Z516="",0,Z516),"0")+IFERROR(IF(Z517="",0,Z517),"0")+IFERROR(IF(Z518="",0,Z518),"0")</f>
        <v>2.5235600000000002</v>
      </c>
      <c r="AA519" s="646"/>
      <c r="AB519" s="646"/>
      <c r="AC519" s="646"/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8" t="s">
        <v>72</v>
      </c>
      <c r="Q520" s="659"/>
      <c r="R520" s="659"/>
      <c r="S520" s="659"/>
      <c r="T520" s="659"/>
      <c r="U520" s="659"/>
      <c r="V520" s="660"/>
      <c r="W520" s="37" t="s">
        <v>67</v>
      </c>
      <c r="X520" s="645">
        <f>IFERROR(SUM(X516:X518),"0")</f>
        <v>1110</v>
      </c>
      <c r="Y520" s="645">
        <f>IFERROR(SUM(Y516:Y518),"0")</f>
        <v>1114.0800000000002</v>
      </c>
      <c r="Z520" s="37"/>
      <c r="AA520" s="646"/>
      <c r="AB520" s="646"/>
      <c r="AC520" s="646"/>
    </row>
    <row r="521" spans="1:68" ht="14.25" hidden="1" customHeight="1" x14ac:dyDescent="0.25">
      <c r="A521" s="656" t="s">
        <v>62</v>
      </c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4"/>
      <c r="P521" s="654"/>
      <c r="Q521" s="654"/>
      <c r="R521" s="654"/>
      <c r="S521" s="654"/>
      <c r="T521" s="654"/>
      <c r="U521" s="654"/>
      <c r="V521" s="654"/>
      <c r="W521" s="654"/>
      <c r="X521" s="654"/>
      <c r="Y521" s="654"/>
      <c r="Z521" s="654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1">
        <v>4680115883116</v>
      </c>
      <c r="E522" s="652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84</v>
      </c>
      <c r="Y522" s="644">
        <f t="shared" ref="Y522:Y528" si="79">IFERROR(IF(X522="",0,CEILING((X522/$H522),1)*$H522),"")</f>
        <v>84.48</v>
      </c>
      <c r="Z522" s="36">
        <f>IFERROR(IF(Y522=0,"",ROUNDUP(Y522/H522,0)*0.01196),"")</f>
        <v>0.19136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89.568181818181813</v>
      </c>
      <c r="BN522" s="64">
        <f t="shared" ref="BN522:BN528" si="81">IFERROR(Y522*I522/H522,"0")</f>
        <v>90.08</v>
      </c>
      <c r="BO522" s="64">
        <f t="shared" ref="BO522:BO528" si="82">IFERROR(1/J522*(X522/H522),"0")</f>
        <v>0.15297202797202797</v>
      </c>
      <c r="BP522" s="64">
        <f t="shared" ref="BP522:BP528" si="83">IFERROR(1/J522*(Y522/H522),"0")</f>
        <v>0.15384615384615385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4301031350</v>
      </c>
      <c r="D523" s="651">
        <v>4680115883093</v>
      </c>
      <c r="E523" s="652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9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0</v>
      </c>
      <c r="Y523" s="644">
        <f t="shared" si="79"/>
        <v>0</v>
      </c>
      <c r="Z523" s="36" t="str">
        <f>IFERROR(IF(Y523=0,"",ROUNDUP(Y523/H523,0)*0.01196),"")</f>
        <v/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0</v>
      </c>
      <c r="BN523" s="64">
        <f t="shared" si="81"/>
        <v>0</v>
      </c>
      <c r="BO523" s="64">
        <f t="shared" si="82"/>
        <v>0</v>
      </c>
      <c r="BP523" s="64">
        <f t="shared" si="83"/>
        <v>0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1">
        <v>4680115883109</v>
      </c>
      <c r="E524" s="652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500</v>
      </c>
      <c r="Y524" s="644">
        <f t="shared" si="79"/>
        <v>501.6</v>
      </c>
      <c r="Z524" s="36">
        <f>IFERROR(IF(Y524=0,"",ROUNDUP(Y524/H524,0)*0.01196),"")</f>
        <v>1.1362000000000001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533.14393939393938</v>
      </c>
      <c r="BN524" s="64">
        <f t="shared" si="81"/>
        <v>534.85</v>
      </c>
      <c r="BO524" s="64">
        <f t="shared" si="82"/>
        <v>0.91054778554778548</v>
      </c>
      <c r="BP524" s="64">
        <f t="shared" si="83"/>
        <v>0.91346153846153855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51">
        <v>4680115882072</v>
      </c>
      <c r="E525" s="652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51">
        <v>4680115882102</v>
      </c>
      <c r="E526" s="652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51">
        <v>4680115882102</v>
      </c>
      <c r="E527" s="652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4301031417</v>
      </c>
      <c r="D528" s="651">
        <v>4680115882096</v>
      </c>
      <c r="E528" s="652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3"/>
      <c r="B529" s="654"/>
      <c r="C529" s="654"/>
      <c r="D529" s="654"/>
      <c r="E529" s="654"/>
      <c r="F529" s="654"/>
      <c r="G529" s="654"/>
      <c r="H529" s="654"/>
      <c r="I529" s="654"/>
      <c r="J529" s="654"/>
      <c r="K529" s="654"/>
      <c r="L529" s="654"/>
      <c r="M529" s="654"/>
      <c r="N529" s="654"/>
      <c r="O529" s="655"/>
      <c r="P529" s="658" t="s">
        <v>72</v>
      </c>
      <c r="Q529" s="659"/>
      <c r="R529" s="659"/>
      <c r="S529" s="659"/>
      <c r="T529" s="659"/>
      <c r="U529" s="659"/>
      <c r="V529" s="660"/>
      <c r="W529" s="37" t="s">
        <v>73</v>
      </c>
      <c r="X529" s="645">
        <f>IFERROR(X522/H522,"0")+IFERROR(X523/H523,"0")+IFERROR(X524/H524,"0")+IFERROR(X525/H525,"0")+IFERROR(X526/H526,"0")+IFERROR(X527/H527,"0")+IFERROR(X528/H528,"0")</f>
        <v>110.60606060606059</v>
      </c>
      <c r="Y529" s="645">
        <f>IFERROR(Y522/H522,"0")+IFERROR(Y523/H523,"0")+IFERROR(Y524/H524,"0")+IFERROR(Y525/H525,"0")+IFERROR(Y526/H526,"0")+IFERROR(Y527/H527,"0")+IFERROR(Y528/H528,"0")</f>
        <v>111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1.3275600000000001</v>
      </c>
      <c r="AA529" s="646"/>
      <c r="AB529" s="646"/>
      <c r="AC529" s="646"/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8" t="s">
        <v>72</v>
      </c>
      <c r="Q530" s="659"/>
      <c r="R530" s="659"/>
      <c r="S530" s="659"/>
      <c r="T530" s="659"/>
      <c r="U530" s="659"/>
      <c r="V530" s="660"/>
      <c r="W530" s="37" t="s">
        <v>67</v>
      </c>
      <c r="X530" s="645">
        <f>IFERROR(SUM(X522:X528),"0")</f>
        <v>584</v>
      </c>
      <c r="Y530" s="645">
        <f>IFERROR(SUM(Y522:Y528),"0")</f>
        <v>586.08000000000004</v>
      </c>
      <c r="Z530" s="37"/>
      <c r="AA530" s="646"/>
      <c r="AB530" s="646"/>
      <c r="AC530" s="646"/>
    </row>
    <row r="531" spans="1:68" ht="27.75" hidden="1" customHeight="1" x14ac:dyDescent="0.2">
      <c r="A531" s="661" t="s">
        <v>841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57" t="s">
        <v>841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38"/>
      <c r="AB532" s="638"/>
      <c r="AC532" s="638"/>
    </row>
    <row r="533" spans="1:68" ht="14.25" hidden="1" customHeight="1" x14ac:dyDescent="0.25">
      <c r="A533" s="656" t="s">
        <v>111</v>
      </c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4"/>
      <c r="P533" s="654"/>
      <c r="Q533" s="654"/>
      <c r="R533" s="654"/>
      <c r="S533" s="654"/>
      <c r="T533" s="654"/>
      <c r="U533" s="654"/>
      <c r="V533" s="654"/>
      <c r="W533" s="654"/>
      <c r="X533" s="654"/>
      <c r="Y533" s="654"/>
      <c r="Z533" s="654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51">
        <v>4640242180564</v>
      </c>
      <c r="E534" s="652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3"/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5"/>
      <c r="P535" s="658" t="s">
        <v>72</v>
      </c>
      <c r="Q535" s="659"/>
      <c r="R535" s="659"/>
      <c r="S535" s="659"/>
      <c r="T535" s="659"/>
      <c r="U535" s="659"/>
      <c r="V535" s="660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8" t="s">
        <v>72</v>
      </c>
      <c r="Q536" s="659"/>
      <c r="R536" s="659"/>
      <c r="S536" s="659"/>
      <c r="T536" s="659"/>
      <c r="U536" s="659"/>
      <c r="V536" s="660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6" t="s">
        <v>144</v>
      </c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4"/>
      <c r="P537" s="654"/>
      <c r="Q537" s="654"/>
      <c r="R537" s="654"/>
      <c r="S537" s="654"/>
      <c r="T537" s="654"/>
      <c r="U537" s="654"/>
      <c r="V537" s="654"/>
      <c r="W537" s="654"/>
      <c r="X537" s="654"/>
      <c r="Y537" s="654"/>
      <c r="Z537" s="654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51">
        <v>4640242180519</v>
      </c>
      <c r="E538" s="652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3"/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5"/>
      <c r="P539" s="658" t="s">
        <v>72</v>
      </c>
      <c r="Q539" s="659"/>
      <c r="R539" s="659"/>
      <c r="S539" s="659"/>
      <c r="T539" s="659"/>
      <c r="U539" s="659"/>
      <c r="V539" s="660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8" t="s">
        <v>72</v>
      </c>
      <c r="Q540" s="659"/>
      <c r="R540" s="659"/>
      <c r="S540" s="659"/>
      <c r="T540" s="659"/>
      <c r="U540" s="659"/>
      <c r="V540" s="660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6" t="s">
        <v>62</v>
      </c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4"/>
      <c r="P541" s="654"/>
      <c r="Q541" s="654"/>
      <c r="R541" s="654"/>
      <c r="S541" s="654"/>
      <c r="T541" s="654"/>
      <c r="U541" s="654"/>
      <c r="V541" s="654"/>
      <c r="W541" s="654"/>
      <c r="X541" s="654"/>
      <c r="Y541" s="654"/>
      <c r="Z541" s="654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51">
        <v>4640242180595</v>
      </c>
      <c r="E542" s="652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3"/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5"/>
      <c r="P543" s="658" t="s">
        <v>72</v>
      </c>
      <c r="Q543" s="659"/>
      <c r="R543" s="659"/>
      <c r="S543" s="659"/>
      <c r="T543" s="659"/>
      <c r="U543" s="659"/>
      <c r="V543" s="660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8" t="s">
        <v>72</v>
      </c>
      <c r="Q544" s="659"/>
      <c r="R544" s="659"/>
      <c r="S544" s="659"/>
      <c r="T544" s="659"/>
      <c r="U544" s="659"/>
      <c r="V544" s="660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6" t="s">
        <v>74</v>
      </c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4"/>
      <c r="P545" s="654"/>
      <c r="Q545" s="654"/>
      <c r="R545" s="654"/>
      <c r="S545" s="654"/>
      <c r="T545" s="654"/>
      <c r="U545" s="654"/>
      <c r="V545" s="654"/>
      <c r="W545" s="654"/>
      <c r="X545" s="654"/>
      <c r="Y545" s="654"/>
      <c r="Z545" s="654"/>
      <c r="AA545" s="639"/>
      <c r="AB545" s="639"/>
      <c r="AC545" s="639"/>
    </row>
    <row r="546" spans="1:68" ht="27" hidden="1" customHeight="1" x14ac:dyDescent="0.25">
      <c r="A546" s="54" t="s">
        <v>851</v>
      </c>
      <c r="B546" s="54" t="s">
        <v>852</v>
      </c>
      <c r="C546" s="31">
        <v>4301052043</v>
      </c>
      <c r="D546" s="651">
        <v>4640242180533</v>
      </c>
      <c r="E546" s="652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3"/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5"/>
      <c r="P547" s="658" t="s">
        <v>72</v>
      </c>
      <c r="Q547" s="659"/>
      <c r="R547" s="659"/>
      <c r="S547" s="659"/>
      <c r="T547" s="659"/>
      <c r="U547" s="659"/>
      <c r="V547" s="660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4"/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5"/>
      <c r="P548" s="658" t="s">
        <v>72</v>
      </c>
      <c r="Q548" s="659"/>
      <c r="R548" s="659"/>
      <c r="S548" s="659"/>
      <c r="T548" s="659"/>
      <c r="U548" s="659"/>
      <c r="V548" s="660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56" t="s">
        <v>162</v>
      </c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4"/>
      <c r="P549" s="654"/>
      <c r="Q549" s="654"/>
      <c r="R549" s="654"/>
      <c r="S549" s="654"/>
      <c r="T549" s="654"/>
      <c r="U549" s="654"/>
      <c r="V549" s="654"/>
      <c r="W549" s="654"/>
      <c r="X549" s="654"/>
      <c r="Y549" s="654"/>
      <c r="Z549" s="654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51">
        <v>4640242180120</v>
      </c>
      <c r="E550" s="652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51">
        <v>4640242180137</v>
      </c>
      <c r="E551" s="652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3"/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5"/>
      <c r="P552" s="658" t="s">
        <v>72</v>
      </c>
      <c r="Q552" s="659"/>
      <c r="R552" s="659"/>
      <c r="S552" s="659"/>
      <c r="T552" s="659"/>
      <c r="U552" s="659"/>
      <c r="V552" s="660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4"/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5"/>
      <c r="P553" s="658" t="s">
        <v>72</v>
      </c>
      <c r="Q553" s="659"/>
      <c r="R553" s="659"/>
      <c r="S553" s="659"/>
      <c r="T553" s="659"/>
      <c r="U553" s="659"/>
      <c r="V553" s="660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57" t="s">
        <v>860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38"/>
      <c r="AB554" s="638"/>
      <c r="AC554" s="638"/>
    </row>
    <row r="555" spans="1:68" ht="14.25" hidden="1" customHeight="1" x14ac:dyDescent="0.25">
      <c r="A555" s="656" t="s">
        <v>144</v>
      </c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4"/>
      <c r="P555" s="654"/>
      <c r="Q555" s="654"/>
      <c r="R555" s="654"/>
      <c r="S555" s="654"/>
      <c r="T555" s="654"/>
      <c r="U555" s="654"/>
      <c r="V555" s="654"/>
      <c r="W555" s="654"/>
      <c r="X555" s="654"/>
      <c r="Y555" s="654"/>
      <c r="Z555" s="654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51">
        <v>4640242180090</v>
      </c>
      <c r="E556" s="652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3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58" t="s">
        <v>72</v>
      </c>
      <c r="Q557" s="659"/>
      <c r="R557" s="659"/>
      <c r="S557" s="659"/>
      <c r="T557" s="659"/>
      <c r="U557" s="659"/>
      <c r="V557" s="660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5"/>
      <c r="P558" s="658" t="s">
        <v>72</v>
      </c>
      <c r="Q558" s="659"/>
      <c r="R558" s="659"/>
      <c r="S558" s="659"/>
      <c r="T558" s="659"/>
      <c r="U558" s="659"/>
      <c r="V558" s="660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70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2"/>
      <c r="P559" s="696" t="s">
        <v>864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8692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8805.5400000000009</v>
      </c>
      <c r="Z559" s="37"/>
      <c r="AA559" s="646"/>
      <c r="AB559" s="646"/>
      <c r="AC559" s="646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2"/>
      <c r="P560" s="696" t="s">
        <v>865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9264.2431859067929</v>
      </c>
      <c r="Y560" s="645">
        <f>IFERROR(SUM(BN22:BN556),"0")</f>
        <v>9387.2070000000003</v>
      </c>
      <c r="Z560" s="37"/>
      <c r="AA560" s="646"/>
      <c r="AB560" s="646"/>
      <c r="AC560" s="646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2"/>
      <c r="P561" s="696" t="s">
        <v>866</v>
      </c>
      <c r="Q561" s="697"/>
      <c r="R561" s="697"/>
      <c r="S561" s="697"/>
      <c r="T561" s="697"/>
      <c r="U561" s="697"/>
      <c r="V561" s="698"/>
      <c r="W561" s="37" t="s">
        <v>867</v>
      </c>
      <c r="X561" s="38">
        <f>ROUNDUP(SUM(BO22:BO556),0)</f>
        <v>16</v>
      </c>
      <c r="Y561" s="38">
        <f>ROUNDUP(SUM(BP22:BP556),0)</f>
        <v>16</v>
      </c>
      <c r="Z561" s="37"/>
      <c r="AA561" s="646"/>
      <c r="AB561" s="646"/>
      <c r="AC561" s="646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2"/>
      <c r="P562" s="696" t="s">
        <v>868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9664.2431859067929</v>
      </c>
      <c r="Y562" s="645">
        <f>GrossWeightTotalR+PalletQtyTotalR*25</f>
        <v>9787.2070000000003</v>
      </c>
      <c r="Z562" s="37"/>
      <c r="AA562" s="646"/>
      <c r="AB562" s="646"/>
      <c r="AC562" s="646"/>
    </row>
    <row r="563" spans="1:32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2"/>
      <c r="P563" s="696" t="s">
        <v>869</v>
      </c>
      <c r="Q563" s="697"/>
      <c r="R563" s="697"/>
      <c r="S563" s="697"/>
      <c r="T563" s="697"/>
      <c r="U563" s="697"/>
      <c r="V563" s="698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1703.7714154194039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1731</v>
      </c>
      <c r="Z563" s="37"/>
      <c r="AA563" s="646"/>
      <c r="AB563" s="646"/>
      <c r="AC563" s="646"/>
    </row>
    <row r="564" spans="1:32" ht="14.25" hidden="1" customHeight="1" x14ac:dyDescent="0.2">
      <c r="A564" s="654"/>
      <c r="B564" s="654"/>
      <c r="C564" s="654"/>
      <c r="D564" s="654"/>
      <c r="E564" s="654"/>
      <c r="F564" s="654"/>
      <c r="G564" s="654"/>
      <c r="H564" s="654"/>
      <c r="I564" s="654"/>
      <c r="J564" s="654"/>
      <c r="K564" s="654"/>
      <c r="L564" s="654"/>
      <c r="M564" s="654"/>
      <c r="N564" s="654"/>
      <c r="O564" s="822"/>
      <c r="P564" s="696" t="s">
        <v>870</v>
      </c>
      <c r="Q564" s="697"/>
      <c r="R564" s="697"/>
      <c r="S564" s="697"/>
      <c r="T564" s="697"/>
      <c r="U564" s="697"/>
      <c r="V564" s="698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18.728349999999999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17" t="s">
        <v>109</v>
      </c>
      <c r="E566" s="835"/>
      <c r="F566" s="835"/>
      <c r="G566" s="835"/>
      <c r="H566" s="835"/>
      <c r="I566" s="835"/>
      <c r="J566" s="779"/>
      <c r="K566" s="717" t="s">
        <v>349</v>
      </c>
      <c r="L566" s="835"/>
      <c r="M566" s="835"/>
      <c r="N566" s="835"/>
      <c r="O566" s="835"/>
      <c r="P566" s="835"/>
      <c r="Q566" s="835"/>
      <c r="R566" s="835"/>
      <c r="S566" s="835"/>
      <c r="T566" s="835"/>
      <c r="U566" s="835"/>
      <c r="V566" s="779"/>
      <c r="W566" s="717" t="s">
        <v>692</v>
      </c>
      <c r="X566" s="779"/>
      <c r="Y566" s="717" t="s">
        <v>758</v>
      </c>
      <c r="Z566" s="779"/>
      <c r="AA566" s="640" t="s">
        <v>794</v>
      </c>
      <c r="AB566" s="717" t="s">
        <v>841</v>
      </c>
      <c r="AC566" s="779"/>
      <c r="AF566" s="641"/>
    </row>
    <row r="567" spans="1:32" ht="14.25" customHeight="1" thickTop="1" x14ac:dyDescent="0.2">
      <c r="A567" s="827" t="s">
        <v>873</v>
      </c>
      <c r="B567" s="717" t="s">
        <v>61</v>
      </c>
      <c r="C567" s="717" t="s">
        <v>93</v>
      </c>
      <c r="D567" s="717" t="s">
        <v>110</v>
      </c>
      <c r="E567" s="717" t="s">
        <v>126</v>
      </c>
      <c r="F567" s="717" t="s">
        <v>171</v>
      </c>
      <c r="G567" s="717" t="s">
        <v>198</v>
      </c>
      <c r="H567" s="717" t="s">
        <v>249</v>
      </c>
      <c r="I567" s="717" t="s">
        <v>262</v>
      </c>
      <c r="J567" s="717" t="s">
        <v>109</v>
      </c>
      <c r="K567" s="717" t="s">
        <v>350</v>
      </c>
      <c r="L567" s="717" t="s">
        <v>371</v>
      </c>
      <c r="M567" s="717" t="s">
        <v>438</v>
      </c>
      <c r="N567" s="641"/>
      <c r="O567" s="717" t="s">
        <v>506</v>
      </c>
      <c r="P567" s="717" t="s">
        <v>539</v>
      </c>
      <c r="Q567" s="717" t="s">
        <v>555</v>
      </c>
      <c r="R567" s="717" t="s">
        <v>564</v>
      </c>
      <c r="S567" s="717" t="s">
        <v>585</v>
      </c>
      <c r="T567" s="717" t="s">
        <v>594</v>
      </c>
      <c r="U567" s="717" t="s">
        <v>675</v>
      </c>
      <c r="V567" s="717" t="s">
        <v>682</v>
      </c>
      <c r="W567" s="717" t="s">
        <v>693</v>
      </c>
      <c r="X567" s="717" t="s">
        <v>742</v>
      </c>
      <c r="Y567" s="717" t="s">
        <v>759</v>
      </c>
      <c r="Z567" s="717" t="s">
        <v>782</v>
      </c>
      <c r="AA567" s="717" t="s">
        <v>794</v>
      </c>
      <c r="AB567" s="717" t="s">
        <v>841</v>
      </c>
      <c r="AC567" s="717" t="s">
        <v>860</v>
      </c>
      <c r="AF567" s="641"/>
    </row>
    <row r="568" spans="1:32" ht="13.5" customHeight="1" thickBot="1" x14ac:dyDescent="0.25">
      <c r="A568" s="82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641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604.80000000000007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46">
        <f>IFERROR(Y85*1,"0")+IFERROR(Y86*1,"0")+IFERROR(Y87*1,"0")+IFERROR(Y88*1,"0")+IFERROR(Y89*1,"0")+IFERROR(Y93*1,"0")+IFERROR(Y94*1,"0")+IFERROR(Y95*1,"0")+IFERROR(Y96*1,"0")+IFERROR(Y97*1,"0")+IFERROR(Y98*1,"0")</f>
        <v>183.60000000000002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332.28</v>
      </c>
      <c r="H569" s="46">
        <f>IFERROR(Y138*1,"0")+IFERROR(Y139*1,"0")+IFERROR(Y143*1,"0")+IFERROR(Y144*1,"0")+IFERROR(Y148*1,"0")+IFERROR(Y149*1,"0")</f>
        <v>0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413.9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104.86000000000001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1336.7999999999997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5.4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100.8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257.39999999999998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256.8</v>
      </c>
      <c r="U569" s="46">
        <f>IFERROR(Y417*1,"0")+IFERROR(Y418*1,"0")</f>
        <v>0</v>
      </c>
      <c r="V569" s="46">
        <f>IFERROR(Y423*1,"0")+IFERROR(Y424*1,"0")+IFERROR(Y425*1,"0")</f>
        <v>90.300000000000011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1830</v>
      </c>
      <c r="X569" s="46">
        <f>IFERROR(Y460*1,"0")+IFERROR(Y461*1,"0")+IFERROR(Y465*1,"0")+IFERROR(Y469*1,"0")+IFERROR(Y470*1,"0")+IFERROR(Y471*1,"0")</f>
        <v>684.6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2604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10,00"/>
        <filter val="1 400,00"/>
        <filter val="1 703,77"/>
        <filter val="10,10"/>
        <filter val="100,00"/>
        <filter val="11,11"/>
        <filter val="11,39"/>
        <filter val="110,61"/>
        <filter val="12,00"/>
        <filter val="123,00"/>
        <filter val="130,00"/>
        <filter val="14,00"/>
        <filter val="15,00"/>
        <filter val="150,00"/>
        <filter val="16"/>
        <filter val="172,41"/>
        <filter val="180,00"/>
        <filter val="182,00"/>
        <filter val="2,22"/>
        <filter val="20,00"/>
        <filter val="200,00"/>
        <filter val="21,00"/>
        <filter val="210,23"/>
        <filter val="245,00"/>
        <filter val="250,00"/>
        <filter val="28,00"/>
        <filter val="3,17"/>
        <filter val="3,33"/>
        <filter val="30,00"/>
        <filter val="308,00"/>
        <filter val="31,41"/>
        <filter val="32,05"/>
        <filter val="332,11"/>
        <filter val="34,00"/>
        <filter val="35,00"/>
        <filter val="382,00"/>
        <filter val="4,00"/>
        <filter val="40,00"/>
        <filter val="400,00"/>
        <filter val="41,67"/>
        <filter val="41,90"/>
        <filter val="42,00"/>
        <filter val="42,62"/>
        <filter val="420,00"/>
        <filter val="483,00"/>
        <filter val="50,00"/>
        <filter val="500,00"/>
        <filter val="53,00"/>
        <filter val="55,56"/>
        <filter val="56,00"/>
        <filter val="58,00"/>
        <filter val="584,00"/>
        <filter val="6,00"/>
        <filter val="60,00"/>
        <filter val="600,00"/>
        <filter val="63,00"/>
        <filter val="66,00"/>
        <filter val="66,67"/>
        <filter val="67,41"/>
        <filter val="680,00"/>
        <filter val="69,00"/>
        <filter val="7,00"/>
        <filter val="70,00"/>
        <filter val="74,00"/>
        <filter val="74,81"/>
        <filter val="753,00"/>
        <filter val="8 692,00"/>
        <filter val="8,33"/>
        <filter val="80,00"/>
        <filter val="82,00"/>
        <filter val="84,00"/>
        <filter val="88,00"/>
        <filter val="896,00"/>
        <filter val="9 264,24"/>
        <filter val="9 664,24"/>
        <filter val="92,00"/>
        <filter val="93,33"/>
        <filter val="974,00"/>
      </filters>
    </filterColumn>
    <filterColumn colId="29" showButton="0"/>
    <filterColumn colId="30" showButton="0"/>
  </autoFilter>
  <mergeCells count="1003"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P510:T510"/>
    <mergeCell ref="P544:V544"/>
    <mergeCell ref="P519:V519"/>
    <mergeCell ref="D522:E522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P560:V560"/>
    <mergeCell ref="P241:V241"/>
    <mergeCell ref="P483:V483"/>
    <mergeCell ref="D298:E298"/>
    <mergeCell ref="D181:E181"/>
    <mergeCell ref="D273:E273"/>
    <mergeCell ref="P156:T156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P511:T511"/>
    <mergeCell ref="P526:T526"/>
    <mergeCell ref="A172:O173"/>
    <mergeCell ref="A54:Z54"/>
    <mergeCell ref="P100:V10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A303:Z303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D96:E96"/>
    <mergeCell ref="A396:Z396"/>
    <mergeCell ref="D27:E27"/>
    <mergeCell ref="P62:V62"/>
    <mergeCell ref="P469:T469"/>
    <mergeCell ref="P198:V198"/>
    <mergeCell ref="A250:Z250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517:E517"/>
    <mergeCell ref="P117:T117"/>
    <mergeCell ref="D492:E492"/>
    <mergeCell ref="P540:V540"/>
    <mergeCell ref="F567:F568"/>
    <mergeCell ref="H567:H568"/>
    <mergeCell ref="R567:R568"/>
    <mergeCell ref="P78:T78"/>
    <mergeCell ref="D322:E322"/>
    <mergeCell ref="P376:T376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A264:O265"/>
    <mergeCell ref="P90:V90"/>
    <mergeCell ref="P161:V16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P286:T286"/>
    <mergeCell ref="D158:E158"/>
    <mergeCell ref="D77:E77"/>
    <mergeCell ref="D229:E229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2026-08-28T14:17:46Z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