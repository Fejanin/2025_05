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F2126B-49F4-4A50-BE7B-910C66D8DB1B}" xr6:coauthVersionLast="47" xr6:coauthVersionMax="47" xr10:uidLastSave="{00000000-0000-0000-0000-000000000000}"/>
  <bookViews>
    <workbookView xWindow="0" yWindow="0" windowWidth="27585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P526" i="2"/>
  <c r="BO526" i="2"/>
  <c r="BM526" i="2"/>
  <c r="Y526" i="2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Z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P505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P493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P481" i="2"/>
  <c r="BO481" i="2"/>
  <c r="BN481" i="2"/>
  <c r="BM481" i="2"/>
  <c r="Z481" i="2"/>
  <c r="Y481" i="2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P435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N424" i="2"/>
  <c r="BM424" i="2"/>
  <c r="Y424" i="2"/>
  <c r="BP424" i="2" s="1"/>
  <c r="P424" i="2"/>
  <c r="X421" i="2"/>
  <c r="X420" i="2"/>
  <c r="BO419" i="2"/>
  <c r="BM419" i="2"/>
  <c r="Y419" i="2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P388" i="2"/>
  <c r="BO388" i="2"/>
  <c r="BM388" i="2"/>
  <c r="Z388" i="2"/>
  <c r="Y388" i="2"/>
  <c r="BN388" i="2" s="1"/>
  <c r="P388" i="2"/>
  <c r="BO387" i="2"/>
  <c r="BM387" i="2"/>
  <c r="Z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P345" i="2"/>
  <c r="BO345" i="2"/>
  <c r="BM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Z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Z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Z307" i="2"/>
  <c r="Y307" i="2"/>
  <c r="BN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P288" i="2"/>
  <c r="BO288" i="2"/>
  <c r="BN288" i="2"/>
  <c r="BM288" i="2"/>
  <c r="Z288" i="2"/>
  <c r="Y288" i="2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Z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Z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P226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P214" i="2"/>
  <c r="BO214" i="2"/>
  <c r="BN214" i="2"/>
  <c r="BM214" i="2"/>
  <c r="Z214" i="2"/>
  <c r="Y214" i="2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P180" i="2"/>
  <c r="BO180" i="2"/>
  <c r="BM180" i="2"/>
  <c r="Y180" i="2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Z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P138" i="2"/>
  <c r="BO138" i="2"/>
  <c r="BN138" i="2"/>
  <c r="BM138" i="2"/>
  <c r="Z138" i="2"/>
  <c r="Y138" i="2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P93" i="2"/>
  <c r="BO93" i="2"/>
  <c r="BM93" i="2"/>
  <c r="Z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Z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N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P48" i="2" l="1"/>
  <c r="BP77" i="2"/>
  <c r="Z236" i="2"/>
  <c r="Z244" i="2"/>
  <c r="BP244" i="2"/>
  <c r="Z257" i="2"/>
  <c r="Z258" i="2" s="1"/>
  <c r="BP257" i="2"/>
  <c r="Z524" i="2"/>
  <c r="Z77" i="2"/>
  <c r="Z31" i="2"/>
  <c r="Z86" i="2"/>
  <c r="Z97" i="2"/>
  <c r="Z108" i="2"/>
  <c r="BP114" i="2"/>
  <c r="Z191" i="2"/>
  <c r="Z284" i="2"/>
  <c r="Z304" i="2"/>
  <c r="BP375" i="2"/>
  <c r="Z394" i="2"/>
  <c r="Z424" i="2"/>
  <c r="Z480" i="2"/>
  <c r="X562" i="2"/>
  <c r="Z48" i="2"/>
  <c r="X560" i="2"/>
  <c r="Y177" i="2"/>
  <c r="BN236" i="2"/>
  <c r="BN257" i="2"/>
  <c r="Y258" i="2"/>
  <c r="BN73" i="2"/>
  <c r="BN89" i="2"/>
  <c r="BN124" i="2"/>
  <c r="BP124" i="2"/>
  <c r="Y151" i="2"/>
  <c r="BP148" i="2"/>
  <c r="BN148" i="2"/>
  <c r="Z148" i="2"/>
  <c r="BN181" i="2"/>
  <c r="BN211" i="2"/>
  <c r="BP211" i="2"/>
  <c r="BP234" i="2"/>
  <c r="BN234" i="2"/>
  <c r="Z234" i="2"/>
  <c r="BN277" i="2"/>
  <c r="Z277" i="2"/>
  <c r="BN285" i="2"/>
  <c r="BP285" i="2"/>
  <c r="BN306" i="2"/>
  <c r="BP306" i="2"/>
  <c r="BP346" i="2"/>
  <c r="BN346" i="2"/>
  <c r="Z346" i="2"/>
  <c r="BP353" i="2"/>
  <c r="Z353" i="2"/>
  <c r="Z355" i="2" s="1"/>
  <c r="BN361" i="2"/>
  <c r="BN368" i="2"/>
  <c r="BN393" i="2"/>
  <c r="Z393" i="2"/>
  <c r="BN405" i="2"/>
  <c r="BN426" i="2"/>
  <c r="BP443" i="2"/>
  <c r="Z443" i="2"/>
  <c r="BN456" i="2"/>
  <c r="Z456" i="2"/>
  <c r="BP506" i="2"/>
  <c r="BN506" i="2"/>
  <c r="Z506" i="2"/>
  <c r="BN510" i="2"/>
  <c r="BP517" i="2"/>
  <c r="BN517" i="2"/>
  <c r="Z517" i="2"/>
  <c r="BN523" i="2"/>
  <c r="BP523" i="2"/>
  <c r="BP527" i="2"/>
  <c r="BN527" i="2"/>
  <c r="Z527" i="2"/>
  <c r="Y540" i="2"/>
  <c r="Z539" i="2"/>
  <c r="Z540" i="2" s="1"/>
  <c r="BN552" i="2"/>
  <c r="X561" i="2"/>
  <c r="X564" i="2"/>
  <c r="BP27" i="2"/>
  <c r="Z40" i="2"/>
  <c r="Z57" i="2"/>
  <c r="BN57" i="2"/>
  <c r="Z67" i="2"/>
  <c r="BN67" i="2"/>
  <c r="BN72" i="2"/>
  <c r="BP79" i="2"/>
  <c r="F570" i="2"/>
  <c r="BN87" i="2"/>
  <c r="BP98" i="2"/>
  <c r="BP104" i="2"/>
  <c r="BN104" i="2"/>
  <c r="BP117" i="2"/>
  <c r="BN117" i="2"/>
  <c r="Z117" i="2"/>
  <c r="BN126" i="2"/>
  <c r="BP126" i="2"/>
  <c r="BN156" i="2"/>
  <c r="BP156" i="2"/>
  <c r="BN160" i="2"/>
  <c r="Z160" i="2"/>
  <c r="Y202" i="2"/>
  <c r="BP201" i="2"/>
  <c r="BN215" i="2"/>
  <c r="BP229" i="2"/>
  <c r="BN229" i="2"/>
  <c r="Z229" i="2"/>
  <c r="BN246" i="2"/>
  <c r="BN252" i="2"/>
  <c r="BP252" i="2"/>
  <c r="BN267" i="2"/>
  <c r="Y270" i="2"/>
  <c r="BN273" i="2"/>
  <c r="Z273" i="2"/>
  <c r="BP277" i="2"/>
  <c r="BP279" i="2"/>
  <c r="BN279" i="2"/>
  <c r="Z279" i="2"/>
  <c r="BN292" i="2"/>
  <c r="BN308" i="2"/>
  <c r="BP331" i="2"/>
  <c r="BN331" i="2"/>
  <c r="Z331" i="2"/>
  <c r="BN333" i="2"/>
  <c r="BN340" i="2"/>
  <c r="BP340" i="2"/>
  <c r="BN367" i="2"/>
  <c r="Z367" i="2"/>
  <c r="BN370" i="2"/>
  <c r="BN376" i="2"/>
  <c r="Z376" i="2"/>
  <c r="BP379" i="2"/>
  <c r="Z379" i="2"/>
  <c r="Y396" i="2"/>
  <c r="Z392" i="2"/>
  <c r="Z395" i="2" s="1"/>
  <c r="Y395" i="2"/>
  <c r="BN412" i="2"/>
  <c r="BN419" i="2"/>
  <c r="Z419" i="2"/>
  <c r="Y427" i="2"/>
  <c r="BN436" i="2"/>
  <c r="BP456" i="2"/>
  <c r="BP461" i="2"/>
  <c r="BN461" i="2"/>
  <c r="Z461" i="2"/>
  <c r="BN482" i="2"/>
  <c r="AA570" i="2"/>
  <c r="Z505" i="2"/>
  <c r="BN526" i="2"/>
  <c r="Z526" i="2"/>
  <c r="Y541" i="2"/>
  <c r="Y548" i="2"/>
  <c r="BP547" i="2"/>
  <c r="BN176" i="2"/>
  <c r="BN189" i="2"/>
  <c r="Y255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X563" i="2"/>
  <c r="Z470" i="2"/>
  <c r="BN470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0" i="2" s="1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Z457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Z300" i="2" s="1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520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172" i="2" s="1"/>
  <c r="Z201" i="2"/>
  <c r="Z202" i="2" s="1"/>
  <c r="Y206" i="2"/>
  <c r="Y218" i="2"/>
  <c r="Z226" i="2"/>
  <c r="Y325" i="2"/>
  <c r="Z345" i="2"/>
  <c r="Z350" i="2" s="1"/>
  <c r="Y372" i="2"/>
  <c r="Y382" i="2"/>
  <c r="Y390" i="2"/>
  <c r="Z399" i="2"/>
  <c r="Z402" i="2" s="1"/>
  <c r="Y414" i="2"/>
  <c r="Z435" i="2"/>
  <c r="Z445" i="2"/>
  <c r="Z446" i="2" s="1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Z68" i="2" s="1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25" i="2" s="1"/>
  <c r="Z359" i="2"/>
  <c r="Z362" i="2" s="1"/>
  <c r="Z370" i="2"/>
  <c r="Z380" i="2"/>
  <c r="Y403" i="2"/>
  <c r="Z412" i="2"/>
  <c r="Z414" i="2" s="1"/>
  <c r="BP557" i="2"/>
  <c r="C570" i="2"/>
  <c r="V570" i="2"/>
  <c r="Y130" i="2"/>
  <c r="Z22" i="2"/>
  <c r="Z24" i="2" s="1"/>
  <c r="Y51" i="2"/>
  <c r="Z79" i="2"/>
  <c r="Z27" i="2"/>
  <c r="Z32" i="2" s="1"/>
  <c r="Z39" i="2"/>
  <c r="BN64" i="2"/>
  <c r="Y75" i="2"/>
  <c r="Z85" i="2"/>
  <c r="Y91" i="2"/>
  <c r="BN95" i="2"/>
  <c r="Z98" i="2"/>
  <c r="Z114" i="2"/>
  <c r="Z119" i="2" s="1"/>
  <c r="Y146" i="2"/>
  <c r="Z156" i="2"/>
  <c r="BN169" i="2"/>
  <c r="Y172" i="2"/>
  <c r="BN184" i="2"/>
  <c r="Z187" i="2"/>
  <c r="Z192" i="2" s="1"/>
  <c r="Z197" i="2"/>
  <c r="Z211" i="2"/>
  <c r="Z222" i="2"/>
  <c r="Z223" i="2" s="1"/>
  <c r="Z232" i="2"/>
  <c r="Z252" i="2"/>
  <c r="Z254" i="2" s="1"/>
  <c r="Z275" i="2"/>
  <c r="Z280" i="2" s="1"/>
  <c r="Z285" i="2"/>
  <c r="Y296" i="2"/>
  <c r="Z306" i="2"/>
  <c r="BN318" i="2"/>
  <c r="Z329" i="2"/>
  <c r="Z340" i="2"/>
  <c r="Z341" i="2" s="1"/>
  <c r="BN353" i="2"/>
  <c r="Z375" i="2"/>
  <c r="Z382" i="2" s="1"/>
  <c r="Z385" i="2"/>
  <c r="Z389" i="2" s="1"/>
  <c r="BN407" i="2"/>
  <c r="Z418" i="2"/>
  <c r="BN433" i="2"/>
  <c r="BN443" i="2"/>
  <c r="Y446" i="2"/>
  <c r="BN466" i="2"/>
  <c r="Z478" i="2"/>
  <c r="Z484" i="2" s="1"/>
  <c r="Z488" i="2"/>
  <c r="Y494" i="2"/>
  <c r="BN513" i="2"/>
  <c r="Z523" i="2"/>
  <c r="Z530" i="2" s="1"/>
  <c r="Z535" i="2"/>
  <c r="Z536" i="2" s="1"/>
  <c r="Z547" i="2"/>
  <c r="Z548" i="2" s="1"/>
  <c r="D570" i="2"/>
  <c r="BN528" i="2"/>
  <c r="Z552" i="2"/>
  <c r="Z553" i="2" s="1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Z145" i="2" s="1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463" i="2" l="1"/>
  <c r="Z427" i="2"/>
  <c r="Z514" i="2"/>
  <c r="Z489" i="2"/>
  <c r="Z420" i="2"/>
  <c r="Z334" i="2"/>
  <c r="Z311" i="2"/>
  <c r="Z295" i="2"/>
  <c r="Z81" i="2"/>
  <c r="Z372" i="2"/>
  <c r="Z248" i="2"/>
  <c r="Z61" i="2"/>
  <c r="Z473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<sst xmlns="http://schemas.openxmlformats.org/spreadsheetml/2006/main" count="4318" uniqueCount="905">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</sst>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904</v>
      </c>
      <c r="I5" s="1001"/>
      <c r="J5" s="1001"/>
      <c r="K5" s="1001"/>
      <c r="L5" s="1001"/>
      <c r="M5" s="1001"/>
      <c r="N5" s="72"/>
      <c r="P5" s="27" t="s">
        <v>4</v>
      </c>
      <c r="Q5" s="1003">
        <v>46266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0.54166666666666663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8000</v>
      </c>
      <c r="Y470" s="55">
        <f>IFERROR(IF(X470="",0,CEILING((X470/$H470),1)*$H470),"")</f>
        <v>8001</v>
      </c>
      <c r="Z470" s="41">
        <f>IFERROR(IF(Y470=0,"",ROUNDUP(Y470/H470,0)*0.01898),"")</f>
        <v>16.87322</v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8439.1111111111113</v>
      </c>
      <c r="BN470" s="78">
        <f>IFERROR(Y470*I470/H470,"0")</f>
        <v>8440.1659999999993</v>
      </c>
      <c r="BO470" s="78">
        <f>IFERROR(1/J470*(X470/H470),"0")</f>
        <v>13.888888888888889</v>
      </c>
      <c r="BP470" s="78">
        <f>IFERROR(1/J470*(Y470/H470),"0")</f>
        <v>13.890625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888.88888888888891</v>
      </c>
      <c r="Y473" s="43">
        <f>IFERROR(Y470/H470,"0")+IFERROR(Y471/H471,"0")+IFERROR(Y472/H472,"0")</f>
        <v>889</v>
      </c>
      <c r="Z473" s="43">
        <f>IFERROR(IF(Z470="",0,Z470),"0")+IFERROR(IF(Z471="",0,Z471),"0")+IFERROR(IF(Z472="",0,Z472),"0")</f>
        <v>16.87322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8000</v>
      </c>
      <c r="Y474" s="43">
        <f>IFERROR(SUM(Y470:Y472),"0")</f>
        <v>8001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8000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8001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8439.1111111111113</v>
      </c>
      <c r="Y561" s="43">
        <f>IFERROR(SUM(BN22:BN557),"0")</f>
        <v>8440.1659999999993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14</v>
      </c>
      <c r="Y562" s="44">
        <f>ROUNDUP(SUM(BP22:BP557),0)</f>
        <v>14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8789.1111111111113</v>
      </c>
      <c r="Y563" s="43">
        <f>GrossWeightTotalR+PalletQtyTotalR*25</f>
        <v>8790.1659999999993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888.88888888888891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889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16.87322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8001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"/>
        <filter val="8 000,00"/>
        <filter val="8 439,11"/>
        <filter val="8 789,11"/>
        <filter val="888,89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2026-08-28T14:07:25Z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