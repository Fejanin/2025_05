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74D8C54-E65E-4F97-9C71-87D838534E6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Y541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P461" i="2"/>
  <c r="X458" i="2"/>
  <c r="X457" i="2"/>
  <c r="BO456" i="2"/>
  <c r="BM456" i="2"/>
  <c r="Y456" i="2"/>
  <c r="BP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N345" i="2" s="1"/>
  <c r="P345" i="2"/>
  <c r="X342" i="2"/>
  <c r="X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P79" i="2" l="1"/>
  <c r="BP98" i="2"/>
  <c r="Z138" i="2"/>
  <c r="BN138" i="2"/>
  <c r="BP345" i="2"/>
  <c r="Z257" i="2"/>
  <c r="Z258" i="2" s="1"/>
  <c r="BN257" i="2"/>
  <c r="BP257" i="2"/>
  <c r="Y258" i="2"/>
  <c r="Z276" i="2"/>
  <c r="X561" i="2"/>
  <c r="X564" i="2"/>
  <c r="BP27" i="2"/>
  <c r="BP226" i="2"/>
  <c r="Z304" i="2"/>
  <c r="Z394" i="2"/>
  <c r="Z513" i="2"/>
  <c r="F570" i="2"/>
  <c r="Z57" i="2"/>
  <c r="BN57" i="2"/>
  <c r="Z191" i="2"/>
  <c r="Z236" i="2"/>
  <c r="BN236" i="2"/>
  <c r="Z244" i="2"/>
  <c r="BN244" i="2"/>
  <c r="Z284" i="2"/>
  <c r="Z310" i="2"/>
  <c r="Z387" i="2"/>
  <c r="Z424" i="2"/>
  <c r="BN424" i="2"/>
  <c r="Z481" i="2"/>
  <c r="BN481" i="2"/>
  <c r="Z40" i="2"/>
  <c r="Z67" i="2"/>
  <c r="BN67" i="2"/>
  <c r="Z108" i="2"/>
  <c r="BP114" i="2"/>
  <c r="Z155" i="2"/>
  <c r="Y177" i="2"/>
  <c r="Z214" i="2"/>
  <c r="BN214" i="2"/>
  <c r="Z233" i="2"/>
  <c r="Z288" i="2"/>
  <c r="BN288" i="2"/>
  <c r="Z307" i="2"/>
  <c r="BP375" i="2"/>
  <c r="Z388" i="2"/>
  <c r="BN388" i="2"/>
  <c r="BP418" i="2"/>
  <c r="Y427" i="2"/>
  <c r="BP435" i="2"/>
  <c r="Z470" i="2"/>
  <c r="BN470" i="2"/>
  <c r="Z480" i="2"/>
  <c r="BP493" i="2"/>
  <c r="Z524" i="2"/>
  <c r="BN72" i="2"/>
  <c r="BN87" i="2"/>
  <c r="BP104" i="2"/>
  <c r="BN104" i="2"/>
  <c r="BP117" i="2"/>
  <c r="BN117" i="2"/>
  <c r="Z117" i="2"/>
  <c r="BN126" i="2"/>
  <c r="BP126" i="2"/>
  <c r="BN156" i="2"/>
  <c r="BP156" i="2"/>
  <c r="BN160" i="2"/>
  <c r="Z160" i="2"/>
  <c r="Y202" i="2"/>
  <c r="BP201" i="2"/>
  <c r="BN215" i="2"/>
  <c r="BP229" i="2"/>
  <c r="BN229" i="2"/>
  <c r="Z229" i="2"/>
  <c r="BN246" i="2"/>
  <c r="BN252" i="2"/>
  <c r="BP252" i="2"/>
  <c r="BN267" i="2"/>
  <c r="Y270" i="2"/>
  <c r="BN273" i="2"/>
  <c r="Z273" i="2"/>
  <c r="BP279" i="2"/>
  <c r="BN279" i="2"/>
  <c r="Z279" i="2"/>
  <c r="BN292" i="2"/>
  <c r="BN308" i="2"/>
  <c r="BP331" i="2"/>
  <c r="BN331" i="2"/>
  <c r="Z331" i="2"/>
  <c r="BN333" i="2"/>
  <c r="BN340" i="2"/>
  <c r="BP340" i="2"/>
  <c r="BN367" i="2"/>
  <c r="Z367" i="2"/>
  <c r="BN370" i="2"/>
  <c r="BN376" i="2"/>
  <c r="Z376" i="2"/>
  <c r="BP379" i="2"/>
  <c r="Z379" i="2"/>
  <c r="Y396" i="2"/>
  <c r="Z392" i="2"/>
  <c r="Y395" i="2"/>
  <c r="BN412" i="2"/>
  <c r="BN419" i="2"/>
  <c r="Z419" i="2"/>
  <c r="BN436" i="2"/>
  <c r="BP461" i="2"/>
  <c r="BN461" i="2"/>
  <c r="Z461" i="2"/>
  <c r="BN482" i="2"/>
  <c r="AA570" i="2"/>
  <c r="Z505" i="2"/>
  <c r="BN526" i="2"/>
  <c r="Z526" i="2"/>
  <c r="Y548" i="2"/>
  <c r="BP547" i="2"/>
  <c r="X562" i="2"/>
  <c r="X560" i="2"/>
  <c r="Z31" i="2"/>
  <c r="BN31" i="2"/>
  <c r="Z48" i="2"/>
  <c r="BN48" i="2"/>
  <c r="Z64" i="2"/>
  <c r="BN73" i="2"/>
  <c r="Z77" i="2"/>
  <c r="BN77" i="2"/>
  <c r="Z86" i="2"/>
  <c r="BN89" i="2"/>
  <c r="Z93" i="2"/>
  <c r="BN93" i="2"/>
  <c r="Z97" i="2"/>
  <c r="Z104" i="2"/>
  <c r="BN124" i="2"/>
  <c r="BP124" i="2"/>
  <c r="Y151" i="2"/>
  <c r="BP148" i="2"/>
  <c r="BN148" i="2"/>
  <c r="Z148" i="2"/>
  <c r="BP160" i="2"/>
  <c r="BN181" i="2"/>
  <c r="Y203" i="2"/>
  <c r="BN211" i="2"/>
  <c r="BP211" i="2"/>
  <c r="BP234" i="2"/>
  <c r="BN234" i="2"/>
  <c r="Z234" i="2"/>
  <c r="BN277" i="2"/>
  <c r="Z277" i="2"/>
  <c r="BN285" i="2"/>
  <c r="BP285" i="2"/>
  <c r="BN306" i="2"/>
  <c r="BP306" i="2"/>
  <c r="BP346" i="2"/>
  <c r="BN346" i="2"/>
  <c r="Z346" i="2"/>
  <c r="BP353" i="2"/>
  <c r="Z353" i="2"/>
  <c r="Z355" i="2" s="1"/>
  <c r="BN361" i="2"/>
  <c r="BP367" i="2"/>
  <c r="BN368" i="2"/>
  <c r="BP392" i="2"/>
  <c r="BN393" i="2"/>
  <c r="Z393" i="2"/>
  <c r="BN405" i="2"/>
  <c r="BN426" i="2"/>
  <c r="BP443" i="2"/>
  <c r="Z443" i="2"/>
  <c r="BN456" i="2"/>
  <c r="Z456" i="2"/>
  <c r="BP505" i="2"/>
  <c r="BP506" i="2"/>
  <c r="BN506" i="2"/>
  <c r="Z506" i="2"/>
  <c r="BN510" i="2"/>
  <c r="BP517" i="2"/>
  <c r="BN517" i="2"/>
  <c r="Z517" i="2"/>
  <c r="BN523" i="2"/>
  <c r="BP523" i="2"/>
  <c r="BP526" i="2"/>
  <c r="BP527" i="2"/>
  <c r="BN527" i="2"/>
  <c r="Z527" i="2"/>
  <c r="Y540" i="2"/>
  <c r="Z539" i="2"/>
  <c r="Z540" i="2" s="1"/>
  <c r="BN552" i="2"/>
  <c r="BN176" i="2"/>
  <c r="BN189" i="2"/>
  <c r="Y255" i="2"/>
  <c r="BN263" i="2"/>
  <c r="Y280" i="2"/>
  <c r="BN294" i="2"/>
  <c r="BN332" i="2"/>
  <c r="BN348" i="2"/>
  <c r="BN359" i="2"/>
  <c r="Y362" i="2"/>
  <c r="BN369" i="2"/>
  <c r="BN377" i="2"/>
  <c r="BP387" i="2"/>
  <c r="BN400" i="2"/>
  <c r="BN406" i="2"/>
  <c r="BN438" i="2"/>
  <c r="BN450" i="2"/>
  <c r="BP480" i="2"/>
  <c r="BN498" i="2"/>
  <c r="BN507" i="2"/>
  <c r="BN518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81" i="2" s="1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Z420" i="2" s="1"/>
  <c r="BN433" i="2"/>
  <c r="BN443" i="2"/>
  <c r="Y446" i="2"/>
  <c r="BN466" i="2"/>
  <c r="Z478" i="2"/>
  <c r="Z488" i="2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446" i="2" l="1"/>
  <c r="Z489" i="2"/>
  <c r="Z300" i="2"/>
  <c r="X563" i="2"/>
  <c r="Z520" i="2"/>
  <c r="Z463" i="2"/>
  <c r="Z395" i="2"/>
  <c r="Z172" i="2"/>
  <c r="Z427" i="2"/>
  <c r="Z145" i="2"/>
  <c r="Z530" i="2"/>
  <c r="Z484" i="2"/>
  <c r="Z382" i="2"/>
  <c r="Z341" i="2"/>
  <c r="Z280" i="2"/>
  <c r="Z192" i="2"/>
  <c r="Z119" i="2"/>
  <c r="Z32" i="2"/>
  <c r="Z414" i="2"/>
  <c r="Z68" i="2"/>
  <c r="Z402" i="2"/>
  <c r="Z350" i="2"/>
  <c r="Z457" i="2"/>
  <c r="Z473" i="2"/>
  <c r="Z514" i="2"/>
  <c r="Z553" i="2"/>
  <c r="Z389" i="2"/>
  <c r="Z334" i="2"/>
  <c r="Z311" i="2"/>
  <c r="Z295" i="2"/>
  <c r="Z254" i="2"/>
  <c r="Z372" i="2"/>
  <c r="Z325" i="2"/>
  <c r="Z248" i="2"/>
  <c r="Z61" i="2"/>
  <c r="Z150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<sst xmlns="http://schemas.openxmlformats.org/spreadsheetml/2006/main" count="4318" uniqueCount="905">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</sst>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Y13" sqref="Y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904</v>
      </c>
      <c r="I5" s="1001"/>
      <c r="J5" s="1001"/>
      <c r="K5" s="1001"/>
      <c r="L5" s="1001"/>
      <c r="M5" s="1001"/>
      <c r="N5" s="72"/>
      <c r="P5" s="27" t="s">
        <v>4</v>
      </c>
      <c r="Q5" s="1003">
        <v>46266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Вторник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0.5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60</v>
      </c>
      <c r="Y49" s="55">
        <f>IFERROR(IF(X49="",0,CEILING((X49/$H49),1)*$H49),"")</f>
        <v>60</v>
      </c>
      <c r="Z49" s="41">
        <f>IFERROR(IF(Y49=0,"",ROUNDUP(Y49/H49,0)*0.00902),"")</f>
        <v>0.1353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62.850000000000009</v>
      </c>
      <c r="BN49" s="78">
        <f>IFERROR(Y49*I49/H49,"0")</f>
        <v>62.850000000000009</v>
      </c>
      <c r="BO49" s="78">
        <f>IFERROR(1/J49*(X49/H49),"0")</f>
        <v>0.11363636363636365</v>
      </c>
      <c r="BP49" s="78">
        <f>IFERROR(1/J49*(Y49/H49),"0")</f>
        <v>0.11363636363636365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15</v>
      </c>
      <c r="Y51" s="43">
        <f>IFERROR(Y47/H47,"0")+IFERROR(Y48/H48,"0")+IFERROR(Y49/H49,"0")+IFERROR(Y50/H50,"0")</f>
        <v>15</v>
      </c>
      <c r="Z51" s="43">
        <f>IFERROR(IF(Z47="",0,Z47),"0")+IFERROR(IF(Z48="",0,Z48),"0")+IFERROR(IF(Z49="",0,Z49),"0")+IFERROR(IF(Z50="",0,Z50),"0")</f>
        <v>0.1353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60</v>
      </c>
      <c r="Y52" s="43">
        <f>IFERROR(SUM(Y47:Y50),"0")</f>
        <v>60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150</v>
      </c>
      <c r="Y64" s="55">
        <f>IFERROR(IF(X64="",0,CEILING((X64/$H64),1)*$H64),"")</f>
        <v>151.20000000000002</v>
      </c>
      <c r="Z64" s="41">
        <f>IFERROR(IF(Y64=0,"",ROUNDUP(Y64/H64,0)*0.01898),"")</f>
        <v>0.26572000000000001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155.69444444444446</v>
      </c>
      <c r="BN64" s="78">
        <f>IFERROR(Y64*I64/H64,"0")</f>
        <v>156.94</v>
      </c>
      <c r="BO64" s="78">
        <f>IFERROR(1/J64*(X64/H64),"0")</f>
        <v>0.21701388888888887</v>
      </c>
      <c r="BP64" s="78">
        <f>IFERROR(1/J64*(Y64/H64),"0")</f>
        <v>0.21875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13.888888888888888</v>
      </c>
      <c r="Y68" s="43">
        <f>IFERROR(Y64/H64,"0")+IFERROR(Y65/H65,"0")+IFERROR(Y66/H66,"0")+IFERROR(Y67/H67,"0")</f>
        <v>14</v>
      </c>
      <c r="Z68" s="43">
        <f>IFERROR(IF(Z64="",0,Z64),"0")+IFERROR(IF(Z65="",0,Z65),"0")+IFERROR(IF(Z66="",0,Z66),"0")+IFERROR(IF(Z67="",0,Z67),"0")</f>
        <v>0.26572000000000001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150</v>
      </c>
      <c r="Y69" s="43">
        <f>IFERROR(SUM(Y64:Y67),"0")</f>
        <v>151.20000000000002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300</v>
      </c>
      <c r="Y93" s="55">
        <f t="shared" ref="Y93:Y98" si="5"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318.2962962962963</v>
      </c>
      <c r="BN93" s="78">
        <f t="shared" ref="BN93:BN98" si="7">IFERROR(Y93*I93/H93,"0")</f>
        <v>326.572</v>
      </c>
      <c r="BO93" s="78">
        <f t="shared" ref="BO93:BO98" si="8">IFERROR(1/J93*(X93/H93),"0")</f>
        <v>0.57870370370370372</v>
      </c>
      <c r="BP93" s="78">
        <f t="shared" ref="BP93:BP98" si="9">IFERROR(1/J93*(Y93/H93),"0")</f>
        <v>0.59375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108</v>
      </c>
      <c r="Y96" s="55">
        <f t="shared" si="5"/>
        <v>108</v>
      </c>
      <c r="Z96" s="41">
        <f>IFERROR(IF(Y96=0,"",ROUNDUP(Y96/H96,0)*0.00651),"")</f>
        <v>0.26040000000000002</v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118.07999999999998</v>
      </c>
      <c r="BN96" s="78">
        <f t="shared" si="7"/>
        <v>118.07999999999998</v>
      </c>
      <c r="BO96" s="78">
        <f t="shared" si="8"/>
        <v>0.2197802197802198</v>
      </c>
      <c r="BP96" s="78">
        <f t="shared" si="9"/>
        <v>0.2197802197802198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77.037037037037038</v>
      </c>
      <c r="Y99" s="43">
        <f>IFERROR(Y93/H93,"0")+IFERROR(Y94/H94,"0")+IFERROR(Y95/H95,"0")+IFERROR(Y96/H96,"0")+IFERROR(Y97/H97,"0")+IFERROR(Y98/H98,"0")</f>
        <v>78</v>
      </c>
      <c r="Z99" s="43">
        <f>IFERROR(IF(Z93="",0,Z93),"0")+IFERROR(IF(Z94="",0,Z94),"0")+IFERROR(IF(Z95="",0,Z95),"0")+IFERROR(IF(Z96="",0,Z96),"0")+IFERROR(IF(Z97="",0,Z97),"0")+IFERROR(IF(Z98="",0,Z98),"0")</f>
        <v>0.98164000000000007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408</v>
      </c>
      <c r="Y100" s="43">
        <f>IFERROR(SUM(Y93:Y98),"0")</f>
        <v>415.8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300</v>
      </c>
      <c r="Y103" s="55">
        <f t="shared" ref="Y103:Y110" si="10">IFERROR(IF(X103="",0,CEILING((X103/$H103),1)*$H103),"")</f>
        <v>302.40000000000003</v>
      </c>
      <c r="Z103" s="41">
        <f>IFERROR(IF(Y103=0,"",ROUNDUP(Y103/H103,0)*0.01898),"")</f>
        <v>0.53144000000000002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311.38888888888891</v>
      </c>
      <c r="BN103" s="78">
        <f t="shared" ref="BN103:BN110" si="12">IFERROR(Y103*I103/H103,"0")</f>
        <v>313.88</v>
      </c>
      <c r="BO103" s="78">
        <f t="shared" ref="BO103:BO110" si="13">IFERROR(1/J103*(X103/H103),"0")</f>
        <v>0.43402777777777773</v>
      </c>
      <c r="BP103" s="78">
        <f t="shared" ref="BP103:BP110" si="14">IFERROR(1/J103*(Y103/H103),"0")</f>
        <v>0.4375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27.777777777777775</v>
      </c>
      <c r="Y111" s="43">
        <f>IFERROR(Y103/H103,"0")+IFERROR(Y104/H104,"0")+IFERROR(Y105/H105,"0")+IFERROR(Y106/H106,"0")+IFERROR(Y107/H107,"0")+IFERROR(Y108/H108,"0")+IFERROR(Y109/H109,"0")+IFERROR(Y110/H110,"0")</f>
        <v>28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0.53144000000000002</v>
      </c>
      <c r="AA111" s="67"/>
      <c r="AB111" s="67"/>
      <c r="AC111" s="67"/>
    </row>
    <row r="112" spans="1:68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300</v>
      </c>
      <c r="Y112" s="43">
        <f>IFERROR(SUM(Y103:Y110),"0")</f>
        <v>302.40000000000003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1200</v>
      </c>
      <c r="Y122" s="55">
        <f t="shared" ref="Y122:Y128" si="15">IFERROR(IF(X122="",0,CEILING((X122/$H122),1)*$H122),"")</f>
        <v>1206.8999999999999</v>
      </c>
      <c r="Z122" s="41">
        <f>IFERROR(IF(Y122=0,"",ROUNDUP(Y122/H122,0)*0.01898),"")</f>
        <v>2.82802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1272.2962962962961</v>
      </c>
      <c r="BN122" s="78">
        <f t="shared" ref="BN122:BN128" si="17">IFERROR(Y122*I122/H122,"0")</f>
        <v>1279.6119999999999</v>
      </c>
      <c r="BO122" s="78">
        <f t="shared" ref="BO122:BO128" si="18">IFERROR(1/J122*(X122/H122),"0")</f>
        <v>2.3148148148148149</v>
      </c>
      <c r="BP122" s="78">
        <f t="shared" ref="BP122:BP128" si="19">IFERROR(1/J122*(Y122/H122),"0")</f>
        <v>2.328125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108</v>
      </c>
      <c r="Y125" s="55">
        <f t="shared" si="15"/>
        <v>108</v>
      </c>
      <c r="Z125" s="41">
        <f>IFERROR(IF(Y125=0,"",ROUNDUP(Y125/H125,0)*0.00651),"")</f>
        <v>0.26040000000000002</v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118.07999999999998</v>
      </c>
      <c r="BN125" s="78">
        <f t="shared" si="17"/>
        <v>118.07999999999998</v>
      </c>
      <c r="BO125" s="78">
        <f t="shared" si="18"/>
        <v>0.2197802197802198</v>
      </c>
      <c r="BP125" s="78">
        <f t="shared" si="19"/>
        <v>0.2197802197802198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188.14814814814815</v>
      </c>
      <c r="Y129" s="43">
        <f>IFERROR(Y122/H122,"0")+IFERROR(Y123/H123,"0")+IFERROR(Y124/H124,"0")+IFERROR(Y125/H125,"0")+IFERROR(Y126/H126,"0")+IFERROR(Y127/H127,"0")+IFERROR(Y128/H128,"0")</f>
        <v>189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3.0884200000000002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1308</v>
      </c>
      <c r="Y130" s="43">
        <f>IFERROR(SUM(Y122:Y128),"0")</f>
        <v>1314.8999999999999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40</v>
      </c>
      <c r="Y182" s="55">
        <f t="shared" si="26"/>
        <v>42</v>
      </c>
      <c r="Z182" s="41">
        <f>IFERROR(IF(Y182=0,"",ROUNDUP(Y182/H182,0)*0.00902),"")</f>
        <v>0.10824</v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42.171428571428571</v>
      </c>
      <c r="BN182" s="78">
        <f t="shared" si="28"/>
        <v>44.279999999999994</v>
      </c>
      <c r="BO182" s="78">
        <f t="shared" si="29"/>
        <v>8.658008658008659E-2</v>
      </c>
      <c r="BP182" s="78">
        <f t="shared" si="30"/>
        <v>9.0909090909090912E-2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40</v>
      </c>
      <c r="Y183" s="55">
        <f t="shared" si="26"/>
        <v>42</v>
      </c>
      <c r="Z183" s="41">
        <f>IFERROR(IF(Y183=0,"",ROUNDUP(Y183/H183,0)*0.00902),"")</f>
        <v>0.10824</v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42.171428571428571</v>
      </c>
      <c r="BN183" s="78">
        <f t="shared" si="28"/>
        <v>44.279999999999994</v>
      </c>
      <c r="BO183" s="78">
        <f t="shared" si="29"/>
        <v>8.658008658008659E-2</v>
      </c>
      <c r="BP183" s="78">
        <f t="shared" si="30"/>
        <v>9.0909090909090912E-2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22.857142857142858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24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0.21648000000000001</v>
      </c>
      <c r="AA192" s="67"/>
      <c r="AB192" s="67"/>
      <c r="AC192" s="67"/>
    </row>
    <row r="193" spans="1:68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80</v>
      </c>
      <c r="Y193" s="43">
        <f>IFERROR(SUM(Y180:Y191),"0")</f>
        <v>84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50</v>
      </c>
      <c r="Y272" s="55">
        <f t="shared" ref="Y272:Y279" si="43">IFERROR(IF(X272="",0,CEILING((X272/$H272),1)*$H272),"")</f>
        <v>54</v>
      </c>
      <c r="Z272" s="41">
        <f>IFERROR(IF(Y272=0,"",ROUNDUP(Y272/H272,0)*0.00902),"")</f>
        <v>9.0200000000000002E-2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51.759259259259252</v>
      </c>
      <c r="BN272" s="78">
        <f t="shared" ref="BN272:BN279" si="45">IFERROR(Y272*I272/H272,"0")</f>
        <v>55.9</v>
      </c>
      <c r="BO272" s="78">
        <f t="shared" ref="BO272:BO279" si="46">IFERROR(1/J272*(X272/H272),"0")</f>
        <v>7.0145903479236812E-2</v>
      </c>
      <c r="BP272" s="78">
        <f t="shared" ref="BP272:BP279" si="47">IFERROR(1/J272*(Y272/H272),"0")</f>
        <v>7.575757575757576E-2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40</v>
      </c>
      <c r="Y275" s="55">
        <f t="shared" si="43"/>
        <v>43.2</v>
      </c>
      <c r="Z275" s="41">
        <f>IFERROR(IF(Y275=0,"",ROUNDUP(Y275/H275,0)*0.00902),"")</f>
        <v>7.2160000000000002E-2</v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41.407407407407405</v>
      </c>
      <c r="BN275" s="78">
        <f t="shared" si="45"/>
        <v>44.72</v>
      </c>
      <c r="BO275" s="78">
        <f t="shared" si="46"/>
        <v>5.6116722783389444E-2</v>
      </c>
      <c r="BP275" s="78">
        <f t="shared" si="47"/>
        <v>6.0606060606060608E-2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16.666666666666664</v>
      </c>
      <c r="Y280" s="43">
        <f>IFERROR(Y272/H272,"0")+IFERROR(Y273/H273,"0")+IFERROR(Y274/H274,"0")+IFERROR(Y275/H275,"0")+IFERROR(Y276/H276,"0")+IFERROR(Y277/H277,"0")+IFERROR(Y278/H278,"0")+IFERROR(Y279/H279,"0")</f>
        <v>18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0.16236</v>
      </c>
      <c r="AA280" s="67"/>
      <c r="AB280" s="67"/>
      <c r="AC280" s="67"/>
    </row>
    <row r="281" spans="1:68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90</v>
      </c>
      <c r="Y281" s="43">
        <f>IFERROR(SUM(Y272:Y279),"0")</f>
        <v>97.2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72</v>
      </c>
      <c r="Y286" s="55">
        <f t="shared" si="48"/>
        <v>72</v>
      </c>
      <c r="Z286" s="41">
        <f>IFERROR(IF(Y286=0,"",ROUNDUP(Y286/H286,0)*0.00651),"")</f>
        <v>0.1953</v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80.100000000000009</v>
      </c>
      <c r="BN286" s="78">
        <f t="shared" si="50"/>
        <v>80.100000000000009</v>
      </c>
      <c r="BO286" s="78">
        <f t="shared" si="51"/>
        <v>0.16483516483516486</v>
      </c>
      <c r="BP286" s="78">
        <f t="shared" si="52"/>
        <v>0.16483516483516486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192</v>
      </c>
      <c r="Y289" s="55">
        <f t="shared" si="48"/>
        <v>192</v>
      </c>
      <c r="Z289" s="41">
        <f>IFERROR(IF(Y289=0,"",ROUNDUP(Y289/H289,0)*0.00651),"")</f>
        <v>0.52080000000000004</v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212.16000000000003</v>
      </c>
      <c r="BN289" s="78">
        <f t="shared" si="50"/>
        <v>212.16000000000003</v>
      </c>
      <c r="BO289" s="78">
        <f t="shared" si="51"/>
        <v>0.43956043956043961</v>
      </c>
      <c r="BP289" s="78">
        <f t="shared" si="52"/>
        <v>0.43956043956043961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144</v>
      </c>
      <c r="Y291" s="55">
        <f t="shared" si="48"/>
        <v>144</v>
      </c>
      <c r="Z291" s="41">
        <f>IFERROR(IF(Y291=0,"",ROUNDUP(Y291/H291,0)*0.00651),"")</f>
        <v>0.3906</v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159.12000000000003</v>
      </c>
      <c r="BN291" s="78">
        <f t="shared" si="50"/>
        <v>159.12000000000003</v>
      </c>
      <c r="BO291" s="78">
        <f t="shared" si="51"/>
        <v>0.32967032967032972</v>
      </c>
      <c r="BP291" s="78">
        <f t="shared" si="52"/>
        <v>0.32967032967032972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72</v>
      </c>
      <c r="Y293" s="55">
        <f t="shared" si="48"/>
        <v>72</v>
      </c>
      <c r="Z293" s="41">
        <f>IFERROR(IF(Y293=0,"",ROUNDUP(Y293/H293,0)*0.00651),"")</f>
        <v>0.1953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79.740000000000009</v>
      </c>
      <c r="BN293" s="78">
        <f t="shared" si="50"/>
        <v>79.740000000000009</v>
      </c>
      <c r="BO293" s="78">
        <f t="shared" si="51"/>
        <v>0.16483516483516486</v>
      </c>
      <c r="BP293" s="78">
        <f t="shared" si="52"/>
        <v>0.16483516483516486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200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200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1.302</v>
      </c>
      <c r="AA295" s="67"/>
      <c r="AB295" s="67"/>
      <c r="AC295" s="67"/>
    </row>
    <row r="296" spans="1:68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480</v>
      </c>
      <c r="Y296" s="43">
        <f>IFERROR(SUM(Y283:Y294),"0")</f>
        <v>480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200</v>
      </c>
      <c r="Y385" s="55">
        <f>IFERROR(IF(X385="",0,CEILING((X385/$H385),1)*$H385),"")</f>
        <v>202.79999999999998</v>
      </c>
      <c r="Z385" s="41">
        <f>IFERROR(IF(Y385=0,"",ROUNDUP(Y385/H385,0)*0.01898),"")</f>
        <v>0.49348000000000003</v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212.51282051282053</v>
      </c>
      <c r="BN385" s="78">
        <f>IFERROR(Y385*I385/H385,"0")</f>
        <v>215.488</v>
      </c>
      <c r="BO385" s="78">
        <f>IFERROR(1/J385*(X385/H385),"0")</f>
        <v>0.40064102564102566</v>
      </c>
      <c r="BP385" s="78">
        <f>IFERROR(1/J385*(Y385/H385),"0")</f>
        <v>0.40625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25.641025641025642</v>
      </c>
      <c r="Y389" s="43">
        <f>IFERROR(Y385/H385,"0")+IFERROR(Y386/H386,"0")+IFERROR(Y387/H387,"0")+IFERROR(Y388/H388,"0")</f>
        <v>26</v>
      </c>
      <c r="Z389" s="43">
        <f>IFERROR(IF(Z385="",0,Z385),"0")+IFERROR(IF(Z386="",0,Z386),"0")+IFERROR(IF(Z387="",0,Z387),"0")+IFERROR(IF(Z388="",0,Z388),"0")</f>
        <v>0.49348000000000003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200</v>
      </c>
      <c r="Y390" s="43">
        <f>IFERROR(SUM(Y385:Y388),"0")</f>
        <v>202.79999999999998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1000</v>
      </c>
      <c r="Y393" s="55">
        <f>IFERROR(IF(X393="",0,CEILING((X393/$H393),1)*$H393),"")</f>
        <v>1006.1999999999999</v>
      </c>
      <c r="Z393" s="41">
        <f>IFERROR(IF(Y393=0,"",ROUNDUP(Y393/H393,0)*0.01898),"")</f>
        <v>2.44842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1063.3333333333333</v>
      </c>
      <c r="BN393" s="78">
        <f>IFERROR(Y393*I393/H393,"0")</f>
        <v>1069.9260000000002</v>
      </c>
      <c r="BO393" s="78">
        <f>IFERROR(1/J393*(X393/H393),"0")</f>
        <v>2.0032051282051282</v>
      </c>
      <c r="BP393" s="78">
        <f>IFERROR(1/J393*(Y393/H393),"0")</f>
        <v>2.015625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128.2051282051282</v>
      </c>
      <c r="Y395" s="43">
        <f>IFERROR(Y392/H392,"0")+IFERROR(Y393/H393,"0")+IFERROR(Y394/H394,"0")</f>
        <v>129</v>
      </c>
      <c r="Z395" s="43">
        <f>IFERROR(IF(Z392="",0,Z392),"0")+IFERROR(IF(Z393="",0,Z393),"0")+IFERROR(IF(Z394="",0,Z394),"0")</f>
        <v>2.44842</v>
      </c>
      <c r="AA395" s="67"/>
      <c r="AB395" s="67"/>
      <c r="AC395" s="67"/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1000</v>
      </c>
      <c r="Y396" s="43">
        <f>IFERROR(SUM(Y392:Y394),"0")</f>
        <v>1006.1999999999999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80</v>
      </c>
      <c r="Y424" s="55">
        <f>IFERROR(IF(X424="",0,CEILING((X424/$H424),1)*$H424),"")</f>
        <v>81</v>
      </c>
      <c r="Z424" s="41">
        <f>IFERROR(IF(Y424=0,"",ROUNDUP(Y424/H424,0)*0.01898),"")</f>
        <v>0.1898</v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84.879012345679016</v>
      </c>
      <c r="BN424" s="78">
        <f>IFERROR(Y424*I424/H424,"0")</f>
        <v>85.94</v>
      </c>
      <c r="BO424" s="78">
        <f>IFERROR(1/J424*(X424/H424),"0")</f>
        <v>0.15432098765432101</v>
      </c>
      <c r="BP424" s="78">
        <f>IFERROR(1/J424*(Y424/H424),"0")</f>
        <v>0.15625</v>
      </c>
    </row>
    <row r="425" spans="1:68" ht="27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105</v>
      </c>
      <c r="Y425" s="55">
        <f>IFERROR(IF(X425="",0,CEILING((X425/$H425),1)*$H425),"")</f>
        <v>105</v>
      </c>
      <c r="Z425" s="41">
        <f>IFERROR(IF(Y425=0,"",ROUNDUP(Y425/H425,0)*0.00651),"")</f>
        <v>0.32550000000000001</v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117.59999999999998</v>
      </c>
      <c r="BN425" s="78">
        <f>IFERROR(Y425*I425/H425,"0")</f>
        <v>117.59999999999998</v>
      </c>
      <c r="BO425" s="78">
        <f>IFERROR(1/J425*(X425/H425),"0")</f>
        <v>0.27472527472527475</v>
      </c>
      <c r="BP425" s="78">
        <f>IFERROR(1/J425*(Y425/H425),"0")</f>
        <v>0.27472527472527475</v>
      </c>
    </row>
    <row r="426" spans="1:68" ht="27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63</v>
      </c>
      <c r="Y426" s="55">
        <f>IFERROR(IF(X426="",0,CEILING((X426/$H426),1)*$H426),"")</f>
        <v>63</v>
      </c>
      <c r="Z426" s="41">
        <f>IFERROR(IF(Y426=0,"",ROUNDUP(Y426/H426,0)*0.00651),"")</f>
        <v>0.1953</v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70.199999999999989</v>
      </c>
      <c r="BN426" s="78">
        <f>IFERROR(Y426*I426/H426,"0")</f>
        <v>70.199999999999989</v>
      </c>
      <c r="BO426" s="78">
        <f>IFERROR(1/J426*(X426/H426),"0")</f>
        <v>0.16483516483516486</v>
      </c>
      <c r="BP426" s="78">
        <f>IFERROR(1/J426*(Y426/H426),"0")</f>
        <v>0.16483516483516486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89.876543209876544</v>
      </c>
      <c r="Y427" s="43">
        <f>IFERROR(Y424/H424,"0")+IFERROR(Y425/H425,"0")+IFERROR(Y426/H426,"0")</f>
        <v>90</v>
      </c>
      <c r="Z427" s="43">
        <f>IFERROR(IF(Z424="",0,Z424),"0")+IFERROR(IF(Z425="",0,Z425),"0")+IFERROR(IF(Z426="",0,Z426),"0")</f>
        <v>0.71060000000000001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248</v>
      </c>
      <c r="Y428" s="43">
        <f>IFERROR(SUM(Y424:Y426),"0")</f>
        <v>249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1500</v>
      </c>
      <c r="Y443" s="55">
        <f>IFERROR(IF(X443="",0,CEILING((X443/$H443),1)*$H443),"")</f>
        <v>1500</v>
      </c>
      <c r="Z443" s="41">
        <f>IFERROR(IF(Y443=0,"",ROUNDUP(Y443/H443,0)*0.02175),"")</f>
        <v>2.1749999999999998</v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1547</v>
      </c>
      <c r="BN443" s="78">
        <f>IFERROR(Y443*I443/H443,"0")</f>
        <v>1547</v>
      </c>
      <c r="BO443" s="78">
        <f>IFERROR(1/J443*(X443/H443),"0")</f>
        <v>2.083333333333333</v>
      </c>
      <c r="BP443" s="78">
        <f>IFERROR(1/J443*(Y443/H443),"0")</f>
        <v>2.083333333333333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100</v>
      </c>
      <c r="Y446" s="43">
        <f>IFERROR(Y443/H443,"0")+IFERROR(Y444/H444,"0")+IFERROR(Y445/H445,"0")</f>
        <v>100</v>
      </c>
      <c r="Z446" s="43">
        <f>IFERROR(IF(Z443="",0,Z443),"0")+IFERROR(IF(Z444="",0,Z444),"0")+IFERROR(IF(Z445="",0,Z445),"0")</f>
        <v>2.1749999999999998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1500</v>
      </c>
      <c r="Y447" s="43">
        <f>IFERROR(SUM(Y443:Y445),"0")</f>
        <v>1500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120</v>
      </c>
      <c r="Y471" s="55">
        <f>IFERROR(IF(X471="",0,CEILING((X471/$H471),1)*$H471),"")</f>
        <v>120</v>
      </c>
      <c r="Z471" s="41">
        <f>IFERROR(IF(Y471=0,"",ROUNDUP(Y471/H471,0)*0.00651),"")</f>
        <v>0.32550000000000001</v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133.20000000000002</v>
      </c>
      <c r="BN471" s="78">
        <f>IFERROR(Y471*I471/H471,"0")</f>
        <v>133.20000000000002</v>
      </c>
      <c r="BO471" s="78">
        <f>IFERROR(1/J471*(X471/H471),"0")</f>
        <v>0.27472527472527475</v>
      </c>
      <c r="BP471" s="78">
        <f>IFERROR(1/J471*(Y471/H471),"0")</f>
        <v>0.27472527472527475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50</v>
      </c>
      <c r="Y473" s="43">
        <f>IFERROR(Y470/H470,"0")+IFERROR(Y471/H471,"0")+IFERROR(Y472/H472,"0")</f>
        <v>50</v>
      </c>
      <c r="Z473" s="43">
        <f>IFERROR(IF(Z470="",0,Z470),"0")+IFERROR(IF(Z471="",0,Z471),"0")+IFERROR(IF(Z472="",0,Z472),"0")</f>
        <v>0.32550000000000001</v>
      </c>
      <c r="AA473" s="67"/>
      <c r="AB473" s="67"/>
      <c r="AC473" s="67"/>
    </row>
    <row r="474" spans="1:68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120</v>
      </c>
      <c r="Y474" s="43">
        <f>IFERROR(SUM(Y470:Y472),"0")</f>
        <v>120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40</v>
      </c>
      <c r="Y479" s="55">
        <f t="shared" si="73"/>
        <v>43.2</v>
      </c>
      <c r="Z479" s="41">
        <f>IFERROR(IF(Y479=0,"",ROUNDUP(Y479/H479,0)*0.00902),"")</f>
        <v>7.2160000000000002E-2</v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41.407407407407405</v>
      </c>
      <c r="BN479" s="78">
        <f t="shared" si="75"/>
        <v>44.72</v>
      </c>
      <c r="BO479" s="78">
        <f t="shared" si="76"/>
        <v>5.6116722783389444E-2</v>
      </c>
      <c r="BP479" s="78">
        <f t="shared" si="77"/>
        <v>6.0606060606060608E-2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7.4074074074074066</v>
      </c>
      <c r="Y484" s="43">
        <f>IFERROR(Y478/H478,"0")+IFERROR(Y479/H479,"0")+IFERROR(Y480/H480,"0")+IFERROR(Y481/H481,"0")+IFERROR(Y482/H482,"0")+IFERROR(Y483/H483,"0")</f>
        <v>8</v>
      </c>
      <c r="Z484" s="43">
        <f>IFERROR(IF(Z478="",0,Z478),"0")+IFERROR(IF(Z479="",0,Z479),"0")+IFERROR(IF(Z480="",0,Z480),"0")+IFERROR(IF(Z481="",0,Z481),"0")+IFERROR(IF(Z482="",0,Z482),"0")+IFERROR(IF(Z483="",0,Z483),"0")</f>
        <v>7.2160000000000002E-2</v>
      </c>
      <c r="AA484" s="67"/>
      <c r="AB484" s="67"/>
      <c r="AC484" s="67"/>
    </row>
    <row r="485" spans="1:68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40</v>
      </c>
      <c r="Y485" s="43">
        <f>IFERROR(SUM(Y478:Y483),"0")</f>
        <v>43.2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40</v>
      </c>
      <c r="Y497" s="55">
        <f>IFERROR(IF(X497="",0,CEILING((X497/$H497),1)*$H497),"")</f>
        <v>43.2</v>
      </c>
      <c r="Z497" s="41">
        <f>IFERROR(IF(Y497=0,"",ROUNDUP(Y497/H497,0)*0.00902),"")</f>
        <v>7.2160000000000002E-2</v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41.407407407407405</v>
      </c>
      <c r="BN497" s="78">
        <f>IFERROR(Y497*I497/H497,"0")</f>
        <v>44.72</v>
      </c>
      <c r="BO497" s="78">
        <f>IFERROR(1/J497*(X497/H497),"0")</f>
        <v>5.6116722783389444E-2</v>
      </c>
      <c r="BP497" s="78">
        <f>IFERROR(1/J497*(Y497/H497),"0")</f>
        <v>6.0606060606060608E-2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7.4074074074074066</v>
      </c>
      <c r="Y500" s="43">
        <f>IFERROR(Y497/H497,"0")+IFERROR(Y498/H498,"0")+IFERROR(Y499/H499,"0")</f>
        <v>8</v>
      </c>
      <c r="Z500" s="43">
        <f>IFERROR(IF(Z497="",0,Z497),"0")+IFERROR(IF(Z498="",0,Z498),"0")+IFERROR(IF(Z499="",0,Z499),"0")</f>
        <v>7.2160000000000002E-2</v>
      </c>
      <c r="AA500" s="67"/>
      <c r="AB500" s="67"/>
      <c r="AC500" s="67"/>
    </row>
    <row r="501" spans="1:68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40</v>
      </c>
      <c r="Y501" s="43">
        <f>IFERROR(SUM(Y497:Y499),"0")</f>
        <v>43.2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250</v>
      </c>
      <c r="Y505" s="55">
        <f t="shared" ref="Y505:Y513" si="78">IFERROR(IF(X505="",0,CEILING((X505/$H505),1)*$H505),"")</f>
        <v>253.44</v>
      </c>
      <c r="Z505" s="41">
        <f t="shared" ref="Z505:Z510" si="79">IFERROR(IF(Y505=0,"",ROUNDUP(Y505/H505,0)*0.01196),"")</f>
        <v>0.57408000000000003</v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266.57196969696969</v>
      </c>
      <c r="BN505" s="78">
        <f t="shared" ref="BN505:BN513" si="81">IFERROR(Y505*I505/H505,"0")</f>
        <v>270.23999999999995</v>
      </c>
      <c r="BO505" s="78">
        <f t="shared" ref="BO505:BO513" si="82">IFERROR(1/J505*(X505/H505),"0")</f>
        <v>0.45527389277389274</v>
      </c>
      <c r="BP505" s="78">
        <f t="shared" ref="BP505:BP513" si="83">IFERROR(1/J505*(Y505/H505),"0")</f>
        <v>0.46153846153846156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400</v>
      </c>
      <c r="Y507" s="55">
        <f t="shared" si="78"/>
        <v>401.28000000000003</v>
      </c>
      <c r="Z507" s="41">
        <f t="shared" si="79"/>
        <v>0.90895999999999999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426.5151515151515</v>
      </c>
      <c r="BN507" s="78">
        <f t="shared" si="81"/>
        <v>427.88</v>
      </c>
      <c r="BO507" s="78">
        <f t="shared" si="82"/>
        <v>0.72843822843822836</v>
      </c>
      <c r="BP507" s="78">
        <f t="shared" si="83"/>
        <v>0.73076923076923084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800</v>
      </c>
      <c r="Y510" s="55">
        <f t="shared" si="78"/>
        <v>802.56000000000006</v>
      </c>
      <c r="Z510" s="41">
        <f t="shared" si="79"/>
        <v>1.81792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853.030303030303</v>
      </c>
      <c r="BN510" s="78">
        <f t="shared" si="81"/>
        <v>855.76</v>
      </c>
      <c r="BO510" s="78">
        <f t="shared" si="82"/>
        <v>1.4568764568764567</v>
      </c>
      <c r="BP510" s="78">
        <f t="shared" si="83"/>
        <v>1.4615384615384617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274.62121212121212</v>
      </c>
      <c r="Y514" s="43">
        <f>IFERROR(Y505/H505,"0")+IFERROR(Y506/H506,"0")+IFERROR(Y507/H507,"0")+IFERROR(Y508/H508,"0")+IFERROR(Y509/H509,"0")+IFERROR(Y510/H510,"0")+IFERROR(Y511/H511,"0")+IFERROR(Y512/H512,"0")+IFERROR(Y513/H513,"0")</f>
        <v>276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3.3009599999999999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1450</v>
      </c>
      <c r="Y515" s="43">
        <f>IFERROR(SUM(Y505:Y513),"0")</f>
        <v>1457.2800000000002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800</v>
      </c>
      <c r="Y517" s="55">
        <f>IFERROR(IF(X517="",0,CEILING((X517/$H517),1)*$H517),"")</f>
        <v>802.56000000000006</v>
      </c>
      <c r="Z517" s="41">
        <f>IFERROR(IF(Y517=0,"",ROUNDUP(Y517/H517,0)*0.01196),"")</f>
        <v>1.81792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853.030303030303</v>
      </c>
      <c r="BN517" s="78">
        <f>IFERROR(Y517*I517/H517,"0")</f>
        <v>855.76</v>
      </c>
      <c r="BO517" s="78">
        <f>IFERROR(1/J517*(X517/H517),"0")</f>
        <v>1.4568764568764567</v>
      </c>
      <c r="BP517" s="78">
        <f>IFERROR(1/J517*(Y517/H517),"0")</f>
        <v>1.4615384615384617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151.5151515151515</v>
      </c>
      <c r="Y520" s="43">
        <f>IFERROR(Y517/H517,"0")+IFERROR(Y518/H518,"0")+IFERROR(Y519/H519,"0")</f>
        <v>152</v>
      </c>
      <c r="Z520" s="43">
        <f>IFERROR(IF(Z517="",0,Z517),"0")+IFERROR(IF(Z518="",0,Z518),"0")+IFERROR(IF(Z519="",0,Z519),"0")</f>
        <v>1.81792</v>
      </c>
      <c r="AA520" s="67"/>
      <c r="AB520" s="67"/>
      <c r="AC520" s="67"/>
    </row>
    <row r="521" spans="1:68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800</v>
      </c>
      <c r="Y521" s="43">
        <f>IFERROR(SUM(Y517:Y519),"0")</f>
        <v>802.56000000000006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250</v>
      </c>
      <c r="Y524" s="55">
        <f t="shared" si="84"/>
        <v>253.44</v>
      </c>
      <c r="Z524" s="41">
        <f>IFERROR(IF(Y524=0,"",ROUNDUP(Y524/H524,0)*0.01196),"")</f>
        <v>0.57408000000000003</v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266.57196969696969</v>
      </c>
      <c r="BN524" s="78">
        <f t="shared" si="86"/>
        <v>270.23999999999995</v>
      </c>
      <c r="BO524" s="78">
        <f t="shared" si="87"/>
        <v>0.45527389277389274</v>
      </c>
      <c r="BP524" s="78">
        <f t="shared" si="88"/>
        <v>0.46153846153846156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47.348484848484844</v>
      </c>
      <c r="Y530" s="43">
        <f>IFERROR(Y523/H523,"0")+IFERROR(Y524/H524,"0")+IFERROR(Y525/H525,"0")+IFERROR(Y526/H526,"0")+IFERROR(Y527/H527,"0")+IFERROR(Y528/H528,"0")+IFERROR(Y529/H529,"0")</f>
        <v>48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0.57408000000000003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250</v>
      </c>
      <c r="Y531" s="43">
        <f>IFERROR(SUM(Y523:Y529),"0")</f>
        <v>253.44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250</v>
      </c>
      <c r="Y547" s="55">
        <f>IFERROR(IF(X547="",0,CEILING((X547/$H547),1)*$H547),"")</f>
        <v>252</v>
      </c>
      <c r="Z547" s="41">
        <f>IFERROR(IF(Y547=0,"",ROUNDUP(Y547/H547,0)*0.01898),"")</f>
        <v>0.53144000000000002</v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263.72222222222223</v>
      </c>
      <c r="BN547" s="78">
        <f>IFERROR(Y547*I547/H547,"0")</f>
        <v>265.83199999999999</v>
      </c>
      <c r="BO547" s="78">
        <f>IFERROR(1/J547*(X547/H547),"0")</f>
        <v>0.43402777777777779</v>
      </c>
      <c r="BP547" s="78">
        <f>IFERROR(1/J547*(Y547/H547),"0")</f>
        <v>0.4375</v>
      </c>
    </row>
    <row r="548" spans="1:68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27.777777777777779</v>
      </c>
      <c r="Y548" s="43">
        <f>IFERROR(Y547/H547,"0")</f>
        <v>28</v>
      </c>
      <c r="Z548" s="43">
        <f>IFERROR(IF(Z547="",0,Z547),"0")</f>
        <v>0.53144000000000002</v>
      </c>
      <c r="AA548" s="67"/>
      <c r="AB548" s="67"/>
      <c r="AC548" s="67"/>
    </row>
    <row r="549" spans="1:68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250</v>
      </c>
      <c r="Y549" s="43">
        <f>IFERROR(SUM(Y547:Y547),"0")</f>
        <v>252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8774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8835.18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9306.2973499340169</v>
      </c>
      <c r="Y561" s="43">
        <f>IFERROR(SUM(BN22:BN557),"0")</f>
        <v>9370.82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16</v>
      </c>
      <c r="Y562" s="44">
        <f>ROUNDUP(SUM(BP22:BP557),0)</f>
        <v>17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9706.2973499340169</v>
      </c>
      <c r="Y563" s="43">
        <f>GrossWeightTotalR+PalletQtyTotalR*25</f>
        <v>9795.82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1471.1757995091327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1481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19.205080000000002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60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151.20000000000002</v>
      </c>
      <c r="F570" s="52">
        <f>IFERROR(Y85*1,"0")+IFERROR(Y86*1,"0")+IFERROR(Y87*1,"0")+IFERROR(Y88*1,"0")+IFERROR(Y89*1,"0")+IFERROR(Y93*1,"0")+IFERROR(Y94*1,"0")+IFERROR(Y95*1,"0")+IFERROR(Y96*1,"0")+IFERROR(Y97*1,"0")+IFERROR(Y98*1,"0")</f>
        <v>415.8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1617.3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84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577.20000000000005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1209</v>
      </c>
      <c r="U570" s="52">
        <f>IFERROR(Y418*1,"0")+IFERROR(Y419*1,"0")</f>
        <v>0</v>
      </c>
      <c r="V570" s="52">
        <f>IFERROR(Y424*1,"0")+IFERROR(Y425*1,"0")+IFERROR(Y426*1,"0")</f>
        <v>249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1500</v>
      </c>
      <c r="X570" s="52">
        <f>IFERROR(Y461*1,"0")+IFERROR(Y462*1,"0")+IFERROR(Y466*1,"0")+IFERROR(Y470*1,"0")+IFERROR(Y471*1,"0")+IFERROR(Y472*1,"0")</f>
        <v>120</v>
      </c>
      <c r="Y570" s="52">
        <f>IFERROR(Y478*1,"0")+IFERROR(Y479*1,"0")+IFERROR(Y480*1,"0")+IFERROR(Y481*1,"0")+IFERROR(Y482*1,"0")+IFERROR(Y483*1,"0")+IFERROR(Y487*1,"0")+IFERROR(Y488*1,"0")</f>
        <v>43.2</v>
      </c>
      <c r="Z570" s="52">
        <f>IFERROR(Y493*1,"0")+IFERROR(Y497*1,"0")+IFERROR(Y498*1,"0")+IFERROR(Y499*1,"0")</f>
        <v>43.2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2513.2800000000002</v>
      </c>
      <c r="AB570" s="52">
        <f>IFERROR(Y535*1,"0")+IFERROR(Y539*1,"0")+IFERROR(Y543*1,"0")+IFERROR(Y547*1,"0")+IFERROR(Y551*1,"0")+IFERROR(Y552*1,"0")</f>
        <v>252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308,00"/>
        <filter val="1 450,00"/>
        <filter val="1 471,18"/>
        <filter val="1 500,00"/>
        <filter val="100,00"/>
        <filter val="105,00"/>
        <filter val="108,00"/>
        <filter val="120,00"/>
        <filter val="128,21"/>
        <filter val="13,89"/>
        <filter val="144,00"/>
        <filter val="15,00"/>
        <filter val="150,00"/>
        <filter val="151,52"/>
        <filter val="16"/>
        <filter val="16,67"/>
        <filter val="188,15"/>
        <filter val="192,00"/>
        <filter val="200,00"/>
        <filter val="22,86"/>
        <filter val="248,00"/>
        <filter val="25,64"/>
        <filter val="250,00"/>
        <filter val="27,78"/>
        <filter val="274,62"/>
        <filter val="300,00"/>
        <filter val="40,00"/>
        <filter val="400,00"/>
        <filter val="408,00"/>
        <filter val="47,35"/>
        <filter val="480,00"/>
        <filter val="50,00"/>
        <filter val="60,00"/>
        <filter val="63,00"/>
        <filter val="7,41"/>
        <filter val="72,00"/>
        <filter val="77,04"/>
        <filter val="8 774,00"/>
        <filter val="80,00"/>
        <filter val="800,00"/>
        <filter val="89,88"/>
        <filter val="9 306,30"/>
        <filter val="9 706,30"/>
        <filter val="9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2026-08-28T14:17:09Z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