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7C21E67-FABB-4BD4-854A-D552AC0D26C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Z259" i="2" s="1"/>
  <c r="Y258" i="2"/>
  <c r="Y259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BN253" i="2" s="1"/>
  <c r="P253" i="2"/>
  <c r="X249" i="2"/>
  <c r="X248" i="2"/>
  <c r="BO247" i="2"/>
  <c r="BM247" i="2"/>
  <c r="Z247" i="2"/>
  <c r="Z248" i="2" s="1"/>
  <c r="Y247" i="2"/>
  <c r="Y248" i="2" s="1"/>
  <c r="P247" i="2"/>
  <c r="X243" i="2"/>
  <c r="X242" i="2"/>
  <c r="BO241" i="2"/>
  <c r="BM241" i="2"/>
  <c r="Z241" i="2"/>
  <c r="Z242" i="2" s="1"/>
  <c r="Y241" i="2"/>
  <c r="BN241" i="2" s="1"/>
  <c r="P241" i="2"/>
  <c r="X239" i="2"/>
  <c r="X238" i="2"/>
  <c r="BO237" i="2"/>
  <c r="BM237" i="2"/>
  <c r="Z237" i="2"/>
  <c r="Z238" i="2" s="1"/>
  <c r="Y237" i="2"/>
  <c r="Y238" i="2" s="1"/>
  <c r="P237" i="2"/>
  <c r="X233" i="2"/>
  <c r="X232" i="2"/>
  <c r="BO231" i="2"/>
  <c r="BM231" i="2"/>
  <c r="Z231" i="2"/>
  <c r="Z232" i="2" s="1"/>
  <c r="Y231" i="2"/>
  <c r="BN231" i="2" s="1"/>
  <c r="P231" i="2"/>
  <c r="X227" i="2"/>
  <c r="X226" i="2"/>
  <c r="BO225" i="2"/>
  <c r="BM225" i="2"/>
  <c r="Z225" i="2"/>
  <c r="Z226" i="2" s="1"/>
  <c r="Y225" i="2"/>
  <c r="BP225" i="2" s="1"/>
  <c r="P225" i="2"/>
  <c r="Y222" i="2"/>
  <c r="X222" i="2"/>
  <c r="Y221" i="2"/>
  <c r="X221" i="2"/>
  <c r="BO220" i="2"/>
  <c r="BM220" i="2"/>
  <c r="Z220" i="2"/>
  <c r="Z221" i="2" s="1"/>
  <c r="Y220" i="2"/>
  <c r="BN220" i="2" s="1"/>
  <c r="P220" i="2"/>
  <c r="X217" i="2"/>
  <c r="X216" i="2"/>
  <c r="BO215" i="2"/>
  <c r="BM215" i="2"/>
  <c r="Z215" i="2"/>
  <c r="Y215" i="2"/>
  <c r="BN215" i="2" s="1"/>
  <c r="P215" i="2"/>
  <c r="BO214" i="2"/>
  <c r="BM214" i="2"/>
  <c r="Z214" i="2"/>
  <c r="Y214" i="2"/>
  <c r="P214" i="2"/>
  <c r="X211" i="2"/>
  <c r="X210" i="2"/>
  <c r="BO209" i="2"/>
  <c r="BM209" i="2"/>
  <c r="Z209" i="2"/>
  <c r="Y209" i="2"/>
  <c r="BP209" i="2" s="1"/>
  <c r="P209" i="2"/>
  <c r="BO208" i="2"/>
  <c r="BM208" i="2"/>
  <c r="Z208" i="2"/>
  <c r="Y208" i="2"/>
  <c r="BP208" i="2" s="1"/>
  <c r="P208" i="2"/>
  <c r="BO207" i="2"/>
  <c r="BM207" i="2"/>
  <c r="Z207" i="2"/>
  <c r="Y207" i="2"/>
  <c r="Y211" i="2" s="1"/>
  <c r="P207" i="2"/>
  <c r="X205" i="2"/>
  <c r="X204" i="2"/>
  <c r="BO203" i="2"/>
  <c r="BM203" i="2"/>
  <c r="Z203" i="2"/>
  <c r="Z204" i="2" s="1"/>
  <c r="Y203" i="2"/>
  <c r="Y205" i="2" s="1"/>
  <c r="P203" i="2"/>
  <c r="X199" i="2"/>
  <c r="X198" i="2"/>
  <c r="BO197" i="2"/>
  <c r="BM197" i="2"/>
  <c r="Z197" i="2"/>
  <c r="Y197" i="2"/>
  <c r="BN197" i="2" s="1"/>
  <c r="P197" i="2"/>
  <c r="BO196" i="2"/>
  <c r="BM196" i="2"/>
  <c r="Z196" i="2"/>
  <c r="Y196" i="2"/>
  <c r="BP196" i="2" s="1"/>
  <c r="P196" i="2"/>
  <c r="BO195" i="2"/>
  <c r="BM195" i="2"/>
  <c r="Z195" i="2"/>
  <c r="Y195" i="2"/>
  <c r="BN195" i="2" s="1"/>
  <c r="P195" i="2"/>
  <c r="BO194" i="2"/>
  <c r="BM194" i="2"/>
  <c r="Z194" i="2"/>
  <c r="Y194" i="2"/>
  <c r="BN194" i="2" s="1"/>
  <c r="P194" i="2"/>
  <c r="X190" i="2"/>
  <c r="X189" i="2"/>
  <c r="BO188" i="2"/>
  <c r="BM188" i="2"/>
  <c r="Z188" i="2"/>
  <c r="Z189" i="2" s="1"/>
  <c r="Y188" i="2"/>
  <c r="Y189" i="2" s="1"/>
  <c r="P188" i="2"/>
  <c r="X185" i="2"/>
  <c r="X184" i="2"/>
  <c r="BO183" i="2"/>
  <c r="BM183" i="2"/>
  <c r="Z183" i="2"/>
  <c r="Y183" i="2"/>
  <c r="P183" i="2"/>
  <c r="BO182" i="2"/>
  <c r="BM182" i="2"/>
  <c r="Z182" i="2"/>
  <c r="Y182" i="2"/>
  <c r="BN182" i="2" s="1"/>
  <c r="P182" i="2"/>
  <c r="X178" i="2"/>
  <c r="X177" i="2"/>
  <c r="BO176" i="2"/>
  <c r="BM176" i="2"/>
  <c r="Z176" i="2"/>
  <c r="Z177" i="2" s="1"/>
  <c r="Y176" i="2"/>
  <c r="BN176" i="2" s="1"/>
  <c r="P176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BP166" i="2" s="1"/>
  <c r="P166" i="2"/>
  <c r="X163" i="2"/>
  <c r="X162" i="2"/>
  <c r="BO161" i="2"/>
  <c r="BM161" i="2"/>
  <c r="Z161" i="2"/>
  <c r="Y161" i="2"/>
  <c r="BP161" i="2" s="1"/>
  <c r="P161" i="2"/>
  <c r="BO160" i="2"/>
  <c r="BM160" i="2"/>
  <c r="Z160" i="2"/>
  <c r="Z162" i="2" s="1"/>
  <c r="Y160" i="2"/>
  <c r="BN160" i="2" s="1"/>
  <c r="P160" i="2"/>
  <c r="X157" i="2"/>
  <c r="X156" i="2"/>
  <c r="BO155" i="2"/>
  <c r="BM155" i="2"/>
  <c r="Z155" i="2"/>
  <c r="Y155" i="2"/>
  <c r="P155" i="2"/>
  <c r="BO154" i="2"/>
  <c r="BM154" i="2"/>
  <c r="Z154" i="2"/>
  <c r="Y154" i="2"/>
  <c r="BN154" i="2" s="1"/>
  <c r="P154" i="2"/>
  <c r="X151" i="2"/>
  <c r="X150" i="2"/>
  <c r="BO149" i="2"/>
  <c r="BM149" i="2"/>
  <c r="Z149" i="2"/>
  <c r="Y149" i="2"/>
  <c r="P149" i="2"/>
  <c r="BO148" i="2"/>
  <c r="BM148" i="2"/>
  <c r="Z148" i="2"/>
  <c r="Y148" i="2"/>
  <c r="BN148" i="2" s="1"/>
  <c r="P148" i="2"/>
  <c r="X145" i="2"/>
  <c r="X144" i="2"/>
  <c r="BO143" i="2"/>
  <c r="BM143" i="2"/>
  <c r="Z143" i="2"/>
  <c r="Y143" i="2"/>
  <c r="BP143" i="2" s="1"/>
  <c r="P143" i="2"/>
  <c r="BO142" i="2"/>
  <c r="BM142" i="2"/>
  <c r="Z142" i="2"/>
  <c r="Y142" i="2"/>
  <c r="BP142" i="2" s="1"/>
  <c r="P142" i="2"/>
  <c r="BO141" i="2"/>
  <c r="BM141" i="2"/>
  <c r="Z141" i="2"/>
  <c r="Y141" i="2"/>
  <c r="BN141" i="2" s="1"/>
  <c r="P141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BN136" i="2" s="1"/>
  <c r="P136" i="2"/>
  <c r="BO135" i="2"/>
  <c r="BM135" i="2"/>
  <c r="Z135" i="2"/>
  <c r="Y135" i="2"/>
  <c r="BN135" i="2" s="1"/>
  <c r="P135" i="2"/>
  <c r="BO134" i="2"/>
  <c r="BM134" i="2"/>
  <c r="Z134" i="2"/>
  <c r="Y134" i="2"/>
  <c r="BP134" i="2" s="1"/>
  <c r="P134" i="2"/>
  <c r="X131" i="2"/>
  <c r="X130" i="2"/>
  <c r="BO129" i="2"/>
  <c r="BM129" i="2"/>
  <c r="Z129" i="2"/>
  <c r="Z130" i="2" s="1"/>
  <c r="Y129" i="2"/>
  <c r="Y130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N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N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BP115" i="2" s="1"/>
  <c r="P115" i="2"/>
  <c r="X112" i="2"/>
  <c r="X111" i="2"/>
  <c r="BO110" i="2"/>
  <c r="BM110" i="2"/>
  <c r="Z110" i="2"/>
  <c r="Y110" i="2"/>
  <c r="BN110" i="2" s="1"/>
  <c r="P110" i="2"/>
  <c r="BO109" i="2"/>
  <c r="BM109" i="2"/>
  <c r="Z109" i="2"/>
  <c r="Y109" i="2"/>
  <c r="BN109" i="2" s="1"/>
  <c r="P109" i="2"/>
  <c r="X106" i="2"/>
  <c r="X105" i="2"/>
  <c r="BO104" i="2"/>
  <c r="BN104" i="2"/>
  <c r="BM104" i="2"/>
  <c r="Z104" i="2"/>
  <c r="Y104" i="2"/>
  <c r="BP104" i="2" s="1"/>
  <c r="P104" i="2"/>
  <c r="BO103" i="2"/>
  <c r="BM103" i="2"/>
  <c r="Z103" i="2"/>
  <c r="Y103" i="2"/>
  <c r="BP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Y89" i="2" s="1"/>
  <c r="P88" i="2"/>
  <c r="X85" i="2"/>
  <c r="X84" i="2"/>
  <c r="BO83" i="2"/>
  <c r="BM83" i="2"/>
  <c r="Z83" i="2"/>
  <c r="Y83" i="2"/>
  <c r="BP83" i="2" s="1"/>
  <c r="P83" i="2"/>
  <c r="BO82" i="2"/>
  <c r="BM82" i="2"/>
  <c r="Z82" i="2"/>
  <c r="Y82" i="2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BO75" i="2"/>
  <c r="BM75" i="2"/>
  <c r="Z75" i="2"/>
  <c r="Y75" i="2"/>
  <c r="BP75" i="2" s="1"/>
  <c r="P75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Z67" i="2" s="1"/>
  <c r="Y66" i="2"/>
  <c r="Y68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N42" i="2" s="1"/>
  <c r="P42" i="2"/>
  <c r="BO41" i="2"/>
  <c r="BM41" i="2"/>
  <c r="Z41" i="2"/>
  <c r="Y41" i="2"/>
  <c r="P41" i="2"/>
  <c r="X37" i="2"/>
  <c r="X36" i="2"/>
  <c r="BO35" i="2"/>
  <c r="BM35" i="2"/>
  <c r="Z35" i="2"/>
  <c r="Y35" i="2"/>
  <c r="BN35" i="2" s="1"/>
  <c r="P35" i="2"/>
  <c r="BO34" i="2"/>
  <c r="BM34" i="2"/>
  <c r="Z34" i="2"/>
  <c r="Z36" i="2" s="1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P23" i="2"/>
  <c r="BO22" i="2"/>
  <c r="BM22" i="2"/>
  <c r="Z22" i="2"/>
  <c r="Y22" i="2"/>
  <c r="BN22" i="2" s="1"/>
  <c r="P22" i="2"/>
  <c r="H10" i="2"/>
  <c r="A9" i="2"/>
  <c r="F9" i="2" s="1"/>
  <c r="D7" i="2"/>
  <c r="Q6" i="2"/>
  <c r="P2" i="2"/>
  <c r="Z72" i="2" l="1"/>
  <c r="Z255" i="2"/>
  <c r="Z30" i="2"/>
  <c r="BN25" i="2"/>
  <c r="Z138" i="2"/>
  <c r="Y44" i="2"/>
  <c r="Y50" i="2"/>
  <c r="Z216" i="2"/>
  <c r="BN274" i="2"/>
  <c r="BN29" i="2"/>
  <c r="Z43" i="2"/>
  <c r="Z50" i="2"/>
  <c r="BN71" i="2"/>
  <c r="Z84" i="2"/>
  <c r="BN94" i="2"/>
  <c r="Z105" i="2"/>
  <c r="Z111" i="2"/>
  <c r="BN117" i="2"/>
  <c r="Z144" i="2"/>
  <c r="BP182" i="2"/>
  <c r="Y242" i="2"/>
  <c r="Y243" i="2"/>
  <c r="Z265" i="2"/>
  <c r="BP77" i="2"/>
  <c r="BP154" i="2"/>
  <c r="Y260" i="2"/>
  <c r="BN161" i="2"/>
  <c r="Y156" i="2"/>
  <c r="Z150" i="2"/>
  <c r="X282" i="2"/>
  <c r="Z78" i="2"/>
  <c r="Y51" i="2"/>
  <c r="Y72" i="2"/>
  <c r="Y162" i="2"/>
  <c r="Z278" i="2"/>
  <c r="BP22" i="2"/>
  <c r="X284" i="2"/>
  <c r="BP35" i="2"/>
  <c r="BP56" i="2"/>
  <c r="BP100" i="2"/>
  <c r="BP110" i="2"/>
  <c r="Z122" i="2"/>
  <c r="BP129" i="2"/>
  <c r="BP197" i="2"/>
  <c r="BP253" i="2"/>
  <c r="X281" i="2"/>
  <c r="Y37" i="2"/>
  <c r="Y59" i="2"/>
  <c r="Y78" i="2"/>
  <c r="Z95" i="2"/>
  <c r="Y96" i="2"/>
  <c r="Y112" i="2"/>
  <c r="BP141" i="2"/>
  <c r="Z156" i="2"/>
  <c r="Y173" i="2"/>
  <c r="Y184" i="2"/>
  <c r="Z198" i="2"/>
  <c r="Y233" i="2"/>
  <c r="Y265" i="2"/>
  <c r="Y95" i="2"/>
  <c r="BP135" i="2"/>
  <c r="X280" i="2"/>
  <c r="Y79" i="2"/>
  <c r="BP121" i="2"/>
  <c r="Y131" i="2"/>
  <c r="BP148" i="2"/>
  <c r="BP171" i="2"/>
  <c r="Z210" i="2"/>
  <c r="BP207" i="2"/>
  <c r="BP231" i="2"/>
  <c r="Y266" i="2"/>
  <c r="BP270" i="2"/>
  <c r="Y31" i="2"/>
  <c r="Y36" i="2"/>
  <c r="Z58" i="2"/>
  <c r="Y73" i="2"/>
  <c r="Y84" i="2"/>
  <c r="Y85" i="2"/>
  <c r="Y111" i="2"/>
  <c r="BN129" i="2"/>
  <c r="Y150" i="2"/>
  <c r="Y163" i="2"/>
  <c r="BN171" i="2"/>
  <c r="Z184" i="2"/>
  <c r="Y190" i="2"/>
  <c r="BN207" i="2"/>
  <c r="Y216" i="2"/>
  <c r="BP220" i="2"/>
  <c r="Y232" i="2"/>
  <c r="BP241" i="2"/>
  <c r="Y256" i="2"/>
  <c r="BN264" i="2"/>
  <c r="Y279" i="2"/>
  <c r="BP277" i="2"/>
  <c r="BN66" i="2"/>
  <c r="BN155" i="2"/>
  <c r="Y278" i="2"/>
  <c r="BN47" i="2"/>
  <c r="Y105" i="2"/>
  <c r="Y30" i="2"/>
  <c r="Y58" i="2"/>
  <c r="BP194" i="2"/>
  <c r="BN115" i="2"/>
  <c r="BN268" i="2"/>
  <c r="BP23" i="2"/>
  <c r="BN142" i="2"/>
  <c r="BP214" i="2"/>
  <c r="BN254" i="2"/>
  <c r="BP183" i="2"/>
  <c r="BN23" i="2"/>
  <c r="BP54" i="2"/>
  <c r="BN41" i="2"/>
  <c r="BP48" i="2"/>
  <c r="BN143" i="2"/>
  <c r="BP215" i="2"/>
  <c r="BP247" i="2"/>
  <c r="BN263" i="2"/>
  <c r="BN34" i="2"/>
  <c r="Y90" i="2"/>
  <c r="BN203" i="2"/>
  <c r="BN62" i="2"/>
  <c r="BN276" i="2"/>
  <c r="J9" i="2"/>
  <c r="BP62" i="2"/>
  <c r="BN76" i="2"/>
  <c r="BP116" i="2"/>
  <c r="Y144" i="2"/>
  <c r="BP160" i="2"/>
  <c r="Y168" i="2"/>
  <c r="Y178" i="2"/>
  <c r="BP269" i="2"/>
  <c r="BN57" i="2"/>
  <c r="BP27" i="2"/>
  <c r="BN99" i="2"/>
  <c r="BP119" i="2"/>
  <c r="BN134" i="2"/>
  <c r="Y167" i="2"/>
  <c r="Y177" i="2"/>
  <c r="BP195" i="2"/>
  <c r="BN24" i="2"/>
  <c r="BP109" i="2"/>
  <c r="Y151" i="2"/>
  <c r="BP125" i="2"/>
  <c r="BN209" i="2"/>
  <c r="BP70" i="2"/>
  <c r="BN188" i="2"/>
  <c r="A10" i="2"/>
  <c r="BP42" i="2"/>
  <c r="BN49" i="2"/>
  <c r="BN103" i="2"/>
  <c r="Y126" i="2"/>
  <c r="Y139" i="2"/>
  <c r="Y204" i="2"/>
  <c r="Y217" i="2"/>
  <c r="Y227" i="2"/>
  <c r="Y239" i="2"/>
  <c r="Y249" i="2"/>
  <c r="BN258" i="2"/>
  <c r="BP136" i="2"/>
  <c r="Y198" i="2"/>
  <c r="Y67" i="2"/>
  <c r="BN88" i="2"/>
  <c r="BP118" i="2"/>
  <c r="BP254" i="2"/>
  <c r="BP88" i="2"/>
  <c r="Y199" i="2"/>
  <c r="BN208" i="2"/>
  <c r="BN275" i="2"/>
  <c r="BN75" i="2"/>
  <c r="Y157" i="2"/>
  <c r="BN166" i="2"/>
  <c r="Y255" i="2"/>
  <c r="BP268" i="2"/>
  <c r="BN225" i="2"/>
  <c r="BN247" i="2"/>
  <c r="Y185" i="2"/>
  <c r="BP237" i="2"/>
  <c r="BN125" i="2"/>
  <c r="BP272" i="2"/>
  <c r="Y226" i="2"/>
  <c r="BP203" i="2"/>
  <c r="F10" i="2"/>
  <c r="BN28" i="2"/>
  <c r="Y63" i="2"/>
  <c r="BN83" i="2"/>
  <c r="BN93" i="2"/>
  <c r="BN120" i="2"/>
  <c r="BP188" i="2"/>
  <c r="BN196" i="2"/>
  <c r="BN273" i="2"/>
  <c r="BN26" i="2"/>
  <c r="BP66" i="2"/>
  <c r="BP47" i="2"/>
  <c r="BP101" i="2"/>
  <c r="Y106" i="2"/>
  <c r="BP149" i="2"/>
  <c r="Y43" i="2"/>
  <c r="Y145" i="2"/>
  <c r="Y210" i="2"/>
  <c r="BP258" i="2"/>
  <c r="BN214" i="2"/>
  <c r="BP155" i="2"/>
  <c r="BN183" i="2"/>
  <c r="BN271" i="2"/>
  <c r="BN54" i="2"/>
  <c r="Y122" i="2"/>
  <c r="BN262" i="2"/>
  <c r="BN149" i="2"/>
  <c r="Y123" i="2"/>
  <c r="BP41" i="2"/>
  <c r="BN102" i="2"/>
  <c r="BN137" i="2"/>
  <c r="BN237" i="2"/>
  <c r="BN82" i="2"/>
  <c r="BP176" i="2"/>
  <c r="BN55" i="2"/>
  <c r="H9" i="2"/>
  <c r="BP82" i="2"/>
  <c r="Y138" i="2"/>
  <c r="X283" i="2" l="1"/>
  <c r="Z285" i="2"/>
  <c r="Y282" i="2"/>
  <c r="Y280" i="2"/>
  <c r="Y281" i="2"/>
  <c r="Y284" i="2"/>
  <c r="Y283" i="2" l="1"/>
  <c r="A293" i="2" l="1"/>
  <c r="C293" i="2"/>
  <c r="B293" i="2"/>
</calcChain>
</file>

<file path=xl/sharedStrings.xml><?xml version="1.0" encoding="utf-8"?>
<sst xmlns="http://schemas.openxmlformats.org/spreadsheetml/2006/main" count="1767" uniqueCount="419">
  <si>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</si>
  <si>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</si>
  <si>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</si>
  <si>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</si>
  <si>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</si>
  <si>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</si>
  <si>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</si>
  <si>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</si>
  <si>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</si>
  <si>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</si>
  <si>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</si>
  <si>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</si>
  <si>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</si>
  <si>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</si>
  <si>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</si>
  <si>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</si>
  <si>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</si>
  <si>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</si>
  <si>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</si>
  <si>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</si>
  <si>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</si>
  <si>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</si>
  <si>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</si>
  <si>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</si>
  <si>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</si>
  <si>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</si>
  <si>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</si>
  <si>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</si>
  <si>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</si>
  <si>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</si>
  <si>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</si>
  <si>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</si>
  <si>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</si>
  <si>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</si>
  <si>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</si>
  <si>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</si>
  <si>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</si>
  <si>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</si>
  <si>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</si>
  <si>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</si>
  <si>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</si>
  <si>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</si>
  <si>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</si>
  <si>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</si>
  <si>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</si>
  <si>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</si>
  <si>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</si>
  <si>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</si>
  <si>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</si>
  <si>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</si>
  <si>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</si>
  <si>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</si>
  <si>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</si>
  <si>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</si>
  <si>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</si>
  <si>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</si>
  <si>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</si>
  <si>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</si>
  <si>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</si>
  <si>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</si>
  <si>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</si>
  <si>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</si>
  <si>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</si>
  <si>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</si>
  <si>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</si>
  <si>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</si>
  <si>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</si>
  <si>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</si>
  <si>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</si>
  <si>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</si>
  <si>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</si>
  <si>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22.07.2026</t>
  </si>
  <si>
    <t>18.07.2026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</si>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</sst>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7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3" t="s">
        <v>26</v>
      </c>
      <c r="E1" s="463"/>
      <c r="F1" s="463"/>
      <c r="G1" s="14" t="s">
        <v>70</v>
      </c>
      <c r="H1" s="463" t="s">
        <v>47</v>
      </c>
      <c r="I1" s="463"/>
      <c r="J1" s="463"/>
      <c r="K1" s="463"/>
      <c r="L1" s="463"/>
      <c r="M1" s="463"/>
      <c r="N1" s="463"/>
      <c r="O1" s="463"/>
      <c r="P1" s="463"/>
      <c r="Q1" s="463"/>
      <c r="R1" s="464" t="s">
        <v>71</v>
      </c>
      <c r="S1" s="465"/>
      <c r="T1" s="46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6"/>
      <c r="R2" s="466"/>
      <c r="S2" s="466"/>
      <c r="T2" s="466"/>
      <c r="U2" s="466"/>
      <c r="V2" s="466"/>
      <c r="W2" s="46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6"/>
      <c r="Q3" s="466"/>
      <c r="R3" s="466"/>
      <c r="S3" s="466"/>
      <c r="T3" s="466"/>
      <c r="U3" s="466"/>
      <c r="V3" s="466"/>
      <c r="W3" s="46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4" t="s">
        <v>8</v>
      </c>
      <c r="B5" s="444"/>
      <c r="C5" s="444"/>
      <c r="D5" s="467"/>
      <c r="E5" s="467"/>
      <c r="F5" s="468" t="s">
        <v>14</v>
      </c>
      <c r="G5" s="468"/>
      <c r="H5" s="467" t="s">
        <v>418</v>
      </c>
      <c r="I5" s="467"/>
      <c r="J5" s="467"/>
      <c r="K5" s="467"/>
      <c r="L5" s="467"/>
      <c r="M5" s="467"/>
      <c r="N5" s="75"/>
      <c r="P5" s="27" t="s">
        <v>4</v>
      </c>
      <c r="Q5" s="469">
        <v>46250</v>
      </c>
      <c r="R5" s="470"/>
      <c r="T5" s="471" t="s">
        <v>3</v>
      </c>
      <c r="U5" s="472"/>
      <c r="V5" s="473" t="s">
        <v>386</v>
      </c>
      <c r="W5" s="474"/>
      <c r="AB5" s="59"/>
      <c r="AC5" s="59"/>
      <c r="AD5" s="59"/>
      <c r="AE5" s="59"/>
    </row>
    <row r="6" spans="1:32" s="17" customFormat="1" ht="24" customHeight="1" x14ac:dyDescent="0.2">
      <c r="A6" s="444" t="s">
        <v>1</v>
      </c>
      <c r="B6" s="444"/>
      <c r="C6" s="444"/>
      <c r="D6" s="445" t="s">
        <v>399</v>
      </c>
      <c r="E6" s="445"/>
      <c r="F6" s="445"/>
      <c r="G6" s="445"/>
      <c r="H6" s="445"/>
      <c r="I6" s="445"/>
      <c r="J6" s="445"/>
      <c r="K6" s="445"/>
      <c r="L6" s="445"/>
      <c r="M6" s="445"/>
      <c r="N6" s="76"/>
      <c r="P6" s="27" t="s">
        <v>27</v>
      </c>
      <c r="Q6" s="446" t="str">
        <f>IF(Q5=0," ",CHOOSE(WEEKDAY(Q5,2),"Понедельник","Вторник","Среда","Четверг","Пятница","Суббота","Воскресенье"))</f>
        <v>Воскресенье</v>
      </c>
      <c r="R6" s="446"/>
      <c r="T6" s="447" t="s">
        <v>5</v>
      </c>
      <c r="U6" s="448"/>
      <c r="V6" s="449" t="s">
        <v>73</v>
      </c>
      <c r="W6" s="45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5" t="str">
        <f>IFERROR(VLOOKUP(DeliveryAddress,Table,3,0),1)</f>
        <v>5</v>
      </c>
      <c r="E7" s="456"/>
      <c r="F7" s="456"/>
      <c r="G7" s="456"/>
      <c r="H7" s="456"/>
      <c r="I7" s="456"/>
      <c r="J7" s="456"/>
      <c r="K7" s="456"/>
      <c r="L7" s="456"/>
      <c r="M7" s="457"/>
      <c r="N7" s="77"/>
      <c r="P7" s="29"/>
      <c r="Q7" s="48"/>
      <c r="R7" s="48"/>
      <c r="T7" s="447"/>
      <c r="U7" s="448"/>
      <c r="V7" s="451"/>
      <c r="W7" s="452"/>
      <c r="AB7" s="59"/>
      <c r="AC7" s="59"/>
      <c r="AD7" s="59"/>
      <c r="AE7" s="59"/>
    </row>
    <row r="8" spans="1:32" s="17" customFormat="1" ht="25.5" customHeight="1" x14ac:dyDescent="0.2">
      <c r="A8" s="458" t="s">
        <v>58</v>
      </c>
      <c r="B8" s="458"/>
      <c r="C8" s="458"/>
      <c r="D8" s="459"/>
      <c r="E8" s="459"/>
      <c r="F8" s="459"/>
      <c r="G8" s="459"/>
      <c r="H8" s="459"/>
      <c r="I8" s="459"/>
      <c r="J8" s="459"/>
      <c r="K8" s="459"/>
      <c r="L8" s="459"/>
      <c r="M8" s="459"/>
      <c r="N8" s="78"/>
      <c r="P8" s="27" t="s">
        <v>11</v>
      </c>
      <c r="Q8" s="442">
        <v>0.41666666666666669</v>
      </c>
      <c r="R8" s="460"/>
      <c r="T8" s="447"/>
      <c r="U8" s="448"/>
      <c r="V8" s="451"/>
      <c r="W8" s="452"/>
      <c r="AB8" s="59"/>
      <c r="AC8" s="59"/>
      <c r="AD8" s="59"/>
      <c r="AE8" s="59"/>
    </row>
    <row r="9" spans="1:32" s="17" customFormat="1" ht="39.950000000000003" customHeight="1" x14ac:dyDescent="0.2">
      <c r="A9" s="43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4"/>
      <c r="C9" s="434"/>
      <c r="D9" s="435" t="s">
        <v>46</v>
      </c>
      <c r="E9" s="436"/>
      <c r="F9" s="43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4"/>
      <c r="H9" s="461" t="str">
        <f>IF(AND($A$9="Тип доверенности/получателя при получении в адресе перегруза:",$D$9="Разовая доверенность"),"Введите ФИО","")</f>
        <v/>
      </c>
      <c r="I9" s="461"/>
      <c r="J9" s="4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1"/>
      <c r="L9" s="461"/>
      <c r="M9" s="461"/>
      <c r="N9" s="73"/>
      <c r="P9" s="31" t="s">
        <v>15</v>
      </c>
      <c r="Q9" s="462"/>
      <c r="R9" s="462"/>
      <c r="T9" s="447"/>
      <c r="U9" s="448"/>
      <c r="V9" s="453"/>
      <c r="W9" s="45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4"/>
      <c r="C10" s="434"/>
      <c r="D10" s="435"/>
      <c r="E10" s="436"/>
      <c r="F10" s="43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4"/>
      <c r="H10" s="437" t="str">
        <f>IFERROR(VLOOKUP($D$10,Proxy,2,FALSE),"")</f>
        <v/>
      </c>
      <c r="I10" s="437"/>
      <c r="J10" s="437"/>
      <c r="K10" s="437"/>
      <c r="L10" s="437"/>
      <c r="M10" s="437"/>
      <c r="N10" s="74"/>
      <c r="P10" s="31" t="s">
        <v>32</v>
      </c>
      <c r="Q10" s="438"/>
      <c r="R10" s="438"/>
      <c r="U10" s="29" t="s">
        <v>12</v>
      </c>
      <c r="V10" s="439" t="s">
        <v>74</v>
      </c>
      <c r="W10" s="44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1"/>
      <c r="R11" s="441"/>
      <c r="U11" s="29" t="s">
        <v>28</v>
      </c>
      <c r="V11" s="420" t="s">
        <v>55</v>
      </c>
      <c r="W11" s="42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9" t="s">
        <v>75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79"/>
      <c r="P12" s="27" t="s">
        <v>30</v>
      </c>
      <c r="Q12" s="442"/>
      <c r="R12" s="442"/>
      <c r="S12" s="28"/>
      <c r="T12"/>
      <c r="U12" s="29" t="s">
        <v>46</v>
      </c>
      <c r="V12" s="443"/>
      <c r="W12" s="443"/>
      <c r="X12"/>
      <c r="AB12" s="59"/>
      <c r="AC12" s="59"/>
      <c r="AD12" s="59"/>
      <c r="AE12" s="59"/>
    </row>
    <row r="13" spans="1:32" s="17" customFormat="1" ht="23.25" customHeight="1" x14ac:dyDescent="0.2">
      <c r="A13" s="419" t="s">
        <v>76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79"/>
      <c r="O13" s="31"/>
      <c r="P13" s="31" t="s">
        <v>31</v>
      </c>
      <c r="Q13" s="420"/>
      <c r="R13" s="42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9" t="s">
        <v>77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1" t="s">
        <v>78</v>
      </c>
      <c r="B15" s="421"/>
      <c r="C15" s="421"/>
      <c r="D15" s="421"/>
      <c r="E15" s="421"/>
      <c r="F15" s="421"/>
      <c r="G15" s="421"/>
      <c r="H15" s="421"/>
      <c r="I15" s="421"/>
      <c r="J15" s="421"/>
      <c r="K15" s="421"/>
      <c r="L15" s="421"/>
      <c r="M15" s="421"/>
      <c r="N15" s="80"/>
      <c r="O15"/>
      <c r="P15" s="422" t="s">
        <v>61</v>
      </c>
      <c r="Q15" s="422"/>
      <c r="R15" s="422"/>
      <c r="S15" s="422"/>
      <c r="T15" s="42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3"/>
      <c r="Q16" s="423"/>
      <c r="R16" s="423"/>
      <c r="S16" s="423"/>
      <c r="T16" s="4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5" t="s">
        <v>59</v>
      </c>
      <c r="B17" s="405" t="s">
        <v>49</v>
      </c>
      <c r="C17" s="426" t="s">
        <v>48</v>
      </c>
      <c r="D17" s="428" t="s">
        <v>50</v>
      </c>
      <c r="E17" s="429"/>
      <c r="F17" s="405" t="s">
        <v>21</v>
      </c>
      <c r="G17" s="405" t="s">
        <v>24</v>
      </c>
      <c r="H17" s="405" t="s">
        <v>22</v>
      </c>
      <c r="I17" s="405" t="s">
        <v>23</v>
      </c>
      <c r="J17" s="405" t="s">
        <v>16</v>
      </c>
      <c r="K17" s="405" t="s">
        <v>69</v>
      </c>
      <c r="L17" s="405" t="s">
        <v>67</v>
      </c>
      <c r="M17" s="405" t="s">
        <v>2</v>
      </c>
      <c r="N17" s="405" t="s">
        <v>66</v>
      </c>
      <c r="O17" s="405" t="s">
        <v>25</v>
      </c>
      <c r="P17" s="428" t="s">
        <v>17</v>
      </c>
      <c r="Q17" s="432"/>
      <c r="R17" s="432"/>
      <c r="S17" s="432"/>
      <c r="T17" s="429"/>
      <c r="U17" s="424" t="s">
        <v>56</v>
      </c>
      <c r="V17" s="425"/>
      <c r="W17" s="405" t="s">
        <v>6</v>
      </c>
      <c r="X17" s="405" t="s">
        <v>41</v>
      </c>
      <c r="Y17" s="407" t="s">
        <v>54</v>
      </c>
      <c r="Z17" s="409" t="s">
        <v>18</v>
      </c>
      <c r="AA17" s="411" t="s">
        <v>60</v>
      </c>
      <c r="AB17" s="411" t="s">
        <v>19</v>
      </c>
      <c r="AC17" s="411" t="s">
        <v>68</v>
      </c>
      <c r="AD17" s="413" t="s">
        <v>57</v>
      </c>
      <c r="AE17" s="414"/>
      <c r="AF17" s="415"/>
      <c r="AG17" s="85"/>
      <c r="BD17" s="84" t="s">
        <v>64</v>
      </c>
    </row>
    <row r="18" spans="1:68" ht="14.25" customHeight="1" x14ac:dyDescent="0.2">
      <c r="A18" s="406"/>
      <c r="B18" s="406"/>
      <c r="C18" s="427"/>
      <c r="D18" s="430"/>
      <c r="E18" s="431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30"/>
      <c r="Q18" s="433"/>
      <c r="R18" s="433"/>
      <c r="S18" s="433"/>
      <c r="T18" s="431"/>
      <c r="U18" s="86" t="s">
        <v>44</v>
      </c>
      <c r="V18" s="86" t="s">
        <v>43</v>
      </c>
      <c r="W18" s="406"/>
      <c r="X18" s="406"/>
      <c r="Y18" s="408"/>
      <c r="Z18" s="410"/>
      <c r="AA18" s="412"/>
      <c r="AB18" s="412"/>
      <c r="AC18" s="412"/>
      <c r="AD18" s="416"/>
      <c r="AE18" s="417"/>
      <c r="AF18" s="418"/>
      <c r="AG18" s="85"/>
      <c r="BD18" s="84"/>
    </row>
    <row r="19" spans="1:68" ht="27.75" hidden="1" customHeight="1" x14ac:dyDescent="0.2">
      <c r="A19" s="320" t="s">
        <v>79</v>
      </c>
      <c r="B19" s="320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54"/>
      <c r="AB19" s="54"/>
      <c r="AC19" s="54"/>
    </row>
    <row r="20" spans="1:68" ht="16.5" hidden="1" customHeight="1" x14ac:dyDescent="0.25">
      <c r="A20" s="321" t="s">
        <v>79</v>
      </c>
      <c r="B20" s="321"/>
      <c r="C20" s="321"/>
      <c r="D20" s="321"/>
      <c r="E20" s="321"/>
      <c r="F20" s="321"/>
      <c r="G20" s="321"/>
      <c r="H20" s="321"/>
      <c r="I20" s="321"/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65"/>
      <c r="AB20" s="65"/>
      <c r="AC20" s="82"/>
    </row>
    <row r="21" spans="1:68" ht="14.25" hidden="1" customHeight="1" x14ac:dyDescent="0.25">
      <c r="A21" s="309" t="s">
        <v>80</v>
      </c>
      <c r="B21" s="309"/>
      <c r="C21" s="309"/>
      <c r="D21" s="309"/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291">
        <v>4620207491508</v>
      </c>
      <c r="E22" s="291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40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3"/>
      <c r="R22" s="293"/>
      <c r="S22" s="293"/>
      <c r="T22" s="294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88</v>
      </c>
      <c r="B23" s="63" t="s">
        <v>89</v>
      </c>
      <c r="C23" s="36">
        <v>4301071112</v>
      </c>
      <c r="D23" s="291">
        <v>4620207491256</v>
      </c>
      <c r="E23" s="291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40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3"/>
      <c r="R23" s="293"/>
      <c r="S23" s="293"/>
      <c r="T23" s="294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291">
        <v>4620207491713</v>
      </c>
      <c r="E24" s="291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40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3"/>
      <c r="R24" s="293"/>
      <c r="S24" s="293"/>
      <c r="T24" s="294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291">
        <v>4620207491720</v>
      </c>
      <c r="E25" s="291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40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3"/>
      <c r="R25" s="293"/>
      <c r="S25" s="293"/>
      <c r="T25" s="294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291">
        <v>4607111035912</v>
      </c>
      <c r="E26" s="291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3"/>
      <c r="R26" s="293"/>
      <c r="S26" s="293"/>
      <c r="T26" s="294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291">
        <v>4607111035929</v>
      </c>
      <c r="E27" s="291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9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3"/>
      <c r="R27" s="293"/>
      <c r="S27" s="293"/>
      <c r="T27" s="294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291">
        <v>4607111035882</v>
      </c>
      <c r="E28" s="291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3"/>
      <c r="R28" s="293"/>
      <c r="S28" s="293"/>
      <c r="T28" s="294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291">
        <v>4607111035905</v>
      </c>
      <c r="E29" s="291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40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3"/>
      <c r="R29" s="293"/>
      <c r="S29" s="293"/>
      <c r="T29" s="294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298"/>
      <c r="B30" s="298"/>
      <c r="C30" s="298"/>
      <c r="D30" s="298"/>
      <c r="E30" s="298"/>
      <c r="F30" s="298"/>
      <c r="G30" s="298"/>
      <c r="H30" s="298"/>
      <c r="I30" s="298"/>
      <c r="J30" s="298"/>
      <c r="K30" s="298"/>
      <c r="L30" s="298"/>
      <c r="M30" s="298"/>
      <c r="N30" s="298"/>
      <c r="O30" s="299"/>
      <c r="P30" s="295" t="s">
        <v>40</v>
      </c>
      <c r="Q30" s="296"/>
      <c r="R30" s="296"/>
      <c r="S30" s="296"/>
      <c r="T30" s="296"/>
      <c r="U30" s="296"/>
      <c r="V30" s="297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298"/>
      <c r="B31" s="298"/>
      <c r="C31" s="298"/>
      <c r="D31" s="298"/>
      <c r="E31" s="298"/>
      <c r="F31" s="298"/>
      <c r="G31" s="298"/>
      <c r="H31" s="298"/>
      <c r="I31" s="298"/>
      <c r="J31" s="298"/>
      <c r="K31" s="298"/>
      <c r="L31" s="298"/>
      <c r="M31" s="298"/>
      <c r="N31" s="298"/>
      <c r="O31" s="299"/>
      <c r="P31" s="295" t="s">
        <v>40</v>
      </c>
      <c r="Q31" s="296"/>
      <c r="R31" s="296"/>
      <c r="S31" s="296"/>
      <c r="T31" s="296"/>
      <c r="U31" s="296"/>
      <c r="V31" s="297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21" t="s">
        <v>104</v>
      </c>
      <c r="B32" s="321"/>
      <c r="C32" s="321"/>
      <c r="D32" s="321"/>
      <c r="E32" s="321"/>
      <c r="F32" s="321"/>
      <c r="G32" s="321"/>
      <c r="H32" s="321"/>
      <c r="I32" s="321"/>
      <c r="J32" s="321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65"/>
      <c r="AB32" s="65"/>
      <c r="AC32" s="82"/>
    </row>
    <row r="33" spans="1:68" ht="14.25" hidden="1" customHeight="1" x14ac:dyDescent="0.25">
      <c r="A33" s="309" t="s">
        <v>80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  <c r="AA33" s="66"/>
      <c r="AB33" s="66"/>
      <c r="AC33" s="83"/>
    </row>
    <row r="34" spans="1:68" ht="16.5" hidden="1" customHeight="1" x14ac:dyDescent="0.25">
      <c r="A34" s="63" t="s">
        <v>105</v>
      </c>
      <c r="B34" s="63" t="s">
        <v>106</v>
      </c>
      <c r="C34" s="36">
        <v>4301071099</v>
      </c>
      <c r="D34" s="291">
        <v>4607111039019</v>
      </c>
      <c r="E34" s="291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9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3"/>
      <c r="R34" s="293"/>
      <c r="S34" s="293"/>
      <c r="T34" s="294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108</v>
      </c>
      <c r="B35" s="63" t="s">
        <v>109</v>
      </c>
      <c r="C35" s="36">
        <v>4301071100</v>
      </c>
      <c r="D35" s="291">
        <v>4607111038708</v>
      </c>
      <c r="E35" s="291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9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3"/>
      <c r="R35" s="293"/>
      <c r="S35" s="293"/>
      <c r="T35" s="294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298"/>
      <c r="B36" s="298"/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9"/>
      <c r="P36" s="295" t="s">
        <v>40</v>
      </c>
      <c r="Q36" s="296"/>
      <c r="R36" s="296"/>
      <c r="S36" s="296"/>
      <c r="T36" s="296"/>
      <c r="U36" s="296"/>
      <c r="V36" s="297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298"/>
      <c r="B37" s="298"/>
      <c r="C37" s="298"/>
      <c r="D37" s="298"/>
      <c r="E37" s="298"/>
      <c r="F37" s="298"/>
      <c r="G37" s="298"/>
      <c r="H37" s="298"/>
      <c r="I37" s="298"/>
      <c r="J37" s="298"/>
      <c r="K37" s="298"/>
      <c r="L37" s="298"/>
      <c r="M37" s="298"/>
      <c r="N37" s="298"/>
      <c r="O37" s="299"/>
      <c r="P37" s="295" t="s">
        <v>40</v>
      </c>
      <c r="Q37" s="296"/>
      <c r="R37" s="296"/>
      <c r="S37" s="296"/>
      <c r="T37" s="296"/>
      <c r="U37" s="296"/>
      <c r="V37" s="297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20" t="s">
        <v>45</v>
      </c>
      <c r="B38" s="320"/>
      <c r="C38" s="320"/>
      <c r="D38" s="320"/>
      <c r="E38" s="320"/>
      <c r="F38" s="320"/>
      <c r="G38" s="320"/>
      <c r="H38" s="320"/>
      <c r="I38" s="320"/>
      <c r="J38" s="320"/>
      <c r="K38" s="320"/>
      <c r="L38" s="320"/>
      <c r="M38" s="320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Z38" s="320"/>
      <c r="AA38" s="54"/>
      <c r="AB38" s="54"/>
      <c r="AC38" s="54"/>
    </row>
    <row r="39" spans="1:68" ht="16.5" hidden="1" customHeight="1" x14ac:dyDescent="0.25">
      <c r="A39" s="321" t="s">
        <v>110</v>
      </c>
      <c r="B39" s="321"/>
      <c r="C39" s="321"/>
      <c r="D39" s="321"/>
      <c r="E39" s="321"/>
      <c r="F39" s="321"/>
      <c r="G39" s="321"/>
      <c r="H39" s="321"/>
      <c r="I39" s="321"/>
      <c r="J39" s="321"/>
      <c r="K39" s="321"/>
      <c r="L39" s="321"/>
      <c r="M39" s="321"/>
      <c r="N39" s="321"/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1"/>
      <c r="Z39" s="321"/>
      <c r="AA39" s="65"/>
      <c r="AB39" s="65"/>
      <c r="AC39" s="82"/>
    </row>
    <row r="40" spans="1:68" ht="14.25" hidden="1" customHeight="1" x14ac:dyDescent="0.25">
      <c r="A40" s="309" t="s">
        <v>111</v>
      </c>
      <c r="B40" s="309"/>
      <c r="C40" s="309"/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291">
        <v>4607111036537</v>
      </c>
      <c r="E41" s="291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9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3"/>
      <c r="R41" s="293"/>
      <c r="S41" s="293"/>
      <c r="T41" s="294"/>
      <c r="U41" s="39" t="s">
        <v>46</v>
      </c>
      <c r="V41" s="39" t="s">
        <v>46</v>
      </c>
      <c r="W41" s="40" t="s">
        <v>39</v>
      </c>
      <c r="X41" s="58">
        <v>28</v>
      </c>
      <c r="Y41" s="55">
        <f>IFERROR(IF(X41="","",X41),"")</f>
        <v>28</v>
      </c>
      <c r="Z41" s="41">
        <f>IFERROR(IF(X41="","",X41*0.00941),"")</f>
        <v>0.26347999999999999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53.810400000000001</v>
      </c>
      <c r="BN41" s="81">
        <f>IFERROR(Y41*I41,"0")</f>
        <v>53.810400000000001</v>
      </c>
      <c r="BO41" s="81">
        <f>IFERROR(X41/J41,"0")</f>
        <v>0.2</v>
      </c>
      <c r="BP41" s="81">
        <f>IFERROR(Y41/J41,"0")</f>
        <v>0.2</v>
      </c>
    </row>
    <row r="42" spans="1:68" ht="27" hidden="1" customHeight="1" x14ac:dyDescent="0.25">
      <c r="A42" s="63" t="s">
        <v>119</v>
      </c>
      <c r="B42" s="63" t="s">
        <v>120</v>
      </c>
      <c r="C42" s="36">
        <v>4301132188</v>
      </c>
      <c r="D42" s="291">
        <v>4607111036605</v>
      </c>
      <c r="E42" s="291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9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3"/>
      <c r="R42" s="293"/>
      <c r="S42" s="293"/>
      <c r="T42" s="294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298"/>
      <c r="B43" s="298"/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9"/>
      <c r="P43" s="295" t="s">
        <v>40</v>
      </c>
      <c r="Q43" s="296"/>
      <c r="R43" s="296"/>
      <c r="S43" s="296"/>
      <c r="T43" s="296"/>
      <c r="U43" s="296"/>
      <c r="V43" s="297"/>
      <c r="W43" s="42" t="s">
        <v>39</v>
      </c>
      <c r="X43" s="43">
        <f>IFERROR(SUM(X41:X42),"0")</f>
        <v>28</v>
      </c>
      <c r="Y43" s="43">
        <f>IFERROR(SUM(Y41:Y42),"0")</f>
        <v>28</v>
      </c>
      <c r="Z43" s="43">
        <f>IFERROR(IF(Z41="",0,Z41),"0")+IFERROR(IF(Z42="",0,Z42),"0")</f>
        <v>0.26347999999999999</v>
      </c>
      <c r="AA43" s="67"/>
      <c r="AB43" s="67"/>
      <c r="AC43" s="67"/>
    </row>
    <row r="44" spans="1:68" x14ac:dyDescent="0.2">
      <c r="A44" s="298"/>
      <c r="B44" s="298"/>
      <c r="C44" s="298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9"/>
      <c r="P44" s="295" t="s">
        <v>40</v>
      </c>
      <c r="Q44" s="296"/>
      <c r="R44" s="296"/>
      <c r="S44" s="296"/>
      <c r="T44" s="296"/>
      <c r="U44" s="296"/>
      <c r="V44" s="297"/>
      <c r="W44" s="42" t="s">
        <v>0</v>
      </c>
      <c r="X44" s="43">
        <f>IFERROR(SUMPRODUCT(X41:X42*H41:H42),"0")</f>
        <v>42</v>
      </c>
      <c r="Y44" s="43">
        <f>IFERROR(SUMPRODUCT(Y41:Y42*H41:H42),"0")</f>
        <v>42</v>
      </c>
      <c r="Z44" s="42"/>
      <c r="AA44" s="67"/>
      <c r="AB44" s="67"/>
      <c r="AC44" s="67"/>
    </row>
    <row r="45" spans="1:68" ht="16.5" hidden="1" customHeight="1" x14ac:dyDescent="0.25">
      <c r="A45" s="321" t="s">
        <v>121</v>
      </c>
      <c r="B45" s="321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65"/>
      <c r="AB45" s="65"/>
      <c r="AC45" s="82"/>
    </row>
    <row r="46" spans="1:68" ht="14.25" hidden="1" customHeight="1" x14ac:dyDescent="0.25">
      <c r="A46" s="309" t="s">
        <v>80</v>
      </c>
      <c r="B46" s="309"/>
      <c r="C46" s="309"/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  <c r="Y46" s="309"/>
      <c r="Z46" s="309"/>
      <c r="AA46" s="66"/>
      <c r="AB46" s="66"/>
      <c r="AC46" s="83"/>
    </row>
    <row r="47" spans="1:68" ht="27" hidden="1" customHeight="1" x14ac:dyDescent="0.25">
      <c r="A47" s="63" t="s">
        <v>122</v>
      </c>
      <c r="B47" s="63" t="s">
        <v>123</v>
      </c>
      <c r="C47" s="36">
        <v>4301071090</v>
      </c>
      <c r="D47" s="291">
        <v>4620207490075</v>
      </c>
      <c r="E47" s="291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9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3"/>
      <c r="R47" s="293"/>
      <c r="S47" s="293"/>
      <c r="T47" s="294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125</v>
      </c>
      <c r="B48" s="63" t="s">
        <v>126</v>
      </c>
      <c r="C48" s="36">
        <v>4301071092</v>
      </c>
      <c r="D48" s="291">
        <v>4620207490174</v>
      </c>
      <c r="E48" s="291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9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3"/>
      <c r="R48" s="293"/>
      <c r="S48" s="293"/>
      <c r="T48" s="294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hidden="1" customHeight="1" x14ac:dyDescent="0.25">
      <c r="A49" s="63" t="s">
        <v>128</v>
      </c>
      <c r="B49" s="63" t="s">
        <v>129</v>
      </c>
      <c r="C49" s="36">
        <v>4301071091</v>
      </c>
      <c r="D49" s="291">
        <v>4620207490044</v>
      </c>
      <c r="E49" s="291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85</v>
      </c>
      <c r="L49" s="37" t="s">
        <v>117</v>
      </c>
      <c r="M49" s="38" t="s">
        <v>84</v>
      </c>
      <c r="N49" s="38"/>
      <c r="O49" s="37">
        <v>180</v>
      </c>
      <c r="P49" s="39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3"/>
      <c r="R49" s="293"/>
      <c r="S49" s="293"/>
      <c r="T49" s="294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130</v>
      </c>
      <c r="AG49" s="81"/>
      <c r="AJ49" s="87" t="s">
        <v>118</v>
      </c>
      <c r="AK49" s="87">
        <v>12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hidden="1" x14ac:dyDescent="0.2">
      <c r="A50" s="298"/>
      <c r="B50" s="298"/>
      <c r="C50" s="298"/>
      <c r="D50" s="298"/>
      <c r="E50" s="298"/>
      <c r="F50" s="298"/>
      <c r="G50" s="298"/>
      <c r="H50" s="298"/>
      <c r="I50" s="298"/>
      <c r="J50" s="298"/>
      <c r="K50" s="298"/>
      <c r="L50" s="298"/>
      <c r="M50" s="298"/>
      <c r="N50" s="298"/>
      <c r="O50" s="299"/>
      <c r="P50" s="295" t="s">
        <v>40</v>
      </c>
      <c r="Q50" s="296"/>
      <c r="R50" s="296"/>
      <c r="S50" s="296"/>
      <c r="T50" s="296"/>
      <c r="U50" s="296"/>
      <c r="V50" s="297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hidden="1" x14ac:dyDescent="0.2">
      <c r="A51" s="298"/>
      <c r="B51" s="298"/>
      <c r="C51" s="298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9"/>
      <c r="P51" s="295" t="s">
        <v>40</v>
      </c>
      <c r="Q51" s="296"/>
      <c r="R51" s="296"/>
      <c r="S51" s="296"/>
      <c r="T51" s="296"/>
      <c r="U51" s="296"/>
      <c r="V51" s="297"/>
      <c r="W51" s="42" t="s">
        <v>0</v>
      </c>
      <c r="X51" s="43">
        <f>IFERROR(SUMPRODUCT(X47:X49*H47:H49),"0")</f>
        <v>0</v>
      </c>
      <c r="Y51" s="43">
        <f>IFERROR(SUMPRODUCT(Y47:Y49*H47:H49),"0")</f>
        <v>0</v>
      </c>
      <c r="Z51" s="42"/>
      <c r="AA51" s="67"/>
      <c r="AB51" s="67"/>
      <c r="AC51" s="67"/>
    </row>
    <row r="52" spans="1:68" ht="16.5" hidden="1" customHeight="1" x14ac:dyDescent="0.25">
      <c r="A52" s="321" t="s">
        <v>131</v>
      </c>
      <c r="B52" s="321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65"/>
      <c r="AB52" s="65"/>
      <c r="AC52" s="82"/>
    </row>
    <row r="53" spans="1:68" ht="14.25" hidden="1" customHeight="1" x14ac:dyDescent="0.25">
      <c r="A53" s="309" t="s">
        <v>80</v>
      </c>
      <c r="B53" s="309"/>
      <c r="C53" s="309"/>
      <c r="D53" s="309"/>
      <c r="E53" s="309"/>
      <c r="F53" s="309"/>
      <c r="G53" s="309"/>
      <c r="H53" s="309"/>
      <c r="I53" s="309"/>
      <c r="J53" s="309"/>
      <c r="K53" s="309"/>
      <c r="L53" s="309"/>
      <c r="M53" s="309"/>
      <c r="N53" s="309"/>
      <c r="O53" s="309"/>
      <c r="P53" s="309"/>
      <c r="Q53" s="309"/>
      <c r="R53" s="309"/>
      <c r="S53" s="309"/>
      <c r="T53" s="309"/>
      <c r="U53" s="309"/>
      <c r="V53" s="309"/>
      <c r="W53" s="309"/>
      <c r="X53" s="309"/>
      <c r="Y53" s="309"/>
      <c r="Z53" s="309"/>
      <c r="AA53" s="66"/>
      <c r="AB53" s="66"/>
      <c r="AC53" s="83"/>
    </row>
    <row r="54" spans="1:68" ht="27" hidden="1" customHeight="1" x14ac:dyDescent="0.25">
      <c r="A54" s="63" t="s">
        <v>132</v>
      </c>
      <c r="B54" s="63" t="s">
        <v>133</v>
      </c>
      <c r="C54" s="36">
        <v>4301071044</v>
      </c>
      <c r="D54" s="291">
        <v>4607111039385</v>
      </c>
      <c r="E54" s="291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3"/>
      <c r="R54" s="293"/>
      <c r="S54" s="293"/>
      <c r="T54" s="294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hidden="1" customHeight="1" x14ac:dyDescent="0.25">
      <c r="A55" s="63" t="s">
        <v>135</v>
      </c>
      <c r="B55" s="63" t="s">
        <v>136</v>
      </c>
      <c r="C55" s="36">
        <v>4301071031</v>
      </c>
      <c r="D55" s="291">
        <v>4607111038982</v>
      </c>
      <c r="E55" s="291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3"/>
      <c r="R55" s="293"/>
      <c r="S55" s="293"/>
      <c r="T55" s="294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137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hidden="1" customHeight="1" x14ac:dyDescent="0.25">
      <c r="A56" s="63" t="s">
        <v>138</v>
      </c>
      <c r="B56" s="63" t="s">
        <v>139</v>
      </c>
      <c r="C56" s="36">
        <v>4301071046</v>
      </c>
      <c r="D56" s="291">
        <v>4607111039354</v>
      </c>
      <c r="E56" s="291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3"/>
      <c r="R56" s="293"/>
      <c r="S56" s="293"/>
      <c r="T56" s="294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137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hidden="1" customHeight="1" x14ac:dyDescent="0.25">
      <c r="A57" s="63" t="s">
        <v>140</v>
      </c>
      <c r="B57" s="63" t="s">
        <v>141</v>
      </c>
      <c r="C57" s="36">
        <v>4301071047</v>
      </c>
      <c r="D57" s="291">
        <v>4607111039330</v>
      </c>
      <c r="E57" s="291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85</v>
      </c>
      <c r="L57" s="37" t="s">
        <v>117</v>
      </c>
      <c r="M57" s="38" t="s">
        <v>84</v>
      </c>
      <c r="N57" s="38"/>
      <c r="O57" s="37">
        <v>180</v>
      </c>
      <c r="P57" s="38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3"/>
      <c r="R57" s="293"/>
      <c r="S57" s="293"/>
      <c r="T57" s="294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137</v>
      </c>
      <c r="AG57" s="81"/>
      <c r="AJ57" s="87" t="s">
        <v>118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idden="1" x14ac:dyDescent="0.2">
      <c r="A58" s="298"/>
      <c r="B58" s="298"/>
      <c r="C58" s="298"/>
      <c r="D58" s="298"/>
      <c r="E58" s="298"/>
      <c r="F58" s="298"/>
      <c r="G58" s="298"/>
      <c r="H58" s="298"/>
      <c r="I58" s="298"/>
      <c r="J58" s="298"/>
      <c r="K58" s="298"/>
      <c r="L58" s="298"/>
      <c r="M58" s="298"/>
      <c r="N58" s="298"/>
      <c r="O58" s="299"/>
      <c r="P58" s="295" t="s">
        <v>40</v>
      </c>
      <c r="Q58" s="296"/>
      <c r="R58" s="296"/>
      <c r="S58" s="296"/>
      <c r="T58" s="296"/>
      <c r="U58" s="296"/>
      <c r="V58" s="297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hidden="1" x14ac:dyDescent="0.2">
      <c r="A59" s="298"/>
      <c r="B59" s="298"/>
      <c r="C59" s="298"/>
      <c r="D59" s="298"/>
      <c r="E59" s="298"/>
      <c r="F59" s="298"/>
      <c r="G59" s="298"/>
      <c r="H59" s="298"/>
      <c r="I59" s="298"/>
      <c r="J59" s="298"/>
      <c r="K59" s="298"/>
      <c r="L59" s="298"/>
      <c r="M59" s="298"/>
      <c r="N59" s="298"/>
      <c r="O59" s="299"/>
      <c r="P59" s="295" t="s">
        <v>40</v>
      </c>
      <c r="Q59" s="296"/>
      <c r="R59" s="296"/>
      <c r="S59" s="296"/>
      <c r="T59" s="296"/>
      <c r="U59" s="296"/>
      <c r="V59" s="297"/>
      <c r="W59" s="42" t="s">
        <v>0</v>
      </c>
      <c r="X59" s="43">
        <f>IFERROR(SUMPRODUCT(X54:X57*H54:H57),"0")</f>
        <v>0</v>
      </c>
      <c r="Y59" s="43">
        <f>IFERROR(SUMPRODUCT(Y54:Y57*H54:H57),"0")</f>
        <v>0</v>
      </c>
      <c r="Z59" s="42"/>
      <c r="AA59" s="67"/>
      <c r="AB59" s="67"/>
      <c r="AC59" s="67"/>
    </row>
    <row r="60" spans="1:68" ht="16.5" hidden="1" customHeight="1" x14ac:dyDescent="0.25">
      <c r="A60" s="321" t="s">
        <v>142</v>
      </c>
      <c r="B60" s="321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65"/>
      <c r="AB60" s="65"/>
      <c r="AC60" s="82"/>
    </row>
    <row r="61" spans="1:68" ht="14.25" hidden="1" customHeight="1" x14ac:dyDescent="0.25">
      <c r="A61" s="309" t="s">
        <v>80</v>
      </c>
      <c r="B61" s="309"/>
      <c r="C61" s="309"/>
      <c r="D61" s="309"/>
      <c r="E61" s="309"/>
      <c r="F61" s="309"/>
      <c r="G61" s="309"/>
      <c r="H61" s="309"/>
      <c r="I61" s="309"/>
      <c r="J61" s="309"/>
      <c r="K61" s="309"/>
      <c r="L61" s="309"/>
      <c r="M61" s="309"/>
      <c r="N61" s="309"/>
      <c r="O61" s="309"/>
      <c r="P61" s="309"/>
      <c r="Q61" s="309"/>
      <c r="R61" s="309"/>
      <c r="S61" s="309"/>
      <c r="T61" s="309"/>
      <c r="U61" s="309"/>
      <c r="V61" s="309"/>
      <c r="W61" s="309"/>
      <c r="X61" s="309"/>
      <c r="Y61" s="309"/>
      <c r="Z61" s="309"/>
      <c r="AA61" s="66"/>
      <c r="AB61" s="66"/>
      <c r="AC61" s="83"/>
    </row>
    <row r="62" spans="1:68" ht="16.5" hidden="1" customHeight="1" x14ac:dyDescent="0.25">
      <c r="A62" s="63" t="s">
        <v>143</v>
      </c>
      <c r="B62" s="63" t="s">
        <v>144</v>
      </c>
      <c r="C62" s="36">
        <v>4301071073</v>
      </c>
      <c r="D62" s="291">
        <v>4620207490822</v>
      </c>
      <c r="E62" s="291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85</v>
      </c>
      <c r="L62" s="37" t="s">
        <v>86</v>
      </c>
      <c r="M62" s="38" t="s">
        <v>84</v>
      </c>
      <c r="N62" s="38"/>
      <c r="O62" s="37">
        <v>365</v>
      </c>
      <c r="P62" s="38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3"/>
      <c r="R62" s="293"/>
      <c r="S62" s="293"/>
      <c r="T62" s="294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145</v>
      </c>
      <c r="AG62" s="81"/>
      <c r="AJ62" s="87" t="s">
        <v>87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idden="1" x14ac:dyDescent="0.2">
      <c r="A63" s="298"/>
      <c r="B63" s="298"/>
      <c r="C63" s="298"/>
      <c r="D63" s="298"/>
      <c r="E63" s="298"/>
      <c r="F63" s="298"/>
      <c r="G63" s="298"/>
      <c r="H63" s="298"/>
      <c r="I63" s="298"/>
      <c r="J63" s="298"/>
      <c r="K63" s="298"/>
      <c r="L63" s="298"/>
      <c r="M63" s="298"/>
      <c r="N63" s="298"/>
      <c r="O63" s="299"/>
      <c r="P63" s="295" t="s">
        <v>40</v>
      </c>
      <c r="Q63" s="296"/>
      <c r="R63" s="296"/>
      <c r="S63" s="296"/>
      <c r="T63" s="296"/>
      <c r="U63" s="296"/>
      <c r="V63" s="297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idden="1" x14ac:dyDescent="0.2">
      <c r="A64" s="298"/>
      <c r="B64" s="298"/>
      <c r="C64" s="298"/>
      <c r="D64" s="298"/>
      <c r="E64" s="298"/>
      <c r="F64" s="298"/>
      <c r="G64" s="298"/>
      <c r="H64" s="298"/>
      <c r="I64" s="298"/>
      <c r="J64" s="298"/>
      <c r="K64" s="298"/>
      <c r="L64" s="298"/>
      <c r="M64" s="298"/>
      <c r="N64" s="298"/>
      <c r="O64" s="299"/>
      <c r="P64" s="295" t="s">
        <v>40</v>
      </c>
      <c r="Q64" s="296"/>
      <c r="R64" s="296"/>
      <c r="S64" s="296"/>
      <c r="T64" s="296"/>
      <c r="U64" s="296"/>
      <c r="V64" s="297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hidden="1" customHeight="1" x14ac:dyDescent="0.25">
      <c r="A65" s="309" t="s">
        <v>111</v>
      </c>
      <c r="B65" s="309"/>
      <c r="C65" s="309"/>
      <c r="D65" s="309"/>
      <c r="E65" s="309"/>
      <c r="F65" s="309"/>
      <c r="G65" s="309"/>
      <c r="H65" s="309"/>
      <c r="I65" s="309"/>
      <c r="J65" s="309"/>
      <c r="K65" s="309"/>
      <c r="L65" s="309"/>
      <c r="M65" s="309"/>
      <c r="N65" s="309"/>
      <c r="O65" s="309"/>
      <c r="P65" s="309"/>
      <c r="Q65" s="309"/>
      <c r="R65" s="309"/>
      <c r="S65" s="309"/>
      <c r="T65" s="309"/>
      <c r="U65" s="309"/>
      <c r="V65" s="309"/>
      <c r="W65" s="309"/>
      <c r="X65" s="309"/>
      <c r="Y65" s="309"/>
      <c r="Z65" s="309"/>
      <c r="AA65" s="66"/>
      <c r="AB65" s="66"/>
      <c r="AC65" s="83"/>
    </row>
    <row r="66" spans="1:68" ht="27" hidden="1" customHeight="1" x14ac:dyDescent="0.25">
      <c r="A66" s="63" t="s">
        <v>146</v>
      </c>
      <c r="B66" s="63" t="s">
        <v>147</v>
      </c>
      <c r="C66" s="36">
        <v>4301132194</v>
      </c>
      <c r="D66" s="291">
        <v>4607111039712</v>
      </c>
      <c r="E66" s="291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3"/>
      <c r="R66" s="293"/>
      <c r="S66" s="293"/>
      <c r="T66" s="294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298"/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9"/>
      <c r="P67" s="295" t="s">
        <v>40</v>
      </c>
      <c r="Q67" s="296"/>
      <c r="R67" s="296"/>
      <c r="S67" s="296"/>
      <c r="T67" s="296"/>
      <c r="U67" s="296"/>
      <c r="V67" s="297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idden="1" x14ac:dyDescent="0.2">
      <c r="A68" s="298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9"/>
      <c r="P68" s="295" t="s">
        <v>40</v>
      </c>
      <c r="Q68" s="296"/>
      <c r="R68" s="296"/>
      <c r="S68" s="296"/>
      <c r="T68" s="296"/>
      <c r="U68" s="296"/>
      <c r="V68" s="297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hidden="1" customHeight="1" x14ac:dyDescent="0.25">
      <c r="A69" s="309" t="s">
        <v>149</v>
      </c>
      <c r="B69" s="309"/>
      <c r="C69" s="309"/>
      <c r="D69" s="309"/>
      <c r="E69" s="309"/>
      <c r="F69" s="309"/>
      <c r="G69" s="309"/>
      <c r="H69" s="309"/>
      <c r="I69" s="309"/>
      <c r="J69" s="309"/>
      <c r="K69" s="309"/>
      <c r="L69" s="309"/>
      <c r="M69" s="309"/>
      <c r="N69" s="309"/>
      <c r="O69" s="309"/>
      <c r="P69" s="309"/>
      <c r="Q69" s="309"/>
      <c r="R69" s="309"/>
      <c r="S69" s="309"/>
      <c r="T69" s="309"/>
      <c r="U69" s="309"/>
      <c r="V69" s="309"/>
      <c r="W69" s="309"/>
      <c r="X69" s="309"/>
      <c r="Y69" s="309"/>
      <c r="Z69" s="309"/>
      <c r="AA69" s="66"/>
      <c r="AB69" s="66"/>
      <c r="AC69" s="83"/>
    </row>
    <row r="70" spans="1:68" ht="16.5" hidden="1" customHeight="1" x14ac:dyDescent="0.25">
      <c r="A70" s="63" t="s">
        <v>150</v>
      </c>
      <c r="B70" s="63" t="s">
        <v>151</v>
      </c>
      <c r="C70" s="36">
        <v>4301136018</v>
      </c>
      <c r="D70" s="291">
        <v>4607111037008</v>
      </c>
      <c r="E70" s="291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3"/>
      <c r="R70" s="293"/>
      <c r="S70" s="293"/>
      <c r="T70" s="294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hidden="1" customHeight="1" x14ac:dyDescent="0.25">
      <c r="A71" s="63" t="s">
        <v>153</v>
      </c>
      <c r="B71" s="63" t="s">
        <v>154</v>
      </c>
      <c r="C71" s="36">
        <v>4301136015</v>
      </c>
      <c r="D71" s="291">
        <v>4607111037398</v>
      </c>
      <c r="E71" s="291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3"/>
      <c r="R71" s="293"/>
      <c r="S71" s="293"/>
      <c r="T71" s="294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idden="1" x14ac:dyDescent="0.2">
      <c r="A72" s="298"/>
      <c r="B72" s="298"/>
      <c r="C72" s="298"/>
      <c r="D72" s="298"/>
      <c r="E72" s="298"/>
      <c r="F72" s="298"/>
      <c r="G72" s="298"/>
      <c r="H72" s="298"/>
      <c r="I72" s="298"/>
      <c r="J72" s="298"/>
      <c r="K72" s="298"/>
      <c r="L72" s="298"/>
      <c r="M72" s="298"/>
      <c r="N72" s="298"/>
      <c r="O72" s="299"/>
      <c r="P72" s="295" t="s">
        <v>40</v>
      </c>
      <c r="Q72" s="296"/>
      <c r="R72" s="296"/>
      <c r="S72" s="296"/>
      <c r="T72" s="296"/>
      <c r="U72" s="296"/>
      <c r="V72" s="297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idden="1" x14ac:dyDescent="0.2">
      <c r="A73" s="298"/>
      <c r="B73" s="298"/>
      <c r="C73" s="298"/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9"/>
      <c r="P73" s="295" t="s">
        <v>40</v>
      </c>
      <c r="Q73" s="296"/>
      <c r="R73" s="296"/>
      <c r="S73" s="296"/>
      <c r="T73" s="296"/>
      <c r="U73" s="296"/>
      <c r="V73" s="297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hidden="1" customHeight="1" x14ac:dyDescent="0.25">
      <c r="A74" s="309" t="s">
        <v>155</v>
      </c>
      <c r="B74" s="309"/>
      <c r="C74" s="309"/>
      <c r="D74" s="309"/>
      <c r="E74" s="309"/>
      <c r="F74" s="309"/>
      <c r="G74" s="309"/>
      <c r="H74" s="309"/>
      <c r="I74" s="309"/>
      <c r="J74" s="309"/>
      <c r="K74" s="309"/>
      <c r="L74" s="309"/>
      <c r="M74" s="309"/>
      <c r="N74" s="309"/>
      <c r="O74" s="309"/>
      <c r="P74" s="309"/>
      <c r="Q74" s="309"/>
      <c r="R74" s="309"/>
      <c r="S74" s="309"/>
      <c r="T74" s="309"/>
      <c r="U74" s="309"/>
      <c r="V74" s="309"/>
      <c r="W74" s="309"/>
      <c r="X74" s="309"/>
      <c r="Y74" s="309"/>
      <c r="Z74" s="309"/>
      <c r="AA74" s="66"/>
      <c r="AB74" s="66"/>
      <c r="AC74" s="83"/>
    </row>
    <row r="75" spans="1:68" ht="27" hidden="1" customHeight="1" x14ac:dyDescent="0.25">
      <c r="A75" s="63" t="s">
        <v>156</v>
      </c>
      <c r="B75" s="63" t="s">
        <v>157</v>
      </c>
      <c r="C75" s="36">
        <v>4301135664</v>
      </c>
      <c r="D75" s="291">
        <v>4607111039705</v>
      </c>
      <c r="E75" s="291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116</v>
      </c>
      <c r="L75" s="37" t="s">
        <v>86</v>
      </c>
      <c r="M75" s="38" t="s">
        <v>84</v>
      </c>
      <c r="N75" s="38"/>
      <c r="O75" s="37">
        <v>365</v>
      </c>
      <c r="P75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3"/>
      <c r="R75" s="293"/>
      <c r="S75" s="293"/>
      <c r="T75" s="294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152</v>
      </c>
      <c r="AG75" s="81"/>
      <c r="AJ75" s="87" t="s">
        <v>87</v>
      </c>
      <c r="AK75" s="87">
        <v>1</v>
      </c>
      <c r="BB75" s="136" t="s">
        <v>115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158</v>
      </c>
      <c r="B76" s="63" t="s">
        <v>159</v>
      </c>
      <c r="C76" s="36">
        <v>4301135665</v>
      </c>
      <c r="D76" s="291">
        <v>4607111039729</v>
      </c>
      <c r="E76" s="291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116</v>
      </c>
      <c r="L76" s="37" t="s">
        <v>86</v>
      </c>
      <c r="M76" s="38" t="s">
        <v>84</v>
      </c>
      <c r="N76" s="38"/>
      <c r="O76" s="37">
        <v>365</v>
      </c>
      <c r="P76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3"/>
      <c r="R76" s="293"/>
      <c r="S76" s="293"/>
      <c r="T76" s="294"/>
      <c r="U76" s="39" t="s">
        <v>46</v>
      </c>
      <c r="V76" s="39" t="s">
        <v>46</v>
      </c>
      <c r="W76" s="40" t="s">
        <v>39</v>
      </c>
      <c r="X76" s="58">
        <v>28</v>
      </c>
      <c r="Y76" s="55">
        <f>IFERROR(IF(X76="","",X76),"")</f>
        <v>28</v>
      </c>
      <c r="Z76" s="41">
        <f>IFERROR(IF(X76="","",X76*0.00941),"")</f>
        <v>0.26347999999999999</v>
      </c>
      <c r="AA76" s="68" t="s">
        <v>46</v>
      </c>
      <c r="AB76" s="69" t="s">
        <v>46</v>
      </c>
      <c r="AC76" s="137" t="s">
        <v>160</v>
      </c>
      <c r="AG76" s="81"/>
      <c r="AJ76" s="87" t="s">
        <v>87</v>
      </c>
      <c r="AK76" s="87">
        <v>1</v>
      </c>
      <c r="BB76" s="138" t="s">
        <v>115</v>
      </c>
      <c r="BM76" s="81">
        <f>IFERROR(X76*I76,"0")</f>
        <v>43.68</v>
      </c>
      <c r="BN76" s="81">
        <f>IFERROR(Y76*I76,"0")</f>
        <v>43.68</v>
      </c>
      <c r="BO76" s="81">
        <f>IFERROR(X76/J76,"0")</f>
        <v>0.2</v>
      </c>
      <c r="BP76" s="81">
        <f>IFERROR(Y76/J76,"0")</f>
        <v>0.2</v>
      </c>
    </row>
    <row r="77" spans="1:68" ht="27" hidden="1" customHeight="1" x14ac:dyDescent="0.25">
      <c r="A77" s="63" t="s">
        <v>161</v>
      </c>
      <c r="B77" s="63" t="s">
        <v>162</v>
      </c>
      <c r="C77" s="36">
        <v>4301135702</v>
      </c>
      <c r="D77" s="291">
        <v>4620207490228</v>
      </c>
      <c r="E77" s="291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116</v>
      </c>
      <c r="L77" s="37" t="s">
        <v>86</v>
      </c>
      <c r="M77" s="38" t="s">
        <v>84</v>
      </c>
      <c r="N77" s="38"/>
      <c r="O77" s="37">
        <v>365</v>
      </c>
      <c r="P77" s="37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3"/>
      <c r="R77" s="293"/>
      <c r="S77" s="293"/>
      <c r="T77" s="294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160</v>
      </c>
      <c r="AG77" s="81"/>
      <c r="AJ77" s="87" t="s">
        <v>87</v>
      </c>
      <c r="AK77" s="87">
        <v>1</v>
      </c>
      <c r="BB77" s="140" t="s">
        <v>115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298"/>
      <c r="B78" s="298"/>
      <c r="C78" s="298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9"/>
      <c r="P78" s="295" t="s">
        <v>40</v>
      </c>
      <c r="Q78" s="296"/>
      <c r="R78" s="296"/>
      <c r="S78" s="296"/>
      <c r="T78" s="296"/>
      <c r="U78" s="296"/>
      <c r="V78" s="297"/>
      <c r="W78" s="42" t="s">
        <v>39</v>
      </c>
      <c r="X78" s="43">
        <f>IFERROR(SUM(X75:X77),"0")</f>
        <v>28</v>
      </c>
      <c r="Y78" s="43">
        <f>IFERROR(SUM(Y75:Y77),"0")</f>
        <v>28</v>
      </c>
      <c r="Z78" s="43">
        <f>IFERROR(IF(Z75="",0,Z75),"0")+IFERROR(IF(Z76="",0,Z76),"0")+IFERROR(IF(Z77="",0,Z77),"0")</f>
        <v>0.26347999999999999</v>
      </c>
      <c r="AA78" s="67"/>
      <c r="AB78" s="67"/>
      <c r="AC78" s="67"/>
    </row>
    <row r="79" spans="1:68" x14ac:dyDescent="0.2">
      <c r="A79" s="298"/>
      <c r="B79" s="298"/>
      <c r="C79" s="298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9"/>
      <c r="P79" s="295" t="s">
        <v>40</v>
      </c>
      <c r="Q79" s="296"/>
      <c r="R79" s="296"/>
      <c r="S79" s="296"/>
      <c r="T79" s="296"/>
      <c r="U79" s="296"/>
      <c r="V79" s="297"/>
      <c r="W79" s="42" t="s">
        <v>0</v>
      </c>
      <c r="X79" s="43">
        <f>IFERROR(SUMPRODUCT(X75:X77*H75:H77),"0")</f>
        <v>33.6</v>
      </c>
      <c r="Y79" s="43">
        <f>IFERROR(SUMPRODUCT(Y75:Y77*H75:H77),"0")</f>
        <v>33.6</v>
      </c>
      <c r="Z79" s="42"/>
      <c r="AA79" s="67"/>
      <c r="AB79" s="67"/>
      <c r="AC79" s="67"/>
    </row>
    <row r="80" spans="1:68" ht="16.5" hidden="1" customHeight="1" x14ac:dyDescent="0.25">
      <c r="A80" s="321" t="s">
        <v>163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65"/>
      <c r="AB80" s="65"/>
      <c r="AC80" s="82"/>
    </row>
    <row r="81" spans="1:68" ht="14.25" hidden="1" customHeight="1" x14ac:dyDescent="0.25">
      <c r="A81" s="309" t="s">
        <v>80</v>
      </c>
      <c r="B81" s="309"/>
      <c r="C81" s="309"/>
      <c r="D81" s="309"/>
      <c r="E81" s="309"/>
      <c r="F81" s="309"/>
      <c r="G81" s="309"/>
      <c r="H81" s="309"/>
      <c r="I81" s="309"/>
      <c r="J81" s="309"/>
      <c r="K81" s="309"/>
      <c r="L81" s="309"/>
      <c r="M81" s="309"/>
      <c r="N81" s="309"/>
      <c r="O81" s="309"/>
      <c r="P81" s="309"/>
      <c r="Q81" s="309"/>
      <c r="R81" s="309"/>
      <c r="S81" s="309"/>
      <c r="T81" s="309"/>
      <c r="U81" s="309"/>
      <c r="V81" s="309"/>
      <c r="W81" s="309"/>
      <c r="X81" s="309"/>
      <c r="Y81" s="309"/>
      <c r="Z81" s="309"/>
      <c r="AA81" s="66"/>
      <c r="AB81" s="66"/>
      <c r="AC81" s="83"/>
    </row>
    <row r="82" spans="1:68" ht="27" customHeight="1" x14ac:dyDescent="0.25">
      <c r="A82" s="63" t="s">
        <v>164</v>
      </c>
      <c r="B82" s="63" t="s">
        <v>165</v>
      </c>
      <c r="C82" s="36">
        <v>4301070977</v>
      </c>
      <c r="D82" s="291">
        <v>4607111037411</v>
      </c>
      <c r="E82" s="291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167</v>
      </c>
      <c r="L82" s="37" t="s">
        <v>86</v>
      </c>
      <c r="M82" s="38" t="s">
        <v>84</v>
      </c>
      <c r="N82" s="38"/>
      <c r="O82" s="37">
        <v>180</v>
      </c>
      <c r="P82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3"/>
      <c r="R82" s="293"/>
      <c r="S82" s="293"/>
      <c r="T82" s="294"/>
      <c r="U82" s="39" t="s">
        <v>46</v>
      </c>
      <c r="V82" s="39" t="s">
        <v>46</v>
      </c>
      <c r="W82" s="40" t="s">
        <v>39</v>
      </c>
      <c r="X82" s="58">
        <v>72</v>
      </c>
      <c r="Y82" s="55">
        <f>IFERROR(IF(X82="","",X82),"")</f>
        <v>72</v>
      </c>
      <c r="Z82" s="41">
        <f>IFERROR(IF(X82="","",X82*0.00502),"")</f>
        <v>0.36143999999999998</v>
      </c>
      <c r="AA82" s="68" t="s">
        <v>46</v>
      </c>
      <c r="AB82" s="69" t="s">
        <v>46</v>
      </c>
      <c r="AC82" s="141" t="s">
        <v>166</v>
      </c>
      <c r="AG82" s="81"/>
      <c r="AJ82" s="87" t="s">
        <v>87</v>
      </c>
      <c r="AK82" s="87">
        <v>1</v>
      </c>
      <c r="BB82" s="142" t="s">
        <v>70</v>
      </c>
      <c r="BM82" s="81">
        <f>IFERROR(X82*I82,"0")</f>
        <v>202.55040000000002</v>
      </c>
      <c r="BN82" s="81">
        <f>IFERROR(Y82*I82,"0")</f>
        <v>202.55040000000002</v>
      </c>
      <c r="BO82" s="81">
        <f>IFERROR(X82/J82,"0")</f>
        <v>0.30769230769230771</v>
      </c>
      <c r="BP82" s="81">
        <f>IFERROR(Y82/J82,"0")</f>
        <v>0.30769230769230771</v>
      </c>
    </row>
    <row r="83" spans="1:68" ht="27" hidden="1" customHeight="1" x14ac:dyDescent="0.25">
      <c r="A83" s="63" t="s">
        <v>168</v>
      </c>
      <c r="B83" s="63" t="s">
        <v>169</v>
      </c>
      <c r="C83" s="36">
        <v>4301070981</v>
      </c>
      <c r="D83" s="291">
        <v>4607111036728</v>
      </c>
      <c r="E83" s="291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85</v>
      </c>
      <c r="L83" s="37" t="s">
        <v>117</v>
      </c>
      <c r="M83" s="38" t="s">
        <v>84</v>
      </c>
      <c r="N83" s="38"/>
      <c r="O83" s="37">
        <v>180</v>
      </c>
      <c r="P83" s="37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3"/>
      <c r="R83" s="293"/>
      <c r="S83" s="293"/>
      <c r="T83" s="294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166</v>
      </c>
      <c r="AG83" s="81"/>
      <c r="AJ83" s="87" t="s">
        <v>118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298"/>
      <c r="B84" s="298"/>
      <c r="C84" s="298"/>
      <c r="D84" s="298"/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9"/>
      <c r="P84" s="295" t="s">
        <v>40</v>
      </c>
      <c r="Q84" s="296"/>
      <c r="R84" s="296"/>
      <c r="S84" s="296"/>
      <c r="T84" s="296"/>
      <c r="U84" s="296"/>
      <c r="V84" s="297"/>
      <c r="W84" s="42" t="s">
        <v>39</v>
      </c>
      <c r="X84" s="43">
        <f>IFERROR(SUM(X82:X83),"0")</f>
        <v>72</v>
      </c>
      <c r="Y84" s="43">
        <f>IFERROR(SUM(Y82:Y83),"0")</f>
        <v>72</v>
      </c>
      <c r="Z84" s="43">
        <f>IFERROR(IF(Z82="",0,Z82),"0")+IFERROR(IF(Z83="",0,Z83),"0")</f>
        <v>0.36143999999999998</v>
      </c>
      <c r="AA84" s="67"/>
      <c r="AB84" s="67"/>
      <c r="AC84" s="67"/>
    </row>
    <row r="85" spans="1:68" x14ac:dyDescent="0.2">
      <c r="A85" s="298"/>
      <c r="B85" s="298"/>
      <c r="C85" s="298"/>
      <c r="D85" s="298"/>
      <c r="E85" s="298"/>
      <c r="F85" s="298"/>
      <c r="G85" s="298"/>
      <c r="H85" s="298"/>
      <c r="I85" s="298"/>
      <c r="J85" s="298"/>
      <c r="K85" s="298"/>
      <c r="L85" s="298"/>
      <c r="M85" s="298"/>
      <c r="N85" s="298"/>
      <c r="O85" s="299"/>
      <c r="P85" s="295" t="s">
        <v>40</v>
      </c>
      <c r="Q85" s="296"/>
      <c r="R85" s="296"/>
      <c r="S85" s="296"/>
      <c r="T85" s="296"/>
      <c r="U85" s="296"/>
      <c r="V85" s="297"/>
      <c r="W85" s="42" t="s">
        <v>0</v>
      </c>
      <c r="X85" s="43">
        <f>IFERROR(SUMPRODUCT(X82:X83*H82:H83),"0")</f>
        <v>194.4</v>
      </c>
      <c r="Y85" s="43">
        <f>IFERROR(SUMPRODUCT(Y82:Y83*H82:H83),"0")</f>
        <v>194.4</v>
      </c>
      <c r="Z85" s="42"/>
      <c r="AA85" s="67"/>
      <c r="AB85" s="67"/>
      <c r="AC85" s="67"/>
    </row>
    <row r="86" spans="1:68" ht="16.5" hidden="1" customHeight="1" x14ac:dyDescent="0.25">
      <c r="A86" s="321" t="s">
        <v>170</v>
      </c>
      <c r="B86" s="321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65"/>
      <c r="AB86" s="65"/>
      <c r="AC86" s="82"/>
    </row>
    <row r="87" spans="1:68" ht="14.25" hidden="1" customHeight="1" x14ac:dyDescent="0.25">
      <c r="A87" s="309" t="s">
        <v>155</v>
      </c>
      <c r="B87" s="309"/>
      <c r="C87" s="309"/>
      <c r="D87" s="309"/>
      <c r="E87" s="309"/>
      <c r="F87" s="309"/>
      <c r="G87" s="309"/>
      <c r="H87" s="309"/>
      <c r="I87" s="309"/>
      <c r="J87" s="309"/>
      <c r="K87" s="309"/>
      <c r="L87" s="309"/>
      <c r="M87" s="309"/>
      <c r="N87" s="309"/>
      <c r="O87" s="309"/>
      <c r="P87" s="309"/>
      <c r="Q87" s="309"/>
      <c r="R87" s="309"/>
      <c r="S87" s="309"/>
      <c r="T87" s="309"/>
      <c r="U87" s="309"/>
      <c r="V87" s="309"/>
      <c r="W87" s="309"/>
      <c r="X87" s="309"/>
      <c r="Y87" s="309"/>
      <c r="Z87" s="309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4301135574</v>
      </c>
      <c r="D88" s="291">
        <v>4607111033659</v>
      </c>
      <c r="E88" s="291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7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3"/>
      <c r="R88" s="293"/>
      <c r="S88" s="293"/>
      <c r="T88" s="294"/>
      <c r="U88" s="39" t="s">
        <v>46</v>
      </c>
      <c r="V88" s="39" t="s">
        <v>46</v>
      </c>
      <c r="W88" s="40" t="s">
        <v>39</v>
      </c>
      <c r="X88" s="58">
        <v>28</v>
      </c>
      <c r="Y88" s="55">
        <f>IFERROR(IF(X88="","",X88),"")</f>
        <v>28</v>
      </c>
      <c r="Z88" s="41">
        <f>IFERROR(IF(X88="","",X88*0.01788),"")</f>
        <v>0.50063999999999997</v>
      </c>
      <c r="AA88" s="68" t="s">
        <v>46</v>
      </c>
      <c r="AB88" s="69" t="s">
        <v>46</v>
      </c>
      <c r="AC88" s="145" t="s">
        <v>173</v>
      </c>
      <c r="AG88" s="81"/>
      <c r="AJ88" s="87" t="s">
        <v>118</v>
      </c>
      <c r="AK88" s="87">
        <v>14</v>
      </c>
      <c r="BB88" s="146" t="s">
        <v>115</v>
      </c>
      <c r="BM88" s="81">
        <f>IFERROR(X88*I88,"0")</f>
        <v>120.50080000000001</v>
      </c>
      <c r="BN88" s="81">
        <f>IFERROR(Y88*I88,"0")</f>
        <v>120.50080000000001</v>
      </c>
      <c r="BO88" s="81">
        <f>IFERROR(X88/J88,"0")</f>
        <v>0.4</v>
      </c>
      <c r="BP88" s="81">
        <f>IFERROR(Y88/J88,"0")</f>
        <v>0.4</v>
      </c>
    </row>
    <row r="89" spans="1:68" x14ac:dyDescent="0.2">
      <c r="A89" s="298"/>
      <c r="B89" s="298"/>
      <c r="C89" s="298"/>
      <c r="D89" s="298"/>
      <c r="E89" s="298"/>
      <c r="F89" s="298"/>
      <c r="G89" s="298"/>
      <c r="H89" s="298"/>
      <c r="I89" s="298"/>
      <c r="J89" s="298"/>
      <c r="K89" s="298"/>
      <c r="L89" s="298"/>
      <c r="M89" s="298"/>
      <c r="N89" s="298"/>
      <c r="O89" s="299"/>
      <c r="P89" s="295" t="s">
        <v>40</v>
      </c>
      <c r="Q89" s="296"/>
      <c r="R89" s="296"/>
      <c r="S89" s="296"/>
      <c r="T89" s="296"/>
      <c r="U89" s="296"/>
      <c r="V89" s="297"/>
      <c r="W89" s="42" t="s">
        <v>39</v>
      </c>
      <c r="X89" s="43">
        <f>IFERROR(SUM(X88:X88),"0")</f>
        <v>28</v>
      </c>
      <c r="Y89" s="43">
        <f>IFERROR(SUM(Y88:Y88),"0")</f>
        <v>28</v>
      </c>
      <c r="Z89" s="43">
        <f>IFERROR(IF(Z88="",0,Z88),"0")</f>
        <v>0.50063999999999997</v>
      </c>
      <c r="AA89" s="67"/>
      <c r="AB89" s="67"/>
      <c r="AC89" s="67"/>
    </row>
    <row r="90" spans="1:68" x14ac:dyDescent="0.2">
      <c r="A90" s="298"/>
      <c r="B90" s="298"/>
      <c r="C90" s="298"/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9"/>
      <c r="P90" s="295" t="s">
        <v>40</v>
      </c>
      <c r="Q90" s="296"/>
      <c r="R90" s="296"/>
      <c r="S90" s="296"/>
      <c r="T90" s="296"/>
      <c r="U90" s="296"/>
      <c r="V90" s="297"/>
      <c r="W90" s="42" t="s">
        <v>0</v>
      </c>
      <c r="X90" s="43">
        <f>IFERROR(SUMPRODUCT(X88:X88*H88:H88),"0")</f>
        <v>100.8</v>
      </c>
      <c r="Y90" s="43">
        <f>IFERROR(SUMPRODUCT(Y88:Y88*H88:H88),"0")</f>
        <v>100.8</v>
      </c>
      <c r="Z90" s="42"/>
      <c r="AA90" s="67"/>
      <c r="AB90" s="67"/>
      <c r="AC90" s="67"/>
    </row>
    <row r="91" spans="1:68" ht="16.5" hidden="1" customHeight="1" x14ac:dyDescent="0.25">
      <c r="A91" s="321" t="s">
        <v>174</v>
      </c>
      <c r="B91" s="321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65"/>
      <c r="AB91" s="65"/>
      <c r="AC91" s="82"/>
    </row>
    <row r="92" spans="1:68" ht="14.25" hidden="1" customHeight="1" x14ac:dyDescent="0.25">
      <c r="A92" s="309" t="s">
        <v>175</v>
      </c>
      <c r="B92" s="309"/>
      <c r="C92" s="309"/>
      <c r="D92" s="309"/>
      <c r="E92" s="309"/>
      <c r="F92" s="309"/>
      <c r="G92" s="309"/>
      <c r="H92" s="309"/>
      <c r="I92" s="309"/>
      <c r="J92" s="309"/>
      <c r="K92" s="309"/>
      <c r="L92" s="309"/>
      <c r="M92" s="309"/>
      <c r="N92" s="309"/>
      <c r="O92" s="309"/>
      <c r="P92" s="309"/>
      <c r="Q92" s="309"/>
      <c r="R92" s="309"/>
      <c r="S92" s="309"/>
      <c r="T92" s="309"/>
      <c r="U92" s="309"/>
      <c r="V92" s="309"/>
      <c r="W92" s="309"/>
      <c r="X92" s="309"/>
      <c r="Y92" s="309"/>
      <c r="Z92" s="309"/>
      <c r="AA92" s="66"/>
      <c r="AB92" s="66"/>
      <c r="AC92" s="83"/>
    </row>
    <row r="93" spans="1:68" ht="27" customHeight="1" x14ac:dyDescent="0.25">
      <c r="A93" s="63" t="s">
        <v>176</v>
      </c>
      <c r="B93" s="63" t="s">
        <v>177</v>
      </c>
      <c r="C93" s="36">
        <v>4301131047</v>
      </c>
      <c r="D93" s="291">
        <v>4607111034120</v>
      </c>
      <c r="E93" s="291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7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3"/>
      <c r="R93" s="293"/>
      <c r="S93" s="293"/>
      <c r="T93" s="294"/>
      <c r="U93" s="39" t="s">
        <v>46</v>
      </c>
      <c r="V93" s="39" t="s">
        <v>46</v>
      </c>
      <c r="W93" s="40" t="s">
        <v>39</v>
      </c>
      <c r="X93" s="58">
        <v>42</v>
      </c>
      <c r="Y93" s="55">
        <f>IFERROR(IF(X93="","",X93),"")</f>
        <v>42</v>
      </c>
      <c r="Z93" s="41">
        <f>IFERROR(IF(X93="","",X93*0.01788),"")</f>
        <v>0.75095999999999996</v>
      </c>
      <c r="AA93" s="68" t="s">
        <v>46</v>
      </c>
      <c r="AB93" s="69" t="s">
        <v>46</v>
      </c>
      <c r="AC93" s="147" t="s">
        <v>178</v>
      </c>
      <c r="AG93" s="81"/>
      <c r="AJ93" s="87" t="s">
        <v>118</v>
      </c>
      <c r="AK93" s="87">
        <v>14</v>
      </c>
      <c r="BB93" s="148" t="s">
        <v>115</v>
      </c>
      <c r="BM93" s="81">
        <f>IFERROR(X93*I93,"0")</f>
        <v>180.75120000000001</v>
      </c>
      <c r="BN93" s="81">
        <f>IFERROR(Y93*I93,"0")</f>
        <v>180.75120000000001</v>
      </c>
      <c r="BO93" s="81">
        <f>IFERROR(X93/J93,"0")</f>
        <v>0.6</v>
      </c>
      <c r="BP93" s="81">
        <f>IFERROR(Y93/J93,"0")</f>
        <v>0.6</v>
      </c>
    </row>
    <row r="94" spans="1:68" ht="27" customHeight="1" x14ac:dyDescent="0.25">
      <c r="A94" s="63" t="s">
        <v>179</v>
      </c>
      <c r="B94" s="63" t="s">
        <v>180</v>
      </c>
      <c r="C94" s="36">
        <v>4301131046</v>
      </c>
      <c r="D94" s="291">
        <v>4607111034137</v>
      </c>
      <c r="E94" s="291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7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3"/>
      <c r="R94" s="293"/>
      <c r="S94" s="293"/>
      <c r="T94" s="294"/>
      <c r="U94" s="39" t="s">
        <v>46</v>
      </c>
      <c r="V94" s="39" t="s">
        <v>46</v>
      </c>
      <c r="W94" s="40" t="s">
        <v>39</v>
      </c>
      <c r="X94" s="58">
        <v>28</v>
      </c>
      <c r="Y94" s="55">
        <f>IFERROR(IF(X94="","",X94),"")</f>
        <v>28</v>
      </c>
      <c r="Z94" s="41">
        <f>IFERROR(IF(X94="","",X94*0.01788),"")</f>
        <v>0.50063999999999997</v>
      </c>
      <c r="AA94" s="68" t="s">
        <v>46</v>
      </c>
      <c r="AB94" s="69" t="s">
        <v>46</v>
      </c>
      <c r="AC94" s="149" t="s">
        <v>181</v>
      </c>
      <c r="AG94" s="81"/>
      <c r="AJ94" s="87" t="s">
        <v>118</v>
      </c>
      <c r="AK94" s="87">
        <v>14</v>
      </c>
      <c r="BB94" s="150" t="s">
        <v>115</v>
      </c>
      <c r="BM94" s="81">
        <f>IFERROR(X94*I94,"0")</f>
        <v>120.50080000000001</v>
      </c>
      <c r="BN94" s="81">
        <f>IFERROR(Y94*I94,"0")</f>
        <v>120.50080000000001</v>
      </c>
      <c r="BO94" s="81">
        <f>IFERROR(X94/J94,"0")</f>
        <v>0.4</v>
      </c>
      <c r="BP94" s="81">
        <f>IFERROR(Y94/J94,"0")</f>
        <v>0.4</v>
      </c>
    </row>
    <row r="95" spans="1:68" x14ac:dyDescent="0.2">
      <c r="A95" s="298"/>
      <c r="B95" s="298"/>
      <c r="C95" s="298"/>
      <c r="D95" s="298"/>
      <c r="E95" s="298"/>
      <c r="F95" s="298"/>
      <c r="G95" s="298"/>
      <c r="H95" s="298"/>
      <c r="I95" s="298"/>
      <c r="J95" s="298"/>
      <c r="K95" s="298"/>
      <c r="L95" s="298"/>
      <c r="M95" s="298"/>
      <c r="N95" s="298"/>
      <c r="O95" s="299"/>
      <c r="P95" s="295" t="s">
        <v>40</v>
      </c>
      <c r="Q95" s="296"/>
      <c r="R95" s="296"/>
      <c r="S95" s="296"/>
      <c r="T95" s="296"/>
      <c r="U95" s="296"/>
      <c r="V95" s="297"/>
      <c r="W95" s="42" t="s">
        <v>39</v>
      </c>
      <c r="X95" s="43">
        <f>IFERROR(SUM(X93:X94),"0")</f>
        <v>70</v>
      </c>
      <c r="Y95" s="43">
        <f>IFERROR(SUM(Y93:Y94),"0")</f>
        <v>70</v>
      </c>
      <c r="Z95" s="43">
        <f>IFERROR(IF(Z93="",0,Z93),"0")+IFERROR(IF(Z94="",0,Z94),"0")</f>
        <v>1.2515999999999998</v>
      </c>
      <c r="AA95" s="67"/>
      <c r="AB95" s="67"/>
      <c r="AC95" s="67"/>
    </row>
    <row r="96" spans="1:68" x14ac:dyDescent="0.2">
      <c r="A96" s="298"/>
      <c r="B96" s="298"/>
      <c r="C96" s="298"/>
      <c r="D96" s="298"/>
      <c r="E96" s="298"/>
      <c r="F96" s="298"/>
      <c r="G96" s="298"/>
      <c r="H96" s="298"/>
      <c r="I96" s="298"/>
      <c r="J96" s="298"/>
      <c r="K96" s="298"/>
      <c r="L96" s="298"/>
      <c r="M96" s="298"/>
      <c r="N96" s="298"/>
      <c r="O96" s="299"/>
      <c r="P96" s="295" t="s">
        <v>40</v>
      </c>
      <c r="Q96" s="296"/>
      <c r="R96" s="296"/>
      <c r="S96" s="296"/>
      <c r="T96" s="296"/>
      <c r="U96" s="296"/>
      <c r="V96" s="297"/>
      <c r="W96" s="42" t="s">
        <v>0</v>
      </c>
      <c r="X96" s="43">
        <f>IFERROR(SUMPRODUCT(X93:X94*H93:H94),"0")</f>
        <v>252</v>
      </c>
      <c r="Y96" s="43">
        <f>IFERROR(SUMPRODUCT(Y93:Y94*H93:H94),"0")</f>
        <v>252</v>
      </c>
      <c r="Z96" s="42"/>
      <c r="AA96" s="67"/>
      <c r="AB96" s="67"/>
      <c r="AC96" s="67"/>
    </row>
    <row r="97" spans="1:68" ht="16.5" hidden="1" customHeight="1" x14ac:dyDescent="0.25">
      <c r="A97" s="321" t="s">
        <v>182</v>
      </c>
      <c r="B97" s="321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65"/>
      <c r="AB97" s="65"/>
      <c r="AC97" s="82"/>
    </row>
    <row r="98" spans="1:68" ht="14.25" hidden="1" customHeight="1" x14ac:dyDescent="0.25">
      <c r="A98" s="309" t="s">
        <v>155</v>
      </c>
      <c r="B98" s="309"/>
      <c r="C98" s="309"/>
      <c r="D98" s="309"/>
      <c r="E98" s="309"/>
      <c r="F98" s="309"/>
      <c r="G98" s="309"/>
      <c r="H98" s="309"/>
      <c r="I98" s="309"/>
      <c r="J98" s="309"/>
      <c r="K98" s="309"/>
      <c r="L98" s="309"/>
      <c r="M98" s="309"/>
      <c r="N98" s="309"/>
      <c r="O98" s="309"/>
      <c r="P98" s="309"/>
      <c r="Q98" s="309"/>
      <c r="R98" s="309"/>
      <c r="S98" s="309"/>
      <c r="T98" s="309"/>
      <c r="U98" s="309"/>
      <c r="V98" s="309"/>
      <c r="W98" s="309"/>
      <c r="X98" s="309"/>
      <c r="Y98" s="309"/>
      <c r="Z98" s="309"/>
      <c r="AA98" s="66"/>
      <c r="AB98" s="66"/>
      <c r="AC98" s="83"/>
    </row>
    <row r="99" spans="1:68" ht="27" customHeight="1" x14ac:dyDescent="0.25">
      <c r="A99" s="63" t="s">
        <v>183</v>
      </c>
      <c r="B99" s="63" t="s">
        <v>184</v>
      </c>
      <c r="C99" s="36">
        <v>4301135763</v>
      </c>
      <c r="D99" s="291">
        <v>4620207491027</v>
      </c>
      <c r="E99" s="291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116</v>
      </c>
      <c r="L99" s="37" t="s">
        <v>117</v>
      </c>
      <c r="M99" s="38" t="s">
        <v>84</v>
      </c>
      <c r="N99" s="38"/>
      <c r="O99" s="37">
        <v>180</v>
      </c>
      <c r="P99" s="37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3"/>
      <c r="R99" s="293"/>
      <c r="S99" s="293"/>
      <c r="T99" s="294"/>
      <c r="U99" s="39" t="s">
        <v>46</v>
      </c>
      <c r="V99" s="39" t="s">
        <v>46</v>
      </c>
      <c r="W99" s="40" t="s">
        <v>39</v>
      </c>
      <c r="X99" s="58">
        <v>28</v>
      </c>
      <c r="Y99" s="55">
        <f t="shared" ref="Y99:Y104" si="6">IFERROR(IF(X99="","",X99),"")</f>
        <v>28</v>
      </c>
      <c r="Z99" s="41">
        <f t="shared" ref="Z99:Z104" si="7">IFERROR(IF(X99="","",X99*0.01788),"")</f>
        <v>0.50063999999999997</v>
      </c>
      <c r="AA99" s="68" t="s">
        <v>46</v>
      </c>
      <c r="AB99" s="69" t="s">
        <v>46</v>
      </c>
      <c r="AC99" s="151" t="s">
        <v>173</v>
      </c>
      <c r="AG99" s="81"/>
      <c r="AJ99" s="87" t="s">
        <v>118</v>
      </c>
      <c r="AK99" s="87">
        <v>14</v>
      </c>
      <c r="BB99" s="152" t="s">
        <v>115</v>
      </c>
      <c r="BM99" s="81">
        <f t="shared" ref="BM99:BM104" si="8">IFERROR(X99*I99,"0")</f>
        <v>100.3408</v>
      </c>
      <c r="BN99" s="81">
        <f t="shared" ref="BN99:BN104" si="9">IFERROR(Y99*I99,"0")</f>
        <v>100.3408</v>
      </c>
      <c r="BO99" s="81">
        <f t="shared" ref="BO99:BO104" si="10">IFERROR(X99/J99,"0")</f>
        <v>0.4</v>
      </c>
      <c r="BP99" s="81">
        <f t="shared" ref="BP99:BP104" si="11">IFERROR(Y99/J99,"0")</f>
        <v>0.4</v>
      </c>
    </row>
    <row r="100" spans="1:68" ht="27" customHeight="1" x14ac:dyDescent="0.25">
      <c r="A100" s="63" t="s">
        <v>185</v>
      </c>
      <c r="B100" s="63" t="s">
        <v>186</v>
      </c>
      <c r="C100" s="36">
        <v>4301135793</v>
      </c>
      <c r="D100" s="291">
        <v>4620207491003</v>
      </c>
      <c r="E100" s="291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116</v>
      </c>
      <c r="L100" s="37" t="s">
        <v>117</v>
      </c>
      <c r="M100" s="38" t="s">
        <v>84</v>
      </c>
      <c r="N100" s="38"/>
      <c r="O100" s="37">
        <v>180</v>
      </c>
      <c r="P100" s="37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3"/>
      <c r="R100" s="293"/>
      <c r="S100" s="293"/>
      <c r="T100" s="294"/>
      <c r="U100" s="39" t="s">
        <v>46</v>
      </c>
      <c r="V100" s="39" t="s">
        <v>46</v>
      </c>
      <c r="W100" s="40" t="s">
        <v>39</v>
      </c>
      <c r="X100" s="58">
        <v>28</v>
      </c>
      <c r="Y100" s="55">
        <f t="shared" si="6"/>
        <v>28</v>
      </c>
      <c r="Z100" s="41">
        <f t="shared" si="7"/>
        <v>0.50063999999999997</v>
      </c>
      <c r="AA100" s="68" t="s">
        <v>46</v>
      </c>
      <c r="AB100" s="69" t="s">
        <v>46</v>
      </c>
      <c r="AC100" s="153" t="s">
        <v>173</v>
      </c>
      <c r="AG100" s="81"/>
      <c r="AJ100" s="87" t="s">
        <v>118</v>
      </c>
      <c r="AK100" s="87">
        <v>14</v>
      </c>
      <c r="BB100" s="154" t="s">
        <v>115</v>
      </c>
      <c r="BM100" s="81">
        <f t="shared" si="8"/>
        <v>100.3408</v>
      </c>
      <c r="BN100" s="81">
        <f t="shared" si="9"/>
        <v>100.3408</v>
      </c>
      <c r="BO100" s="81">
        <f t="shared" si="10"/>
        <v>0.4</v>
      </c>
      <c r="BP100" s="81">
        <f t="shared" si="11"/>
        <v>0.4</v>
      </c>
    </row>
    <row r="101" spans="1:68" ht="27" hidden="1" customHeight="1" x14ac:dyDescent="0.25">
      <c r="A101" s="63" t="s">
        <v>187</v>
      </c>
      <c r="B101" s="63" t="s">
        <v>188</v>
      </c>
      <c r="C101" s="36">
        <v>4301135768</v>
      </c>
      <c r="D101" s="291">
        <v>4620207491034</v>
      </c>
      <c r="E101" s="291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116</v>
      </c>
      <c r="L101" s="37" t="s">
        <v>117</v>
      </c>
      <c r="M101" s="38" t="s">
        <v>84</v>
      </c>
      <c r="N101" s="38"/>
      <c r="O101" s="37">
        <v>180</v>
      </c>
      <c r="P101" s="36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3"/>
      <c r="R101" s="293"/>
      <c r="S101" s="293"/>
      <c r="T101" s="294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189</v>
      </c>
      <c r="AG101" s="81"/>
      <c r="AJ101" s="87" t="s">
        <v>118</v>
      </c>
      <c r="AK101" s="87">
        <v>14</v>
      </c>
      <c r="BB101" s="156" t="s">
        <v>115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190</v>
      </c>
      <c r="B102" s="63" t="s">
        <v>191</v>
      </c>
      <c r="C102" s="36">
        <v>4301135760</v>
      </c>
      <c r="D102" s="291">
        <v>4620207491010</v>
      </c>
      <c r="E102" s="291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116</v>
      </c>
      <c r="L102" s="37" t="s">
        <v>117</v>
      </c>
      <c r="M102" s="38" t="s">
        <v>84</v>
      </c>
      <c r="N102" s="38"/>
      <c r="O102" s="37">
        <v>180</v>
      </c>
      <c r="P102" s="36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3"/>
      <c r="R102" s="293"/>
      <c r="S102" s="293"/>
      <c r="T102" s="294"/>
      <c r="U102" s="39" t="s">
        <v>46</v>
      </c>
      <c r="V102" s="39" t="s">
        <v>46</v>
      </c>
      <c r="W102" s="40" t="s">
        <v>39</v>
      </c>
      <c r="X102" s="58">
        <v>42</v>
      </c>
      <c r="Y102" s="55">
        <f t="shared" si="6"/>
        <v>42</v>
      </c>
      <c r="Z102" s="41">
        <f t="shared" si="7"/>
        <v>0.75095999999999996</v>
      </c>
      <c r="AA102" s="68" t="s">
        <v>46</v>
      </c>
      <c r="AB102" s="69" t="s">
        <v>46</v>
      </c>
      <c r="AC102" s="157" t="s">
        <v>173</v>
      </c>
      <c r="AG102" s="81"/>
      <c r="AJ102" s="87" t="s">
        <v>118</v>
      </c>
      <c r="AK102" s="87">
        <v>14</v>
      </c>
      <c r="BB102" s="158" t="s">
        <v>115</v>
      </c>
      <c r="BM102" s="81">
        <f t="shared" si="8"/>
        <v>150.5112</v>
      </c>
      <c r="BN102" s="81">
        <f t="shared" si="9"/>
        <v>150.5112</v>
      </c>
      <c r="BO102" s="81">
        <f t="shared" si="10"/>
        <v>0.6</v>
      </c>
      <c r="BP102" s="81">
        <f t="shared" si="11"/>
        <v>0.6</v>
      </c>
    </row>
    <row r="103" spans="1:68" ht="27" hidden="1" customHeight="1" x14ac:dyDescent="0.25">
      <c r="A103" s="63" t="s">
        <v>192</v>
      </c>
      <c r="B103" s="63" t="s">
        <v>193</v>
      </c>
      <c r="C103" s="36">
        <v>4301135571</v>
      </c>
      <c r="D103" s="291">
        <v>4607111035028</v>
      </c>
      <c r="E103" s="291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116</v>
      </c>
      <c r="L103" s="37" t="s">
        <v>117</v>
      </c>
      <c r="M103" s="38" t="s">
        <v>84</v>
      </c>
      <c r="N103" s="38"/>
      <c r="O103" s="37">
        <v>180</v>
      </c>
      <c r="P103" s="37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3"/>
      <c r="R103" s="293"/>
      <c r="S103" s="293"/>
      <c r="T103" s="294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173</v>
      </c>
      <c r="AG103" s="81"/>
      <c r="AJ103" s="87" t="s">
        <v>118</v>
      </c>
      <c r="AK103" s="87">
        <v>14</v>
      </c>
      <c r="BB103" s="160" t="s">
        <v>115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hidden="1" customHeight="1" x14ac:dyDescent="0.25">
      <c r="A104" s="63" t="s">
        <v>194</v>
      </c>
      <c r="B104" s="63" t="s">
        <v>195</v>
      </c>
      <c r="C104" s="36">
        <v>4301135285</v>
      </c>
      <c r="D104" s="291">
        <v>4607111036407</v>
      </c>
      <c r="E104" s="291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37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3"/>
      <c r="R104" s="293"/>
      <c r="S104" s="293"/>
      <c r="T104" s="294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61" t="s">
        <v>196</v>
      </c>
      <c r="AG104" s="81"/>
      <c r="AJ104" s="87" t="s">
        <v>87</v>
      </c>
      <c r="AK104" s="87">
        <v>1</v>
      </c>
      <c r="BB104" s="162" t="s">
        <v>115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">
      <c r="A105" s="298"/>
      <c r="B105" s="298"/>
      <c r="C105" s="298"/>
      <c r="D105" s="298"/>
      <c r="E105" s="298"/>
      <c r="F105" s="298"/>
      <c r="G105" s="298"/>
      <c r="H105" s="298"/>
      <c r="I105" s="298"/>
      <c r="J105" s="298"/>
      <c r="K105" s="298"/>
      <c r="L105" s="298"/>
      <c r="M105" s="298"/>
      <c r="N105" s="298"/>
      <c r="O105" s="299"/>
      <c r="P105" s="295" t="s">
        <v>40</v>
      </c>
      <c r="Q105" s="296"/>
      <c r="R105" s="296"/>
      <c r="S105" s="296"/>
      <c r="T105" s="296"/>
      <c r="U105" s="296"/>
      <c r="V105" s="297"/>
      <c r="W105" s="42" t="s">
        <v>39</v>
      </c>
      <c r="X105" s="43">
        <f>IFERROR(SUM(X99:X104),"0")</f>
        <v>98</v>
      </c>
      <c r="Y105" s="43">
        <f>IFERROR(SUM(Y99:Y104),"0")</f>
        <v>98</v>
      </c>
      <c r="Z105" s="43">
        <f>IFERROR(IF(Z99="",0,Z99),"0")+IFERROR(IF(Z100="",0,Z100),"0")+IFERROR(IF(Z101="",0,Z101),"0")+IFERROR(IF(Z102="",0,Z102),"0")+IFERROR(IF(Z103="",0,Z103),"0")+IFERROR(IF(Z104="",0,Z104),"0")</f>
        <v>1.75224</v>
      </c>
      <c r="AA105" s="67"/>
      <c r="AB105" s="67"/>
      <c r="AC105" s="67"/>
    </row>
    <row r="106" spans="1:68" x14ac:dyDescent="0.2">
      <c r="A106" s="298"/>
      <c r="B106" s="298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298"/>
      <c r="O106" s="299"/>
      <c r="P106" s="295" t="s">
        <v>40</v>
      </c>
      <c r="Q106" s="296"/>
      <c r="R106" s="296"/>
      <c r="S106" s="296"/>
      <c r="T106" s="296"/>
      <c r="U106" s="296"/>
      <c r="V106" s="297"/>
      <c r="W106" s="42" t="s">
        <v>0</v>
      </c>
      <c r="X106" s="43">
        <f>IFERROR(SUMPRODUCT(X99:X104*H99:H104),"0")</f>
        <v>282.24</v>
      </c>
      <c r="Y106" s="43">
        <f>IFERROR(SUMPRODUCT(Y99:Y104*H99:H104),"0")</f>
        <v>282.24</v>
      </c>
      <c r="Z106" s="42"/>
      <c r="AA106" s="67"/>
      <c r="AB106" s="67"/>
      <c r="AC106" s="67"/>
    </row>
    <row r="107" spans="1:68" ht="16.5" hidden="1" customHeight="1" x14ac:dyDescent="0.25">
      <c r="A107" s="321" t="s">
        <v>197</v>
      </c>
      <c r="B107" s="321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65"/>
      <c r="AB107" s="65"/>
      <c r="AC107" s="82"/>
    </row>
    <row r="108" spans="1:68" ht="14.25" hidden="1" customHeight="1" x14ac:dyDescent="0.25">
      <c r="A108" s="309" t="s">
        <v>149</v>
      </c>
      <c r="B108" s="309"/>
      <c r="C108" s="309"/>
      <c r="D108" s="309"/>
      <c r="E108" s="309"/>
      <c r="F108" s="309"/>
      <c r="G108" s="309"/>
      <c r="H108" s="309"/>
      <c r="I108" s="309"/>
      <c r="J108" s="309"/>
      <c r="K108" s="309"/>
      <c r="L108" s="309"/>
      <c r="M108" s="309"/>
      <c r="N108" s="309"/>
      <c r="O108" s="309"/>
      <c r="P108" s="309"/>
      <c r="Q108" s="309"/>
      <c r="R108" s="309"/>
      <c r="S108" s="309"/>
      <c r="T108" s="309"/>
      <c r="U108" s="309"/>
      <c r="V108" s="309"/>
      <c r="W108" s="309"/>
      <c r="X108" s="309"/>
      <c r="Y108" s="309"/>
      <c r="Z108" s="309"/>
      <c r="AA108" s="66"/>
      <c r="AB108" s="66"/>
      <c r="AC108" s="83"/>
    </row>
    <row r="109" spans="1:68" ht="27" hidden="1" customHeight="1" x14ac:dyDescent="0.25">
      <c r="A109" s="63" t="s">
        <v>198</v>
      </c>
      <c r="B109" s="63" t="s">
        <v>199</v>
      </c>
      <c r="C109" s="36">
        <v>4301136070</v>
      </c>
      <c r="D109" s="291">
        <v>4607025784012</v>
      </c>
      <c r="E109" s="291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116</v>
      </c>
      <c r="L109" s="37" t="s">
        <v>117</v>
      </c>
      <c r="M109" s="38" t="s">
        <v>84</v>
      </c>
      <c r="N109" s="38"/>
      <c r="O109" s="37">
        <v>180</v>
      </c>
      <c r="P109" s="36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3"/>
      <c r="R109" s="293"/>
      <c r="S109" s="293"/>
      <c r="T109" s="294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200</v>
      </c>
      <c r="AG109" s="81"/>
      <c r="AJ109" s="87" t="s">
        <v>118</v>
      </c>
      <c r="AK109" s="87">
        <v>14</v>
      </c>
      <c r="BB109" s="164" t="s">
        <v>115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hidden="1" customHeight="1" x14ac:dyDescent="0.25">
      <c r="A110" s="63" t="s">
        <v>201</v>
      </c>
      <c r="B110" s="63" t="s">
        <v>202</v>
      </c>
      <c r="C110" s="36">
        <v>4301136079</v>
      </c>
      <c r="D110" s="291">
        <v>4607025784319</v>
      </c>
      <c r="E110" s="291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116</v>
      </c>
      <c r="L110" s="37" t="s">
        <v>117</v>
      </c>
      <c r="M110" s="38" t="s">
        <v>84</v>
      </c>
      <c r="N110" s="38"/>
      <c r="O110" s="37">
        <v>180</v>
      </c>
      <c r="P110" s="36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3"/>
      <c r="R110" s="293"/>
      <c r="S110" s="293"/>
      <c r="T110" s="294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173</v>
      </c>
      <c r="AG110" s="81"/>
      <c r="AJ110" s="87" t="s">
        <v>118</v>
      </c>
      <c r="AK110" s="87">
        <v>14</v>
      </c>
      <c r="BB110" s="166" t="s">
        <v>115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hidden="1" x14ac:dyDescent="0.2">
      <c r="A111" s="298"/>
      <c r="B111" s="298"/>
      <c r="C111" s="298"/>
      <c r="D111" s="298"/>
      <c r="E111" s="298"/>
      <c r="F111" s="298"/>
      <c r="G111" s="298"/>
      <c r="H111" s="298"/>
      <c r="I111" s="298"/>
      <c r="J111" s="298"/>
      <c r="K111" s="298"/>
      <c r="L111" s="298"/>
      <c r="M111" s="298"/>
      <c r="N111" s="298"/>
      <c r="O111" s="299"/>
      <c r="P111" s="295" t="s">
        <v>40</v>
      </c>
      <c r="Q111" s="296"/>
      <c r="R111" s="296"/>
      <c r="S111" s="296"/>
      <c r="T111" s="296"/>
      <c r="U111" s="296"/>
      <c r="V111" s="297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hidden="1" x14ac:dyDescent="0.2">
      <c r="A112" s="298"/>
      <c r="B112" s="298"/>
      <c r="C112" s="298"/>
      <c r="D112" s="298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9"/>
      <c r="P112" s="295" t="s">
        <v>40</v>
      </c>
      <c r="Q112" s="296"/>
      <c r="R112" s="296"/>
      <c r="S112" s="296"/>
      <c r="T112" s="296"/>
      <c r="U112" s="296"/>
      <c r="V112" s="297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hidden="1" customHeight="1" x14ac:dyDescent="0.25">
      <c r="A113" s="321" t="s">
        <v>203</v>
      </c>
      <c r="B113" s="321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65"/>
      <c r="AB113" s="65"/>
      <c r="AC113" s="82"/>
    </row>
    <row r="114" spans="1:68" ht="14.25" hidden="1" customHeight="1" x14ac:dyDescent="0.25">
      <c r="A114" s="309" t="s">
        <v>80</v>
      </c>
      <c r="B114" s="309"/>
      <c r="C114" s="309"/>
      <c r="D114" s="309"/>
      <c r="E114" s="309"/>
      <c r="F114" s="309"/>
      <c r="G114" s="309"/>
      <c r="H114" s="309"/>
      <c r="I114" s="309"/>
      <c r="J114" s="309"/>
      <c r="K114" s="309"/>
      <c r="L114" s="309"/>
      <c r="M114" s="309"/>
      <c r="N114" s="309"/>
      <c r="O114" s="309"/>
      <c r="P114" s="309"/>
      <c r="Q114" s="309"/>
      <c r="R114" s="309"/>
      <c r="S114" s="309"/>
      <c r="T114" s="309"/>
      <c r="U114" s="309"/>
      <c r="V114" s="309"/>
      <c r="W114" s="309"/>
      <c r="X114" s="309"/>
      <c r="Y114" s="309"/>
      <c r="Z114" s="309"/>
      <c r="AA114" s="66"/>
      <c r="AB114" s="66"/>
      <c r="AC114" s="83"/>
    </row>
    <row r="115" spans="1:68" ht="27" hidden="1" customHeight="1" x14ac:dyDescent="0.25">
      <c r="A115" s="63" t="s">
        <v>204</v>
      </c>
      <c r="B115" s="63" t="s">
        <v>205</v>
      </c>
      <c r="C115" s="36">
        <v>4301071074</v>
      </c>
      <c r="D115" s="291">
        <v>4620207491157</v>
      </c>
      <c r="E115" s="291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36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3"/>
      <c r="R115" s="293"/>
      <c r="S115" s="293"/>
      <c r="T115" s="294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206</v>
      </c>
      <c r="AG115" s="81"/>
      <c r="AJ115" s="87" t="s">
        <v>118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hidden="1" customHeight="1" x14ac:dyDescent="0.25">
      <c r="A116" s="63" t="s">
        <v>207</v>
      </c>
      <c r="B116" s="63" t="s">
        <v>208</v>
      </c>
      <c r="C116" s="36">
        <v>4301071121</v>
      </c>
      <c r="D116" s="291">
        <v>4620207491393</v>
      </c>
      <c r="E116" s="291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85</v>
      </c>
      <c r="L116" s="37" t="s">
        <v>86</v>
      </c>
      <c r="M116" s="38" t="s">
        <v>84</v>
      </c>
      <c r="N116" s="38"/>
      <c r="O116" s="37">
        <v>180</v>
      </c>
      <c r="P116" s="36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3"/>
      <c r="R116" s="293"/>
      <c r="S116" s="293"/>
      <c r="T116" s="294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209</v>
      </c>
      <c r="AG116" s="81"/>
      <c r="AJ116" s="87" t="s">
        <v>87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hidden="1" customHeight="1" x14ac:dyDescent="0.25">
      <c r="A117" s="63" t="s">
        <v>210</v>
      </c>
      <c r="B117" s="63" t="s">
        <v>211</v>
      </c>
      <c r="C117" s="36">
        <v>4301071051</v>
      </c>
      <c r="D117" s="291">
        <v>4607111039262</v>
      </c>
      <c r="E117" s="291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85</v>
      </c>
      <c r="L117" s="37" t="s">
        <v>117</v>
      </c>
      <c r="M117" s="38" t="s">
        <v>84</v>
      </c>
      <c r="N117" s="38"/>
      <c r="O117" s="37">
        <v>180</v>
      </c>
      <c r="P117" s="36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3"/>
      <c r="R117" s="293"/>
      <c r="S117" s="293"/>
      <c r="T117" s="294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166</v>
      </c>
      <c r="AG117" s="81"/>
      <c r="AJ117" s="87" t="s">
        <v>118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212</v>
      </c>
      <c r="B118" s="63" t="s">
        <v>213</v>
      </c>
      <c r="C118" s="36">
        <v>4301071038</v>
      </c>
      <c r="D118" s="291">
        <v>4607111039248</v>
      </c>
      <c r="E118" s="291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85</v>
      </c>
      <c r="L118" s="37" t="s">
        <v>117</v>
      </c>
      <c r="M118" s="38" t="s">
        <v>84</v>
      </c>
      <c r="N118" s="38"/>
      <c r="O118" s="37">
        <v>180</v>
      </c>
      <c r="P118" s="36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3"/>
      <c r="R118" s="293"/>
      <c r="S118" s="293"/>
      <c r="T118" s="294"/>
      <c r="U118" s="39" t="s">
        <v>46</v>
      </c>
      <c r="V118" s="39" t="s">
        <v>46</v>
      </c>
      <c r="W118" s="40" t="s">
        <v>39</v>
      </c>
      <c r="X118" s="58">
        <v>48</v>
      </c>
      <c r="Y118" s="55">
        <f t="shared" si="12"/>
        <v>48</v>
      </c>
      <c r="Z118" s="41">
        <f t="shared" si="13"/>
        <v>0.74399999999999999</v>
      </c>
      <c r="AA118" s="68" t="s">
        <v>46</v>
      </c>
      <c r="AB118" s="69" t="s">
        <v>46</v>
      </c>
      <c r="AC118" s="173" t="s">
        <v>166</v>
      </c>
      <c r="AG118" s="81"/>
      <c r="AJ118" s="87" t="s">
        <v>118</v>
      </c>
      <c r="AK118" s="87">
        <v>12</v>
      </c>
      <c r="BB118" s="174" t="s">
        <v>70</v>
      </c>
      <c r="BM118" s="81">
        <f t="shared" si="14"/>
        <v>350.4</v>
      </c>
      <c r="BN118" s="81">
        <f t="shared" si="15"/>
        <v>350.4</v>
      </c>
      <c r="BO118" s="81">
        <f t="shared" si="16"/>
        <v>0.5714285714285714</v>
      </c>
      <c r="BP118" s="81">
        <f t="shared" si="17"/>
        <v>0.5714285714285714</v>
      </c>
    </row>
    <row r="119" spans="1:68" ht="27" hidden="1" customHeight="1" x14ac:dyDescent="0.25">
      <c r="A119" s="63" t="s">
        <v>214</v>
      </c>
      <c r="B119" s="63" t="s">
        <v>215</v>
      </c>
      <c r="C119" s="36">
        <v>4301070979</v>
      </c>
      <c r="D119" s="291">
        <v>4607111037145</v>
      </c>
      <c r="E119" s="291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85</v>
      </c>
      <c r="L119" s="37" t="s">
        <v>86</v>
      </c>
      <c r="M119" s="38" t="s">
        <v>84</v>
      </c>
      <c r="N119" s="38"/>
      <c r="O119" s="37">
        <v>180</v>
      </c>
      <c r="P119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3"/>
      <c r="R119" s="293"/>
      <c r="S119" s="293"/>
      <c r="T119" s="294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216</v>
      </c>
      <c r="AG119" s="81"/>
      <c r="AJ119" s="87" t="s">
        <v>87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hidden="1" customHeight="1" x14ac:dyDescent="0.25">
      <c r="A120" s="63" t="s">
        <v>217</v>
      </c>
      <c r="B120" s="63" t="s">
        <v>218</v>
      </c>
      <c r="C120" s="36">
        <v>4301071049</v>
      </c>
      <c r="D120" s="291">
        <v>4607111039293</v>
      </c>
      <c r="E120" s="291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85</v>
      </c>
      <c r="L120" s="37" t="s">
        <v>117</v>
      </c>
      <c r="M120" s="38" t="s">
        <v>84</v>
      </c>
      <c r="N120" s="38"/>
      <c r="O120" s="37">
        <v>180</v>
      </c>
      <c r="P120" s="36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3"/>
      <c r="R120" s="293"/>
      <c r="S120" s="293"/>
      <c r="T120" s="294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166</v>
      </c>
      <c r="AG120" s="81"/>
      <c r="AJ120" s="87" t="s">
        <v>118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219</v>
      </c>
      <c r="B121" s="63" t="s">
        <v>220</v>
      </c>
      <c r="C121" s="36">
        <v>4301071039</v>
      </c>
      <c r="D121" s="291">
        <v>4607111039279</v>
      </c>
      <c r="E121" s="291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85</v>
      </c>
      <c r="L121" s="37" t="s">
        <v>117</v>
      </c>
      <c r="M121" s="38" t="s">
        <v>84</v>
      </c>
      <c r="N121" s="38"/>
      <c r="O121" s="37">
        <v>180</v>
      </c>
      <c r="P121" s="36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3"/>
      <c r="R121" s="293"/>
      <c r="S121" s="293"/>
      <c r="T121" s="294"/>
      <c r="U121" s="39" t="s">
        <v>46</v>
      </c>
      <c r="V121" s="39" t="s">
        <v>46</v>
      </c>
      <c r="W121" s="40" t="s">
        <v>39</v>
      </c>
      <c r="X121" s="58">
        <v>48</v>
      </c>
      <c r="Y121" s="55">
        <f t="shared" si="12"/>
        <v>48</v>
      </c>
      <c r="Z121" s="41">
        <f t="shared" si="13"/>
        <v>0.74399999999999999</v>
      </c>
      <c r="AA121" s="68" t="s">
        <v>46</v>
      </c>
      <c r="AB121" s="69" t="s">
        <v>46</v>
      </c>
      <c r="AC121" s="179" t="s">
        <v>166</v>
      </c>
      <c r="AG121" s="81"/>
      <c r="AJ121" s="87" t="s">
        <v>118</v>
      </c>
      <c r="AK121" s="87">
        <v>12</v>
      </c>
      <c r="BB121" s="180" t="s">
        <v>70</v>
      </c>
      <c r="BM121" s="81">
        <f t="shared" si="14"/>
        <v>350.4</v>
      </c>
      <c r="BN121" s="81">
        <f t="shared" si="15"/>
        <v>350.4</v>
      </c>
      <c r="BO121" s="81">
        <f t="shared" si="16"/>
        <v>0.5714285714285714</v>
      </c>
      <c r="BP121" s="81">
        <f t="shared" si="17"/>
        <v>0.5714285714285714</v>
      </c>
    </row>
    <row r="122" spans="1:68" x14ac:dyDescent="0.2">
      <c r="A122" s="298"/>
      <c r="B122" s="298"/>
      <c r="C122" s="298"/>
      <c r="D122" s="298"/>
      <c r="E122" s="298"/>
      <c r="F122" s="298"/>
      <c r="G122" s="298"/>
      <c r="H122" s="298"/>
      <c r="I122" s="298"/>
      <c r="J122" s="298"/>
      <c r="K122" s="298"/>
      <c r="L122" s="298"/>
      <c r="M122" s="298"/>
      <c r="N122" s="298"/>
      <c r="O122" s="299"/>
      <c r="P122" s="295" t="s">
        <v>40</v>
      </c>
      <c r="Q122" s="296"/>
      <c r="R122" s="296"/>
      <c r="S122" s="296"/>
      <c r="T122" s="296"/>
      <c r="U122" s="296"/>
      <c r="V122" s="297"/>
      <c r="W122" s="42" t="s">
        <v>39</v>
      </c>
      <c r="X122" s="43">
        <f>IFERROR(SUM(X115:X121),"0")</f>
        <v>96</v>
      </c>
      <c r="Y122" s="43">
        <f>IFERROR(SUM(Y115:Y121),"0")</f>
        <v>96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1.488</v>
      </c>
      <c r="AA122" s="67"/>
      <c r="AB122" s="67"/>
      <c r="AC122" s="67"/>
    </row>
    <row r="123" spans="1:68" x14ac:dyDescent="0.2">
      <c r="A123" s="298"/>
      <c r="B123" s="298"/>
      <c r="C123" s="298"/>
      <c r="D123" s="298"/>
      <c r="E123" s="298"/>
      <c r="F123" s="298"/>
      <c r="G123" s="298"/>
      <c r="H123" s="298"/>
      <c r="I123" s="298"/>
      <c r="J123" s="298"/>
      <c r="K123" s="298"/>
      <c r="L123" s="298"/>
      <c r="M123" s="298"/>
      <c r="N123" s="298"/>
      <c r="O123" s="299"/>
      <c r="P123" s="295" t="s">
        <v>40</v>
      </c>
      <c r="Q123" s="296"/>
      <c r="R123" s="296"/>
      <c r="S123" s="296"/>
      <c r="T123" s="296"/>
      <c r="U123" s="296"/>
      <c r="V123" s="297"/>
      <c r="W123" s="42" t="s">
        <v>0</v>
      </c>
      <c r="X123" s="43">
        <f>IFERROR(SUMPRODUCT(X115:X121*H115:H121),"0")</f>
        <v>672</v>
      </c>
      <c r="Y123" s="43">
        <f>IFERROR(SUMPRODUCT(Y115:Y121*H115:H121),"0")</f>
        <v>672</v>
      </c>
      <c r="Z123" s="42"/>
      <c r="AA123" s="67"/>
      <c r="AB123" s="67"/>
      <c r="AC123" s="67"/>
    </row>
    <row r="124" spans="1:68" ht="14.25" hidden="1" customHeight="1" x14ac:dyDescent="0.25">
      <c r="A124" s="309" t="s">
        <v>155</v>
      </c>
      <c r="B124" s="309"/>
      <c r="C124" s="309"/>
      <c r="D124" s="309"/>
      <c r="E124" s="309"/>
      <c r="F124" s="309"/>
      <c r="G124" s="309"/>
      <c r="H124" s="309"/>
      <c r="I124" s="309"/>
      <c r="J124" s="309"/>
      <c r="K124" s="309"/>
      <c r="L124" s="309"/>
      <c r="M124" s="309"/>
      <c r="N124" s="309"/>
      <c r="O124" s="309"/>
      <c r="P124" s="309"/>
      <c r="Q124" s="309"/>
      <c r="R124" s="309"/>
      <c r="S124" s="309"/>
      <c r="T124" s="309"/>
      <c r="U124" s="309"/>
      <c r="V124" s="309"/>
      <c r="W124" s="309"/>
      <c r="X124" s="309"/>
      <c r="Y124" s="309"/>
      <c r="Z124" s="309"/>
      <c r="AA124" s="66"/>
      <c r="AB124" s="66"/>
      <c r="AC124" s="83"/>
    </row>
    <row r="125" spans="1:68" ht="27" hidden="1" customHeight="1" x14ac:dyDescent="0.25">
      <c r="A125" s="63" t="s">
        <v>221</v>
      </c>
      <c r="B125" s="63" t="s">
        <v>222</v>
      </c>
      <c r="C125" s="36">
        <v>4301135826</v>
      </c>
      <c r="D125" s="291">
        <v>4620207490983</v>
      </c>
      <c r="E125" s="291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116</v>
      </c>
      <c r="L125" s="37" t="s">
        <v>86</v>
      </c>
      <c r="M125" s="38" t="s">
        <v>84</v>
      </c>
      <c r="N125" s="38"/>
      <c r="O125" s="37">
        <v>180</v>
      </c>
      <c r="P125" s="35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3"/>
      <c r="R125" s="293"/>
      <c r="S125" s="293"/>
      <c r="T125" s="294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223</v>
      </c>
      <c r="AG125" s="81"/>
      <c r="AJ125" s="87" t="s">
        <v>87</v>
      </c>
      <c r="AK125" s="87">
        <v>1</v>
      </c>
      <c r="BB125" s="182" t="s">
        <v>115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idden="1" x14ac:dyDescent="0.2">
      <c r="A126" s="298"/>
      <c r="B126" s="298"/>
      <c r="C126" s="298"/>
      <c r="D126" s="298"/>
      <c r="E126" s="298"/>
      <c r="F126" s="298"/>
      <c r="G126" s="298"/>
      <c r="H126" s="298"/>
      <c r="I126" s="298"/>
      <c r="J126" s="298"/>
      <c r="K126" s="298"/>
      <c r="L126" s="298"/>
      <c r="M126" s="298"/>
      <c r="N126" s="298"/>
      <c r="O126" s="299"/>
      <c r="P126" s="295" t="s">
        <v>40</v>
      </c>
      <c r="Q126" s="296"/>
      <c r="R126" s="296"/>
      <c r="S126" s="296"/>
      <c r="T126" s="296"/>
      <c r="U126" s="296"/>
      <c r="V126" s="297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298"/>
      <c r="B127" s="298"/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  <c r="O127" s="299"/>
      <c r="P127" s="295" t="s">
        <v>40</v>
      </c>
      <c r="Q127" s="296"/>
      <c r="R127" s="296"/>
      <c r="S127" s="296"/>
      <c r="T127" s="296"/>
      <c r="U127" s="296"/>
      <c r="V127" s="297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hidden="1" customHeight="1" x14ac:dyDescent="0.25">
      <c r="A128" s="309" t="s">
        <v>224</v>
      </c>
      <c r="B128" s="309"/>
      <c r="C128" s="309"/>
      <c r="D128" s="309"/>
      <c r="E128" s="309"/>
      <c r="F128" s="309"/>
      <c r="G128" s="309"/>
      <c r="H128" s="309"/>
      <c r="I128" s="309"/>
      <c r="J128" s="309"/>
      <c r="K128" s="309"/>
      <c r="L128" s="309"/>
      <c r="M128" s="309"/>
      <c r="N128" s="309"/>
      <c r="O128" s="309"/>
      <c r="P128" s="309"/>
      <c r="Q128" s="309"/>
      <c r="R128" s="309"/>
      <c r="S128" s="309"/>
      <c r="T128" s="309"/>
      <c r="U128" s="309"/>
      <c r="V128" s="309"/>
      <c r="W128" s="309"/>
      <c r="X128" s="309"/>
      <c r="Y128" s="309"/>
      <c r="Z128" s="309"/>
      <c r="AA128" s="66"/>
      <c r="AB128" s="66"/>
      <c r="AC128" s="83"/>
    </row>
    <row r="129" spans="1:68" ht="27" hidden="1" customHeight="1" x14ac:dyDescent="0.25">
      <c r="A129" s="63" t="s">
        <v>225</v>
      </c>
      <c r="B129" s="63" t="s">
        <v>226</v>
      </c>
      <c r="C129" s="36">
        <v>4301071094</v>
      </c>
      <c r="D129" s="291">
        <v>4620207491140</v>
      </c>
      <c r="E129" s="291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85</v>
      </c>
      <c r="L129" s="37" t="s">
        <v>86</v>
      </c>
      <c r="M129" s="38" t="s">
        <v>84</v>
      </c>
      <c r="N129" s="38"/>
      <c r="O129" s="37">
        <v>180</v>
      </c>
      <c r="P129" s="35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3"/>
      <c r="R129" s="293"/>
      <c r="S129" s="293"/>
      <c r="T129" s="294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227</v>
      </c>
      <c r="AG129" s="81"/>
      <c r="AJ129" s="87" t="s">
        <v>87</v>
      </c>
      <c r="AK129" s="87">
        <v>1</v>
      </c>
      <c r="BB129" s="184" t="s">
        <v>115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idden="1" x14ac:dyDescent="0.2">
      <c r="A130" s="298"/>
      <c r="B130" s="298"/>
      <c r="C130" s="298"/>
      <c r="D130" s="298"/>
      <c r="E130" s="298"/>
      <c r="F130" s="298"/>
      <c r="G130" s="298"/>
      <c r="H130" s="298"/>
      <c r="I130" s="298"/>
      <c r="J130" s="298"/>
      <c r="K130" s="298"/>
      <c r="L130" s="298"/>
      <c r="M130" s="298"/>
      <c r="N130" s="298"/>
      <c r="O130" s="299"/>
      <c r="P130" s="295" t="s">
        <v>40</v>
      </c>
      <c r="Q130" s="296"/>
      <c r="R130" s="296"/>
      <c r="S130" s="296"/>
      <c r="T130" s="296"/>
      <c r="U130" s="296"/>
      <c r="V130" s="297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8"/>
      <c r="M131" s="298"/>
      <c r="N131" s="298"/>
      <c r="O131" s="299"/>
      <c r="P131" s="295" t="s">
        <v>40</v>
      </c>
      <c r="Q131" s="296"/>
      <c r="R131" s="296"/>
      <c r="S131" s="296"/>
      <c r="T131" s="296"/>
      <c r="U131" s="296"/>
      <c r="V131" s="297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hidden="1" customHeight="1" x14ac:dyDescent="0.25">
      <c r="A132" s="321" t="s">
        <v>228</v>
      </c>
      <c r="B132" s="321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65"/>
      <c r="AB132" s="65"/>
      <c r="AC132" s="82"/>
    </row>
    <row r="133" spans="1:68" ht="14.25" hidden="1" customHeight="1" x14ac:dyDescent="0.25">
      <c r="A133" s="309" t="s">
        <v>155</v>
      </c>
      <c r="B133" s="309"/>
      <c r="C133" s="309"/>
      <c r="D133" s="309"/>
      <c r="E133" s="309"/>
      <c r="F133" s="309"/>
      <c r="G133" s="309"/>
      <c r="H133" s="309"/>
      <c r="I133" s="309"/>
      <c r="J133" s="309"/>
      <c r="K133" s="309"/>
      <c r="L133" s="309"/>
      <c r="M133" s="309"/>
      <c r="N133" s="309"/>
      <c r="O133" s="309"/>
      <c r="P133" s="309"/>
      <c r="Q133" s="309"/>
      <c r="R133" s="309"/>
      <c r="S133" s="309"/>
      <c r="T133" s="309"/>
      <c r="U133" s="309"/>
      <c r="V133" s="309"/>
      <c r="W133" s="309"/>
      <c r="X133" s="309"/>
      <c r="Y133" s="309"/>
      <c r="Z133" s="309"/>
      <c r="AA133" s="66"/>
      <c r="AB133" s="66"/>
      <c r="AC133" s="83"/>
    </row>
    <row r="134" spans="1:68" ht="27" customHeight="1" x14ac:dyDescent="0.25">
      <c r="A134" s="63" t="s">
        <v>229</v>
      </c>
      <c r="B134" s="63" t="s">
        <v>230</v>
      </c>
      <c r="C134" s="36">
        <v>4301135848</v>
      </c>
      <c r="D134" s="291">
        <v>4620207491799</v>
      </c>
      <c r="E134" s="291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116</v>
      </c>
      <c r="L134" s="37" t="s">
        <v>86</v>
      </c>
      <c r="M134" s="38" t="s">
        <v>84</v>
      </c>
      <c r="N134" s="38"/>
      <c r="O134" s="37">
        <v>180</v>
      </c>
      <c r="P134" s="35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93"/>
      <c r="R134" s="293"/>
      <c r="S134" s="293"/>
      <c r="T134" s="294"/>
      <c r="U134" s="39" t="s">
        <v>46</v>
      </c>
      <c r="V134" s="39" t="s">
        <v>46</v>
      </c>
      <c r="W134" s="40" t="s">
        <v>39</v>
      </c>
      <c r="X134" s="58">
        <v>98</v>
      </c>
      <c r="Y134" s="55">
        <f>IFERROR(IF(X134="","",X134),"")</f>
        <v>98</v>
      </c>
      <c r="Z134" s="41">
        <f>IFERROR(IF(X134="","",X134*0.00941),"")</f>
        <v>0.92218</v>
      </c>
      <c r="AA134" s="68" t="s">
        <v>46</v>
      </c>
      <c r="AB134" s="69" t="s">
        <v>46</v>
      </c>
      <c r="AC134" s="185" t="s">
        <v>231</v>
      </c>
      <c r="AG134" s="81"/>
      <c r="AJ134" s="87" t="s">
        <v>87</v>
      </c>
      <c r="AK134" s="87">
        <v>1</v>
      </c>
      <c r="BB134" s="186" t="s">
        <v>115</v>
      </c>
      <c r="BM134" s="81">
        <f>IFERROR(X134*I134,"0")</f>
        <v>176.4</v>
      </c>
      <c r="BN134" s="81">
        <f>IFERROR(Y134*I134,"0")</f>
        <v>176.4</v>
      </c>
      <c r="BO134" s="81">
        <f>IFERROR(X134/J134,"0")</f>
        <v>0.7</v>
      </c>
      <c r="BP134" s="81">
        <f>IFERROR(Y134/J134,"0")</f>
        <v>0.7</v>
      </c>
    </row>
    <row r="135" spans="1:68" ht="27" hidden="1" customHeight="1" x14ac:dyDescent="0.25">
      <c r="A135" s="63" t="s">
        <v>232</v>
      </c>
      <c r="B135" s="63" t="s">
        <v>233</v>
      </c>
      <c r="C135" s="36">
        <v>4301135850</v>
      </c>
      <c r="D135" s="291">
        <v>4620207491492</v>
      </c>
      <c r="E135" s="291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35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93"/>
      <c r="R135" s="293"/>
      <c r="S135" s="293"/>
      <c r="T135" s="294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231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hidden="1" customHeight="1" x14ac:dyDescent="0.25">
      <c r="A136" s="63" t="s">
        <v>234</v>
      </c>
      <c r="B136" s="63" t="s">
        <v>235</v>
      </c>
      <c r="C136" s="36">
        <v>4301190118</v>
      </c>
      <c r="D136" s="291">
        <v>4620207491461</v>
      </c>
      <c r="E136" s="291"/>
      <c r="F136" s="62">
        <v>0.22</v>
      </c>
      <c r="G136" s="37">
        <v>6</v>
      </c>
      <c r="H136" s="62">
        <v>1.32</v>
      </c>
      <c r="I136" s="62">
        <v>1.74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35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93"/>
      <c r="R136" s="293"/>
      <c r="S136" s="293"/>
      <c r="T136" s="294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231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hidden="1" customHeight="1" x14ac:dyDescent="0.25">
      <c r="A137" s="63" t="s">
        <v>236</v>
      </c>
      <c r="B137" s="63" t="s">
        <v>237</v>
      </c>
      <c r="C137" s="36">
        <v>4301135865</v>
      </c>
      <c r="D137" s="291">
        <v>4620207491485</v>
      </c>
      <c r="E137" s="291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35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93"/>
      <c r="R137" s="293"/>
      <c r="S137" s="293"/>
      <c r="T137" s="294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231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x14ac:dyDescent="0.2">
      <c r="A138" s="298"/>
      <c r="B138" s="298"/>
      <c r="C138" s="298"/>
      <c r="D138" s="298"/>
      <c r="E138" s="298"/>
      <c r="F138" s="298"/>
      <c r="G138" s="298"/>
      <c r="H138" s="298"/>
      <c r="I138" s="298"/>
      <c r="J138" s="298"/>
      <c r="K138" s="298"/>
      <c r="L138" s="298"/>
      <c r="M138" s="298"/>
      <c r="N138" s="298"/>
      <c r="O138" s="299"/>
      <c r="P138" s="295" t="s">
        <v>40</v>
      </c>
      <c r="Q138" s="296"/>
      <c r="R138" s="296"/>
      <c r="S138" s="296"/>
      <c r="T138" s="296"/>
      <c r="U138" s="296"/>
      <c r="V138" s="297"/>
      <c r="W138" s="42" t="s">
        <v>39</v>
      </c>
      <c r="X138" s="43">
        <f>IFERROR(SUM(X134:X137),"0")</f>
        <v>98</v>
      </c>
      <c r="Y138" s="43">
        <f>IFERROR(SUM(Y134:Y137),"0")</f>
        <v>98</v>
      </c>
      <c r="Z138" s="43">
        <f>IFERROR(IF(Z134="",0,Z134),"0")+IFERROR(IF(Z135="",0,Z135),"0")+IFERROR(IF(Z136="",0,Z136),"0")+IFERROR(IF(Z137="",0,Z137),"0")</f>
        <v>0.92218</v>
      </c>
      <c r="AA138" s="67"/>
      <c r="AB138" s="67"/>
      <c r="AC138" s="67"/>
    </row>
    <row r="139" spans="1:68" x14ac:dyDescent="0.2">
      <c r="A139" s="298"/>
      <c r="B139" s="298"/>
      <c r="C139" s="298"/>
      <c r="D139" s="298"/>
      <c r="E139" s="298"/>
      <c r="F139" s="298"/>
      <c r="G139" s="298"/>
      <c r="H139" s="298"/>
      <c r="I139" s="298"/>
      <c r="J139" s="298"/>
      <c r="K139" s="298"/>
      <c r="L139" s="298"/>
      <c r="M139" s="298"/>
      <c r="N139" s="298"/>
      <c r="O139" s="299"/>
      <c r="P139" s="295" t="s">
        <v>40</v>
      </c>
      <c r="Q139" s="296"/>
      <c r="R139" s="296"/>
      <c r="S139" s="296"/>
      <c r="T139" s="296"/>
      <c r="U139" s="296"/>
      <c r="V139" s="297"/>
      <c r="W139" s="42" t="s">
        <v>0</v>
      </c>
      <c r="X139" s="43">
        <f>IFERROR(SUMPRODUCT(X134:X137*H134:H137),"0")</f>
        <v>135.23999999999998</v>
      </c>
      <c r="Y139" s="43">
        <f>IFERROR(SUMPRODUCT(Y134:Y137*H134:H137),"0")</f>
        <v>135.23999999999998</v>
      </c>
      <c r="Z139" s="42"/>
      <c r="AA139" s="67"/>
      <c r="AB139" s="67"/>
      <c r="AC139" s="67"/>
    </row>
    <row r="140" spans="1:68" ht="14.25" hidden="1" customHeight="1" x14ac:dyDescent="0.25">
      <c r="A140" s="309" t="s">
        <v>238</v>
      </c>
      <c r="B140" s="309"/>
      <c r="C140" s="309"/>
      <c r="D140" s="309"/>
      <c r="E140" s="309"/>
      <c r="F140" s="309"/>
      <c r="G140" s="309"/>
      <c r="H140" s="309"/>
      <c r="I140" s="309"/>
      <c r="J140" s="309"/>
      <c r="K140" s="309"/>
      <c r="L140" s="309"/>
      <c r="M140" s="309"/>
      <c r="N140" s="309"/>
      <c r="O140" s="309"/>
      <c r="P140" s="309"/>
      <c r="Q140" s="309"/>
      <c r="R140" s="309"/>
      <c r="S140" s="309"/>
      <c r="T140" s="309"/>
      <c r="U140" s="309"/>
      <c r="V140" s="309"/>
      <c r="W140" s="309"/>
      <c r="X140" s="309"/>
      <c r="Y140" s="309"/>
      <c r="Z140" s="309"/>
      <c r="AA140" s="66"/>
      <c r="AB140" s="66"/>
      <c r="AC140" s="83"/>
    </row>
    <row r="141" spans="1:68" ht="27" hidden="1" customHeight="1" x14ac:dyDescent="0.25">
      <c r="A141" s="63" t="s">
        <v>239</v>
      </c>
      <c r="B141" s="63" t="s">
        <v>240</v>
      </c>
      <c r="C141" s="36">
        <v>4301190117</v>
      </c>
      <c r="D141" s="291">
        <v>4620207491386</v>
      </c>
      <c r="E141" s="291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116</v>
      </c>
      <c r="L141" s="37" t="s">
        <v>86</v>
      </c>
      <c r="M141" s="38" t="s">
        <v>84</v>
      </c>
      <c r="N141" s="38"/>
      <c r="O141" s="37">
        <v>180</v>
      </c>
      <c r="P141" s="35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93"/>
      <c r="R141" s="293"/>
      <c r="S141" s="293"/>
      <c r="T141" s="294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241</v>
      </c>
      <c r="AG141" s="81"/>
      <c r="AJ141" s="87" t="s">
        <v>87</v>
      </c>
      <c r="AK141" s="87">
        <v>1</v>
      </c>
      <c r="BB141" s="194" t="s">
        <v>115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hidden="1" customHeight="1" x14ac:dyDescent="0.25">
      <c r="A142" s="63" t="s">
        <v>242</v>
      </c>
      <c r="B142" s="63" t="s">
        <v>243</v>
      </c>
      <c r="C142" s="36">
        <v>4301190115</v>
      </c>
      <c r="D142" s="291">
        <v>4620207491362</v>
      </c>
      <c r="E142" s="291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116</v>
      </c>
      <c r="L142" s="37" t="s">
        <v>86</v>
      </c>
      <c r="M142" s="38" t="s">
        <v>84</v>
      </c>
      <c r="N142" s="38"/>
      <c r="O142" s="37">
        <v>180</v>
      </c>
      <c r="P142" s="35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93"/>
      <c r="R142" s="293"/>
      <c r="S142" s="293"/>
      <c r="T142" s="294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241</v>
      </c>
      <c r="AG142" s="81"/>
      <c r="AJ142" s="87" t="s">
        <v>87</v>
      </c>
      <c r="AK142" s="87">
        <v>1</v>
      </c>
      <c r="BB142" s="196" t="s">
        <v>115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hidden="1" customHeight="1" x14ac:dyDescent="0.25">
      <c r="A143" s="63" t="s">
        <v>244</v>
      </c>
      <c r="B143" s="63" t="s">
        <v>245</v>
      </c>
      <c r="C143" s="36">
        <v>4301190116</v>
      </c>
      <c r="D143" s="291">
        <v>4620207491379</v>
      </c>
      <c r="E143" s="291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116</v>
      </c>
      <c r="L143" s="37" t="s">
        <v>86</v>
      </c>
      <c r="M143" s="38" t="s">
        <v>84</v>
      </c>
      <c r="N143" s="38"/>
      <c r="O143" s="37">
        <v>180</v>
      </c>
      <c r="P143" s="35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93"/>
      <c r="R143" s="293"/>
      <c r="S143" s="293"/>
      <c r="T143" s="294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241</v>
      </c>
      <c r="AG143" s="81"/>
      <c r="AJ143" s="87" t="s">
        <v>87</v>
      </c>
      <c r="AK143" s="87">
        <v>1</v>
      </c>
      <c r="BB143" s="198" t="s">
        <v>115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idden="1" x14ac:dyDescent="0.2">
      <c r="A144" s="298"/>
      <c r="B144" s="298"/>
      <c r="C144" s="298"/>
      <c r="D144" s="298"/>
      <c r="E144" s="298"/>
      <c r="F144" s="298"/>
      <c r="G144" s="298"/>
      <c r="H144" s="298"/>
      <c r="I144" s="298"/>
      <c r="J144" s="298"/>
      <c r="K144" s="298"/>
      <c r="L144" s="298"/>
      <c r="M144" s="298"/>
      <c r="N144" s="298"/>
      <c r="O144" s="299"/>
      <c r="P144" s="295" t="s">
        <v>40</v>
      </c>
      <c r="Q144" s="296"/>
      <c r="R144" s="296"/>
      <c r="S144" s="296"/>
      <c r="T144" s="296"/>
      <c r="U144" s="296"/>
      <c r="V144" s="297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298"/>
      <c r="B145" s="298"/>
      <c r="C145" s="298"/>
      <c r="D145" s="298"/>
      <c r="E145" s="298"/>
      <c r="F145" s="298"/>
      <c r="G145" s="298"/>
      <c r="H145" s="298"/>
      <c r="I145" s="298"/>
      <c r="J145" s="298"/>
      <c r="K145" s="298"/>
      <c r="L145" s="298"/>
      <c r="M145" s="298"/>
      <c r="N145" s="298"/>
      <c r="O145" s="299"/>
      <c r="P145" s="295" t="s">
        <v>40</v>
      </c>
      <c r="Q145" s="296"/>
      <c r="R145" s="296"/>
      <c r="S145" s="296"/>
      <c r="T145" s="296"/>
      <c r="U145" s="296"/>
      <c r="V145" s="297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hidden="1" customHeight="1" x14ac:dyDescent="0.25">
      <c r="A146" s="321" t="s">
        <v>246</v>
      </c>
      <c r="B146" s="321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65"/>
      <c r="AB146" s="65"/>
      <c r="AC146" s="82"/>
    </row>
    <row r="147" spans="1:68" ht="14.25" hidden="1" customHeight="1" x14ac:dyDescent="0.25">
      <c r="A147" s="309" t="s">
        <v>155</v>
      </c>
      <c r="B147" s="309"/>
      <c r="C147" s="309"/>
      <c r="D147" s="309"/>
      <c r="E147" s="309"/>
      <c r="F147" s="309"/>
      <c r="G147" s="309"/>
      <c r="H147" s="309"/>
      <c r="I147" s="309"/>
      <c r="J147" s="309"/>
      <c r="K147" s="309"/>
      <c r="L147" s="309"/>
      <c r="M147" s="309"/>
      <c r="N147" s="309"/>
      <c r="O147" s="309"/>
      <c r="P147" s="309"/>
      <c r="Q147" s="309"/>
      <c r="R147" s="309"/>
      <c r="S147" s="309"/>
      <c r="T147" s="309"/>
      <c r="U147" s="309"/>
      <c r="V147" s="309"/>
      <c r="W147" s="309"/>
      <c r="X147" s="309"/>
      <c r="Y147" s="309"/>
      <c r="Z147" s="309"/>
      <c r="AA147" s="66"/>
      <c r="AB147" s="66"/>
      <c r="AC147" s="83"/>
    </row>
    <row r="148" spans="1:68" ht="27" customHeight="1" x14ac:dyDescent="0.25">
      <c r="A148" s="63" t="s">
        <v>247</v>
      </c>
      <c r="B148" s="63" t="s">
        <v>248</v>
      </c>
      <c r="C148" s="36">
        <v>4301135555</v>
      </c>
      <c r="D148" s="291">
        <v>4607111034014</v>
      </c>
      <c r="E148" s="291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116</v>
      </c>
      <c r="L148" s="37" t="s">
        <v>117</v>
      </c>
      <c r="M148" s="38" t="s">
        <v>84</v>
      </c>
      <c r="N148" s="38"/>
      <c r="O148" s="37">
        <v>180</v>
      </c>
      <c r="P148" s="34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93"/>
      <c r="R148" s="293"/>
      <c r="S148" s="293"/>
      <c r="T148" s="294"/>
      <c r="U148" s="39" t="s">
        <v>46</v>
      </c>
      <c r="V148" s="39" t="s">
        <v>46</v>
      </c>
      <c r="W148" s="40" t="s">
        <v>39</v>
      </c>
      <c r="X148" s="58">
        <v>98</v>
      </c>
      <c r="Y148" s="55">
        <f>IFERROR(IF(X148="","",X148),"")</f>
        <v>98</v>
      </c>
      <c r="Z148" s="41">
        <f>IFERROR(IF(X148="","",X148*0.01788),"")</f>
        <v>1.75224</v>
      </c>
      <c r="AA148" s="68" t="s">
        <v>46</v>
      </c>
      <c r="AB148" s="69" t="s">
        <v>46</v>
      </c>
      <c r="AC148" s="199" t="s">
        <v>249</v>
      </c>
      <c r="AG148" s="81"/>
      <c r="AJ148" s="87" t="s">
        <v>118</v>
      </c>
      <c r="AK148" s="87">
        <v>14</v>
      </c>
      <c r="BB148" s="200" t="s">
        <v>115</v>
      </c>
      <c r="BM148" s="81">
        <f>IFERROR(X148*I148,"0")</f>
        <v>362.95279999999997</v>
      </c>
      <c r="BN148" s="81">
        <f>IFERROR(Y148*I148,"0")</f>
        <v>362.95279999999997</v>
      </c>
      <c r="BO148" s="81">
        <f>IFERROR(X148/J148,"0")</f>
        <v>1.4</v>
      </c>
      <c r="BP148" s="81">
        <f>IFERROR(Y148/J148,"0")</f>
        <v>1.4</v>
      </c>
    </row>
    <row r="149" spans="1:68" ht="27" hidden="1" customHeight="1" x14ac:dyDescent="0.25">
      <c r="A149" s="63" t="s">
        <v>250</v>
      </c>
      <c r="B149" s="63" t="s">
        <v>251</v>
      </c>
      <c r="C149" s="36">
        <v>4301135532</v>
      </c>
      <c r="D149" s="291">
        <v>4607111033994</v>
      </c>
      <c r="E149" s="291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116</v>
      </c>
      <c r="L149" s="37" t="s">
        <v>117</v>
      </c>
      <c r="M149" s="38" t="s">
        <v>84</v>
      </c>
      <c r="N149" s="38"/>
      <c r="O149" s="37">
        <v>180</v>
      </c>
      <c r="P149" s="34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93"/>
      <c r="R149" s="293"/>
      <c r="S149" s="293"/>
      <c r="T149" s="294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201" t="s">
        <v>173</v>
      </c>
      <c r="AG149" s="81"/>
      <c r="AJ149" s="87" t="s">
        <v>118</v>
      </c>
      <c r="AK149" s="87">
        <v>14</v>
      </c>
      <c r="BB149" s="202" t="s">
        <v>115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x14ac:dyDescent="0.2">
      <c r="A150" s="298"/>
      <c r="B150" s="298"/>
      <c r="C150" s="298"/>
      <c r="D150" s="298"/>
      <c r="E150" s="298"/>
      <c r="F150" s="298"/>
      <c r="G150" s="298"/>
      <c r="H150" s="298"/>
      <c r="I150" s="298"/>
      <c r="J150" s="298"/>
      <c r="K150" s="298"/>
      <c r="L150" s="298"/>
      <c r="M150" s="298"/>
      <c r="N150" s="298"/>
      <c r="O150" s="299"/>
      <c r="P150" s="295" t="s">
        <v>40</v>
      </c>
      <c r="Q150" s="296"/>
      <c r="R150" s="296"/>
      <c r="S150" s="296"/>
      <c r="T150" s="296"/>
      <c r="U150" s="296"/>
      <c r="V150" s="297"/>
      <c r="W150" s="42" t="s">
        <v>39</v>
      </c>
      <c r="X150" s="43">
        <f>IFERROR(SUM(X148:X149),"0")</f>
        <v>98</v>
      </c>
      <c r="Y150" s="43">
        <f>IFERROR(SUM(Y148:Y149),"0")</f>
        <v>98</v>
      </c>
      <c r="Z150" s="43">
        <f>IFERROR(IF(Z148="",0,Z148),"0")+IFERROR(IF(Z149="",0,Z149),"0")</f>
        <v>1.75224</v>
      </c>
      <c r="AA150" s="67"/>
      <c r="AB150" s="67"/>
      <c r="AC150" s="67"/>
    </row>
    <row r="151" spans="1:68" x14ac:dyDescent="0.2">
      <c r="A151" s="298"/>
      <c r="B151" s="298"/>
      <c r="C151" s="298"/>
      <c r="D151" s="298"/>
      <c r="E151" s="298"/>
      <c r="F151" s="298"/>
      <c r="G151" s="298"/>
      <c r="H151" s="298"/>
      <c r="I151" s="298"/>
      <c r="J151" s="298"/>
      <c r="K151" s="298"/>
      <c r="L151" s="298"/>
      <c r="M151" s="298"/>
      <c r="N151" s="298"/>
      <c r="O151" s="299"/>
      <c r="P151" s="295" t="s">
        <v>40</v>
      </c>
      <c r="Q151" s="296"/>
      <c r="R151" s="296"/>
      <c r="S151" s="296"/>
      <c r="T151" s="296"/>
      <c r="U151" s="296"/>
      <c r="V151" s="297"/>
      <c r="W151" s="42" t="s">
        <v>0</v>
      </c>
      <c r="X151" s="43">
        <f>IFERROR(SUMPRODUCT(X148:X149*H148:H149),"0")</f>
        <v>294</v>
      </c>
      <c r="Y151" s="43">
        <f>IFERROR(SUMPRODUCT(Y148:Y149*H148:H149),"0")</f>
        <v>294</v>
      </c>
      <c r="Z151" s="42"/>
      <c r="AA151" s="67"/>
      <c r="AB151" s="67"/>
      <c r="AC151" s="67"/>
    </row>
    <row r="152" spans="1:68" ht="16.5" hidden="1" customHeight="1" x14ac:dyDescent="0.25">
      <c r="A152" s="321" t="s">
        <v>252</v>
      </c>
      <c r="B152" s="321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65"/>
      <c r="AB152" s="65"/>
      <c r="AC152" s="82"/>
    </row>
    <row r="153" spans="1:68" ht="14.25" hidden="1" customHeight="1" x14ac:dyDescent="0.25">
      <c r="A153" s="309" t="s">
        <v>155</v>
      </c>
      <c r="B153" s="309"/>
      <c r="C153" s="309"/>
      <c r="D153" s="309"/>
      <c r="E153" s="309"/>
      <c r="F153" s="309"/>
      <c r="G153" s="309"/>
      <c r="H153" s="309"/>
      <c r="I153" s="309"/>
      <c r="J153" s="309"/>
      <c r="K153" s="309"/>
      <c r="L153" s="309"/>
      <c r="M153" s="309"/>
      <c r="N153" s="309"/>
      <c r="O153" s="309"/>
      <c r="P153" s="309"/>
      <c r="Q153" s="309"/>
      <c r="R153" s="309"/>
      <c r="S153" s="309"/>
      <c r="T153" s="309"/>
      <c r="U153" s="309"/>
      <c r="V153" s="309"/>
      <c r="W153" s="309"/>
      <c r="X153" s="309"/>
      <c r="Y153" s="309"/>
      <c r="Z153" s="309"/>
      <c r="AA153" s="66"/>
      <c r="AB153" s="66"/>
      <c r="AC153" s="83"/>
    </row>
    <row r="154" spans="1:68" ht="27" customHeight="1" x14ac:dyDescent="0.25">
      <c r="A154" s="63" t="s">
        <v>253</v>
      </c>
      <c r="B154" s="63" t="s">
        <v>254</v>
      </c>
      <c r="C154" s="36">
        <v>4301135824</v>
      </c>
      <c r="D154" s="291">
        <v>4607111039095</v>
      </c>
      <c r="E154" s="291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116</v>
      </c>
      <c r="L154" s="37" t="s">
        <v>86</v>
      </c>
      <c r="M154" s="38" t="s">
        <v>84</v>
      </c>
      <c r="N154" s="38"/>
      <c r="O154" s="37">
        <v>180</v>
      </c>
      <c r="P154" s="34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93"/>
      <c r="R154" s="293"/>
      <c r="S154" s="293"/>
      <c r="T154" s="294"/>
      <c r="U154" s="39" t="s">
        <v>46</v>
      </c>
      <c r="V154" s="39" t="s">
        <v>46</v>
      </c>
      <c r="W154" s="40" t="s">
        <v>39</v>
      </c>
      <c r="X154" s="58">
        <v>28</v>
      </c>
      <c r="Y154" s="55">
        <f>IFERROR(IF(X154="","",X154),"")</f>
        <v>28</v>
      </c>
      <c r="Z154" s="41">
        <f>IFERROR(IF(X154="","",X154*0.01788),"")</f>
        <v>0.50063999999999997</v>
      </c>
      <c r="AA154" s="68" t="s">
        <v>46</v>
      </c>
      <c r="AB154" s="69" t="s">
        <v>46</v>
      </c>
      <c r="AC154" s="203" t="s">
        <v>255</v>
      </c>
      <c r="AG154" s="81"/>
      <c r="AJ154" s="87" t="s">
        <v>87</v>
      </c>
      <c r="AK154" s="87">
        <v>1</v>
      </c>
      <c r="BB154" s="204" t="s">
        <v>115</v>
      </c>
      <c r="BM154" s="81">
        <f>IFERROR(X154*I154,"0")</f>
        <v>104.944</v>
      </c>
      <c r="BN154" s="81">
        <f>IFERROR(Y154*I154,"0")</f>
        <v>104.944</v>
      </c>
      <c r="BO154" s="81">
        <f>IFERROR(X154/J154,"0")</f>
        <v>0.4</v>
      </c>
      <c r="BP154" s="81">
        <f>IFERROR(Y154/J154,"0")</f>
        <v>0.4</v>
      </c>
    </row>
    <row r="155" spans="1:68" ht="16.5" customHeight="1" x14ac:dyDescent="0.25">
      <c r="A155" s="63" t="s">
        <v>256</v>
      </c>
      <c r="B155" s="63" t="s">
        <v>257</v>
      </c>
      <c r="C155" s="36">
        <v>4301135550</v>
      </c>
      <c r="D155" s="291">
        <v>4607111034199</v>
      </c>
      <c r="E155" s="291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116</v>
      </c>
      <c r="L155" s="37" t="s">
        <v>117</v>
      </c>
      <c r="M155" s="38" t="s">
        <v>84</v>
      </c>
      <c r="N155" s="38"/>
      <c r="O155" s="37">
        <v>180</v>
      </c>
      <c r="P155" s="34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93"/>
      <c r="R155" s="293"/>
      <c r="S155" s="293"/>
      <c r="T155" s="294"/>
      <c r="U155" s="39" t="s">
        <v>46</v>
      </c>
      <c r="V155" s="39" t="s">
        <v>46</v>
      </c>
      <c r="W155" s="40" t="s">
        <v>39</v>
      </c>
      <c r="X155" s="58">
        <v>28</v>
      </c>
      <c r="Y155" s="55">
        <f>IFERROR(IF(X155="","",X155),"")</f>
        <v>28</v>
      </c>
      <c r="Z155" s="41">
        <f>IFERROR(IF(X155="","",X155*0.01788),"")</f>
        <v>0.50063999999999997</v>
      </c>
      <c r="AA155" s="68" t="s">
        <v>46</v>
      </c>
      <c r="AB155" s="69" t="s">
        <v>46</v>
      </c>
      <c r="AC155" s="205" t="s">
        <v>258</v>
      </c>
      <c r="AG155" s="81"/>
      <c r="AJ155" s="87" t="s">
        <v>118</v>
      </c>
      <c r="AK155" s="87">
        <v>14</v>
      </c>
      <c r="BB155" s="206" t="s">
        <v>115</v>
      </c>
      <c r="BM155" s="81">
        <f>IFERROR(X155*I155,"0")</f>
        <v>103.70079999999999</v>
      </c>
      <c r="BN155" s="81">
        <f>IFERROR(Y155*I155,"0")</f>
        <v>103.70079999999999</v>
      </c>
      <c r="BO155" s="81">
        <f>IFERROR(X155/J155,"0")</f>
        <v>0.4</v>
      </c>
      <c r="BP155" s="81">
        <f>IFERROR(Y155/J155,"0")</f>
        <v>0.4</v>
      </c>
    </row>
    <row r="156" spans="1:68" x14ac:dyDescent="0.2">
      <c r="A156" s="298"/>
      <c r="B156" s="298"/>
      <c r="C156" s="298"/>
      <c r="D156" s="298"/>
      <c r="E156" s="298"/>
      <c r="F156" s="298"/>
      <c r="G156" s="298"/>
      <c r="H156" s="298"/>
      <c r="I156" s="298"/>
      <c r="J156" s="298"/>
      <c r="K156" s="298"/>
      <c r="L156" s="298"/>
      <c r="M156" s="298"/>
      <c r="N156" s="298"/>
      <c r="O156" s="299"/>
      <c r="P156" s="295" t="s">
        <v>40</v>
      </c>
      <c r="Q156" s="296"/>
      <c r="R156" s="296"/>
      <c r="S156" s="296"/>
      <c r="T156" s="296"/>
      <c r="U156" s="296"/>
      <c r="V156" s="297"/>
      <c r="W156" s="42" t="s">
        <v>39</v>
      </c>
      <c r="X156" s="43">
        <f>IFERROR(SUM(X154:X155),"0")</f>
        <v>56</v>
      </c>
      <c r="Y156" s="43">
        <f>IFERROR(SUM(Y154:Y155),"0")</f>
        <v>56</v>
      </c>
      <c r="Z156" s="43">
        <f>IFERROR(IF(Z154="",0,Z154),"0")+IFERROR(IF(Z155="",0,Z155),"0")</f>
        <v>1.0012799999999999</v>
      </c>
      <c r="AA156" s="67"/>
      <c r="AB156" s="67"/>
      <c r="AC156" s="67"/>
    </row>
    <row r="157" spans="1:68" x14ac:dyDescent="0.2">
      <c r="A157" s="298"/>
      <c r="B157" s="298"/>
      <c r="C157" s="298"/>
      <c r="D157" s="298"/>
      <c r="E157" s="298"/>
      <c r="F157" s="298"/>
      <c r="G157" s="298"/>
      <c r="H157" s="298"/>
      <c r="I157" s="298"/>
      <c r="J157" s="298"/>
      <c r="K157" s="298"/>
      <c r="L157" s="298"/>
      <c r="M157" s="298"/>
      <c r="N157" s="298"/>
      <c r="O157" s="299"/>
      <c r="P157" s="295" t="s">
        <v>40</v>
      </c>
      <c r="Q157" s="296"/>
      <c r="R157" s="296"/>
      <c r="S157" s="296"/>
      <c r="T157" s="296"/>
      <c r="U157" s="296"/>
      <c r="V157" s="297"/>
      <c r="W157" s="42" t="s">
        <v>0</v>
      </c>
      <c r="X157" s="43">
        <f>IFERROR(SUMPRODUCT(X154:X155*H154:H155),"0")</f>
        <v>168</v>
      </c>
      <c r="Y157" s="43">
        <f>IFERROR(SUMPRODUCT(Y154:Y155*H154:H155),"0")</f>
        <v>168</v>
      </c>
      <c r="Z157" s="42"/>
      <c r="AA157" s="67"/>
      <c r="AB157" s="67"/>
      <c r="AC157" s="67"/>
    </row>
    <row r="158" spans="1:68" ht="16.5" hidden="1" customHeight="1" x14ac:dyDescent="0.25">
      <c r="A158" s="321" t="s">
        <v>259</v>
      </c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65"/>
      <c r="AB158" s="65"/>
      <c r="AC158" s="82"/>
    </row>
    <row r="159" spans="1:68" ht="14.25" hidden="1" customHeight="1" x14ac:dyDescent="0.25">
      <c r="A159" s="309" t="s">
        <v>155</v>
      </c>
      <c r="B159" s="309"/>
      <c r="C159" s="309"/>
      <c r="D159" s="309"/>
      <c r="E159" s="309"/>
      <c r="F159" s="309"/>
      <c r="G159" s="309"/>
      <c r="H159" s="309"/>
      <c r="I159" s="309"/>
      <c r="J159" s="309"/>
      <c r="K159" s="309"/>
      <c r="L159" s="309"/>
      <c r="M159" s="309"/>
      <c r="N159" s="309"/>
      <c r="O159" s="309"/>
      <c r="P159" s="309"/>
      <c r="Q159" s="309"/>
      <c r="R159" s="309"/>
      <c r="S159" s="309"/>
      <c r="T159" s="309"/>
      <c r="U159" s="309"/>
      <c r="V159" s="309"/>
      <c r="W159" s="309"/>
      <c r="X159" s="309"/>
      <c r="Y159" s="309"/>
      <c r="Z159" s="309"/>
      <c r="AA159" s="66"/>
      <c r="AB159" s="66"/>
      <c r="AC159" s="83"/>
    </row>
    <row r="160" spans="1:68" ht="27" customHeight="1" x14ac:dyDescent="0.25">
      <c r="A160" s="63" t="s">
        <v>260</v>
      </c>
      <c r="B160" s="63" t="s">
        <v>261</v>
      </c>
      <c r="C160" s="36">
        <v>4301135753</v>
      </c>
      <c r="D160" s="291">
        <v>4620207490914</v>
      </c>
      <c r="E160" s="291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116</v>
      </c>
      <c r="L160" s="37" t="s">
        <v>86</v>
      </c>
      <c r="M160" s="38" t="s">
        <v>84</v>
      </c>
      <c r="N160" s="38"/>
      <c r="O160" s="37">
        <v>180</v>
      </c>
      <c r="P160" s="34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93"/>
      <c r="R160" s="293"/>
      <c r="S160" s="293"/>
      <c r="T160" s="294"/>
      <c r="U160" s="39" t="s">
        <v>46</v>
      </c>
      <c r="V160" s="39" t="s">
        <v>46</v>
      </c>
      <c r="W160" s="40" t="s">
        <v>39</v>
      </c>
      <c r="X160" s="58">
        <v>28</v>
      </c>
      <c r="Y160" s="55">
        <f>IFERROR(IF(X160="","",X160),"")</f>
        <v>28</v>
      </c>
      <c r="Z160" s="41">
        <f>IFERROR(IF(X160="","",X160*0.01788),"")</f>
        <v>0.50063999999999997</v>
      </c>
      <c r="AA160" s="68" t="s">
        <v>46</v>
      </c>
      <c r="AB160" s="69" t="s">
        <v>46</v>
      </c>
      <c r="AC160" s="207" t="s">
        <v>249</v>
      </c>
      <c r="AG160" s="81"/>
      <c r="AJ160" s="87" t="s">
        <v>87</v>
      </c>
      <c r="AK160" s="87">
        <v>1</v>
      </c>
      <c r="BB160" s="208" t="s">
        <v>115</v>
      </c>
      <c r="BM160" s="81">
        <f>IFERROR(X160*I160,"0")</f>
        <v>75.040000000000006</v>
      </c>
      <c r="BN160" s="81">
        <f>IFERROR(Y160*I160,"0")</f>
        <v>75.040000000000006</v>
      </c>
      <c r="BO160" s="81">
        <f>IFERROR(X160/J160,"0")</f>
        <v>0.4</v>
      </c>
      <c r="BP160" s="81">
        <f>IFERROR(Y160/J160,"0")</f>
        <v>0.4</v>
      </c>
    </row>
    <row r="161" spans="1:68" ht="27" customHeight="1" x14ac:dyDescent="0.25">
      <c r="A161" s="63" t="s">
        <v>262</v>
      </c>
      <c r="B161" s="63" t="s">
        <v>263</v>
      </c>
      <c r="C161" s="36">
        <v>4301135778</v>
      </c>
      <c r="D161" s="291">
        <v>4620207490853</v>
      </c>
      <c r="E161" s="291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116</v>
      </c>
      <c r="L161" s="37" t="s">
        <v>117</v>
      </c>
      <c r="M161" s="38" t="s">
        <v>84</v>
      </c>
      <c r="N161" s="38"/>
      <c r="O161" s="37">
        <v>180</v>
      </c>
      <c r="P161" s="34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93"/>
      <c r="R161" s="293"/>
      <c r="S161" s="293"/>
      <c r="T161" s="294"/>
      <c r="U161" s="39" t="s">
        <v>46</v>
      </c>
      <c r="V161" s="39" t="s">
        <v>46</v>
      </c>
      <c r="W161" s="40" t="s">
        <v>39</v>
      </c>
      <c r="X161" s="58">
        <v>28</v>
      </c>
      <c r="Y161" s="55">
        <f>IFERROR(IF(X161="","",X161),"")</f>
        <v>28</v>
      </c>
      <c r="Z161" s="41">
        <f>IFERROR(IF(X161="","",X161*0.01788),"")</f>
        <v>0.50063999999999997</v>
      </c>
      <c r="AA161" s="68" t="s">
        <v>46</v>
      </c>
      <c r="AB161" s="69" t="s">
        <v>46</v>
      </c>
      <c r="AC161" s="209" t="s">
        <v>249</v>
      </c>
      <c r="AG161" s="81"/>
      <c r="AJ161" s="87" t="s">
        <v>118</v>
      </c>
      <c r="AK161" s="87">
        <v>14</v>
      </c>
      <c r="BB161" s="210" t="s">
        <v>115</v>
      </c>
      <c r="BM161" s="81">
        <f>IFERROR(X161*I161,"0")</f>
        <v>75.040000000000006</v>
      </c>
      <c r="BN161" s="81">
        <f>IFERROR(Y161*I161,"0")</f>
        <v>75.040000000000006</v>
      </c>
      <c r="BO161" s="81">
        <f>IFERROR(X161/J161,"0")</f>
        <v>0.4</v>
      </c>
      <c r="BP161" s="81">
        <f>IFERROR(Y161/J161,"0")</f>
        <v>0.4</v>
      </c>
    </row>
    <row r="162" spans="1:68" x14ac:dyDescent="0.2">
      <c r="A162" s="298"/>
      <c r="B162" s="298"/>
      <c r="C162" s="298"/>
      <c r="D162" s="298"/>
      <c r="E162" s="298"/>
      <c r="F162" s="298"/>
      <c r="G162" s="298"/>
      <c r="H162" s="298"/>
      <c r="I162" s="298"/>
      <c r="J162" s="298"/>
      <c r="K162" s="298"/>
      <c r="L162" s="298"/>
      <c r="M162" s="298"/>
      <c r="N162" s="298"/>
      <c r="O162" s="299"/>
      <c r="P162" s="295" t="s">
        <v>40</v>
      </c>
      <c r="Q162" s="296"/>
      <c r="R162" s="296"/>
      <c r="S162" s="296"/>
      <c r="T162" s="296"/>
      <c r="U162" s="296"/>
      <c r="V162" s="297"/>
      <c r="W162" s="42" t="s">
        <v>39</v>
      </c>
      <c r="X162" s="43">
        <f>IFERROR(SUM(X160:X161),"0")</f>
        <v>56</v>
      </c>
      <c r="Y162" s="43">
        <f>IFERROR(SUM(Y160:Y161),"0")</f>
        <v>56</v>
      </c>
      <c r="Z162" s="43">
        <f>IFERROR(IF(Z160="",0,Z160),"0")+IFERROR(IF(Z161="",0,Z161),"0")</f>
        <v>1.0012799999999999</v>
      </c>
      <c r="AA162" s="67"/>
      <c r="AB162" s="67"/>
      <c r="AC162" s="67"/>
    </row>
    <row r="163" spans="1:68" x14ac:dyDescent="0.2">
      <c r="A163" s="298"/>
      <c r="B163" s="298"/>
      <c r="C163" s="298"/>
      <c r="D163" s="298"/>
      <c r="E163" s="298"/>
      <c r="F163" s="298"/>
      <c r="G163" s="298"/>
      <c r="H163" s="298"/>
      <c r="I163" s="298"/>
      <c r="J163" s="298"/>
      <c r="K163" s="298"/>
      <c r="L163" s="298"/>
      <c r="M163" s="298"/>
      <c r="N163" s="298"/>
      <c r="O163" s="299"/>
      <c r="P163" s="295" t="s">
        <v>40</v>
      </c>
      <c r="Q163" s="296"/>
      <c r="R163" s="296"/>
      <c r="S163" s="296"/>
      <c r="T163" s="296"/>
      <c r="U163" s="296"/>
      <c r="V163" s="297"/>
      <c r="W163" s="42" t="s">
        <v>0</v>
      </c>
      <c r="X163" s="43">
        <f>IFERROR(SUMPRODUCT(X160:X161*H160:H161),"0")</f>
        <v>134.4</v>
      </c>
      <c r="Y163" s="43">
        <f>IFERROR(SUMPRODUCT(Y160:Y161*H160:H161),"0")</f>
        <v>134.4</v>
      </c>
      <c r="Z163" s="42"/>
      <c r="AA163" s="67"/>
      <c r="AB163" s="67"/>
      <c r="AC163" s="67"/>
    </row>
    <row r="164" spans="1:68" ht="16.5" hidden="1" customHeight="1" x14ac:dyDescent="0.25">
      <c r="A164" s="321" t="s">
        <v>264</v>
      </c>
      <c r="B164" s="321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65"/>
      <c r="AB164" s="65"/>
      <c r="AC164" s="82"/>
    </row>
    <row r="165" spans="1:68" ht="14.25" hidden="1" customHeight="1" x14ac:dyDescent="0.25">
      <c r="A165" s="309" t="s">
        <v>155</v>
      </c>
      <c r="B165" s="309"/>
      <c r="C165" s="309"/>
      <c r="D165" s="309"/>
      <c r="E165" s="309"/>
      <c r="F165" s="309"/>
      <c r="G165" s="309"/>
      <c r="H165" s="309"/>
      <c r="I165" s="309"/>
      <c r="J165" s="309"/>
      <c r="K165" s="309"/>
      <c r="L165" s="309"/>
      <c r="M165" s="309"/>
      <c r="N165" s="309"/>
      <c r="O165" s="309"/>
      <c r="P165" s="309"/>
      <c r="Q165" s="309"/>
      <c r="R165" s="309"/>
      <c r="S165" s="309"/>
      <c r="T165" s="309"/>
      <c r="U165" s="309"/>
      <c r="V165" s="309"/>
      <c r="W165" s="309"/>
      <c r="X165" s="309"/>
      <c r="Y165" s="309"/>
      <c r="Z165" s="309"/>
      <c r="AA165" s="66"/>
      <c r="AB165" s="66"/>
      <c r="AC165" s="83"/>
    </row>
    <row r="166" spans="1:68" ht="27" customHeight="1" x14ac:dyDescent="0.25">
      <c r="A166" s="63" t="s">
        <v>265</v>
      </c>
      <c r="B166" s="63" t="s">
        <v>266</v>
      </c>
      <c r="C166" s="36">
        <v>4301135570</v>
      </c>
      <c r="D166" s="291">
        <v>4607111035806</v>
      </c>
      <c r="E166" s="291"/>
      <c r="F166" s="62">
        <v>0.25</v>
      </c>
      <c r="G166" s="37">
        <v>12</v>
      </c>
      <c r="H166" s="62">
        <v>3</v>
      </c>
      <c r="I166" s="62">
        <v>3.7035999999999998</v>
      </c>
      <c r="J166" s="37">
        <v>70</v>
      </c>
      <c r="K166" s="37" t="s">
        <v>116</v>
      </c>
      <c r="L166" s="37" t="s">
        <v>117</v>
      </c>
      <c r="M166" s="38" t="s">
        <v>84</v>
      </c>
      <c r="N166" s="38"/>
      <c r="O166" s="37">
        <v>180</v>
      </c>
      <c r="P166" s="3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93"/>
      <c r="R166" s="293"/>
      <c r="S166" s="293"/>
      <c r="T166" s="294"/>
      <c r="U166" s="39" t="s">
        <v>46</v>
      </c>
      <c r="V166" s="39" t="s">
        <v>46</v>
      </c>
      <c r="W166" s="40" t="s">
        <v>39</v>
      </c>
      <c r="X166" s="58">
        <v>14</v>
      </c>
      <c r="Y166" s="55">
        <f>IFERROR(IF(X166="","",X166),"")</f>
        <v>14</v>
      </c>
      <c r="Z166" s="41">
        <f>IFERROR(IF(X166="","",X166*0.01788),"")</f>
        <v>0.25031999999999999</v>
      </c>
      <c r="AA166" s="68" t="s">
        <v>46</v>
      </c>
      <c r="AB166" s="69" t="s">
        <v>46</v>
      </c>
      <c r="AC166" s="211" t="s">
        <v>267</v>
      </c>
      <c r="AG166" s="81"/>
      <c r="AJ166" s="87" t="s">
        <v>118</v>
      </c>
      <c r="AK166" s="87">
        <v>14</v>
      </c>
      <c r="BB166" s="212" t="s">
        <v>115</v>
      </c>
      <c r="BM166" s="81">
        <f>IFERROR(X166*I166,"0")</f>
        <v>51.850399999999993</v>
      </c>
      <c r="BN166" s="81">
        <f>IFERROR(Y166*I166,"0")</f>
        <v>51.850399999999993</v>
      </c>
      <c r="BO166" s="81">
        <f>IFERROR(X166/J166,"0")</f>
        <v>0.2</v>
      </c>
      <c r="BP166" s="81">
        <f>IFERROR(Y166/J166,"0")</f>
        <v>0.2</v>
      </c>
    </row>
    <row r="167" spans="1:68" x14ac:dyDescent="0.2">
      <c r="A167" s="298"/>
      <c r="B167" s="298"/>
      <c r="C167" s="298"/>
      <c r="D167" s="298"/>
      <c r="E167" s="298"/>
      <c r="F167" s="298"/>
      <c r="G167" s="298"/>
      <c r="H167" s="298"/>
      <c r="I167" s="298"/>
      <c r="J167" s="298"/>
      <c r="K167" s="298"/>
      <c r="L167" s="298"/>
      <c r="M167" s="298"/>
      <c r="N167" s="298"/>
      <c r="O167" s="299"/>
      <c r="P167" s="295" t="s">
        <v>40</v>
      </c>
      <c r="Q167" s="296"/>
      <c r="R167" s="296"/>
      <c r="S167" s="296"/>
      <c r="T167" s="296"/>
      <c r="U167" s="296"/>
      <c r="V167" s="297"/>
      <c r="W167" s="42" t="s">
        <v>39</v>
      </c>
      <c r="X167" s="43">
        <f>IFERROR(SUM(X166:X166),"0")</f>
        <v>14</v>
      </c>
      <c r="Y167" s="43">
        <f>IFERROR(SUM(Y166:Y166),"0")</f>
        <v>14</v>
      </c>
      <c r="Z167" s="43">
        <f>IFERROR(IF(Z166="",0,Z166),"0")</f>
        <v>0.25031999999999999</v>
      </c>
      <c r="AA167" s="67"/>
      <c r="AB167" s="67"/>
      <c r="AC167" s="67"/>
    </row>
    <row r="168" spans="1:68" x14ac:dyDescent="0.2">
      <c r="A168" s="298"/>
      <c r="B168" s="298"/>
      <c r="C168" s="298"/>
      <c r="D168" s="298"/>
      <c r="E168" s="298"/>
      <c r="F168" s="298"/>
      <c r="G168" s="298"/>
      <c r="H168" s="298"/>
      <c r="I168" s="298"/>
      <c r="J168" s="298"/>
      <c r="K168" s="298"/>
      <c r="L168" s="298"/>
      <c r="M168" s="298"/>
      <c r="N168" s="298"/>
      <c r="O168" s="299"/>
      <c r="P168" s="295" t="s">
        <v>40</v>
      </c>
      <c r="Q168" s="296"/>
      <c r="R168" s="296"/>
      <c r="S168" s="296"/>
      <c r="T168" s="296"/>
      <c r="U168" s="296"/>
      <c r="V168" s="297"/>
      <c r="W168" s="42" t="s">
        <v>0</v>
      </c>
      <c r="X168" s="43">
        <f>IFERROR(SUMPRODUCT(X166:X166*H166:H166),"0")</f>
        <v>42</v>
      </c>
      <c r="Y168" s="43">
        <f>IFERROR(SUMPRODUCT(Y166:Y166*H166:H166),"0")</f>
        <v>42</v>
      </c>
      <c r="Z168" s="42"/>
      <c r="AA168" s="67"/>
      <c r="AB168" s="67"/>
      <c r="AC168" s="67"/>
    </row>
    <row r="169" spans="1:68" ht="16.5" hidden="1" customHeight="1" x14ac:dyDescent="0.25">
      <c r="A169" s="321" t="s">
        <v>268</v>
      </c>
      <c r="B169" s="321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65"/>
      <c r="AB169" s="65"/>
      <c r="AC169" s="82"/>
    </row>
    <row r="170" spans="1:68" ht="14.25" hidden="1" customHeight="1" x14ac:dyDescent="0.25">
      <c r="A170" s="309" t="s">
        <v>155</v>
      </c>
      <c r="B170" s="309"/>
      <c r="C170" s="309"/>
      <c r="D170" s="309"/>
      <c r="E170" s="309"/>
      <c r="F170" s="309"/>
      <c r="G170" s="309"/>
      <c r="H170" s="309"/>
      <c r="I170" s="309"/>
      <c r="J170" s="309"/>
      <c r="K170" s="309"/>
      <c r="L170" s="309"/>
      <c r="M170" s="309"/>
      <c r="N170" s="309"/>
      <c r="O170" s="309"/>
      <c r="P170" s="309"/>
      <c r="Q170" s="309"/>
      <c r="R170" s="309"/>
      <c r="S170" s="309"/>
      <c r="T170" s="309"/>
      <c r="U170" s="309"/>
      <c r="V170" s="309"/>
      <c r="W170" s="309"/>
      <c r="X170" s="309"/>
      <c r="Y170" s="309"/>
      <c r="Z170" s="309"/>
      <c r="AA170" s="66"/>
      <c r="AB170" s="66"/>
      <c r="AC170" s="83"/>
    </row>
    <row r="171" spans="1:68" ht="16.5" hidden="1" customHeight="1" x14ac:dyDescent="0.25">
      <c r="A171" s="63" t="s">
        <v>269</v>
      </c>
      <c r="B171" s="63" t="s">
        <v>270</v>
      </c>
      <c r="C171" s="36">
        <v>4301135607</v>
      </c>
      <c r="D171" s="291">
        <v>4607111039613</v>
      </c>
      <c r="E171" s="291"/>
      <c r="F171" s="62">
        <v>0.09</v>
      </c>
      <c r="G171" s="37">
        <v>30</v>
      </c>
      <c r="H171" s="62">
        <v>2.7</v>
      </c>
      <c r="I171" s="62">
        <v>3.09</v>
      </c>
      <c r="J171" s="37">
        <v>126</v>
      </c>
      <c r="K171" s="37" t="s">
        <v>116</v>
      </c>
      <c r="L171" s="37" t="s">
        <v>117</v>
      </c>
      <c r="M171" s="38" t="s">
        <v>84</v>
      </c>
      <c r="N171" s="38"/>
      <c r="O171" s="37">
        <v>180</v>
      </c>
      <c r="P171" s="34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93"/>
      <c r="R171" s="293"/>
      <c r="S171" s="293"/>
      <c r="T171" s="294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IFERROR(IF(X171="","",X171*0.00936),"")</f>
        <v>0</v>
      </c>
      <c r="AA171" s="68" t="s">
        <v>46</v>
      </c>
      <c r="AB171" s="69" t="s">
        <v>46</v>
      </c>
      <c r="AC171" s="213" t="s">
        <v>255</v>
      </c>
      <c r="AG171" s="81"/>
      <c r="AJ171" s="87" t="s">
        <v>118</v>
      </c>
      <c r="AK171" s="87">
        <v>14</v>
      </c>
      <c r="BB171" s="214" t="s">
        <v>115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hidden="1" x14ac:dyDescent="0.2">
      <c r="A172" s="298"/>
      <c r="B172" s="298"/>
      <c r="C172" s="298"/>
      <c r="D172" s="298"/>
      <c r="E172" s="298"/>
      <c r="F172" s="298"/>
      <c r="G172" s="298"/>
      <c r="H172" s="298"/>
      <c r="I172" s="298"/>
      <c r="J172" s="298"/>
      <c r="K172" s="298"/>
      <c r="L172" s="298"/>
      <c r="M172" s="298"/>
      <c r="N172" s="298"/>
      <c r="O172" s="299"/>
      <c r="P172" s="295" t="s">
        <v>40</v>
      </c>
      <c r="Q172" s="296"/>
      <c r="R172" s="296"/>
      <c r="S172" s="296"/>
      <c r="T172" s="296"/>
      <c r="U172" s="296"/>
      <c r="V172" s="297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hidden="1" x14ac:dyDescent="0.2">
      <c r="A173" s="298"/>
      <c r="B173" s="298"/>
      <c r="C173" s="298"/>
      <c r="D173" s="298"/>
      <c r="E173" s="298"/>
      <c r="F173" s="298"/>
      <c r="G173" s="298"/>
      <c r="H173" s="298"/>
      <c r="I173" s="298"/>
      <c r="J173" s="298"/>
      <c r="K173" s="298"/>
      <c r="L173" s="298"/>
      <c r="M173" s="298"/>
      <c r="N173" s="298"/>
      <c r="O173" s="299"/>
      <c r="P173" s="295" t="s">
        <v>40</v>
      </c>
      <c r="Q173" s="296"/>
      <c r="R173" s="296"/>
      <c r="S173" s="296"/>
      <c r="T173" s="296"/>
      <c r="U173" s="296"/>
      <c r="V173" s="297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16.5" hidden="1" customHeight="1" x14ac:dyDescent="0.25">
      <c r="A174" s="321" t="s">
        <v>271</v>
      </c>
      <c r="B174" s="321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65"/>
      <c r="AB174" s="65"/>
      <c r="AC174" s="82"/>
    </row>
    <row r="175" spans="1:68" ht="14.25" hidden="1" customHeight="1" x14ac:dyDescent="0.25">
      <c r="A175" s="309" t="s">
        <v>155</v>
      </c>
      <c r="B175" s="309"/>
      <c r="C175" s="309"/>
      <c r="D175" s="309"/>
      <c r="E175" s="309"/>
      <c r="F175" s="309"/>
      <c r="G175" s="309"/>
      <c r="H175" s="309"/>
      <c r="I175" s="309"/>
      <c r="J175" s="309"/>
      <c r="K175" s="309"/>
      <c r="L175" s="309"/>
      <c r="M175" s="309"/>
      <c r="N175" s="309"/>
      <c r="O175" s="309"/>
      <c r="P175" s="309"/>
      <c r="Q175" s="309"/>
      <c r="R175" s="309"/>
      <c r="S175" s="309"/>
      <c r="T175" s="309"/>
      <c r="U175" s="309"/>
      <c r="V175" s="309"/>
      <c r="W175" s="309"/>
      <c r="X175" s="309"/>
      <c r="Y175" s="309"/>
      <c r="Z175" s="309"/>
      <c r="AA175" s="66"/>
      <c r="AB175" s="66"/>
      <c r="AC175" s="83"/>
    </row>
    <row r="176" spans="1:68" ht="27" customHeight="1" x14ac:dyDescent="0.25">
      <c r="A176" s="63" t="s">
        <v>272</v>
      </c>
      <c r="B176" s="63" t="s">
        <v>273</v>
      </c>
      <c r="C176" s="36">
        <v>4301135591</v>
      </c>
      <c r="D176" s="291">
        <v>4607111036568</v>
      </c>
      <c r="E176" s="291"/>
      <c r="F176" s="62">
        <v>0.28000000000000003</v>
      </c>
      <c r="G176" s="37">
        <v>6</v>
      </c>
      <c r="H176" s="62">
        <v>1.68</v>
      </c>
      <c r="I176" s="62">
        <v>2.1017999999999999</v>
      </c>
      <c r="J176" s="37">
        <v>140</v>
      </c>
      <c r="K176" s="37" t="s">
        <v>116</v>
      </c>
      <c r="L176" s="37" t="s">
        <v>117</v>
      </c>
      <c r="M176" s="38" t="s">
        <v>84</v>
      </c>
      <c r="N176" s="38"/>
      <c r="O176" s="37">
        <v>180</v>
      </c>
      <c r="P176" s="34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93"/>
      <c r="R176" s="293"/>
      <c r="S176" s="293"/>
      <c r="T176" s="294"/>
      <c r="U176" s="39" t="s">
        <v>46</v>
      </c>
      <c r="V176" s="39" t="s">
        <v>46</v>
      </c>
      <c r="W176" s="40" t="s">
        <v>39</v>
      </c>
      <c r="X176" s="58">
        <v>28</v>
      </c>
      <c r="Y176" s="55">
        <f>IFERROR(IF(X176="","",X176),"")</f>
        <v>28</v>
      </c>
      <c r="Z176" s="41">
        <f>IFERROR(IF(X176="","",X176*0.00941),"")</f>
        <v>0.26347999999999999</v>
      </c>
      <c r="AA176" s="68" t="s">
        <v>46</v>
      </c>
      <c r="AB176" s="69" t="s">
        <v>46</v>
      </c>
      <c r="AC176" s="215" t="s">
        <v>274</v>
      </c>
      <c r="AG176" s="81"/>
      <c r="AJ176" s="87" t="s">
        <v>118</v>
      </c>
      <c r="AK176" s="87">
        <v>14</v>
      </c>
      <c r="BB176" s="216" t="s">
        <v>115</v>
      </c>
      <c r="BM176" s="81">
        <f>IFERROR(X176*I176,"0")</f>
        <v>58.850399999999993</v>
      </c>
      <c r="BN176" s="81">
        <f>IFERROR(Y176*I176,"0")</f>
        <v>58.850399999999993</v>
      </c>
      <c r="BO176" s="81">
        <f>IFERROR(X176/J176,"0")</f>
        <v>0.2</v>
      </c>
      <c r="BP176" s="81">
        <f>IFERROR(Y176/J176,"0")</f>
        <v>0.2</v>
      </c>
    </row>
    <row r="177" spans="1:68" x14ac:dyDescent="0.2">
      <c r="A177" s="298"/>
      <c r="B177" s="298"/>
      <c r="C177" s="298"/>
      <c r="D177" s="298"/>
      <c r="E177" s="298"/>
      <c r="F177" s="298"/>
      <c r="G177" s="298"/>
      <c r="H177" s="298"/>
      <c r="I177" s="298"/>
      <c r="J177" s="298"/>
      <c r="K177" s="298"/>
      <c r="L177" s="298"/>
      <c r="M177" s="298"/>
      <c r="N177" s="298"/>
      <c r="O177" s="299"/>
      <c r="P177" s="295" t="s">
        <v>40</v>
      </c>
      <c r="Q177" s="296"/>
      <c r="R177" s="296"/>
      <c r="S177" s="296"/>
      <c r="T177" s="296"/>
      <c r="U177" s="296"/>
      <c r="V177" s="297"/>
      <c r="W177" s="42" t="s">
        <v>39</v>
      </c>
      <c r="X177" s="43">
        <f>IFERROR(SUM(X176:X176),"0")</f>
        <v>28</v>
      </c>
      <c r="Y177" s="43">
        <f>IFERROR(SUM(Y176:Y176),"0")</f>
        <v>28</v>
      </c>
      <c r="Z177" s="43">
        <f>IFERROR(IF(Z176="",0,Z176),"0")</f>
        <v>0.26347999999999999</v>
      </c>
      <c r="AA177" s="67"/>
      <c r="AB177" s="67"/>
      <c r="AC177" s="67"/>
    </row>
    <row r="178" spans="1:68" x14ac:dyDescent="0.2">
      <c r="A178" s="298"/>
      <c r="B178" s="298"/>
      <c r="C178" s="298"/>
      <c r="D178" s="298"/>
      <c r="E178" s="298"/>
      <c r="F178" s="298"/>
      <c r="G178" s="298"/>
      <c r="H178" s="298"/>
      <c r="I178" s="298"/>
      <c r="J178" s="298"/>
      <c r="K178" s="298"/>
      <c r="L178" s="298"/>
      <c r="M178" s="298"/>
      <c r="N178" s="298"/>
      <c r="O178" s="299"/>
      <c r="P178" s="295" t="s">
        <v>40</v>
      </c>
      <c r="Q178" s="296"/>
      <c r="R178" s="296"/>
      <c r="S178" s="296"/>
      <c r="T178" s="296"/>
      <c r="U178" s="296"/>
      <c r="V178" s="297"/>
      <c r="W178" s="42" t="s">
        <v>0</v>
      </c>
      <c r="X178" s="43">
        <f>IFERROR(SUMPRODUCT(X176:X176*H176:H176),"0")</f>
        <v>47.04</v>
      </c>
      <c r="Y178" s="43">
        <f>IFERROR(SUMPRODUCT(Y176:Y176*H176:H176),"0")</f>
        <v>47.04</v>
      </c>
      <c r="Z178" s="42"/>
      <c r="AA178" s="67"/>
      <c r="AB178" s="67"/>
      <c r="AC178" s="67"/>
    </row>
    <row r="179" spans="1:68" ht="27.75" hidden="1" customHeight="1" x14ac:dyDescent="0.2">
      <c r="A179" s="320" t="s">
        <v>275</v>
      </c>
      <c r="B179" s="320"/>
      <c r="C179" s="320"/>
      <c r="D179" s="320"/>
      <c r="E179" s="320"/>
      <c r="F179" s="320"/>
      <c r="G179" s="320"/>
      <c r="H179" s="320"/>
      <c r="I179" s="320"/>
      <c r="J179" s="320"/>
      <c r="K179" s="320"/>
      <c r="L179" s="320"/>
      <c r="M179" s="320"/>
      <c r="N179" s="320"/>
      <c r="O179" s="320"/>
      <c r="P179" s="320"/>
      <c r="Q179" s="320"/>
      <c r="R179" s="320"/>
      <c r="S179" s="320"/>
      <c r="T179" s="320"/>
      <c r="U179" s="320"/>
      <c r="V179" s="320"/>
      <c r="W179" s="320"/>
      <c r="X179" s="320"/>
      <c r="Y179" s="320"/>
      <c r="Z179" s="320"/>
      <c r="AA179" s="54"/>
      <c r="AB179" s="54"/>
      <c r="AC179" s="54"/>
    </row>
    <row r="180" spans="1:68" ht="16.5" hidden="1" customHeight="1" x14ac:dyDescent="0.25">
      <c r="A180" s="321" t="s">
        <v>276</v>
      </c>
      <c r="B180" s="321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65"/>
      <c r="AB180" s="65"/>
      <c r="AC180" s="82"/>
    </row>
    <row r="181" spans="1:68" ht="14.25" hidden="1" customHeight="1" x14ac:dyDescent="0.25">
      <c r="A181" s="309" t="s">
        <v>80</v>
      </c>
      <c r="B181" s="309"/>
      <c r="C181" s="309"/>
      <c r="D181" s="309"/>
      <c r="E181" s="309"/>
      <c r="F181" s="309"/>
      <c r="G181" s="309"/>
      <c r="H181" s="309"/>
      <c r="I181" s="309"/>
      <c r="J181" s="309"/>
      <c r="K181" s="309"/>
      <c r="L181" s="309"/>
      <c r="M181" s="309"/>
      <c r="N181" s="309"/>
      <c r="O181" s="309"/>
      <c r="P181" s="309"/>
      <c r="Q181" s="309"/>
      <c r="R181" s="309"/>
      <c r="S181" s="309"/>
      <c r="T181" s="309"/>
      <c r="U181" s="309"/>
      <c r="V181" s="309"/>
      <c r="W181" s="309"/>
      <c r="X181" s="309"/>
      <c r="Y181" s="309"/>
      <c r="Z181" s="309"/>
      <c r="AA181" s="66"/>
      <c r="AB181" s="66"/>
      <c r="AC181" s="83"/>
    </row>
    <row r="182" spans="1:68" ht="16.5" hidden="1" customHeight="1" x14ac:dyDescent="0.25">
      <c r="A182" s="63" t="s">
        <v>277</v>
      </c>
      <c r="B182" s="63" t="s">
        <v>278</v>
      </c>
      <c r="C182" s="36">
        <v>4301071062</v>
      </c>
      <c r="D182" s="291">
        <v>4607111036384</v>
      </c>
      <c r="E182" s="291"/>
      <c r="F182" s="62">
        <v>5</v>
      </c>
      <c r="G182" s="37">
        <v>1</v>
      </c>
      <c r="H182" s="62">
        <v>5</v>
      </c>
      <c r="I182" s="62">
        <v>5.2106000000000003</v>
      </c>
      <c r="J182" s="37">
        <v>144</v>
      </c>
      <c r="K182" s="37" t="s">
        <v>85</v>
      </c>
      <c r="L182" s="37" t="s">
        <v>86</v>
      </c>
      <c r="M182" s="38" t="s">
        <v>84</v>
      </c>
      <c r="N182" s="38"/>
      <c r="O182" s="37">
        <v>180</v>
      </c>
      <c r="P182" s="33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93"/>
      <c r="R182" s="293"/>
      <c r="S182" s="293"/>
      <c r="T182" s="294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IFERROR(IF(X182="","",X182*0.00866),"")</f>
        <v>0</v>
      </c>
      <c r="AA182" s="68" t="s">
        <v>46</v>
      </c>
      <c r="AB182" s="69" t="s">
        <v>46</v>
      </c>
      <c r="AC182" s="217" t="s">
        <v>279</v>
      </c>
      <c r="AG182" s="81"/>
      <c r="AJ182" s="87" t="s">
        <v>87</v>
      </c>
      <c r="AK182" s="87">
        <v>1</v>
      </c>
      <c r="BB182" s="218" t="s">
        <v>70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t="27" hidden="1" customHeight="1" x14ac:dyDescent="0.25">
      <c r="A183" s="63" t="s">
        <v>280</v>
      </c>
      <c r="B183" s="63" t="s">
        <v>281</v>
      </c>
      <c r="C183" s="36">
        <v>4301071050</v>
      </c>
      <c r="D183" s="291">
        <v>4607111036216</v>
      </c>
      <c r="E183" s="291"/>
      <c r="F183" s="62">
        <v>5</v>
      </c>
      <c r="G183" s="37">
        <v>1</v>
      </c>
      <c r="H183" s="62">
        <v>5</v>
      </c>
      <c r="I183" s="62">
        <v>5.2131999999999996</v>
      </c>
      <c r="J183" s="37">
        <v>144</v>
      </c>
      <c r="K183" s="37" t="s">
        <v>85</v>
      </c>
      <c r="L183" s="37" t="s">
        <v>117</v>
      </c>
      <c r="M183" s="38" t="s">
        <v>84</v>
      </c>
      <c r="N183" s="38"/>
      <c r="O183" s="37">
        <v>180</v>
      </c>
      <c r="P183" s="34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93"/>
      <c r="R183" s="293"/>
      <c r="S183" s="293"/>
      <c r="T183" s="294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IFERROR(IF(X183="","",X183*0.00866),"")</f>
        <v>0</v>
      </c>
      <c r="AA183" s="68" t="s">
        <v>46</v>
      </c>
      <c r="AB183" s="69" t="s">
        <v>46</v>
      </c>
      <c r="AC183" s="219" t="s">
        <v>282</v>
      </c>
      <c r="AG183" s="81"/>
      <c r="AJ183" s="87" t="s">
        <v>118</v>
      </c>
      <c r="AK183" s="87">
        <v>12</v>
      </c>
      <c r="BB183" s="220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idden="1" x14ac:dyDescent="0.2">
      <c r="A184" s="298"/>
      <c r="B184" s="298"/>
      <c r="C184" s="298"/>
      <c r="D184" s="298"/>
      <c r="E184" s="298"/>
      <c r="F184" s="298"/>
      <c r="G184" s="298"/>
      <c r="H184" s="298"/>
      <c r="I184" s="298"/>
      <c r="J184" s="298"/>
      <c r="K184" s="298"/>
      <c r="L184" s="298"/>
      <c r="M184" s="298"/>
      <c r="N184" s="298"/>
      <c r="O184" s="299"/>
      <c r="P184" s="295" t="s">
        <v>40</v>
      </c>
      <c r="Q184" s="296"/>
      <c r="R184" s="296"/>
      <c r="S184" s="296"/>
      <c r="T184" s="296"/>
      <c r="U184" s="296"/>
      <c r="V184" s="297"/>
      <c r="W184" s="42" t="s">
        <v>39</v>
      </c>
      <c r="X184" s="43">
        <f>IFERROR(SUM(X182:X183),"0")</f>
        <v>0</v>
      </c>
      <c r="Y184" s="43">
        <f>IFERROR(SUM(Y182:Y183),"0")</f>
        <v>0</v>
      </c>
      <c r="Z184" s="43">
        <f>IFERROR(IF(Z182="",0,Z182),"0")+IFERROR(IF(Z183="",0,Z183),"0")</f>
        <v>0</v>
      </c>
      <c r="AA184" s="67"/>
      <c r="AB184" s="67"/>
      <c r="AC184" s="67"/>
    </row>
    <row r="185" spans="1:68" hidden="1" x14ac:dyDescent="0.2">
      <c r="A185" s="298"/>
      <c r="B185" s="298"/>
      <c r="C185" s="298"/>
      <c r="D185" s="298"/>
      <c r="E185" s="298"/>
      <c r="F185" s="298"/>
      <c r="G185" s="298"/>
      <c r="H185" s="298"/>
      <c r="I185" s="298"/>
      <c r="J185" s="298"/>
      <c r="K185" s="298"/>
      <c r="L185" s="298"/>
      <c r="M185" s="298"/>
      <c r="N185" s="298"/>
      <c r="O185" s="299"/>
      <c r="P185" s="295" t="s">
        <v>40</v>
      </c>
      <c r="Q185" s="296"/>
      <c r="R185" s="296"/>
      <c r="S185" s="296"/>
      <c r="T185" s="296"/>
      <c r="U185" s="296"/>
      <c r="V185" s="297"/>
      <c r="W185" s="42" t="s">
        <v>0</v>
      </c>
      <c r="X185" s="43">
        <f>IFERROR(SUMPRODUCT(X182:X183*H182:H183),"0")</f>
        <v>0</v>
      </c>
      <c r="Y185" s="43">
        <f>IFERROR(SUMPRODUCT(Y182:Y183*H182:H183),"0")</f>
        <v>0</v>
      </c>
      <c r="Z185" s="42"/>
      <c r="AA185" s="67"/>
      <c r="AB185" s="67"/>
      <c r="AC185" s="67"/>
    </row>
    <row r="186" spans="1:68" ht="16.5" hidden="1" customHeight="1" x14ac:dyDescent="0.25">
      <c r="A186" s="321" t="s">
        <v>283</v>
      </c>
      <c r="B186" s="321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65"/>
      <c r="AB186" s="65"/>
      <c r="AC186" s="82"/>
    </row>
    <row r="187" spans="1:68" ht="14.25" hidden="1" customHeight="1" x14ac:dyDescent="0.25">
      <c r="A187" s="309" t="s">
        <v>80</v>
      </c>
      <c r="B187" s="309"/>
      <c r="C187" s="309"/>
      <c r="D187" s="309"/>
      <c r="E187" s="309"/>
      <c r="F187" s="309"/>
      <c r="G187" s="309"/>
      <c r="H187" s="309"/>
      <c r="I187" s="309"/>
      <c r="J187" s="309"/>
      <c r="K187" s="309"/>
      <c r="L187" s="309"/>
      <c r="M187" s="309"/>
      <c r="N187" s="309"/>
      <c r="O187" s="309"/>
      <c r="P187" s="309"/>
      <c r="Q187" s="309"/>
      <c r="R187" s="309"/>
      <c r="S187" s="309"/>
      <c r="T187" s="309"/>
      <c r="U187" s="309"/>
      <c r="V187" s="309"/>
      <c r="W187" s="309"/>
      <c r="X187" s="309"/>
      <c r="Y187" s="309"/>
      <c r="Z187" s="309"/>
      <c r="AA187" s="66"/>
      <c r="AB187" s="66"/>
      <c r="AC187" s="83"/>
    </row>
    <row r="188" spans="1:68" ht="27" customHeight="1" x14ac:dyDescent="0.25">
      <c r="A188" s="63" t="s">
        <v>284</v>
      </c>
      <c r="B188" s="63" t="s">
        <v>285</v>
      </c>
      <c r="C188" s="36">
        <v>4301071117</v>
      </c>
      <c r="D188" s="291">
        <v>4620207491737</v>
      </c>
      <c r="E188" s="291"/>
      <c r="F188" s="62">
        <v>1</v>
      </c>
      <c r="G188" s="37">
        <v>5</v>
      </c>
      <c r="H188" s="62">
        <v>5</v>
      </c>
      <c r="I188" s="62">
        <v>5.2619999999999996</v>
      </c>
      <c r="J188" s="37">
        <v>84</v>
      </c>
      <c r="K188" s="37" t="s">
        <v>85</v>
      </c>
      <c r="L188" s="37" t="s">
        <v>86</v>
      </c>
      <c r="M188" s="38" t="s">
        <v>84</v>
      </c>
      <c r="N188" s="38"/>
      <c r="O188" s="37">
        <v>180</v>
      </c>
      <c r="P188" s="33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93"/>
      <c r="R188" s="293"/>
      <c r="S188" s="293"/>
      <c r="T188" s="294"/>
      <c r="U188" s="39" t="s">
        <v>46</v>
      </c>
      <c r="V188" s="39" t="s">
        <v>46</v>
      </c>
      <c r="W188" s="40" t="s">
        <v>39</v>
      </c>
      <c r="X188" s="58">
        <v>168</v>
      </c>
      <c r="Y188" s="55">
        <f>IFERROR(IF(X188="","",X188),"")</f>
        <v>168</v>
      </c>
      <c r="Z188" s="41">
        <f>IFERROR(IF(X188="","",X188*0.0155),"")</f>
        <v>2.6040000000000001</v>
      </c>
      <c r="AA188" s="68" t="s">
        <v>46</v>
      </c>
      <c r="AB188" s="69" t="s">
        <v>46</v>
      </c>
      <c r="AC188" s="221" t="s">
        <v>282</v>
      </c>
      <c r="AG188" s="81"/>
      <c r="AJ188" s="87" t="s">
        <v>87</v>
      </c>
      <c r="AK188" s="87">
        <v>1</v>
      </c>
      <c r="BB188" s="222" t="s">
        <v>70</v>
      </c>
      <c r="BM188" s="81">
        <f>IFERROR(X188*I188,"0")</f>
        <v>884.01599999999996</v>
      </c>
      <c r="BN188" s="81">
        <f>IFERROR(Y188*I188,"0")</f>
        <v>884.01599999999996</v>
      </c>
      <c r="BO188" s="81">
        <f>IFERROR(X188/J188,"0")</f>
        <v>2</v>
      </c>
      <c r="BP188" s="81">
        <f>IFERROR(Y188/J188,"0")</f>
        <v>2</v>
      </c>
    </row>
    <row r="189" spans="1:68" x14ac:dyDescent="0.2">
      <c r="A189" s="298"/>
      <c r="B189" s="298"/>
      <c r="C189" s="298"/>
      <c r="D189" s="298"/>
      <c r="E189" s="298"/>
      <c r="F189" s="298"/>
      <c r="G189" s="298"/>
      <c r="H189" s="298"/>
      <c r="I189" s="298"/>
      <c r="J189" s="298"/>
      <c r="K189" s="298"/>
      <c r="L189" s="298"/>
      <c r="M189" s="298"/>
      <c r="N189" s="298"/>
      <c r="O189" s="299"/>
      <c r="P189" s="295" t="s">
        <v>40</v>
      </c>
      <c r="Q189" s="296"/>
      <c r="R189" s="296"/>
      <c r="S189" s="296"/>
      <c r="T189" s="296"/>
      <c r="U189" s="296"/>
      <c r="V189" s="297"/>
      <c r="W189" s="42" t="s">
        <v>39</v>
      </c>
      <c r="X189" s="43">
        <f>IFERROR(SUM(X188:X188),"0")</f>
        <v>168</v>
      </c>
      <c r="Y189" s="43">
        <f>IFERROR(SUM(Y188:Y188),"0")</f>
        <v>168</v>
      </c>
      <c r="Z189" s="43">
        <f>IFERROR(IF(Z188="",0,Z188),"0")</f>
        <v>2.6040000000000001</v>
      </c>
      <c r="AA189" s="67"/>
      <c r="AB189" s="67"/>
      <c r="AC189" s="67"/>
    </row>
    <row r="190" spans="1:68" x14ac:dyDescent="0.2">
      <c r="A190" s="298"/>
      <c r="B190" s="298"/>
      <c r="C190" s="298"/>
      <c r="D190" s="298"/>
      <c r="E190" s="298"/>
      <c r="F190" s="298"/>
      <c r="G190" s="298"/>
      <c r="H190" s="298"/>
      <c r="I190" s="298"/>
      <c r="J190" s="298"/>
      <c r="K190" s="298"/>
      <c r="L190" s="298"/>
      <c r="M190" s="298"/>
      <c r="N190" s="298"/>
      <c r="O190" s="299"/>
      <c r="P190" s="295" t="s">
        <v>40</v>
      </c>
      <c r="Q190" s="296"/>
      <c r="R190" s="296"/>
      <c r="S190" s="296"/>
      <c r="T190" s="296"/>
      <c r="U190" s="296"/>
      <c r="V190" s="297"/>
      <c r="W190" s="42" t="s">
        <v>0</v>
      </c>
      <c r="X190" s="43">
        <f>IFERROR(SUMPRODUCT(X188:X188*H188:H188),"0")</f>
        <v>840</v>
      </c>
      <c r="Y190" s="43">
        <f>IFERROR(SUMPRODUCT(Y188:Y188*H188:H188),"0")</f>
        <v>840</v>
      </c>
      <c r="Z190" s="42"/>
      <c r="AA190" s="67"/>
      <c r="AB190" s="67"/>
      <c r="AC190" s="67"/>
    </row>
    <row r="191" spans="1:68" ht="27.75" hidden="1" customHeight="1" x14ac:dyDescent="0.2">
      <c r="A191" s="320" t="s">
        <v>286</v>
      </c>
      <c r="B191" s="320"/>
      <c r="C191" s="320"/>
      <c r="D191" s="320"/>
      <c r="E191" s="320"/>
      <c r="F191" s="320"/>
      <c r="G191" s="320"/>
      <c r="H191" s="320"/>
      <c r="I191" s="320"/>
      <c r="J191" s="320"/>
      <c r="K191" s="320"/>
      <c r="L191" s="320"/>
      <c r="M191" s="320"/>
      <c r="N191" s="320"/>
      <c r="O191" s="320"/>
      <c r="P191" s="320"/>
      <c r="Q191" s="320"/>
      <c r="R191" s="320"/>
      <c r="S191" s="320"/>
      <c r="T191" s="320"/>
      <c r="U191" s="320"/>
      <c r="V191" s="320"/>
      <c r="W191" s="320"/>
      <c r="X191" s="320"/>
      <c r="Y191" s="320"/>
      <c r="Z191" s="320"/>
      <c r="AA191" s="54"/>
      <c r="AB191" s="54"/>
      <c r="AC191" s="54"/>
    </row>
    <row r="192" spans="1:68" ht="16.5" hidden="1" customHeight="1" x14ac:dyDescent="0.25">
      <c r="A192" s="321" t="s">
        <v>287</v>
      </c>
      <c r="B192" s="321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65"/>
      <c r="AB192" s="65"/>
      <c r="AC192" s="82"/>
    </row>
    <row r="193" spans="1:68" ht="14.25" hidden="1" customHeight="1" x14ac:dyDescent="0.25">
      <c r="A193" s="309" t="s">
        <v>111</v>
      </c>
      <c r="B193" s="309"/>
      <c r="C193" s="309"/>
      <c r="D193" s="309"/>
      <c r="E193" s="309"/>
      <c r="F193" s="309"/>
      <c r="G193" s="309"/>
      <c r="H193" s="309"/>
      <c r="I193" s="309"/>
      <c r="J193" s="309"/>
      <c r="K193" s="309"/>
      <c r="L193" s="309"/>
      <c r="M193" s="309"/>
      <c r="N193" s="309"/>
      <c r="O193" s="309"/>
      <c r="P193" s="309"/>
      <c r="Q193" s="309"/>
      <c r="R193" s="309"/>
      <c r="S193" s="309"/>
      <c r="T193" s="309"/>
      <c r="U193" s="309"/>
      <c r="V193" s="309"/>
      <c r="W193" s="309"/>
      <c r="X193" s="309"/>
      <c r="Y193" s="309"/>
      <c r="Z193" s="309"/>
      <c r="AA193" s="66"/>
      <c r="AB193" s="66"/>
      <c r="AC193" s="83"/>
    </row>
    <row r="194" spans="1:68" ht="16.5" hidden="1" customHeight="1" x14ac:dyDescent="0.25">
      <c r="A194" s="63" t="s">
        <v>288</v>
      </c>
      <c r="B194" s="63" t="s">
        <v>289</v>
      </c>
      <c r="C194" s="36">
        <v>4301132179</v>
      </c>
      <c r="D194" s="291">
        <v>4607111035691</v>
      </c>
      <c r="E194" s="291"/>
      <c r="F194" s="62">
        <v>0.25</v>
      </c>
      <c r="G194" s="37">
        <v>12</v>
      </c>
      <c r="H194" s="62">
        <v>3</v>
      </c>
      <c r="I194" s="62">
        <v>3.3879999999999999</v>
      </c>
      <c r="J194" s="37">
        <v>70</v>
      </c>
      <c r="K194" s="37" t="s">
        <v>116</v>
      </c>
      <c r="L194" s="37" t="s">
        <v>117</v>
      </c>
      <c r="M194" s="38" t="s">
        <v>84</v>
      </c>
      <c r="N194" s="38"/>
      <c r="O194" s="37">
        <v>365</v>
      </c>
      <c r="P194" s="3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93"/>
      <c r="R194" s="293"/>
      <c r="S194" s="293"/>
      <c r="T194" s="294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290</v>
      </c>
      <c r="AG194" s="81"/>
      <c r="AJ194" s="87" t="s">
        <v>118</v>
      </c>
      <c r="AK194" s="87">
        <v>14</v>
      </c>
      <c r="BB194" s="224" t="s">
        <v>115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hidden="1" customHeight="1" x14ac:dyDescent="0.25">
      <c r="A195" s="63" t="s">
        <v>291</v>
      </c>
      <c r="B195" s="63" t="s">
        <v>292</v>
      </c>
      <c r="C195" s="36">
        <v>4301132182</v>
      </c>
      <c r="D195" s="291">
        <v>4607111035721</v>
      </c>
      <c r="E195" s="291"/>
      <c r="F195" s="62">
        <v>0.25</v>
      </c>
      <c r="G195" s="37">
        <v>12</v>
      </c>
      <c r="H195" s="62">
        <v>3</v>
      </c>
      <c r="I195" s="62">
        <v>3.3879999999999999</v>
      </c>
      <c r="J195" s="37">
        <v>70</v>
      </c>
      <c r="K195" s="37" t="s">
        <v>116</v>
      </c>
      <c r="L195" s="37" t="s">
        <v>117</v>
      </c>
      <c r="M195" s="38" t="s">
        <v>84</v>
      </c>
      <c r="N195" s="38"/>
      <c r="O195" s="37">
        <v>365</v>
      </c>
      <c r="P195" s="33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93"/>
      <c r="R195" s="293"/>
      <c r="S195" s="293"/>
      <c r="T195" s="294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293</v>
      </c>
      <c r="AG195" s="81"/>
      <c r="AJ195" s="87" t="s">
        <v>118</v>
      </c>
      <c r="AK195" s="87">
        <v>14</v>
      </c>
      <c r="BB195" s="226" t="s">
        <v>115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hidden="1" customHeight="1" x14ac:dyDescent="0.25">
      <c r="A196" s="63" t="s">
        <v>294</v>
      </c>
      <c r="B196" s="63" t="s">
        <v>295</v>
      </c>
      <c r="C196" s="36">
        <v>4301132170</v>
      </c>
      <c r="D196" s="291">
        <v>4607111038487</v>
      </c>
      <c r="E196" s="291"/>
      <c r="F196" s="62">
        <v>0.25</v>
      </c>
      <c r="G196" s="37">
        <v>12</v>
      </c>
      <c r="H196" s="62">
        <v>3</v>
      </c>
      <c r="I196" s="62">
        <v>3.7360000000000002</v>
      </c>
      <c r="J196" s="37">
        <v>70</v>
      </c>
      <c r="K196" s="37" t="s">
        <v>116</v>
      </c>
      <c r="L196" s="37" t="s">
        <v>117</v>
      </c>
      <c r="M196" s="38" t="s">
        <v>84</v>
      </c>
      <c r="N196" s="38"/>
      <c r="O196" s="37">
        <v>180</v>
      </c>
      <c r="P196" s="33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93"/>
      <c r="R196" s="293"/>
      <c r="S196" s="293"/>
      <c r="T196" s="294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27" t="s">
        <v>296</v>
      </c>
      <c r="AG196" s="81"/>
      <c r="AJ196" s="87" t="s">
        <v>118</v>
      </c>
      <c r="AK196" s="87">
        <v>14</v>
      </c>
      <c r="BB196" s="228" t="s">
        <v>115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hidden="1" customHeight="1" x14ac:dyDescent="0.25">
      <c r="A197" s="63" t="s">
        <v>297</v>
      </c>
      <c r="B197" s="63" t="s">
        <v>298</v>
      </c>
      <c r="C197" s="36">
        <v>4301132243</v>
      </c>
      <c r="D197" s="291">
        <v>4620207491195</v>
      </c>
      <c r="E197" s="291"/>
      <c r="F197" s="62">
        <v>0.23</v>
      </c>
      <c r="G197" s="37">
        <v>12</v>
      </c>
      <c r="H197" s="62">
        <v>2.76</v>
      </c>
      <c r="I197" s="62">
        <v>3.1480000000000001</v>
      </c>
      <c r="J197" s="37">
        <v>70</v>
      </c>
      <c r="K197" s="37" t="s">
        <v>116</v>
      </c>
      <c r="L197" s="37" t="s">
        <v>86</v>
      </c>
      <c r="M197" s="38" t="s">
        <v>84</v>
      </c>
      <c r="N197" s="38"/>
      <c r="O197" s="37">
        <v>180</v>
      </c>
      <c r="P197" s="33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93"/>
      <c r="R197" s="293"/>
      <c r="S197" s="293"/>
      <c r="T197" s="294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9" t="s">
        <v>299</v>
      </c>
      <c r="AG197" s="81"/>
      <c r="AJ197" s="87" t="s">
        <v>87</v>
      </c>
      <c r="AK197" s="87">
        <v>1</v>
      </c>
      <c r="BB197" s="230" t="s">
        <v>115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idden="1" x14ac:dyDescent="0.2">
      <c r="A198" s="298"/>
      <c r="B198" s="298"/>
      <c r="C198" s="298"/>
      <c r="D198" s="298"/>
      <c r="E198" s="298"/>
      <c r="F198" s="298"/>
      <c r="G198" s="298"/>
      <c r="H198" s="298"/>
      <c r="I198" s="298"/>
      <c r="J198" s="298"/>
      <c r="K198" s="298"/>
      <c r="L198" s="298"/>
      <c r="M198" s="298"/>
      <c r="N198" s="298"/>
      <c r="O198" s="299"/>
      <c r="P198" s="295" t="s">
        <v>40</v>
      </c>
      <c r="Q198" s="296"/>
      <c r="R198" s="296"/>
      <c r="S198" s="296"/>
      <c r="T198" s="296"/>
      <c r="U198" s="296"/>
      <c r="V198" s="297"/>
      <c r="W198" s="42" t="s">
        <v>39</v>
      </c>
      <c r="X198" s="43">
        <f>IFERROR(SUM(X194:X197),"0")</f>
        <v>0</v>
      </c>
      <c r="Y198" s="43">
        <f>IFERROR(SUM(Y194:Y197),"0")</f>
        <v>0</v>
      </c>
      <c r="Z198" s="43">
        <f>IFERROR(IF(Z194="",0,Z194),"0")+IFERROR(IF(Z195="",0,Z195),"0")+IFERROR(IF(Z196="",0,Z196),"0")+IFERROR(IF(Z197="",0,Z197),"0")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298"/>
      <c r="B199" s="298"/>
      <c r="C199" s="298"/>
      <c r="D199" s="298"/>
      <c r="E199" s="298"/>
      <c r="F199" s="298"/>
      <c r="G199" s="298"/>
      <c r="H199" s="298"/>
      <c r="I199" s="298"/>
      <c r="J199" s="298"/>
      <c r="K199" s="298"/>
      <c r="L199" s="298"/>
      <c r="M199" s="298"/>
      <c r="N199" s="298"/>
      <c r="O199" s="299"/>
      <c r="P199" s="295" t="s">
        <v>40</v>
      </c>
      <c r="Q199" s="296"/>
      <c r="R199" s="296"/>
      <c r="S199" s="296"/>
      <c r="T199" s="296"/>
      <c r="U199" s="296"/>
      <c r="V199" s="297"/>
      <c r="W199" s="42" t="s">
        <v>0</v>
      </c>
      <c r="X199" s="43">
        <f>IFERROR(SUMPRODUCT(X194:X197*H194:H197),"0")</f>
        <v>0</v>
      </c>
      <c r="Y199" s="43">
        <f>IFERROR(SUMPRODUCT(Y194:Y197*H194:H197),"0")</f>
        <v>0</v>
      </c>
      <c r="Z199" s="42"/>
      <c r="AA199" s="67"/>
      <c r="AB199" s="67"/>
      <c r="AC199" s="67"/>
    </row>
    <row r="200" spans="1:68" ht="27.75" hidden="1" customHeight="1" x14ac:dyDescent="0.2">
      <c r="A200" s="320" t="s">
        <v>300</v>
      </c>
      <c r="B200" s="320"/>
      <c r="C200" s="320"/>
      <c r="D200" s="320"/>
      <c r="E200" s="320"/>
      <c r="F200" s="320"/>
      <c r="G200" s="320"/>
      <c r="H200" s="320"/>
      <c r="I200" s="320"/>
      <c r="J200" s="320"/>
      <c r="K200" s="320"/>
      <c r="L200" s="320"/>
      <c r="M200" s="320"/>
      <c r="N200" s="320"/>
      <c r="O200" s="320"/>
      <c r="P200" s="320"/>
      <c r="Q200" s="320"/>
      <c r="R200" s="320"/>
      <c r="S200" s="320"/>
      <c r="T200" s="320"/>
      <c r="U200" s="320"/>
      <c r="V200" s="320"/>
      <c r="W200" s="320"/>
      <c r="X200" s="320"/>
      <c r="Y200" s="320"/>
      <c r="Z200" s="320"/>
      <c r="AA200" s="54"/>
      <c r="AB200" s="54"/>
      <c r="AC200" s="54"/>
    </row>
    <row r="201" spans="1:68" ht="16.5" hidden="1" customHeight="1" x14ac:dyDescent="0.25">
      <c r="A201" s="321" t="s">
        <v>301</v>
      </c>
      <c r="B201" s="321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65"/>
      <c r="AB201" s="65"/>
      <c r="AC201" s="82"/>
    </row>
    <row r="202" spans="1:68" ht="14.25" hidden="1" customHeight="1" x14ac:dyDescent="0.25">
      <c r="A202" s="309" t="s">
        <v>111</v>
      </c>
      <c r="B202" s="309"/>
      <c r="C202" s="309"/>
      <c r="D202" s="309"/>
      <c r="E202" s="309"/>
      <c r="F202" s="309"/>
      <c r="G202" s="309"/>
      <c r="H202" s="309"/>
      <c r="I202" s="309"/>
      <c r="J202" s="309"/>
      <c r="K202" s="309"/>
      <c r="L202" s="309"/>
      <c r="M202" s="309"/>
      <c r="N202" s="309"/>
      <c r="O202" s="309"/>
      <c r="P202" s="309"/>
      <c r="Q202" s="309"/>
      <c r="R202" s="309"/>
      <c r="S202" s="309"/>
      <c r="T202" s="309"/>
      <c r="U202" s="309"/>
      <c r="V202" s="309"/>
      <c r="W202" s="309"/>
      <c r="X202" s="309"/>
      <c r="Y202" s="309"/>
      <c r="Z202" s="309"/>
      <c r="AA202" s="66"/>
      <c r="AB202" s="66"/>
      <c r="AC202" s="83"/>
    </row>
    <row r="203" spans="1:68" ht="27" customHeight="1" x14ac:dyDescent="0.25">
      <c r="A203" s="63" t="s">
        <v>302</v>
      </c>
      <c r="B203" s="63" t="s">
        <v>303</v>
      </c>
      <c r="C203" s="36">
        <v>4301132227</v>
      </c>
      <c r="D203" s="291">
        <v>4620207491133</v>
      </c>
      <c r="E203" s="291"/>
      <c r="F203" s="62">
        <v>0.23</v>
      </c>
      <c r="G203" s="37">
        <v>12</v>
      </c>
      <c r="H203" s="62">
        <v>2.76</v>
      </c>
      <c r="I203" s="62">
        <v>2.98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93"/>
      <c r="R203" s="293"/>
      <c r="S203" s="293"/>
      <c r="T203" s="294"/>
      <c r="U203" s="39" t="s">
        <v>46</v>
      </c>
      <c r="V203" s="39" t="s">
        <v>46</v>
      </c>
      <c r="W203" s="40" t="s">
        <v>39</v>
      </c>
      <c r="X203" s="58">
        <v>14</v>
      </c>
      <c r="Y203" s="55">
        <f>IFERROR(IF(X203="","",X203),"")</f>
        <v>14</v>
      </c>
      <c r="Z203" s="41">
        <f>IFERROR(IF(X203="","",X203*0.01788),"")</f>
        <v>0.25031999999999999</v>
      </c>
      <c r="AA203" s="68" t="s">
        <v>46</v>
      </c>
      <c r="AB203" s="69" t="s">
        <v>46</v>
      </c>
      <c r="AC203" s="231" t="s">
        <v>304</v>
      </c>
      <c r="AG203" s="81"/>
      <c r="AJ203" s="87" t="s">
        <v>118</v>
      </c>
      <c r="AK203" s="87">
        <v>14</v>
      </c>
      <c r="BB203" s="232" t="s">
        <v>115</v>
      </c>
      <c r="BM203" s="81">
        <f>IFERROR(X203*I203,"0")</f>
        <v>41.72</v>
      </c>
      <c r="BN203" s="81">
        <f>IFERROR(Y203*I203,"0")</f>
        <v>41.72</v>
      </c>
      <c r="BO203" s="81">
        <f>IFERROR(X203/J203,"0")</f>
        <v>0.2</v>
      </c>
      <c r="BP203" s="81">
        <f>IFERROR(Y203/J203,"0")</f>
        <v>0.2</v>
      </c>
    </row>
    <row r="204" spans="1:68" x14ac:dyDescent="0.2">
      <c r="A204" s="298"/>
      <c r="B204" s="298"/>
      <c r="C204" s="298"/>
      <c r="D204" s="298"/>
      <c r="E204" s="298"/>
      <c r="F204" s="298"/>
      <c r="G204" s="298"/>
      <c r="H204" s="298"/>
      <c r="I204" s="298"/>
      <c r="J204" s="298"/>
      <c r="K204" s="298"/>
      <c r="L204" s="298"/>
      <c r="M204" s="298"/>
      <c r="N204" s="298"/>
      <c r="O204" s="299"/>
      <c r="P204" s="295" t="s">
        <v>40</v>
      </c>
      <c r="Q204" s="296"/>
      <c r="R204" s="296"/>
      <c r="S204" s="296"/>
      <c r="T204" s="296"/>
      <c r="U204" s="296"/>
      <c r="V204" s="297"/>
      <c r="W204" s="42" t="s">
        <v>39</v>
      </c>
      <c r="X204" s="43">
        <f>IFERROR(SUM(X203:X203),"0")</f>
        <v>14</v>
      </c>
      <c r="Y204" s="43">
        <f>IFERROR(SUM(Y203:Y203),"0")</f>
        <v>14</v>
      </c>
      <c r="Z204" s="43">
        <f>IFERROR(IF(Z203="",0,Z203),"0")</f>
        <v>0.25031999999999999</v>
      </c>
      <c r="AA204" s="67"/>
      <c r="AB204" s="67"/>
      <c r="AC204" s="67"/>
    </row>
    <row r="205" spans="1:68" x14ac:dyDescent="0.2">
      <c r="A205" s="298"/>
      <c r="B205" s="298"/>
      <c r="C205" s="298"/>
      <c r="D205" s="298"/>
      <c r="E205" s="298"/>
      <c r="F205" s="298"/>
      <c r="G205" s="298"/>
      <c r="H205" s="298"/>
      <c r="I205" s="298"/>
      <c r="J205" s="298"/>
      <c r="K205" s="298"/>
      <c r="L205" s="298"/>
      <c r="M205" s="298"/>
      <c r="N205" s="298"/>
      <c r="O205" s="299"/>
      <c r="P205" s="295" t="s">
        <v>40</v>
      </c>
      <c r="Q205" s="296"/>
      <c r="R205" s="296"/>
      <c r="S205" s="296"/>
      <c r="T205" s="296"/>
      <c r="U205" s="296"/>
      <c r="V205" s="297"/>
      <c r="W205" s="42" t="s">
        <v>0</v>
      </c>
      <c r="X205" s="43">
        <f>IFERROR(SUMPRODUCT(X203:X203*H203:H203),"0")</f>
        <v>38.64</v>
      </c>
      <c r="Y205" s="43">
        <f>IFERROR(SUMPRODUCT(Y203:Y203*H203:H203),"0")</f>
        <v>38.64</v>
      </c>
      <c r="Z205" s="42"/>
      <c r="AA205" s="67"/>
      <c r="AB205" s="67"/>
      <c r="AC205" s="67"/>
    </row>
    <row r="206" spans="1:68" ht="14.25" hidden="1" customHeight="1" x14ac:dyDescent="0.25">
      <c r="A206" s="309" t="s">
        <v>155</v>
      </c>
      <c r="B206" s="309"/>
      <c r="C206" s="309"/>
      <c r="D206" s="309"/>
      <c r="E206" s="309"/>
      <c r="F206" s="309"/>
      <c r="G206" s="309"/>
      <c r="H206" s="309"/>
      <c r="I206" s="309"/>
      <c r="J206" s="309"/>
      <c r="K206" s="309"/>
      <c r="L206" s="309"/>
      <c r="M206" s="309"/>
      <c r="N206" s="309"/>
      <c r="O206" s="309"/>
      <c r="P206" s="309"/>
      <c r="Q206" s="309"/>
      <c r="R206" s="309"/>
      <c r="S206" s="309"/>
      <c r="T206" s="309"/>
      <c r="U206" s="309"/>
      <c r="V206" s="309"/>
      <c r="W206" s="309"/>
      <c r="X206" s="309"/>
      <c r="Y206" s="309"/>
      <c r="Z206" s="309"/>
      <c r="AA206" s="66"/>
      <c r="AB206" s="66"/>
      <c r="AC206" s="83"/>
    </row>
    <row r="207" spans="1:68" ht="27" hidden="1" customHeight="1" x14ac:dyDescent="0.25">
      <c r="A207" s="63" t="s">
        <v>305</v>
      </c>
      <c r="B207" s="63" t="s">
        <v>306</v>
      </c>
      <c r="C207" s="36">
        <v>4301135834</v>
      </c>
      <c r="D207" s="291">
        <v>4620207491188</v>
      </c>
      <c r="E207" s="291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116</v>
      </c>
      <c r="L207" s="37" t="s">
        <v>86</v>
      </c>
      <c r="M207" s="38" t="s">
        <v>84</v>
      </c>
      <c r="N207" s="38"/>
      <c r="O207" s="37">
        <v>180</v>
      </c>
      <c r="P207" s="33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93"/>
      <c r="R207" s="293"/>
      <c r="S207" s="293"/>
      <c r="T207" s="294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307</v>
      </c>
      <c r="AG207" s="81"/>
      <c r="AJ207" s="87" t="s">
        <v>87</v>
      </c>
      <c r="AK207" s="87">
        <v>1</v>
      </c>
      <c r="BB207" s="234" t="s">
        <v>115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hidden="1" customHeight="1" x14ac:dyDescent="0.25">
      <c r="A208" s="63" t="s">
        <v>308</v>
      </c>
      <c r="B208" s="63" t="s">
        <v>309</v>
      </c>
      <c r="C208" s="36">
        <v>4301135829</v>
      </c>
      <c r="D208" s="291">
        <v>4620207490235</v>
      </c>
      <c r="E208" s="291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116</v>
      </c>
      <c r="L208" s="37" t="s">
        <v>86</v>
      </c>
      <c r="M208" s="38" t="s">
        <v>84</v>
      </c>
      <c r="N208" s="38"/>
      <c r="O208" s="37">
        <v>180</v>
      </c>
      <c r="P208" s="33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93"/>
      <c r="R208" s="293"/>
      <c r="S208" s="293"/>
      <c r="T208" s="294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310</v>
      </c>
      <c r="AG208" s="81"/>
      <c r="AJ208" s="87" t="s">
        <v>87</v>
      </c>
      <c r="AK208" s="87">
        <v>1</v>
      </c>
      <c r="BB208" s="236" t="s">
        <v>115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27" hidden="1" customHeight="1" x14ac:dyDescent="0.25">
      <c r="A209" s="63" t="s">
        <v>311</v>
      </c>
      <c r="B209" s="63" t="s">
        <v>312</v>
      </c>
      <c r="C209" s="36">
        <v>4301135697</v>
      </c>
      <c r="D209" s="291">
        <v>4620207490259</v>
      </c>
      <c r="E209" s="291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116</v>
      </c>
      <c r="L209" s="37" t="s">
        <v>117</v>
      </c>
      <c r="M209" s="38" t="s">
        <v>84</v>
      </c>
      <c r="N209" s="38"/>
      <c r="O209" s="37">
        <v>180</v>
      </c>
      <c r="P209" s="33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93"/>
      <c r="R209" s="293"/>
      <c r="S209" s="293"/>
      <c r="T209" s="294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7" t="s">
        <v>313</v>
      </c>
      <c r="AG209" s="81"/>
      <c r="AJ209" s="87" t="s">
        <v>118</v>
      </c>
      <c r="AK209" s="87">
        <v>14</v>
      </c>
      <c r="BB209" s="238" t="s">
        <v>115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idden="1" x14ac:dyDescent="0.2">
      <c r="A210" s="298"/>
      <c r="B210" s="298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298"/>
      <c r="O210" s="299"/>
      <c r="P210" s="295" t="s">
        <v>40</v>
      </c>
      <c r="Q210" s="296"/>
      <c r="R210" s="296"/>
      <c r="S210" s="296"/>
      <c r="T210" s="296"/>
      <c r="U210" s="296"/>
      <c r="V210" s="297"/>
      <c r="W210" s="42" t="s">
        <v>39</v>
      </c>
      <c r="X210" s="43">
        <f>IFERROR(SUM(X207:X209),"0")</f>
        <v>0</v>
      </c>
      <c r="Y210" s="43">
        <f>IFERROR(SUM(Y207:Y209),"0")</f>
        <v>0</v>
      </c>
      <c r="Z210" s="43">
        <f>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298"/>
      <c r="B211" s="298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298"/>
      <c r="O211" s="299"/>
      <c r="P211" s="295" t="s">
        <v>40</v>
      </c>
      <c r="Q211" s="296"/>
      <c r="R211" s="296"/>
      <c r="S211" s="296"/>
      <c r="T211" s="296"/>
      <c r="U211" s="296"/>
      <c r="V211" s="297"/>
      <c r="W211" s="42" t="s">
        <v>0</v>
      </c>
      <c r="X211" s="43">
        <f>IFERROR(SUMPRODUCT(X207:X209*H207:H209),"0")</f>
        <v>0</v>
      </c>
      <c r="Y211" s="43">
        <f>IFERROR(SUMPRODUCT(Y207:Y209*H207:H209),"0")</f>
        <v>0</v>
      </c>
      <c r="Z211" s="42"/>
      <c r="AA211" s="67"/>
      <c r="AB211" s="67"/>
      <c r="AC211" s="67"/>
    </row>
    <row r="212" spans="1:68" ht="16.5" hidden="1" customHeight="1" x14ac:dyDescent="0.25">
      <c r="A212" s="321" t="s">
        <v>314</v>
      </c>
      <c r="B212" s="321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65"/>
      <c r="AB212" s="65"/>
      <c r="AC212" s="82"/>
    </row>
    <row r="213" spans="1:68" ht="14.25" hidden="1" customHeight="1" x14ac:dyDescent="0.25">
      <c r="A213" s="309" t="s">
        <v>155</v>
      </c>
      <c r="B213" s="309"/>
      <c r="C213" s="309"/>
      <c r="D213" s="309"/>
      <c r="E213" s="309"/>
      <c r="F213" s="309"/>
      <c r="G213" s="309"/>
      <c r="H213" s="309"/>
      <c r="I213" s="309"/>
      <c r="J213" s="309"/>
      <c r="K213" s="309"/>
      <c r="L213" s="309"/>
      <c r="M213" s="309"/>
      <c r="N213" s="309"/>
      <c r="O213" s="309"/>
      <c r="P213" s="309"/>
      <c r="Q213" s="309"/>
      <c r="R213" s="309"/>
      <c r="S213" s="309"/>
      <c r="T213" s="309"/>
      <c r="U213" s="309"/>
      <c r="V213" s="309"/>
      <c r="W213" s="309"/>
      <c r="X213" s="309"/>
      <c r="Y213" s="309"/>
      <c r="Z213" s="309"/>
      <c r="AA213" s="66"/>
      <c r="AB213" s="66"/>
      <c r="AC213" s="83"/>
    </row>
    <row r="214" spans="1:68" ht="27" hidden="1" customHeight="1" x14ac:dyDescent="0.25">
      <c r="A214" s="63" t="s">
        <v>315</v>
      </c>
      <c r="B214" s="63" t="s">
        <v>316</v>
      </c>
      <c r="C214" s="36">
        <v>4301135854</v>
      </c>
      <c r="D214" s="291">
        <v>4620207491706</v>
      </c>
      <c r="E214" s="291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116</v>
      </c>
      <c r="L214" s="37" t="s">
        <v>86</v>
      </c>
      <c r="M214" s="38" t="s">
        <v>84</v>
      </c>
      <c r="N214" s="38"/>
      <c r="O214" s="37">
        <v>180</v>
      </c>
      <c r="P214" s="32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93"/>
      <c r="R214" s="293"/>
      <c r="S214" s="293"/>
      <c r="T214" s="294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9" t="s">
        <v>317</v>
      </c>
      <c r="AG214" s="81"/>
      <c r="AJ214" s="87" t="s">
        <v>87</v>
      </c>
      <c r="AK214" s="87">
        <v>1</v>
      </c>
      <c r="BB214" s="240" t="s">
        <v>115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hidden="1" customHeight="1" x14ac:dyDescent="0.25">
      <c r="A215" s="63" t="s">
        <v>318</v>
      </c>
      <c r="B215" s="63" t="s">
        <v>319</v>
      </c>
      <c r="C215" s="36">
        <v>4301135895</v>
      </c>
      <c r="D215" s="291">
        <v>4620207491522</v>
      </c>
      <c r="E215" s="291"/>
      <c r="F215" s="62">
        <v>0.28000000000000003</v>
      </c>
      <c r="G215" s="37">
        <v>12</v>
      </c>
      <c r="H215" s="62">
        <v>3.36</v>
      </c>
      <c r="I215" s="62">
        <v>4.0636000000000001</v>
      </c>
      <c r="J215" s="37">
        <v>70</v>
      </c>
      <c r="K215" s="37" t="s">
        <v>116</v>
      </c>
      <c r="L215" s="37" t="s">
        <v>86</v>
      </c>
      <c r="M215" s="38" t="s">
        <v>84</v>
      </c>
      <c r="N215" s="38"/>
      <c r="O215" s="37">
        <v>180</v>
      </c>
      <c r="P215" s="32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93"/>
      <c r="R215" s="293"/>
      <c r="S215" s="293"/>
      <c r="T215" s="294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41" t="s">
        <v>320</v>
      </c>
      <c r="AG215" s="81"/>
      <c r="AJ215" s="87" t="s">
        <v>87</v>
      </c>
      <c r="AK215" s="87">
        <v>1</v>
      </c>
      <c r="BB215" s="242" t="s">
        <v>115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idden="1" x14ac:dyDescent="0.2">
      <c r="A216" s="298"/>
      <c r="B216" s="298"/>
      <c r="C216" s="298"/>
      <c r="D216" s="298"/>
      <c r="E216" s="298"/>
      <c r="F216" s="298"/>
      <c r="G216" s="298"/>
      <c r="H216" s="298"/>
      <c r="I216" s="298"/>
      <c r="J216" s="298"/>
      <c r="K216" s="298"/>
      <c r="L216" s="298"/>
      <c r="M216" s="298"/>
      <c r="N216" s="298"/>
      <c r="O216" s="299"/>
      <c r="P216" s="295" t="s">
        <v>40</v>
      </c>
      <c r="Q216" s="296"/>
      <c r="R216" s="296"/>
      <c r="S216" s="296"/>
      <c r="T216" s="296"/>
      <c r="U216" s="296"/>
      <c r="V216" s="297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hidden="1" x14ac:dyDescent="0.2">
      <c r="A217" s="298"/>
      <c r="B217" s="298"/>
      <c r="C217" s="298"/>
      <c r="D217" s="298"/>
      <c r="E217" s="298"/>
      <c r="F217" s="298"/>
      <c r="G217" s="298"/>
      <c r="H217" s="298"/>
      <c r="I217" s="298"/>
      <c r="J217" s="298"/>
      <c r="K217" s="298"/>
      <c r="L217" s="298"/>
      <c r="M217" s="298"/>
      <c r="N217" s="298"/>
      <c r="O217" s="299"/>
      <c r="P217" s="295" t="s">
        <v>40</v>
      </c>
      <c r="Q217" s="296"/>
      <c r="R217" s="296"/>
      <c r="S217" s="296"/>
      <c r="T217" s="296"/>
      <c r="U217" s="296"/>
      <c r="V217" s="297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16.5" hidden="1" customHeight="1" x14ac:dyDescent="0.25">
      <c r="A218" s="321" t="s">
        <v>321</v>
      </c>
      <c r="B218" s="321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65"/>
      <c r="AB218" s="65"/>
      <c r="AC218" s="82"/>
    </row>
    <row r="219" spans="1:68" ht="14.25" hidden="1" customHeight="1" x14ac:dyDescent="0.25">
      <c r="A219" s="309" t="s">
        <v>80</v>
      </c>
      <c r="B219" s="309"/>
      <c r="C219" s="309"/>
      <c r="D219" s="309"/>
      <c r="E219" s="309"/>
      <c r="F219" s="309"/>
      <c r="G219" s="309"/>
      <c r="H219" s="309"/>
      <c r="I219" s="309"/>
      <c r="J219" s="309"/>
      <c r="K219" s="309"/>
      <c r="L219" s="309"/>
      <c r="M219" s="309"/>
      <c r="N219" s="309"/>
      <c r="O219" s="309"/>
      <c r="P219" s="309"/>
      <c r="Q219" s="309"/>
      <c r="R219" s="309"/>
      <c r="S219" s="309"/>
      <c r="T219" s="309"/>
      <c r="U219" s="309"/>
      <c r="V219" s="309"/>
      <c r="W219" s="309"/>
      <c r="X219" s="309"/>
      <c r="Y219" s="309"/>
      <c r="Z219" s="309"/>
      <c r="AA219" s="66"/>
      <c r="AB219" s="66"/>
      <c r="AC219" s="83"/>
    </row>
    <row r="220" spans="1:68" ht="27" hidden="1" customHeight="1" x14ac:dyDescent="0.25">
      <c r="A220" s="63" t="s">
        <v>322</v>
      </c>
      <c r="B220" s="63" t="s">
        <v>323</v>
      </c>
      <c r="C220" s="36">
        <v>4301071097</v>
      </c>
      <c r="D220" s="291">
        <v>4620207491096</v>
      </c>
      <c r="E220" s="291"/>
      <c r="F220" s="62">
        <v>1</v>
      </c>
      <c r="G220" s="37">
        <v>5</v>
      </c>
      <c r="H220" s="62">
        <v>5</v>
      </c>
      <c r="I220" s="62">
        <v>5.23</v>
      </c>
      <c r="J220" s="37">
        <v>84</v>
      </c>
      <c r="K220" s="37" t="s">
        <v>85</v>
      </c>
      <c r="L220" s="37" t="s">
        <v>117</v>
      </c>
      <c r="M220" s="38" t="s">
        <v>84</v>
      </c>
      <c r="N220" s="38"/>
      <c r="O220" s="37">
        <v>180</v>
      </c>
      <c r="P220" s="32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93"/>
      <c r="R220" s="293"/>
      <c r="S220" s="293"/>
      <c r="T220" s="294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IFERROR(IF(X220="","",X220*0.0155),"")</f>
        <v>0</v>
      </c>
      <c r="AA220" s="68" t="s">
        <v>46</v>
      </c>
      <c r="AB220" s="69" t="s">
        <v>46</v>
      </c>
      <c r="AC220" s="243" t="s">
        <v>324</v>
      </c>
      <c r="AG220" s="81"/>
      <c r="AJ220" s="87" t="s">
        <v>118</v>
      </c>
      <c r="AK220" s="87">
        <v>12</v>
      </c>
      <c r="BB220" s="244" t="s">
        <v>70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hidden="1" x14ac:dyDescent="0.2">
      <c r="A221" s="298"/>
      <c r="B221" s="298"/>
      <c r="C221" s="298"/>
      <c r="D221" s="298"/>
      <c r="E221" s="298"/>
      <c r="F221" s="298"/>
      <c r="G221" s="298"/>
      <c r="H221" s="298"/>
      <c r="I221" s="298"/>
      <c r="J221" s="298"/>
      <c r="K221" s="298"/>
      <c r="L221" s="298"/>
      <c r="M221" s="298"/>
      <c r="N221" s="298"/>
      <c r="O221" s="299"/>
      <c r="P221" s="295" t="s">
        <v>40</v>
      </c>
      <c r="Q221" s="296"/>
      <c r="R221" s="296"/>
      <c r="S221" s="296"/>
      <c r="T221" s="296"/>
      <c r="U221" s="296"/>
      <c r="V221" s="297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hidden="1" x14ac:dyDescent="0.2">
      <c r="A222" s="298"/>
      <c r="B222" s="298"/>
      <c r="C222" s="298"/>
      <c r="D222" s="298"/>
      <c r="E222" s="298"/>
      <c r="F222" s="298"/>
      <c r="G222" s="298"/>
      <c r="H222" s="298"/>
      <c r="I222" s="298"/>
      <c r="J222" s="298"/>
      <c r="K222" s="298"/>
      <c r="L222" s="298"/>
      <c r="M222" s="298"/>
      <c r="N222" s="298"/>
      <c r="O222" s="299"/>
      <c r="P222" s="295" t="s">
        <v>40</v>
      </c>
      <c r="Q222" s="296"/>
      <c r="R222" s="296"/>
      <c r="S222" s="296"/>
      <c r="T222" s="296"/>
      <c r="U222" s="296"/>
      <c r="V222" s="297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16.5" hidden="1" customHeight="1" x14ac:dyDescent="0.25">
      <c r="A223" s="321" t="s">
        <v>325</v>
      </c>
      <c r="B223" s="321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65"/>
      <c r="AB223" s="65"/>
      <c r="AC223" s="82"/>
    </row>
    <row r="224" spans="1:68" ht="14.25" hidden="1" customHeight="1" x14ac:dyDescent="0.25">
      <c r="A224" s="309" t="s">
        <v>155</v>
      </c>
      <c r="B224" s="309"/>
      <c r="C224" s="309"/>
      <c r="D224" s="309"/>
      <c r="E224" s="309"/>
      <c r="F224" s="309"/>
      <c r="G224" s="309"/>
      <c r="H224" s="309"/>
      <c r="I224" s="309"/>
      <c r="J224" s="309"/>
      <c r="K224" s="309"/>
      <c r="L224" s="309"/>
      <c r="M224" s="309"/>
      <c r="N224" s="309"/>
      <c r="O224" s="309"/>
      <c r="P224" s="309"/>
      <c r="Q224" s="309"/>
      <c r="R224" s="309"/>
      <c r="S224" s="309"/>
      <c r="T224" s="309"/>
      <c r="U224" s="309"/>
      <c r="V224" s="309"/>
      <c r="W224" s="309"/>
      <c r="X224" s="309"/>
      <c r="Y224" s="309"/>
      <c r="Z224" s="309"/>
      <c r="AA224" s="66"/>
      <c r="AB224" s="66"/>
      <c r="AC224" s="83"/>
    </row>
    <row r="225" spans="1:68" ht="27" hidden="1" customHeight="1" x14ac:dyDescent="0.25">
      <c r="A225" s="63" t="s">
        <v>326</v>
      </c>
      <c r="B225" s="63" t="s">
        <v>327</v>
      </c>
      <c r="C225" s="36">
        <v>4301135694</v>
      </c>
      <c r="D225" s="291">
        <v>4620207490501</v>
      </c>
      <c r="E225" s="291"/>
      <c r="F225" s="62">
        <v>0.2</v>
      </c>
      <c r="G225" s="37">
        <v>12</v>
      </c>
      <c r="H225" s="62">
        <v>2.4</v>
      </c>
      <c r="I225" s="62">
        <v>3.1036000000000001</v>
      </c>
      <c r="J225" s="37">
        <v>70</v>
      </c>
      <c r="K225" s="37" t="s">
        <v>116</v>
      </c>
      <c r="L225" s="37" t="s">
        <v>86</v>
      </c>
      <c r="M225" s="38" t="s">
        <v>84</v>
      </c>
      <c r="N225" s="38"/>
      <c r="O225" s="37">
        <v>180</v>
      </c>
      <c r="P225" s="3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93"/>
      <c r="R225" s="293"/>
      <c r="S225" s="293"/>
      <c r="T225" s="294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IFERROR(IF(X225="","",X225*0.01788),"")</f>
        <v>0</v>
      </c>
      <c r="AA225" s="68" t="s">
        <v>46</v>
      </c>
      <c r="AB225" s="69" t="s">
        <v>46</v>
      </c>
      <c r="AC225" s="245" t="s">
        <v>328</v>
      </c>
      <c r="AG225" s="81"/>
      <c r="AJ225" s="87" t="s">
        <v>87</v>
      </c>
      <c r="AK225" s="87">
        <v>1</v>
      </c>
      <c r="BB225" s="246" t="s">
        <v>115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idden="1" x14ac:dyDescent="0.2">
      <c r="A226" s="298"/>
      <c r="B226" s="298"/>
      <c r="C226" s="298"/>
      <c r="D226" s="298"/>
      <c r="E226" s="298"/>
      <c r="F226" s="298"/>
      <c r="G226" s="298"/>
      <c r="H226" s="298"/>
      <c r="I226" s="298"/>
      <c r="J226" s="298"/>
      <c r="K226" s="298"/>
      <c r="L226" s="298"/>
      <c r="M226" s="298"/>
      <c r="N226" s="298"/>
      <c r="O226" s="299"/>
      <c r="P226" s="295" t="s">
        <v>40</v>
      </c>
      <c r="Q226" s="296"/>
      <c r="R226" s="296"/>
      <c r="S226" s="296"/>
      <c r="T226" s="296"/>
      <c r="U226" s="296"/>
      <c r="V226" s="297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hidden="1" x14ac:dyDescent="0.2">
      <c r="A227" s="298"/>
      <c r="B227" s="298"/>
      <c r="C227" s="298"/>
      <c r="D227" s="298"/>
      <c r="E227" s="298"/>
      <c r="F227" s="298"/>
      <c r="G227" s="298"/>
      <c r="H227" s="298"/>
      <c r="I227" s="298"/>
      <c r="J227" s="298"/>
      <c r="K227" s="298"/>
      <c r="L227" s="298"/>
      <c r="M227" s="298"/>
      <c r="N227" s="298"/>
      <c r="O227" s="299"/>
      <c r="P227" s="295" t="s">
        <v>40</v>
      </c>
      <c r="Q227" s="296"/>
      <c r="R227" s="296"/>
      <c r="S227" s="296"/>
      <c r="T227" s="296"/>
      <c r="U227" s="296"/>
      <c r="V227" s="297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hidden="1" customHeight="1" x14ac:dyDescent="0.2">
      <c r="A228" s="320" t="s">
        <v>329</v>
      </c>
      <c r="B228" s="320"/>
      <c r="C228" s="320"/>
      <c r="D228" s="320"/>
      <c r="E228" s="320"/>
      <c r="F228" s="320"/>
      <c r="G228" s="320"/>
      <c r="H228" s="320"/>
      <c r="I228" s="320"/>
      <c r="J228" s="320"/>
      <c r="K228" s="320"/>
      <c r="L228" s="320"/>
      <c r="M228" s="320"/>
      <c r="N228" s="320"/>
      <c r="O228" s="320"/>
      <c r="P228" s="320"/>
      <c r="Q228" s="320"/>
      <c r="R228" s="320"/>
      <c r="S228" s="320"/>
      <c r="T228" s="320"/>
      <c r="U228" s="320"/>
      <c r="V228" s="320"/>
      <c r="W228" s="320"/>
      <c r="X228" s="320"/>
      <c r="Y228" s="320"/>
      <c r="Z228" s="320"/>
      <c r="AA228" s="54"/>
      <c r="AB228" s="54"/>
      <c r="AC228" s="54"/>
    </row>
    <row r="229" spans="1:68" ht="16.5" hidden="1" customHeight="1" x14ac:dyDescent="0.25">
      <c r="A229" s="321" t="s">
        <v>330</v>
      </c>
      <c r="B229" s="321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65"/>
      <c r="AB229" s="65"/>
      <c r="AC229" s="82"/>
    </row>
    <row r="230" spans="1:68" ht="14.25" hidden="1" customHeight="1" x14ac:dyDescent="0.25">
      <c r="A230" s="309" t="s">
        <v>80</v>
      </c>
      <c r="B230" s="309"/>
      <c r="C230" s="309"/>
      <c r="D230" s="309"/>
      <c r="E230" s="309"/>
      <c r="F230" s="309"/>
      <c r="G230" s="309"/>
      <c r="H230" s="309"/>
      <c r="I230" s="309"/>
      <c r="J230" s="309"/>
      <c r="K230" s="309"/>
      <c r="L230" s="309"/>
      <c r="M230" s="309"/>
      <c r="N230" s="309"/>
      <c r="O230" s="309"/>
      <c r="P230" s="309"/>
      <c r="Q230" s="309"/>
      <c r="R230" s="309"/>
      <c r="S230" s="309"/>
      <c r="T230" s="309"/>
      <c r="U230" s="309"/>
      <c r="V230" s="309"/>
      <c r="W230" s="309"/>
      <c r="X230" s="309"/>
      <c r="Y230" s="309"/>
      <c r="Z230" s="309"/>
      <c r="AA230" s="66"/>
      <c r="AB230" s="66"/>
      <c r="AC230" s="83"/>
    </row>
    <row r="231" spans="1:68" ht="27" hidden="1" customHeight="1" x14ac:dyDescent="0.25">
      <c r="A231" s="63" t="s">
        <v>331</v>
      </c>
      <c r="B231" s="63" t="s">
        <v>332</v>
      </c>
      <c r="C231" s="36">
        <v>4301071036</v>
      </c>
      <c r="D231" s="291">
        <v>4607111036162</v>
      </c>
      <c r="E231" s="291"/>
      <c r="F231" s="62">
        <v>0.8</v>
      </c>
      <c r="G231" s="37">
        <v>8</v>
      </c>
      <c r="H231" s="62">
        <v>6.4</v>
      </c>
      <c r="I231" s="62">
        <v>6.6811999999999996</v>
      </c>
      <c r="J231" s="37">
        <v>84</v>
      </c>
      <c r="K231" s="37" t="s">
        <v>85</v>
      </c>
      <c r="L231" s="37" t="s">
        <v>86</v>
      </c>
      <c r="M231" s="38" t="s">
        <v>84</v>
      </c>
      <c r="N231" s="38"/>
      <c r="O231" s="37">
        <v>90</v>
      </c>
      <c r="P231" s="32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3"/>
      <c r="R231" s="293"/>
      <c r="S231" s="293"/>
      <c r="T231" s="294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7" t="s">
        <v>333</v>
      </c>
      <c r="AG231" s="81"/>
      <c r="AJ231" s="87" t="s">
        <v>87</v>
      </c>
      <c r="AK231" s="87">
        <v>1</v>
      </c>
      <c r="BB231" s="248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idden="1" x14ac:dyDescent="0.2">
      <c r="A232" s="298"/>
      <c r="B232" s="298"/>
      <c r="C232" s="298"/>
      <c r="D232" s="298"/>
      <c r="E232" s="298"/>
      <c r="F232" s="298"/>
      <c r="G232" s="298"/>
      <c r="H232" s="298"/>
      <c r="I232" s="298"/>
      <c r="J232" s="298"/>
      <c r="K232" s="298"/>
      <c r="L232" s="298"/>
      <c r="M232" s="298"/>
      <c r="N232" s="298"/>
      <c r="O232" s="299"/>
      <c r="P232" s="295" t="s">
        <v>40</v>
      </c>
      <c r="Q232" s="296"/>
      <c r="R232" s="296"/>
      <c r="S232" s="296"/>
      <c r="T232" s="296"/>
      <c r="U232" s="296"/>
      <c r="V232" s="297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hidden="1" x14ac:dyDescent="0.2">
      <c r="A233" s="298"/>
      <c r="B233" s="298"/>
      <c r="C233" s="298"/>
      <c r="D233" s="298"/>
      <c r="E233" s="298"/>
      <c r="F233" s="298"/>
      <c r="G233" s="298"/>
      <c r="H233" s="298"/>
      <c r="I233" s="298"/>
      <c r="J233" s="298"/>
      <c r="K233" s="298"/>
      <c r="L233" s="298"/>
      <c r="M233" s="298"/>
      <c r="N233" s="298"/>
      <c r="O233" s="299"/>
      <c r="P233" s="295" t="s">
        <v>40</v>
      </c>
      <c r="Q233" s="296"/>
      <c r="R233" s="296"/>
      <c r="S233" s="296"/>
      <c r="T233" s="296"/>
      <c r="U233" s="296"/>
      <c r="V233" s="297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hidden="1" customHeight="1" x14ac:dyDescent="0.2">
      <c r="A234" s="320" t="s">
        <v>334</v>
      </c>
      <c r="B234" s="320"/>
      <c r="C234" s="320"/>
      <c r="D234" s="320"/>
      <c r="E234" s="320"/>
      <c r="F234" s="320"/>
      <c r="G234" s="320"/>
      <c r="H234" s="320"/>
      <c r="I234" s="320"/>
      <c r="J234" s="320"/>
      <c r="K234" s="320"/>
      <c r="L234" s="320"/>
      <c r="M234" s="320"/>
      <c r="N234" s="320"/>
      <c r="O234" s="320"/>
      <c r="P234" s="320"/>
      <c r="Q234" s="320"/>
      <c r="R234" s="320"/>
      <c r="S234" s="320"/>
      <c r="T234" s="320"/>
      <c r="U234" s="320"/>
      <c r="V234" s="320"/>
      <c r="W234" s="320"/>
      <c r="X234" s="320"/>
      <c r="Y234" s="320"/>
      <c r="Z234" s="320"/>
      <c r="AA234" s="54"/>
      <c r="AB234" s="54"/>
      <c r="AC234" s="54"/>
    </row>
    <row r="235" spans="1:68" ht="16.5" hidden="1" customHeight="1" x14ac:dyDescent="0.25">
      <c r="A235" s="321" t="s">
        <v>335</v>
      </c>
      <c r="B235" s="321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65"/>
      <c r="AB235" s="65"/>
      <c r="AC235" s="82"/>
    </row>
    <row r="236" spans="1:68" ht="14.25" hidden="1" customHeight="1" x14ac:dyDescent="0.25">
      <c r="A236" s="309" t="s">
        <v>336</v>
      </c>
      <c r="B236" s="309"/>
      <c r="C236" s="309"/>
      <c r="D236" s="309"/>
      <c r="E236" s="309"/>
      <c r="F236" s="309"/>
      <c r="G236" s="309"/>
      <c r="H236" s="309"/>
      <c r="I236" s="309"/>
      <c r="J236" s="309"/>
      <c r="K236" s="309"/>
      <c r="L236" s="309"/>
      <c r="M236" s="309"/>
      <c r="N236" s="309"/>
      <c r="O236" s="309"/>
      <c r="P236" s="309"/>
      <c r="Q236" s="309"/>
      <c r="R236" s="309"/>
      <c r="S236" s="309"/>
      <c r="T236" s="309"/>
      <c r="U236" s="309"/>
      <c r="V236" s="309"/>
      <c r="W236" s="309"/>
      <c r="X236" s="309"/>
      <c r="Y236" s="309"/>
      <c r="Z236" s="309"/>
      <c r="AA236" s="66"/>
      <c r="AB236" s="66"/>
      <c r="AC236" s="83"/>
    </row>
    <row r="237" spans="1:68" ht="27" hidden="1" customHeight="1" x14ac:dyDescent="0.25">
      <c r="A237" s="63" t="s">
        <v>337</v>
      </c>
      <c r="B237" s="63" t="s">
        <v>338</v>
      </c>
      <c r="C237" s="36">
        <v>4301133004</v>
      </c>
      <c r="D237" s="291">
        <v>4607111039774</v>
      </c>
      <c r="E237" s="291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116</v>
      </c>
      <c r="L237" s="37" t="s">
        <v>86</v>
      </c>
      <c r="M237" s="38" t="s">
        <v>84</v>
      </c>
      <c r="N237" s="38"/>
      <c r="O237" s="37">
        <v>180</v>
      </c>
      <c r="P237" s="32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93"/>
      <c r="R237" s="293"/>
      <c r="S237" s="293"/>
      <c r="T237" s="294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339</v>
      </c>
      <c r="AG237" s="81"/>
      <c r="AJ237" s="87" t="s">
        <v>87</v>
      </c>
      <c r="AK237" s="87">
        <v>1</v>
      </c>
      <c r="BB237" s="250" t="s">
        <v>115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idden="1" x14ac:dyDescent="0.2">
      <c r="A238" s="298"/>
      <c r="B238" s="298"/>
      <c r="C238" s="298"/>
      <c r="D238" s="298"/>
      <c r="E238" s="298"/>
      <c r="F238" s="298"/>
      <c r="G238" s="298"/>
      <c r="H238" s="298"/>
      <c r="I238" s="298"/>
      <c r="J238" s="298"/>
      <c r="K238" s="298"/>
      <c r="L238" s="298"/>
      <c r="M238" s="298"/>
      <c r="N238" s="298"/>
      <c r="O238" s="299"/>
      <c r="P238" s="295" t="s">
        <v>40</v>
      </c>
      <c r="Q238" s="296"/>
      <c r="R238" s="296"/>
      <c r="S238" s="296"/>
      <c r="T238" s="296"/>
      <c r="U238" s="296"/>
      <c r="V238" s="297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idden="1" x14ac:dyDescent="0.2">
      <c r="A239" s="298"/>
      <c r="B239" s="298"/>
      <c r="C239" s="298"/>
      <c r="D239" s="298"/>
      <c r="E239" s="298"/>
      <c r="F239" s="298"/>
      <c r="G239" s="298"/>
      <c r="H239" s="298"/>
      <c r="I239" s="298"/>
      <c r="J239" s="298"/>
      <c r="K239" s="298"/>
      <c r="L239" s="298"/>
      <c r="M239" s="298"/>
      <c r="N239" s="298"/>
      <c r="O239" s="299"/>
      <c r="P239" s="295" t="s">
        <v>40</v>
      </c>
      <c r="Q239" s="296"/>
      <c r="R239" s="296"/>
      <c r="S239" s="296"/>
      <c r="T239" s="296"/>
      <c r="U239" s="296"/>
      <c r="V239" s="297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hidden="1" customHeight="1" x14ac:dyDescent="0.25">
      <c r="A240" s="309" t="s">
        <v>155</v>
      </c>
      <c r="B240" s="309"/>
      <c r="C240" s="309"/>
      <c r="D240" s="309"/>
      <c r="E240" s="309"/>
      <c r="F240" s="309"/>
      <c r="G240" s="309"/>
      <c r="H240" s="309"/>
      <c r="I240" s="309"/>
      <c r="J240" s="309"/>
      <c r="K240" s="309"/>
      <c r="L240" s="309"/>
      <c r="M240" s="309"/>
      <c r="N240" s="309"/>
      <c r="O240" s="309"/>
      <c r="P240" s="309"/>
      <c r="Q240" s="309"/>
      <c r="R240" s="309"/>
      <c r="S240" s="309"/>
      <c r="T240" s="309"/>
      <c r="U240" s="309"/>
      <c r="V240" s="309"/>
      <c r="W240" s="309"/>
      <c r="X240" s="309"/>
      <c r="Y240" s="309"/>
      <c r="Z240" s="309"/>
      <c r="AA240" s="66"/>
      <c r="AB240" s="66"/>
      <c r="AC240" s="83"/>
    </row>
    <row r="241" spans="1:68" ht="37.5" hidden="1" customHeight="1" x14ac:dyDescent="0.25">
      <c r="A241" s="63" t="s">
        <v>340</v>
      </c>
      <c r="B241" s="63" t="s">
        <v>341</v>
      </c>
      <c r="C241" s="36">
        <v>4301135400</v>
      </c>
      <c r="D241" s="291">
        <v>4607111039361</v>
      </c>
      <c r="E241" s="291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116</v>
      </c>
      <c r="L241" s="37" t="s">
        <v>86</v>
      </c>
      <c r="M241" s="38" t="s">
        <v>84</v>
      </c>
      <c r="N241" s="38"/>
      <c r="O241" s="37">
        <v>180</v>
      </c>
      <c r="P241" s="32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93"/>
      <c r="R241" s="293"/>
      <c r="S241" s="293"/>
      <c r="T241" s="294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51" t="s">
        <v>339</v>
      </c>
      <c r="AG241" s="81"/>
      <c r="AJ241" s="87" t="s">
        <v>87</v>
      </c>
      <c r="AK241" s="87">
        <v>1</v>
      </c>
      <c r="BB241" s="252" t="s">
        <v>115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idden="1" x14ac:dyDescent="0.2">
      <c r="A242" s="298"/>
      <c r="B242" s="298"/>
      <c r="C242" s="298"/>
      <c r="D242" s="298"/>
      <c r="E242" s="298"/>
      <c r="F242" s="298"/>
      <c r="G242" s="298"/>
      <c r="H242" s="298"/>
      <c r="I242" s="298"/>
      <c r="J242" s="298"/>
      <c r="K242" s="298"/>
      <c r="L242" s="298"/>
      <c r="M242" s="298"/>
      <c r="N242" s="298"/>
      <c r="O242" s="299"/>
      <c r="P242" s="295" t="s">
        <v>40</v>
      </c>
      <c r="Q242" s="296"/>
      <c r="R242" s="296"/>
      <c r="S242" s="296"/>
      <c r="T242" s="296"/>
      <c r="U242" s="296"/>
      <c r="V242" s="297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hidden="1" x14ac:dyDescent="0.2">
      <c r="A243" s="298"/>
      <c r="B243" s="298"/>
      <c r="C243" s="298"/>
      <c r="D243" s="298"/>
      <c r="E243" s="298"/>
      <c r="F243" s="298"/>
      <c r="G243" s="298"/>
      <c r="H243" s="298"/>
      <c r="I243" s="298"/>
      <c r="J243" s="298"/>
      <c r="K243" s="298"/>
      <c r="L243" s="298"/>
      <c r="M243" s="298"/>
      <c r="N243" s="298"/>
      <c r="O243" s="299"/>
      <c r="P243" s="295" t="s">
        <v>40</v>
      </c>
      <c r="Q243" s="296"/>
      <c r="R243" s="296"/>
      <c r="S243" s="296"/>
      <c r="T243" s="296"/>
      <c r="U243" s="296"/>
      <c r="V243" s="297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hidden="1" customHeight="1" x14ac:dyDescent="0.2">
      <c r="A244" s="320" t="s">
        <v>342</v>
      </c>
      <c r="B244" s="320"/>
      <c r="C244" s="320"/>
      <c r="D244" s="320"/>
      <c r="E244" s="320"/>
      <c r="F244" s="320"/>
      <c r="G244" s="320"/>
      <c r="H244" s="320"/>
      <c r="I244" s="320"/>
      <c r="J244" s="320"/>
      <c r="K244" s="320"/>
      <c r="L244" s="320"/>
      <c r="M244" s="320"/>
      <c r="N244" s="320"/>
      <c r="O244" s="320"/>
      <c r="P244" s="320"/>
      <c r="Q244" s="320"/>
      <c r="R244" s="320"/>
      <c r="S244" s="320"/>
      <c r="T244" s="320"/>
      <c r="U244" s="320"/>
      <c r="V244" s="320"/>
      <c r="W244" s="320"/>
      <c r="X244" s="320"/>
      <c r="Y244" s="320"/>
      <c r="Z244" s="320"/>
      <c r="AA244" s="54"/>
      <c r="AB244" s="54"/>
      <c r="AC244" s="54"/>
    </row>
    <row r="245" spans="1:68" ht="16.5" hidden="1" customHeight="1" x14ac:dyDescent="0.25">
      <c r="A245" s="321" t="s">
        <v>342</v>
      </c>
      <c r="B245" s="321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65"/>
      <c r="AB245" s="65"/>
      <c r="AC245" s="82"/>
    </row>
    <row r="246" spans="1:68" ht="14.25" hidden="1" customHeight="1" x14ac:dyDescent="0.25">
      <c r="A246" s="309" t="s">
        <v>149</v>
      </c>
      <c r="B246" s="309"/>
      <c r="C246" s="309"/>
      <c r="D246" s="309"/>
      <c r="E246" s="309"/>
      <c r="F246" s="309"/>
      <c r="G246" s="309"/>
      <c r="H246" s="309"/>
      <c r="I246" s="309"/>
      <c r="J246" s="309"/>
      <c r="K246" s="309"/>
      <c r="L246" s="309"/>
      <c r="M246" s="309"/>
      <c r="N246" s="309"/>
      <c r="O246" s="309"/>
      <c r="P246" s="309"/>
      <c r="Q246" s="309"/>
      <c r="R246" s="309"/>
      <c r="S246" s="309"/>
      <c r="T246" s="309"/>
      <c r="U246" s="309"/>
      <c r="V246" s="309"/>
      <c r="W246" s="309"/>
      <c r="X246" s="309"/>
      <c r="Y246" s="309"/>
      <c r="Z246" s="309"/>
      <c r="AA246" s="66"/>
      <c r="AB246" s="66"/>
      <c r="AC246" s="83"/>
    </row>
    <row r="247" spans="1:68" ht="27" hidden="1" customHeight="1" x14ac:dyDescent="0.25">
      <c r="A247" s="63" t="s">
        <v>343</v>
      </c>
      <c r="B247" s="63" t="s">
        <v>344</v>
      </c>
      <c r="C247" s="36">
        <v>4301136098</v>
      </c>
      <c r="D247" s="291">
        <v>4640242181943</v>
      </c>
      <c r="E247" s="291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116</v>
      </c>
      <c r="L247" s="37" t="s">
        <v>86</v>
      </c>
      <c r="M247" s="38" t="s">
        <v>84</v>
      </c>
      <c r="N247" s="38"/>
      <c r="O247" s="37">
        <v>180</v>
      </c>
      <c r="P247" s="31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3"/>
      <c r="R247" s="293"/>
      <c r="S247" s="293"/>
      <c r="T247" s="294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345</v>
      </c>
      <c r="AG247" s="81"/>
      <c r="AJ247" s="87" t="s">
        <v>87</v>
      </c>
      <c r="AK247" s="87">
        <v>1</v>
      </c>
      <c r="BB247" s="254" t="s">
        <v>115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idden="1" x14ac:dyDescent="0.2">
      <c r="A248" s="298"/>
      <c r="B248" s="298"/>
      <c r="C248" s="298"/>
      <c r="D248" s="298"/>
      <c r="E248" s="298"/>
      <c r="F248" s="298"/>
      <c r="G248" s="298"/>
      <c r="H248" s="298"/>
      <c r="I248" s="298"/>
      <c r="J248" s="298"/>
      <c r="K248" s="298"/>
      <c r="L248" s="298"/>
      <c r="M248" s="298"/>
      <c r="N248" s="298"/>
      <c r="O248" s="299"/>
      <c r="P248" s="295" t="s">
        <v>40</v>
      </c>
      <c r="Q248" s="296"/>
      <c r="R248" s="296"/>
      <c r="S248" s="296"/>
      <c r="T248" s="296"/>
      <c r="U248" s="296"/>
      <c r="V248" s="297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hidden="1" x14ac:dyDescent="0.2">
      <c r="A249" s="298"/>
      <c r="B249" s="298"/>
      <c r="C249" s="298"/>
      <c r="D249" s="298"/>
      <c r="E249" s="298"/>
      <c r="F249" s="298"/>
      <c r="G249" s="298"/>
      <c r="H249" s="298"/>
      <c r="I249" s="298"/>
      <c r="J249" s="298"/>
      <c r="K249" s="298"/>
      <c r="L249" s="298"/>
      <c r="M249" s="298"/>
      <c r="N249" s="298"/>
      <c r="O249" s="299"/>
      <c r="P249" s="295" t="s">
        <v>40</v>
      </c>
      <c r="Q249" s="296"/>
      <c r="R249" s="296"/>
      <c r="S249" s="296"/>
      <c r="T249" s="296"/>
      <c r="U249" s="296"/>
      <c r="V249" s="297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hidden="1" customHeight="1" x14ac:dyDescent="0.2">
      <c r="A250" s="320" t="s">
        <v>346</v>
      </c>
      <c r="B250" s="320"/>
      <c r="C250" s="320"/>
      <c r="D250" s="320"/>
      <c r="E250" s="320"/>
      <c r="F250" s="320"/>
      <c r="G250" s="320"/>
      <c r="H250" s="320"/>
      <c r="I250" s="320"/>
      <c r="J250" s="320"/>
      <c r="K250" s="320"/>
      <c r="L250" s="320"/>
      <c r="M250" s="320"/>
      <c r="N250" s="320"/>
      <c r="O250" s="320"/>
      <c r="P250" s="320"/>
      <c r="Q250" s="320"/>
      <c r="R250" s="320"/>
      <c r="S250" s="320"/>
      <c r="T250" s="320"/>
      <c r="U250" s="320"/>
      <c r="V250" s="320"/>
      <c r="W250" s="320"/>
      <c r="X250" s="320"/>
      <c r="Y250" s="320"/>
      <c r="Z250" s="320"/>
      <c r="AA250" s="54"/>
      <c r="AB250" s="54"/>
      <c r="AC250" s="54"/>
    </row>
    <row r="251" spans="1:68" ht="16.5" hidden="1" customHeight="1" x14ac:dyDescent="0.25">
      <c r="A251" s="321" t="s">
        <v>346</v>
      </c>
      <c r="B251" s="321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65"/>
      <c r="AB251" s="65"/>
      <c r="AC251" s="82"/>
    </row>
    <row r="252" spans="1:68" ht="14.25" hidden="1" customHeight="1" x14ac:dyDescent="0.25">
      <c r="A252" s="309" t="s">
        <v>80</v>
      </c>
      <c r="B252" s="309"/>
      <c r="C252" s="309"/>
      <c r="D252" s="309"/>
      <c r="E252" s="309"/>
      <c r="F252" s="309"/>
      <c r="G252" s="309"/>
      <c r="H252" s="309"/>
      <c r="I252" s="309"/>
      <c r="J252" s="309"/>
      <c r="K252" s="309"/>
      <c r="L252" s="309"/>
      <c r="M252" s="309"/>
      <c r="N252" s="309"/>
      <c r="O252" s="309"/>
      <c r="P252" s="309"/>
      <c r="Q252" s="309"/>
      <c r="R252" s="309"/>
      <c r="S252" s="309"/>
      <c r="T252" s="309"/>
      <c r="U252" s="309"/>
      <c r="V252" s="309"/>
      <c r="W252" s="309"/>
      <c r="X252" s="309"/>
      <c r="Y252" s="309"/>
      <c r="Z252" s="309"/>
      <c r="AA252" s="66"/>
      <c r="AB252" s="66"/>
      <c r="AC252" s="83"/>
    </row>
    <row r="253" spans="1:68" ht="27" hidden="1" customHeight="1" x14ac:dyDescent="0.25">
      <c r="A253" s="63" t="s">
        <v>347</v>
      </c>
      <c r="B253" s="63" t="s">
        <v>348</v>
      </c>
      <c r="C253" s="36">
        <v>4301071014</v>
      </c>
      <c r="D253" s="291">
        <v>4640242181264</v>
      </c>
      <c r="E253" s="291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86</v>
      </c>
      <c r="M253" s="38" t="s">
        <v>84</v>
      </c>
      <c r="N253" s="38"/>
      <c r="O253" s="37">
        <v>180</v>
      </c>
      <c r="P253" s="32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3"/>
      <c r="R253" s="293"/>
      <c r="S253" s="293"/>
      <c r="T253" s="294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349</v>
      </c>
      <c r="AG253" s="81"/>
      <c r="AJ253" s="87" t="s">
        <v>87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hidden="1" customHeight="1" x14ac:dyDescent="0.25">
      <c r="A254" s="63" t="s">
        <v>350</v>
      </c>
      <c r="B254" s="63" t="s">
        <v>351</v>
      </c>
      <c r="C254" s="36">
        <v>4301071021</v>
      </c>
      <c r="D254" s="291">
        <v>4640242181325</v>
      </c>
      <c r="E254" s="291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85</v>
      </c>
      <c r="L254" s="37" t="s">
        <v>117</v>
      </c>
      <c r="M254" s="38" t="s">
        <v>84</v>
      </c>
      <c r="N254" s="38"/>
      <c r="O254" s="37">
        <v>180</v>
      </c>
      <c r="P254" s="31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3"/>
      <c r="R254" s="293"/>
      <c r="S254" s="293"/>
      <c r="T254" s="294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349</v>
      </c>
      <c r="AG254" s="81"/>
      <c r="AJ254" s="87" t="s">
        <v>118</v>
      </c>
      <c r="AK254" s="87">
        <v>12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idden="1" x14ac:dyDescent="0.2">
      <c r="A255" s="298"/>
      <c r="B255" s="298"/>
      <c r="C255" s="298"/>
      <c r="D255" s="298"/>
      <c r="E255" s="298"/>
      <c r="F255" s="298"/>
      <c r="G255" s="298"/>
      <c r="H255" s="298"/>
      <c r="I255" s="298"/>
      <c r="J255" s="298"/>
      <c r="K255" s="298"/>
      <c r="L255" s="298"/>
      <c r="M255" s="298"/>
      <c r="N255" s="298"/>
      <c r="O255" s="299"/>
      <c r="P255" s="295" t="s">
        <v>40</v>
      </c>
      <c r="Q255" s="296"/>
      <c r="R255" s="296"/>
      <c r="S255" s="296"/>
      <c r="T255" s="296"/>
      <c r="U255" s="296"/>
      <c r="V255" s="297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hidden="1" x14ac:dyDescent="0.2">
      <c r="A256" s="298"/>
      <c r="B256" s="298"/>
      <c r="C256" s="298"/>
      <c r="D256" s="298"/>
      <c r="E256" s="298"/>
      <c r="F256" s="298"/>
      <c r="G256" s="298"/>
      <c r="H256" s="298"/>
      <c r="I256" s="298"/>
      <c r="J256" s="298"/>
      <c r="K256" s="298"/>
      <c r="L256" s="298"/>
      <c r="M256" s="298"/>
      <c r="N256" s="298"/>
      <c r="O256" s="299"/>
      <c r="P256" s="295" t="s">
        <v>40</v>
      </c>
      <c r="Q256" s="296"/>
      <c r="R256" s="296"/>
      <c r="S256" s="296"/>
      <c r="T256" s="296"/>
      <c r="U256" s="296"/>
      <c r="V256" s="297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hidden="1" customHeight="1" x14ac:dyDescent="0.25">
      <c r="A257" s="309" t="s">
        <v>111</v>
      </c>
      <c r="B257" s="309"/>
      <c r="C257" s="309"/>
      <c r="D257" s="309"/>
      <c r="E257" s="309"/>
      <c r="F257" s="309"/>
      <c r="G257" s="309"/>
      <c r="H257" s="309"/>
      <c r="I257" s="309"/>
      <c r="J257" s="309"/>
      <c r="K257" s="309"/>
      <c r="L257" s="309"/>
      <c r="M257" s="309"/>
      <c r="N257" s="309"/>
      <c r="O257" s="309"/>
      <c r="P257" s="309"/>
      <c r="Q257" s="309"/>
      <c r="R257" s="309"/>
      <c r="S257" s="309"/>
      <c r="T257" s="309"/>
      <c r="U257" s="309"/>
      <c r="V257" s="309"/>
      <c r="W257" s="309"/>
      <c r="X257" s="309"/>
      <c r="Y257" s="309"/>
      <c r="Z257" s="309"/>
      <c r="AA257" s="66"/>
      <c r="AB257" s="66"/>
      <c r="AC257" s="83"/>
    </row>
    <row r="258" spans="1:68" ht="27" hidden="1" customHeight="1" x14ac:dyDescent="0.25">
      <c r="A258" s="63" t="s">
        <v>352</v>
      </c>
      <c r="B258" s="63" t="s">
        <v>353</v>
      </c>
      <c r="C258" s="36">
        <v>4301132080</v>
      </c>
      <c r="D258" s="291">
        <v>4640242180397</v>
      </c>
      <c r="E258" s="291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85</v>
      </c>
      <c r="L258" s="37" t="s">
        <v>117</v>
      </c>
      <c r="M258" s="38" t="s">
        <v>84</v>
      </c>
      <c r="N258" s="38"/>
      <c r="O258" s="37">
        <v>180</v>
      </c>
      <c r="P258" s="3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3"/>
      <c r="R258" s="293"/>
      <c r="S258" s="293"/>
      <c r="T258" s="294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9" t="s">
        <v>354</v>
      </c>
      <c r="AG258" s="81"/>
      <c r="AJ258" s="87" t="s">
        <v>118</v>
      </c>
      <c r="AK258" s="87">
        <v>12</v>
      </c>
      <c r="BB258" s="260" t="s">
        <v>115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idden="1" x14ac:dyDescent="0.2">
      <c r="A259" s="298"/>
      <c r="B259" s="298"/>
      <c r="C259" s="298"/>
      <c r="D259" s="298"/>
      <c r="E259" s="298"/>
      <c r="F259" s="298"/>
      <c r="G259" s="298"/>
      <c r="H259" s="298"/>
      <c r="I259" s="298"/>
      <c r="J259" s="298"/>
      <c r="K259" s="298"/>
      <c r="L259" s="298"/>
      <c r="M259" s="298"/>
      <c r="N259" s="298"/>
      <c r="O259" s="299"/>
      <c r="P259" s="295" t="s">
        <v>40</v>
      </c>
      <c r="Q259" s="296"/>
      <c r="R259" s="296"/>
      <c r="S259" s="296"/>
      <c r="T259" s="296"/>
      <c r="U259" s="296"/>
      <c r="V259" s="297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298"/>
      <c r="B260" s="298"/>
      <c r="C260" s="298"/>
      <c r="D260" s="298"/>
      <c r="E260" s="298"/>
      <c r="F260" s="298"/>
      <c r="G260" s="298"/>
      <c r="H260" s="298"/>
      <c r="I260" s="298"/>
      <c r="J260" s="298"/>
      <c r="K260" s="298"/>
      <c r="L260" s="298"/>
      <c r="M260" s="298"/>
      <c r="N260" s="298"/>
      <c r="O260" s="299"/>
      <c r="P260" s="295" t="s">
        <v>40</v>
      </c>
      <c r="Q260" s="296"/>
      <c r="R260" s="296"/>
      <c r="S260" s="296"/>
      <c r="T260" s="296"/>
      <c r="U260" s="296"/>
      <c r="V260" s="297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14.25" hidden="1" customHeight="1" x14ac:dyDescent="0.25">
      <c r="A261" s="309" t="s">
        <v>149</v>
      </c>
      <c r="B261" s="309"/>
      <c r="C261" s="309"/>
      <c r="D261" s="309"/>
      <c r="E261" s="309"/>
      <c r="F261" s="309"/>
      <c r="G261" s="309"/>
      <c r="H261" s="309"/>
      <c r="I261" s="309"/>
      <c r="J261" s="309"/>
      <c r="K261" s="309"/>
      <c r="L261" s="309"/>
      <c r="M261" s="309"/>
      <c r="N261" s="309"/>
      <c r="O261" s="309"/>
      <c r="P261" s="309"/>
      <c r="Q261" s="309"/>
      <c r="R261" s="309"/>
      <c r="S261" s="309"/>
      <c r="T261" s="309"/>
      <c r="U261" s="309"/>
      <c r="V261" s="309"/>
      <c r="W261" s="309"/>
      <c r="X261" s="309"/>
      <c r="Y261" s="309"/>
      <c r="Z261" s="309"/>
      <c r="AA261" s="66"/>
      <c r="AB261" s="66"/>
      <c r="AC261" s="83"/>
    </row>
    <row r="262" spans="1:68" ht="27" hidden="1" customHeight="1" x14ac:dyDescent="0.25">
      <c r="A262" s="63" t="s">
        <v>355</v>
      </c>
      <c r="B262" s="63" t="s">
        <v>356</v>
      </c>
      <c r="C262" s="36">
        <v>4301136051</v>
      </c>
      <c r="D262" s="291">
        <v>4640242180304</v>
      </c>
      <c r="E262" s="291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116</v>
      </c>
      <c r="L262" s="37" t="s">
        <v>117</v>
      </c>
      <c r="M262" s="38" t="s">
        <v>84</v>
      </c>
      <c r="N262" s="38"/>
      <c r="O262" s="37">
        <v>180</v>
      </c>
      <c r="P262" s="31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3"/>
      <c r="R262" s="293"/>
      <c r="S262" s="293"/>
      <c r="T262" s="294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357</v>
      </c>
      <c r="AG262" s="81"/>
      <c r="AJ262" s="87" t="s">
        <v>118</v>
      </c>
      <c r="AK262" s="87">
        <v>14</v>
      </c>
      <c r="BB262" s="262" t="s">
        <v>115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hidden="1" customHeight="1" x14ac:dyDescent="0.25">
      <c r="A263" s="63" t="s">
        <v>358</v>
      </c>
      <c r="B263" s="63" t="s">
        <v>359</v>
      </c>
      <c r="C263" s="36">
        <v>4301136053</v>
      </c>
      <c r="D263" s="291">
        <v>4640242180236</v>
      </c>
      <c r="E263" s="291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85</v>
      </c>
      <c r="L263" s="37" t="s">
        <v>117</v>
      </c>
      <c r="M263" s="38" t="s">
        <v>84</v>
      </c>
      <c r="N263" s="38"/>
      <c r="O263" s="37">
        <v>180</v>
      </c>
      <c r="P263" s="31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3"/>
      <c r="R263" s="293"/>
      <c r="S263" s="293"/>
      <c r="T263" s="294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357</v>
      </c>
      <c r="AG263" s="81"/>
      <c r="AJ263" s="87" t="s">
        <v>118</v>
      </c>
      <c r="AK263" s="87">
        <v>12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hidden="1" customHeight="1" x14ac:dyDescent="0.25">
      <c r="A264" s="63" t="s">
        <v>360</v>
      </c>
      <c r="B264" s="63" t="s">
        <v>361</v>
      </c>
      <c r="C264" s="36">
        <v>4301136052</v>
      </c>
      <c r="D264" s="291">
        <v>4640242180410</v>
      </c>
      <c r="E264" s="291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116</v>
      </c>
      <c r="L264" s="37" t="s">
        <v>86</v>
      </c>
      <c r="M264" s="38" t="s">
        <v>84</v>
      </c>
      <c r="N264" s="38"/>
      <c r="O264" s="37">
        <v>180</v>
      </c>
      <c r="P264" s="31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3"/>
      <c r="R264" s="293"/>
      <c r="S264" s="293"/>
      <c r="T264" s="294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357</v>
      </c>
      <c r="AG264" s="81"/>
      <c r="AJ264" s="87" t="s">
        <v>87</v>
      </c>
      <c r="AK264" s="87">
        <v>1</v>
      </c>
      <c r="BB264" s="266" t="s">
        <v>115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idden="1" x14ac:dyDescent="0.2">
      <c r="A265" s="298"/>
      <c r="B265" s="298"/>
      <c r="C265" s="298"/>
      <c r="D265" s="298"/>
      <c r="E265" s="298"/>
      <c r="F265" s="298"/>
      <c r="G265" s="298"/>
      <c r="H265" s="298"/>
      <c r="I265" s="298"/>
      <c r="J265" s="298"/>
      <c r="K265" s="298"/>
      <c r="L265" s="298"/>
      <c r="M265" s="298"/>
      <c r="N265" s="298"/>
      <c r="O265" s="299"/>
      <c r="P265" s="295" t="s">
        <v>40</v>
      </c>
      <c r="Q265" s="296"/>
      <c r="R265" s="296"/>
      <c r="S265" s="296"/>
      <c r="T265" s="296"/>
      <c r="U265" s="296"/>
      <c r="V265" s="297"/>
      <c r="W265" s="42" t="s">
        <v>39</v>
      </c>
      <c r="X265" s="43">
        <f>IFERROR(SUM(X262:X264),"0")</f>
        <v>0</v>
      </c>
      <c r="Y265" s="43">
        <f>IFERROR(SUM(Y262:Y264),"0")</f>
        <v>0</v>
      </c>
      <c r="Z265" s="43">
        <f>IFERROR(IF(Z262="",0,Z262),"0")+IFERROR(IF(Z263="",0,Z263),"0")+IFERROR(IF(Z264="",0,Z264),"0")</f>
        <v>0</v>
      </c>
      <c r="AA265" s="67"/>
      <c r="AB265" s="67"/>
      <c r="AC265" s="67"/>
    </row>
    <row r="266" spans="1:68" hidden="1" x14ac:dyDescent="0.2">
      <c r="A266" s="298"/>
      <c r="B266" s="298"/>
      <c r="C266" s="298"/>
      <c r="D266" s="298"/>
      <c r="E266" s="298"/>
      <c r="F266" s="298"/>
      <c r="G266" s="298"/>
      <c r="H266" s="298"/>
      <c r="I266" s="298"/>
      <c r="J266" s="298"/>
      <c r="K266" s="298"/>
      <c r="L266" s="298"/>
      <c r="M266" s="298"/>
      <c r="N266" s="298"/>
      <c r="O266" s="299"/>
      <c r="P266" s="295" t="s">
        <v>40</v>
      </c>
      <c r="Q266" s="296"/>
      <c r="R266" s="296"/>
      <c r="S266" s="296"/>
      <c r="T266" s="296"/>
      <c r="U266" s="296"/>
      <c r="V266" s="297"/>
      <c r="W266" s="42" t="s">
        <v>0</v>
      </c>
      <c r="X266" s="43">
        <f>IFERROR(SUMPRODUCT(X262:X264*H262:H264),"0")</f>
        <v>0</v>
      </c>
      <c r="Y266" s="43">
        <f>IFERROR(SUMPRODUCT(Y262:Y264*H262:H264),"0")</f>
        <v>0</v>
      </c>
      <c r="Z266" s="42"/>
      <c r="AA266" s="67"/>
      <c r="AB266" s="67"/>
      <c r="AC266" s="67"/>
    </row>
    <row r="267" spans="1:68" ht="14.25" hidden="1" customHeight="1" x14ac:dyDescent="0.25">
      <c r="A267" s="309" t="s">
        <v>155</v>
      </c>
      <c r="B267" s="309"/>
      <c r="C267" s="309"/>
      <c r="D267" s="309"/>
      <c r="E267" s="309"/>
      <c r="F267" s="309"/>
      <c r="G267" s="309"/>
      <c r="H267" s="309"/>
      <c r="I267" s="309"/>
      <c r="J267" s="309"/>
      <c r="K267" s="309"/>
      <c r="L267" s="309"/>
      <c r="M267" s="309"/>
      <c r="N267" s="309"/>
      <c r="O267" s="309"/>
      <c r="P267" s="309"/>
      <c r="Q267" s="309"/>
      <c r="R267" s="309"/>
      <c r="S267" s="309"/>
      <c r="T267" s="309"/>
      <c r="U267" s="309"/>
      <c r="V267" s="309"/>
      <c r="W267" s="309"/>
      <c r="X267" s="309"/>
      <c r="Y267" s="309"/>
      <c r="Z267" s="309"/>
      <c r="AA267" s="66"/>
      <c r="AB267" s="66"/>
      <c r="AC267" s="83"/>
    </row>
    <row r="268" spans="1:68" ht="37.5" hidden="1" customHeight="1" x14ac:dyDescent="0.25">
      <c r="A268" s="63" t="s">
        <v>362</v>
      </c>
      <c r="B268" s="63" t="s">
        <v>363</v>
      </c>
      <c r="C268" s="36">
        <v>4301135504</v>
      </c>
      <c r="D268" s="291">
        <v>4640242181554</v>
      </c>
      <c r="E268" s="291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116</v>
      </c>
      <c r="L268" s="37" t="s">
        <v>117</v>
      </c>
      <c r="M268" s="38" t="s">
        <v>84</v>
      </c>
      <c r="N268" s="38"/>
      <c r="O268" s="37">
        <v>180</v>
      </c>
      <c r="P268" s="31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3"/>
      <c r="R268" s="293"/>
      <c r="S268" s="293"/>
      <c r="T268" s="294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364</v>
      </c>
      <c r="AG268" s="81"/>
      <c r="AJ268" s="87" t="s">
        <v>118</v>
      </c>
      <c r="AK268" s="87">
        <v>14</v>
      </c>
      <c r="BB268" s="268" t="s">
        <v>115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27" hidden="1" customHeight="1" x14ac:dyDescent="0.25">
      <c r="A269" s="63" t="s">
        <v>365</v>
      </c>
      <c r="B269" s="63" t="s">
        <v>366</v>
      </c>
      <c r="C269" s="36">
        <v>4301135873</v>
      </c>
      <c r="D269" s="291">
        <v>4640242182087</v>
      </c>
      <c r="E269" s="291"/>
      <c r="F269" s="62">
        <v>5</v>
      </c>
      <c r="G269" s="37">
        <v>1</v>
      </c>
      <c r="H269" s="62">
        <v>5</v>
      </c>
      <c r="I269" s="62">
        <v>5.23</v>
      </c>
      <c r="J269" s="37">
        <v>84</v>
      </c>
      <c r="K269" s="37" t="s">
        <v>85</v>
      </c>
      <c r="L269" s="37" t="s">
        <v>86</v>
      </c>
      <c r="M269" s="38" t="s">
        <v>84</v>
      </c>
      <c r="N269" s="38"/>
      <c r="O269" s="37">
        <v>180</v>
      </c>
      <c r="P269" s="311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93"/>
      <c r="R269" s="293"/>
      <c r="S269" s="293"/>
      <c r="T269" s="294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367</v>
      </c>
      <c r="AG269" s="81"/>
      <c r="AJ269" s="87" t="s">
        <v>87</v>
      </c>
      <c r="AK269" s="87">
        <v>1</v>
      </c>
      <c r="BB269" s="270" t="s">
        <v>115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hidden="1" customHeight="1" x14ac:dyDescent="0.25">
      <c r="A270" s="63" t="s">
        <v>368</v>
      </c>
      <c r="B270" s="63" t="s">
        <v>369</v>
      </c>
      <c r="C270" s="36">
        <v>4301135374</v>
      </c>
      <c r="D270" s="291">
        <v>4640242181424</v>
      </c>
      <c r="E270" s="291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85</v>
      </c>
      <c r="L270" s="37" t="s">
        <v>117</v>
      </c>
      <c r="M270" s="38" t="s">
        <v>84</v>
      </c>
      <c r="N270" s="38"/>
      <c r="O270" s="37">
        <v>180</v>
      </c>
      <c r="P270" s="31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3"/>
      <c r="R270" s="293"/>
      <c r="S270" s="293"/>
      <c r="T270" s="294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364</v>
      </c>
      <c r="AG270" s="81"/>
      <c r="AJ270" s="87" t="s">
        <v>118</v>
      </c>
      <c r="AK270" s="87">
        <v>12</v>
      </c>
      <c r="BB270" s="272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370</v>
      </c>
      <c r="B271" s="63" t="s">
        <v>371</v>
      </c>
      <c r="C271" s="36">
        <v>4301135405</v>
      </c>
      <c r="D271" s="291">
        <v>4640242181523</v>
      </c>
      <c r="E271" s="291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31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3"/>
      <c r="R271" s="293"/>
      <c r="S271" s="293"/>
      <c r="T271" s="294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ref="Z271:Z276" si="23">IFERROR(IF(X271="","",X271*0.00936),"")</f>
        <v>0</v>
      </c>
      <c r="AA271" s="68" t="s">
        <v>46</v>
      </c>
      <c r="AB271" s="69" t="s">
        <v>46</v>
      </c>
      <c r="AC271" s="273" t="s">
        <v>367</v>
      </c>
      <c r="AG271" s="81"/>
      <c r="AJ271" s="87" t="s">
        <v>118</v>
      </c>
      <c r="AK271" s="87">
        <v>14</v>
      </c>
      <c r="BB271" s="274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372</v>
      </c>
      <c r="B272" s="63" t="s">
        <v>373</v>
      </c>
      <c r="C272" s="36">
        <v>4301135375</v>
      </c>
      <c r="D272" s="291">
        <v>4640242181486</v>
      </c>
      <c r="E272" s="291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3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3"/>
      <c r="R272" s="293"/>
      <c r="S272" s="293"/>
      <c r="T272" s="294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364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hidden="1" customHeight="1" x14ac:dyDescent="0.25">
      <c r="A273" s="63" t="s">
        <v>374</v>
      </c>
      <c r="B273" s="63" t="s">
        <v>375</v>
      </c>
      <c r="C273" s="36">
        <v>4301135402</v>
      </c>
      <c r="D273" s="291">
        <v>4640242181493</v>
      </c>
      <c r="E273" s="291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117</v>
      </c>
      <c r="M273" s="38" t="s">
        <v>84</v>
      </c>
      <c r="N273" s="38"/>
      <c r="O273" s="37">
        <v>180</v>
      </c>
      <c r="P273" s="30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3"/>
      <c r="R273" s="293"/>
      <c r="S273" s="293"/>
      <c r="T273" s="294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364</v>
      </c>
      <c r="AG273" s="81"/>
      <c r="AJ273" s="87" t="s">
        <v>118</v>
      </c>
      <c r="AK273" s="87">
        <v>14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hidden="1" customHeight="1" x14ac:dyDescent="0.25">
      <c r="A274" s="63" t="s">
        <v>376</v>
      </c>
      <c r="B274" s="63" t="s">
        <v>377</v>
      </c>
      <c r="C274" s="36">
        <v>4301135403</v>
      </c>
      <c r="D274" s="291">
        <v>4640242181509</v>
      </c>
      <c r="E274" s="291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116</v>
      </c>
      <c r="L274" s="37" t="s">
        <v>86</v>
      </c>
      <c r="M274" s="38" t="s">
        <v>84</v>
      </c>
      <c r="N274" s="38"/>
      <c r="O274" s="37">
        <v>180</v>
      </c>
      <c r="P274" s="30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3"/>
      <c r="R274" s="293"/>
      <c r="S274" s="293"/>
      <c r="T274" s="294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364</v>
      </c>
      <c r="AG274" s="81"/>
      <c r="AJ274" s="87" t="s">
        <v>87</v>
      </c>
      <c r="AK274" s="87">
        <v>1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378</v>
      </c>
      <c r="B275" s="63" t="s">
        <v>379</v>
      </c>
      <c r="C275" s="36">
        <v>4301135304</v>
      </c>
      <c r="D275" s="291">
        <v>4640242181240</v>
      </c>
      <c r="E275" s="291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30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3"/>
      <c r="R275" s="293"/>
      <c r="S275" s="293"/>
      <c r="T275" s="294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364</v>
      </c>
      <c r="AG275" s="81"/>
      <c r="AJ275" s="87" t="s">
        <v>118</v>
      </c>
      <c r="AK275" s="87">
        <v>14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380</v>
      </c>
      <c r="B276" s="63" t="s">
        <v>381</v>
      </c>
      <c r="C276" s="36">
        <v>4301135610</v>
      </c>
      <c r="D276" s="291">
        <v>4640242181318</v>
      </c>
      <c r="E276" s="291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116</v>
      </c>
      <c r="L276" s="37" t="s">
        <v>117</v>
      </c>
      <c r="M276" s="38" t="s">
        <v>84</v>
      </c>
      <c r="N276" s="38"/>
      <c r="O276" s="37">
        <v>180</v>
      </c>
      <c r="P276" s="30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3"/>
      <c r="R276" s="293"/>
      <c r="S276" s="293"/>
      <c r="T276" s="294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367</v>
      </c>
      <c r="AG276" s="81"/>
      <c r="AJ276" s="87" t="s">
        <v>118</v>
      </c>
      <c r="AK276" s="87">
        <v>14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382</v>
      </c>
      <c r="B277" s="63" t="s">
        <v>383</v>
      </c>
      <c r="C277" s="36">
        <v>4301135306</v>
      </c>
      <c r="D277" s="291">
        <v>4640242181387</v>
      </c>
      <c r="E277" s="291"/>
      <c r="F277" s="62">
        <v>0.3</v>
      </c>
      <c r="G277" s="37">
        <v>9</v>
      </c>
      <c r="H277" s="62">
        <v>2.7</v>
      </c>
      <c r="I277" s="62">
        <v>2.8450000000000002</v>
      </c>
      <c r="J277" s="37">
        <v>234</v>
      </c>
      <c r="K277" s="37" t="s">
        <v>167</v>
      </c>
      <c r="L277" s="37" t="s">
        <v>117</v>
      </c>
      <c r="M277" s="38" t="s">
        <v>84</v>
      </c>
      <c r="N277" s="38"/>
      <c r="O277" s="37">
        <v>180</v>
      </c>
      <c r="P277" s="29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3"/>
      <c r="R277" s="293"/>
      <c r="S277" s="293"/>
      <c r="T277" s="294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>IFERROR(IF(X277="","",X277*0.00502),"")</f>
        <v>0</v>
      </c>
      <c r="AA277" s="68" t="s">
        <v>46</v>
      </c>
      <c r="AB277" s="69" t="s">
        <v>46</v>
      </c>
      <c r="AC277" s="285" t="s">
        <v>364</v>
      </c>
      <c r="AG277" s="81"/>
      <c r="AJ277" s="87" t="s">
        <v>118</v>
      </c>
      <c r="AK277" s="87">
        <v>18</v>
      </c>
      <c r="BB277" s="286" t="s">
        <v>115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idden="1" x14ac:dyDescent="0.2">
      <c r="A278" s="298"/>
      <c r="B278" s="298"/>
      <c r="C278" s="298"/>
      <c r="D278" s="298"/>
      <c r="E278" s="298"/>
      <c r="F278" s="298"/>
      <c r="G278" s="298"/>
      <c r="H278" s="298"/>
      <c r="I278" s="298"/>
      <c r="J278" s="298"/>
      <c r="K278" s="298"/>
      <c r="L278" s="298"/>
      <c r="M278" s="298"/>
      <c r="N278" s="298"/>
      <c r="O278" s="299"/>
      <c r="P278" s="295" t="s">
        <v>40</v>
      </c>
      <c r="Q278" s="296"/>
      <c r="R278" s="296"/>
      <c r="S278" s="296"/>
      <c r="T278" s="296"/>
      <c r="U278" s="296"/>
      <c r="V278" s="297"/>
      <c r="W278" s="42" t="s">
        <v>39</v>
      </c>
      <c r="X278" s="43">
        <f>IFERROR(SUM(X268:X277),"0")</f>
        <v>0</v>
      </c>
      <c r="Y278" s="43">
        <f>IFERROR(SUM(Y268:Y277),"0")</f>
        <v>0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hidden="1" x14ac:dyDescent="0.2">
      <c r="A279" s="298"/>
      <c r="B279" s="298"/>
      <c r="C279" s="298"/>
      <c r="D279" s="298"/>
      <c r="E279" s="298"/>
      <c r="F279" s="298"/>
      <c r="G279" s="298"/>
      <c r="H279" s="298"/>
      <c r="I279" s="298"/>
      <c r="J279" s="298"/>
      <c r="K279" s="298"/>
      <c r="L279" s="298"/>
      <c r="M279" s="298"/>
      <c r="N279" s="298"/>
      <c r="O279" s="299"/>
      <c r="P279" s="295" t="s">
        <v>40</v>
      </c>
      <c r="Q279" s="296"/>
      <c r="R279" s="296"/>
      <c r="S279" s="296"/>
      <c r="T279" s="296"/>
      <c r="U279" s="296"/>
      <c r="V279" s="297"/>
      <c r="W279" s="42" t="s">
        <v>0</v>
      </c>
      <c r="X279" s="43">
        <f>IFERROR(SUMPRODUCT(X268:X277*H268:H277),"0")</f>
        <v>0</v>
      </c>
      <c r="Y279" s="43">
        <f>IFERROR(SUMPRODUCT(Y268:Y277*H268:H277),"0")</f>
        <v>0</v>
      </c>
      <c r="Z279" s="42"/>
      <c r="AA279" s="67"/>
      <c r="AB279" s="67"/>
      <c r="AC279" s="67"/>
    </row>
    <row r="280" spans="1:68" ht="15" customHeight="1" x14ac:dyDescent="0.2">
      <c r="A280" s="298"/>
      <c r="B280" s="298"/>
      <c r="C280" s="298"/>
      <c r="D280" s="298"/>
      <c r="E280" s="298"/>
      <c r="F280" s="298"/>
      <c r="G280" s="298"/>
      <c r="H280" s="298"/>
      <c r="I280" s="298"/>
      <c r="J280" s="298"/>
      <c r="K280" s="298"/>
      <c r="L280" s="298"/>
      <c r="M280" s="298"/>
      <c r="N280" s="298"/>
      <c r="O280" s="303"/>
      <c r="P280" s="300" t="s">
        <v>33</v>
      </c>
      <c r="Q280" s="301"/>
      <c r="R280" s="301"/>
      <c r="S280" s="301"/>
      <c r="T280" s="301"/>
      <c r="U280" s="301"/>
      <c r="V280" s="302"/>
      <c r="W280" s="42" t="s">
        <v>0</v>
      </c>
      <c r="X280" s="43">
        <f>IFERROR(X31+X37+X44+X51+X59+X64+X68+X73+X79+X85+X90+X96+X106+X112+X123+X127+X131+X139+X145+X151+X157+X163+X168+X173+X178+X185+X190+X199+X205+X211+X217+X222+X227+X233+X239+X243+X249+X256+X260+X266+X279,"0")</f>
        <v>3276.3599999999997</v>
      </c>
      <c r="Y280" s="43">
        <f>IFERROR(Y31+Y37+Y44+Y51+Y59+Y64+Y68+Y73+Y79+Y85+Y90+Y96+Y106+Y112+Y123+Y127+Y131+Y139+Y145+Y151+Y157+Y163+Y168+Y173+Y178+Y185+Y190+Y199+Y205+Y211+Y217+Y222+Y227+Y233+Y239+Y243+Y249+Y256+Y260+Y266+Y279,"0")</f>
        <v>3276.3599999999997</v>
      </c>
      <c r="Z280" s="42"/>
      <c r="AA280" s="67"/>
      <c r="AB280" s="67"/>
      <c r="AC280" s="67"/>
    </row>
    <row r="281" spans="1:68" x14ac:dyDescent="0.2">
      <c r="A281" s="298"/>
      <c r="B281" s="298"/>
      <c r="C281" s="298"/>
      <c r="D281" s="298"/>
      <c r="E281" s="298"/>
      <c r="F281" s="298"/>
      <c r="G281" s="298"/>
      <c r="H281" s="298"/>
      <c r="I281" s="298"/>
      <c r="J281" s="298"/>
      <c r="K281" s="298"/>
      <c r="L281" s="298"/>
      <c r="M281" s="298"/>
      <c r="N281" s="298"/>
      <c r="O281" s="303"/>
      <c r="P281" s="300" t="s">
        <v>34</v>
      </c>
      <c r="Q281" s="301"/>
      <c r="R281" s="301"/>
      <c r="S281" s="301"/>
      <c r="T281" s="301"/>
      <c r="U281" s="301"/>
      <c r="V281" s="302"/>
      <c r="W281" s="42" t="s">
        <v>0</v>
      </c>
      <c r="X281" s="43">
        <f>IFERROR(SUM(BM22:BM277),"0")</f>
        <v>3708.3007999999995</v>
      </c>
      <c r="Y281" s="43">
        <f>IFERROR(SUM(BN22:BN277),"0")</f>
        <v>3708.3007999999995</v>
      </c>
      <c r="Z281" s="42"/>
      <c r="AA281" s="67"/>
      <c r="AB281" s="67"/>
      <c r="AC281" s="67"/>
    </row>
    <row r="282" spans="1:68" x14ac:dyDescent="0.2">
      <c r="A282" s="298"/>
      <c r="B282" s="298"/>
      <c r="C282" s="298"/>
      <c r="D282" s="298"/>
      <c r="E282" s="298"/>
      <c r="F282" s="298"/>
      <c r="G282" s="298"/>
      <c r="H282" s="298"/>
      <c r="I282" s="298"/>
      <c r="J282" s="298"/>
      <c r="K282" s="298"/>
      <c r="L282" s="298"/>
      <c r="M282" s="298"/>
      <c r="N282" s="298"/>
      <c r="O282" s="303"/>
      <c r="P282" s="300" t="s">
        <v>35</v>
      </c>
      <c r="Q282" s="301"/>
      <c r="R282" s="301"/>
      <c r="S282" s="301"/>
      <c r="T282" s="301"/>
      <c r="U282" s="301"/>
      <c r="V282" s="302"/>
      <c r="W282" s="42" t="s">
        <v>20</v>
      </c>
      <c r="X282" s="44">
        <f>ROUNDUP(SUM(BO22:BO277),0)</f>
        <v>11</v>
      </c>
      <c r="Y282" s="44">
        <f>ROUNDUP(SUM(BP22:BP277),0)</f>
        <v>11</v>
      </c>
      <c r="Z282" s="42"/>
      <c r="AA282" s="67"/>
      <c r="AB282" s="67"/>
      <c r="AC282" s="67"/>
    </row>
    <row r="283" spans="1:68" x14ac:dyDescent="0.2">
      <c r="A283" s="298"/>
      <c r="B283" s="298"/>
      <c r="C283" s="298"/>
      <c r="D283" s="298"/>
      <c r="E283" s="298"/>
      <c r="F283" s="298"/>
      <c r="G283" s="298"/>
      <c r="H283" s="298"/>
      <c r="I283" s="298"/>
      <c r="J283" s="298"/>
      <c r="K283" s="298"/>
      <c r="L283" s="298"/>
      <c r="M283" s="298"/>
      <c r="N283" s="298"/>
      <c r="O283" s="303"/>
      <c r="P283" s="300" t="s">
        <v>36</v>
      </c>
      <c r="Q283" s="301"/>
      <c r="R283" s="301"/>
      <c r="S283" s="301"/>
      <c r="T283" s="301"/>
      <c r="U283" s="301"/>
      <c r="V283" s="302"/>
      <c r="W283" s="42" t="s">
        <v>0</v>
      </c>
      <c r="X283" s="43">
        <f>GrossWeightTotal+PalletQtyTotal*25</f>
        <v>3983.3007999999995</v>
      </c>
      <c r="Y283" s="43">
        <f>GrossWeightTotalR+PalletQtyTotalR*25</f>
        <v>3983.3007999999995</v>
      </c>
      <c r="Z283" s="42"/>
      <c r="AA283" s="67"/>
      <c r="AB283" s="67"/>
      <c r="AC283" s="67"/>
    </row>
    <row r="284" spans="1:68" x14ac:dyDescent="0.2">
      <c r="A284" s="298"/>
      <c r="B284" s="298"/>
      <c r="C284" s="298"/>
      <c r="D284" s="298"/>
      <c r="E284" s="298"/>
      <c r="F284" s="298"/>
      <c r="G284" s="298"/>
      <c r="H284" s="298"/>
      <c r="I284" s="298"/>
      <c r="J284" s="298"/>
      <c r="K284" s="298"/>
      <c r="L284" s="298"/>
      <c r="M284" s="298"/>
      <c r="N284" s="298"/>
      <c r="O284" s="303"/>
      <c r="P284" s="300" t="s">
        <v>37</v>
      </c>
      <c r="Q284" s="301"/>
      <c r="R284" s="301"/>
      <c r="S284" s="301"/>
      <c r="T284" s="301"/>
      <c r="U284" s="301"/>
      <c r="V284" s="302"/>
      <c r="W284" s="42" t="s">
        <v>20</v>
      </c>
      <c r="X284" s="43">
        <f>IFERROR(X30+X36+X43+X50+X58+X63+X67+X72+X78+X84+X89+X95+X105+X111+X122+X126+X130+X138+X144+X150+X156+X162+X167+X172+X177+X184+X189+X198+X204+X210+X216+X221+X226+X232+X238+X242+X248+X255+X259+X265+X278,"0")</f>
        <v>952</v>
      </c>
      <c r="Y284" s="43">
        <f>IFERROR(Y30+Y36+Y43+Y50+Y58+Y63+Y67+Y72+Y78+Y84+Y89+Y95+Y105+Y111+Y122+Y126+Y130+Y138+Y144+Y150+Y156+Y162+Y167+Y172+Y177+Y184+Y189+Y198+Y204+Y210+Y216+Y221+Y226+Y232+Y238+Y242+Y248+Y255+Y259+Y265+Y278,"0")</f>
        <v>952</v>
      </c>
      <c r="Z284" s="42"/>
      <c r="AA284" s="67"/>
      <c r="AB284" s="67"/>
      <c r="AC284" s="67"/>
    </row>
    <row r="285" spans="1:68" ht="14.25" hidden="1" x14ac:dyDescent="0.2">
      <c r="A285" s="298"/>
      <c r="B285" s="298"/>
      <c r="C285" s="298"/>
      <c r="D285" s="298"/>
      <c r="E285" s="298"/>
      <c r="F285" s="298"/>
      <c r="G285" s="298"/>
      <c r="H285" s="298"/>
      <c r="I285" s="298"/>
      <c r="J285" s="298"/>
      <c r="K285" s="298"/>
      <c r="L285" s="298"/>
      <c r="M285" s="298"/>
      <c r="N285" s="298"/>
      <c r="O285" s="303"/>
      <c r="P285" s="300" t="s">
        <v>38</v>
      </c>
      <c r="Q285" s="301"/>
      <c r="R285" s="301"/>
      <c r="S285" s="301"/>
      <c r="T285" s="301"/>
      <c r="U285" s="301"/>
      <c r="V285" s="302"/>
      <c r="W285" s="45" t="s">
        <v>52</v>
      </c>
      <c r="X285" s="42"/>
      <c r="Y285" s="42"/>
      <c r="Z285" s="42">
        <f>IFERROR(Z30+Z36+Z43+Z50+Z58+Z63+Z67+Z72+Z78+Z84+Z89+Z95+Z105+Z111+Z122+Z126+Z130+Z138+Z144+Z150+Z156+Z162+Z167+Z172+Z177+Z184+Z189+Z198+Z204+Z210+Z216+Z221+Z226+Z232+Z238+Z242+Z248+Z255+Z259+Z265+Z278,"0")</f>
        <v>13.925979999999997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287" t="s">
        <v>79</v>
      </c>
      <c r="C287" s="287" t="s">
        <v>79</v>
      </c>
      <c r="D287" s="287" t="s">
        <v>45</v>
      </c>
      <c r="E287" s="287" t="s">
        <v>45</v>
      </c>
      <c r="F287" s="287" t="s">
        <v>45</v>
      </c>
      <c r="G287" s="287" t="s">
        <v>45</v>
      </c>
      <c r="H287" s="287" t="s">
        <v>45</v>
      </c>
      <c r="I287" s="287" t="s">
        <v>45</v>
      </c>
      <c r="J287" s="287" t="s">
        <v>45</v>
      </c>
      <c r="K287" s="287" t="s">
        <v>45</v>
      </c>
      <c r="L287" s="287" t="s">
        <v>45</v>
      </c>
      <c r="M287" s="287" t="s">
        <v>45</v>
      </c>
      <c r="N287" s="288"/>
      <c r="O287" s="287" t="s">
        <v>45</v>
      </c>
      <c r="P287" s="287" t="s">
        <v>45</v>
      </c>
      <c r="Q287" s="287" t="s">
        <v>45</v>
      </c>
      <c r="R287" s="287" t="s">
        <v>45</v>
      </c>
      <c r="S287" s="287" t="s">
        <v>45</v>
      </c>
      <c r="T287" s="287" t="s">
        <v>45</v>
      </c>
      <c r="U287" s="287" t="s">
        <v>45</v>
      </c>
      <c r="V287" s="287" t="s">
        <v>275</v>
      </c>
      <c r="W287" s="287" t="s">
        <v>275</v>
      </c>
      <c r="X287" s="88" t="s">
        <v>286</v>
      </c>
      <c r="Y287" s="287" t="s">
        <v>300</v>
      </c>
      <c r="Z287" s="287" t="s">
        <v>300</v>
      </c>
      <c r="AA287" s="287" t="s">
        <v>300</v>
      </c>
      <c r="AB287" s="287" t="s">
        <v>300</v>
      </c>
      <c r="AC287" s="88" t="s">
        <v>329</v>
      </c>
      <c r="AD287" s="88" t="s">
        <v>334</v>
      </c>
      <c r="AE287" s="88" t="s">
        <v>342</v>
      </c>
      <c r="AF287" s="88" t="s">
        <v>346</v>
      </c>
    </row>
    <row r="288" spans="1:68" ht="14.25" customHeight="1" thickTop="1" x14ac:dyDescent="0.2">
      <c r="A288" s="289" t="s">
        <v>10</v>
      </c>
      <c r="B288" s="287" t="s">
        <v>79</v>
      </c>
      <c r="C288" s="287" t="s">
        <v>104</v>
      </c>
      <c r="D288" s="287" t="s">
        <v>110</v>
      </c>
      <c r="E288" s="287" t="s">
        <v>121</v>
      </c>
      <c r="F288" s="287" t="s">
        <v>131</v>
      </c>
      <c r="G288" s="287" t="s">
        <v>142</v>
      </c>
      <c r="H288" s="287" t="s">
        <v>163</v>
      </c>
      <c r="I288" s="287" t="s">
        <v>170</v>
      </c>
      <c r="J288" s="287" t="s">
        <v>174</v>
      </c>
      <c r="K288" s="287" t="s">
        <v>182</v>
      </c>
      <c r="L288" s="287" t="s">
        <v>197</v>
      </c>
      <c r="M288" s="287" t="s">
        <v>203</v>
      </c>
      <c r="N288" s="1"/>
      <c r="O288" s="287" t="s">
        <v>228</v>
      </c>
      <c r="P288" s="287" t="s">
        <v>246</v>
      </c>
      <c r="Q288" s="287" t="s">
        <v>252</v>
      </c>
      <c r="R288" s="287" t="s">
        <v>259</v>
      </c>
      <c r="S288" s="287" t="s">
        <v>264</v>
      </c>
      <c r="T288" s="287" t="s">
        <v>268</v>
      </c>
      <c r="U288" s="287" t="s">
        <v>271</v>
      </c>
      <c r="V288" s="287" t="s">
        <v>276</v>
      </c>
      <c r="W288" s="287" t="s">
        <v>283</v>
      </c>
      <c r="X288" s="287" t="s">
        <v>287</v>
      </c>
      <c r="Y288" s="287" t="s">
        <v>301</v>
      </c>
      <c r="Z288" s="287" t="s">
        <v>314</v>
      </c>
      <c r="AA288" s="287" t="s">
        <v>321</v>
      </c>
      <c r="AB288" s="287" t="s">
        <v>325</v>
      </c>
      <c r="AC288" s="287" t="s">
        <v>330</v>
      </c>
      <c r="AD288" s="287" t="s">
        <v>335</v>
      </c>
      <c r="AE288" s="287" t="s">
        <v>342</v>
      </c>
      <c r="AF288" s="287" t="s">
        <v>346</v>
      </c>
    </row>
    <row r="289" spans="1:32" ht="13.5" thickBot="1" x14ac:dyDescent="0.25">
      <c r="A289" s="290"/>
      <c r="B289" s="287"/>
      <c r="C289" s="287"/>
      <c r="D289" s="287"/>
      <c r="E289" s="287"/>
      <c r="F289" s="287"/>
      <c r="G289" s="287"/>
      <c r="H289" s="287"/>
      <c r="I289" s="287"/>
      <c r="J289" s="287"/>
      <c r="K289" s="287"/>
      <c r="L289" s="287"/>
      <c r="M289" s="287"/>
      <c r="N289" s="1"/>
      <c r="O289" s="287"/>
      <c r="P289" s="287"/>
      <c r="Q289" s="287"/>
      <c r="R289" s="287"/>
      <c r="S289" s="287"/>
      <c r="T289" s="287"/>
      <c r="U289" s="287"/>
      <c r="V289" s="287"/>
      <c r="W289" s="287"/>
      <c r="X289" s="287"/>
      <c r="Y289" s="287"/>
      <c r="Z289" s="287"/>
      <c r="AA289" s="287"/>
      <c r="AB289" s="287"/>
      <c r="AC289" s="287"/>
      <c r="AD289" s="287"/>
      <c r="AE289" s="287"/>
      <c r="AF289" s="287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0</v>
      </c>
      <c r="C290" s="52">
        <f>IFERROR(X34*H34,"0")+IFERROR(X35*H35,"0")</f>
        <v>0</v>
      </c>
      <c r="D290" s="52">
        <f>IFERROR(X41*H41,"0")+IFERROR(X42*H42,"0")</f>
        <v>42</v>
      </c>
      <c r="E290" s="52">
        <f>IFERROR(X47*H47,"0")+IFERROR(X48*H48,"0")+IFERROR(X49*H49,"0")</f>
        <v>0</v>
      </c>
      <c r="F290" s="52">
        <f>IFERROR(X54*H54,"0")+IFERROR(X55*H55,"0")+IFERROR(X56*H56,"0")+IFERROR(X57*H57,"0")</f>
        <v>0</v>
      </c>
      <c r="G290" s="52">
        <f>IFERROR(X62*H62,"0")+IFERROR(X66*H66,"0")+IFERROR(X70*H70,"0")+IFERROR(X71*H71,"0")+IFERROR(X75*H75,"0")+IFERROR(X76*H76,"0")+IFERROR(X77*H77,"0")</f>
        <v>33.6</v>
      </c>
      <c r="H290" s="52">
        <f>IFERROR(X82*H82,"0")+IFERROR(X83*H83,"0")</f>
        <v>194.4</v>
      </c>
      <c r="I290" s="52">
        <f>IFERROR(X88*H88,"0")</f>
        <v>100.8</v>
      </c>
      <c r="J290" s="52">
        <f>IFERROR(X93*H93,"0")+IFERROR(X94*H94,"0")</f>
        <v>252</v>
      </c>
      <c r="K290" s="52">
        <f>IFERROR(X99*H99,"0")+IFERROR(X100*H100,"0")+IFERROR(X101*H101,"0")+IFERROR(X102*H102,"0")+IFERROR(X103*H103,"0")+IFERROR(X104*H104,"0")</f>
        <v>282.24</v>
      </c>
      <c r="L290" s="52">
        <f>IFERROR(X109*H109,"0")+IFERROR(X110*H110,"0")</f>
        <v>0</v>
      </c>
      <c r="M290" s="52">
        <f>IFERROR(X115*H115,"0")+IFERROR(X116*H116,"0")+IFERROR(X117*H117,"0")+IFERROR(X118*H118,"0")+IFERROR(X119*H119,"0")+IFERROR(X120*H120,"0")+IFERROR(X121*H121,"0")+IFERROR(X125*H125,"0")+IFERROR(X129*H129,"0")</f>
        <v>672</v>
      </c>
      <c r="N290" s="1"/>
      <c r="O290" s="52">
        <f>IFERROR(X134*H134,"0")+IFERROR(X135*H135,"0")+IFERROR(X136*H136,"0")+IFERROR(X137*H137,"0")+IFERROR(X141*H141,"0")+IFERROR(X142*H142,"0")+IFERROR(X143*H143,"0")</f>
        <v>135.23999999999998</v>
      </c>
      <c r="P290" s="52">
        <f>IFERROR(X148*H148,"0")+IFERROR(X149*H149,"0")</f>
        <v>294</v>
      </c>
      <c r="Q290" s="52">
        <f>IFERROR(X154*H154,"0")+IFERROR(X155*H155,"0")</f>
        <v>168</v>
      </c>
      <c r="R290" s="52">
        <f>IFERROR(X160*H160,"0")+IFERROR(X161*H161,"0")</f>
        <v>134.4</v>
      </c>
      <c r="S290" s="52">
        <f>IFERROR(X166*H166,"0")</f>
        <v>42</v>
      </c>
      <c r="T290" s="52">
        <f>IFERROR(X171*H171,"0")</f>
        <v>0</v>
      </c>
      <c r="U290" s="52">
        <f>IFERROR(X176*H176,"0")</f>
        <v>47.04</v>
      </c>
      <c r="V290" s="52">
        <f>IFERROR(X182*H182,"0")+IFERROR(X183*H183,"0")</f>
        <v>0</v>
      </c>
      <c r="W290" s="52">
        <f>IFERROR(X188*H188,"0")</f>
        <v>840</v>
      </c>
      <c r="X290" s="52">
        <f>IFERROR(X194*H194,"0")+IFERROR(X195*H195,"0")+IFERROR(X196*H196,"0")+IFERROR(X197*H197,"0")</f>
        <v>0</v>
      </c>
      <c r="Y290" s="52">
        <f>IFERROR(X203*H203,"0")+IFERROR(X207*H207,"0")+IFERROR(X208*H208,"0")+IFERROR(X209*H209,"0")</f>
        <v>38.64</v>
      </c>
      <c r="Z290" s="52">
        <f>IFERROR(X214*H214,"0")+IFERROR(X215*H215,"0")</f>
        <v>0</v>
      </c>
      <c r="AA290" s="52">
        <f>IFERROR(X220*H220,"0")</f>
        <v>0</v>
      </c>
      <c r="AB290" s="52">
        <f>IFERROR(X225*H225,"0")</f>
        <v>0</v>
      </c>
      <c r="AC290" s="52">
        <f>IFERROR(X231*H231,"0")</f>
        <v>0</v>
      </c>
      <c r="AD290" s="52">
        <f>IFERROR(X237*H237,"0")+IFERROR(X241*H241,"0")</f>
        <v>0</v>
      </c>
      <c r="AE290" s="52">
        <f>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1706.4</v>
      </c>
      <c r="B293" s="72">
        <f>SUMPRODUCT(--(BB:BB="ПГП"),--(W:W="кор"),H:H,Y:Y)+SUMPRODUCT(--(BB:BB="ПГП"),--(W:W="кг"),Y:Y)</f>
        <v>1569.9600000000003</v>
      </c>
      <c r="C293" s="72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80"/>
        <filter val="11"/>
        <filter val="134,40"/>
        <filter val="135,24"/>
        <filter val="14,00"/>
        <filter val="168,00"/>
        <filter val="194,40"/>
        <filter val="252,00"/>
        <filter val="28,00"/>
        <filter val="282,24"/>
        <filter val="294,00"/>
        <filter val="3 276,36"/>
        <filter val="3 708,30"/>
        <filter val="3 983,30"/>
        <filter val="33,60"/>
        <filter val="38,64"/>
        <filter val="42,00"/>
        <filter val="47,04"/>
        <filter val="48,00"/>
        <filter val="56,00"/>
        <filter val="672,00"/>
        <filter val="70,00"/>
        <filter val="72,00"/>
        <filter val="840,00"/>
        <filter val="952,00"/>
        <filter val="96,00"/>
        <filter val="98,00"/>
      </filters>
    </filterColumn>
    <filterColumn colId="29" showButton="0"/>
    <filterColumn colId="30" showButton="0"/>
  </autoFilter>
  <dataConsolidate/>
  <mergeCells count="5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D176:E176"/>
    <mergeCell ref="P176:T176"/>
    <mergeCell ref="P177:V177"/>
    <mergeCell ref="A177:O178"/>
    <mergeCell ref="P178:V178"/>
    <mergeCell ref="A179:Z179"/>
    <mergeCell ref="A180:Z180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A187:Z187"/>
    <mergeCell ref="D188:E188"/>
    <mergeCell ref="P188:T188"/>
    <mergeCell ref="P189:V189"/>
    <mergeCell ref="A189:O190"/>
    <mergeCell ref="P190:V190"/>
    <mergeCell ref="A191:Z191"/>
    <mergeCell ref="A192:Z192"/>
    <mergeCell ref="A193:Z193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U287"/>
    <mergeCell ref="V287:W287"/>
    <mergeCell ref="Y287:AB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T288:T289"/>
    <mergeCell ref="U288:U289"/>
    <mergeCell ref="AE288:AE289"/>
    <mergeCell ref="AF288:AF289"/>
    <mergeCell ref="V288:V289"/>
    <mergeCell ref="W288:W289"/>
    <mergeCell ref="X288:X289"/>
    <mergeCell ref="Y288:Y289"/>
    <mergeCell ref="Z288:Z289"/>
    <mergeCell ref="AA288:AA289"/>
    <mergeCell ref="AB288:AB289"/>
    <mergeCell ref="AC288:AC289"/>
    <mergeCell ref="AD288:AD289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 X269 X264 X253 X247 X241 X237 X231 X225 X214:X215 X207:X208 X197 X188 X182 X160 X154 X141:X143 X134:X137 X129 X125 X119 X116 X104 X82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5:X277 X270:X273 X268 X262:X263 X258 X254 X220 X209 X203 X194:X196 X183 X176 X171 X166 X161 X155 X148:X149 X120:X121 X117:X118 X115 X109:X110 X99:X103 X93:X94 X88 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9"/>
    </row>
    <row r="3" spans="2:8" x14ac:dyDescent="0.2">
      <c r="B3" s="53" t="s">
        <v>385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387</v>
      </c>
      <c r="C6" s="53" t="s">
        <v>388</v>
      </c>
      <c r="D6" s="53" t="s">
        <v>389</v>
      </c>
      <c r="E6" s="53" t="s">
        <v>46</v>
      </c>
    </row>
    <row r="7" spans="2:8" x14ac:dyDescent="0.2">
      <c r="B7" s="53" t="s">
        <v>390</v>
      </c>
      <c r="C7" s="53" t="s">
        <v>391</v>
      </c>
      <c r="D7" s="53" t="s">
        <v>392</v>
      </c>
      <c r="E7" s="53" t="s">
        <v>46</v>
      </c>
    </row>
    <row r="8" spans="2:8" x14ac:dyDescent="0.2">
      <c r="B8" s="53" t="s">
        <v>393</v>
      </c>
      <c r="C8" s="53" t="s">
        <v>394</v>
      </c>
      <c r="D8" s="53" t="s">
        <v>395</v>
      </c>
      <c r="E8" s="53" t="s">
        <v>46</v>
      </c>
    </row>
    <row r="9" spans="2:8" x14ac:dyDescent="0.2">
      <c r="B9" s="53" t="s">
        <v>396</v>
      </c>
      <c r="C9" s="53" t="s">
        <v>397</v>
      </c>
      <c r="D9" s="53" t="s">
        <v>398</v>
      </c>
      <c r="E9" s="53" t="s">
        <v>46</v>
      </c>
    </row>
    <row r="10" spans="2:8" x14ac:dyDescent="0.2">
      <c r="B10" s="53" t="s">
        <v>399</v>
      </c>
      <c r="C10" s="53" t="s">
        <v>400</v>
      </c>
      <c r="D10" s="53" t="s">
        <v>401</v>
      </c>
      <c r="E10" s="53" t="s">
        <v>46</v>
      </c>
    </row>
    <row r="12" spans="2:8" x14ac:dyDescent="0.2">
      <c r="B12" s="53" t="s">
        <v>402</v>
      </c>
      <c r="C12" s="53" t="s">
        <v>388</v>
      </c>
      <c r="D12" s="53" t="s">
        <v>46</v>
      </c>
      <c r="E12" s="53" t="s">
        <v>46</v>
      </c>
    </row>
    <row r="14" spans="2:8" x14ac:dyDescent="0.2">
      <c r="B14" s="53" t="s">
        <v>403</v>
      </c>
      <c r="C14" s="53" t="s">
        <v>391</v>
      </c>
      <c r="D14" s="53" t="s">
        <v>46</v>
      </c>
      <c r="E14" s="53" t="s">
        <v>46</v>
      </c>
    </row>
    <row r="16" spans="2:8" x14ac:dyDescent="0.2">
      <c r="B16" s="53" t="s">
        <v>404</v>
      </c>
      <c r="C16" s="53" t="s">
        <v>394</v>
      </c>
      <c r="D16" s="53" t="s">
        <v>46</v>
      </c>
      <c r="E16" s="53" t="s">
        <v>46</v>
      </c>
    </row>
    <row r="18" spans="2:5" x14ac:dyDescent="0.2">
      <c r="B18" s="53" t="s">
        <v>405</v>
      </c>
      <c r="C18" s="53" t="s">
        <v>397</v>
      </c>
      <c r="D18" s="53" t="s">
        <v>46</v>
      </c>
      <c r="E18" s="53" t="s">
        <v>46</v>
      </c>
    </row>
    <row r="20" spans="2:5" x14ac:dyDescent="0.2">
      <c r="B20" s="53" t="s">
        <v>406</v>
      </c>
      <c r="C20" s="53" t="s">
        <v>400</v>
      </c>
      <c r="D20" s="53" t="s">
        <v>46</v>
      </c>
      <c r="E20" s="53" t="s">
        <v>46</v>
      </c>
    </row>
    <row r="22" spans="2:5" x14ac:dyDescent="0.2">
      <c r="B22" s="53" t="s">
        <v>407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408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409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410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411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412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413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414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415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417</v>
      </c>
      <c r="C32" s="53" t="s">
        <v>46</v>
      </c>
      <c r="D32" s="53" t="s">
        <v>46</v>
      </c>
      <c r="E32" s="53" t="s">
        <v>46</v>
      </c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microsoft.com/office/2006/metadata/properties"/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2026-08-03T14:28:33Z</cp:lastPrinted>
  <dcterms:created xsi:type="dcterms:W3CDTF">2021-11-12T12:13:19Z</dcterms:created>
  <dcterms:modified xsi:type="dcterms:W3CDTF">2026-08-14T10:38:50Z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