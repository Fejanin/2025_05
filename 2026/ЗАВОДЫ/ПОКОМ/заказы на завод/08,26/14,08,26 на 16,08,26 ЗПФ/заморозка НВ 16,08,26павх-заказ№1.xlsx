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634180-E771-4B58-B242-1C24E7783B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X259" i="2"/>
  <c r="X258" i="2"/>
  <c r="BO257" i="2"/>
  <c r="BM257" i="2"/>
  <c r="Z257" i="2"/>
  <c r="Z258" i="2" s="1"/>
  <c r="Y257" i="2"/>
  <c r="Y258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Y237" i="2" s="1"/>
  <c r="P236" i="2"/>
  <c r="X234" i="2"/>
  <c r="X233" i="2"/>
  <c r="BO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Y227" i="2" s="1"/>
  <c r="P226" i="2"/>
  <c r="X222" i="2"/>
  <c r="X221" i="2"/>
  <c r="BO220" i="2"/>
  <c r="BM220" i="2"/>
  <c r="Z220" i="2"/>
  <c r="Z221" i="2" s="1"/>
  <c r="Y220" i="2"/>
  <c r="Y221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P210" i="2"/>
  <c r="BO209" i="2"/>
  <c r="BM209" i="2"/>
  <c r="Z209" i="2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Y184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BO136" i="2"/>
  <c r="BM136" i="2"/>
  <c r="Z136" i="2"/>
  <c r="Y136" i="2"/>
  <c r="BP136" i="2" s="1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BO129" i="2"/>
  <c r="BM129" i="2"/>
  <c r="Z129" i="2"/>
  <c r="Y129" i="2"/>
  <c r="BP129" i="2" s="1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Y80" i="2" l="1"/>
  <c r="BN77" i="2"/>
  <c r="Z117" i="2"/>
  <c r="BN189" i="2"/>
  <c r="Z100" i="2"/>
  <c r="Z254" i="2"/>
  <c r="BN26" i="2"/>
  <c r="Z36" i="2"/>
  <c r="Z49" i="2"/>
  <c r="Z67" i="2"/>
  <c r="Z106" i="2"/>
  <c r="Z205" i="2"/>
  <c r="Z211" i="2"/>
  <c r="BN232" i="2"/>
  <c r="BP232" i="2"/>
  <c r="Y233" i="2"/>
  <c r="X279" i="2"/>
  <c r="BP71" i="2"/>
  <c r="BP83" i="2"/>
  <c r="Y36" i="2"/>
  <c r="BN53" i="2"/>
  <c r="Y58" i="2"/>
  <c r="BN61" i="2"/>
  <c r="BP61" i="2"/>
  <c r="Y62" i="2"/>
  <c r="Y67" i="2"/>
  <c r="Y68" i="2"/>
  <c r="Y85" i="2"/>
  <c r="Z90" i="2"/>
  <c r="BN97" i="2"/>
  <c r="BN111" i="2"/>
  <c r="Z139" i="2"/>
  <c r="Y152" i="2"/>
  <c r="Y157" i="2"/>
  <c r="Y167" i="2"/>
  <c r="Y168" i="2"/>
  <c r="Y173" i="2"/>
  <c r="Y179" i="2"/>
  <c r="Y199" i="2"/>
  <c r="BN253" i="2"/>
  <c r="Y259" i="2"/>
  <c r="Z79" i="2"/>
  <c r="Y180" i="2"/>
  <c r="Y217" i="2"/>
  <c r="Y222" i="2"/>
  <c r="H9" i="2"/>
  <c r="J9" i="2"/>
  <c r="X283" i="2"/>
  <c r="Y106" i="2"/>
  <c r="BP114" i="2"/>
  <c r="Y117" i="2"/>
  <c r="Z133" i="2"/>
  <c r="BN132" i="2"/>
  <c r="BP137" i="2"/>
  <c r="BN143" i="2"/>
  <c r="Y146" i="2"/>
  <c r="Z151" i="2"/>
  <c r="Z157" i="2"/>
  <c r="Y211" i="2"/>
  <c r="BP215" i="2"/>
  <c r="Y238" i="2"/>
  <c r="BN246" i="2"/>
  <c r="Y247" i="2"/>
  <c r="Y255" i="2"/>
  <c r="Z264" i="2"/>
  <c r="BP270" i="2"/>
  <c r="A10" i="2"/>
  <c r="Y31" i="2"/>
  <c r="BP47" i="2"/>
  <c r="BP203" i="2"/>
  <c r="Y254" i="2"/>
  <c r="F10" i="2"/>
  <c r="Z30" i="2"/>
  <c r="BP23" i="2"/>
  <c r="BP34" i="2"/>
  <c r="X281" i="2"/>
  <c r="Z43" i="2"/>
  <c r="Z57" i="2"/>
  <c r="Y73" i="2"/>
  <c r="BP77" i="2"/>
  <c r="BN83" i="2"/>
  <c r="Y100" i="2"/>
  <c r="Z145" i="2"/>
  <c r="Y158" i="2"/>
  <c r="Z193" i="2"/>
  <c r="Y200" i="2"/>
  <c r="BP209" i="2"/>
  <c r="BN215" i="2"/>
  <c r="BP246" i="2"/>
  <c r="Z277" i="2"/>
  <c r="BP275" i="2"/>
  <c r="X280" i="2"/>
  <c r="BP41" i="2"/>
  <c r="Y50" i="2"/>
  <c r="BP66" i="2"/>
  <c r="Z73" i="2"/>
  <c r="Y107" i="2"/>
  <c r="Y134" i="2"/>
  <c r="BP166" i="2"/>
  <c r="Z179" i="2"/>
  <c r="Y265" i="2"/>
  <c r="Y101" i="2"/>
  <c r="BN95" i="2"/>
  <c r="BN124" i="2"/>
  <c r="BN29" i="2"/>
  <c r="BP72" i="2"/>
  <c r="BN110" i="2"/>
  <c r="BN149" i="2"/>
  <c r="BN263" i="2"/>
  <c r="BN273" i="2"/>
  <c r="Y118" i="2"/>
  <c r="Y133" i="2"/>
  <c r="BP124" i="2"/>
  <c r="BP149" i="2"/>
  <c r="BN210" i="2"/>
  <c r="BN226" i="2"/>
  <c r="BN242" i="2"/>
  <c r="BP268" i="2"/>
  <c r="BN27" i="2"/>
  <c r="BP42" i="2"/>
  <c r="Y43" i="2"/>
  <c r="Y91" i="2"/>
  <c r="Y126" i="2"/>
  <c r="Y277" i="2"/>
  <c r="Y49" i="2"/>
  <c r="BN156" i="2"/>
  <c r="BN269" i="2"/>
  <c r="Y37" i="2"/>
  <c r="BP155" i="2"/>
  <c r="BN183" i="2"/>
  <c r="BN276" i="2"/>
  <c r="Y90" i="2"/>
  <c r="Y162" i="2"/>
  <c r="BN202" i="2"/>
  <c r="Y79" i="2"/>
  <c r="BN113" i="2"/>
  <c r="Y163" i="2"/>
  <c r="Y206" i="2"/>
  <c r="BN236" i="2"/>
  <c r="BP274" i="2"/>
  <c r="Y44" i="2"/>
  <c r="BP70" i="2"/>
  <c r="BP96" i="2"/>
  <c r="Y121" i="2"/>
  <c r="BP131" i="2"/>
  <c r="Y145" i="2"/>
  <c r="BP171" i="2"/>
  <c r="Y185" i="2"/>
  <c r="Y212" i="2"/>
  <c r="Y228" i="2"/>
  <c r="Y244" i="2"/>
  <c r="BN257" i="2"/>
  <c r="Y278" i="2"/>
  <c r="BN192" i="2"/>
  <c r="BN56" i="2"/>
  <c r="BN155" i="2"/>
  <c r="BN24" i="2"/>
  <c r="BN35" i="2"/>
  <c r="BN161" i="2"/>
  <c r="BN177" i="2"/>
  <c r="BN204" i="2"/>
  <c r="BP35" i="2"/>
  <c r="BN48" i="2"/>
  <c r="BP177" i="2"/>
  <c r="BN190" i="2"/>
  <c r="Y193" i="2"/>
  <c r="BN261" i="2"/>
  <c r="Y264" i="2"/>
  <c r="BN271" i="2"/>
  <c r="BN115" i="2"/>
  <c r="BN138" i="2"/>
  <c r="BP183" i="2"/>
  <c r="BP210" i="2"/>
  <c r="BP242" i="2"/>
  <c r="BP48" i="2"/>
  <c r="BP98" i="2"/>
  <c r="Y205" i="2"/>
  <c r="BP261" i="2"/>
  <c r="BP54" i="2"/>
  <c r="BN65" i="2"/>
  <c r="Y194" i="2"/>
  <c r="BP144" i="2"/>
  <c r="BN171" i="2"/>
  <c r="BN25" i="2"/>
  <c r="Y139" i="2"/>
  <c r="BP150" i="2"/>
  <c r="BN178" i="2"/>
  <c r="BN220" i="2"/>
  <c r="BN252" i="2"/>
  <c r="BN28" i="2"/>
  <c r="BN55" i="2"/>
  <c r="BN94" i="2"/>
  <c r="BN105" i="2"/>
  <c r="BN116" i="2"/>
  <c r="BN129" i="2"/>
  <c r="Y140" i="2"/>
  <c r="BN198" i="2"/>
  <c r="BP257" i="2"/>
  <c r="BN267" i="2"/>
  <c r="BN89" i="2"/>
  <c r="BN130" i="2"/>
  <c r="BN112" i="2"/>
  <c r="BP130" i="2"/>
  <c r="Y57" i="2"/>
  <c r="BN78" i="2"/>
  <c r="BN104" i="2"/>
  <c r="BP226" i="2"/>
  <c r="BN22" i="2"/>
  <c r="BP22" i="2"/>
  <c r="Y74" i="2"/>
  <c r="Y151" i="2"/>
  <c r="BN191" i="2"/>
  <c r="BP220" i="2"/>
  <c r="BP236" i="2"/>
  <c r="BN262" i="2"/>
  <c r="BN272" i="2"/>
  <c r="Y30" i="2"/>
  <c r="BN54" i="2"/>
  <c r="BN120" i="2"/>
  <c r="BN144" i="2"/>
  <c r="BN70" i="2"/>
  <c r="BP120" i="2"/>
  <c r="BN136" i="2"/>
  <c r="BN88" i="2"/>
  <c r="BN99" i="2"/>
  <c r="X282" i="2" l="1"/>
  <c r="Y279" i="2"/>
  <c r="Z284" i="2"/>
  <c r="Y283" i="2"/>
  <c r="Y281" i="2"/>
  <c r="Y280" i="2"/>
  <c r="Y282" i="2" l="1"/>
  <c r="C292" i="2" l="1"/>
  <c r="B292" i="2"/>
  <c r="A292" i="2"/>
</calcChain>
</file>

<file path=xl/sharedStrings.xml><?xml version="1.0" encoding="utf-8"?>
<sst xmlns="http://schemas.openxmlformats.org/spreadsheetml/2006/main" count="1755" uniqueCount="417">
  <si>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</si>
  <si>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</si>
  <si>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</si>
  <si>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</si>
  <si>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</si>
  <si>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</si>
  <si>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</si>
  <si>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</si>
  <si>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</si>
  <si>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</si>
  <si>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</si>
  <si>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</si>
  <si>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</si>
  <si>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</si>
  <si>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</si>
  <si>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</si>
  <si>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</si>
  <si>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</si>
  <si>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</si>
  <si>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</si>
  <si>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</si>
  <si>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</si>
  <si>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</si>
  <si>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</si>
  <si>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</si>
  <si>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</si>
  <si>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</si>
  <si>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</si>
  <si>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</si>
  <si>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</si>
  <si>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</si>
  <si>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</si>
  <si>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</si>
  <si>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</si>
  <si>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</si>
  <si>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</si>
  <si>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</si>
  <si>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</si>
  <si>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</si>
  <si>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</si>
  <si>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</si>
  <si>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</si>
  <si>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</si>
  <si>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</si>
  <si>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</si>
  <si>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</si>
  <si>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</si>
  <si>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</si>
  <si>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</si>
  <si>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</si>
  <si>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</si>
  <si>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</si>
  <si>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</si>
  <si>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</si>
  <si>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</si>
  <si>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</si>
  <si>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</si>
  <si>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</si>
  <si>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</si>
  <si>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</si>
  <si>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</si>
  <si>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</si>
  <si>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</si>
  <si>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</si>
  <si>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</si>
  <si>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</si>
  <si>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</si>
  <si>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</si>
  <si>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</si>
  <si>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</si>
  <si>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</si>
  <si>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11.08.2026</t>
  </si>
  <si>
    <t>10.08.2026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</si>
  <si>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</si>
  <si>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</si>
  <si>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</si>
  <si>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</si>
  <si>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</si>
  <si>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</si>
  <si>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</si>
  <si>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</si>
  <si>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</si>
  <si>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</si>
  <si>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</si>
  <si>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</si>
  <si>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</si>
  <si>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</si>
  <si>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</si>
  <si>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</si>
  <si>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</si>
  <si>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</si>
  <si>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</si>
  <si>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</si>
  <si>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</si>
  <si>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</si>
  <si>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</si>
  <si>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</si>
  <si>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</si>
  <si>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</si>
  <si>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</si>
  <si>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</si>
  <si>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</si>
  <si>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</si>
  <si>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</si>
  <si>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</si>
  <si>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</si>
  <si>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</si>
  <si>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</si>
  <si>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</si>
  <si>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</si>
  <si>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</si>
  <si>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</si>
  <si>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</si>
  <si>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</si>
  <si>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</si>
  <si>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</si>
  <si>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</si>
  <si>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</si>
  <si>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</si>
  <si>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</si>
  <si>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</si>
  <si>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</si>
  <si>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</si>
  <si>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</si>
  <si>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</si>
  <si>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</si>
  <si>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</si>
  <si>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</si>
  <si>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</si>
  <si>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</si>
  <si>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</si>
  <si>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</si>
  <si>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</si>
  <si>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</si>
  <si>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</si>
  <si>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</si>
  <si>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</si>
  <si>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</si>
  <si>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</si>
  <si>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</si>
  <si>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</si>
  <si>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</si>
  <si>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</si>
  <si>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</si>
  <si>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</si>
  <si>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</si>
  <si>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</si>
  <si>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</si>
  <si>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</si>
  <si>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</si>
  <si>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</si>
  <si>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</si>
  <si>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</si>
  <si>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</si>
  <si>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</si>
  <si>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</si>
  <si>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</si>
  <si>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</si>
  <si>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</si>
  <si>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</si>
  <si>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</si>
  <si>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</si>
  <si>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</si>
  <si>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</si>
  <si>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</si>
  <si>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</si>
  <si>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</si>
  <si>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</si>
  <si>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</si>
  <si>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</si>
  <si>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</si>
  <si>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</si>
  <si>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</si>
  <si>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</si>
  <si>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</si>
  <si>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</si>
  <si>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</si>
  <si>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</si>
  <si>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</si>
  <si>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</si>
  <si>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</si>
  <si>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</si>
  <si>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</si>
  <si>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</si>
  <si>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</si>
  <si>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</si>
  <si>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</si>
  <si>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</si>
  <si>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</si>
  <si>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</si>
  <si>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</si>
  <si>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</si>
  <si>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</si>
  <si>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</si>
  <si>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</si>
  <si>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</si>
  <si>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</si>
  <si>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</si>
  <si>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</si>
  <si>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</si>
  <si>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</si>
  <si>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</si>
  <si>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</si>
  <si>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</si>
  <si>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</si>
  <si>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</si>
  <si>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</si>
  <si>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</si>
  <si>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</si>
  <si>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</si>
  <si>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</si>
  <si>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</si>
  <si>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</si>
  <si>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</si>
  <si>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</si>
  <si>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</si>
  <si>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</si>
  <si>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</si>
  <si>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</si>
  <si>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</si>
  <si>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</si>
  <si>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</si>
  <si>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</si>
  <si>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</si>
  <si>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</si>
  <si>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</si>
  <si>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</si>
  <si>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</si>
  <si>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</si>
  <si>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</si>
  <si>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</si>
  <si>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</si>
  <si>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</si>
  <si>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</si>
  <si>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</si>
  <si>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</si>
  <si>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</si>
  <si>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</si>
  <si>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</si>
  <si>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</si>
  <si>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</si>
  <si>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</si>
  <si>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</si>
  <si>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</si>
  <si>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</si>
  <si>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</si>
  <si>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</si>
  <si>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</si>
  <si>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</si>
  <si>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</si>
  <si>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</si>
  <si>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</si>
  <si>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</si>
  <si>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</si>
  <si>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</si>
  <si>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</si>
  <si>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</si>
  <si>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</si>
  <si>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</si>
  <si>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</si>
  <si>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</si>
  <si>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</si>
  <si>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</si>
  <si>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</si>
  <si>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</si>
  <si>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</si>
  <si>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</si>
  <si>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</si>
  <si>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</si>
  <si>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</si>
  <si>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</si>
  <si>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</si>
  <si>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</si>
  <si>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</si>
  <si>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</si>
  <si>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</si>
  <si>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</si>
  <si>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</si>
  <si>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</si>
  <si>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</si>
  <si>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</si>
  <si>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</si>
  <si>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</si>
  <si>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</si>
  <si>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</si>
  <si>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</si>
  <si>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</si>
  <si>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</si>
  <si>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</si>
  <si>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</si>
  <si>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</si>
  <si>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</si>
  <si>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</si>
  <si>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</si>
  <si>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</si>
  <si>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</si>
  <si>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</si>
  <si>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</si>
  <si>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</si>
  <si>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</si>
  <si>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</si>
  <si>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</si>
  <si>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</si>
  <si>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</si>
  <si>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</si>
  <si>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</si>
  <si>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</si>
  <si>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</si>
  <si>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</si>
  <si>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</si>
  <si>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</si>
  <si>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</si>
  <si>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</si>
  <si>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</si>
  <si>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</si>
  <si>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</si>
  <si>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</si>
  <si>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</si>
  <si>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</si>
  <si>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</si>
  <si>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</si>
  <si>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</si>
  <si>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</si>
  <si>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</si>
  <si>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</si>
  <si>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</si>
  <si>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</si>
  <si>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</si>
  <si>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</si>
  <si>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</si>
  <si>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</si>
  <si>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</si>
  <si>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</si>
  <si>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</si>
  <si>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</si>
  <si>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</si>
  <si>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</si>
  <si>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</si>
  <si>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</si>
  <si>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</si>
  <si>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</si>
  <si>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</si>
  <si>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</si>
  <si>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</si>
  <si>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</si>
  <si>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</si>
  <si>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</si>
  <si>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</si>
  <si>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</si>
  <si>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</si>
  <si>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</si>
  <si>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</si>
  <si>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</si>
  <si>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</si>
  <si>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</si>
  <si>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</si>
  <si>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</si>
  <si>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</si>
  <si>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</si>
  <si>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</si>
  <si>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</si>
  <si>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</si>
  <si>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</si>
  <si>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</si>
  <si>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</si>
  <si>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</si>
  <si>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</si>
  <si>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</si>
  <si>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</si>
  <si>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</si>
  <si>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</si>
  <si>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</si>
  <si>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</si>
  <si>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</si>
  <si>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</si>
  <si>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</si>
  <si>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</si>
  <si>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</si>
  <si>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</si>
  <si>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</si>
  <si>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</si>
  <si>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</si>
  <si>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</si>
  <si>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</si>
  <si>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</si>
  <si>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</si>
  <si>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</si>
  <si>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</si>
  <si>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</si>
  <si>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</si>
  <si>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</si>
  <si>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</si>
  <si>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</si>
  <si>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</si>
  <si>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</si>
  <si>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</si>
  <si>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</si>
  <si>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</si>
  <si>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</si>
  <si>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</si>
  <si>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</si>
  <si>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</si>
  <si>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</si>
  <si>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</si>
  <si>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</si>
  <si>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</si>
  <si>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</si>
  <si>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</si>
  <si>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</si>
  <si>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</si>
  <si>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</si>
  <si>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</si>
  <si>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</si>
  <si>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</si>
  <si>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</si>
  <si>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-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</si>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</sst>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4"/>
      <c r="E5" s="464"/>
      <c r="F5" s="465" t="s">
        <v>14</v>
      </c>
      <c r="G5" s="465"/>
      <c r="H5" s="464" t="s">
        <v>416</v>
      </c>
      <c r="I5" s="464"/>
      <c r="J5" s="464"/>
      <c r="K5" s="464"/>
      <c r="L5" s="464"/>
      <c r="M5" s="464"/>
      <c r="N5" s="75"/>
      <c r="P5" s="27" t="s">
        <v>4</v>
      </c>
      <c r="Q5" s="466">
        <v>46250</v>
      </c>
      <c r="R5" s="466"/>
      <c r="T5" s="467" t="s">
        <v>3</v>
      </c>
      <c r="U5" s="468"/>
      <c r="V5" s="469" t="s">
        <v>383</v>
      </c>
      <c r="W5" s="470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396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Воскресенье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5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57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3"/>
      <c r="P9" s="31" t="s">
        <v>15</v>
      </c>
      <c r="Q9" s="459"/>
      <c r="R9" s="459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112</v>
      </c>
      <c r="Y41" s="55">
        <f>IFERROR(IF(X41="","",X41),"")</f>
        <v>112</v>
      </c>
      <c r="Z41" s="41">
        <f>IFERROR(IF(X41="","",X41*0.00941),"")</f>
        <v>1.05392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215.24160000000001</v>
      </c>
      <c r="BN41" s="81">
        <f>IFERROR(Y41*I41,"0")</f>
        <v>215.24160000000001</v>
      </c>
      <c r="BO41" s="81">
        <f>IFERROR(X41/J41,"0")</f>
        <v>0.8</v>
      </c>
      <c r="BP41" s="81">
        <f>IFERROR(Y41/J41,"0")</f>
        <v>0.8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1.7126199999999998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72</v>
      </c>
      <c r="Y56" s="55">
        <f>IFERROR(IF(X56="","",X56),"")</f>
        <v>72</v>
      </c>
      <c r="Z56" s="41">
        <f>IFERROR(IF(X56="","",X56*0.0155),"")</f>
        <v>1.1160000000000001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525.6</v>
      </c>
      <c r="BN56" s="81">
        <f>IFERROR(Y56*I56,"0")</f>
        <v>525.6</v>
      </c>
      <c r="BO56" s="81">
        <f>IFERROR(X56/J56,"0")</f>
        <v>0.8571428571428571</v>
      </c>
      <c r="BP56" s="81">
        <f>IFERROR(Y56/J56,"0")</f>
        <v>0.8571428571428571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72</v>
      </c>
      <c r="Y57" s="43">
        <f>IFERROR(SUM(Y53:Y56),"0")</f>
        <v>72</v>
      </c>
      <c r="Z57" s="43">
        <f>IFERROR(IF(Z53="",0,Z53),"0")+IFERROR(IF(Z54="",0,Z54),"0")+IFERROR(IF(Z55="",0,Z55),"0")+IFERROR(IF(Z56="",0,Z56),"0")</f>
        <v>1.1160000000000001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504</v>
      </c>
      <c r="Y58" s="43">
        <f>IFERROR(SUMPRODUCT(Y53:Y56*H53:H56),"0")</f>
        <v>504</v>
      </c>
      <c r="Z58" s="42"/>
      <c r="AA58" s="67"/>
      <c r="AB58" s="67"/>
      <c r="AC58" s="67"/>
    </row>
    <row r="59" spans="1:68" ht="16.5" hidden="1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289">
        <v>4607111037008</v>
      </c>
      <c r="E65" s="28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289">
        <v>4607111037398</v>
      </c>
      <c r="E66" s="28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7"/>
      <c r="P68" s="293" t="s">
        <v>40</v>
      </c>
      <c r="Q68" s="294"/>
      <c r="R68" s="294"/>
      <c r="S68" s="294"/>
      <c r="T68" s="294"/>
      <c r="U68" s="294"/>
      <c r="V68" s="29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07" t="s">
        <v>149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289">
        <v>4607111039705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89">
        <v>4607111039729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112</v>
      </c>
      <c r="Y71" s="55">
        <f>IFERROR(IF(X71="","",X71),"")</f>
        <v>112</v>
      </c>
      <c r="Z71" s="41">
        <f>IFERROR(IF(X71="","",X71*0.00941),"")</f>
        <v>1.05392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174.72</v>
      </c>
      <c r="BN71" s="81">
        <f>IFERROR(Y71*I71,"0")</f>
        <v>174.72</v>
      </c>
      <c r="BO71" s="81">
        <f>IFERROR(X71/J71,"0")</f>
        <v>0.8</v>
      </c>
      <c r="BP71" s="81">
        <f>IFERROR(Y71/J71,"0")</f>
        <v>0.8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89">
        <v>4620207490228</v>
      </c>
      <c r="E72" s="28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1"/>
      <c r="R72" s="291"/>
      <c r="S72" s="291"/>
      <c r="T72" s="292"/>
      <c r="U72" s="39" t="s">
        <v>46</v>
      </c>
      <c r="V72" s="39" t="s">
        <v>46</v>
      </c>
      <c r="W72" s="40" t="s">
        <v>39</v>
      </c>
      <c r="X72" s="58">
        <v>196</v>
      </c>
      <c r="Y72" s="55">
        <f>IFERROR(IF(X72="","",X72),"")</f>
        <v>196</v>
      </c>
      <c r="Z72" s="41">
        <f>IFERROR(IF(X72="","",X72*0.00941),"")</f>
        <v>1.84436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305.76</v>
      </c>
      <c r="BN72" s="81">
        <f>IFERROR(Y72*I72,"0")</f>
        <v>305.76</v>
      </c>
      <c r="BO72" s="81">
        <f>IFERROR(X72/J72,"0")</f>
        <v>1.4</v>
      </c>
      <c r="BP72" s="81">
        <f>IFERROR(Y72/J72,"0")</f>
        <v>1.4</v>
      </c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39</v>
      </c>
      <c r="X73" s="43">
        <f>IFERROR(SUM(X70:X72),"0")</f>
        <v>308</v>
      </c>
      <c r="Y73" s="43">
        <f>IFERROR(SUM(Y70:Y72),"0")</f>
        <v>308</v>
      </c>
      <c r="Z73" s="43">
        <f>IFERROR(IF(Z70="",0,Z70),"0")+IFERROR(IF(Z71="",0,Z71),"0")+IFERROR(IF(Z72="",0,Z72),"0")</f>
        <v>2.8982799999999997</v>
      </c>
      <c r="AA73" s="67"/>
      <c r="AB73" s="67"/>
      <c r="AC73" s="67"/>
    </row>
    <row r="74" spans="1:68" x14ac:dyDescent="0.2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7"/>
      <c r="P74" s="293" t="s">
        <v>40</v>
      </c>
      <c r="Q74" s="294"/>
      <c r="R74" s="294"/>
      <c r="S74" s="294"/>
      <c r="T74" s="294"/>
      <c r="U74" s="294"/>
      <c r="V74" s="295"/>
      <c r="W74" s="42" t="s">
        <v>0</v>
      </c>
      <c r="X74" s="43">
        <f>IFERROR(SUMPRODUCT(X70:X72*H70:H72),"0")</f>
        <v>369.6</v>
      </c>
      <c r="Y74" s="43">
        <f>IFERROR(SUMPRODUCT(Y70:Y72*H70:H72),"0")</f>
        <v>369.6</v>
      </c>
      <c r="Z74" s="42"/>
      <c r="AA74" s="67"/>
      <c r="AB74" s="67"/>
      <c r="AC74" s="67"/>
    </row>
    <row r="75" spans="1:68" ht="16.5" hidden="1" customHeight="1" x14ac:dyDescent="0.25">
      <c r="A75" s="319" t="s">
        <v>157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hidden="1" customHeight="1" x14ac:dyDescent="0.25">
      <c r="A76" s="307" t="s">
        <v>80</v>
      </c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289">
        <v>4607111037411</v>
      </c>
      <c r="E77" s="28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289">
        <v>4607111036728</v>
      </c>
      <c r="E78" s="28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1"/>
      <c r="R78" s="291"/>
      <c r="S78" s="291"/>
      <c r="T78" s="29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7"/>
      <c r="P80" s="293" t="s">
        <v>40</v>
      </c>
      <c r="Q80" s="294"/>
      <c r="R80" s="294"/>
      <c r="S80" s="294"/>
      <c r="T80" s="294"/>
      <c r="U80" s="294"/>
      <c r="V80" s="29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19" t="s">
        <v>164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hidden="1" customHeight="1" x14ac:dyDescent="0.25">
      <c r="A82" s="307" t="s">
        <v>149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89">
        <v>4607111033659</v>
      </c>
      <c r="E83" s="28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1"/>
      <c r="R83" s="291"/>
      <c r="S83" s="291"/>
      <c r="T83" s="292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7"/>
      <c r="P85" s="293" t="s">
        <v>40</v>
      </c>
      <c r="Q85" s="294"/>
      <c r="R85" s="294"/>
      <c r="S85" s="294"/>
      <c r="T85" s="294"/>
      <c r="U85" s="294"/>
      <c r="V85" s="295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19" t="s">
        <v>168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hidden="1" customHeight="1" x14ac:dyDescent="0.25">
      <c r="A87" s="307" t="s">
        <v>169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89">
        <v>4607111034120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196</v>
      </c>
      <c r="Y88" s="55">
        <f>IFERROR(IF(X88="","",X88),"")</f>
        <v>196</v>
      </c>
      <c r="Z88" s="41">
        <f>IFERROR(IF(X88="","",X88*0.01788),"")</f>
        <v>3.50448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843.50560000000007</v>
      </c>
      <c r="BN88" s="81">
        <f>IFERROR(Y88*I88,"0")</f>
        <v>843.50560000000007</v>
      </c>
      <c r="BO88" s="81">
        <f>IFERROR(X88/J88,"0")</f>
        <v>2.8</v>
      </c>
      <c r="BP88" s="81">
        <f>IFERROR(Y88/J88,"0")</f>
        <v>2.8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89">
        <v>4607111034137</v>
      </c>
      <c r="E89" s="28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1"/>
      <c r="R89" s="291"/>
      <c r="S89" s="291"/>
      <c r="T89" s="292"/>
      <c r="U89" s="39" t="s">
        <v>46</v>
      </c>
      <c r="V89" s="39" t="s">
        <v>46</v>
      </c>
      <c r="W89" s="40" t="s">
        <v>39</v>
      </c>
      <c r="X89" s="58">
        <v>196</v>
      </c>
      <c r="Y89" s="55">
        <f>IFERROR(IF(X89="","",X89),"")</f>
        <v>196</v>
      </c>
      <c r="Z89" s="41">
        <f>IFERROR(IF(X89="","",X89*0.01788),"")</f>
        <v>3.50448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843.50560000000007</v>
      </c>
      <c r="BN89" s="81">
        <f>IFERROR(Y89*I89,"0")</f>
        <v>843.50560000000007</v>
      </c>
      <c r="BO89" s="81">
        <f>IFERROR(X89/J89,"0")</f>
        <v>2.8</v>
      </c>
      <c r="BP89" s="81">
        <f>IFERROR(Y89/J89,"0")</f>
        <v>2.8</v>
      </c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39</v>
      </c>
      <c r="X90" s="43">
        <f>IFERROR(SUM(X88:X89),"0")</f>
        <v>392</v>
      </c>
      <c r="Y90" s="43">
        <f>IFERROR(SUM(Y88:Y89),"0")</f>
        <v>392</v>
      </c>
      <c r="Z90" s="43">
        <f>IFERROR(IF(Z88="",0,Z88),"0")+IFERROR(IF(Z89="",0,Z89),"0")</f>
        <v>7.0089600000000001</v>
      </c>
      <c r="AA90" s="67"/>
      <c r="AB90" s="67"/>
      <c r="AC90" s="67"/>
    </row>
    <row r="91" spans="1:68" x14ac:dyDescent="0.2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7"/>
      <c r="P91" s="293" t="s">
        <v>40</v>
      </c>
      <c r="Q91" s="294"/>
      <c r="R91" s="294"/>
      <c r="S91" s="294"/>
      <c r="T91" s="294"/>
      <c r="U91" s="294"/>
      <c r="V91" s="295"/>
      <c r="W91" s="42" t="s">
        <v>0</v>
      </c>
      <c r="X91" s="43">
        <f>IFERROR(SUMPRODUCT(X88:X89*H88:H89),"0")</f>
        <v>1411.2</v>
      </c>
      <c r="Y91" s="43">
        <f>IFERROR(SUMPRODUCT(Y88:Y89*H88:H89),"0")</f>
        <v>1411.2</v>
      </c>
      <c r="Z91" s="42"/>
      <c r="AA91" s="67"/>
      <c r="AB91" s="67"/>
      <c r="AC91" s="67"/>
    </row>
    <row r="92" spans="1:68" ht="16.5" hidden="1" customHeight="1" x14ac:dyDescent="0.25">
      <c r="A92" s="319" t="s">
        <v>176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hidden="1" customHeight="1" x14ac:dyDescent="0.25">
      <c r="A93" s="307" t="s">
        <v>149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89">
        <v>4620207491027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112</v>
      </c>
      <c r="Y94" s="55">
        <f t="shared" ref="Y94:Y99" si="6">IFERROR(IF(X94="","",X94),"")</f>
        <v>112</v>
      </c>
      <c r="Z94" s="41">
        <f t="shared" ref="Z94:Z99" si="7">IFERROR(IF(X94="","",X94*0.01788),"")</f>
        <v>2.0025599999999999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401.36320000000001</v>
      </c>
      <c r="BN94" s="81">
        <f t="shared" ref="BN94:BN99" si="9">IFERROR(Y94*I94,"0")</f>
        <v>401.36320000000001</v>
      </c>
      <c r="BO94" s="81">
        <f t="shared" ref="BO94:BO99" si="10">IFERROR(X94/J94,"0")</f>
        <v>1.6</v>
      </c>
      <c r="BP94" s="81">
        <f t="shared" ref="BP94:BP99" si="11">IFERROR(Y94/J94,"0")</f>
        <v>1.6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289">
        <v>4620207491003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289">
        <v>4620207491034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112</v>
      </c>
      <c r="Y96" s="55">
        <f t="shared" si="6"/>
        <v>112</v>
      </c>
      <c r="Z96" s="41">
        <f t="shared" si="7"/>
        <v>2.0025599999999999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401.36320000000001</v>
      </c>
      <c r="BN96" s="81">
        <f t="shared" si="9"/>
        <v>401.36320000000001</v>
      </c>
      <c r="BO96" s="81">
        <f t="shared" si="10"/>
        <v>1.6</v>
      </c>
      <c r="BP96" s="81">
        <f t="shared" si="11"/>
        <v>1.6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289">
        <v>4620207491010</v>
      </c>
      <c r="E97" s="28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186</v>
      </c>
      <c r="B98" s="63" t="s">
        <v>187</v>
      </c>
      <c r="C98" s="36">
        <v>4301135571</v>
      </c>
      <c r="D98" s="289">
        <v>4607111035028</v>
      </c>
      <c r="E98" s="28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188</v>
      </c>
      <c r="B99" s="63" t="s">
        <v>189</v>
      </c>
      <c r="C99" s="36">
        <v>4301135285</v>
      </c>
      <c r="D99" s="289">
        <v>4607111036407</v>
      </c>
      <c r="E99" s="28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39</v>
      </c>
      <c r="X100" s="43">
        <f>IFERROR(SUM(X94:X99),"0")</f>
        <v>448</v>
      </c>
      <c r="Y100" s="43">
        <f>IFERROR(SUM(Y94:Y99),"0")</f>
        <v>448</v>
      </c>
      <c r="Z100" s="43">
        <f>IFERROR(IF(Z94="",0,Z94),"0")+IFERROR(IF(Z95="",0,Z95),"0")+IFERROR(IF(Z96="",0,Z96),"0")+IFERROR(IF(Z97="",0,Z97),"0")+IFERROR(IF(Z98="",0,Z98),"0")+IFERROR(IF(Z99="",0,Z99),"0")</f>
        <v>8.0102399999999996</v>
      </c>
      <c r="AA100" s="67"/>
      <c r="AB100" s="67"/>
      <c r="AC100" s="67"/>
    </row>
    <row r="101" spans="1:68" x14ac:dyDescent="0.2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7"/>
      <c r="P101" s="293" t="s">
        <v>40</v>
      </c>
      <c r="Q101" s="294"/>
      <c r="R101" s="294"/>
      <c r="S101" s="294"/>
      <c r="T101" s="294"/>
      <c r="U101" s="294"/>
      <c r="V101" s="295"/>
      <c r="W101" s="42" t="s">
        <v>0</v>
      </c>
      <c r="X101" s="43">
        <f>IFERROR(SUMPRODUCT(X94:X99*H94:H99),"0")</f>
        <v>1290.24</v>
      </c>
      <c r="Y101" s="43">
        <f>IFERROR(SUMPRODUCT(Y94:Y99*H94:H99),"0")</f>
        <v>1290.24</v>
      </c>
      <c r="Z101" s="42"/>
      <c r="AA101" s="67"/>
      <c r="AB101" s="67"/>
      <c r="AC101" s="67"/>
    </row>
    <row r="102" spans="1:68" ht="16.5" hidden="1" customHeight="1" x14ac:dyDescent="0.25">
      <c r="A102" s="319" t="s">
        <v>191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hidden="1" customHeight="1" x14ac:dyDescent="0.25">
      <c r="A103" s="307" t="s">
        <v>143</v>
      </c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289">
        <v>4607025784012</v>
      </c>
      <c r="E104" s="28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289">
        <v>4607025784319</v>
      </c>
      <c r="E105" s="28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1"/>
      <c r="R105" s="291"/>
      <c r="S105" s="291"/>
      <c r="T105" s="29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7"/>
      <c r="P107" s="293" t="s">
        <v>40</v>
      </c>
      <c r="Q107" s="294"/>
      <c r="R107" s="294"/>
      <c r="S107" s="294"/>
      <c r="T107" s="294"/>
      <c r="U107" s="294"/>
      <c r="V107" s="29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19" t="s">
        <v>197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hidden="1" customHeight="1" x14ac:dyDescent="0.25">
      <c r="A109" s="307" t="s">
        <v>80</v>
      </c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289">
        <v>4620207491157</v>
      </c>
      <c r="E110" s="28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6" si="12">IFERROR(IF(X110="","",X110),"")</f>
        <v>0</v>
      </c>
      <c r="Z110" s="41">
        <f t="shared" ref="Z110:Z116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6" si="14">IFERROR(X110*I110,"0")</f>
        <v>0</v>
      </c>
      <c r="BN110" s="81">
        <f t="shared" ref="BN110:BN116" si="15">IFERROR(Y110*I110,"0")</f>
        <v>0</v>
      </c>
      <c r="BO110" s="81">
        <f t="shared" ref="BO110:BO116" si="16">IFERROR(X110/J110,"0")</f>
        <v>0</v>
      </c>
      <c r="BP110" s="81">
        <f t="shared" ref="BP110:BP116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289">
        <v>4620207491393</v>
      </c>
      <c r="E111" s="28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4301071051</v>
      </c>
      <c r="D112" s="289">
        <v>4607111039262</v>
      </c>
      <c r="E112" s="28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4301071038</v>
      </c>
      <c r="D113" s="289">
        <v>4607111039248</v>
      </c>
      <c r="E113" s="28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60</v>
      </c>
      <c r="Y113" s="55">
        <f t="shared" si="12"/>
        <v>60</v>
      </c>
      <c r="Z113" s="41">
        <f t="shared" si="13"/>
        <v>0.92999999999999994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438</v>
      </c>
      <c r="BN113" s="81">
        <f t="shared" si="15"/>
        <v>438</v>
      </c>
      <c r="BO113" s="81">
        <f t="shared" si="16"/>
        <v>0.7142857142857143</v>
      </c>
      <c r="BP113" s="81">
        <f t="shared" si="17"/>
        <v>0.7142857142857143</v>
      </c>
    </row>
    <row r="114" spans="1:68" ht="27" hidden="1" customHeight="1" x14ac:dyDescent="0.25">
      <c r="A114" s="63" t="s">
        <v>208</v>
      </c>
      <c r="B114" s="63" t="s">
        <v>209</v>
      </c>
      <c r="C114" s="36">
        <v>4301070979</v>
      </c>
      <c r="D114" s="289">
        <v>4607111037145</v>
      </c>
      <c r="E114" s="28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210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211</v>
      </c>
      <c r="B115" s="63" t="s">
        <v>212</v>
      </c>
      <c r="C115" s="36">
        <v>4301071049</v>
      </c>
      <c r="D115" s="289">
        <v>4607111039293</v>
      </c>
      <c r="E115" s="28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4301071039</v>
      </c>
      <c r="D116" s="289">
        <v>4607111039279</v>
      </c>
      <c r="E116" s="28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7"/>
      <c r="P117" s="293" t="s">
        <v>40</v>
      </c>
      <c r="Q117" s="294"/>
      <c r="R117" s="294"/>
      <c r="S117" s="294"/>
      <c r="T117" s="294"/>
      <c r="U117" s="294"/>
      <c r="V117" s="295"/>
      <c r="W117" s="42" t="s">
        <v>39</v>
      </c>
      <c r="X117" s="43">
        <f>IFERROR(SUM(X110:X116),"0")</f>
        <v>60</v>
      </c>
      <c r="Y117" s="43">
        <f>IFERROR(SUM(Y110:Y116),"0")</f>
        <v>60</v>
      </c>
      <c r="Z117" s="43">
        <f>IFERROR(IF(Z110="",0,Z110),"0")+IFERROR(IF(Z111="",0,Z111),"0")+IFERROR(IF(Z112="",0,Z112),"0")+IFERROR(IF(Z113="",0,Z113),"0")+IFERROR(IF(Z114="",0,Z114),"0")+IFERROR(IF(Z115="",0,Z115),"0")+IFERROR(IF(Z116="",0,Z116),"0")</f>
        <v>0.92999999999999994</v>
      </c>
      <c r="AA117" s="67"/>
      <c r="AB117" s="67"/>
      <c r="AC117" s="67"/>
    </row>
    <row r="118" spans="1:68" x14ac:dyDescent="0.2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7"/>
      <c r="P118" s="293" t="s">
        <v>40</v>
      </c>
      <c r="Q118" s="294"/>
      <c r="R118" s="294"/>
      <c r="S118" s="294"/>
      <c r="T118" s="294"/>
      <c r="U118" s="294"/>
      <c r="V118" s="295"/>
      <c r="W118" s="42" t="s">
        <v>0</v>
      </c>
      <c r="X118" s="43">
        <f>IFERROR(SUMPRODUCT(X110:X116*H110:H116),"0")</f>
        <v>420</v>
      </c>
      <c r="Y118" s="43">
        <f>IFERROR(SUMPRODUCT(Y110:Y116*H110:H116),"0")</f>
        <v>420</v>
      </c>
      <c r="Z118" s="42"/>
      <c r="AA118" s="67"/>
      <c r="AB118" s="67"/>
      <c r="AC118" s="67"/>
    </row>
    <row r="119" spans="1:68" ht="14.25" hidden="1" customHeight="1" x14ac:dyDescent="0.25">
      <c r="A119" s="307" t="s">
        <v>149</v>
      </c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66"/>
      <c r="AB119" s="66"/>
      <c r="AC119" s="83"/>
    </row>
    <row r="120" spans="1:68" ht="27" hidden="1" customHeight="1" x14ac:dyDescent="0.25">
      <c r="A120" s="63" t="s">
        <v>215</v>
      </c>
      <c r="B120" s="63" t="s">
        <v>216</v>
      </c>
      <c r="C120" s="36">
        <v>4301135826</v>
      </c>
      <c r="D120" s="289">
        <v>4620207490983</v>
      </c>
      <c r="E120" s="28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116</v>
      </c>
      <c r="L120" s="37" t="s">
        <v>86</v>
      </c>
      <c r="M120" s="38" t="s">
        <v>84</v>
      </c>
      <c r="N120" s="38"/>
      <c r="O120" s="37">
        <v>180</v>
      </c>
      <c r="P120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91"/>
      <c r="R120" s="291"/>
      <c r="S120" s="291"/>
      <c r="T120" s="292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217</v>
      </c>
      <c r="AG120" s="81"/>
      <c r="AJ120" s="87" t="s">
        <v>87</v>
      </c>
      <c r="AK120" s="87">
        <v>1</v>
      </c>
      <c r="BB120" s="178" t="s">
        <v>115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7"/>
      <c r="P121" s="293" t="s">
        <v>40</v>
      </c>
      <c r="Q121" s="294"/>
      <c r="R121" s="294"/>
      <c r="S121" s="294"/>
      <c r="T121" s="294"/>
      <c r="U121" s="294"/>
      <c r="V121" s="295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07" t="s">
        <v>218</v>
      </c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66"/>
      <c r="AB123" s="66"/>
      <c r="AC123" s="83"/>
    </row>
    <row r="124" spans="1:68" ht="27" hidden="1" customHeight="1" x14ac:dyDescent="0.25">
      <c r="A124" s="63" t="s">
        <v>219</v>
      </c>
      <c r="B124" s="63" t="s">
        <v>220</v>
      </c>
      <c r="C124" s="36">
        <v>4301071094</v>
      </c>
      <c r="D124" s="289">
        <v>4620207491140</v>
      </c>
      <c r="E124" s="28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85</v>
      </c>
      <c r="L124" s="37" t="s">
        <v>86</v>
      </c>
      <c r="M124" s="38" t="s">
        <v>84</v>
      </c>
      <c r="N124" s="38"/>
      <c r="O124" s="37">
        <v>180</v>
      </c>
      <c r="P124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91"/>
      <c r="R124" s="291"/>
      <c r="S124" s="291"/>
      <c r="T124" s="29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221</v>
      </c>
      <c r="AG124" s="81"/>
      <c r="AJ124" s="87" t="s">
        <v>87</v>
      </c>
      <c r="AK124" s="87">
        <v>1</v>
      </c>
      <c r="BB124" s="180" t="s">
        <v>115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7"/>
      <c r="P125" s="293" t="s">
        <v>40</v>
      </c>
      <c r="Q125" s="294"/>
      <c r="R125" s="294"/>
      <c r="S125" s="294"/>
      <c r="T125" s="294"/>
      <c r="U125" s="294"/>
      <c r="V125" s="295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hidden="1" customHeight="1" x14ac:dyDescent="0.25">
      <c r="A127" s="319" t="s">
        <v>222</v>
      </c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65"/>
      <c r="AB127" s="65"/>
      <c r="AC127" s="82"/>
    </row>
    <row r="128" spans="1:68" ht="14.25" hidden="1" customHeight="1" x14ac:dyDescent="0.25">
      <c r="A128" s="307" t="s">
        <v>149</v>
      </c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66"/>
      <c r="AB128" s="66"/>
      <c r="AC128" s="83"/>
    </row>
    <row r="129" spans="1:68" ht="27" hidden="1" customHeight="1" x14ac:dyDescent="0.25">
      <c r="A129" s="63" t="s">
        <v>223</v>
      </c>
      <c r="B129" s="63" t="s">
        <v>224</v>
      </c>
      <c r="C129" s="36">
        <v>4301135848</v>
      </c>
      <c r="D129" s="289">
        <v>4620207491799</v>
      </c>
      <c r="E129" s="28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225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hidden="1" customHeight="1" x14ac:dyDescent="0.25">
      <c r="A130" s="63" t="s">
        <v>226</v>
      </c>
      <c r="B130" s="63" t="s">
        <v>227</v>
      </c>
      <c r="C130" s="36">
        <v>4301135850</v>
      </c>
      <c r="D130" s="289">
        <v>4620207491492</v>
      </c>
      <c r="E130" s="28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225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4301190118</v>
      </c>
      <c r="D131" s="289">
        <v>4620207491461</v>
      </c>
      <c r="E131" s="28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112</v>
      </c>
      <c r="Y131" s="55">
        <f>IFERROR(IF(X131="","",X131),"")</f>
        <v>112</v>
      </c>
      <c r="Z131" s="41">
        <f>IFERROR(IF(X131="","",X131*0.00941),"")</f>
        <v>1.05392</v>
      </c>
      <c r="AA131" s="68" t="s">
        <v>46</v>
      </c>
      <c r="AB131" s="69" t="s">
        <v>46</v>
      </c>
      <c r="AC131" s="185" t="s">
        <v>225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194.88</v>
      </c>
      <c r="BN131" s="81">
        <f>IFERROR(Y131*I131,"0")</f>
        <v>194.88</v>
      </c>
      <c r="BO131" s="81">
        <f>IFERROR(X131/J131,"0")</f>
        <v>0.8</v>
      </c>
      <c r="BP131" s="81">
        <f>IFERROR(Y131/J131,"0")</f>
        <v>0.8</v>
      </c>
    </row>
    <row r="132" spans="1:68" ht="27" customHeight="1" x14ac:dyDescent="0.25">
      <c r="A132" s="63" t="s">
        <v>230</v>
      </c>
      <c r="B132" s="63" t="s">
        <v>231</v>
      </c>
      <c r="C132" s="36">
        <v>4301135865</v>
      </c>
      <c r="D132" s="289">
        <v>4620207491485</v>
      </c>
      <c r="E132" s="28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112</v>
      </c>
      <c r="Y132" s="55">
        <f>IFERROR(IF(X132="","",X132),"")</f>
        <v>112</v>
      </c>
      <c r="Z132" s="41">
        <f>IFERROR(IF(X132="","",X132*0.00941),"")</f>
        <v>1.05392</v>
      </c>
      <c r="AA132" s="68" t="s">
        <v>46</v>
      </c>
      <c r="AB132" s="69" t="s">
        <v>46</v>
      </c>
      <c r="AC132" s="187" t="s">
        <v>225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201.6</v>
      </c>
      <c r="BN132" s="81">
        <f>IFERROR(Y132*I132,"0")</f>
        <v>201.6</v>
      </c>
      <c r="BO132" s="81">
        <f>IFERROR(X132/J132,"0")</f>
        <v>0.8</v>
      </c>
      <c r="BP132" s="81">
        <f>IFERROR(Y132/J132,"0")</f>
        <v>0.8</v>
      </c>
    </row>
    <row r="133" spans="1:68" x14ac:dyDescent="0.2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7"/>
      <c r="P133" s="293" t="s">
        <v>40</v>
      </c>
      <c r="Q133" s="294"/>
      <c r="R133" s="294"/>
      <c r="S133" s="294"/>
      <c r="T133" s="294"/>
      <c r="U133" s="294"/>
      <c r="V133" s="295"/>
      <c r="W133" s="42" t="s">
        <v>39</v>
      </c>
      <c r="X133" s="43">
        <f>IFERROR(SUM(X129:X132),"0")</f>
        <v>224</v>
      </c>
      <c r="Y133" s="43">
        <f>IFERROR(SUM(Y129:Y132),"0")</f>
        <v>224</v>
      </c>
      <c r="Z133" s="43">
        <f>IFERROR(IF(Z129="",0,Z129),"0")+IFERROR(IF(Z130="",0,Z130),"0")+IFERROR(IF(Z131="",0,Z131),"0")+IFERROR(IF(Z132="",0,Z132),"0")</f>
        <v>2.1078399999999999</v>
      </c>
      <c r="AA133" s="67"/>
      <c r="AB133" s="67"/>
      <c r="AC133" s="67"/>
    </row>
    <row r="134" spans="1:68" x14ac:dyDescent="0.2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7"/>
      <c r="P134" s="293" t="s">
        <v>40</v>
      </c>
      <c r="Q134" s="294"/>
      <c r="R134" s="294"/>
      <c r="S134" s="294"/>
      <c r="T134" s="294"/>
      <c r="U134" s="294"/>
      <c r="V134" s="295"/>
      <c r="W134" s="42" t="s">
        <v>0</v>
      </c>
      <c r="X134" s="43">
        <f>IFERROR(SUMPRODUCT(X129:X132*H129:H132),"0")</f>
        <v>302.39999999999998</v>
      </c>
      <c r="Y134" s="43">
        <f>IFERROR(SUMPRODUCT(Y129:Y132*H129:H132),"0")</f>
        <v>302.39999999999998</v>
      </c>
      <c r="Z134" s="42"/>
      <c r="AA134" s="67"/>
      <c r="AB134" s="67"/>
      <c r="AC134" s="67"/>
    </row>
    <row r="135" spans="1:68" ht="14.25" hidden="1" customHeight="1" x14ac:dyDescent="0.25">
      <c r="A135" s="307" t="s">
        <v>232</v>
      </c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66"/>
      <c r="AB135" s="66"/>
      <c r="AC135" s="83"/>
    </row>
    <row r="136" spans="1:68" ht="27" hidden="1" customHeight="1" x14ac:dyDescent="0.25">
      <c r="A136" s="63" t="s">
        <v>233</v>
      </c>
      <c r="B136" s="63" t="s">
        <v>234</v>
      </c>
      <c r="C136" s="36">
        <v>4301190117</v>
      </c>
      <c r="D136" s="289">
        <v>4620207491386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4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235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4301190115</v>
      </c>
      <c r="D137" s="289">
        <v>4620207491362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235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238</v>
      </c>
      <c r="B138" s="63" t="s">
        <v>239</v>
      </c>
      <c r="C138" s="36">
        <v>4301190116</v>
      </c>
      <c r="D138" s="289">
        <v>4620207491379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235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7"/>
      <c r="P139" s="293" t="s">
        <v>40</v>
      </c>
      <c r="Q139" s="294"/>
      <c r="R139" s="294"/>
      <c r="S139" s="294"/>
      <c r="T139" s="294"/>
      <c r="U139" s="294"/>
      <c r="V139" s="295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7"/>
      <c r="P140" s="293" t="s">
        <v>40</v>
      </c>
      <c r="Q140" s="294"/>
      <c r="R140" s="294"/>
      <c r="S140" s="294"/>
      <c r="T140" s="294"/>
      <c r="U140" s="294"/>
      <c r="V140" s="295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19" t="s">
        <v>240</v>
      </c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65"/>
      <c r="AB141" s="65"/>
      <c r="AC141" s="82"/>
    </row>
    <row r="142" spans="1:68" ht="14.25" hidden="1" customHeight="1" x14ac:dyDescent="0.25">
      <c r="A142" s="307" t="s">
        <v>149</v>
      </c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66"/>
      <c r="AB142" s="66"/>
      <c r="AC142" s="83"/>
    </row>
    <row r="143" spans="1:68" ht="27" customHeight="1" x14ac:dyDescent="0.25">
      <c r="A143" s="63" t="s">
        <v>241</v>
      </c>
      <c r="B143" s="63" t="s">
        <v>242</v>
      </c>
      <c r="C143" s="36">
        <v>4301135555</v>
      </c>
      <c r="D143" s="289">
        <v>4607111034014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34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243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ht="27" customHeight="1" x14ac:dyDescent="0.25">
      <c r="A144" s="63" t="s">
        <v>244</v>
      </c>
      <c r="B144" s="63" t="s">
        <v>245</v>
      </c>
      <c r="C144" s="36">
        <v>4301135532</v>
      </c>
      <c r="D144" s="289">
        <v>4607111033994</v>
      </c>
      <c r="E144" s="28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91"/>
      <c r="R144" s="291"/>
      <c r="S144" s="291"/>
      <c r="T144" s="292"/>
      <c r="U144" s="39" t="s">
        <v>46</v>
      </c>
      <c r="V144" s="39" t="s">
        <v>46</v>
      </c>
      <c r="W144" s="40" t="s">
        <v>39</v>
      </c>
      <c r="X144" s="58">
        <v>112</v>
      </c>
      <c r="Y144" s="55">
        <f>IFERROR(IF(X144="","",X144),"")</f>
        <v>112</v>
      </c>
      <c r="Z144" s="41">
        <f>IFERROR(IF(X144="","",X144*0.01788),"")</f>
        <v>2.0025599999999999</v>
      </c>
      <c r="AA144" s="68" t="s">
        <v>46</v>
      </c>
      <c r="AB144" s="69" t="s">
        <v>46</v>
      </c>
      <c r="AC144" s="197" t="s">
        <v>167</v>
      </c>
      <c r="AD144" s="60" t="s">
        <v>415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414.80319999999995</v>
      </c>
      <c r="BN144" s="81">
        <f>IFERROR(Y144*I144,"0")</f>
        <v>414.80319999999995</v>
      </c>
      <c r="BO144" s="81">
        <f>IFERROR(X144/J144,"0")</f>
        <v>1.6</v>
      </c>
      <c r="BP144" s="81">
        <f>IFERROR(Y144/J144,"0")</f>
        <v>1.6</v>
      </c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39</v>
      </c>
      <c r="X145" s="43">
        <f>IFERROR(SUM(X143:X144),"0")</f>
        <v>182</v>
      </c>
      <c r="Y145" s="43">
        <f>IFERROR(SUM(Y143:Y144),"0")</f>
        <v>182</v>
      </c>
      <c r="Z145" s="43">
        <f>IFERROR(IF(Z143="",0,Z143),"0")+IFERROR(IF(Z144="",0,Z144),"0")</f>
        <v>3.2541599999999997</v>
      </c>
      <c r="AA145" s="67"/>
      <c r="AB145" s="67"/>
      <c r="AC145" s="67"/>
    </row>
    <row r="146" spans="1:68" x14ac:dyDescent="0.2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7"/>
      <c r="P146" s="293" t="s">
        <v>40</v>
      </c>
      <c r="Q146" s="294"/>
      <c r="R146" s="294"/>
      <c r="S146" s="294"/>
      <c r="T146" s="294"/>
      <c r="U146" s="294"/>
      <c r="V146" s="295"/>
      <c r="W146" s="42" t="s">
        <v>0</v>
      </c>
      <c r="X146" s="43">
        <f>IFERROR(SUMPRODUCT(X143:X144*H143:H144),"0")</f>
        <v>546</v>
      </c>
      <c r="Y146" s="43">
        <f>IFERROR(SUMPRODUCT(Y143:Y144*H143:H144),"0")</f>
        <v>546</v>
      </c>
      <c r="Z146" s="42"/>
      <c r="AA146" s="67"/>
      <c r="AB146" s="67"/>
      <c r="AC146" s="67"/>
    </row>
    <row r="147" spans="1:68" ht="16.5" hidden="1" customHeight="1" x14ac:dyDescent="0.25">
      <c r="A147" s="319" t="s">
        <v>246</v>
      </c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65"/>
      <c r="AB147" s="65"/>
      <c r="AC147" s="82"/>
    </row>
    <row r="148" spans="1:68" ht="14.25" hidden="1" customHeight="1" x14ac:dyDescent="0.25">
      <c r="A148" s="307" t="s">
        <v>149</v>
      </c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66"/>
      <c r="AB148" s="66"/>
      <c r="AC148" s="83"/>
    </row>
    <row r="149" spans="1:68" ht="27" customHeight="1" x14ac:dyDescent="0.25">
      <c r="A149" s="63" t="s">
        <v>247</v>
      </c>
      <c r="B149" s="63" t="s">
        <v>248</v>
      </c>
      <c r="C149" s="36">
        <v>4301135824</v>
      </c>
      <c r="D149" s="289">
        <v>4607111039095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126</v>
      </c>
      <c r="Y149" s="55">
        <f>IFERROR(IF(X149="","",X149),"")</f>
        <v>126</v>
      </c>
      <c r="Z149" s="41">
        <f>IFERROR(IF(X149="","",X149*0.01788),"")</f>
        <v>2.2528800000000002</v>
      </c>
      <c r="AA149" s="68" t="s">
        <v>46</v>
      </c>
      <c r="AB149" s="69" t="s">
        <v>46</v>
      </c>
      <c r="AC149" s="199" t="s">
        <v>249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472.24800000000005</v>
      </c>
      <c r="BN149" s="81">
        <f>IFERROR(Y149*I149,"0")</f>
        <v>472.24800000000005</v>
      </c>
      <c r="BO149" s="81">
        <f>IFERROR(X149/J149,"0")</f>
        <v>1.8</v>
      </c>
      <c r="BP149" s="81">
        <f>IFERROR(Y149/J149,"0")</f>
        <v>1.8</v>
      </c>
    </row>
    <row r="150" spans="1:68" ht="16.5" hidden="1" customHeight="1" x14ac:dyDescent="0.25">
      <c r="A150" s="63" t="s">
        <v>250</v>
      </c>
      <c r="B150" s="63" t="s">
        <v>251</v>
      </c>
      <c r="C150" s="36">
        <v>4301135550</v>
      </c>
      <c r="D150" s="289">
        <v>4607111034199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117</v>
      </c>
      <c r="M150" s="38" t="s">
        <v>84</v>
      </c>
      <c r="N150" s="38"/>
      <c r="O150" s="37">
        <v>180</v>
      </c>
      <c r="P150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252</v>
      </c>
      <c r="AG150" s="81"/>
      <c r="AJ150" s="87" t="s">
        <v>118</v>
      </c>
      <c r="AK150" s="87">
        <v>14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IFERROR(SUM(X149:X150),"0")</f>
        <v>126</v>
      </c>
      <c r="Y151" s="43">
        <f>IFERROR(SUM(Y149:Y150),"0")</f>
        <v>126</v>
      </c>
      <c r="Z151" s="43">
        <f>IFERROR(IF(Z149="",0,Z149),"0")+IFERROR(IF(Z150="",0,Z150),"0")</f>
        <v>2.2528800000000002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IFERROR(SUMPRODUCT(X149:X150*H149:H150),"0")</f>
        <v>378</v>
      </c>
      <c r="Y152" s="43">
        <f>IFERROR(SUMPRODUCT(Y149:Y150*H149:H150),"0")</f>
        <v>378</v>
      </c>
      <c r="Z152" s="42"/>
      <c r="AA152" s="67"/>
      <c r="AB152" s="67"/>
      <c r="AC152" s="67"/>
    </row>
    <row r="153" spans="1:68" ht="16.5" hidden="1" customHeight="1" x14ac:dyDescent="0.25">
      <c r="A153" s="319" t="s">
        <v>253</v>
      </c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65"/>
      <c r="AB153" s="65"/>
      <c r="AC153" s="82"/>
    </row>
    <row r="154" spans="1:68" ht="14.25" hidden="1" customHeight="1" x14ac:dyDescent="0.25">
      <c r="A154" s="307" t="s">
        <v>149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126</v>
      </c>
      <c r="Y155" s="55">
        <f>IFERROR(IF(X155="","",X155),"")</f>
        <v>126</v>
      </c>
      <c r="Z155" s="41">
        <f>IFERROR(IF(X155="","",X155*0.01788),"")</f>
        <v>2.2528800000000002</v>
      </c>
      <c r="AA155" s="68" t="s">
        <v>46</v>
      </c>
      <c r="AB155" s="69" t="s">
        <v>46</v>
      </c>
      <c r="AC155" s="203" t="s">
        <v>243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337.68</v>
      </c>
      <c r="BN155" s="81">
        <f>IFERROR(Y155*I155,"0")</f>
        <v>337.68</v>
      </c>
      <c r="BO155" s="81">
        <f>IFERROR(X155/J155,"0")</f>
        <v>1.8</v>
      </c>
      <c r="BP155" s="81">
        <f>IFERROR(Y155/J155,"0")</f>
        <v>1.8</v>
      </c>
    </row>
    <row r="156" spans="1:68" ht="27" hidden="1" customHeight="1" x14ac:dyDescent="0.25">
      <c r="A156" s="63" t="s">
        <v>256</v>
      </c>
      <c r="B156" s="63" t="s">
        <v>257</v>
      </c>
      <c r="C156" s="36">
        <v>4301135778</v>
      </c>
      <c r="D156" s="289">
        <v>4620207490853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117</v>
      </c>
      <c r="M156" s="38" t="s">
        <v>84</v>
      </c>
      <c r="N156" s="38"/>
      <c r="O156" s="37">
        <v>180</v>
      </c>
      <c r="P156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243</v>
      </c>
      <c r="AG156" s="81"/>
      <c r="AJ156" s="87" t="s">
        <v>118</v>
      </c>
      <c r="AK156" s="87">
        <v>14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126</v>
      </c>
      <c r="Y157" s="43">
        <f>IFERROR(SUM(Y155:Y156),"0")</f>
        <v>126</v>
      </c>
      <c r="Z157" s="43">
        <f>IFERROR(IF(Z155="",0,Z155),"0")+IFERROR(IF(Z156="",0,Z156),"0")</f>
        <v>2.2528800000000002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302.39999999999998</v>
      </c>
      <c r="Y158" s="43">
        <f>IFERROR(SUMPRODUCT(Y155:Y156*H155:H156),"0")</f>
        <v>302.39999999999998</v>
      </c>
      <c r="Z158" s="42"/>
      <c r="AA158" s="67"/>
      <c r="AB158" s="67"/>
      <c r="AC158" s="67"/>
    </row>
    <row r="159" spans="1:68" ht="16.5" hidden="1" customHeight="1" x14ac:dyDescent="0.25">
      <c r="A159" s="319" t="s">
        <v>258</v>
      </c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65"/>
      <c r="AB159" s="65"/>
      <c r="AC159" s="82"/>
    </row>
    <row r="160" spans="1:68" ht="14.25" hidden="1" customHeight="1" x14ac:dyDescent="0.25">
      <c r="A160" s="307" t="s">
        <v>149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259</v>
      </c>
      <c r="B161" s="63" t="s">
        <v>260</v>
      </c>
      <c r="C161" s="36">
        <v>4301135570</v>
      </c>
      <c r="D161" s="289">
        <v>4607111035806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70</v>
      </c>
      <c r="Y161" s="55">
        <f>IFERROR(IF(X161="","",X161),"")</f>
        <v>70</v>
      </c>
      <c r="Z161" s="41">
        <f>IFERROR(IF(X161="","",X161*0.01788),"")</f>
        <v>1.2516</v>
      </c>
      <c r="AA161" s="68" t="s">
        <v>46</v>
      </c>
      <c r="AB161" s="69" t="s">
        <v>46</v>
      </c>
      <c r="AC161" s="207" t="s">
        <v>261</v>
      </c>
      <c r="AG161" s="81"/>
      <c r="AJ161" s="87" t="s">
        <v>118</v>
      </c>
      <c r="AK161" s="87">
        <v>14</v>
      </c>
      <c r="BB161" s="208" t="s">
        <v>115</v>
      </c>
      <c r="BM161" s="81">
        <f>IFERROR(X161*I161,"0")</f>
        <v>259.25200000000001</v>
      </c>
      <c r="BN161" s="81">
        <f>IFERROR(Y161*I161,"0")</f>
        <v>259.25200000000001</v>
      </c>
      <c r="BO161" s="81">
        <f>IFERROR(X161/J161,"0")</f>
        <v>1</v>
      </c>
      <c r="BP161" s="81">
        <f>IFERROR(Y161/J161,"0")</f>
        <v>1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70</v>
      </c>
      <c r="Y162" s="43">
        <f>IFERROR(SUM(Y161:Y161),"0")</f>
        <v>70</v>
      </c>
      <c r="Z162" s="43">
        <f>IFERROR(IF(Z161="",0,Z161),"0")</f>
        <v>1.2516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210</v>
      </c>
      <c r="Y163" s="43">
        <f>IFERROR(SUMPRODUCT(Y161:Y161*H161:H161),"0")</f>
        <v>210</v>
      </c>
      <c r="Z163" s="42"/>
      <c r="AA163" s="67"/>
      <c r="AB163" s="67"/>
      <c r="AC163" s="67"/>
    </row>
    <row r="164" spans="1:68" ht="16.5" hidden="1" customHeight="1" x14ac:dyDescent="0.25">
      <c r="A164" s="319" t="s">
        <v>262</v>
      </c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65"/>
      <c r="AB164" s="65"/>
      <c r="AC164" s="82"/>
    </row>
    <row r="165" spans="1:68" ht="14.25" hidden="1" customHeight="1" x14ac:dyDescent="0.25">
      <c r="A165" s="307" t="s">
        <v>149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hidden="1" customHeight="1" x14ac:dyDescent="0.25">
      <c r="A166" s="63" t="s">
        <v>263</v>
      </c>
      <c r="B166" s="63" t="s">
        <v>264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249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19" t="s">
        <v>265</v>
      </c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65"/>
      <c r="AB169" s="65"/>
      <c r="AC169" s="82"/>
    </row>
    <row r="170" spans="1:68" ht="14.25" hidden="1" customHeight="1" x14ac:dyDescent="0.25">
      <c r="A170" s="307" t="s">
        <v>149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266</v>
      </c>
      <c r="B171" s="63" t="s">
        <v>267</v>
      </c>
      <c r="C171" s="36">
        <v>4301135184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86</v>
      </c>
      <c r="M171" s="38" t="s">
        <v>84</v>
      </c>
      <c r="N171" s="38"/>
      <c r="O171" s="37">
        <v>180</v>
      </c>
      <c r="P171" s="341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252</v>
      </c>
      <c r="Y171" s="55">
        <f>IFERROR(IF(X171="","",X171),"")</f>
        <v>252</v>
      </c>
      <c r="Z171" s="41">
        <f>IFERROR(IF(X171="","",X171*0.00941),"")</f>
        <v>2.3713199999999999</v>
      </c>
      <c r="AA171" s="68" t="s">
        <v>46</v>
      </c>
      <c r="AB171" s="69" t="s">
        <v>46</v>
      </c>
      <c r="AC171" s="211" t="s">
        <v>268</v>
      </c>
      <c r="AG171" s="81"/>
      <c r="AJ171" s="87" t="s">
        <v>87</v>
      </c>
      <c r="AK171" s="87">
        <v>1</v>
      </c>
      <c r="BB171" s="212" t="s">
        <v>115</v>
      </c>
      <c r="BM171" s="81">
        <f>IFERROR(X171*I171,"0")</f>
        <v>529.65359999999998</v>
      </c>
      <c r="BN171" s="81">
        <f>IFERROR(Y171*I171,"0")</f>
        <v>529.65359999999998</v>
      </c>
      <c r="BO171" s="81">
        <f>IFERROR(X171/J171,"0")</f>
        <v>1.8</v>
      </c>
      <c r="BP171" s="81">
        <f>IFERROR(Y171/J171,"0")</f>
        <v>1.8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252</v>
      </c>
      <c r="Y172" s="43">
        <f>IFERROR(SUM(Y171:Y171),"0")</f>
        <v>252</v>
      </c>
      <c r="Z172" s="43">
        <f>IFERROR(IF(Z171="",0,Z171),"0")</f>
        <v>2.3713199999999999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423.35999999999996</v>
      </c>
      <c r="Y173" s="43">
        <f>IFERROR(SUMPRODUCT(Y171:Y171*H171:H171),"0")</f>
        <v>423.35999999999996</v>
      </c>
      <c r="Z173" s="42"/>
      <c r="AA173" s="67"/>
      <c r="AB173" s="67"/>
      <c r="AC173" s="67"/>
    </row>
    <row r="174" spans="1:68" ht="27.75" hidden="1" customHeight="1" x14ac:dyDescent="0.2">
      <c r="A174" s="318" t="s">
        <v>269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54"/>
      <c r="AB174" s="54"/>
      <c r="AC174" s="54"/>
    </row>
    <row r="175" spans="1:68" ht="16.5" hidden="1" customHeight="1" x14ac:dyDescent="0.25">
      <c r="A175" s="319" t="s">
        <v>270</v>
      </c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65"/>
      <c r="AB175" s="65"/>
      <c r="AC175" s="82"/>
    </row>
    <row r="176" spans="1:68" ht="14.25" hidden="1" customHeight="1" x14ac:dyDescent="0.25">
      <c r="A176" s="307" t="s">
        <v>80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hidden="1" customHeight="1" x14ac:dyDescent="0.25">
      <c r="A177" s="63" t="s">
        <v>271</v>
      </c>
      <c r="B177" s="63" t="s">
        <v>272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273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274</v>
      </c>
      <c r="B178" s="63" t="s">
        <v>275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276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19" t="s">
        <v>277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hidden="1" customHeight="1" x14ac:dyDescent="0.25">
      <c r="A182" s="307" t="s">
        <v>80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6"/>
      <c r="AB182" s="66"/>
      <c r="AC182" s="83"/>
    </row>
    <row r="183" spans="1:68" ht="27" hidden="1" customHeight="1" x14ac:dyDescent="0.25">
      <c r="A183" s="63" t="s">
        <v>278</v>
      </c>
      <c r="B183" s="63" t="s">
        <v>279</v>
      </c>
      <c r="C183" s="36">
        <v>4301071117</v>
      </c>
      <c r="D183" s="289">
        <v>4620207491737</v>
      </c>
      <c r="E183" s="289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276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18" t="s">
        <v>280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54"/>
      <c r="AB186" s="54"/>
      <c r="AC186" s="54"/>
    </row>
    <row r="187" spans="1:68" ht="16.5" hidden="1" customHeight="1" x14ac:dyDescent="0.25">
      <c r="A187" s="319" t="s">
        <v>281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hidden="1" customHeight="1" x14ac:dyDescent="0.25">
      <c r="A188" s="307" t="s">
        <v>111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hidden="1" customHeight="1" x14ac:dyDescent="0.25">
      <c r="A189" s="63" t="s">
        <v>282</v>
      </c>
      <c r="B189" s="63" t="s">
        <v>283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284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285</v>
      </c>
      <c r="B190" s="63" t="s">
        <v>286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287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hidden="1" customHeight="1" x14ac:dyDescent="0.25">
      <c r="A191" s="63" t="s">
        <v>288</v>
      </c>
      <c r="B191" s="63" t="s">
        <v>289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290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291</v>
      </c>
      <c r="B192" s="63" t="s">
        <v>292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293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hidden="1" customHeight="1" x14ac:dyDescent="0.2">
      <c r="A195" s="318" t="s">
        <v>294</v>
      </c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54"/>
      <c r="AB195" s="54"/>
      <c r="AC195" s="54"/>
    </row>
    <row r="196" spans="1:68" ht="16.5" hidden="1" customHeight="1" x14ac:dyDescent="0.25">
      <c r="A196" s="319" t="s">
        <v>295</v>
      </c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65"/>
      <c r="AB196" s="65"/>
      <c r="AC196" s="82"/>
    </row>
    <row r="197" spans="1:68" ht="14.25" hidden="1" customHeight="1" x14ac:dyDescent="0.25">
      <c r="A197" s="307" t="s">
        <v>111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hidden="1" customHeight="1" x14ac:dyDescent="0.25">
      <c r="A198" s="63" t="s">
        <v>296</v>
      </c>
      <c r="B198" s="63" t="s">
        <v>297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298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07" t="s">
        <v>149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hidden="1" customHeight="1" x14ac:dyDescent="0.25">
      <c r="A202" s="63" t="s">
        <v>299</v>
      </c>
      <c r="B202" s="63" t="s">
        <v>300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301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302</v>
      </c>
      <c r="B203" s="63" t="s">
        <v>303</v>
      </c>
      <c r="C203" s="36">
        <v>4301135696</v>
      </c>
      <c r="D203" s="289">
        <v>4620207490235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305</v>
      </c>
      <c r="B204" s="63" t="s">
        <v>306</v>
      </c>
      <c r="C204" s="36">
        <v>4301135697</v>
      </c>
      <c r="D204" s="289">
        <v>4620207490259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307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7"/>
      <c r="P205" s="293" t="s">
        <v>40</v>
      </c>
      <c r="Q205" s="294"/>
      <c r="R205" s="294"/>
      <c r="S205" s="294"/>
      <c r="T205" s="294"/>
      <c r="U205" s="294"/>
      <c r="V205" s="295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19" t="s">
        <v>308</v>
      </c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65"/>
      <c r="AB207" s="65"/>
      <c r="AC207" s="82"/>
    </row>
    <row r="208" spans="1:68" ht="14.25" hidden="1" customHeight="1" x14ac:dyDescent="0.25">
      <c r="A208" s="307" t="s">
        <v>149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6"/>
      <c r="AB208" s="66"/>
      <c r="AC208" s="83"/>
    </row>
    <row r="209" spans="1:68" ht="27" hidden="1" customHeight="1" x14ac:dyDescent="0.25">
      <c r="A209" s="63" t="s">
        <v>309</v>
      </c>
      <c r="B209" s="63" t="s">
        <v>310</v>
      </c>
      <c r="C209" s="36">
        <v>4301135854</v>
      </c>
      <c r="D209" s="289">
        <v>4620207491706</v>
      </c>
      <c r="E209" s="28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32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311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312</v>
      </c>
      <c r="B210" s="63" t="s">
        <v>313</v>
      </c>
      <c r="C210" s="36">
        <v>4301135895</v>
      </c>
      <c r="D210" s="289">
        <v>4620207491522</v>
      </c>
      <c r="E210" s="289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314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19" t="s">
        <v>315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hidden="1" customHeight="1" x14ac:dyDescent="0.25">
      <c r="A214" s="307" t="s">
        <v>80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hidden="1" customHeight="1" x14ac:dyDescent="0.25">
      <c r="A215" s="63" t="s">
        <v>316</v>
      </c>
      <c r="B215" s="63" t="s">
        <v>317</v>
      </c>
      <c r="C215" s="36">
        <v>4301071097</v>
      </c>
      <c r="D215" s="289">
        <v>4620207491096</v>
      </c>
      <c r="E215" s="289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318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7"/>
      <c r="P216" s="293" t="s">
        <v>40</v>
      </c>
      <c r="Q216" s="294"/>
      <c r="R216" s="294"/>
      <c r="S216" s="294"/>
      <c r="T216" s="294"/>
      <c r="U216" s="294"/>
      <c r="V216" s="295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19" t="s">
        <v>319</v>
      </c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65"/>
      <c r="AB218" s="65"/>
      <c r="AC218" s="82"/>
    </row>
    <row r="219" spans="1:68" ht="14.25" hidden="1" customHeight="1" x14ac:dyDescent="0.25">
      <c r="A219" s="307" t="s">
        <v>149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66"/>
      <c r="AB219" s="66"/>
      <c r="AC219" s="83"/>
    </row>
    <row r="220" spans="1:68" ht="27" hidden="1" customHeight="1" x14ac:dyDescent="0.25">
      <c r="A220" s="63" t="s">
        <v>320</v>
      </c>
      <c r="B220" s="63" t="s">
        <v>321</v>
      </c>
      <c r="C220" s="36">
        <v>4301135694</v>
      </c>
      <c r="D220" s="289">
        <v>4620207490501</v>
      </c>
      <c r="E220" s="289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322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7"/>
      <c r="P221" s="293" t="s">
        <v>40</v>
      </c>
      <c r="Q221" s="294"/>
      <c r="R221" s="294"/>
      <c r="S221" s="294"/>
      <c r="T221" s="294"/>
      <c r="U221" s="294"/>
      <c r="V221" s="29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18" t="s">
        <v>323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54"/>
      <c r="AB223" s="54"/>
      <c r="AC223" s="54"/>
    </row>
    <row r="224" spans="1:68" ht="16.5" hidden="1" customHeight="1" x14ac:dyDescent="0.25">
      <c r="A224" s="319" t="s">
        <v>324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65"/>
      <c r="AB224" s="65"/>
      <c r="AC224" s="82"/>
    </row>
    <row r="225" spans="1:68" ht="14.25" hidden="1" customHeight="1" x14ac:dyDescent="0.25">
      <c r="A225" s="307" t="s">
        <v>80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66"/>
      <c r="AB225" s="66"/>
      <c r="AC225" s="83"/>
    </row>
    <row r="226" spans="1:68" ht="27" hidden="1" customHeight="1" x14ac:dyDescent="0.25">
      <c r="A226" s="63" t="s">
        <v>325</v>
      </c>
      <c r="B226" s="63" t="s">
        <v>326</v>
      </c>
      <c r="C226" s="36">
        <v>4301071036</v>
      </c>
      <c r="D226" s="289">
        <v>4607111036162</v>
      </c>
      <c r="E226" s="289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3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1"/>
      <c r="R226" s="291"/>
      <c r="S226" s="291"/>
      <c r="T226" s="292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327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7"/>
      <c r="P227" s="293" t="s">
        <v>40</v>
      </c>
      <c r="Q227" s="294"/>
      <c r="R227" s="294"/>
      <c r="S227" s="294"/>
      <c r="T227" s="294"/>
      <c r="U227" s="294"/>
      <c r="V227" s="295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18" t="s">
        <v>328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54"/>
      <c r="AB229" s="54"/>
      <c r="AC229" s="54"/>
    </row>
    <row r="230" spans="1:68" ht="16.5" hidden="1" customHeight="1" x14ac:dyDescent="0.25">
      <c r="A230" s="319" t="s">
        <v>329</v>
      </c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65"/>
      <c r="AB230" s="65"/>
      <c r="AC230" s="82"/>
    </row>
    <row r="231" spans="1:68" ht="14.25" hidden="1" customHeight="1" x14ac:dyDescent="0.25">
      <c r="A231" s="307" t="s">
        <v>330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66"/>
      <c r="AB231" s="66"/>
      <c r="AC231" s="83"/>
    </row>
    <row r="232" spans="1:68" ht="27" hidden="1" customHeight="1" x14ac:dyDescent="0.25">
      <c r="A232" s="63" t="s">
        <v>331</v>
      </c>
      <c r="B232" s="63" t="s">
        <v>332</v>
      </c>
      <c r="C232" s="36">
        <v>4301133004</v>
      </c>
      <c r="D232" s="289">
        <v>4607111039774</v>
      </c>
      <c r="E232" s="289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1"/>
      <c r="R232" s="291"/>
      <c r="S232" s="291"/>
      <c r="T232" s="292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333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7"/>
      <c r="P233" s="293" t="s">
        <v>40</v>
      </c>
      <c r="Q233" s="294"/>
      <c r="R233" s="294"/>
      <c r="S233" s="294"/>
      <c r="T233" s="294"/>
      <c r="U233" s="294"/>
      <c r="V233" s="29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07" t="s">
        <v>149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66"/>
      <c r="AB235" s="66"/>
      <c r="AC235" s="83"/>
    </row>
    <row r="236" spans="1:68" ht="37.5" hidden="1" customHeight="1" x14ac:dyDescent="0.25">
      <c r="A236" s="63" t="s">
        <v>334</v>
      </c>
      <c r="B236" s="63" t="s">
        <v>335</v>
      </c>
      <c r="C236" s="36">
        <v>4301135400</v>
      </c>
      <c r="D236" s="289">
        <v>4607111039361</v>
      </c>
      <c r="E236" s="289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1"/>
      <c r="R236" s="291"/>
      <c r="S236" s="291"/>
      <c r="T236" s="29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333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7"/>
      <c r="P237" s="293" t="s">
        <v>40</v>
      </c>
      <c r="Q237" s="294"/>
      <c r="R237" s="294"/>
      <c r="S237" s="294"/>
      <c r="T237" s="294"/>
      <c r="U237" s="294"/>
      <c r="V237" s="29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18" t="s">
        <v>336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hidden="1" customHeight="1" x14ac:dyDescent="0.25">
      <c r="A240" s="319" t="s">
        <v>336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hidden="1" customHeight="1" x14ac:dyDescent="0.25">
      <c r="A241" s="307" t="s">
        <v>111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66"/>
      <c r="AB241" s="66"/>
      <c r="AC241" s="83"/>
    </row>
    <row r="242" spans="1:68" ht="27" hidden="1" customHeight="1" x14ac:dyDescent="0.25">
      <c r="A242" s="63" t="s">
        <v>337</v>
      </c>
      <c r="B242" s="63" t="s">
        <v>338</v>
      </c>
      <c r="C242" s="36">
        <v>4301132228</v>
      </c>
      <c r="D242" s="289">
        <v>4640242181950</v>
      </c>
      <c r="E242" s="289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1"/>
      <c r="R242" s="291"/>
      <c r="S242" s="291"/>
      <c r="T242" s="292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339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7"/>
      <c r="P243" s="293" t="s">
        <v>40</v>
      </c>
      <c r="Q243" s="294"/>
      <c r="R243" s="294"/>
      <c r="S243" s="294"/>
      <c r="T243" s="294"/>
      <c r="U243" s="294"/>
      <c r="V243" s="29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07" t="s">
        <v>143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66"/>
      <c r="AB245" s="66"/>
      <c r="AC245" s="83"/>
    </row>
    <row r="246" spans="1:68" ht="27" hidden="1" customHeight="1" x14ac:dyDescent="0.25">
      <c r="A246" s="63" t="s">
        <v>340</v>
      </c>
      <c r="B246" s="63" t="s">
        <v>341</v>
      </c>
      <c r="C246" s="36">
        <v>4301136098</v>
      </c>
      <c r="D246" s="289">
        <v>4640242181943</v>
      </c>
      <c r="E246" s="289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1"/>
      <c r="R246" s="291"/>
      <c r="S246" s="291"/>
      <c r="T246" s="29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342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7"/>
      <c r="P248" s="293" t="s">
        <v>40</v>
      </c>
      <c r="Q248" s="294"/>
      <c r="R248" s="294"/>
      <c r="S248" s="294"/>
      <c r="T248" s="294"/>
      <c r="U248" s="294"/>
      <c r="V248" s="29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18" t="s">
        <v>343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hidden="1" customHeight="1" x14ac:dyDescent="0.25">
      <c r="A250" s="319" t="s">
        <v>343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hidden="1" customHeight="1" x14ac:dyDescent="0.25">
      <c r="A251" s="307" t="s">
        <v>80</v>
      </c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66"/>
      <c r="AB251" s="66"/>
      <c r="AC251" s="83"/>
    </row>
    <row r="252" spans="1:68" ht="27" hidden="1" customHeight="1" x14ac:dyDescent="0.25">
      <c r="A252" s="63" t="s">
        <v>344</v>
      </c>
      <c r="B252" s="63" t="s">
        <v>345</v>
      </c>
      <c r="C252" s="36">
        <v>4301071014</v>
      </c>
      <c r="D252" s="289">
        <v>4640242181264</v>
      </c>
      <c r="E252" s="289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1"/>
      <c r="R252" s="291"/>
      <c r="S252" s="291"/>
      <c r="T252" s="29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347</v>
      </c>
      <c r="B253" s="63" t="s">
        <v>348</v>
      </c>
      <c r="C253" s="36">
        <v>4301071021</v>
      </c>
      <c r="D253" s="289">
        <v>4640242181325</v>
      </c>
      <c r="E253" s="28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117</v>
      </c>
      <c r="M253" s="38" t="s">
        <v>84</v>
      </c>
      <c r="N253" s="38"/>
      <c r="O253" s="37">
        <v>180</v>
      </c>
      <c r="P253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346</v>
      </c>
      <c r="AG253" s="81"/>
      <c r="AJ253" s="87" t="s">
        <v>118</v>
      </c>
      <c r="AK253" s="87">
        <v>12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7"/>
      <c r="P254" s="293" t="s">
        <v>40</v>
      </c>
      <c r="Q254" s="294"/>
      <c r="R254" s="294"/>
      <c r="S254" s="294"/>
      <c r="T254" s="294"/>
      <c r="U254" s="294"/>
      <c r="V254" s="295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07" t="s">
        <v>111</v>
      </c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66"/>
      <c r="AB256" s="66"/>
      <c r="AC256" s="83"/>
    </row>
    <row r="257" spans="1:68" ht="27" customHeight="1" x14ac:dyDescent="0.25">
      <c r="A257" s="63" t="s">
        <v>349</v>
      </c>
      <c r="B257" s="63" t="s">
        <v>350</v>
      </c>
      <c r="C257" s="36">
        <v>4301132080</v>
      </c>
      <c r="D257" s="289">
        <v>4640242180397</v>
      </c>
      <c r="E257" s="289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72</v>
      </c>
      <c r="Y257" s="55">
        <f>IFERROR(IF(X257="","",X257),"")</f>
        <v>72</v>
      </c>
      <c r="Z257" s="41">
        <f>IFERROR(IF(X257="","",X257*0.0155),"")</f>
        <v>1.1160000000000001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450.71999999999997</v>
      </c>
      <c r="BN257" s="81">
        <f>IFERROR(Y257*I257,"0")</f>
        <v>450.71999999999997</v>
      </c>
      <c r="BO257" s="81">
        <f>IFERROR(X257/J257,"0")</f>
        <v>0.8571428571428571</v>
      </c>
      <c r="BP257" s="81">
        <f>IFERROR(Y257/J257,"0")</f>
        <v>0.8571428571428571</v>
      </c>
    </row>
    <row r="258" spans="1:68" x14ac:dyDescent="0.2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7"/>
      <c r="P258" s="293" t="s">
        <v>40</v>
      </c>
      <c r="Q258" s="294"/>
      <c r="R258" s="294"/>
      <c r="S258" s="294"/>
      <c r="T258" s="294"/>
      <c r="U258" s="294"/>
      <c r="V258" s="295"/>
      <c r="W258" s="42" t="s">
        <v>39</v>
      </c>
      <c r="X258" s="43">
        <f>IFERROR(SUM(X257:X257),"0")</f>
        <v>72</v>
      </c>
      <c r="Y258" s="43">
        <f>IFERROR(SUM(Y257:Y257),"0")</f>
        <v>72</v>
      </c>
      <c r="Z258" s="43">
        <f>IFERROR(IF(Z257="",0,Z257),"0")</f>
        <v>1.1160000000000001</v>
      </c>
      <c r="AA258" s="67"/>
      <c r="AB258" s="67"/>
      <c r="AC258" s="67"/>
    </row>
    <row r="259" spans="1:68" x14ac:dyDescent="0.2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7"/>
      <c r="P259" s="293" t="s">
        <v>40</v>
      </c>
      <c r="Q259" s="294"/>
      <c r="R259" s="294"/>
      <c r="S259" s="294"/>
      <c r="T259" s="294"/>
      <c r="U259" s="294"/>
      <c r="V259" s="295"/>
      <c r="W259" s="42" t="s">
        <v>0</v>
      </c>
      <c r="X259" s="43">
        <f>IFERROR(SUMPRODUCT(X257:X257*H257:H257),"0")</f>
        <v>432</v>
      </c>
      <c r="Y259" s="43">
        <f>IFERROR(SUMPRODUCT(Y257:Y257*H257:H257),"0")</f>
        <v>432</v>
      </c>
      <c r="Z259" s="42"/>
      <c r="AA259" s="67"/>
      <c r="AB259" s="67"/>
      <c r="AC259" s="67"/>
    </row>
    <row r="260" spans="1:68" ht="14.25" hidden="1" customHeight="1" x14ac:dyDescent="0.25">
      <c r="A260" s="307" t="s">
        <v>143</v>
      </c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66"/>
      <c r="AB260" s="66"/>
      <c r="AC260" s="83"/>
    </row>
    <row r="261" spans="1:68" ht="27" hidden="1" customHeight="1" x14ac:dyDescent="0.25">
      <c r="A261" s="63" t="s">
        <v>352</v>
      </c>
      <c r="B261" s="63" t="s">
        <v>353</v>
      </c>
      <c r="C261" s="36">
        <v>4301136051</v>
      </c>
      <c r="D261" s="289">
        <v>4640242180304</v>
      </c>
      <c r="E261" s="28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354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355</v>
      </c>
      <c r="B262" s="63" t="s">
        <v>356</v>
      </c>
      <c r="C262" s="36">
        <v>4301136053</v>
      </c>
      <c r="D262" s="289">
        <v>4640242180236</v>
      </c>
      <c r="E262" s="28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354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357</v>
      </c>
      <c r="B263" s="63" t="s">
        <v>358</v>
      </c>
      <c r="C263" s="36">
        <v>4301136052</v>
      </c>
      <c r="D263" s="289">
        <v>4640242180410</v>
      </c>
      <c r="E263" s="28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354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7"/>
      <c r="P264" s="293" t="s">
        <v>40</v>
      </c>
      <c r="Q264" s="294"/>
      <c r="R264" s="294"/>
      <c r="S264" s="294"/>
      <c r="T264" s="294"/>
      <c r="U264" s="294"/>
      <c r="V264" s="295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7"/>
      <c r="P265" s="293" t="s">
        <v>40</v>
      </c>
      <c r="Q265" s="294"/>
      <c r="R265" s="294"/>
      <c r="S265" s="294"/>
      <c r="T265" s="294"/>
      <c r="U265" s="294"/>
      <c r="V265" s="295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07" t="s">
        <v>149</v>
      </c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66"/>
      <c r="AB266" s="66"/>
      <c r="AC266" s="83"/>
    </row>
    <row r="267" spans="1:68" ht="37.5" hidden="1" customHeight="1" x14ac:dyDescent="0.25">
      <c r="A267" s="63" t="s">
        <v>359</v>
      </c>
      <c r="B267" s="63" t="s">
        <v>360</v>
      </c>
      <c r="C267" s="36">
        <v>4301135504</v>
      </c>
      <c r="D267" s="289">
        <v>4640242181554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361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hidden="1" customHeight="1" x14ac:dyDescent="0.25">
      <c r="A268" s="63" t="s">
        <v>362</v>
      </c>
      <c r="B268" s="63" t="s">
        <v>363</v>
      </c>
      <c r="C268" s="36">
        <v>4301135873</v>
      </c>
      <c r="D268" s="289">
        <v>4640242182087</v>
      </c>
      <c r="E268" s="289"/>
      <c r="F268" s="62">
        <v>5</v>
      </c>
      <c r="G268" s="37">
        <v>1</v>
      </c>
      <c r="H268" s="62">
        <v>5</v>
      </c>
      <c r="I268" s="62">
        <v>5.23</v>
      </c>
      <c r="J268" s="37">
        <v>84</v>
      </c>
      <c r="K268" s="37" t="s">
        <v>85</v>
      </c>
      <c r="L268" s="37" t="s">
        <v>86</v>
      </c>
      <c r="M268" s="38" t="s">
        <v>84</v>
      </c>
      <c r="N268" s="38"/>
      <c r="O268" s="37">
        <v>180</v>
      </c>
      <c r="P268" s="30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4301135374</v>
      </c>
      <c r="D269" s="289">
        <v>4640242181424</v>
      </c>
      <c r="E269" s="289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361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367</v>
      </c>
      <c r="B270" s="63" t="s">
        <v>368</v>
      </c>
      <c r="C270" s="36">
        <v>4301135405</v>
      </c>
      <c r="D270" s="289">
        <v>4640242181523</v>
      </c>
      <c r="E270" s="289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5" si="23">IFERROR(IF(X270="","",X270*0.00936),"")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369</v>
      </c>
      <c r="B271" s="63" t="s">
        <v>370</v>
      </c>
      <c r="C271" s="36">
        <v>4301135375</v>
      </c>
      <c r="D271" s="289">
        <v>4640242181486</v>
      </c>
      <c r="E271" s="289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361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371</v>
      </c>
      <c r="B272" s="63" t="s">
        <v>372</v>
      </c>
      <c r="C272" s="36">
        <v>4301135402</v>
      </c>
      <c r="D272" s="289">
        <v>4640242181493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361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373</v>
      </c>
      <c r="B273" s="63" t="s">
        <v>374</v>
      </c>
      <c r="C273" s="36">
        <v>4301135403</v>
      </c>
      <c r="D273" s="289">
        <v>4640242181509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361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375</v>
      </c>
      <c r="B274" s="63" t="s">
        <v>376</v>
      </c>
      <c r="C274" s="36">
        <v>4301135304</v>
      </c>
      <c r="D274" s="289">
        <v>4640242181240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361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377</v>
      </c>
      <c r="B275" s="63" t="s">
        <v>378</v>
      </c>
      <c r="C275" s="36">
        <v>4301135610</v>
      </c>
      <c r="D275" s="289">
        <v>4640242181318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379</v>
      </c>
      <c r="B276" s="63" t="s">
        <v>380</v>
      </c>
      <c r="C276" s="36">
        <v>4301135306</v>
      </c>
      <c r="D276" s="289">
        <v>4640242181387</v>
      </c>
      <c r="E276" s="289"/>
      <c r="F276" s="62">
        <v>0.3</v>
      </c>
      <c r="G276" s="37">
        <v>9</v>
      </c>
      <c r="H276" s="62">
        <v>2.7</v>
      </c>
      <c r="I276" s="62">
        <v>2.8450000000000002</v>
      </c>
      <c r="J276" s="37">
        <v>234</v>
      </c>
      <c r="K276" s="37" t="s">
        <v>161</v>
      </c>
      <c r="L276" s="37" t="s">
        <v>117</v>
      </c>
      <c r="M276" s="38" t="s">
        <v>84</v>
      </c>
      <c r="N276" s="38"/>
      <c r="O276" s="37">
        <v>180</v>
      </c>
      <c r="P276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IFERROR(IF(X276="","",X276*0.00502),"")</f>
        <v>0</v>
      </c>
      <c r="AA276" s="68" t="s">
        <v>46</v>
      </c>
      <c r="AB276" s="69" t="s">
        <v>46</v>
      </c>
      <c r="AC276" s="283" t="s">
        <v>361</v>
      </c>
      <c r="AG276" s="81"/>
      <c r="AJ276" s="87" t="s">
        <v>118</v>
      </c>
      <c r="AK276" s="87">
        <v>18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7"/>
      <c r="P277" s="293" t="s">
        <v>40</v>
      </c>
      <c r="Q277" s="294"/>
      <c r="R277" s="294"/>
      <c r="S277" s="294"/>
      <c r="T277" s="294"/>
      <c r="U277" s="294"/>
      <c r="V277" s="295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7"/>
      <c r="P278" s="293" t="s">
        <v>40</v>
      </c>
      <c r="Q278" s="294"/>
      <c r="R278" s="294"/>
      <c r="S278" s="294"/>
      <c r="T278" s="294"/>
      <c r="U278" s="294"/>
      <c r="V278" s="295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33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IFERROR(X31+X37+X44+X50+X58+X63+X68+X74+X80+X85+X91+X101+X107+X118+X122+X126+X134+X140+X146+X152+X158+X163+X168+X173+X180+X185+X194+X200+X206+X212+X217+X222+X228+X234+X238+X244+X248+X255+X259+X265+X278,"0")</f>
        <v>6962.9999999999991</v>
      </c>
      <c r="Y279" s="43">
        <f>IFERROR(Y31+Y37+Y44+Y50+Y58+Y63+Y68+Y74+Y80+Y85+Y91+Y101+Y107+Y118+Y122+Y126+Y134+Y140+Y146+Y152+Y158+Y163+Y168+Y173+Y180+Y185+Y194+Y200+Y206+Y212+Y217+Y222+Y228+Y234+Y238+Y244+Y248+Y255+Y259+Y265+Y278,"0")</f>
        <v>6962.9999999999991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34</v>
      </c>
      <c r="Q280" s="299"/>
      <c r="R280" s="299"/>
      <c r="S280" s="299"/>
      <c r="T280" s="299"/>
      <c r="U280" s="299"/>
      <c r="V280" s="300"/>
      <c r="W280" s="42" t="s">
        <v>0</v>
      </c>
      <c r="X280" s="43">
        <f>IFERROR(SUM(BM22:BM276),"0")</f>
        <v>8326.9012000000002</v>
      </c>
      <c r="Y280" s="43">
        <f>IFERROR(SUM(BN22:BN276),"0")</f>
        <v>8326.9012000000002</v>
      </c>
      <c r="Z280" s="42"/>
      <c r="AA280" s="67"/>
      <c r="AB280" s="67"/>
      <c r="AC280" s="67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35</v>
      </c>
      <c r="Q281" s="299"/>
      <c r="R281" s="299"/>
      <c r="S281" s="299"/>
      <c r="T281" s="299"/>
      <c r="U281" s="299"/>
      <c r="V281" s="300"/>
      <c r="W281" s="42" t="s">
        <v>20</v>
      </c>
      <c r="X281" s="44">
        <f>ROUNDUP(SUM(BO22:BO276),0)</f>
        <v>29</v>
      </c>
      <c r="Y281" s="44">
        <f>ROUNDUP(SUM(BP22:BP276),0)</f>
        <v>29</v>
      </c>
      <c r="Z281" s="42"/>
      <c r="AA281" s="67"/>
      <c r="AB281" s="67"/>
      <c r="AC281" s="67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1"/>
      <c r="P282" s="298" t="s">
        <v>36</v>
      </c>
      <c r="Q282" s="299"/>
      <c r="R282" s="299"/>
      <c r="S282" s="299"/>
      <c r="T282" s="299"/>
      <c r="U282" s="299"/>
      <c r="V282" s="300"/>
      <c r="W282" s="42" t="s">
        <v>0</v>
      </c>
      <c r="X282" s="43">
        <f>GrossWeightTotal+PalletQtyTotal*25</f>
        <v>9051.9012000000002</v>
      </c>
      <c r="Y282" s="43">
        <f>GrossWeightTotalR+PalletQtyTotalR*25</f>
        <v>9051.9012000000002</v>
      </c>
      <c r="Z282" s="42"/>
      <c r="AA282" s="67"/>
      <c r="AB282" s="67"/>
      <c r="AC282" s="67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01"/>
      <c r="P283" s="298" t="s">
        <v>37</v>
      </c>
      <c r="Q283" s="299"/>
      <c r="R283" s="299"/>
      <c r="S283" s="299"/>
      <c r="T283" s="299"/>
      <c r="U283" s="299"/>
      <c r="V283" s="300"/>
      <c r="W283" s="42" t="s">
        <v>20</v>
      </c>
      <c r="X283" s="43">
        <f>IFERROR(X30+X36+X43+X49+X57+X62+X67+X73+X79+X84+X90+X100+X106+X117+X121+X125+X133+X139+X145+X151+X157+X162+X167+X172+X179+X184+X193+X199+X205+X211+X216+X221+X227+X233+X237+X243+X247+X254+X258+X264+X277,"0")</f>
        <v>2542</v>
      </c>
      <c r="Y283" s="43">
        <f>IFERROR(Y30+Y36+Y43+Y49+Y57+Y62+Y67+Y73+Y79+Y84+Y90+Y100+Y106+Y117+Y121+Y125+Y133+Y139+Y145+Y151+Y157+Y162+Y167+Y172+Y179+Y184+Y193+Y199+Y205+Y211+Y216+Y221+Y227+Y233+Y237+Y243+Y247+Y254+Y258+Y264+Y277,"0")</f>
        <v>2542</v>
      </c>
      <c r="Z283" s="42"/>
      <c r="AA283" s="67"/>
      <c r="AB283" s="67"/>
      <c r="AC283" s="67"/>
    </row>
    <row r="284" spans="1:68" ht="14.25" hidden="1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01"/>
      <c r="P284" s="298" t="s">
        <v>38</v>
      </c>
      <c r="Q284" s="299"/>
      <c r="R284" s="299"/>
      <c r="S284" s="299"/>
      <c r="T284" s="299"/>
      <c r="U284" s="299"/>
      <c r="V284" s="300"/>
      <c r="W284" s="45" t="s">
        <v>52</v>
      </c>
      <c r="X284" s="42"/>
      <c r="Y284" s="42"/>
      <c r="Z284" s="42">
        <f>IFERROR(Z30+Z36+Z43+Z49+Z57+Z62+Z67+Z73+Z79+Z84+Z90+Z100+Z106+Z117+Z121+Z125+Z133+Z139+Z145+Z151+Z157+Z162+Z167+Z172+Z179+Z184+Z193+Z199+Z205+Z211+Z216+Z221+Z227+Z233+Z237+Z243+Z247+Z254+Z258+Z264+Z277,"0")</f>
        <v>36.78342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269</v>
      </c>
      <c r="W286" s="285" t="s">
        <v>269</v>
      </c>
      <c r="X286" s="88" t="s">
        <v>280</v>
      </c>
      <c r="Y286" s="285" t="s">
        <v>294</v>
      </c>
      <c r="Z286" s="285" t="s">
        <v>294</v>
      </c>
      <c r="AA286" s="285" t="s">
        <v>294</v>
      </c>
      <c r="AB286" s="285" t="s">
        <v>294</v>
      </c>
      <c r="AC286" s="88" t="s">
        <v>323</v>
      </c>
      <c r="AD286" s="88" t="s">
        <v>328</v>
      </c>
      <c r="AE286" s="88" t="s">
        <v>336</v>
      </c>
      <c r="AF286" s="88" t="s">
        <v>343</v>
      </c>
    </row>
    <row r="287" spans="1:68" ht="14.25" customHeight="1" thickTop="1" x14ac:dyDescent="0.2">
      <c r="A287" s="287" t="s">
        <v>10</v>
      </c>
      <c r="B287" s="285" t="s">
        <v>79</v>
      </c>
      <c r="C287" s="285" t="s">
        <v>104</v>
      </c>
      <c r="D287" s="285" t="s">
        <v>110</v>
      </c>
      <c r="E287" s="285" t="s">
        <v>121</v>
      </c>
      <c r="F287" s="285" t="s">
        <v>128</v>
      </c>
      <c r="G287" s="285" t="s">
        <v>139</v>
      </c>
      <c r="H287" s="285" t="s">
        <v>157</v>
      </c>
      <c r="I287" s="285" t="s">
        <v>164</v>
      </c>
      <c r="J287" s="285" t="s">
        <v>168</v>
      </c>
      <c r="K287" s="285" t="s">
        <v>176</v>
      </c>
      <c r="L287" s="285" t="s">
        <v>191</v>
      </c>
      <c r="M287" s="285" t="s">
        <v>197</v>
      </c>
      <c r="N287" s="1"/>
      <c r="O287" s="285" t="s">
        <v>222</v>
      </c>
      <c r="P287" s="285" t="s">
        <v>240</v>
      </c>
      <c r="Q287" s="285" t="s">
        <v>246</v>
      </c>
      <c r="R287" s="285" t="s">
        <v>253</v>
      </c>
      <c r="S287" s="285" t="s">
        <v>258</v>
      </c>
      <c r="T287" s="285" t="s">
        <v>262</v>
      </c>
      <c r="U287" s="285" t="s">
        <v>265</v>
      </c>
      <c r="V287" s="285" t="s">
        <v>270</v>
      </c>
      <c r="W287" s="285" t="s">
        <v>277</v>
      </c>
      <c r="X287" s="285" t="s">
        <v>281</v>
      </c>
      <c r="Y287" s="285" t="s">
        <v>295</v>
      </c>
      <c r="Z287" s="285" t="s">
        <v>308</v>
      </c>
      <c r="AA287" s="285" t="s">
        <v>315</v>
      </c>
      <c r="AB287" s="285" t="s">
        <v>319</v>
      </c>
      <c r="AC287" s="285" t="s">
        <v>324</v>
      </c>
      <c r="AD287" s="285" t="s">
        <v>329</v>
      </c>
      <c r="AE287" s="285" t="s">
        <v>336</v>
      </c>
      <c r="AF287" s="285" t="s">
        <v>343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273</v>
      </c>
      <c r="E289" s="52">
        <f>IFERROR(X47*H47,"0")+IFERROR(X48*H48,"0")</f>
        <v>0</v>
      </c>
      <c r="F289" s="52">
        <f>IFERROR(X53*H53,"0")+IFERROR(X54*H54,"0")+IFERROR(X55*H55,"0")+IFERROR(X56*H56,"0")</f>
        <v>504</v>
      </c>
      <c r="G289" s="52">
        <f>IFERROR(X61*H61,"0")+IFERROR(X65*H65,"0")+IFERROR(X66*H66,"0")+IFERROR(X70*H70,"0")+IFERROR(X71*H71,"0")+IFERROR(X72*H72,"0")</f>
        <v>369.6</v>
      </c>
      <c r="H289" s="52">
        <f>IFERROR(X77*H77,"0")+IFERROR(X78*H78,"0")</f>
        <v>0</v>
      </c>
      <c r="I289" s="52">
        <f>IFERROR(X83*H83,"0")</f>
        <v>100.8</v>
      </c>
      <c r="J289" s="52">
        <f>IFERROR(X88*H88,"0")+IFERROR(X89*H89,"0")</f>
        <v>1411.2</v>
      </c>
      <c r="K289" s="52">
        <f>IFERROR(X94*H94,"0")+IFERROR(X95*H95,"0")+IFERROR(X96*H96,"0")+IFERROR(X97*H97,"0")+IFERROR(X98*H98,"0")+IFERROR(X99*H99,"0")</f>
        <v>1290.24</v>
      </c>
      <c r="L289" s="52">
        <f>IFERROR(X104*H104,"0")+IFERROR(X105*H105,"0")</f>
        <v>0</v>
      </c>
      <c r="M289" s="52">
        <f>IFERROR(X110*H110,"0")+IFERROR(X111*H111,"0")+IFERROR(X112*H112,"0")+IFERROR(X113*H113,"0")+IFERROR(X114*H114,"0")+IFERROR(X115*H115,"0")+IFERROR(X116*H116,"0")+IFERROR(X120*H120,"0")+IFERROR(X124*H124,"0")</f>
        <v>420</v>
      </c>
      <c r="N289" s="1"/>
      <c r="O289" s="52">
        <f>IFERROR(X129*H129,"0")+IFERROR(X130*H130,"0")+IFERROR(X131*H131,"0")+IFERROR(X132*H132,"0")+IFERROR(X136*H136,"0")+IFERROR(X137*H137,"0")+IFERROR(X138*H138,"0")</f>
        <v>302.39999999999998</v>
      </c>
      <c r="P289" s="52">
        <f>IFERROR(X143*H143,"0")+IFERROR(X144*H144,"0")</f>
        <v>546</v>
      </c>
      <c r="Q289" s="52">
        <f>IFERROR(X149*H149,"0")+IFERROR(X150*H150,"0")</f>
        <v>378</v>
      </c>
      <c r="R289" s="52">
        <f>IFERROR(X155*H155,"0")+IFERROR(X156*H156,"0")</f>
        <v>302.39999999999998</v>
      </c>
      <c r="S289" s="52">
        <f>IFERROR(X161*H161,"0")</f>
        <v>210</v>
      </c>
      <c r="T289" s="52">
        <f>IFERROR(X166*H166,"0")</f>
        <v>0</v>
      </c>
      <c r="U289" s="52">
        <f>IFERROR(X171*H171,"0")</f>
        <v>423.35999999999996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432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924</v>
      </c>
      <c r="B292" s="72">
        <f>SUMPRODUCT(--(BB:BB="ПГП"),--(W:W="кор"),H:H,Y:Y)+SUMPRODUCT(--(BB:BB="ПГП"),--(W:W="кг"),Y:Y)</f>
        <v>6038.9999999999991</v>
      </c>
      <c r="C292" s="72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1,20"/>
        <filter val="1 612,80"/>
        <filter val="10 376,66"/>
        <filter val="100,80"/>
        <filter val="140,00"/>
        <filter val="196,00"/>
        <filter val="2 988,00"/>
        <filter val="210,00"/>
        <filter val="224,00"/>
        <filter val="238,00"/>
        <filter val="28,00"/>
        <filter val="280,00"/>
        <filter val="336,00"/>
        <filter val="34"/>
        <filter val="378,00"/>
        <filter val="392,00"/>
        <filter val="420,00"/>
        <filter val="432,00"/>
        <filter val="470,40"/>
        <filter val="504,00"/>
        <filter val="560,00"/>
        <filter val="588,00"/>
        <filter val="60,00"/>
        <filter val="7 933,20"/>
        <filter val="70,00"/>
        <filter val="714,00"/>
        <filter val="72,00"/>
        <filter val="84,00"/>
        <filter val="9 526,66"/>
        <filter val="98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 X268 X263 X252 X246 X242 X236 X232 X226 X220 X209:X210 X202 X192 X183 X177 X171 X155 X149 X136:X138 X129:X132 X124 X120 X114 X111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6 X269:X272 X267 X261:X262 X257 X253 X215 X203:X204 X198 X189:X191 X178 X166 X161 X156 X150 X143:X144 X115:X116 X112:X113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384</v>
      </c>
      <c r="C6" s="53" t="s">
        <v>385</v>
      </c>
      <c r="D6" s="53" t="s">
        <v>386</v>
      </c>
      <c r="E6" s="53" t="s">
        <v>46</v>
      </c>
    </row>
    <row r="7" spans="2:8" x14ac:dyDescent="0.2">
      <c r="B7" s="53" t="s">
        <v>387</v>
      </c>
      <c r="C7" s="53" t="s">
        <v>388</v>
      </c>
      <c r="D7" s="53" t="s">
        <v>389</v>
      </c>
      <c r="E7" s="53" t="s">
        <v>46</v>
      </c>
    </row>
    <row r="8" spans="2:8" x14ac:dyDescent="0.2">
      <c r="B8" s="53" t="s">
        <v>390</v>
      </c>
      <c r="C8" s="53" t="s">
        <v>391</v>
      </c>
      <c r="D8" s="53" t="s">
        <v>392</v>
      </c>
      <c r="E8" s="53" t="s">
        <v>46</v>
      </c>
    </row>
    <row r="9" spans="2:8" x14ac:dyDescent="0.2">
      <c r="B9" s="53" t="s">
        <v>393</v>
      </c>
      <c r="C9" s="53" t="s">
        <v>394</v>
      </c>
      <c r="D9" s="53" t="s">
        <v>395</v>
      </c>
      <c r="E9" s="53" t="s">
        <v>46</v>
      </c>
    </row>
    <row r="10" spans="2:8" x14ac:dyDescent="0.2">
      <c r="B10" s="53" t="s">
        <v>396</v>
      </c>
      <c r="C10" s="53" t="s">
        <v>397</v>
      </c>
      <c r="D10" s="53" t="s">
        <v>398</v>
      </c>
      <c r="E10" s="53" t="s">
        <v>46</v>
      </c>
    </row>
    <row r="12" spans="2:8" x14ac:dyDescent="0.2">
      <c r="B12" s="53" t="s">
        <v>399</v>
      </c>
      <c r="C12" s="53" t="s">
        <v>385</v>
      </c>
      <c r="D12" s="53" t="s">
        <v>46</v>
      </c>
      <c r="E12" s="53" t="s">
        <v>46</v>
      </c>
    </row>
    <row r="14" spans="2:8" x14ac:dyDescent="0.2">
      <c r="B14" s="53" t="s">
        <v>400</v>
      </c>
      <c r="C14" s="53" t="s">
        <v>388</v>
      </c>
      <c r="D14" s="53" t="s">
        <v>46</v>
      </c>
      <c r="E14" s="53" t="s">
        <v>46</v>
      </c>
    </row>
    <row r="16" spans="2:8" x14ac:dyDescent="0.2">
      <c r="B16" s="53" t="s">
        <v>401</v>
      </c>
      <c r="C16" s="53" t="s">
        <v>391</v>
      </c>
      <c r="D16" s="53" t="s">
        <v>46</v>
      </c>
      <c r="E16" s="53" t="s">
        <v>46</v>
      </c>
    </row>
    <row r="18" spans="2:5" x14ac:dyDescent="0.2">
      <c r="B18" s="53" t="s">
        <v>402</v>
      </c>
      <c r="C18" s="53" t="s">
        <v>394</v>
      </c>
      <c r="D18" s="53" t="s">
        <v>46</v>
      </c>
      <c r="E18" s="53" t="s">
        <v>46</v>
      </c>
    </row>
    <row r="20" spans="2:5" x14ac:dyDescent="0.2">
      <c r="B20" s="53" t="s">
        <v>403</v>
      </c>
      <c r="C20" s="53" t="s">
        <v>397</v>
      </c>
      <c r="D20" s="53" t="s">
        <v>46</v>
      </c>
      <c r="E20" s="53" t="s">
        <v>46</v>
      </c>
    </row>
    <row r="22" spans="2:5" x14ac:dyDescent="0.2">
      <c r="B22" s="53" t="s">
        <v>404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409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414</v>
      </c>
      <c r="C32" s="53" t="s">
        <v>46</v>
      </c>
      <c r="D32" s="53" t="s">
        <v>46</v>
      </c>
      <c r="E32" s="53" t="s">
        <v>46</v>
      </c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