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FA3B1D8-5D91-41F0-9C79-C1C395AF1D3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N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N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P293" i="2"/>
  <c r="BO293" i="2"/>
  <c r="BN293" i="2"/>
  <c r="BM293" i="2"/>
  <c r="Z293" i="2"/>
  <c r="Y293" i="2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Z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P55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P29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N48" i="2" l="1"/>
  <c r="BN59" i="2"/>
  <c r="BN165" i="2"/>
  <c r="BN190" i="2"/>
  <c r="BN230" i="2"/>
  <c r="BN333" i="2"/>
  <c r="BN344" i="2"/>
  <c r="BN396" i="2"/>
  <c r="BN482" i="2"/>
  <c r="BN504" i="2"/>
  <c r="BN524" i="2"/>
  <c r="BP120" i="2"/>
  <c r="BN153" i="2"/>
  <c r="Z183" i="2"/>
  <c r="BN185" i="2"/>
  <c r="BN240" i="2"/>
  <c r="Z284" i="2"/>
  <c r="BN363" i="2"/>
  <c r="Z374" i="2"/>
  <c r="Y398" i="2"/>
  <c r="BN514" i="2"/>
  <c r="Y253" i="2"/>
  <c r="Z124" i="2"/>
  <c r="Z125" i="2" s="1"/>
  <c r="Z149" i="2"/>
  <c r="BP152" i="2"/>
  <c r="BP283" i="2"/>
  <c r="Z328" i="2"/>
  <c r="Z355" i="2"/>
  <c r="BP356" i="2"/>
  <c r="Y368" i="2"/>
  <c r="Z375" i="2"/>
  <c r="Z406" i="2"/>
  <c r="Y489" i="2"/>
  <c r="BP124" i="2"/>
  <c r="BN41" i="2"/>
  <c r="Y121" i="2"/>
  <c r="Z152" i="2"/>
  <c r="BP222" i="2"/>
  <c r="BN225" i="2"/>
  <c r="Z230" i="2"/>
  <c r="Z283" i="2"/>
  <c r="BN289" i="2"/>
  <c r="BN299" i="2"/>
  <c r="Z318" i="2"/>
  <c r="Z356" i="2"/>
  <c r="Z363" i="2"/>
  <c r="Y397" i="2"/>
  <c r="Z407" i="2"/>
  <c r="BP439" i="2"/>
  <c r="BN450" i="2"/>
  <c r="Z461" i="2"/>
  <c r="Z462" i="2" s="1"/>
  <c r="Z466" i="2"/>
  <c r="BN23" i="2"/>
  <c r="BN74" i="2"/>
  <c r="BN93" i="2"/>
  <c r="BP100" i="2"/>
  <c r="BN131" i="2"/>
  <c r="Z159" i="2"/>
  <c r="Z160" i="2" s="1"/>
  <c r="Y160" i="2"/>
  <c r="BN195" i="2"/>
  <c r="Y296" i="2"/>
  <c r="BN304" i="2"/>
  <c r="Z372" i="2"/>
  <c r="Z393" i="2"/>
  <c r="BP393" i="2"/>
  <c r="Z428" i="2"/>
  <c r="Z439" i="2"/>
  <c r="Y463" i="2"/>
  <c r="BN520" i="2"/>
  <c r="Z434" i="2"/>
  <c r="BP434" i="2"/>
  <c r="Z440" i="2"/>
  <c r="BN175" i="2"/>
  <c r="BN273" i="2"/>
  <c r="Y122" i="2"/>
  <c r="Z433" i="2"/>
  <c r="BP433" i="2"/>
  <c r="BN136" i="2"/>
  <c r="BN113" i="2"/>
  <c r="BP66" i="2"/>
  <c r="Z431" i="2"/>
  <c r="BN287" i="2"/>
  <c r="BN444" i="2"/>
  <c r="Y452" i="2"/>
  <c r="Z519" i="2"/>
  <c r="BP519" i="2"/>
  <c r="BN492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5" i="2" s="1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68" i="2" s="1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384" i="2" l="1"/>
  <c r="Z548" i="2"/>
  <c r="Z320" i="2"/>
  <c r="Z132" i="2"/>
  <c r="Z367" i="2"/>
  <c r="Z290" i="2"/>
  <c r="Z88" i="2"/>
  <c r="Z441" i="2"/>
  <c r="Z447" i="2"/>
  <c r="Z377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<sst xmlns="http://schemas.openxmlformats.org/spreadsheetml/2006/main" count="4245" uniqueCount="901">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</sst>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46254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400</v>
      </c>
      <c r="Y57" s="55">
        <f t="shared" si="0"/>
        <v>410.40000000000003</v>
      </c>
      <c r="Z57" s="41">
        <f>IFERROR(IF(Y57=0,"",ROUNDUP(Y57/H57,0)*0.01898),"")</f>
        <v>0.72123999999999999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415.18518518518516</v>
      </c>
      <c r="BN57" s="78">
        <f t="shared" si="2"/>
        <v>425.98</v>
      </c>
      <c r="BO57" s="78">
        <f t="shared" si="3"/>
        <v>0.57870370370370372</v>
      </c>
      <c r="BP57" s="78">
        <f t="shared" si="4"/>
        <v>0.59375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80</v>
      </c>
      <c r="Y62" s="55">
        <f t="shared" si="0"/>
        <v>81</v>
      </c>
      <c r="Z62" s="41">
        <f>IFERROR(IF(Y62=0,"",ROUNDUP(Y62/H62,0)*0.00902),"")</f>
        <v>0.16236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83.377777777777794</v>
      </c>
      <c r="BN62" s="78">
        <f t="shared" si="2"/>
        <v>84.420000000000016</v>
      </c>
      <c r="BO62" s="78">
        <f t="shared" si="3"/>
        <v>0.13468013468013468</v>
      </c>
      <c r="BP62" s="78">
        <f t="shared" si="4"/>
        <v>0.13636363636363635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54.814814814814817</v>
      </c>
      <c r="Y63" s="43">
        <f>IFERROR(Y55/H55,"0")+IFERROR(Y56/H56,"0")+IFERROR(Y57/H57,"0")+IFERROR(Y58/H58,"0")+IFERROR(Y59/H59,"0")+IFERROR(Y60/H60,"0")+IFERROR(Y61/H61,"0")+IFERROR(Y62/H62,"0")</f>
        <v>56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0.88359999999999994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480</v>
      </c>
      <c r="Y64" s="43">
        <f>IFERROR(SUM(Y55:Y62),"0")</f>
        <v>491.40000000000003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600</v>
      </c>
      <c r="Y66" s="55">
        <f>IFERROR(IF(X66="",0,CEILING((X66/$H66),1)*$H66),"")</f>
        <v>604.80000000000007</v>
      </c>
      <c r="Z66" s="41">
        <f>IFERROR(IF(Y66=0,"",ROUNDUP(Y66/H66,0)*0.01898),"")</f>
        <v>1.06288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622.77777777777783</v>
      </c>
      <c r="BN66" s="78">
        <f>IFERROR(Y66*I66/H66,"0")</f>
        <v>627.76</v>
      </c>
      <c r="BO66" s="78">
        <f>IFERROR(1/J66*(X66/H66),"0")</f>
        <v>0.86805555555555547</v>
      </c>
      <c r="BP66" s="78">
        <f>IFERROR(1/J66*(Y66/H66),"0")</f>
        <v>0.875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54</v>
      </c>
      <c r="Y69" s="55">
        <f>IFERROR(IF(X69="",0,CEILING((X69/$H69),1)*$H69),"")</f>
        <v>54</v>
      </c>
      <c r="Z69" s="41">
        <f>IFERROR(IF(Y69=0,"",ROUNDUP(Y69/H69,0)*0.00651),"")</f>
        <v>0.13020000000000001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57.599999999999987</v>
      </c>
      <c r="BN69" s="78">
        <f>IFERROR(Y69*I69/H69,"0")</f>
        <v>57.599999999999987</v>
      </c>
      <c r="BO69" s="78">
        <f>IFERROR(1/J69*(X69/H69),"0")</f>
        <v>0.1098901098901099</v>
      </c>
      <c r="BP69" s="78">
        <f>IFERROR(1/J69*(Y69/H69),"0")</f>
        <v>0.1098901098901099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75.555555555555543</v>
      </c>
      <c r="Y70" s="43">
        <f>IFERROR(Y66/H66,"0")+IFERROR(Y67/H67,"0")+IFERROR(Y68/H68,"0")+IFERROR(Y69/H69,"0")</f>
        <v>76</v>
      </c>
      <c r="Z70" s="43">
        <f>IFERROR(IF(Z66="",0,Z66),"0")+IFERROR(IF(Z67="",0,Z67),"0")+IFERROR(IF(Z68="",0,Z68),"0")+IFERROR(IF(Z69="",0,Z69),"0")</f>
        <v>1.1930800000000001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654</v>
      </c>
      <c r="Y71" s="43">
        <f>IFERROR(SUM(Y66:Y69),"0")</f>
        <v>658.80000000000007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30</v>
      </c>
      <c r="Y78" s="55">
        <f>IFERROR(IF(X78="",0,CEILING((X78/$H78),1)*$H78),"")</f>
        <v>31.2</v>
      </c>
      <c r="Z78" s="41">
        <f>IFERROR(IF(Y78=0,"",ROUNDUP(Y78/H78,0)*0.01898),"")</f>
        <v>7.5920000000000001E-2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31.57692307692308</v>
      </c>
      <c r="BN78" s="78">
        <f>IFERROR(Y78*I78/H78,"0")</f>
        <v>32.840000000000003</v>
      </c>
      <c r="BO78" s="78">
        <f>IFERROR(1/J78*(X78/H78),"0")</f>
        <v>6.0096153846153848E-2</v>
      </c>
      <c r="BP78" s="78">
        <f>IFERROR(1/J78*(Y78/H78),"0")</f>
        <v>6.25E-2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3.8461538461538463</v>
      </c>
      <c r="Y80" s="43">
        <f>IFERROR(Y78/H78,"0")+IFERROR(Y79/H79,"0")</f>
        <v>4</v>
      </c>
      <c r="Z80" s="43">
        <f>IFERROR(IF(Z78="",0,Z78),"0")+IFERROR(IF(Z79="",0,Z79),"0")</f>
        <v>7.5920000000000001E-2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30</v>
      </c>
      <c r="Y81" s="43">
        <f>IFERROR(SUM(Y78:Y79),"0")</f>
        <v>31.2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70</v>
      </c>
      <c r="Y84" s="55">
        <f>IFERROR(IF(X84="",0,CEILING((X84/$H84),1)*$H84),"")</f>
        <v>75.600000000000009</v>
      </c>
      <c r="Z84" s="41">
        <f>IFERROR(IF(Y84=0,"",ROUNDUP(Y84/H84,0)*0.01898),"")</f>
        <v>0.13286000000000001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72.657407407407405</v>
      </c>
      <c r="BN84" s="78">
        <f>IFERROR(Y84*I84/H84,"0")</f>
        <v>78.47</v>
      </c>
      <c r="BO84" s="78">
        <f>IFERROR(1/J84*(X84/H84),"0")</f>
        <v>0.10127314814814814</v>
      </c>
      <c r="BP84" s="78">
        <f>IFERROR(1/J84*(Y84/H84),"0")</f>
        <v>0.109375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15</v>
      </c>
      <c r="Y87" s="55">
        <f>IFERROR(IF(X87="",0,CEILING((X87/$H87),1)*$H87),"")</f>
        <v>18</v>
      </c>
      <c r="Z87" s="41">
        <f>IFERROR(IF(Y87=0,"",ROUNDUP(Y87/H87,0)*0.00902),"")</f>
        <v>3.6080000000000001E-2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15.633333333333335</v>
      </c>
      <c r="BN87" s="78">
        <f>IFERROR(Y87*I87/H87,"0")</f>
        <v>18.760000000000002</v>
      </c>
      <c r="BO87" s="78">
        <f>IFERROR(1/J87*(X87/H87),"0")</f>
        <v>2.5252525252525256E-2</v>
      </c>
      <c r="BP87" s="78">
        <f>IFERROR(1/J87*(Y87/H87),"0")</f>
        <v>3.0303030303030304E-2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9.8148148148148149</v>
      </c>
      <c r="Y88" s="43">
        <f>IFERROR(Y84/H84,"0")+IFERROR(Y85/H85,"0")+IFERROR(Y86/H86,"0")+IFERROR(Y87/H87,"0")</f>
        <v>11</v>
      </c>
      <c r="Z88" s="43">
        <f>IFERROR(IF(Z84="",0,Z84),"0")+IFERROR(IF(Z85="",0,Z85),"0")+IFERROR(IF(Z86="",0,Z86),"0")+IFERROR(IF(Z87="",0,Z87),"0")</f>
        <v>0.16894000000000001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85</v>
      </c>
      <c r="Y89" s="43">
        <f>IFERROR(SUM(Y84:Y87),"0")</f>
        <v>93.600000000000009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300</v>
      </c>
      <c r="Y91" s="55">
        <f>IFERROR(IF(X91="",0,CEILING((X91/$H91),1)*$H91),"")</f>
        <v>307.8</v>
      </c>
      <c r="Z91" s="41">
        <f>IFERROR(IF(Y91=0,"",ROUNDUP(Y91/H91,0)*0.01898),"")</f>
        <v>0.72123999999999999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318.2962962962963</v>
      </c>
      <c r="BN91" s="78">
        <f>IFERROR(Y91*I91/H91,"0")</f>
        <v>326.572</v>
      </c>
      <c r="BO91" s="78">
        <f>IFERROR(1/J91*(X91/H91),"0")</f>
        <v>0.57870370370370372</v>
      </c>
      <c r="BP91" s="78">
        <f>IFERROR(1/J91*(Y91/H91),"0")</f>
        <v>0.59375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37.037037037037038</v>
      </c>
      <c r="Y95" s="43">
        <f>IFERROR(Y91/H91,"0")+IFERROR(Y92/H92,"0")+IFERROR(Y93/H93,"0")+IFERROR(Y94/H94,"0")</f>
        <v>38</v>
      </c>
      <c r="Z95" s="43">
        <f>IFERROR(IF(Z91="",0,Z91),"0")+IFERROR(IF(Z92="",0,Z92),"0")+IFERROR(IF(Z93="",0,Z93),"0")+IFERROR(IF(Z94="",0,Z94),"0")</f>
        <v>0.72123999999999999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300</v>
      </c>
      <c r="Y96" s="43">
        <f>IFERROR(SUM(Y91:Y94),"0")</f>
        <v>307.8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40</v>
      </c>
      <c r="Y99" s="55">
        <f t="shared" ref="Y99:Y105" si="5">IFERROR(IF(X99="",0,CEILING((X99/$H99),1)*$H99),"")</f>
        <v>43.2</v>
      </c>
      <c r="Z99" s="41">
        <f>IFERROR(IF(Y99=0,"",ROUNDUP(Y99/H99,0)*0.01898),"")</f>
        <v>7.5920000000000001E-2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41.518518518518519</v>
      </c>
      <c r="BN99" s="78">
        <f t="shared" ref="BN99:BN105" si="7">IFERROR(Y99*I99/H99,"0")</f>
        <v>44.84</v>
      </c>
      <c r="BO99" s="78">
        <f t="shared" ref="BO99:BO105" si="8">IFERROR(1/J99*(X99/H99),"0")</f>
        <v>5.7870370370370364E-2</v>
      </c>
      <c r="BP99" s="78">
        <f t="shared" ref="BP99:BP105" si="9">IFERROR(1/J99*(Y99/H99),"0")</f>
        <v>6.25E-2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3.7037037037037033</v>
      </c>
      <c r="Y106" s="43">
        <f>IFERROR(Y99/H99,"0")+IFERROR(Y100/H100,"0")+IFERROR(Y101/H101,"0")+IFERROR(Y102/H102,"0")+IFERROR(Y103/H103,"0")+IFERROR(Y104/H104,"0")+IFERROR(Y105/H105,"0")</f>
        <v>4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7.5920000000000001E-2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40</v>
      </c>
      <c r="Y107" s="43">
        <f>IFERROR(SUM(Y99:Y105),"0")</f>
        <v>43.2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40</v>
      </c>
      <c r="Y113" s="55">
        <f>IFERROR(IF(X113="",0,CEILING((X113/$H113),1)*$H113),"")</f>
        <v>40.799999999999997</v>
      </c>
      <c r="Z113" s="41">
        <f>IFERROR(IF(Y113=0,"",ROUNDUP(Y113/H113,0)*0.00651),"")</f>
        <v>0.11067</v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43</v>
      </c>
      <c r="BN113" s="78">
        <f>IFERROR(Y113*I113/H113,"0")</f>
        <v>43.86</v>
      </c>
      <c r="BO113" s="78">
        <f>IFERROR(1/J113*(X113/H113),"0")</f>
        <v>9.1575091575091583E-2</v>
      </c>
      <c r="BP113" s="78">
        <f>IFERROR(1/J113*(Y113/H113),"0")</f>
        <v>9.3406593406593408E-2</v>
      </c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16.666666666666668</v>
      </c>
      <c r="Y114" s="43">
        <f>IFERROR(Y109/H109,"0")+IFERROR(Y110/H110,"0")+IFERROR(Y111/H111,"0")+IFERROR(Y112/H112,"0")+IFERROR(Y113/H113,"0")</f>
        <v>17</v>
      </c>
      <c r="Z114" s="43">
        <f>IFERROR(IF(Z109="",0,Z109),"0")+IFERROR(IF(Z110="",0,Z110),"0")+IFERROR(IF(Z111="",0,Z111),"0")+IFERROR(IF(Z112="",0,Z112),"0")+IFERROR(IF(Z113="",0,Z113),"0")</f>
        <v>0.11067</v>
      </c>
      <c r="AA114" s="67"/>
      <c r="AB114" s="67"/>
      <c r="AC114" s="67"/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40</v>
      </c>
      <c r="Y115" s="43">
        <f>IFERROR(SUM(Y109:Y113),"0")</f>
        <v>40.799999999999997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1200</v>
      </c>
      <c r="Y117" s="55">
        <f>IFERROR(IF(X117="",0,CEILING((X117/$H117),1)*$H117),"")</f>
        <v>1206.8999999999999</v>
      </c>
      <c r="Z117" s="41">
        <f>IFERROR(IF(Y117=0,"",ROUNDUP(Y117/H117,0)*0.01898),"")</f>
        <v>2.82802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1272.2962962962961</v>
      </c>
      <c r="BN117" s="78">
        <f>IFERROR(Y117*I117/H117,"0")</f>
        <v>1279.6119999999999</v>
      </c>
      <c r="BO117" s="78">
        <f>IFERROR(1/J117*(X117/H117),"0")</f>
        <v>2.3148148148148149</v>
      </c>
      <c r="BP117" s="78">
        <f>IFERROR(1/J117*(Y117/H117),"0")</f>
        <v>2.328125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148.14814814814815</v>
      </c>
      <c r="Y121" s="43">
        <f>IFERROR(Y117/H117,"0")+IFERROR(Y118/H118,"0")+IFERROR(Y119/H119,"0")+IFERROR(Y120/H120,"0")</f>
        <v>149</v>
      </c>
      <c r="Z121" s="43">
        <f>IFERROR(IF(Z117="",0,Z117),"0")+IFERROR(IF(Z118="",0,Z118),"0")+IFERROR(IF(Z119="",0,Z119),"0")+IFERROR(IF(Z120="",0,Z120),"0")</f>
        <v>2.82802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1200</v>
      </c>
      <c r="Y122" s="43">
        <f>IFERROR(SUM(Y117:Y120),"0")</f>
        <v>1206.8999999999999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89</v>
      </c>
      <c r="Y130" s="55">
        <f>IFERROR(IF(X130="",0,CEILING((X130/$H130),1)*$H130),"")</f>
        <v>89.600000000000009</v>
      </c>
      <c r="Z130" s="41">
        <f>IFERROR(IF(Y130=0,"",ROUNDUP(Y130/H130,0)*0.00651),"")</f>
        <v>0.18228</v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94.006249999999994</v>
      </c>
      <c r="BN130" s="78">
        <f>IFERROR(Y130*I130/H130,"0")</f>
        <v>94.64</v>
      </c>
      <c r="BO130" s="78">
        <f>IFERROR(1/J130*(X130/H130),"0")</f>
        <v>0.15281593406593408</v>
      </c>
      <c r="BP130" s="78">
        <f>IFERROR(1/J130*(Y130/H130),"0")</f>
        <v>0.15384615384615385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27.8125</v>
      </c>
      <c r="Y132" s="43">
        <f>IFERROR(Y129/H129,"0")+IFERROR(Y130/H130,"0")+IFERROR(Y131/H131,"0")</f>
        <v>28</v>
      </c>
      <c r="Z132" s="43">
        <f>IFERROR(IF(Z129="",0,Z129),"0")+IFERROR(IF(Z130="",0,Z130),"0")+IFERROR(IF(Z131="",0,Z131),"0")</f>
        <v>0.18228</v>
      </c>
      <c r="AA132" s="67"/>
      <c r="AB132" s="67"/>
      <c r="AC132" s="67"/>
    </row>
    <row r="133" spans="1:68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89</v>
      </c>
      <c r="Y133" s="43">
        <f>IFERROR(SUM(Y129:Y131),"0")</f>
        <v>89.600000000000009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70</v>
      </c>
      <c r="Y136" s="55">
        <f>IFERROR(IF(X136="",0,CEILING((X136/$H136),1)*$H136),"")</f>
        <v>70</v>
      </c>
      <c r="Z136" s="41">
        <f>IFERROR(IF(Y136=0,"",ROUNDUP(Y136/H136,0)*0.00651),"")</f>
        <v>0.16275000000000001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76.7</v>
      </c>
      <c r="BN136" s="78">
        <f>IFERROR(Y136*I136/H136,"0")</f>
        <v>76.7</v>
      </c>
      <c r="BO136" s="78">
        <f>IFERROR(1/J136*(X136/H136),"0")</f>
        <v>0.13736263736263737</v>
      </c>
      <c r="BP136" s="78">
        <f>IFERROR(1/J136*(Y136/H136),"0")</f>
        <v>0.13736263736263737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25</v>
      </c>
      <c r="Y139" s="43">
        <f>IFERROR(Y135/H135,"0")+IFERROR(Y136/H136,"0")+IFERROR(Y137/H137,"0")+IFERROR(Y138/H138,"0")</f>
        <v>25</v>
      </c>
      <c r="Z139" s="43">
        <f>IFERROR(IF(Z135="",0,Z135),"0")+IFERROR(IF(Z136="",0,Z136),"0")+IFERROR(IF(Z137="",0,Z137),"0")+IFERROR(IF(Z138="",0,Z138),"0")</f>
        <v>0.16275000000000001</v>
      </c>
      <c r="AA139" s="67"/>
      <c r="AB139" s="67"/>
      <c r="AC139" s="67"/>
    </row>
    <row r="140" spans="1:68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70</v>
      </c>
      <c r="Y140" s="43">
        <f>IFERROR(SUM(Y135:Y138),"0")</f>
        <v>70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10</v>
      </c>
      <c r="Y143" s="55">
        <f>IFERROR(IF(X143="",0,CEILING((X143/$H143),1)*$H143),"")</f>
        <v>10.56</v>
      </c>
      <c r="Z143" s="41">
        <f>IFERROR(IF(Y143=0,"",ROUNDUP(Y143/H143,0)*0.00651),"")</f>
        <v>2.6040000000000001E-2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11.015151515151514</v>
      </c>
      <c r="BN143" s="78">
        <f>IFERROR(Y143*I143/H143,"0")</f>
        <v>11.632</v>
      </c>
      <c r="BO143" s="78">
        <f>IFERROR(1/J143*(X143/H143),"0")</f>
        <v>2.0812520812520812E-2</v>
      </c>
      <c r="BP143" s="78">
        <f>IFERROR(1/J143*(Y143/H143),"0")</f>
        <v>2.197802197802198E-2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3.7878787878787876</v>
      </c>
      <c r="Y145" s="43">
        <f>IFERROR(Y142/H142,"0")+IFERROR(Y143/H143,"0")+IFERROR(Y144/H144,"0")</f>
        <v>4</v>
      </c>
      <c r="Z145" s="43">
        <f>IFERROR(IF(Z142="",0,Z142),"0")+IFERROR(IF(Z143="",0,Z143),"0")+IFERROR(IF(Z144="",0,Z144),"0")</f>
        <v>2.6040000000000001E-2</v>
      </c>
      <c r="AA145" s="67"/>
      <c r="AB145" s="67"/>
      <c r="AC145" s="67"/>
    </row>
    <row r="146" spans="1:68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10</v>
      </c>
      <c r="Y146" s="43">
        <f>IFERROR(SUM(Y142:Y144),"0")</f>
        <v>10.56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60</v>
      </c>
      <c r="Y175" s="55">
        <f t="shared" ref="Y175:Y185" si="16">IFERROR(IF(X175="",0,CEILING((X175/$H175),1)*$H175),"")</f>
        <v>63</v>
      </c>
      <c r="Z175" s="41">
        <f>IFERROR(IF(Y175=0,"",ROUNDUP(Y175/H175,0)*0.00902),"")</f>
        <v>0.16236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63.25714285714286</v>
      </c>
      <c r="BN175" s="78">
        <f t="shared" ref="BN175:BN185" si="18">IFERROR(Y175*I175/H175,"0")</f>
        <v>66.42</v>
      </c>
      <c r="BO175" s="78">
        <f t="shared" ref="BO175:BO185" si="19">IFERROR(1/J175*(X175/H175),"0")</f>
        <v>0.12987012987012986</v>
      </c>
      <c r="BP175" s="78">
        <f t="shared" ref="BP175:BP185" si="20">IFERROR(1/J175*(Y175/H175),"0")</f>
        <v>0.13636363636363635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40</v>
      </c>
      <c r="Y176" s="55">
        <f t="shared" si="16"/>
        <v>42</v>
      </c>
      <c r="Z176" s="41">
        <f>IFERROR(IF(Y176=0,"",ROUNDUP(Y176/H176,0)*0.00902),"")</f>
        <v>0.10824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43.028571428571425</v>
      </c>
      <c r="BN176" s="78">
        <f t="shared" si="18"/>
        <v>45.18</v>
      </c>
      <c r="BO176" s="78">
        <f t="shared" si="19"/>
        <v>8.658008658008659E-2</v>
      </c>
      <c r="BP176" s="78">
        <f t="shared" si="20"/>
        <v>9.0909090909090912E-2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60</v>
      </c>
      <c r="Y177" s="55">
        <f t="shared" si="16"/>
        <v>63</v>
      </c>
      <c r="Z177" s="41">
        <f>IFERROR(IF(Y177=0,"",ROUNDUP(Y177/H177,0)*0.00902),"")</f>
        <v>0.16236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63.25714285714286</v>
      </c>
      <c r="BN177" s="78">
        <f t="shared" si="18"/>
        <v>66.42</v>
      </c>
      <c r="BO177" s="78">
        <f t="shared" si="19"/>
        <v>0.12987012987012986</v>
      </c>
      <c r="BP177" s="78">
        <f t="shared" si="20"/>
        <v>0.13636363636363635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30</v>
      </c>
      <c r="Y178" s="55">
        <f t="shared" si="16"/>
        <v>31.5</v>
      </c>
      <c r="Z178" s="41">
        <f>IFERROR(IF(Y178=0,"",ROUNDUP(Y178/H178,0)*0.00902),"")</f>
        <v>8.1180000000000002E-2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31.62857142857143</v>
      </c>
      <c r="BN178" s="78">
        <f t="shared" si="18"/>
        <v>33.21</v>
      </c>
      <c r="BO178" s="78">
        <f t="shared" si="19"/>
        <v>6.4935064935064929E-2</v>
      </c>
      <c r="BP178" s="78">
        <f t="shared" si="20"/>
        <v>6.8181818181818177E-2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54.285714285714278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57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0.51414000000000004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190</v>
      </c>
      <c r="Y187" s="43">
        <f>IFERROR(SUM(Y175:Y185),"0")</f>
        <v>199.5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20</v>
      </c>
      <c r="Y223" s="55">
        <f t="shared" si="27"/>
        <v>21</v>
      </c>
      <c r="Z223" s="41">
        <f>IFERROR(IF(Y223=0,"",ROUNDUP(Y223/H223,0)*0.00902),"")</f>
        <v>4.5100000000000001E-2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20.904761904761902</v>
      </c>
      <c r="BN223" s="78">
        <f t="shared" si="29"/>
        <v>21.95</v>
      </c>
      <c r="BO223" s="78">
        <f t="shared" si="30"/>
        <v>3.6075036075036072E-2</v>
      </c>
      <c r="BP223" s="78">
        <f t="shared" si="31"/>
        <v>3.787878787878788E-2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4.7619047619047619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5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4.5100000000000001E-2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20</v>
      </c>
      <c r="Y236" s="43">
        <f>IFERROR(SUM(Y221:Y234),"0")</f>
        <v>21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40</v>
      </c>
      <c r="Y257" s="55">
        <f>IFERROR(IF(X257="",0,CEILING((X257/$H257),1)*$H257),"")</f>
        <v>43.2</v>
      </c>
      <c r="Z257" s="41">
        <f>IFERROR(IF(Y257=0,"",ROUNDUP(Y257/H257,0)*0.01898),"")</f>
        <v>7.5920000000000001E-2</v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41.518518518518519</v>
      </c>
      <c r="BN257" s="78">
        <f>IFERROR(Y257*I257/H257,"0")</f>
        <v>44.84</v>
      </c>
      <c r="BO257" s="78">
        <f>IFERROR(1/J257*(X257/H257),"0")</f>
        <v>5.7870370370370364E-2</v>
      </c>
      <c r="BP257" s="78">
        <f>IFERROR(1/J257*(Y257/H257),"0")</f>
        <v>6.25E-2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3.7037037037037033</v>
      </c>
      <c r="Y259" s="43">
        <f>IFERROR(Y257/H257,"0")+IFERROR(Y258/H258,"0")</f>
        <v>4</v>
      </c>
      <c r="Z259" s="43">
        <f>IFERROR(IF(Z257="",0,Z257),"0")+IFERROR(IF(Z258="",0,Z258),"0")</f>
        <v>7.5920000000000001E-2</v>
      </c>
      <c r="AA259" s="67"/>
      <c r="AB259" s="67"/>
      <c r="AC259" s="67"/>
    </row>
    <row r="260" spans="1:68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40</v>
      </c>
      <c r="Y260" s="43">
        <f>IFERROR(SUM(Y257:Y258),"0")</f>
        <v>43.2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30</v>
      </c>
      <c r="Y267" s="55">
        <f t="shared" ref="Y267:Y274" si="33">IFERROR(IF(X267="",0,CEILING((X267/$H267),1)*$H267),"")</f>
        <v>32.400000000000006</v>
      </c>
      <c r="Z267" s="41">
        <f>IFERROR(IF(Y267=0,"",ROUNDUP(Y267/H267,0)*0.00902),"")</f>
        <v>5.4120000000000001E-2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31.05555555555555</v>
      </c>
      <c r="BN267" s="78">
        <f t="shared" ref="BN267:BN274" si="35">IFERROR(Y267*I267/H267,"0")</f>
        <v>33.54</v>
      </c>
      <c r="BO267" s="78">
        <f t="shared" ref="BO267:BO274" si="36">IFERROR(1/J267*(X267/H267),"0")</f>
        <v>4.208754208754209E-2</v>
      </c>
      <c r="BP267" s="78">
        <f t="shared" ref="BP267:BP274" si="37">IFERROR(1/J267*(Y267/H267),"0")</f>
        <v>4.5454545454545463E-2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180</v>
      </c>
      <c r="Y269" s="55">
        <f t="shared" si="33"/>
        <v>183.60000000000002</v>
      </c>
      <c r="Z269" s="41">
        <f>IFERROR(IF(Y269=0,"",ROUNDUP(Y269/H269,0)*0.00902),"")</f>
        <v>0.30668000000000001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186.33333333333331</v>
      </c>
      <c r="BN269" s="78">
        <f t="shared" si="35"/>
        <v>190.06</v>
      </c>
      <c r="BO269" s="78">
        <f t="shared" si="36"/>
        <v>0.25252525252525249</v>
      </c>
      <c r="BP269" s="78">
        <f t="shared" si="37"/>
        <v>0.25757575757575757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220</v>
      </c>
      <c r="Y270" s="55">
        <f t="shared" si="33"/>
        <v>221.4</v>
      </c>
      <c r="Z270" s="41">
        <f>IFERROR(IF(Y270=0,"",ROUNDUP(Y270/H270,0)*0.00902),"")</f>
        <v>0.36982000000000004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227.7407407407407</v>
      </c>
      <c r="BN270" s="78">
        <f t="shared" si="35"/>
        <v>229.18999999999997</v>
      </c>
      <c r="BO270" s="78">
        <f t="shared" si="36"/>
        <v>0.30864197530864196</v>
      </c>
      <c r="BP270" s="78">
        <f t="shared" si="37"/>
        <v>0.31060606060606061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5</v>
      </c>
      <c r="Y271" s="55">
        <f t="shared" si="33"/>
        <v>5.4</v>
      </c>
      <c r="Z271" s="41">
        <f>IFERROR(IF(Y271=0,"",ROUNDUP(Y271/H271,0)*0.00502),"")</f>
        <v>1.506E-2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5.3611111111111116</v>
      </c>
      <c r="BN271" s="78">
        <f t="shared" si="35"/>
        <v>5.79</v>
      </c>
      <c r="BO271" s="78">
        <f t="shared" si="36"/>
        <v>1.1870845204178538E-2</v>
      </c>
      <c r="BP271" s="78">
        <f t="shared" si="37"/>
        <v>1.2820512820512822E-2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5</v>
      </c>
      <c r="Y272" s="55">
        <f t="shared" si="33"/>
        <v>5.4</v>
      </c>
      <c r="Z272" s="41">
        <f>IFERROR(IF(Y272=0,"",ROUNDUP(Y272/H272,0)*0.00502),"")</f>
        <v>1.506E-2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5.2777777777777777</v>
      </c>
      <c r="BN272" s="78">
        <f t="shared" si="35"/>
        <v>5.7</v>
      </c>
      <c r="BO272" s="78">
        <f t="shared" si="36"/>
        <v>1.1870845204178538E-2</v>
      </c>
      <c r="BP272" s="78">
        <f t="shared" si="37"/>
        <v>1.2820512820512822E-2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5</v>
      </c>
      <c r="Y273" s="55">
        <f t="shared" si="33"/>
        <v>5.4</v>
      </c>
      <c r="Z273" s="41">
        <f>IFERROR(IF(Y273=0,"",ROUNDUP(Y273/H273,0)*0.00502),"")</f>
        <v>1.506E-2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5.2777777777777777</v>
      </c>
      <c r="BN273" s="78">
        <f t="shared" si="35"/>
        <v>5.7</v>
      </c>
      <c r="BO273" s="78">
        <f t="shared" si="36"/>
        <v>1.1870845204178538E-2</v>
      </c>
      <c r="BP273" s="78">
        <f t="shared" si="37"/>
        <v>1.2820512820512822E-2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5</v>
      </c>
      <c r="Y274" s="55">
        <f t="shared" si="33"/>
        <v>5.4</v>
      </c>
      <c r="Z274" s="41">
        <f>IFERROR(IF(Y274=0,"",ROUNDUP(Y274/H274,0)*0.00502),"")</f>
        <v>1.506E-2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5.2777777777777777</v>
      </c>
      <c r="BN274" s="78">
        <f t="shared" si="35"/>
        <v>5.7</v>
      </c>
      <c r="BO274" s="78">
        <f t="shared" si="36"/>
        <v>1.1870845204178538E-2</v>
      </c>
      <c r="BP274" s="78">
        <f t="shared" si="37"/>
        <v>1.2820512820512822E-2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90.740740740740705</v>
      </c>
      <c r="Y275" s="43">
        <f>IFERROR(Y267/H267,"0")+IFERROR(Y268/H268,"0")+IFERROR(Y269/H269,"0")+IFERROR(Y270/H270,"0")+IFERROR(Y271/H271,"0")+IFERROR(Y272/H272,"0")+IFERROR(Y273/H273,"0")+IFERROR(Y274/H274,"0")</f>
        <v>93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0.7908599999999999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450</v>
      </c>
      <c r="Y276" s="43">
        <f>IFERROR(SUM(Y267:Y274),"0")</f>
        <v>458.99999999999994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150</v>
      </c>
      <c r="Y280" s="55">
        <f t="shared" si="38"/>
        <v>156.6</v>
      </c>
      <c r="Z280" s="41">
        <f>IFERROR(IF(Y280=0,"",ROUNDUP(Y280/H280,0)*0.01898),"")</f>
        <v>0.34164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158.51724137931038</v>
      </c>
      <c r="BN280" s="78">
        <f t="shared" si="40"/>
        <v>165.49200000000002</v>
      </c>
      <c r="BO280" s="78">
        <f t="shared" si="41"/>
        <v>0.26939655172413796</v>
      </c>
      <c r="BP280" s="78">
        <f t="shared" si="42"/>
        <v>0.28125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128</v>
      </c>
      <c r="Y287" s="55">
        <f t="shared" si="38"/>
        <v>129.6</v>
      </c>
      <c r="Z287" s="41">
        <f>IFERROR(IF(Y287=0,"",ROUNDUP(Y287/H287,0)*0.00651),"")</f>
        <v>0.35154000000000002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141.44000000000003</v>
      </c>
      <c r="BN287" s="78">
        <f t="shared" si="40"/>
        <v>143.20800000000003</v>
      </c>
      <c r="BO287" s="78">
        <f t="shared" si="41"/>
        <v>0.29304029304029305</v>
      </c>
      <c r="BP287" s="78">
        <f t="shared" si="42"/>
        <v>0.2967032967032967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70.574712643678168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72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0.69318000000000002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278</v>
      </c>
      <c r="Y291" s="43">
        <f>IFERROR(SUM(Y278:Y289),"0")</f>
        <v>286.2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43.2</v>
      </c>
      <c r="Z326" s="41">
        <f>IFERROR(IF(Y326=0,"",ROUNDUP(Y326/H326,0)*0.01898),"")</f>
        <v>7.5920000000000001E-2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41.518518518518519</v>
      </c>
      <c r="BN326" s="78">
        <f>IFERROR(Y326*I326/H326,"0")</f>
        <v>44.84</v>
      </c>
      <c r="BO326" s="78">
        <f>IFERROR(1/J326*(X326/H326),"0")</f>
        <v>5.7870370370370364E-2</v>
      </c>
      <c r="BP326" s="78">
        <f>IFERROR(1/J326*(Y326/H326),"0")</f>
        <v>6.25E-2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3.7037037037037033</v>
      </c>
      <c r="Y329" s="43">
        <f>IFERROR(Y324/H324,"0")+IFERROR(Y325/H325,"0")+IFERROR(Y326/H326,"0")+IFERROR(Y327/H327,"0")+IFERROR(Y328/H328,"0")</f>
        <v>4</v>
      </c>
      <c r="Z329" s="43">
        <f>IFERROR(IF(Z324="",0,Z324),"0")+IFERROR(IF(Z325="",0,Z325),"0")+IFERROR(IF(Z326="",0,Z326),"0")+IFERROR(IF(Z327="",0,Z327),"0")+IFERROR(IF(Z328="",0,Z328),"0")</f>
        <v>7.5920000000000001E-2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40</v>
      </c>
      <c r="Y330" s="43">
        <f>IFERROR(SUM(Y324:Y328),"0")</f>
        <v>43.2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250</v>
      </c>
      <c r="Y361" s="55">
        <f t="shared" ref="Y361:Y366" si="48">IFERROR(IF(X361="",0,CEILING((X361/$H361),1)*$H361),"")</f>
        <v>259.20000000000005</v>
      </c>
      <c r="Z361" s="41">
        <f>IFERROR(IF(Y361=0,"",ROUNDUP(Y361/H361,0)*0.01898),"")</f>
        <v>0.45552000000000004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259.4907407407407</v>
      </c>
      <c r="BN361" s="78">
        <f t="shared" ref="BN361:BN366" si="50">IFERROR(Y361*I361/H361,"0")</f>
        <v>269.04000000000002</v>
      </c>
      <c r="BO361" s="78">
        <f t="shared" ref="BO361:BO366" si="51">IFERROR(1/J361*(X361/H361),"0")</f>
        <v>0.36168981481481477</v>
      </c>
      <c r="BP361" s="78">
        <f t="shared" ref="BP361:BP366" si="52">IFERROR(1/J361*(Y361/H361),"0")</f>
        <v>0.37500000000000006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23.148148148148145</v>
      </c>
      <c r="Y367" s="43">
        <f>IFERROR(Y361/H361,"0")+IFERROR(Y362/H362,"0")+IFERROR(Y363/H363,"0")+IFERROR(Y364/H364,"0")+IFERROR(Y365/H365,"0")+IFERROR(Y366/H366,"0")</f>
        <v>24.000000000000004</v>
      </c>
      <c r="Z367" s="43">
        <f>IFERROR(IF(Z361="",0,Z361),"0")+IFERROR(IF(Z362="",0,Z362),"0")+IFERROR(IF(Z363="",0,Z363),"0")+IFERROR(IF(Z364="",0,Z364),"0")+IFERROR(IF(Z365="",0,Z365),"0")+IFERROR(IF(Z366="",0,Z366),"0")</f>
        <v>0.45552000000000004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250</v>
      </c>
      <c r="Y368" s="43">
        <f>IFERROR(SUM(Y361:Y366),"0")</f>
        <v>259.20000000000005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350</v>
      </c>
      <c r="Y371" s="55">
        <f t="shared" si="53"/>
        <v>352.8</v>
      </c>
      <c r="Z371" s="41">
        <f>IFERROR(IF(Y371=0,"",ROUNDUP(Y371/H371,0)*0.00902),"")</f>
        <v>0.75768000000000002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370.83333333333331</v>
      </c>
      <c r="BN371" s="78">
        <f t="shared" si="55"/>
        <v>373.8</v>
      </c>
      <c r="BO371" s="78">
        <f t="shared" si="56"/>
        <v>0.63131313131313127</v>
      </c>
      <c r="BP371" s="78">
        <f t="shared" si="57"/>
        <v>0.63636363636363635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83.333333333333329</v>
      </c>
      <c r="Y377" s="43">
        <f>IFERROR(Y370/H370,"0")+IFERROR(Y371/H371,"0")+IFERROR(Y372/H372,"0")+IFERROR(Y373/H373,"0")+IFERROR(Y374/H374,"0")+IFERROR(Y375/H375,"0")+IFERROR(Y376/H376,"0")</f>
        <v>84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0.75768000000000002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350</v>
      </c>
      <c r="Y378" s="43">
        <f>IFERROR(SUM(Y370:Y376),"0")</f>
        <v>352.8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140</v>
      </c>
      <c r="Y387" s="55">
        <f>IFERROR(IF(X387="",0,CEILING((X387/$H387),1)*$H387),"")</f>
        <v>142.80000000000001</v>
      </c>
      <c r="Z387" s="41">
        <f>IFERROR(IF(Y387=0,"",ROUNDUP(Y387/H387,0)*0.01898),"")</f>
        <v>0.32266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148.23333333333335</v>
      </c>
      <c r="BN387" s="78">
        <f>IFERROR(Y387*I387/H387,"0")</f>
        <v>151.19800000000001</v>
      </c>
      <c r="BO387" s="78">
        <f>IFERROR(1/J387*(X387/H387),"0")</f>
        <v>0.26041666666666663</v>
      </c>
      <c r="BP387" s="78">
        <f>IFERROR(1/J387*(Y387/H387),"0")</f>
        <v>0.265625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600</v>
      </c>
      <c r="Y388" s="55">
        <f>IFERROR(IF(X388="",0,CEILING((X388/$H388),1)*$H388),"")</f>
        <v>600.6</v>
      </c>
      <c r="Z388" s="41">
        <f>IFERROR(IF(Y388=0,"",ROUNDUP(Y388/H388,0)*0.01898),"")</f>
        <v>1.46146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638.00000000000011</v>
      </c>
      <c r="BN388" s="78">
        <f>IFERROR(Y388*I388/H388,"0")</f>
        <v>638.63800000000003</v>
      </c>
      <c r="BO388" s="78">
        <f>IFERROR(1/J388*(X388/H388),"0")</f>
        <v>1.2019230769230769</v>
      </c>
      <c r="BP388" s="78">
        <f>IFERROR(1/J388*(Y388/H388),"0")</f>
        <v>1.203125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100</v>
      </c>
      <c r="Y389" s="55">
        <f>IFERROR(IF(X389="",0,CEILING((X389/$H389),1)*$H389),"")</f>
        <v>100.80000000000001</v>
      </c>
      <c r="Z389" s="41">
        <f>IFERROR(IF(Y389=0,"",ROUNDUP(Y389/H389,0)*0.01898),"")</f>
        <v>0.22776000000000002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105.88095238095238</v>
      </c>
      <c r="BN389" s="78">
        <f>IFERROR(Y389*I389/H389,"0")</f>
        <v>106.72800000000001</v>
      </c>
      <c r="BO389" s="78">
        <f>IFERROR(1/J389*(X389/H389),"0")</f>
        <v>0.18601190476190477</v>
      </c>
      <c r="BP389" s="78">
        <f>IFERROR(1/J389*(Y389/H389),"0")</f>
        <v>0.1875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105.49450549450549</v>
      </c>
      <c r="Y390" s="43">
        <f>IFERROR(Y387/H387,"0")+IFERROR(Y388/H388,"0")+IFERROR(Y389/H389,"0")</f>
        <v>106</v>
      </c>
      <c r="Z390" s="43">
        <f>IFERROR(IF(Z387="",0,Z387),"0")+IFERROR(IF(Z388="",0,Z388),"0")+IFERROR(IF(Z389="",0,Z389),"0")</f>
        <v>2.0118800000000001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840</v>
      </c>
      <c r="Y391" s="43">
        <f>IFERROR(SUM(Y387:Y389),"0")</f>
        <v>844.2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100</v>
      </c>
      <c r="Y413" s="55">
        <f>IFERROR(IF(X413="",0,CEILING((X413/$H413),1)*$H413),"")</f>
        <v>101.39999999999999</v>
      </c>
      <c r="Z413" s="41">
        <f>IFERROR(IF(Y413=0,"",ROUNDUP(Y413/H413,0)*0.01898),"")</f>
        <v>0.24674000000000001</v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105.25641025641028</v>
      </c>
      <c r="BN413" s="78">
        <f>IFERROR(Y413*I413/H413,"0")</f>
        <v>106.73</v>
      </c>
      <c r="BO413" s="78">
        <f>IFERROR(1/J413*(X413/H413),"0")</f>
        <v>0.20032051282051283</v>
      </c>
      <c r="BP413" s="78">
        <f>IFERROR(1/J413*(Y413/H413),"0")</f>
        <v>0.203125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100</v>
      </c>
      <c r="Y414" s="55">
        <f>IFERROR(IF(X414="",0,CEILING((X414/$H414),1)*$H414),"")</f>
        <v>101.39999999999999</v>
      </c>
      <c r="Z414" s="41">
        <f>IFERROR(IF(Y414=0,"",ROUNDUP(Y414/H414,0)*0.01898),"")</f>
        <v>0.24674000000000001</v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105.25641025641028</v>
      </c>
      <c r="BN414" s="78">
        <f>IFERROR(Y414*I414/H414,"0")</f>
        <v>106.73</v>
      </c>
      <c r="BO414" s="78">
        <f>IFERROR(1/J414*(X414/H414),"0")</f>
        <v>0.20032051282051283</v>
      </c>
      <c r="BP414" s="78">
        <f>IFERROR(1/J414*(Y414/H414),"0")</f>
        <v>0.203125</v>
      </c>
    </row>
    <row r="415" spans="1:68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25.641025641025642</v>
      </c>
      <c r="Y415" s="43">
        <f>IFERROR(Y413/H413,"0")+IFERROR(Y414/H414,"0")</f>
        <v>26</v>
      </c>
      <c r="Z415" s="43">
        <f>IFERROR(IF(Z413="",0,Z413),"0")+IFERROR(IF(Z414="",0,Z414),"0")</f>
        <v>0.49348000000000003</v>
      </c>
      <c r="AA415" s="67"/>
      <c r="AB415" s="67"/>
      <c r="AC415" s="67"/>
    </row>
    <row r="416" spans="1:68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200</v>
      </c>
      <c r="Y416" s="43">
        <f>IFERROR(SUM(Y413:Y414),"0")</f>
        <v>202.79999999999998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300</v>
      </c>
      <c r="Y419" s="55">
        <f>IFERROR(IF(X419="",0,CEILING((X419/$H419),1)*$H419),"")</f>
        <v>307.8</v>
      </c>
      <c r="Z419" s="41">
        <f>IFERROR(IF(Y419=0,"",ROUNDUP(Y419/H419,0)*0.01898),"")</f>
        <v>0.72123999999999999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318.2962962962963</v>
      </c>
      <c r="BN419" s="78">
        <f>IFERROR(Y419*I419/H419,"0")</f>
        <v>326.572</v>
      </c>
      <c r="BO419" s="78">
        <f>IFERROR(1/J419*(X419/H419),"0")</f>
        <v>0.57870370370370372</v>
      </c>
      <c r="BP419" s="78">
        <f>IFERROR(1/J419*(Y419/H419),"0")</f>
        <v>0.59375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21</v>
      </c>
      <c r="Y420" s="55">
        <f>IFERROR(IF(X420="",0,CEILING((X420/$H420),1)*$H420),"")</f>
        <v>21</v>
      </c>
      <c r="Z420" s="41">
        <f>IFERROR(IF(Y420=0,"",ROUNDUP(Y420/H420,0)*0.00651),"")</f>
        <v>6.5100000000000005E-2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23.519999999999996</v>
      </c>
      <c r="BN420" s="78">
        <f>IFERROR(Y420*I420/H420,"0")</f>
        <v>23.519999999999996</v>
      </c>
      <c r="BO420" s="78">
        <f>IFERROR(1/J420*(X420/H420),"0")</f>
        <v>5.4945054945054951E-2</v>
      </c>
      <c r="BP420" s="78">
        <f>IFERROR(1/J420*(Y420/H420),"0")</f>
        <v>5.4945054945054951E-2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21</v>
      </c>
      <c r="Y421" s="55">
        <f>IFERROR(IF(X421="",0,CEILING((X421/$H421),1)*$H421),"")</f>
        <v>21</v>
      </c>
      <c r="Z421" s="41">
        <f>IFERROR(IF(Y421=0,"",ROUNDUP(Y421/H421,0)*0.00651),"")</f>
        <v>6.5100000000000005E-2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23.4</v>
      </c>
      <c r="BN421" s="78">
        <f>IFERROR(Y421*I421/H421,"0")</f>
        <v>23.4</v>
      </c>
      <c r="BO421" s="78">
        <f>IFERROR(1/J421*(X421/H421),"0")</f>
        <v>5.4945054945054951E-2</v>
      </c>
      <c r="BP421" s="78">
        <f>IFERROR(1/J421*(Y421/H421),"0")</f>
        <v>5.4945054945054951E-2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57.037037037037038</v>
      </c>
      <c r="Y422" s="43">
        <f>IFERROR(Y419/H419,"0")+IFERROR(Y420/H420,"0")+IFERROR(Y421/H421,"0")</f>
        <v>58</v>
      </c>
      <c r="Z422" s="43">
        <f>IFERROR(IF(Z419="",0,Z419),"0")+IFERROR(IF(Z420="",0,Z420),"0")+IFERROR(IF(Z421="",0,Z421),"0")</f>
        <v>0.85144000000000009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342</v>
      </c>
      <c r="Y423" s="43">
        <f>IFERROR(SUM(Y419:Y421),"0")</f>
        <v>349.8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1200</v>
      </c>
      <c r="Y428" s="55">
        <f t="shared" si="58"/>
        <v>1200</v>
      </c>
      <c r="Z428" s="41">
        <f>IFERROR(IF(Y428=0,"",ROUNDUP(Y428/H428,0)*0.02175),"")</f>
        <v>1.7399999999999998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1237.5999999999999</v>
      </c>
      <c r="BN428" s="78">
        <f t="shared" si="60"/>
        <v>1237.5999999999999</v>
      </c>
      <c r="BO428" s="78">
        <f t="shared" si="61"/>
        <v>1.6666666666666665</v>
      </c>
      <c r="BP428" s="78">
        <f t="shared" si="62"/>
        <v>1.6666666666666665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2000</v>
      </c>
      <c r="Y429" s="55">
        <f t="shared" si="58"/>
        <v>2010</v>
      </c>
      <c r="Z429" s="41">
        <f>IFERROR(IF(Y429=0,"",ROUNDUP(Y429/H429,0)*0.02175),"")</f>
        <v>2.9144999999999999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2062.6666666666665</v>
      </c>
      <c r="BN429" s="78">
        <f t="shared" si="60"/>
        <v>2072.98</v>
      </c>
      <c r="BO429" s="78">
        <f t="shared" si="61"/>
        <v>2.7777777777777777</v>
      </c>
      <c r="BP429" s="78">
        <f t="shared" si="62"/>
        <v>2.7916666666666665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3000</v>
      </c>
      <c r="Y431" s="55">
        <f t="shared" si="58"/>
        <v>3000</v>
      </c>
      <c r="Z431" s="41">
        <f>IFERROR(IF(Y431=0,"",ROUNDUP(Y431/H431,0)*0.02175),"")</f>
        <v>4.3499999999999996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3094</v>
      </c>
      <c r="BN431" s="78">
        <f t="shared" si="60"/>
        <v>3094</v>
      </c>
      <c r="BO431" s="78">
        <f t="shared" si="61"/>
        <v>4.1666666666666661</v>
      </c>
      <c r="BP431" s="78">
        <f t="shared" si="62"/>
        <v>4.1666666666666661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85</v>
      </c>
      <c r="Y433" s="55">
        <f t="shared" si="58"/>
        <v>85</v>
      </c>
      <c r="Z433" s="41">
        <f>IFERROR(IF(Y433=0,"",ROUNDUP(Y433/H433,0)*0.00902),"")</f>
        <v>0.15334</v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88.23</v>
      </c>
      <c r="BN433" s="78">
        <f t="shared" si="60"/>
        <v>88.23</v>
      </c>
      <c r="BO433" s="78">
        <f t="shared" si="61"/>
        <v>0.12878787878787878</v>
      </c>
      <c r="BP433" s="78">
        <f t="shared" si="62"/>
        <v>0.12878787878787878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10</v>
      </c>
      <c r="Y434" s="55">
        <f t="shared" si="58"/>
        <v>10</v>
      </c>
      <c r="Z434" s="41">
        <f>IFERROR(IF(Y434=0,"",ROUNDUP(Y434/H434,0)*0.00902),"")</f>
        <v>1.804E-2</v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10.38</v>
      </c>
      <c r="BN434" s="78">
        <f t="shared" si="60"/>
        <v>10.38</v>
      </c>
      <c r="BO434" s="78">
        <f t="shared" si="61"/>
        <v>1.5151515151515152E-2</v>
      </c>
      <c r="BP434" s="78">
        <f t="shared" si="62"/>
        <v>1.5151515151515152E-2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432.33333333333337</v>
      </c>
      <c r="Y435" s="43">
        <f>IFERROR(Y427/H427,"0")+IFERROR(Y428/H428,"0")+IFERROR(Y429/H429,"0")+IFERROR(Y430/H430,"0")+IFERROR(Y431/H431,"0")+IFERROR(Y432/H432,"0")+IFERROR(Y433/H433,"0")+IFERROR(Y434/H434,"0")</f>
        <v>433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9.1758799999999994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6295</v>
      </c>
      <c r="Y436" s="43">
        <f>IFERROR(SUM(Y427:Y434),"0")</f>
        <v>6305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2700</v>
      </c>
      <c r="Y438" s="55">
        <f>IFERROR(IF(X438="",0,CEILING((X438/$H438),1)*$H438),"")</f>
        <v>2700</v>
      </c>
      <c r="Z438" s="41">
        <f>IFERROR(IF(Y438=0,"",ROUNDUP(Y438/H438,0)*0.02175),"")</f>
        <v>3.9149999999999996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2784.6</v>
      </c>
      <c r="BN438" s="78">
        <f>IFERROR(Y438*I438/H438,"0")</f>
        <v>2784.6</v>
      </c>
      <c r="BO438" s="78">
        <f>IFERROR(1/J438*(X438/H438),"0")</f>
        <v>3.75</v>
      </c>
      <c r="BP438" s="78">
        <f>IFERROR(1/J438*(Y438/H438),"0")</f>
        <v>3.75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8</v>
      </c>
      <c r="Y440" s="55">
        <f>IFERROR(IF(X440="",0,CEILING((X440/$H440),1)*$H440),"")</f>
        <v>8</v>
      </c>
      <c r="Z440" s="41">
        <f>IFERROR(IF(Y440=0,"",ROUNDUP(Y440/H440,0)*0.00902),"")</f>
        <v>1.804E-2</v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8.3800000000000008</v>
      </c>
      <c r="BN440" s="78">
        <f>IFERROR(Y440*I440/H440,"0")</f>
        <v>8.3800000000000008</v>
      </c>
      <c r="BO440" s="78">
        <f>IFERROR(1/J440*(X440/H440),"0")</f>
        <v>1.5151515151515152E-2</v>
      </c>
      <c r="BP440" s="78">
        <f>IFERROR(1/J440*(Y440/H440),"0")</f>
        <v>1.5151515151515152E-2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182</v>
      </c>
      <c r="Y441" s="43">
        <f>IFERROR(Y438/H438,"0")+IFERROR(Y439/H439,"0")+IFERROR(Y440/H440,"0")</f>
        <v>182</v>
      </c>
      <c r="Z441" s="43">
        <f>IFERROR(IF(Z438="",0,Z438),"0")+IFERROR(IF(Z439="",0,Z439),"0")+IFERROR(IF(Z440="",0,Z440),"0")</f>
        <v>3.9330399999999996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2708</v>
      </c>
      <c r="Y442" s="43">
        <f>IFERROR(SUM(Y438:Y440),"0")</f>
        <v>2708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900</v>
      </c>
      <c r="Y444" s="55">
        <f>IFERROR(IF(X444="",0,CEILING((X444/$H444),1)*$H444),"")</f>
        <v>900</v>
      </c>
      <c r="Z444" s="41">
        <f>IFERROR(IF(Y444=0,"",ROUNDUP(Y444/H444,0)*0.01898),"")</f>
        <v>1.8980000000000001</v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950</v>
      </c>
      <c r="BN444" s="78">
        <f>IFERROR(Y444*I444/H444,"0")</f>
        <v>950</v>
      </c>
      <c r="BO444" s="78">
        <f>IFERROR(1/J444*(X444/H444),"0")</f>
        <v>1.5625</v>
      </c>
      <c r="BP444" s="78">
        <f>IFERROR(1/J444*(Y444/H444),"0")</f>
        <v>1.5625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250</v>
      </c>
      <c r="Y445" s="55">
        <f>IFERROR(IF(X445="",0,CEILING((X445/$H445),1)*$H445),"")</f>
        <v>252</v>
      </c>
      <c r="Z445" s="41">
        <f>IFERROR(IF(Y445=0,"",ROUNDUP(Y445/H445,0)*0.01898),"")</f>
        <v>0.53144000000000002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263.72222222222223</v>
      </c>
      <c r="BN445" s="78">
        <f>IFERROR(Y445*I445/H445,"0")</f>
        <v>265.83199999999999</v>
      </c>
      <c r="BO445" s="78">
        <f>IFERROR(1/J445*(X445/H445),"0")</f>
        <v>0.43402777777777779</v>
      </c>
      <c r="BP445" s="78">
        <f>IFERROR(1/J445*(Y445/H445),"0")</f>
        <v>0.4375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127.77777777777777</v>
      </c>
      <c r="Y447" s="43">
        <f>IFERROR(Y444/H444,"0")+IFERROR(Y445/H445,"0")+IFERROR(Y446/H446,"0")</f>
        <v>128</v>
      </c>
      <c r="Z447" s="43">
        <f>IFERROR(IF(Z444="",0,Z444),"0")+IFERROR(IF(Z445="",0,Z445),"0")+IFERROR(IF(Z446="",0,Z446),"0")</f>
        <v>2.42944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1150</v>
      </c>
      <c r="Y448" s="43">
        <f>IFERROR(SUM(Y444:Y446),"0")</f>
        <v>1152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300</v>
      </c>
      <c r="Y451" s="55">
        <f>IFERROR(IF(X451="",0,CEILING((X451/$H451),1)*$H451),"")</f>
        <v>306</v>
      </c>
      <c r="Z451" s="41">
        <f>IFERROR(IF(Y451=0,"",ROUNDUP(Y451/H451,0)*0.01898),"")</f>
        <v>0.64532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316.46666666666664</v>
      </c>
      <c r="BN451" s="78">
        <f>IFERROR(Y451*I451/H451,"0")</f>
        <v>322.79599999999999</v>
      </c>
      <c r="BO451" s="78">
        <f>IFERROR(1/J451*(X451/H451),"0")</f>
        <v>0.52083333333333337</v>
      </c>
      <c r="BP451" s="78">
        <f>IFERROR(1/J451*(Y451/H451),"0")</f>
        <v>0.53125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33.333333333333336</v>
      </c>
      <c r="Y452" s="43">
        <f>IFERROR(Y450/H450,"0")+IFERROR(Y451/H451,"0")</f>
        <v>34</v>
      </c>
      <c r="Z452" s="43">
        <f>IFERROR(IF(Z450="",0,Z450),"0")+IFERROR(IF(Z451="",0,Z451),"0")</f>
        <v>0.64532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300</v>
      </c>
      <c r="Y453" s="43">
        <f>IFERROR(SUM(Y450:Y451),"0")</f>
        <v>306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400</v>
      </c>
      <c r="Y465" s="55">
        <f>IFERROR(IF(X465="",0,CEILING((X465/$H465),1)*$H465),"")</f>
        <v>405</v>
      </c>
      <c r="Z465" s="41">
        <f>IFERROR(IF(Y465=0,"",ROUNDUP(Y465/H465,0)*0.01898),"")</f>
        <v>0.85409999999999997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421.95555555555552</v>
      </c>
      <c r="BN465" s="78">
        <f>IFERROR(Y465*I465/H465,"0")</f>
        <v>427.22999999999996</v>
      </c>
      <c r="BO465" s="78">
        <f>IFERROR(1/J465*(X465/H465),"0")</f>
        <v>0.69444444444444442</v>
      </c>
      <c r="BP465" s="78">
        <f>IFERROR(1/J465*(Y465/H465),"0")</f>
        <v>0.703125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44.444444444444443</v>
      </c>
      <c r="Y468" s="43">
        <f>IFERROR(Y465/H465,"0")+IFERROR(Y466/H466,"0")+IFERROR(Y467/H467,"0")</f>
        <v>45</v>
      </c>
      <c r="Z468" s="43">
        <f>IFERROR(IF(Z465="",0,Z465),"0")+IFERROR(IF(Z466="",0,Z466),"0")+IFERROR(IF(Z467="",0,Z467),"0")</f>
        <v>0.85409999999999997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400</v>
      </c>
      <c r="Y469" s="43">
        <f>IFERROR(SUM(Y465:Y467),"0")</f>
        <v>405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140</v>
      </c>
      <c r="Y492" s="55">
        <f>IFERROR(IF(X492="",0,CEILING((X492/$H492),1)*$H492),"")</f>
        <v>140.4</v>
      </c>
      <c r="Z492" s="41">
        <f>IFERROR(IF(Y492=0,"",ROUNDUP(Y492/H492,0)*0.00902),"")</f>
        <v>0.23452000000000001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144.92592592592592</v>
      </c>
      <c r="BN492" s="78">
        <f>IFERROR(Y492*I492/H492,"0")</f>
        <v>145.34</v>
      </c>
      <c r="BO492" s="78">
        <f>IFERROR(1/J492*(X492/H492),"0")</f>
        <v>0.19640852974186307</v>
      </c>
      <c r="BP492" s="78">
        <f>IFERROR(1/J492*(Y492/H492),"0")</f>
        <v>0.19696969696969696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25.925925925925924</v>
      </c>
      <c r="Y495" s="43">
        <f>IFERROR(Y492/H492,"0")+IFERROR(Y493/H493,"0")+IFERROR(Y494/H494,"0")</f>
        <v>26</v>
      </c>
      <c r="Z495" s="43">
        <f>IFERROR(IF(Z492="",0,Z492),"0")+IFERROR(IF(Z493="",0,Z493),"0")+IFERROR(IF(Z494="",0,Z494),"0")</f>
        <v>0.23452000000000001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140</v>
      </c>
      <c r="Y496" s="43">
        <f>IFERROR(SUM(Y492:Y494),"0")</f>
        <v>140.4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90</v>
      </c>
      <c r="Y503" s="55">
        <f t="shared" si="68"/>
        <v>95.04</v>
      </c>
      <c r="Z503" s="41">
        <f t="shared" si="69"/>
        <v>0.21528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95.965909090909079</v>
      </c>
      <c r="BN503" s="78">
        <f t="shared" si="71"/>
        <v>101.33999999999999</v>
      </c>
      <c r="BO503" s="78">
        <f t="shared" si="72"/>
        <v>0.16389860139860138</v>
      </c>
      <c r="BP503" s="78">
        <f t="shared" si="73"/>
        <v>0.17307692307692307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140</v>
      </c>
      <c r="Y505" s="55">
        <f t="shared" si="68"/>
        <v>142.56</v>
      </c>
      <c r="Z505" s="41">
        <f t="shared" si="69"/>
        <v>0.32291999999999998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149.280303030303</v>
      </c>
      <c r="BN505" s="78">
        <f t="shared" si="71"/>
        <v>152.01</v>
      </c>
      <c r="BO505" s="78">
        <f t="shared" si="72"/>
        <v>0.25495337995337997</v>
      </c>
      <c r="BP505" s="78">
        <f t="shared" si="73"/>
        <v>0.25961538461538464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43.560606060606062</v>
      </c>
      <c r="Y509" s="43">
        <f>IFERROR(Y500/H500,"0")+IFERROR(Y501/H501,"0")+IFERROR(Y502/H502,"0")+IFERROR(Y503/H503,"0")+IFERROR(Y504/H504,"0")+IFERROR(Y505/H505,"0")+IFERROR(Y506/H506,"0")+IFERROR(Y507/H507,"0")+IFERROR(Y508/H508,"0")</f>
        <v>45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0.53820000000000001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230</v>
      </c>
      <c r="Y510" s="43">
        <f>IFERROR(SUM(Y500:Y508),"0")</f>
        <v>237.60000000000002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150</v>
      </c>
      <c r="Y512" s="55">
        <f>IFERROR(IF(X512="",0,CEILING((X512/$H512),1)*$H512),"")</f>
        <v>153.12</v>
      </c>
      <c r="Z512" s="41">
        <f>IFERROR(IF(Y512=0,"",ROUNDUP(Y512/H512,0)*0.01196),"")</f>
        <v>0.34683999999999998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159.94318181818181</v>
      </c>
      <c r="BN512" s="78">
        <f>IFERROR(Y512*I512/H512,"0")</f>
        <v>163.26999999999998</v>
      </c>
      <c r="BO512" s="78">
        <f>IFERROR(1/J512*(X512/H512),"0")</f>
        <v>0.27316433566433568</v>
      </c>
      <c r="BP512" s="78">
        <f>IFERROR(1/J512*(Y512/H512),"0")</f>
        <v>0.27884615384615385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28.409090909090907</v>
      </c>
      <c r="Y515" s="43">
        <f>IFERROR(Y512/H512,"0")+IFERROR(Y513/H513,"0")+IFERROR(Y514/H514,"0")</f>
        <v>29</v>
      </c>
      <c r="Z515" s="43">
        <f>IFERROR(IF(Z512="",0,Z512),"0")+IFERROR(IF(Z513="",0,Z513),"0")+IFERROR(IF(Z514="",0,Z514),"0")</f>
        <v>0.34683999999999998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150</v>
      </c>
      <c r="Y516" s="43">
        <f>IFERROR(SUM(Y512:Y514),"0")</f>
        <v>153.12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80</v>
      </c>
      <c r="Y518" s="55">
        <f t="shared" ref="Y518:Y524" si="74">IFERROR(IF(X518="",0,CEILING((X518/$H518),1)*$H518),"")</f>
        <v>84.48</v>
      </c>
      <c r="Z518" s="41">
        <f>IFERROR(IF(Y518=0,"",ROUNDUP(Y518/H518,0)*0.01196),"")</f>
        <v>0.19136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85.303030303030297</v>
      </c>
      <c r="BN518" s="78">
        <f t="shared" ref="BN518:BN524" si="76">IFERROR(Y518*I518/H518,"0")</f>
        <v>90.08</v>
      </c>
      <c r="BO518" s="78">
        <f t="shared" ref="BO518:BO524" si="77">IFERROR(1/J518*(X518/H518),"0")</f>
        <v>0.14568764568764569</v>
      </c>
      <c r="BP518" s="78">
        <f t="shared" ref="BP518:BP524" si="78">IFERROR(1/J518*(Y518/H518),"0")</f>
        <v>0.15384615384615385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90</v>
      </c>
      <c r="Y519" s="55">
        <f t="shared" si="74"/>
        <v>95.04</v>
      </c>
      <c r="Z519" s="41">
        <f>IFERROR(IF(Y519=0,"",ROUNDUP(Y519/H519,0)*0.01196),"")</f>
        <v>0.21528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95.965909090909079</v>
      </c>
      <c r="BN519" s="78">
        <f t="shared" si="76"/>
        <v>101.33999999999999</v>
      </c>
      <c r="BO519" s="78">
        <f t="shared" si="77"/>
        <v>0.16389860139860138</v>
      </c>
      <c r="BP519" s="78">
        <f t="shared" si="78"/>
        <v>0.17307692307692307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75</v>
      </c>
      <c r="Y520" s="55">
        <f t="shared" si="74"/>
        <v>79.2</v>
      </c>
      <c r="Z520" s="41">
        <f>IFERROR(IF(Y520=0,"",ROUNDUP(Y520/H520,0)*0.01196),"")</f>
        <v>0.1794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79.971590909090907</v>
      </c>
      <c r="BN520" s="78">
        <f t="shared" si="76"/>
        <v>84.45</v>
      </c>
      <c r="BO520" s="78">
        <f t="shared" si="77"/>
        <v>0.13658216783216784</v>
      </c>
      <c r="BP520" s="78">
        <f t="shared" si="78"/>
        <v>0.14423076923076925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46.401515151515149</v>
      </c>
      <c r="Y525" s="43">
        <f>IFERROR(Y518/H518,"0")+IFERROR(Y519/H519,"0")+IFERROR(Y520/H520,"0")+IFERROR(Y521/H521,"0")+IFERROR(Y522/H522,"0")+IFERROR(Y523/H523,"0")+IFERROR(Y524/H524,"0")</f>
        <v>49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0.58604000000000001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245</v>
      </c>
      <c r="Y526" s="43">
        <f>IFERROR(SUM(Y518:Y524),"0")</f>
        <v>258.72000000000003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60</v>
      </c>
      <c r="Y530" s="55">
        <f>IFERROR(IF(X530="",0,CEILING((X530/$H530),1)*$H530),"")</f>
        <v>60</v>
      </c>
      <c r="Z530" s="41">
        <f>IFERROR(IF(Y530=0,"",ROUNDUP(Y530/H530,0)*0.01898),"")</f>
        <v>9.4899999999999998E-2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62.050000000000004</v>
      </c>
      <c r="BN530" s="78">
        <f>IFERROR(Y530*I530/H530,"0")</f>
        <v>62.050000000000004</v>
      </c>
      <c r="BO530" s="78">
        <f>IFERROR(1/J530*(X530/H530),"0")</f>
        <v>7.8125E-2</v>
      </c>
      <c r="BP530" s="78">
        <f>IFERROR(1/J530*(Y530/H530),"0")</f>
        <v>7.8125E-2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5</v>
      </c>
      <c r="Y531" s="43">
        <f>IFERROR(Y530/H530,"0")</f>
        <v>5</v>
      </c>
      <c r="Z531" s="43">
        <f>IFERROR(IF(Z530="",0,Z530),"0")</f>
        <v>9.4899999999999998E-2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60</v>
      </c>
      <c r="Y532" s="43">
        <f>IFERROR(SUM(Y530:Y530),"0")</f>
        <v>60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400</v>
      </c>
      <c r="Y538" s="55">
        <f>IFERROR(IF(X538="",0,CEILING((X538/$H538),1)*$H538),"")</f>
        <v>403.20000000000005</v>
      </c>
      <c r="Z538" s="41">
        <f>IFERROR(IF(Y538=0,"",ROUNDUP(Y538/H538,0)*0.00902),"")</f>
        <v>0.86592000000000002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423.8095238095238</v>
      </c>
      <c r="BN538" s="78">
        <f>IFERROR(Y538*I538/H538,"0")</f>
        <v>427.20000000000005</v>
      </c>
      <c r="BO538" s="78">
        <f>IFERROR(1/J538*(X538/H538),"0")</f>
        <v>0.72150072150072153</v>
      </c>
      <c r="BP538" s="78">
        <f>IFERROR(1/J538*(Y538/H538),"0")</f>
        <v>0.72727272727272729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95.238095238095241</v>
      </c>
      <c r="Y539" s="43">
        <f>IFERROR(Y538/H538,"0")</f>
        <v>96</v>
      </c>
      <c r="Z539" s="43">
        <f>IFERROR(IF(Z538="",0,Z538),"0")</f>
        <v>0.86592000000000002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400</v>
      </c>
      <c r="Y540" s="43">
        <f>IFERROR(SUM(Y538:Y538),"0")</f>
        <v>403.20000000000005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18096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18255.400000000001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18881.178681096997</v>
      </c>
      <c r="Y556" s="43">
        <f>IFERROR(SUM(BN22:BN552),"0")</f>
        <v>19048.809999999994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29</v>
      </c>
      <c r="Y557" s="44">
        <f>ROUNDUP(SUM(BP22:BP552),0)</f>
        <v>29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19606.178681096997</v>
      </c>
      <c r="Y558" s="43">
        <f>GrossWeightTotalR+PalletQtyTotalR*25</f>
        <v>19773.809999999994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1994.8877768942423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2019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32.935740000000003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21.6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1181.4000000000001</v>
      </c>
      <c r="F565" s="52">
        <f>IFERROR(Y84*1,"0")+IFERROR(Y85*1,"0")+IFERROR(Y86*1,"0")+IFERROR(Y87*1,"0")+IFERROR(Y91*1,"0")+IFERROR(Y92*1,"0")+IFERROR(Y93*1,"0")+IFERROR(Y94*1,"0")</f>
        <v>401.40000000000003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1290.8999999999999</v>
      </c>
      <c r="H565" s="52">
        <f>IFERROR(Y129*1,"0")+IFERROR(Y130*1,"0")+IFERROR(Y131*1,"0")+IFERROR(Y135*1,"0")+IFERROR(Y136*1,"0")+IFERROR(Y137*1,"0")+IFERROR(Y138*1,"0")+IFERROR(Y142*1,"0")+IFERROR(Y143*1,"0")+IFERROR(Y144*1,"0")</f>
        <v>170.16000000000003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199.5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21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788.4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43.2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1456.2</v>
      </c>
      <c r="U565" s="52">
        <f>IFERROR(Y413*1,"0")+IFERROR(Y414*1,"0")</f>
        <v>202.79999999999998</v>
      </c>
      <c r="V565" s="52">
        <f>IFERROR(Y419*1,"0")+IFERROR(Y420*1,"0")+IFERROR(Y421*1,"0")</f>
        <v>349.8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10471</v>
      </c>
      <c r="X565" s="52">
        <f>IFERROR(Y456*1,"0")+IFERROR(Y457*1,"0")+IFERROR(Y461*1,"0")+IFERROR(Y465*1,"0")+IFERROR(Y466*1,"0")+IFERROR(Y467*1,"0")</f>
        <v>405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140.4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649.44000000000005</v>
      </c>
      <c r="AB565" s="52">
        <f>IFERROR(Y530*1,"0")+IFERROR(Y534*1,"0")+IFERROR(Y538*1,"0")+IFERROR(Y542*1,"0")+IFERROR(Y546*1,"0")+IFERROR(Y547*1,"0")</f>
        <v>463.20000000000005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200,00"/>
        <filter val="1 994,89"/>
        <filter val="1,85"/>
        <filter val="10,00"/>
        <filter val="100,00"/>
        <filter val="105,49"/>
        <filter val="127,78"/>
        <filter val="128,00"/>
        <filter val="140,00"/>
        <filter val="148,15"/>
        <filter val="15,00"/>
        <filter val="150,00"/>
        <filter val="16,67"/>
        <filter val="18 096,00"/>
        <filter val="18 881,18"/>
        <filter val="180,00"/>
        <filter val="182,00"/>
        <filter val="19 606,18"/>
        <filter val="190,00"/>
        <filter val="2 000,00"/>
        <filter val="2 700,00"/>
        <filter val="2 708,00"/>
        <filter val="20,00"/>
        <filter val="200,00"/>
        <filter val="21,00"/>
        <filter val="220,00"/>
        <filter val="23,15"/>
        <filter val="230,00"/>
        <filter val="245,00"/>
        <filter val="25,00"/>
        <filter val="25,64"/>
        <filter val="25,93"/>
        <filter val="250,00"/>
        <filter val="27,81"/>
        <filter val="278,00"/>
        <filter val="28,41"/>
        <filter val="29"/>
        <filter val="3 000,00"/>
        <filter val="3,70"/>
        <filter val="3,79"/>
        <filter val="3,85"/>
        <filter val="30,00"/>
        <filter val="300,00"/>
        <filter val="33,33"/>
        <filter val="342,00"/>
        <filter val="350,00"/>
        <filter val="37,04"/>
        <filter val="4,76"/>
        <filter val="40,00"/>
        <filter val="400,00"/>
        <filter val="43,56"/>
        <filter val="432,33"/>
        <filter val="44,44"/>
        <filter val="450,00"/>
        <filter val="46,40"/>
        <filter val="480,00"/>
        <filter val="5,00"/>
        <filter val="54,00"/>
        <filter val="54,29"/>
        <filter val="54,81"/>
        <filter val="57,04"/>
        <filter val="6 295,00"/>
        <filter val="60,00"/>
        <filter val="600,00"/>
        <filter val="654,00"/>
        <filter val="70,00"/>
        <filter val="70,57"/>
        <filter val="75,00"/>
        <filter val="75,56"/>
        <filter val="8,00"/>
        <filter val="80,00"/>
        <filter val="83,33"/>
        <filter val="840,00"/>
        <filter val="85,00"/>
        <filter val="89,00"/>
        <filter val="9,81"/>
        <filter val="90,00"/>
        <filter val="90,74"/>
        <filter val="900,00"/>
        <filter val="95,24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2026-08-18T09:07:22Z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