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9E656D-3322-4E50-8D42-A0833AE9C52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Z461" i="2"/>
  <c r="Z462" i="2" s="1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Z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P433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Z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P393" i="2"/>
  <c r="BO393" i="2"/>
  <c r="BN393" i="2"/>
  <c r="BM393" i="2"/>
  <c r="Z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Z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Z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P241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P103" i="2"/>
  <c r="BO103" i="2"/>
  <c r="BM103" i="2"/>
  <c r="Y103" i="2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P92" i="2"/>
  <c r="BO92" i="2"/>
  <c r="BM92" i="2"/>
  <c r="Y92" i="2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P22" i="2"/>
  <c r="BO22" i="2"/>
  <c r="BM22" i="2"/>
  <c r="Y22" i="2"/>
  <c r="P22" i="2"/>
  <c r="H10" i="2"/>
  <c r="A9" i="2"/>
  <c r="D7" i="2"/>
  <c r="Q6" i="2"/>
  <c r="P2" i="2"/>
  <c r="BN48" i="2" l="1"/>
  <c r="BN185" i="2"/>
  <c r="BN225" i="2"/>
  <c r="BN273" i="2"/>
  <c r="BN304" i="2"/>
  <c r="BN434" i="2"/>
  <c r="BN444" i="2"/>
  <c r="BN492" i="2"/>
  <c r="BN504" i="2"/>
  <c r="BN524" i="2"/>
  <c r="BN41" i="2"/>
  <c r="Z118" i="2"/>
  <c r="BN118" i="2"/>
  <c r="BN131" i="2"/>
  <c r="Z152" i="2"/>
  <c r="Z372" i="2"/>
  <c r="Y397" i="2"/>
  <c r="BP395" i="2"/>
  <c r="BN396" i="2"/>
  <c r="Z428" i="2"/>
  <c r="Y463" i="2"/>
  <c r="BN514" i="2"/>
  <c r="Z159" i="2"/>
  <c r="Z160" i="2" s="1"/>
  <c r="Y160" i="2"/>
  <c r="Z230" i="2"/>
  <c r="BP230" i="2"/>
  <c r="BP283" i="2"/>
  <c r="Z293" i="2"/>
  <c r="BP293" i="2"/>
  <c r="BP356" i="2"/>
  <c r="Z374" i="2"/>
  <c r="Z383" i="2"/>
  <c r="BP383" i="2"/>
  <c r="Z430" i="2"/>
  <c r="BP439" i="2"/>
  <c r="Z466" i="2"/>
  <c r="BP124" i="2"/>
  <c r="BN23" i="2"/>
  <c r="BN74" i="2"/>
  <c r="BN93" i="2"/>
  <c r="BN113" i="2"/>
  <c r="Z124" i="2"/>
  <c r="Z125" i="2" s="1"/>
  <c r="BN165" i="2"/>
  <c r="BN175" i="2"/>
  <c r="Z183" i="2"/>
  <c r="BN195" i="2"/>
  <c r="Z210" i="2"/>
  <c r="Z283" i="2"/>
  <c r="BN287" i="2"/>
  <c r="Z328" i="2"/>
  <c r="BN333" i="2"/>
  <c r="BP341" i="2"/>
  <c r="BN344" i="2"/>
  <c r="Z356" i="2"/>
  <c r="Z375" i="2"/>
  <c r="Y398" i="2"/>
  <c r="Z406" i="2"/>
  <c r="Z439" i="2"/>
  <c r="Y452" i="2"/>
  <c r="Y489" i="2"/>
  <c r="BN59" i="2"/>
  <c r="BP66" i="2"/>
  <c r="BP100" i="2"/>
  <c r="Y121" i="2"/>
  <c r="BN136" i="2"/>
  <c r="Z149" i="2"/>
  <c r="BP152" i="2"/>
  <c r="BN153" i="2"/>
  <c r="BN190" i="2"/>
  <c r="BN240" i="2"/>
  <c r="Y253" i="2"/>
  <c r="BN289" i="2"/>
  <c r="BN293" i="2"/>
  <c r="BN299" i="2"/>
  <c r="BN450" i="2"/>
  <c r="BN482" i="2"/>
  <c r="BN520" i="2"/>
  <c r="Z431" i="2"/>
  <c r="Y122" i="2"/>
  <c r="Z519" i="2"/>
  <c r="BP519" i="2"/>
  <c r="Z363" i="2"/>
  <c r="BP363" i="2"/>
  <c r="Z433" i="2"/>
  <c r="Y358" i="2"/>
  <c r="Z355" i="2"/>
  <c r="Z434" i="2"/>
  <c r="Y368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422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77" i="2" s="1"/>
  <c r="Z380" i="2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384" i="2" l="1"/>
  <c r="Z515" i="2"/>
  <c r="Z350" i="2"/>
  <c r="Z197" i="2"/>
  <c r="Z167" i="2"/>
  <c r="Z264" i="2"/>
  <c r="Z290" i="2"/>
  <c r="Z88" i="2"/>
  <c r="Z367" i="2"/>
  <c r="Z435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<sst xmlns="http://schemas.openxmlformats.org/spreadsheetml/2006/main" count="4245" uniqueCount="901">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</sst>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46254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0.45833333333333331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300</v>
      </c>
      <c r="Y47" s="55">
        <f>IFERROR(IF(X47="",0,CEILING((X47/$H47),1)*$H47),"")</f>
        <v>302.40000000000003</v>
      </c>
      <c r="Z47" s="41">
        <f>IFERROR(IF(Y47=0,"",ROUNDUP(Y47/H47,0)*0.01898),"")</f>
        <v>0.53144000000000002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311.38888888888891</v>
      </c>
      <c r="BN47" s="78">
        <f>IFERROR(Y47*I47/H47,"0")</f>
        <v>313.88</v>
      </c>
      <c r="BO47" s="78">
        <f>IFERROR(1/J47*(X47/H47),"0")</f>
        <v>0.43402777777777773</v>
      </c>
      <c r="BP47" s="78">
        <f>IFERROR(1/J47*(Y47/H47),"0")</f>
        <v>0.4375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200</v>
      </c>
      <c r="Y49" s="55">
        <f>IFERROR(IF(X49="",0,CEILING((X49/$H49),1)*$H49),"")</f>
        <v>200</v>
      </c>
      <c r="Z49" s="41">
        <f>IFERROR(IF(Y49=0,"",ROUNDUP(Y49/H49,0)*0.00902),"")</f>
        <v>0.45100000000000001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209.50000000000003</v>
      </c>
      <c r="BN49" s="78">
        <f>IFERROR(Y49*I49/H49,"0")</f>
        <v>209.50000000000003</v>
      </c>
      <c r="BO49" s="78">
        <f>IFERROR(1/J49*(X49/H49),"0")</f>
        <v>0.37878787878787878</v>
      </c>
      <c r="BP49" s="78">
        <f>IFERROR(1/J49*(Y49/H49),"0")</f>
        <v>0.37878787878787878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77.777777777777771</v>
      </c>
      <c r="Y51" s="43">
        <f>IFERROR(Y47/H47,"0")+IFERROR(Y48/H48,"0")+IFERROR(Y49/H49,"0")+IFERROR(Y50/H50,"0")</f>
        <v>78</v>
      </c>
      <c r="Z51" s="43">
        <f>IFERROR(IF(Z47="",0,Z47),"0")+IFERROR(IF(Z48="",0,Z48),"0")+IFERROR(IF(Z49="",0,Z49),"0")+IFERROR(IF(Z50="",0,Z50),"0")</f>
        <v>0.98243999999999998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500</v>
      </c>
      <c r="Y52" s="43">
        <f>IFERROR(SUM(Y47:Y50),"0")</f>
        <v>502.40000000000003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100</v>
      </c>
      <c r="Y55" s="55">
        <f t="shared" ref="Y55:Y62" si="0">IFERROR(IF(X55="",0,CEILING((X55/$H55),1)*$H55),"")</f>
        <v>100.8</v>
      </c>
      <c r="Z55" s="41">
        <f>IFERROR(IF(Y55=0,"",ROUNDUP(Y55/H55,0)*0.01898),"")</f>
        <v>0.17082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103.66071428571429</v>
      </c>
      <c r="BN55" s="78">
        <f t="shared" ref="BN55:BN62" si="2">IFERROR(Y55*I55/H55,"0")</f>
        <v>104.49000000000001</v>
      </c>
      <c r="BO55" s="78">
        <f t="shared" ref="BO55:BO62" si="3">IFERROR(1/J55*(X55/H55),"0")</f>
        <v>0.13950892857142858</v>
      </c>
      <c r="BP55" s="78">
        <f t="shared" ref="BP55:BP62" si="4">IFERROR(1/J55*(Y55/H55),"0")</f>
        <v>0.140625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1200</v>
      </c>
      <c r="Y57" s="55">
        <f t="shared" si="0"/>
        <v>1209.6000000000001</v>
      </c>
      <c r="Z57" s="41">
        <f>IFERROR(IF(Y57=0,"",ROUNDUP(Y57/H57,0)*0.01898),"")</f>
        <v>2.1257600000000001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1245.5555555555557</v>
      </c>
      <c r="BN57" s="78">
        <f t="shared" si="2"/>
        <v>1255.52</v>
      </c>
      <c r="BO57" s="78">
        <f t="shared" si="3"/>
        <v>1.7361111111111109</v>
      </c>
      <c r="BP57" s="78">
        <f t="shared" si="4"/>
        <v>1.75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540</v>
      </c>
      <c r="Y62" s="55">
        <f t="shared" si="0"/>
        <v>540</v>
      </c>
      <c r="Z62" s="41">
        <f>IFERROR(IF(Y62=0,"",ROUNDUP(Y62/H62,0)*0.00902),"")</f>
        <v>1.0824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562.80000000000007</v>
      </c>
      <c r="BN62" s="78">
        <f t="shared" si="2"/>
        <v>562.80000000000007</v>
      </c>
      <c r="BO62" s="78">
        <f t="shared" si="3"/>
        <v>0.90909090909090917</v>
      </c>
      <c r="BP62" s="78">
        <f t="shared" si="4"/>
        <v>0.90909090909090917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240.03968253968253</v>
      </c>
      <c r="Y63" s="43">
        <f>IFERROR(Y55/H55,"0")+IFERROR(Y56/H56,"0")+IFERROR(Y57/H57,"0")+IFERROR(Y58/H58,"0")+IFERROR(Y59/H59,"0")+IFERROR(Y60/H60,"0")+IFERROR(Y61/H61,"0")+IFERROR(Y62/H62,"0")</f>
        <v>241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3.3789800000000003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1840</v>
      </c>
      <c r="Y64" s="43">
        <f>IFERROR(SUM(Y55:Y62),"0")</f>
        <v>1850.4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162</v>
      </c>
      <c r="Y69" s="55">
        <f>IFERROR(IF(X69="",0,CEILING((X69/$H69),1)*$H69),"")</f>
        <v>162</v>
      </c>
      <c r="Z69" s="41">
        <f>IFERROR(IF(Y69=0,"",ROUNDUP(Y69/H69,0)*0.00651),"")</f>
        <v>0.3906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172.79999999999998</v>
      </c>
      <c r="BN69" s="78">
        <f>IFERROR(Y69*I69/H69,"0")</f>
        <v>172.79999999999998</v>
      </c>
      <c r="BO69" s="78">
        <f>IFERROR(1/J69*(X69/H69),"0")</f>
        <v>0.32967032967032966</v>
      </c>
      <c r="BP69" s="78">
        <f>IFERROR(1/J69*(Y69/H69),"0")</f>
        <v>0.32967032967032966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59.999999999999993</v>
      </c>
      <c r="Y70" s="43">
        <f>IFERROR(Y66/H66,"0")+IFERROR(Y67/H67,"0")+IFERROR(Y68/H68,"0")+IFERROR(Y69/H69,"0")</f>
        <v>59.999999999999993</v>
      </c>
      <c r="Z70" s="43">
        <f>IFERROR(IF(Z66="",0,Z66),"0")+IFERROR(IF(Z67="",0,Z67),"0")+IFERROR(IF(Z68="",0,Z68),"0")+IFERROR(IF(Z69="",0,Z69),"0")</f>
        <v>0.3906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162</v>
      </c>
      <c r="Y71" s="43">
        <f>IFERROR(SUM(Y66:Y69),"0")</f>
        <v>162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225</v>
      </c>
      <c r="Y87" s="55">
        <f>IFERROR(IF(X87="",0,CEILING((X87/$H87),1)*$H87),"")</f>
        <v>225</v>
      </c>
      <c r="Z87" s="41">
        <f>IFERROR(IF(Y87=0,"",ROUNDUP(Y87/H87,0)*0.00902),"")</f>
        <v>0.45100000000000001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234.5</v>
      </c>
      <c r="BN87" s="78">
        <f>IFERROR(Y87*I87/H87,"0")</f>
        <v>234.5</v>
      </c>
      <c r="BO87" s="78">
        <f>IFERROR(1/J87*(X87/H87),"0")</f>
        <v>0.37878787878787878</v>
      </c>
      <c r="BP87" s="78">
        <f>IFERROR(1/J87*(Y87/H87),"0")</f>
        <v>0.37878787878787878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50</v>
      </c>
      <c r="Y88" s="43">
        <f>IFERROR(Y84/H84,"0")+IFERROR(Y85/H85,"0")+IFERROR(Y86/H86,"0")+IFERROR(Y87/H87,"0")</f>
        <v>50</v>
      </c>
      <c r="Z88" s="43">
        <f>IFERROR(IF(Z84="",0,Z84),"0")+IFERROR(IF(Z85="",0,Z85),"0")+IFERROR(IF(Z86="",0,Z86),"0")+IFERROR(IF(Z87="",0,Z87),"0")</f>
        <v>0.45100000000000001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225</v>
      </c>
      <c r="Y89" s="43">
        <f>IFERROR(SUM(Y84:Y87),"0")</f>
        <v>225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300</v>
      </c>
      <c r="Y91" s="55">
        <f>IFERROR(IF(X91="",0,CEILING((X91/$H91),1)*$H91),"")</f>
        <v>307.8</v>
      </c>
      <c r="Z91" s="41">
        <f>IFERROR(IF(Y91=0,"",ROUNDUP(Y91/H91,0)*0.01898),"")</f>
        <v>0.72123999999999999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318.2962962962963</v>
      </c>
      <c r="BN91" s="78">
        <f>IFERROR(Y91*I91/H91,"0")</f>
        <v>326.572</v>
      </c>
      <c r="BO91" s="78">
        <f>IFERROR(1/J91*(X91/H91),"0")</f>
        <v>0.57870370370370372</v>
      </c>
      <c r="BP91" s="78">
        <f>IFERROR(1/J91*(Y91/H91),"0")</f>
        <v>0.59375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37.037037037037038</v>
      </c>
      <c r="Y95" s="43">
        <f>IFERROR(Y91/H91,"0")+IFERROR(Y92/H92,"0")+IFERROR(Y93/H93,"0")+IFERROR(Y94/H94,"0")</f>
        <v>38</v>
      </c>
      <c r="Z95" s="43">
        <f>IFERROR(IF(Z91="",0,Z91),"0")+IFERROR(IF(Z92="",0,Z92),"0")+IFERROR(IF(Z93="",0,Z93),"0")+IFERROR(IF(Z94="",0,Z94),"0")</f>
        <v>0.72123999999999999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300</v>
      </c>
      <c r="Y96" s="43">
        <f>IFERROR(SUM(Y91:Y94),"0")</f>
        <v>307.8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1200</v>
      </c>
      <c r="Y117" s="55">
        <f>IFERROR(IF(X117="",0,CEILING((X117/$H117),1)*$H117),"")</f>
        <v>1206.8999999999999</v>
      </c>
      <c r="Z117" s="41">
        <f>IFERROR(IF(Y117=0,"",ROUNDUP(Y117/H117,0)*0.01898),"")</f>
        <v>2.82802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1272.2962962962961</v>
      </c>
      <c r="BN117" s="78">
        <f>IFERROR(Y117*I117/H117,"0")</f>
        <v>1279.6119999999999</v>
      </c>
      <c r="BO117" s="78">
        <f>IFERROR(1/J117*(X117/H117),"0")</f>
        <v>2.3148148148148149</v>
      </c>
      <c r="BP117" s="78">
        <f>IFERROR(1/J117*(Y117/H117),"0")</f>
        <v>2.328125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148.14814814814815</v>
      </c>
      <c r="Y121" s="43">
        <f>IFERROR(Y117/H117,"0")+IFERROR(Y118/H118,"0")+IFERROR(Y119/H119,"0")+IFERROR(Y120/H120,"0")</f>
        <v>149</v>
      </c>
      <c r="Z121" s="43">
        <f>IFERROR(IF(Z117="",0,Z117),"0")+IFERROR(IF(Z118="",0,Z118),"0")+IFERROR(IF(Z119="",0,Z119),"0")+IFERROR(IF(Z120="",0,Z120),"0")</f>
        <v>2.82802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1200</v>
      </c>
      <c r="Y122" s="43">
        <f>IFERROR(SUM(Y117:Y120),"0")</f>
        <v>1206.8999999999999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50</v>
      </c>
      <c r="Y175" s="55">
        <f t="shared" ref="Y175:Y185" si="16">IFERROR(IF(X175="",0,CEILING((X175/$H175),1)*$H175),"")</f>
        <v>52.5</v>
      </c>
      <c r="Z175" s="41">
        <f>IFERROR(IF(Y175=0,"",ROUNDUP(Y175/H175,0)*0.00902),"")</f>
        <v>0.1353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52.714285714285715</v>
      </c>
      <c r="BN175" s="78">
        <f t="shared" ref="BN175:BN185" si="18">IFERROR(Y175*I175/H175,"0")</f>
        <v>55.35</v>
      </c>
      <c r="BO175" s="78">
        <f t="shared" ref="BO175:BO185" si="19">IFERROR(1/J175*(X175/H175),"0")</f>
        <v>0.10822510822510824</v>
      </c>
      <c r="BP175" s="78">
        <f t="shared" ref="BP175:BP185" si="20">IFERROR(1/J175*(Y175/H175),"0")</f>
        <v>0.11363636363636365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150</v>
      </c>
      <c r="Y176" s="55">
        <f t="shared" si="16"/>
        <v>150.5</v>
      </c>
      <c r="Z176" s="41">
        <f>IFERROR(IF(Y176=0,"",ROUNDUP(Y176/H176,0)*0.00902),"")</f>
        <v>0.38785999999999998</v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161.35714285714286</v>
      </c>
      <c r="BN176" s="78">
        <f t="shared" si="18"/>
        <v>161.89500000000001</v>
      </c>
      <c r="BO176" s="78">
        <f t="shared" si="19"/>
        <v>0.32467532467532467</v>
      </c>
      <c r="BP176" s="78">
        <f t="shared" si="20"/>
        <v>0.32575757575757575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100</v>
      </c>
      <c r="Y177" s="55">
        <f t="shared" si="16"/>
        <v>101.5</v>
      </c>
      <c r="Z177" s="41">
        <f>IFERROR(IF(Y177=0,"",ROUNDUP(Y177/H177,0)*0.00902),"")</f>
        <v>0.26158000000000003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105.42857142857143</v>
      </c>
      <c r="BN177" s="78">
        <f t="shared" si="18"/>
        <v>107.00999999999999</v>
      </c>
      <c r="BO177" s="78">
        <f t="shared" si="19"/>
        <v>0.21645021645021648</v>
      </c>
      <c r="BP177" s="78">
        <f t="shared" si="20"/>
        <v>0.2196969696969697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100</v>
      </c>
      <c r="Y178" s="55">
        <f t="shared" si="16"/>
        <v>101.5</v>
      </c>
      <c r="Z178" s="41">
        <f>IFERROR(IF(Y178=0,"",ROUNDUP(Y178/H178,0)*0.00902),"")</f>
        <v>0.26158000000000003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105.42857142857143</v>
      </c>
      <c r="BN178" s="78">
        <f t="shared" si="18"/>
        <v>107.00999999999999</v>
      </c>
      <c r="BO178" s="78">
        <f t="shared" si="19"/>
        <v>0.21645021645021648</v>
      </c>
      <c r="BP178" s="78">
        <f t="shared" si="20"/>
        <v>0.2196969696969697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114.28571428571428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116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1.0463200000000001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400</v>
      </c>
      <c r="Y187" s="43">
        <f>IFERROR(SUM(Y175:Y185),"0")</f>
        <v>406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250</v>
      </c>
      <c r="Y267" s="55">
        <f t="shared" ref="Y267:Y274" si="33">IFERROR(IF(X267="",0,CEILING((X267/$H267),1)*$H267),"")</f>
        <v>253.8</v>
      </c>
      <c r="Z267" s="41">
        <f>IFERROR(IF(Y267=0,"",ROUNDUP(Y267/H267,0)*0.00902),"")</f>
        <v>0.42393999999999998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258.7962962962963</v>
      </c>
      <c r="BN267" s="78">
        <f t="shared" ref="BN267:BN274" si="35">IFERROR(Y267*I267/H267,"0")</f>
        <v>262.72999999999996</v>
      </c>
      <c r="BO267" s="78">
        <f t="shared" ref="BO267:BO274" si="36">IFERROR(1/J267*(X267/H267),"0")</f>
        <v>0.35072951739618402</v>
      </c>
      <c r="BP267" s="78">
        <f t="shared" ref="BP267:BP274" si="37">IFERROR(1/J267*(Y267/H267),"0")</f>
        <v>0.35606060606060608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150</v>
      </c>
      <c r="Y268" s="55">
        <f t="shared" si="33"/>
        <v>151.20000000000002</v>
      </c>
      <c r="Z268" s="41">
        <f>IFERROR(IF(Y268=0,"",ROUNDUP(Y268/H268,0)*0.00902),"")</f>
        <v>0.25256000000000001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155.27777777777777</v>
      </c>
      <c r="BN268" s="78">
        <f t="shared" si="35"/>
        <v>156.52000000000001</v>
      </c>
      <c r="BO268" s="78">
        <f t="shared" si="36"/>
        <v>0.21043771043771042</v>
      </c>
      <c r="BP268" s="78">
        <f t="shared" si="37"/>
        <v>0.21212121212121213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250</v>
      </c>
      <c r="Y269" s="55">
        <f t="shared" si="33"/>
        <v>253.8</v>
      </c>
      <c r="Z269" s="41">
        <f>IFERROR(IF(Y269=0,"",ROUNDUP(Y269/H269,0)*0.00902),"")</f>
        <v>0.42393999999999998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258.7962962962963</v>
      </c>
      <c r="BN269" s="78">
        <f t="shared" si="35"/>
        <v>262.72999999999996</v>
      </c>
      <c r="BO269" s="78">
        <f t="shared" si="36"/>
        <v>0.35072951739618402</v>
      </c>
      <c r="BP269" s="78">
        <f t="shared" si="37"/>
        <v>0.35606060606060608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100</v>
      </c>
      <c r="Y270" s="55">
        <f t="shared" si="33"/>
        <v>102.60000000000001</v>
      </c>
      <c r="Z270" s="41">
        <f>IFERROR(IF(Y270=0,"",ROUNDUP(Y270/H270,0)*0.00902),"")</f>
        <v>0.17138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103.5185185185185</v>
      </c>
      <c r="BN270" s="78">
        <f t="shared" si="35"/>
        <v>106.21</v>
      </c>
      <c r="BO270" s="78">
        <f t="shared" si="36"/>
        <v>0.14029180695847362</v>
      </c>
      <c r="BP270" s="78">
        <f t="shared" si="37"/>
        <v>0.14393939393939395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138.88888888888886</v>
      </c>
      <c r="Y275" s="43">
        <f>IFERROR(Y267/H267,"0")+IFERROR(Y268/H268,"0")+IFERROR(Y269/H269,"0")+IFERROR(Y270/H270,"0")+IFERROR(Y271/H271,"0")+IFERROR(Y272/H272,"0")+IFERROR(Y273/H273,"0")+IFERROR(Y274/H274,"0")</f>
        <v>141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1.27182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750</v>
      </c>
      <c r="Y276" s="43">
        <f>IFERROR(SUM(Y267:Y274),"0")</f>
        <v>761.4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40</v>
      </c>
      <c r="Y355" s="55">
        <f>IFERROR(IF(X355="",0,CEILING((X355/$H355),1)*$H355),"")</f>
        <v>46.8</v>
      </c>
      <c r="Z355" s="41">
        <f>IFERROR(IF(Y355=0,"",ROUNDUP(Y355/H355,0)*0.01898),"")</f>
        <v>0.11388000000000001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42.102564102564109</v>
      </c>
      <c r="BN355" s="78">
        <f>IFERROR(Y355*I355/H355,"0")</f>
        <v>49.260000000000005</v>
      </c>
      <c r="BO355" s="78">
        <f>IFERROR(1/J355*(X355/H355),"0")</f>
        <v>8.0128205128205135E-2</v>
      </c>
      <c r="BP355" s="78">
        <f>IFERROR(1/J355*(Y355/H355),"0")</f>
        <v>9.375E-2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40</v>
      </c>
      <c r="Y356" s="55">
        <f>IFERROR(IF(X356="",0,CEILING((X356/$H356),1)*$H356),"")</f>
        <v>46.8</v>
      </c>
      <c r="Z356" s="41">
        <f>IFERROR(IF(Y356=0,"",ROUNDUP(Y356/H356,0)*0.01898),"")</f>
        <v>0.11388000000000001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42.102564102564109</v>
      </c>
      <c r="BN356" s="78">
        <f>IFERROR(Y356*I356/H356,"0")</f>
        <v>49.260000000000005</v>
      </c>
      <c r="BO356" s="78">
        <f>IFERROR(1/J356*(X356/H356),"0")</f>
        <v>8.0128205128205135E-2</v>
      </c>
      <c r="BP356" s="78">
        <f>IFERROR(1/J356*(Y356/H356),"0")</f>
        <v>9.375E-2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10.256410256410257</v>
      </c>
      <c r="Y357" s="43">
        <f>IFERROR(Y354/H354,"0")+IFERROR(Y355/H355,"0")+IFERROR(Y356/H356,"0")</f>
        <v>12</v>
      </c>
      <c r="Z357" s="43">
        <f>IFERROR(IF(Z354="",0,Z354),"0")+IFERROR(IF(Z355="",0,Z355),"0")+IFERROR(IF(Z356="",0,Z356),"0")</f>
        <v>0.22776000000000002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80</v>
      </c>
      <c r="Y358" s="43">
        <f>IFERROR(SUM(Y354:Y356),"0")</f>
        <v>93.6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2000</v>
      </c>
      <c r="Y361" s="55">
        <f t="shared" ref="Y361:Y366" si="48">IFERROR(IF(X361="",0,CEILING((X361/$H361),1)*$H361),"")</f>
        <v>2008.8000000000002</v>
      </c>
      <c r="Z361" s="41">
        <f>IFERROR(IF(Y361=0,"",ROUNDUP(Y361/H361,0)*0.01898),"")</f>
        <v>3.5302799999999999</v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2075.9259259259256</v>
      </c>
      <c r="BN361" s="78">
        <f t="shared" ref="BN361:BN366" si="50">IFERROR(Y361*I361/H361,"0")</f>
        <v>2085.0600000000004</v>
      </c>
      <c r="BO361" s="78">
        <f t="shared" ref="BO361:BO366" si="51">IFERROR(1/J361*(X361/H361),"0")</f>
        <v>2.8935185185185182</v>
      </c>
      <c r="BP361" s="78">
        <f t="shared" ref="BP361:BP366" si="52">IFERROR(1/J361*(Y361/H361),"0")</f>
        <v>2.90625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200</v>
      </c>
      <c r="Y362" s="55">
        <f t="shared" si="48"/>
        <v>205.20000000000002</v>
      </c>
      <c r="Z362" s="41">
        <f>IFERROR(IF(Y362=0,"",ROUNDUP(Y362/H362,0)*0.01898),"")</f>
        <v>0.36062</v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207.59259259259258</v>
      </c>
      <c r="BN362" s="78">
        <f t="shared" si="50"/>
        <v>212.99</v>
      </c>
      <c r="BO362" s="78">
        <f t="shared" si="51"/>
        <v>0.28935185185185186</v>
      </c>
      <c r="BP362" s="78">
        <f t="shared" si="52"/>
        <v>0.296875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250</v>
      </c>
      <c r="Y363" s="55">
        <f t="shared" si="48"/>
        <v>259.20000000000005</v>
      </c>
      <c r="Z363" s="41">
        <f>IFERROR(IF(Y363=0,"",ROUNDUP(Y363/H363,0)*0.01898),"")</f>
        <v>0.45552000000000004</v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259.4907407407407</v>
      </c>
      <c r="BN363" s="78">
        <f t="shared" si="50"/>
        <v>269.04000000000002</v>
      </c>
      <c r="BO363" s="78">
        <f t="shared" si="51"/>
        <v>0.36168981481481477</v>
      </c>
      <c r="BP363" s="78">
        <f t="shared" si="52"/>
        <v>0.37500000000000006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200</v>
      </c>
      <c r="Y366" s="55">
        <f t="shared" si="48"/>
        <v>200</v>
      </c>
      <c r="Z366" s="41">
        <f>IFERROR(IF(Y366=0,"",ROUNDUP(Y366/H366,0)*0.00902),"")</f>
        <v>0.45100000000000001</v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209.50000000000003</v>
      </c>
      <c r="BN366" s="78">
        <f t="shared" si="50"/>
        <v>209.50000000000003</v>
      </c>
      <c r="BO366" s="78">
        <f t="shared" si="51"/>
        <v>0.37878787878787878</v>
      </c>
      <c r="BP366" s="78">
        <f t="shared" si="52"/>
        <v>0.37878787878787878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276.85185185185185</v>
      </c>
      <c r="Y367" s="43">
        <f>IFERROR(Y361/H361,"0")+IFERROR(Y362/H362,"0")+IFERROR(Y363/H363,"0")+IFERROR(Y364/H364,"0")+IFERROR(Y365/H365,"0")+IFERROR(Y366/H366,"0")</f>
        <v>279</v>
      </c>
      <c r="Z367" s="43">
        <f>IFERROR(IF(Z361="",0,Z361),"0")+IFERROR(IF(Z362="",0,Z362),"0")+IFERROR(IF(Z363="",0,Z363),"0")+IFERROR(IF(Z364="",0,Z364),"0")+IFERROR(IF(Z365="",0,Z365),"0")+IFERROR(IF(Z366="",0,Z366),"0")</f>
        <v>4.7974199999999998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2650</v>
      </c>
      <c r="Y368" s="43">
        <f>IFERROR(SUM(Y361:Y366),"0")</f>
        <v>2673.2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400</v>
      </c>
      <c r="Y370" s="55">
        <f t="shared" ref="Y370:Y376" si="53">IFERROR(IF(X370="",0,CEILING((X370/$H370),1)*$H370),"")</f>
        <v>403.20000000000005</v>
      </c>
      <c r="Z370" s="41">
        <f>IFERROR(IF(Y370=0,"",ROUNDUP(Y370/H370,0)*0.00902),"")</f>
        <v>0.86592000000000002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423.8095238095238</v>
      </c>
      <c r="BN370" s="78">
        <f t="shared" ref="BN370:BN376" si="55">IFERROR(Y370*I370/H370,"0")</f>
        <v>427.20000000000005</v>
      </c>
      <c r="BO370" s="78">
        <f t="shared" ref="BO370:BO376" si="56">IFERROR(1/J370*(X370/H370),"0")</f>
        <v>0.72150072150072153</v>
      </c>
      <c r="BP370" s="78">
        <f t="shared" ref="BP370:BP376" si="57">IFERROR(1/J370*(Y370/H370),"0")</f>
        <v>0.72727272727272729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500</v>
      </c>
      <c r="Y371" s="55">
        <f t="shared" si="53"/>
        <v>504</v>
      </c>
      <c r="Z371" s="41">
        <f>IFERROR(IF(Y371=0,"",ROUNDUP(Y371/H371,0)*0.00902),"")</f>
        <v>1.0824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529.7619047619047</v>
      </c>
      <c r="BN371" s="78">
        <f t="shared" si="55"/>
        <v>534</v>
      </c>
      <c r="BO371" s="78">
        <f t="shared" si="56"/>
        <v>0.90187590187590183</v>
      </c>
      <c r="BP371" s="78">
        <f t="shared" si="57"/>
        <v>0.90909090909090917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214.28571428571428</v>
      </c>
      <c r="Y377" s="43">
        <f>IFERROR(Y370/H370,"0")+IFERROR(Y371/H371,"0")+IFERROR(Y372/H372,"0")+IFERROR(Y373/H373,"0")+IFERROR(Y374/H374,"0")+IFERROR(Y375/H375,"0")+IFERROR(Y376/H376,"0")</f>
        <v>216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1.9483200000000001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900</v>
      </c>
      <c r="Y378" s="43">
        <f>IFERROR(SUM(Y370:Y376),"0")</f>
        <v>907.2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90</v>
      </c>
      <c r="Y383" s="55">
        <f>IFERROR(IF(X383="",0,CEILING((X383/$H383),1)*$H383),"")</f>
        <v>90</v>
      </c>
      <c r="Z383" s="41">
        <f>IFERROR(IF(Y383=0,"",ROUNDUP(Y383/H383,0)*0.00651),"")</f>
        <v>0.1953</v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97.38</v>
      </c>
      <c r="BN383" s="78">
        <f>IFERROR(Y383*I383/H383,"0")</f>
        <v>97.38</v>
      </c>
      <c r="BO383" s="78">
        <f>IFERROR(1/J383*(X383/H383),"0")</f>
        <v>0.16483516483516486</v>
      </c>
      <c r="BP383" s="78">
        <f>IFERROR(1/J383*(Y383/H383),"0")</f>
        <v>0.16483516483516486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30</v>
      </c>
      <c r="Y384" s="43">
        <f>IFERROR(Y380/H380,"0")+IFERROR(Y381/H381,"0")+IFERROR(Y382/H382,"0")+IFERROR(Y383/H383,"0")</f>
        <v>30</v>
      </c>
      <c r="Z384" s="43">
        <f>IFERROR(IF(Z380="",0,Z380),"0")+IFERROR(IF(Z381="",0,Z381),"0")+IFERROR(IF(Z382="",0,Z382),"0")+IFERROR(IF(Z383="",0,Z383),"0")</f>
        <v>0.1953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90</v>
      </c>
      <c r="Y385" s="43">
        <f>IFERROR(SUM(Y380:Y383),"0")</f>
        <v>90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800</v>
      </c>
      <c r="Y388" s="55">
        <f>IFERROR(IF(X388="",0,CEILING((X388/$H388),1)*$H388),"")</f>
        <v>803.4</v>
      </c>
      <c r="Z388" s="41">
        <f>IFERROR(IF(Y388=0,"",ROUNDUP(Y388/H388,0)*0.01898),"")</f>
        <v>1.9549400000000001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850.66666666666674</v>
      </c>
      <c r="BN388" s="78">
        <f>IFERROR(Y388*I388/H388,"0")</f>
        <v>854.28200000000015</v>
      </c>
      <c r="BO388" s="78">
        <f>IFERROR(1/J388*(X388/H388),"0")</f>
        <v>1.6025641025641026</v>
      </c>
      <c r="BP388" s="78">
        <f>IFERROR(1/J388*(Y388/H388),"0")</f>
        <v>1.609375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200</v>
      </c>
      <c r="Y389" s="55">
        <f>IFERROR(IF(X389="",0,CEILING((X389/$H389),1)*$H389),"")</f>
        <v>201.60000000000002</v>
      </c>
      <c r="Z389" s="41">
        <f>IFERROR(IF(Y389=0,"",ROUNDUP(Y389/H389,0)*0.01898),"")</f>
        <v>0.45552000000000004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211.76190476190476</v>
      </c>
      <c r="BN389" s="78">
        <f>IFERROR(Y389*I389/H389,"0")</f>
        <v>213.45600000000002</v>
      </c>
      <c r="BO389" s="78">
        <f>IFERROR(1/J389*(X389/H389),"0")</f>
        <v>0.37202380952380953</v>
      </c>
      <c r="BP389" s="78">
        <f>IFERROR(1/J389*(Y389/H389),"0")</f>
        <v>0.375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126.37362637362638</v>
      </c>
      <c r="Y390" s="43">
        <f>IFERROR(Y387/H387,"0")+IFERROR(Y388/H388,"0")+IFERROR(Y389/H389,"0")</f>
        <v>127</v>
      </c>
      <c r="Z390" s="43">
        <f>IFERROR(IF(Z387="",0,Z387),"0")+IFERROR(IF(Z388="",0,Z388),"0")+IFERROR(IF(Z389="",0,Z389),"0")</f>
        <v>2.41046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1000</v>
      </c>
      <c r="Y391" s="43">
        <f>IFERROR(SUM(Y387:Y389),"0")</f>
        <v>1005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1300</v>
      </c>
      <c r="Y419" s="55">
        <f>IFERROR(IF(X419="",0,CEILING((X419/$H419),1)*$H419),"")</f>
        <v>1304.0999999999999</v>
      </c>
      <c r="Z419" s="41">
        <f>IFERROR(IF(Y419=0,"",ROUNDUP(Y419/H419,0)*0.01898),"")</f>
        <v>3.0557799999999999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1379.2839506172838</v>
      </c>
      <c r="BN419" s="78">
        <f>IFERROR(Y419*I419/H419,"0")</f>
        <v>1383.6339999999998</v>
      </c>
      <c r="BO419" s="78">
        <f>IFERROR(1/J419*(X419/H419),"0")</f>
        <v>2.507716049382716</v>
      </c>
      <c r="BP419" s="78">
        <f>IFERROR(1/J419*(Y419/H419),"0")</f>
        <v>2.515625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175</v>
      </c>
      <c r="Y420" s="55">
        <f>IFERROR(IF(X420="",0,CEILING((X420/$H420),1)*$H420),"")</f>
        <v>176.4</v>
      </c>
      <c r="Z420" s="41">
        <f>IFERROR(IF(Y420=0,"",ROUNDUP(Y420/H420,0)*0.00651),"")</f>
        <v>0.54683999999999999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195.99999999999997</v>
      </c>
      <c r="BN420" s="78">
        <f>IFERROR(Y420*I420/H420,"0")</f>
        <v>197.56799999999998</v>
      </c>
      <c r="BO420" s="78">
        <f>IFERROR(1/J420*(X420/H420),"0")</f>
        <v>0.45787545787545786</v>
      </c>
      <c r="BP420" s="78">
        <f>IFERROR(1/J420*(Y420/H420),"0")</f>
        <v>0.46153846153846156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105</v>
      </c>
      <c r="Y421" s="55">
        <f>IFERROR(IF(X421="",0,CEILING((X421/$H421),1)*$H421),"")</f>
        <v>105</v>
      </c>
      <c r="Z421" s="41">
        <f>IFERROR(IF(Y421=0,"",ROUNDUP(Y421/H421,0)*0.00651),"")</f>
        <v>0.32550000000000001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116.99999999999999</v>
      </c>
      <c r="BN421" s="78">
        <f>IFERROR(Y421*I421/H421,"0")</f>
        <v>116.99999999999999</v>
      </c>
      <c r="BO421" s="78">
        <f>IFERROR(1/J421*(X421/H421),"0")</f>
        <v>0.27472527472527475</v>
      </c>
      <c r="BP421" s="78">
        <f>IFERROR(1/J421*(Y421/H421),"0")</f>
        <v>0.27472527472527475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293.82716049382714</v>
      </c>
      <c r="Y422" s="43">
        <f>IFERROR(Y419/H419,"0")+IFERROR(Y420/H420,"0")+IFERROR(Y421/H421,"0")</f>
        <v>295</v>
      </c>
      <c r="Z422" s="43">
        <f>IFERROR(IF(Z419="",0,Z419),"0")+IFERROR(IF(Z420="",0,Z420),"0")+IFERROR(IF(Z421="",0,Z421),"0")</f>
        <v>3.9281199999999998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1580</v>
      </c>
      <c r="Y423" s="43">
        <f>IFERROR(SUM(Y419:Y421),"0")</f>
        <v>1585.5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2250</v>
      </c>
      <c r="Y428" s="55">
        <f t="shared" si="58"/>
        <v>2250</v>
      </c>
      <c r="Z428" s="41">
        <f>IFERROR(IF(Y428=0,"",ROUNDUP(Y428/H428,0)*0.02175),"")</f>
        <v>3.2624999999999997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2320.5</v>
      </c>
      <c r="BN428" s="78">
        <f t="shared" si="60"/>
        <v>2320.5</v>
      </c>
      <c r="BO428" s="78">
        <f t="shared" si="61"/>
        <v>3.125</v>
      </c>
      <c r="BP428" s="78">
        <f t="shared" si="62"/>
        <v>3.125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50</v>
      </c>
      <c r="Y433" s="55">
        <f t="shared" si="58"/>
        <v>50</v>
      </c>
      <c r="Z433" s="41">
        <f>IFERROR(IF(Y433=0,"",ROUNDUP(Y433/H433,0)*0.00902),"")</f>
        <v>9.0200000000000002E-2</v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51.9</v>
      </c>
      <c r="BN433" s="78">
        <f t="shared" si="60"/>
        <v>51.9</v>
      </c>
      <c r="BO433" s="78">
        <f t="shared" si="61"/>
        <v>7.575757575757576E-2</v>
      </c>
      <c r="BP433" s="78">
        <f t="shared" si="62"/>
        <v>7.575757575757576E-2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75</v>
      </c>
      <c r="Y434" s="55">
        <f t="shared" si="58"/>
        <v>75</v>
      </c>
      <c r="Z434" s="41">
        <f>IFERROR(IF(Y434=0,"",ROUNDUP(Y434/H434,0)*0.00902),"")</f>
        <v>0.1353</v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77.850000000000009</v>
      </c>
      <c r="BN434" s="78">
        <f t="shared" si="60"/>
        <v>77.850000000000009</v>
      </c>
      <c r="BO434" s="78">
        <f t="shared" si="61"/>
        <v>0.11363636363636365</v>
      </c>
      <c r="BP434" s="78">
        <f t="shared" si="62"/>
        <v>0.11363636363636365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175</v>
      </c>
      <c r="Y435" s="43">
        <f>IFERROR(Y427/H427,"0")+IFERROR(Y428/H428,"0")+IFERROR(Y429/H429,"0")+IFERROR(Y430/H430,"0")+IFERROR(Y431/H431,"0")+IFERROR(Y432/H432,"0")+IFERROR(Y433/H433,"0")+IFERROR(Y434/H434,"0")</f>
        <v>175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3.4879999999999995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2375</v>
      </c>
      <c r="Y436" s="43">
        <f>IFERROR(SUM(Y427:Y434),"0")</f>
        <v>2375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270</v>
      </c>
      <c r="Y445" s="55">
        <f>IFERROR(IF(X445="",0,CEILING((X445/$H445),1)*$H445),"")</f>
        <v>270</v>
      </c>
      <c r="Z445" s="41">
        <f>IFERROR(IF(Y445=0,"",ROUNDUP(Y445/H445,0)*0.01898),"")</f>
        <v>0.56940000000000002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284.82</v>
      </c>
      <c r="BN445" s="78">
        <f>IFERROR(Y445*I445/H445,"0")</f>
        <v>284.82</v>
      </c>
      <c r="BO445" s="78">
        <f>IFERROR(1/J445*(X445/H445),"0")</f>
        <v>0.46875</v>
      </c>
      <c r="BP445" s="78">
        <f>IFERROR(1/J445*(Y445/H445),"0")</f>
        <v>0.46875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30</v>
      </c>
      <c r="Y447" s="43">
        <f>IFERROR(Y444/H444,"0")+IFERROR(Y445/H445,"0")+IFERROR(Y446/H446,"0")</f>
        <v>30</v>
      </c>
      <c r="Z447" s="43">
        <f>IFERROR(IF(Z444="",0,Z444),"0")+IFERROR(IF(Z445="",0,Z445),"0")+IFERROR(IF(Z446="",0,Z446),"0")</f>
        <v>0.56940000000000002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270</v>
      </c>
      <c r="Y448" s="43">
        <f>IFERROR(SUM(Y444:Y446),"0")</f>
        <v>270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90</v>
      </c>
      <c r="Y465" s="55">
        <f>IFERROR(IF(X465="",0,CEILING((X465/$H465),1)*$H465),"")</f>
        <v>90</v>
      </c>
      <c r="Z465" s="41">
        <f>IFERROR(IF(Y465=0,"",ROUNDUP(Y465/H465,0)*0.01898),"")</f>
        <v>0.1898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94.94</v>
      </c>
      <c r="BN465" s="78">
        <f>IFERROR(Y465*I465/H465,"0")</f>
        <v>94.94</v>
      </c>
      <c r="BO465" s="78">
        <f>IFERROR(1/J465*(X465/H465),"0")</f>
        <v>0.15625</v>
      </c>
      <c r="BP465" s="78">
        <f>IFERROR(1/J465*(Y465/H465),"0")</f>
        <v>0.15625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10</v>
      </c>
      <c r="Y468" s="43">
        <f>IFERROR(Y465/H465,"0")+IFERROR(Y466/H466,"0")+IFERROR(Y467/H467,"0")</f>
        <v>10</v>
      </c>
      <c r="Z468" s="43">
        <f>IFERROR(IF(Z465="",0,Z465),"0")+IFERROR(IF(Z466="",0,Z466),"0")+IFERROR(IF(Z467="",0,Z467),"0")</f>
        <v>0.1898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90</v>
      </c>
      <c r="Y469" s="43">
        <f>IFERROR(SUM(Y465:Y467),"0")</f>
        <v>90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1100</v>
      </c>
      <c r="Y503" s="55">
        <f t="shared" si="68"/>
        <v>1103.52</v>
      </c>
      <c r="Z503" s="41">
        <f t="shared" si="69"/>
        <v>2.4996399999999999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1172.9166666666665</v>
      </c>
      <c r="BN503" s="78">
        <f t="shared" si="71"/>
        <v>1176.6699999999998</v>
      </c>
      <c r="BO503" s="78">
        <f t="shared" si="72"/>
        <v>2.0032051282051282</v>
      </c>
      <c r="BP503" s="78">
        <f t="shared" si="73"/>
        <v>2.0096153846153846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208.33333333333331</v>
      </c>
      <c r="Y509" s="43">
        <f>IFERROR(Y500/H500,"0")+IFERROR(Y501/H501,"0")+IFERROR(Y502/H502,"0")+IFERROR(Y503/H503,"0")+IFERROR(Y504/H504,"0")+IFERROR(Y505/H505,"0")+IFERROR(Y506/H506,"0")+IFERROR(Y507/H507,"0")+IFERROR(Y508/H508,"0")</f>
        <v>209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2.4996399999999999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1100</v>
      </c>
      <c r="Y510" s="43">
        <f>IFERROR(SUM(Y500:Y508),"0")</f>
        <v>1103.52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200</v>
      </c>
      <c r="Y519" s="55">
        <f t="shared" si="74"/>
        <v>200.64000000000001</v>
      </c>
      <c r="Z519" s="41">
        <f>IFERROR(IF(Y519=0,"",ROUNDUP(Y519/H519,0)*0.01196),"")</f>
        <v>0.45448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213.25757575757575</v>
      </c>
      <c r="BN519" s="78">
        <f t="shared" si="76"/>
        <v>213.94</v>
      </c>
      <c r="BO519" s="78">
        <f t="shared" si="77"/>
        <v>0.36421911421911418</v>
      </c>
      <c r="BP519" s="78">
        <f t="shared" si="78"/>
        <v>0.36538461538461542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100</v>
      </c>
      <c r="Y520" s="55">
        <f t="shared" si="74"/>
        <v>100.32000000000001</v>
      </c>
      <c r="Z520" s="41">
        <f>IFERROR(IF(Y520=0,"",ROUNDUP(Y520/H520,0)*0.01196),"")</f>
        <v>0.22724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106.62878787878788</v>
      </c>
      <c r="BN520" s="78">
        <f t="shared" si="76"/>
        <v>106.97</v>
      </c>
      <c r="BO520" s="78">
        <f t="shared" si="77"/>
        <v>0.18210955710955709</v>
      </c>
      <c r="BP520" s="78">
        <f t="shared" si="78"/>
        <v>0.18269230769230771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56.818181818181813</v>
      </c>
      <c r="Y525" s="43">
        <f>IFERROR(Y518/H518,"0")+IFERROR(Y519/H519,"0")+IFERROR(Y520/H520,"0")+IFERROR(Y521/H521,"0")+IFERROR(Y522/H522,"0")+IFERROR(Y523/H523,"0")+IFERROR(Y524/H524,"0")</f>
        <v>57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0.68171999999999999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300</v>
      </c>
      <c r="Y526" s="43">
        <f>IFERROR(SUM(Y518:Y524),"0")</f>
        <v>300.96000000000004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120</v>
      </c>
      <c r="Y530" s="55">
        <f>IFERROR(IF(X530="",0,CEILING((X530/$H530),1)*$H530),"")</f>
        <v>120</v>
      </c>
      <c r="Z530" s="41">
        <f>IFERROR(IF(Y530=0,"",ROUNDUP(Y530/H530,0)*0.01898),"")</f>
        <v>0.1898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124.10000000000001</v>
      </c>
      <c r="BN530" s="78">
        <f>IFERROR(Y530*I530/H530,"0")</f>
        <v>124.10000000000001</v>
      </c>
      <c r="BO530" s="78">
        <f>IFERROR(1/J530*(X530/H530),"0")</f>
        <v>0.15625</v>
      </c>
      <c r="BP530" s="78">
        <f>IFERROR(1/J530*(Y530/H530),"0")</f>
        <v>0.15625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10</v>
      </c>
      <c r="Y531" s="43">
        <f>IFERROR(Y530/H530,"0")</f>
        <v>10</v>
      </c>
      <c r="Z531" s="43">
        <f>IFERROR(IF(Z530="",0,Z530),"0")</f>
        <v>0.1898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120</v>
      </c>
      <c r="Y532" s="43">
        <f>IFERROR(SUM(Y530:Y530),"0")</f>
        <v>120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2000</v>
      </c>
      <c r="Y538" s="55">
        <f>IFERROR(IF(X538="",0,CEILING((X538/$H538),1)*$H538),"")</f>
        <v>2003.4</v>
      </c>
      <c r="Z538" s="41">
        <f>IFERROR(IF(Y538=0,"",ROUNDUP(Y538/H538,0)*0.00902),"")</f>
        <v>4.3025400000000005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2119.0476190476188</v>
      </c>
      <c r="BN538" s="78">
        <f>IFERROR(Y538*I538/H538,"0")</f>
        <v>2122.65</v>
      </c>
      <c r="BO538" s="78">
        <f>IFERROR(1/J538*(X538/H538),"0")</f>
        <v>3.6075036075036073</v>
      </c>
      <c r="BP538" s="78">
        <f>IFERROR(1/J538*(Y538/H538),"0")</f>
        <v>3.6136363636363638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476.19047619047615</v>
      </c>
      <c r="Y539" s="43">
        <f>IFERROR(Y538/H538,"0")</f>
        <v>477</v>
      </c>
      <c r="Z539" s="43">
        <f>IFERROR(IF(Z538="",0,Z538),"0")</f>
        <v>4.3025400000000005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2000</v>
      </c>
      <c r="Y540" s="43">
        <f>IFERROR(SUM(Y538:Y538),"0")</f>
        <v>2003.4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17932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18039.280000000002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18840.454199072527</v>
      </c>
      <c r="Y556" s="43">
        <f>IFERROR(SUM(BN22:BN552),"0")</f>
        <v>18953.099000000002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31</v>
      </c>
      <c r="Y557" s="44">
        <f>ROUNDUP(SUM(BP22:BP552),0)</f>
        <v>31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19615.454199072527</v>
      </c>
      <c r="Y558" s="43">
        <f>GrossWeightTotalR+PalletQtyTotalR*25</f>
        <v>19728.099000000002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2784.1140032806702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2800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36.498699999999999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502.40000000000003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2012.4</v>
      </c>
      <c r="F565" s="52">
        <f>IFERROR(Y84*1,"0")+IFERROR(Y85*1,"0")+IFERROR(Y86*1,"0")+IFERROR(Y87*1,"0")+IFERROR(Y91*1,"0")+IFERROR(Y92*1,"0")+IFERROR(Y93*1,"0")+IFERROR(Y94*1,"0")</f>
        <v>532.79999999999995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1206.8999999999999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406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761.4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93.6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4675.3999999999996</v>
      </c>
      <c r="U565" s="52">
        <f>IFERROR(Y413*1,"0")+IFERROR(Y414*1,"0")</f>
        <v>0</v>
      </c>
      <c r="V565" s="52">
        <f>IFERROR(Y419*1,"0")+IFERROR(Y420*1,"0")+IFERROR(Y421*1,"0")</f>
        <v>1585.5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2645</v>
      </c>
      <c r="X565" s="52">
        <f>IFERROR(Y456*1,"0")+IFERROR(Y457*1,"0")+IFERROR(Y461*1,"0")+IFERROR(Y465*1,"0")+IFERROR(Y466*1,"0")+IFERROR(Y467*1,"0")</f>
        <v>90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1404.48</v>
      </c>
      <c r="AB565" s="52">
        <f>IFERROR(Y530*1,"0")+IFERROR(Y534*1,"0")+IFERROR(Y538*1,"0")+IFERROR(Y542*1,"0")+IFERROR(Y546*1,"0")+IFERROR(Y547*1,"0")</f>
        <v>2123.4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200,00"/>
        <filter val="1 300,00"/>
        <filter val="1 580,00"/>
        <filter val="1 840,00"/>
        <filter val="10,00"/>
        <filter val="10,26"/>
        <filter val="100,00"/>
        <filter val="105,00"/>
        <filter val="114,29"/>
        <filter val="120,00"/>
        <filter val="126,37"/>
        <filter val="138,89"/>
        <filter val="148,15"/>
        <filter val="150,00"/>
        <filter val="162,00"/>
        <filter val="17 932,00"/>
        <filter val="175,00"/>
        <filter val="18 840,45"/>
        <filter val="19 615,45"/>
        <filter val="2 000,00"/>
        <filter val="2 250,00"/>
        <filter val="2 375,00"/>
        <filter val="2 650,00"/>
        <filter val="2 784,11"/>
        <filter val="200,00"/>
        <filter val="208,33"/>
        <filter val="214,29"/>
        <filter val="225,00"/>
        <filter val="240,04"/>
        <filter val="250,00"/>
        <filter val="270,00"/>
        <filter val="276,85"/>
        <filter val="293,83"/>
        <filter val="30,00"/>
        <filter val="300,00"/>
        <filter val="31"/>
        <filter val="37,04"/>
        <filter val="40,00"/>
        <filter val="400,00"/>
        <filter val="476,19"/>
        <filter val="50,00"/>
        <filter val="500,00"/>
        <filter val="540,00"/>
        <filter val="56,82"/>
        <filter val="60,00"/>
        <filter val="75,00"/>
        <filter val="750,00"/>
        <filter val="77,78"/>
        <filter val="80,00"/>
        <filter val="800,00"/>
        <filter val="90,00"/>
        <filter val="90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2026-08-18T09:10:24Z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