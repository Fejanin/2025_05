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40414F-C3A5-4419-883E-FDBD0A9AECD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Z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Z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N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Z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N41" i="2" l="1"/>
  <c r="Y122" i="2"/>
  <c r="BN136" i="2"/>
  <c r="BN153" i="2"/>
  <c r="BN190" i="2"/>
  <c r="BN230" i="2"/>
  <c r="BN289" i="2"/>
  <c r="BN299" i="2"/>
  <c r="BP363" i="2"/>
  <c r="BN383" i="2"/>
  <c r="BN482" i="2"/>
  <c r="BN524" i="2"/>
  <c r="BN23" i="2"/>
  <c r="BP120" i="2"/>
  <c r="BN131" i="2"/>
  <c r="BN185" i="2"/>
  <c r="BN240" i="2"/>
  <c r="BN273" i="2"/>
  <c r="BN304" i="2"/>
  <c r="Z318" i="2"/>
  <c r="Z363" i="2"/>
  <c r="Y397" i="2"/>
  <c r="Z431" i="2"/>
  <c r="BN434" i="2"/>
  <c r="BN450" i="2"/>
  <c r="BP152" i="2"/>
  <c r="Z284" i="2"/>
  <c r="Y296" i="2"/>
  <c r="Z372" i="2"/>
  <c r="Z393" i="2"/>
  <c r="BP393" i="2"/>
  <c r="Z433" i="2"/>
  <c r="Z439" i="2"/>
  <c r="Z441" i="2" s="1"/>
  <c r="Y253" i="2"/>
  <c r="BP433" i="2"/>
  <c r="Z152" i="2"/>
  <c r="BN74" i="2"/>
  <c r="BN93" i="2"/>
  <c r="BN113" i="2"/>
  <c r="BP124" i="2"/>
  <c r="Z159" i="2"/>
  <c r="Z160" i="2" s="1"/>
  <c r="Y160" i="2"/>
  <c r="BP222" i="2"/>
  <c r="BN225" i="2"/>
  <c r="Z230" i="2"/>
  <c r="BP283" i="2"/>
  <c r="Z293" i="2"/>
  <c r="BP293" i="2"/>
  <c r="Z374" i="2"/>
  <c r="Z383" i="2"/>
  <c r="BN396" i="2"/>
  <c r="Z428" i="2"/>
  <c r="Z461" i="2"/>
  <c r="Z462" i="2" s="1"/>
  <c r="Y489" i="2"/>
  <c r="BN514" i="2"/>
  <c r="BP439" i="2"/>
  <c r="Y452" i="2"/>
  <c r="Y516" i="2"/>
  <c r="BN48" i="2"/>
  <c r="BN59" i="2"/>
  <c r="BP66" i="2"/>
  <c r="BP100" i="2"/>
  <c r="Y121" i="2"/>
  <c r="Z124" i="2"/>
  <c r="Z125" i="2" s="1"/>
  <c r="BN165" i="2"/>
  <c r="BN175" i="2"/>
  <c r="Z183" i="2"/>
  <c r="BN195" i="2"/>
  <c r="Z283" i="2"/>
  <c r="BN287" i="2"/>
  <c r="Z328" i="2"/>
  <c r="BN333" i="2"/>
  <c r="BP341" i="2"/>
  <c r="BN344" i="2"/>
  <c r="Z355" i="2"/>
  <c r="BP356" i="2"/>
  <c r="Z375" i="2"/>
  <c r="BN393" i="2"/>
  <c r="Y398" i="2"/>
  <c r="Z406" i="2"/>
  <c r="Z430" i="2"/>
  <c r="Z434" i="2"/>
  <c r="Z440" i="2"/>
  <c r="Y463" i="2"/>
  <c r="Z466" i="2"/>
  <c r="BN492" i="2"/>
  <c r="BN504" i="2"/>
  <c r="BP519" i="2"/>
  <c r="BN520" i="2"/>
  <c r="BN444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422" i="2" s="1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367" i="2" s="1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Z415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Z384" i="2" s="1"/>
  <c r="BP438" i="2"/>
  <c r="Z446" i="2"/>
  <c r="Z447" i="2" s="1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377" i="2"/>
  <c r="Z329" i="2"/>
  <c r="Z468" i="2"/>
  <c r="Z24" i="2"/>
  <c r="Z95" i="2"/>
  <c r="Z435" i="2"/>
  <c r="Z295" i="2"/>
  <c r="Z290" i="2"/>
  <c r="Z88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<sst xmlns="http://schemas.openxmlformats.org/spreadsheetml/2006/main" count="4245" uniqueCount="901">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</sst>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900</v>
      </c>
      <c r="I5" s="649"/>
      <c r="J5" s="649"/>
      <c r="K5" s="649"/>
      <c r="L5" s="649"/>
      <c r="M5" s="649"/>
      <c r="N5" s="72"/>
      <c r="P5" s="27" t="s">
        <v>4</v>
      </c>
      <c r="Q5" s="651">
        <v>46254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0.54166666666666663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14800</v>
      </c>
      <c r="Y380" s="55">
        <f>IFERROR(IF(X380="",0,CEILING((X380/$H380),1)*$H380),"")</f>
        <v>14804.4</v>
      </c>
      <c r="Z380" s="41">
        <f>IFERROR(IF(Y380=0,"",ROUNDUP(Y380/H380,0)*0.01898),"")</f>
        <v>36.024039999999999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15725.948717948719</v>
      </c>
      <c r="BN380" s="78">
        <f>IFERROR(Y380*I380/H380,"0")</f>
        <v>15730.624000000002</v>
      </c>
      <c r="BO380" s="78">
        <f>IFERROR(1/J380*(X380/H380),"0")</f>
        <v>29.647435897435898</v>
      </c>
      <c r="BP380" s="78">
        <f>IFERROR(1/J380*(Y380/H380),"0")</f>
        <v>29.65625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1897.4358974358975</v>
      </c>
      <c r="Y384" s="43">
        <f>IFERROR(Y380/H380,"0")+IFERROR(Y381/H381,"0")+IFERROR(Y382/H382,"0")+IFERROR(Y383/H383,"0")</f>
        <v>1898</v>
      </c>
      <c r="Z384" s="43">
        <f>IFERROR(IF(Z380="",0,Z380),"0")+IFERROR(IF(Z381="",0,Z381),"0")+IFERROR(IF(Z382="",0,Z382),"0")+IFERROR(IF(Z383="",0,Z383),"0")</f>
        <v>36.024039999999999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14800</v>
      </c>
      <c r="Y385" s="43">
        <f>IFERROR(SUM(Y380:Y383),"0")</f>
        <v>14804.4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3000</v>
      </c>
      <c r="Y444" s="55">
        <f>IFERROR(IF(X444="",0,CEILING((X444/$H444),1)*$H444),"")</f>
        <v>3006</v>
      </c>
      <c r="Z444" s="41">
        <f>IFERROR(IF(Y444=0,"",ROUNDUP(Y444/H444,0)*0.01898),"")</f>
        <v>6.3393199999999998</v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3166.6666666666665</v>
      </c>
      <c r="BN444" s="78">
        <f>IFERROR(Y444*I444/H444,"0")</f>
        <v>3173</v>
      </c>
      <c r="BO444" s="78">
        <f>IFERROR(1/J444*(X444/H444),"0")</f>
        <v>5.208333333333333</v>
      </c>
      <c r="BP444" s="78">
        <f>IFERROR(1/J444*(Y444/H444),"0")</f>
        <v>5.21875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333.33333333333331</v>
      </c>
      <c r="Y447" s="43">
        <f>IFERROR(Y444/H444,"0")+IFERROR(Y445/H445,"0")+IFERROR(Y446/H446,"0")</f>
        <v>334</v>
      </c>
      <c r="Z447" s="43">
        <f>IFERROR(IF(Z444="",0,Z444),"0")+IFERROR(IF(Z445="",0,Z445),"0")+IFERROR(IF(Z446="",0,Z446),"0")</f>
        <v>6.3393199999999998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3000</v>
      </c>
      <c r="Y448" s="43">
        <f>IFERROR(SUM(Y444:Y446),"0")</f>
        <v>3006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17800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17810.400000000001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18892.615384615387</v>
      </c>
      <c r="Y556" s="43">
        <f>IFERROR(SUM(BN22:BN552),"0")</f>
        <v>18903.624000000003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35</v>
      </c>
      <c r="Y557" s="44">
        <f>ROUNDUP(SUM(BP22:BP552),0)</f>
        <v>35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19767.615384615387</v>
      </c>
      <c r="Y558" s="43">
        <f>GrossWeightTotalR+PalletQtyTotalR*25</f>
        <v>19778.624000000003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2230.7692307692309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2232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42.36336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14804.4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3006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97,44"/>
        <filter val="14 800,00"/>
        <filter val="17 800,00"/>
        <filter val="18 892,62"/>
        <filter val="19 767,62"/>
        <filter val="2 230,77"/>
        <filter val="3 000,00"/>
        <filter val="333,33"/>
        <filter val="35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2026-08-18T09:12:21Z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