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B962B3E-7847-4840-BF78-C3FE39F07E5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N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Z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N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428" i="2" l="1"/>
  <c r="Z374" i="2"/>
  <c r="Z293" i="2"/>
  <c r="BP293" i="2"/>
  <c r="Z118" i="2"/>
  <c r="Z159" i="2"/>
  <c r="Z160" i="2" s="1"/>
  <c r="Y160" i="2"/>
  <c r="Z230" i="2"/>
  <c r="BN230" i="2"/>
  <c r="Z356" i="2"/>
  <c r="BP395" i="2"/>
  <c r="Z149" i="2"/>
  <c r="Z183" i="2"/>
  <c r="BP222" i="2"/>
  <c r="Z318" i="2"/>
  <c r="Z363" i="2"/>
  <c r="BN363" i="2"/>
  <c r="Z383" i="2"/>
  <c r="BN383" i="2"/>
  <c r="Y397" i="2"/>
  <c r="Z407" i="2"/>
  <c r="Z431" i="2"/>
  <c r="Z466" i="2"/>
  <c r="BN23" i="2"/>
  <c r="BN48" i="2"/>
  <c r="BN59" i="2"/>
  <c r="BP66" i="2"/>
  <c r="BP100" i="2"/>
  <c r="Y121" i="2"/>
  <c r="BP120" i="2"/>
  <c r="Z124" i="2"/>
  <c r="Z125" i="2" s="1"/>
  <c r="BN131" i="2"/>
  <c r="Z152" i="2"/>
  <c r="BN165" i="2"/>
  <c r="BN175" i="2"/>
  <c r="BN185" i="2"/>
  <c r="BN195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BN41" i="2"/>
  <c r="BN74" i="2"/>
  <c r="BN93" i="2"/>
  <c r="BN113" i="2"/>
  <c r="Y122" i="2"/>
  <c r="BP124" i="2"/>
  <c r="BN136" i="2"/>
  <c r="BP152" i="2"/>
  <c r="BN153" i="2"/>
  <c r="BN190" i="2"/>
  <c r="BN225" i="2"/>
  <c r="BN240" i="2"/>
  <c r="Y253" i="2"/>
  <c r="BP283" i="2"/>
  <c r="BN289" i="2"/>
  <c r="BN299" i="2"/>
  <c r="BN396" i="2"/>
  <c r="BP433" i="2"/>
  <c r="BP439" i="2"/>
  <c r="BN450" i="2"/>
  <c r="Y463" i="2"/>
  <c r="BN482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Z415" i="2" s="1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77" i="2"/>
  <c r="Z502" i="2"/>
  <c r="Z512" i="2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Z447" i="2" s="1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384" i="2" l="1"/>
  <c r="Z515" i="2"/>
  <c r="Z367" i="2"/>
  <c r="Z264" i="2"/>
  <c r="Z422" i="2"/>
  <c r="Z357" i="2"/>
  <c r="Z441" i="2"/>
  <c r="Z409" i="2"/>
  <c r="Z468" i="2"/>
  <c r="Z290" i="2"/>
  <c r="Z88" i="2"/>
  <c r="Z114" i="2"/>
  <c r="Z377" i="2"/>
  <c r="Z329" i="2"/>
  <c r="Z24" i="2"/>
  <c r="Z95" i="2"/>
  <c r="Z435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<sst xmlns="http://schemas.openxmlformats.org/spreadsheetml/2006/main" count="4245" uniqueCount="901">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</sst>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84" sqref="AA38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46256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Суббота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0.54166666666666663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3000</v>
      </c>
      <c r="Y380" s="55">
        <f>IFERROR(IF(X380="",0,CEILING((X380/$H380),1)*$H380),"")</f>
        <v>3003</v>
      </c>
      <c r="Z380" s="41">
        <f>IFERROR(IF(Y380=0,"",ROUNDUP(Y380/H380,0)*0.01898),"")</f>
        <v>7.3073000000000006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3187.6923076923076</v>
      </c>
      <c r="BN380" s="78">
        <f>IFERROR(Y380*I380/H380,"0")</f>
        <v>3190.88</v>
      </c>
      <c r="BO380" s="78">
        <f>IFERROR(1/J380*(X380/H380),"0")</f>
        <v>6.009615384615385</v>
      </c>
      <c r="BP380" s="78">
        <f>IFERROR(1/J380*(Y380/H380),"0")</f>
        <v>6.015625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384.61538461538464</v>
      </c>
      <c r="Y384" s="43">
        <f>IFERROR(Y380/H380,"0")+IFERROR(Y381/H381,"0")+IFERROR(Y382/H382,"0")+IFERROR(Y383/H383,"0")</f>
        <v>385</v>
      </c>
      <c r="Z384" s="43">
        <f>IFERROR(IF(Z380="",0,Z380),"0")+IFERROR(IF(Z381="",0,Z381),"0")+IFERROR(IF(Z382="",0,Z382),"0")+IFERROR(IF(Z383="",0,Z383),"0")</f>
        <v>7.3073000000000006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3000</v>
      </c>
      <c r="Y385" s="43">
        <f>IFERROR(SUM(Y380:Y383),"0")</f>
        <v>3003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3000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3003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3187.6923076923076</v>
      </c>
      <c r="Y556" s="43">
        <f>IFERROR(SUM(BN22:BN552),"0")</f>
        <v>3190.88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7</v>
      </c>
      <c r="Y557" s="44">
        <f>ROUNDUP(SUM(BP22:BP552),0)</f>
        <v>7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3362.6923076923076</v>
      </c>
      <c r="Y558" s="43">
        <f>GrossWeightTotalR+PalletQtyTotalR*25</f>
        <v>3365.88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384.61538461538464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385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7.3073000000000006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3003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3 000,00"/>
        <filter val="3 187,69"/>
        <filter val="3 362,69"/>
        <filter val="384,62"/>
        <filter val="7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2026-08-20T11:16:46Z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