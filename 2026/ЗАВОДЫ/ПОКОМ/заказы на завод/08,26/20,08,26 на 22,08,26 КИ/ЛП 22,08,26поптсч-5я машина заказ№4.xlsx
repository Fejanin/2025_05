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4A8CFF2-72B5-4522-94A2-B8F1A7EBDEF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P103" i="2"/>
  <c r="BO103" i="2"/>
  <c r="BM103" i="2"/>
  <c r="Y103" i="2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372" i="2" l="1"/>
  <c r="BP222" i="2"/>
  <c r="Z439" i="2"/>
  <c r="Z149" i="2"/>
  <c r="BP341" i="2"/>
  <c r="Z393" i="2"/>
  <c r="BN393" i="2"/>
  <c r="Y398" i="2"/>
  <c r="Z433" i="2"/>
  <c r="Z461" i="2"/>
  <c r="Z462" i="2" s="1"/>
  <c r="Z118" i="2"/>
  <c r="BN118" i="2"/>
  <c r="Z159" i="2"/>
  <c r="Z160" i="2" s="1"/>
  <c r="Y160" i="2"/>
  <c r="Z230" i="2"/>
  <c r="BN230" i="2"/>
  <c r="Z293" i="2"/>
  <c r="Z328" i="2"/>
  <c r="Z355" i="2"/>
  <c r="Z375" i="2"/>
  <c r="Z406" i="2"/>
  <c r="Z430" i="2"/>
  <c r="Z434" i="2"/>
  <c r="BN434" i="2"/>
  <c r="Z440" i="2"/>
  <c r="Z519" i="2"/>
  <c r="Y122" i="2"/>
  <c r="BP124" i="2"/>
  <c r="BN136" i="2"/>
  <c r="BP152" i="2"/>
  <c r="BN153" i="2"/>
  <c r="BN190" i="2"/>
  <c r="BN225" i="2"/>
  <c r="BN23" i="2"/>
  <c r="BN48" i="2"/>
  <c r="BN59" i="2"/>
  <c r="BP66" i="2"/>
  <c r="BP100" i="2"/>
  <c r="Y121" i="2"/>
  <c r="BP120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BN240" i="2"/>
  <c r="Y253" i="2"/>
  <c r="BP283" i="2"/>
  <c r="BN289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422" i="2" s="1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15" i="2" l="1"/>
  <c r="Z447" i="2"/>
  <c r="Z384" i="2"/>
  <c r="Z548" i="2"/>
  <c r="Z320" i="2"/>
  <c r="Z132" i="2"/>
  <c r="Z290" i="2"/>
  <c r="Z367" i="2"/>
  <c r="Z88" i="2"/>
  <c r="Z114" i="2"/>
  <c r="Z377" i="2"/>
  <c r="Z329" i="2"/>
  <c r="Z468" i="2"/>
  <c r="Z24" i="2"/>
  <c r="Z95" i="2"/>
  <c r="Z435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<sst xmlns="http://schemas.openxmlformats.org/spreadsheetml/2006/main" count="4245" uniqueCount="901">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</sst>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46256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Суббота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0.54166666666666663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2496</v>
      </c>
      <c r="Y380" s="55">
        <f>IFERROR(IF(X380="",0,CEILING((X380/$H380),1)*$H380),"")</f>
        <v>2496</v>
      </c>
      <c r="Z380" s="41">
        <f>IFERROR(IF(Y380=0,"",ROUNDUP(Y380/H380,0)*0.01898),"")</f>
        <v>6.0735999999999999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2652.1600000000003</v>
      </c>
      <c r="BN380" s="78">
        <f>IFERROR(Y380*I380/H380,"0")</f>
        <v>2652.1600000000003</v>
      </c>
      <c r="BO380" s="78">
        <f>IFERROR(1/J380*(X380/H380),"0")</f>
        <v>5</v>
      </c>
      <c r="BP380" s="78">
        <f>IFERROR(1/J380*(Y380/H380),"0")</f>
        <v>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320</v>
      </c>
      <c r="Y384" s="43">
        <f>IFERROR(Y380/H380,"0")+IFERROR(Y381/H381,"0")+IFERROR(Y382/H382,"0")+IFERROR(Y383/H383,"0")</f>
        <v>320</v>
      </c>
      <c r="Z384" s="43">
        <f>IFERROR(IF(Z380="",0,Z380),"0")+IFERROR(IF(Z381="",0,Z381),"0")+IFERROR(IF(Z382="",0,Z382),"0")+IFERROR(IF(Z383="",0,Z383),"0")</f>
        <v>6.0735999999999999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2496</v>
      </c>
      <c r="Y385" s="43">
        <f>IFERROR(SUM(Y380:Y383),"0")</f>
        <v>2496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2496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2496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2652.1600000000003</v>
      </c>
      <c r="Y556" s="43">
        <f>IFERROR(SUM(BN22:BN552),"0")</f>
        <v>2652.1600000000003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5</v>
      </c>
      <c r="Y557" s="44">
        <f>ROUNDUP(SUM(BP22:BP552),0)</f>
        <v>5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2777.1600000000003</v>
      </c>
      <c r="Y558" s="43">
        <f>GrossWeightTotalR+PalletQtyTotalR*25</f>
        <v>2777.1600000000003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320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320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6.0735999999999999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2496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496,00"/>
        <filter val="2 652,16"/>
        <filter val="2 777,16"/>
        <filter val="320,00"/>
        <filter val="5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2026-08-20T11:19:26Z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