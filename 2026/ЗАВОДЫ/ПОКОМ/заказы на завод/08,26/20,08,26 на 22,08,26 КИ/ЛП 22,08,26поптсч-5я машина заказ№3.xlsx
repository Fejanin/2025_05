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1F549CD-C879-44B6-B8D3-C1A6ED1C2E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59" i="2" l="1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66" i="2"/>
  <c r="BP66" i="2"/>
  <c r="BP74" i="2"/>
  <c r="BN74" i="2"/>
  <c r="BN41" i="2"/>
  <c r="Y122" i="2"/>
  <c r="BP124" i="2"/>
  <c r="BN136" i="2"/>
  <c r="BP152" i="2"/>
  <c r="BN153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BP100" i="2"/>
  <c r="Y121" i="2"/>
  <c r="BP120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93" i="2"/>
  <c r="BN113" i="2"/>
  <c r="BN19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422" i="2"/>
  <c r="Z441" i="2"/>
  <c r="Z409" i="2"/>
  <c r="Z447" i="2"/>
  <c r="Z548" i="2"/>
  <c r="Z24" i="2"/>
  <c r="Z95" i="2"/>
  <c r="Z435" i="2"/>
  <c r="X558" i="2"/>
  <c r="Z415" i="2"/>
  <c r="Z259" i="2"/>
  <c r="Z377" i="2"/>
  <c r="Z329" i="2"/>
  <c r="Z484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<sst xmlns="http://schemas.openxmlformats.org/spreadsheetml/2006/main" count="4245" uniqueCount="901">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</sst>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22" zoomScaleNormal="100" zoomScaleSheetLayoutView="100" workbookViewId="0">
      <selection activeCell="Y555" sqref="Y5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46256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0.54166666666666663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216</v>
      </c>
      <c r="Y47" s="55">
        <f>IFERROR(IF(X47="",0,CEILING((X47/$H47),1)*$H47),"")</f>
        <v>216</v>
      </c>
      <c r="Z47" s="41">
        <f>IFERROR(IF(Y47=0,"",ROUNDUP(Y47/H47,0)*0.01898),"")</f>
        <v>0.37959999999999999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224.2</v>
      </c>
      <c r="BN47" s="78">
        <f>IFERROR(Y47*I47/H47,"0")</f>
        <v>224.2</v>
      </c>
      <c r="BO47" s="78">
        <f>IFERROR(1/J47*(X47/H47),"0")</f>
        <v>0.3125</v>
      </c>
      <c r="BP47" s="78">
        <f>IFERROR(1/J47*(Y47/H47),"0")</f>
        <v>0.3125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30</v>
      </c>
      <c r="Y51" s="43">
        <f>IFERROR(Y47/H47,"0")+IFERROR(Y48/H48,"0")+IFERROR(Y49/H49,"0")+IFERROR(Y50/H50,"0")</f>
        <v>30</v>
      </c>
      <c r="Z51" s="43">
        <f>IFERROR(IF(Z47="",0,Z47),"0")+IFERROR(IF(Z48="",0,Z48),"0")+IFERROR(IF(Z49="",0,Z49),"0")+IFERROR(IF(Z50="",0,Z50),"0")</f>
        <v>0.4698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256</v>
      </c>
      <c r="Y52" s="43">
        <f>IFERROR(SUM(Y47:Y50),"0")</f>
        <v>256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216</v>
      </c>
      <c r="Y57" s="55">
        <f t="shared" si="0"/>
        <v>216</v>
      </c>
      <c r="Z57" s="41">
        <f>IFERROR(IF(Y57=0,"",ROUNDUP(Y57/H57,0)*0.01898),"")</f>
        <v>0.37959999999999999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224.2</v>
      </c>
      <c r="BN57" s="78">
        <f t="shared" si="2"/>
        <v>224.2</v>
      </c>
      <c r="BO57" s="78">
        <f t="shared" si="3"/>
        <v>0.3125</v>
      </c>
      <c r="BP57" s="78">
        <f t="shared" si="4"/>
        <v>0.3125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40</v>
      </c>
      <c r="Y60" s="55">
        <f t="shared" si="0"/>
        <v>40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41.900000000000006</v>
      </c>
      <c r="BN60" s="78">
        <f t="shared" si="2"/>
        <v>41.900000000000006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30</v>
      </c>
      <c r="Y63" s="43">
        <f>IFERROR(Y55/H55,"0")+IFERROR(Y56/H56,"0")+IFERROR(Y57/H57,"0")+IFERROR(Y58/H58,"0")+IFERROR(Y59/H59,"0")+IFERROR(Y60/H60,"0")+IFERROR(Y61/H61,"0")+IFERROR(Y62/H62,"0")</f>
        <v>30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0.4698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256</v>
      </c>
      <c r="Y64" s="43">
        <f>IFERROR(SUM(Y55:Y62),"0")</f>
        <v>256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108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112.1</v>
      </c>
      <c r="BN66" s="78">
        <f>IFERROR(Y66*I66/H66,"0")</f>
        <v>112.1</v>
      </c>
      <c r="BO66" s="78">
        <f>IFERROR(1/J66*(X66/H66),"0")</f>
        <v>0.15625</v>
      </c>
      <c r="BP66" s="78">
        <f>IFERROR(1/J66*(Y66/H66),"0")</f>
        <v>0.15625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27</v>
      </c>
      <c r="Y69" s="55">
        <f>IFERROR(IF(X69="",0,CEILING((X69/$H69),1)*$H69),"")</f>
        <v>27</v>
      </c>
      <c r="Z69" s="41">
        <f>IFERROR(IF(Y69=0,"",ROUNDUP(Y69/H69,0)*0.00651),"")</f>
        <v>6.5100000000000005E-2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28.799999999999994</v>
      </c>
      <c r="BN69" s="78">
        <f>IFERROR(Y69*I69/H69,"0")</f>
        <v>28.799999999999994</v>
      </c>
      <c r="BO69" s="78">
        <f>IFERROR(1/J69*(X69/H69),"0")</f>
        <v>5.4945054945054951E-2</v>
      </c>
      <c r="BP69" s="78">
        <f>IFERROR(1/J69*(Y69/H69),"0")</f>
        <v>5.4945054945054951E-2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20</v>
      </c>
      <c r="Y70" s="43">
        <f>IFERROR(Y66/H66,"0")+IFERROR(Y67/H67,"0")+IFERROR(Y68/H68,"0")+IFERROR(Y69/H69,"0")</f>
        <v>20</v>
      </c>
      <c r="Z70" s="43">
        <f>IFERROR(IF(Z66="",0,Z66),"0")+IFERROR(IF(Z67="",0,Z67),"0")+IFERROR(IF(Z68="",0,Z68),"0")+IFERROR(IF(Z69="",0,Z69),"0")</f>
        <v>0.25490000000000002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135</v>
      </c>
      <c r="Y71" s="43">
        <f>IFERROR(SUM(Y66:Y69),"0")</f>
        <v>135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81</v>
      </c>
      <c r="Y91" s="55">
        <f>IFERROR(IF(X91="",0,CEILING((X91/$H91),1)*$H91),"")</f>
        <v>81</v>
      </c>
      <c r="Z91" s="41">
        <f>IFERROR(IF(Y91=0,"",ROUNDUP(Y91/H91,0)*0.01898),"")</f>
        <v>0.1898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85.94</v>
      </c>
      <c r="BN91" s="78">
        <f>IFERROR(Y91*I91/H91,"0")</f>
        <v>85.94</v>
      </c>
      <c r="BO91" s="78">
        <f>IFERROR(1/J91*(X91/H91),"0")</f>
        <v>0.15625</v>
      </c>
      <c r="BP91" s="78">
        <f>IFERROR(1/J91*(Y91/H91),"0")</f>
        <v>0.15625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27</v>
      </c>
      <c r="Y93" s="55">
        <f>IFERROR(IF(X93="",0,CEILING((X93/$H93),1)*$H93),"")</f>
        <v>27</v>
      </c>
      <c r="Z93" s="41">
        <f>IFERROR(IF(Y93=0,"",ROUNDUP(Y93/H93,0)*0.00651),"")</f>
        <v>6.5100000000000005E-2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29.519999999999996</v>
      </c>
      <c r="BN93" s="78">
        <f>IFERROR(Y93*I93/H93,"0")</f>
        <v>29.519999999999996</v>
      </c>
      <c r="BO93" s="78">
        <f>IFERROR(1/J93*(X93/H93),"0")</f>
        <v>5.4945054945054951E-2</v>
      </c>
      <c r="BP93" s="78">
        <f>IFERROR(1/J93*(Y93/H93),"0")</f>
        <v>5.4945054945054951E-2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20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0.25490000000000002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108</v>
      </c>
      <c r="Y96" s="43">
        <f>IFERROR(SUM(Y91:Y94),"0")</f>
        <v>108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81</v>
      </c>
      <c r="Y117" s="55">
        <f>IFERROR(IF(X117="",0,CEILING((X117/$H117),1)*$H117),"")</f>
        <v>81</v>
      </c>
      <c r="Z117" s="41">
        <f>IFERROR(IF(Y117=0,"",ROUNDUP(Y117/H117,0)*0.01898),"")</f>
        <v>0.1898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85.88</v>
      </c>
      <c r="BN117" s="78">
        <f>IFERROR(Y117*I117/H117,"0")</f>
        <v>85.88</v>
      </c>
      <c r="BO117" s="78">
        <f>IFERROR(1/J117*(X117/H117),"0")</f>
        <v>0.15625</v>
      </c>
      <c r="BP117" s="78">
        <f>IFERROR(1/J117*(Y117/H117),"0")</f>
        <v>0.15625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10</v>
      </c>
      <c r="Y121" s="43">
        <f>IFERROR(Y117/H117,"0")+IFERROR(Y118/H118,"0")+IFERROR(Y119/H119,"0")+IFERROR(Y120/H120,"0")</f>
        <v>10</v>
      </c>
      <c r="Z121" s="43">
        <f>IFERROR(IF(Z117="",0,Z117),"0")+IFERROR(IF(Z118="",0,Z118),"0")+IFERROR(IF(Z119="",0,Z119),"0")+IFERROR(IF(Z120="",0,Z120),"0")</f>
        <v>0.1898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81</v>
      </c>
      <c r="Y122" s="43">
        <f>IFERROR(SUM(Y117:Y120),"0")</f>
        <v>81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216</v>
      </c>
      <c r="Y361" s="55">
        <f t="shared" ref="Y361:Y366" si="48">IFERROR(IF(X361="",0,CEILING((X361/$H361),1)*$H361),"")</f>
        <v>216</v>
      </c>
      <c r="Z361" s="41">
        <f>IFERROR(IF(Y361=0,"",ROUNDUP(Y361/H361,0)*0.01898),"")</f>
        <v>0.37959999999999999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224.2</v>
      </c>
      <c r="BN361" s="78">
        <f t="shared" ref="BN361:BN366" si="50">IFERROR(Y361*I361/H361,"0")</f>
        <v>224.2</v>
      </c>
      <c r="BO361" s="78">
        <f t="shared" ref="BO361:BO366" si="51">IFERROR(1/J361*(X361/H361),"0")</f>
        <v>0.3125</v>
      </c>
      <c r="BP361" s="78">
        <f t="shared" ref="BP361:BP366" si="52">IFERROR(1/J361*(Y361/H361),"0")</f>
        <v>0.3125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40</v>
      </c>
      <c r="Y366" s="55">
        <f t="shared" si="48"/>
        <v>40</v>
      </c>
      <c r="Z366" s="41">
        <f>IFERROR(IF(Y366=0,"",ROUNDUP(Y366/H366,0)*0.00902),"")</f>
        <v>9.0200000000000002E-2</v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41.900000000000006</v>
      </c>
      <c r="BN366" s="78">
        <f t="shared" si="50"/>
        <v>41.900000000000006</v>
      </c>
      <c r="BO366" s="78">
        <f t="shared" si="51"/>
        <v>7.575757575757576E-2</v>
      </c>
      <c r="BP366" s="78">
        <f t="shared" si="52"/>
        <v>7.575757575757576E-2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30</v>
      </c>
      <c r="Y367" s="43">
        <f>IFERROR(Y361/H361,"0")+IFERROR(Y362/H362,"0")+IFERROR(Y363/H363,"0")+IFERROR(Y364/H364,"0")+IFERROR(Y365/H365,"0")+IFERROR(Y366/H366,"0")</f>
        <v>30</v>
      </c>
      <c r="Z367" s="43">
        <f>IFERROR(IF(Z361="",0,Z361),"0")+IFERROR(IF(Z362="",0,Z362),"0")+IFERROR(IF(Z363="",0,Z363),"0")+IFERROR(IF(Z364="",0,Z364),"0")+IFERROR(IF(Z365="",0,Z365),"0")+IFERROR(IF(Z366="",0,Z366),"0")</f>
        <v>0.4698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256</v>
      </c>
      <c r="Y368" s="43">
        <f>IFERROR(SUM(Y361:Y366),"0")</f>
        <v>256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42</v>
      </c>
      <c r="Y370" s="55">
        <f t="shared" ref="Y370:Y376" si="53">IFERROR(IF(X370="",0,CEILING((X370/$H370),1)*$H370),"")</f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44.5</v>
      </c>
      <c r="BN370" s="78">
        <f t="shared" ref="BN370:BN376" si="55">IFERROR(Y370*I370/H370,"0")</f>
        <v>44.5</v>
      </c>
      <c r="BO370" s="78">
        <f t="shared" ref="BO370:BO376" si="56">IFERROR(1/J370*(X370/H370),"0")</f>
        <v>7.575757575757576E-2</v>
      </c>
      <c r="BP370" s="78">
        <f t="shared" ref="BP370:BP376" si="57">IFERROR(1/J370*(Y370/H370),"0")</f>
        <v>7.575757575757576E-2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42</v>
      </c>
      <c r="Y371" s="55">
        <f t="shared" si="53"/>
        <v>42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44.5</v>
      </c>
      <c r="BN371" s="78">
        <f t="shared" si="55"/>
        <v>44.5</v>
      </c>
      <c r="BO371" s="78">
        <f t="shared" si="56"/>
        <v>7.575757575757576E-2</v>
      </c>
      <c r="BP371" s="78">
        <f t="shared" si="57"/>
        <v>7.575757575757576E-2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10.5</v>
      </c>
      <c r="Y373" s="55">
        <f t="shared" si="53"/>
        <v>10.5</v>
      </c>
      <c r="Z373" s="41">
        <f>IFERROR(IF(Y373=0,"",ROUNDUP(Y373/H373,0)*0.00502),"")</f>
        <v>2.5100000000000001E-2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11.149999999999999</v>
      </c>
      <c r="BN373" s="78">
        <f t="shared" si="55"/>
        <v>11.149999999999999</v>
      </c>
      <c r="BO373" s="78">
        <f t="shared" si="56"/>
        <v>2.1367521367521368E-2</v>
      </c>
      <c r="BP373" s="78">
        <f t="shared" si="57"/>
        <v>2.1367521367521368E-2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25</v>
      </c>
      <c r="Y377" s="43">
        <f>IFERROR(Y370/H370,"0")+IFERROR(Y371/H371,"0")+IFERROR(Y372/H372,"0")+IFERROR(Y373/H373,"0")+IFERROR(Y374/H374,"0")+IFERROR(Y375/H375,"0")+IFERROR(Y376/H376,"0")</f>
        <v>25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0.20550000000000002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94.5</v>
      </c>
      <c r="Y378" s="43">
        <f>IFERROR(SUM(Y370:Y376),"0")</f>
        <v>94.5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84</v>
      </c>
      <c r="Y389" s="55">
        <f>IFERROR(IF(X389="",0,CEILING((X389/$H389),1)*$H389),"")</f>
        <v>84</v>
      </c>
      <c r="Z389" s="41">
        <f>IFERROR(IF(Y389=0,"",ROUNDUP(Y389/H389,0)*0.01898),"")</f>
        <v>0.1898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88.94</v>
      </c>
      <c r="BN389" s="78">
        <f>IFERROR(Y389*I389/H389,"0")</f>
        <v>88.94</v>
      </c>
      <c r="BO389" s="78">
        <f>IFERROR(1/J389*(X389/H389),"0")</f>
        <v>0.15625</v>
      </c>
      <c r="BP389" s="78">
        <f>IFERROR(1/J389*(Y389/H389),"0")</f>
        <v>0.15625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10</v>
      </c>
      <c r="Y390" s="43">
        <f>IFERROR(Y387/H387,"0")+IFERROR(Y388/H388,"0")+IFERROR(Y389/H389,"0")</f>
        <v>10</v>
      </c>
      <c r="Z390" s="43">
        <f>IFERROR(IF(Z387="",0,Z387),"0")+IFERROR(IF(Z388="",0,Z388),"0")+IFERROR(IF(Z389="",0,Z389),"0")</f>
        <v>0.1898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84</v>
      </c>
      <c r="Y391" s="43">
        <f>IFERROR(SUM(Y387:Y389),"0")</f>
        <v>84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12.75</v>
      </c>
      <c r="Y396" s="55">
        <f>IFERROR(IF(X396="",0,CEILING((X396/$H396),1)*$H396),"")</f>
        <v>12.75</v>
      </c>
      <c r="Z396" s="41">
        <f>IFERROR(IF(Y396=0,"",ROUNDUP(Y396/H396,0)*0.00651),"")</f>
        <v>3.2550000000000003E-2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14.4</v>
      </c>
      <c r="BN396" s="78">
        <f>IFERROR(Y396*I396/H396,"0")</f>
        <v>14.4</v>
      </c>
      <c r="BO396" s="78">
        <f>IFERROR(1/J396*(X396/H396),"0")</f>
        <v>2.7472527472527476E-2</v>
      </c>
      <c r="BP396" s="78">
        <f>IFERROR(1/J396*(Y396/H396),"0")</f>
        <v>2.7472527472527476E-2</v>
      </c>
    </row>
    <row r="397" spans="1:68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5</v>
      </c>
      <c r="Y397" s="43">
        <f>IFERROR(Y393/H393,"0")+IFERROR(Y394/H394,"0")+IFERROR(Y395/H395,"0")+IFERROR(Y396/H396,"0")</f>
        <v>5</v>
      </c>
      <c r="Z397" s="43">
        <f>IFERROR(IF(Z393="",0,Z393),"0")+IFERROR(IF(Z394="",0,Z394),"0")+IFERROR(IF(Z395="",0,Z395),"0")+IFERROR(IF(Z396="",0,Z396),"0")</f>
        <v>3.2550000000000003E-2</v>
      </c>
      <c r="AA397" s="67"/>
      <c r="AB397" s="67"/>
      <c r="AC397" s="67"/>
    </row>
    <row r="398" spans="1:68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12.75</v>
      </c>
      <c r="Y398" s="43">
        <f>IFERROR(SUM(Y393:Y396),"0")</f>
        <v>12.75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81</v>
      </c>
      <c r="Y419" s="55">
        <f>IFERROR(IF(X419="",0,CEILING((X419/$H419),1)*$H419),"")</f>
        <v>81</v>
      </c>
      <c r="Z419" s="41">
        <f>IFERROR(IF(Y419=0,"",ROUNDUP(Y419/H419,0)*0.01898),"")</f>
        <v>0.1898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85.94</v>
      </c>
      <c r="BN419" s="78">
        <f>IFERROR(Y419*I419/H419,"0")</f>
        <v>85.94</v>
      </c>
      <c r="BO419" s="78">
        <f>IFERROR(1/J419*(X419/H419),"0")</f>
        <v>0.15625</v>
      </c>
      <c r="BP419" s="78">
        <f>IFERROR(1/J419*(Y419/H419),"0")</f>
        <v>0.15625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10.5</v>
      </c>
      <c r="Y420" s="55">
        <f>IFERROR(IF(X420="",0,CEILING((X420/$H420),1)*$H420),"")</f>
        <v>10.5</v>
      </c>
      <c r="Z420" s="41">
        <f>IFERROR(IF(Y420=0,"",ROUNDUP(Y420/H420,0)*0.00651),"")</f>
        <v>3.2550000000000003E-2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11.759999999999998</v>
      </c>
      <c r="BN420" s="78">
        <f>IFERROR(Y420*I420/H420,"0")</f>
        <v>11.759999999999998</v>
      </c>
      <c r="BO420" s="78">
        <f>IFERROR(1/J420*(X420/H420),"0")</f>
        <v>2.7472527472527476E-2</v>
      </c>
      <c r="BP420" s="78">
        <f>IFERROR(1/J420*(Y420/H420),"0")</f>
        <v>2.7472527472527476E-2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10.5</v>
      </c>
      <c r="Y421" s="55">
        <f>IFERROR(IF(X421="",0,CEILING((X421/$H421),1)*$H421),"")</f>
        <v>10.5</v>
      </c>
      <c r="Z421" s="41">
        <f>IFERROR(IF(Y421=0,"",ROUNDUP(Y421/H421,0)*0.00651),"")</f>
        <v>3.2550000000000003E-2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11.7</v>
      </c>
      <c r="BN421" s="78">
        <f>IFERROR(Y421*I421/H421,"0")</f>
        <v>11.7</v>
      </c>
      <c r="BO421" s="78">
        <f>IFERROR(1/J421*(X421/H421),"0")</f>
        <v>2.7472527472527476E-2</v>
      </c>
      <c r="BP421" s="78">
        <f>IFERROR(1/J421*(Y421/H421),"0")</f>
        <v>2.7472527472527476E-2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20</v>
      </c>
      <c r="Y422" s="43">
        <f>IFERROR(Y419/H419,"0")+IFERROR(Y420/H420,"0")+IFERROR(Y421/H421,"0")</f>
        <v>20</v>
      </c>
      <c r="Z422" s="43">
        <f>IFERROR(IF(Z419="",0,Z419),"0")+IFERROR(IF(Z420="",0,Z420),"0")+IFERROR(IF(Z421="",0,Z421),"0")</f>
        <v>0.25490000000000002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102</v>
      </c>
      <c r="Y423" s="43">
        <f>IFERROR(SUM(Y419:Y421),"0")</f>
        <v>102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720</v>
      </c>
      <c r="Y431" s="55">
        <f t="shared" si="58"/>
        <v>720</v>
      </c>
      <c r="Z431" s="41">
        <f>IFERROR(IF(Y431=0,"",ROUNDUP(Y431/H431,0)*0.02175),"")</f>
        <v>1.044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742.56</v>
      </c>
      <c r="BN431" s="78">
        <f t="shared" si="60"/>
        <v>742.56</v>
      </c>
      <c r="BO431" s="78">
        <f t="shared" si="61"/>
        <v>1</v>
      </c>
      <c r="BP431" s="78">
        <f t="shared" si="62"/>
        <v>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48</v>
      </c>
      <c r="Y435" s="43">
        <f>IFERROR(Y427/H427,"0")+IFERROR(Y428/H428,"0")+IFERROR(Y429/H429,"0")+IFERROR(Y430/H430,"0")+IFERROR(Y431/H431,"0")+IFERROR(Y432/H432,"0")+IFERROR(Y433/H433,"0")+IFERROR(Y434/H434,"0")</f>
        <v>48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1.044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720</v>
      </c>
      <c r="Y436" s="43">
        <f>IFERROR(SUM(Y427:Y434),"0")</f>
        <v>720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90</v>
      </c>
      <c r="Y444" s="55">
        <f>IFERROR(IF(X444="",0,CEILING((X444/$H444),1)*$H444),"")</f>
        <v>90</v>
      </c>
      <c r="Z444" s="41">
        <f>IFERROR(IF(Y444=0,"",ROUNDUP(Y444/H444,0)*0.01898),"")</f>
        <v>0.1898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95</v>
      </c>
      <c r="BN444" s="78">
        <f>IFERROR(Y444*I444/H444,"0")</f>
        <v>95</v>
      </c>
      <c r="BO444" s="78">
        <f>IFERROR(1/J444*(X444/H444),"0")</f>
        <v>0.15625</v>
      </c>
      <c r="BP444" s="78">
        <f>IFERROR(1/J444*(Y444/H444),"0")</f>
        <v>0.15625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18</v>
      </c>
      <c r="Y445" s="55">
        <f>IFERROR(IF(X445="",0,CEILING((X445/$H445),1)*$H445),"")</f>
        <v>18</v>
      </c>
      <c r="Z445" s="41">
        <f>IFERROR(IF(Y445=0,"",ROUNDUP(Y445/H445,0)*0.01898),"")</f>
        <v>3.7960000000000001E-2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18.988</v>
      </c>
      <c r="BN445" s="78">
        <f>IFERROR(Y445*I445/H445,"0")</f>
        <v>18.988</v>
      </c>
      <c r="BO445" s="78">
        <f>IFERROR(1/J445*(X445/H445),"0")</f>
        <v>3.125E-2</v>
      </c>
      <c r="BP445" s="78">
        <f>IFERROR(1/J445*(Y445/H445),"0")</f>
        <v>3.125E-2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12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0.22775999999999999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108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105.6</v>
      </c>
      <c r="Y503" s="55">
        <f t="shared" si="68"/>
        <v>105.60000000000001</v>
      </c>
      <c r="Z503" s="41">
        <f t="shared" si="69"/>
        <v>0.2392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112.59999999999998</v>
      </c>
      <c r="BN503" s="78">
        <f t="shared" si="71"/>
        <v>112.6</v>
      </c>
      <c r="BO503" s="78">
        <f t="shared" si="72"/>
        <v>0.19230769230769229</v>
      </c>
      <c r="BP503" s="78">
        <f t="shared" si="73"/>
        <v>0.19230769230769232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52.8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56.29999999999999</v>
      </c>
      <c r="BN505" s="78">
        <f t="shared" si="71"/>
        <v>56.3</v>
      </c>
      <c r="BO505" s="78">
        <f t="shared" si="72"/>
        <v>9.6153846153846145E-2</v>
      </c>
      <c r="BP505" s="78">
        <f t="shared" si="73"/>
        <v>9.6153846153846159E-2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29.999999999999993</v>
      </c>
      <c r="Y509" s="43">
        <f>IFERROR(Y500/H500,"0")+IFERROR(Y501/H501,"0")+IFERROR(Y502/H502,"0")+IFERROR(Y503/H503,"0")+IFERROR(Y504/H504,"0")+IFERROR(Y505/H505,"0")+IFERROR(Y506/H506,"0")+IFERROR(Y507/H507,"0")+IFERROR(Y508/H508,"0")</f>
        <v>30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0.35880000000000001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158.39999999999998</v>
      </c>
      <c r="Y510" s="43">
        <f>IFERROR(SUM(Y500:Y508),"0")</f>
        <v>158.4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105.6</v>
      </c>
      <c r="Y512" s="55">
        <f>IFERROR(IF(X512="",0,CEILING((X512/$H512),1)*$H512),"")</f>
        <v>105.60000000000001</v>
      </c>
      <c r="Z512" s="41">
        <f>IFERROR(IF(Y512=0,"",ROUNDUP(Y512/H512,0)*0.01196),"")</f>
        <v>0.2392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112.59999999999998</v>
      </c>
      <c r="BN512" s="78">
        <f>IFERROR(Y512*I512/H512,"0")</f>
        <v>112.6</v>
      </c>
      <c r="BO512" s="78">
        <f>IFERROR(1/J512*(X512/H512),"0")</f>
        <v>0.19230769230769229</v>
      </c>
      <c r="BP512" s="78">
        <f>IFERROR(1/J512*(Y512/H512),"0")</f>
        <v>0.19230769230769232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19.999999999999996</v>
      </c>
      <c r="Y515" s="43">
        <f>IFERROR(Y512/H512,"0")+IFERROR(Y513/H513,"0")+IFERROR(Y514/H514,"0")</f>
        <v>20</v>
      </c>
      <c r="Z515" s="43">
        <f>IFERROR(IF(Z512="",0,Z512),"0")+IFERROR(IF(Z513="",0,Z513),"0")+IFERROR(IF(Z514="",0,Z514),"0")</f>
        <v>0.2392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105.6</v>
      </c>
      <c r="Y516" s="43">
        <f>IFERROR(SUM(Y512:Y514),"0")</f>
        <v>105.60000000000001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52.8</v>
      </c>
      <c r="Y519" s="55">
        <f t="shared" si="7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56.29999999999999</v>
      </c>
      <c r="BN519" s="78">
        <f t="shared" si="76"/>
        <v>56.3</v>
      </c>
      <c r="BO519" s="78">
        <f t="shared" si="77"/>
        <v>9.6153846153846145E-2</v>
      </c>
      <c r="BP519" s="78">
        <f t="shared" si="78"/>
        <v>9.6153846153846159E-2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52.8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56.29999999999999</v>
      </c>
      <c r="BN520" s="78">
        <f t="shared" si="76"/>
        <v>56.3</v>
      </c>
      <c r="BO520" s="78">
        <f t="shared" si="77"/>
        <v>9.6153846153846145E-2</v>
      </c>
      <c r="BP520" s="78">
        <f t="shared" si="78"/>
        <v>9.6153846153846159E-2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19.999999999999996</v>
      </c>
      <c r="Y525" s="43">
        <f>IFERROR(Y518/H518,"0")+IFERROR(Y519/H519,"0")+IFERROR(Y520/H520,"0")+IFERROR(Y521/H521,"0")+IFERROR(Y522/H522,"0")+IFERROR(Y523/H523,"0")+IFERROR(Y524/H524,"0")</f>
        <v>20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0.2392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105.6</v>
      </c>
      <c r="Y526" s="43">
        <f>IFERROR(SUM(Y518:Y524),"0")</f>
        <v>105.60000000000001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48</v>
      </c>
      <c r="Y538" s="55">
        <f>IFERROR(IF(X538="",0,CEILING((X538/$H538),1)*$H538),"")</f>
        <v>50.400000000000006</v>
      </c>
      <c r="Z538" s="41">
        <f>IFERROR(IF(Y538=0,"",ROUNDUP(Y538/H538,0)*0.00902),"")</f>
        <v>0.10824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50.857142857142861</v>
      </c>
      <c r="BN538" s="78">
        <f>IFERROR(Y538*I538/H538,"0")</f>
        <v>53.400000000000006</v>
      </c>
      <c r="BO538" s="78">
        <f>IFERROR(1/J538*(X538/H538),"0")</f>
        <v>8.658008658008659E-2</v>
      </c>
      <c r="BP538" s="78">
        <f>IFERROR(1/J538*(Y538/H538),"0")</f>
        <v>9.0909090909090912E-2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11.428571428571429</v>
      </c>
      <c r="Y539" s="43">
        <f>IFERROR(Y538/H538,"0")</f>
        <v>12</v>
      </c>
      <c r="Z539" s="43">
        <f>IFERROR(IF(Z538="",0,Z538),"0")</f>
        <v>0.10824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48</v>
      </c>
      <c r="Y540" s="43">
        <f>IFERROR(SUM(Y538:Y538),"0")</f>
        <v>50.400000000000006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2630.85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2633.25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2754.9351428571431</v>
      </c>
      <c r="Y556" s="43">
        <f>IFERROR(SUM(BN22:BN552),"0")</f>
        <v>2757.4780000000005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2879.9351428571431</v>
      </c>
      <c r="Y558" s="43">
        <f>GrossWeightTotalR+PalletQtyTotalR*25</f>
        <v>2882.4780000000005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341.42857142857144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342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5.0089500000000005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256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391</v>
      </c>
      <c r="F565" s="52">
        <f>IFERROR(Y84*1,"0")+IFERROR(Y85*1,"0")+IFERROR(Y86*1,"0")+IFERROR(Y87*1,"0")+IFERROR(Y91*1,"0")+IFERROR(Y92*1,"0")+IFERROR(Y93*1,"0")+IFERROR(Y94*1,"0")</f>
        <v>108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81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447.25</v>
      </c>
      <c r="U565" s="52">
        <f>IFERROR(Y413*1,"0")+IFERROR(Y414*1,"0")</f>
        <v>0</v>
      </c>
      <c r="V565" s="52">
        <f>IFERROR(Y419*1,"0")+IFERROR(Y420*1,"0")+IFERROR(Y421*1,"0")</f>
        <v>102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828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369.6</v>
      </c>
      <c r="AB565" s="52">
        <f>IFERROR(Y530*1,"0")+IFERROR(Y534*1,"0")+IFERROR(Y538*1,"0")+IFERROR(Y542*1,"0")+IFERROR(Y546*1,"0")+IFERROR(Y547*1,"0")</f>
        <v>50.400000000000006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50"/>
        <filter val="102,00"/>
        <filter val="105,60"/>
        <filter val="108,00"/>
        <filter val="11,43"/>
        <filter val="12,00"/>
        <filter val="12,75"/>
        <filter val="135,00"/>
        <filter val="158,40"/>
        <filter val="18,00"/>
        <filter val="2 630,85"/>
        <filter val="2 754,94"/>
        <filter val="2 879,94"/>
        <filter val="20,00"/>
        <filter val="216,00"/>
        <filter val="25,00"/>
        <filter val="256,00"/>
        <filter val="27,00"/>
        <filter val="30,00"/>
        <filter val="341,43"/>
        <filter val="40,00"/>
        <filter val="42,00"/>
        <filter val="48,00"/>
        <filter val="5"/>
        <filter val="5,00"/>
        <filter val="52,80"/>
        <filter val="720,00"/>
        <filter val="81,00"/>
        <filter val="84,00"/>
        <filter val="90,00"/>
        <filter val="94,5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