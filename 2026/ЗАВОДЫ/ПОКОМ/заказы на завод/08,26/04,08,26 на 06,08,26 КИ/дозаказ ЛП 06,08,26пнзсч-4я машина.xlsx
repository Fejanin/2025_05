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6FFD083-EC7A-4E95-B116-10B2DBA7CFF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Z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N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Z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P293" i="2"/>
  <c r="BO293" i="2"/>
  <c r="BN293" i="2"/>
  <c r="BM293" i="2"/>
  <c r="Z293" i="2"/>
  <c r="Y293" i="2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P170" i="2"/>
  <c r="BO170" i="2"/>
  <c r="BM170" i="2"/>
  <c r="Y170" i="2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N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P100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P55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BN48" i="2" l="1"/>
  <c r="BN59" i="2"/>
  <c r="BN136" i="2"/>
  <c r="BN165" i="2"/>
  <c r="BN195" i="2"/>
  <c r="BN289" i="2"/>
  <c r="BN299" i="2"/>
  <c r="BN450" i="2"/>
  <c r="BN482" i="2"/>
  <c r="BN524" i="2"/>
  <c r="BN41" i="2"/>
  <c r="BN153" i="2"/>
  <c r="Z159" i="2"/>
  <c r="Z160" i="2" s="1"/>
  <c r="Y160" i="2"/>
  <c r="BN175" i="2"/>
  <c r="Z183" i="2"/>
  <c r="BN190" i="2"/>
  <c r="Z230" i="2"/>
  <c r="BN230" i="2"/>
  <c r="BN240" i="2"/>
  <c r="Z283" i="2"/>
  <c r="BN287" i="2"/>
  <c r="Z328" i="2"/>
  <c r="BN333" i="2"/>
  <c r="BP341" i="2"/>
  <c r="BN344" i="2"/>
  <c r="Z355" i="2"/>
  <c r="Z375" i="2"/>
  <c r="BN383" i="2"/>
  <c r="Y398" i="2"/>
  <c r="Z433" i="2"/>
  <c r="BN434" i="2"/>
  <c r="BP118" i="2"/>
  <c r="Y122" i="2"/>
  <c r="Z149" i="2"/>
  <c r="BP152" i="2"/>
  <c r="Y253" i="2"/>
  <c r="Z318" i="2"/>
  <c r="Z356" i="2"/>
  <c r="Z363" i="2"/>
  <c r="BP363" i="2"/>
  <c r="Y397" i="2"/>
  <c r="Z407" i="2"/>
  <c r="Z409" i="2" s="1"/>
  <c r="BP356" i="2"/>
  <c r="Z118" i="2"/>
  <c r="BN23" i="2"/>
  <c r="BP120" i="2"/>
  <c r="BN131" i="2"/>
  <c r="Z152" i="2"/>
  <c r="BN185" i="2"/>
  <c r="BN273" i="2"/>
  <c r="Z284" i="2"/>
  <c r="Y296" i="2"/>
  <c r="BN304" i="2"/>
  <c r="Z372" i="2"/>
  <c r="Z393" i="2"/>
  <c r="BP393" i="2"/>
  <c r="Z434" i="2"/>
  <c r="Z440" i="2"/>
  <c r="Z441" i="2" s="1"/>
  <c r="BN444" i="2"/>
  <c r="Z461" i="2"/>
  <c r="Z462" i="2" s="1"/>
  <c r="Y489" i="2"/>
  <c r="BN514" i="2"/>
  <c r="Y452" i="2"/>
  <c r="BN74" i="2"/>
  <c r="BN93" i="2"/>
  <c r="BN113" i="2"/>
  <c r="BP124" i="2"/>
  <c r="BP222" i="2"/>
  <c r="BN225" i="2"/>
  <c r="BP283" i="2"/>
  <c r="Y358" i="2"/>
  <c r="Z383" i="2"/>
  <c r="BP395" i="2"/>
  <c r="BN396" i="2"/>
  <c r="BP433" i="2"/>
  <c r="BP439" i="2"/>
  <c r="Y463" i="2"/>
  <c r="BN492" i="2"/>
  <c r="BN504" i="2"/>
  <c r="BP519" i="2"/>
  <c r="BN520" i="2"/>
  <c r="Z428" i="2"/>
  <c r="Z431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367" i="2" s="1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Z415" i="2"/>
  <c r="BP507" i="2"/>
  <c r="BN507" i="2"/>
  <c r="Z507" i="2"/>
  <c r="Z396" i="2"/>
  <c r="Z465" i="2"/>
  <c r="Z468" i="2" s="1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377" i="2"/>
  <c r="Z329" i="2"/>
  <c r="Z24" i="2"/>
  <c r="Z95" i="2"/>
  <c r="Z435" i="2"/>
  <c r="Z290" i="2"/>
  <c r="Z88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Y558" i="2" s="1"/>
  <c r="Z186" i="2"/>
  <c r="Y559" i="2"/>
  <c r="Z42" i="2"/>
  <c r="Y555" i="2"/>
  <c r="Z70" i="2"/>
  <c r="Z213" i="2"/>
  <c r="Z403" i="2"/>
  <c r="Z525" i="2"/>
  <c r="Z560" i="2" l="1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<sst xmlns="http://schemas.openxmlformats.org/spreadsheetml/2006/main" count="4245" uniqueCount="901">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</sst>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46240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0.625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625</v>
      </c>
      <c r="Y428" s="55">
        <f t="shared" si="58"/>
        <v>630</v>
      </c>
      <c r="Z428" s="41">
        <f>IFERROR(IF(Y428=0,"",ROUNDUP(Y428/H428,0)*0.02175),"")</f>
        <v>0.91349999999999998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644.58333333333337</v>
      </c>
      <c r="BN428" s="78">
        <f t="shared" si="60"/>
        <v>649.74</v>
      </c>
      <c r="BO428" s="78">
        <f t="shared" si="61"/>
        <v>0.86805555555555547</v>
      </c>
      <c r="BP428" s="78">
        <f t="shared" si="62"/>
        <v>0.875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375</v>
      </c>
      <c r="Y429" s="55">
        <f t="shared" si="58"/>
        <v>375</v>
      </c>
      <c r="Z429" s="41">
        <f>IFERROR(IF(Y429=0,"",ROUNDUP(Y429/H429,0)*0.02175),"")</f>
        <v>0.54374999999999996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386.75</v>
      </c>
      <c r="BN429" s="78">
        <f t="shared" si="60"/>
        <v>386.75</v>
      </c>
      <c r="BO429" s="78">
        <f t="shared" si="61"/>
        <v>0.52083333333333326</v>
      </c>
      <c r="BP429" s="78">
        <f t="shared" si="62"/>
        <v>0.52083333333333326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5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1547</v>
      </c>
      <c r="BN431" s="78">
        <f t="shared" si="60"/>
        <v>1547</v>
      </c>
      <c r="BO431" s="78">
        <f t="shared" si="61"/>
        <v>2.083333333333333</v>
      </c>
      <c r="BP431" s="78">
        <f t="shared" si="62"/>
        <v>2.083333333333333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166.66666666666666</v>
      </c>
      <c r="Y435" s="43">
        <f>IFERROR(Y427/H427,"0")+IFERROR(Y428/H428,"0")+IFERROR(Y429/H429,"0")+IFERROR(Y430/H430,"0")+IFERROR(Y431/H431,"0")+IFERROR(Y432/H432,"0")+IFERROR(Y433/H433,"0")+IFERROR(Y434/H434,"0")</f>
        <v>167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3.63225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2500</v>
      </c>
      <c r="Y436" s="43">
        <f>IFERROR(SUM(Y427:Y434),"0")</f>
        <v>2505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2500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2505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2578.3333333333335</v>
      </c>
      <c r="Y556" s="43">
        <f>IFERROR(SUM(BN22:BN552),"0")</f>
        <v>2583.4899999999998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4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2678.3333333333335</v>
      </c>
      <c r="Y558" s="43">
        <f>GrossWeightTotalR+PalletQtyTotalR*25</f>
        <v>2683.49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166.66666666666666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167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3.63225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2505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66,67"/>
        <filter val="2 500,00"/>
        <filter val="2 578,33"/>
        <filter val="2 678,33"/>
        <filter val="375,00"/>
        <filter val="4"/>
        <filter val="625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