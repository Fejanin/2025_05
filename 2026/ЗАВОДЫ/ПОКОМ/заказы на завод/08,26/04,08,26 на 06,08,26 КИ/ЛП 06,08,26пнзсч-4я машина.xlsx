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7977D0-EC35-4B8C-AF98-1D0A1C9CDCA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Y43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Y51" i="2" l="1"/>
  <c r="BN286" i="2"/>
  <c r="BN300" i="2"/>
  <c r="BN347" i="2"/>
  <c r="BN23" i="2"/>
  <c r="Z31" i="2"/>
  <c r="BP34" i="2"/>
  <c r="BN36" i="2"/>
  <c r="Z41" i="2"/>
  <c r="Z42" i="2" s="1"/>
  <c r="BN41" i="2"/>
  <c r="BP41" i="2"/>
  <c r="Y42" i="2"/>
  <c r="Z48" i="2"/>
  <c r="BP101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11" i="2"/>
  <c r="BP325" i="2"/>
  <c r="BN327" i="2"/>
  <c r="Y334" i="2"/>
  <c r="Y342" i="2"/>
  <c r="Y519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485" i="2" l="1"/>
  <c r="Z25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<sst xmlns="http://schemas.openxmlformats.org/spreadsheetml/2006/main" count="3933" uniqueCount="845">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</sst>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844</v>
      </c>
      <c r="I5" s="598"/>
      <c r="J5" s="598"/>
      <c r="K5" s="598"/>
      <c r="L5" s="598"/>
      <c r="M5" s="598"/>
      <c r="N5" s="69"/>
      <c r="P5" s="26" t="s">
        <v>4</v>
      </c>
      <c r="Q5" s="600">
        <v>46240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0.54166666666666663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180</v>
      </c>
      <c r="Y56" s="53">
        <f>IFERROR(IF(X56="",0,CEILING((X56/$H56),1)*$H56),"")</f>
        <v>183.60000000000002</v>
      </c>
      <c r="Z56" s="39">
        <f>IFERROR(IF(Y56=0,"",ROUNDUP(Y56/H56,0)*0.01898),"")</f>
        <v>0.32266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186.83333333333334</v>
      </c>
      <c r="BN56" s="75">
        <f>IFERROR(Y56*I56/H56,"0")</f>
        <v>190.57000000000002</v>
      </c>
      <c r="BO56" s="75">
        <f>IFERROR(1/J56*(X56/H56),"0")</f>
        <v>0.26041666666666663</v>
      </c>
      <c r="BP56" s="75">
        <f>IFERROR(1/J56*(Y56/H56),"0")</f>
        <v>0.265625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>
        <v>24</v>
      </c>
      <c r="Y58" s="53">
        <f>IFERROR(IF(X58="",0,CEILING((X58/$H58),1)*$H58),"")</f>
        <v>24</v>
      </c>
      <c r="Z58" s="39">
        <f>IFERROR(IF(Y58=0,"",ROUNDUP(Y58/H58,0)*0.00902),"")</f>
        <v>5.4120000000000001E-2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25.14</v>
      </c>
      <c r="BN58" s="75">
        <f>IFERROR(Y58*I58/H58,"0")</f>
        <v>25.14</v>
      </c>
      <c r="BO58" s="75">
        <f>IFERROR(1/J58*(X58/H58),"0")</f>
        <v>4.5454545454545456E-2</v>
      </c>
      <c r="BP58" s="75">
        <f>IFERROR(1/J58*(Y58/H58),"0")</f>
        <v>4.5454545454545456E-2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22.666666666666664</v>
      </c>
      <c r="Y60" s="41">
        <f>IFERROR(Y56/H56,"0")+IFERROR(Y57/H57,"0")+IFERROR(Y58/H58,"0")+IFERROR(Y59/H59,"0")</f>
        <v>23</v>
      </c>
      <c r="Z60" s="41">
        <f>IFERROR(IF(Z56="",0,Z56),"0")+IFERROR(IF(Z57="",0,Z57),"0")+IFERROR(IF(Z58="",0,Z58),"0")+IFERROR(IF(Z59="",0,Z59),"0")</f>
        <v>0.37678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204</v>
      </c>
      <c r="Y61" s="41">
        <f>IFERROR(SUM(Y56:Y59),"0")</f>
        <v>207.60000000000002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hidden="1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/>
      <c r="Y65" s="53">
        <f t="shared" si="6"/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hidden="1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0</v>
      </c>
      <c r="Y70" s="41">
        <f>IFERROR(Y64/H64,"0")+IFERROR(Y65/H65,"0")+IFERROR(Y66/H66,"0")+IFERROR(Y67/H67,"0")+IFERROR(Y68/H68,"0")+IFERROR(Y69/H69,"0")</f>
        <v>0</v>
      </c>
      <c r="Z70" s="41">
        <f>IFERROR(IF(Z64="",0,Z64),"0")+IFERROR(IF(Z65="",0,Z65),"0")+IFERROR(IF(Z66="",0,Z66),"0")+IFERROR(IF(Z67="",0,Z67),"0")+IFERROR(IF(Z68="",0,Z68),"0")+IFERROR(IF(Z69="",0,Z69),"0")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0</v>
      </c>
      <c r="Y71" s="41">
        <f>IFERROR(SUM(Y64:Y69),"0")</f>
        <v>0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30</v>
      </c>
      <c r="Y73" s="53">
        <f>IFERROR(IF(X73="",0,CEILING((X73/$H73),1)*$H73),"")</f>
        <v>32.400000000000006</v>
      </c>
      <c r="Z73" s="39">
        <f>IFERROR(IF(Y73=0,"",ROUNDUP(Y73/H73,0)*0.01898),"")</f>
        <v>5.6940000000000004E-2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31.138888888888889</v>
      </c>
      <c r="BN73" s="75">
        <f>IFERROR(Y73*I73/H73,"0")</f>
        <v>33.630000000000003</v>
      </c>
      <c r="BO73" s="75">
        <f>IFERROR(1/J73*(X73/H73),"0")</f>
        <v>4.3402777777777776E-2</v>
      </c>
      <c r="BP73" s="75">
        <f>IFERROR(1/J73*(Y73/H73),"0")</f>
        <v>4.6875000000000007E-2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2.7777777777777777</v>
      </c>
      <c r="Y77" s="41">
        <f>IFERROR(Y73/H73,"0")+IFERROR(Y74/H74,"0")+IFERROR(Y75/H75,"0")+IFERROR(Y76/H76,"0")</f>
        <v>3.0000000000000004</v>
      </c>
      <c r="Z77" s="41">
        <f>IFERROR(IF(Z73="",0,Z73),"0")+IFERROR(IF(Z74="",0,Z74),"0")+IFERROR(IF(Z75="",0,Z75),"0")+IFERROR(IF(Z76="",0,Z76),"0")</f>
        <v>5.6940000000000004E-2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30</v>
      </c>
      <c r="Y78" s="41">
        <f>IFERROR(SUM(Y73:Y76),"0")</f>
        <v>32.400000000000006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50</v>
      </c>
      <c r="Y91" s="53">
        <f>IFERROR(IF(X91="",0,CEILING((X91/$H91),1)*$H91),"")</f>
        <v>54</v>
      </c>
      <c r="Z91" s="39">
        <f>IFERROR(IF(Y91=0,"",ROUNDUP(Y91/H91,0)*0.01898),"")</f>
        <v>9.4899999999999998E-2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51.898148148148145</v>
      </c>
      <c r="BN91" s="75">
        <f>IFERROR(Y91*I91/H91,"0")</f>
        <v>56.05</v>
      </c>
      <c r="BO91" s="75">
        <f>IFERROR(1/J91*(X91/H91),"0")</f>
        <v>7.2337962962962965E-2</v>
      </c>
      <c r="BP91" s="75">
        <f>IFERROR(1/J91*(Y91/H91),"0")</f>
        <v>7.8125E-2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27</v>
      </c>
      <c r="Y94" s="53">
        <f>IFERROR(IF(X94="",0,CEILING((X94/$H94),1)*$H94),"")</f>
        <v>27</v>
      </c>
      <c r="Z94" s="39">
        <f>IFERROR(IF(Y94=0,"",ROUNDUP(Y94/H94,0)*0.00902),"")</f>
        <v>5.4120000000000001E-2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28.14</v>
      </c>
      <c r="BN94" s="75">
        <f>IFERROR(Y94*I94/H94,"0")</f>
        <v>28.14</v>
      </c>
      <c r="BO94" s="75">
        <f>IFERROR(1/J94*(X94/H94),"0")</f>
        <v>4.5454545454545456E-2</v>
      </c>
      <c r="BP94" s="75">
        <f>IFERROR(1/J94*(Y94/H94),"0")</f>
        <v>4.5454545454545456E-2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10.62962962962963</v>
      </c>
      <c r="Y95" s="41">
        <f>IFERROR(Y91/H91,"0")+IFERROR(Y92/H92,"0")+IFERROR(Y93/H93,"0")+IFERROR(Y94/H94,"0")</f>
        <v>11</v>
      </c>
      <c r="Z95" s="41">
        <f>IFERROR(IF(Z91="",0,Z91),"0")+IFERROR(IF(Z92="",0,Z92),"0")+IFERROR(IF(Z93="",0,Z93),"0")+IFERROR(IF(Z94="",0,Z94),"0")</f>
        <v>0.14901999999999999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77</v>
      </c>
      <c r="Y96" s="41">
        <f>IFERROR(SUM(Y91:Y94),"0")</f>
        <v>81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350</v>
      </c>
      <c r="Y98" s="53">
        <f>IFERROR(IF(X98="",0,CEILING((X98/$H98),1)*$H98),"")</f>
        <v>356.4</v>
      </c>
      <c r="Z98" s="39">
        <f>IFERROR(IF(Y98=0,"",ROUNDUP(Y98/H98,0)*0.01898),"")</f>
        <v>0.83511999999999997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371.34567901234567</v>
      </c>
      <c r="BN98" s="75">
        <f>IFERROR(Y98*I98/H98,"0")</f>
        <v>378.13599999999997</v>
      </c>
      <c r="BO98" s="75">
        <f>IFERROR(1/J98*(X98/H98),"0")</f>
        <v>0.67515432098765438</v>
      </c>
      <c r="BP98" s="75">
        <f>IFERROR(1/J98*(Y98/H98),"0")</f>
        <v>0.6875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43.20987654320988</v>
      </c>
      <c r="Y102" s="41">
        <f>IFERROR(Y98/H98,"0")+IFERROR(Y99/H99,"0")+IFERROR(Y100/H100,"0")+IFERROR(Y101/H101,"0")</f>
        <v>44</v>
      </c>
      <c r="Z102" s="41">
        <f>IFERROR(IF(Z98="",0,Z98),"0")+IFERROR(IF(Z99="",0,Z99),"0")+IFERROR(IF(Z100="",0,Z100),"0")+IFERROR(IF(Z101="",0,Z101),"0")</f>
        <v>0.83511999999999997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350</v>
      </c>
      <c r="Y103" s="41">
        <f>IFERROR(SUM(Y98:Y101),"0")</f>
        <v>356.4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hidden="1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/>
      <c r="Y106" s="53">
        <f t="shared" ref="Y106:Y112" si="11">IFERROR(IF(X106="",0,CEILING((X106/$H106),1)*$H106),"")</f>
        <v>0</v>
      </c>
      <c r="Z106" s="39" t="str">
        <f>IFERROR(IF(Y106=0,"",ROUNDUP(Y106/H106,0)*0.01898),"")</f>
        <v/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0</v>
      </c>
      <c r="BN106" s="75">
        <f t="shared" ref="BN106:BN112" si="13">IFERROR(Y106*I106/H106,"0")</f>
        <v>0</v>
      </c>
      <c r="BO106" s="75">
        <f t="shared" ref="BO106:BO112" si="14">IFERROR(1/J106*(X106/H106),"0")</f>
        <v>0</v>
      </c>
      <c r="BP106" s="75">
        <f t="shared" ref="BP106:BP112" si="15">IFERROR(1/J106*(Y106/H106),"0")</f>
        <v>0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27</v>
      </c>
      <c r="Y111" s="53">
        <f t="shared" si="11"/>
        <v>27</v>
      </c>
      <c r="Z111" s="39">
        <f>IFERROR(IF(Y111=0,"",ROUNDUP(Y111/H111,0)*0.00902),"")</f>
        <v>5.4120000000000001E-2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28.14</v>
      </c>
      <c r="BN111" s="75">
        <f t="shared" si="13"/>
        <v>28.14</v>
      </c>
      <c r="BO111" s="75">
        <f t="shared" si="14"/>
        <v>4.5454545454545456E-2</v>
      </c>
      <c r="BP111" s="75">
        <f t="shared" si="15"/>
        <v>4.5454545454545456E-2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6</v>
      </c>
      <c r="Y113" s="41">
        <f>IFERROR(Y106/H106,"0")+IFERROR(Y107/H107,"0")+IFERROR(Y108/H108,"0")+IFERROR(Y109/H109,"0")+IFERROR(Y110/H110,"0")+IFERROR(Y111/H111,"0")+IFERROR(Y112/H112,"0")</f>
        <v>6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5.4120000000000001E-2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27</v>
      </c>
      <c r="Y114" s="41">
        <f>IFERROR(SUM(Y106:Y112),"0")</f>
        <v>27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300</v>
      </c>
      <c r="Y124" s="53">
        <f>IFERROR(IF(X124="",0,CEILING((X124/$H124),1)*$H124),"")</f>
        <v>307.8</v>
      </c>
      <c r="Z124" s="39">
        <f>IFERROR(IF(Y124=0,"",ROUNDUP(Y124/H124,0)*0.01898),"")</f>
        <v>0.72123999999999999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318.07407407407402</v>
      </c>
      <c r="BN124" s="75">
        <f>IFERROR(Y124*I124/H124,"0")</f>
        <v>326.34399999999999</v>
      </c>
      <c r="BO124" s="75">
        <f>IFERROR(1/J124*(X124/H124),"0")</f>
        <v>0.57870370370370372</v>
      </c>
      <c r="BP124" s="75">
        <f>IFERROR(1/J124*(Y124/H124),"0")</f>
        <v>0.59375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37.037037037037038</v>
      </c>
      <c r="Y128" s="41">
        <f>IFERROR(Y124/H124,"0")+IFERROR(Y125/H125,"0")+IFERROR(Y126/H126,"0")+IFERROR(Y127/H127,"0")</f>
        <v>38</v>
      </c>
      <c r="Z128" s="41">
        <f>IFERROR(IF(Z124="",0,Z124),"0")+IFERROR(IF(Z125="",0,Z125),"0")+IFERROR(IF(Z126="",0,Z126),"0")+IFERROR(IF(Z127="",0,Z127),"0")</f>
        <v>0.72123999999999999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300</v>
      </c>
      <c r="Y129" s="41">
        <f>IFERROR(SUM(Y124:Y127),"0")</f>
        <v>307.8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200</v>
      </c>
      <c r="Y209" s="53">
        <f t="shared" ref="Y209:Y222" si="21">IFERROR(IF(X209="",0,CEILING((X209/$H209),1)*$H209),"")</f>
        <v>201.60000000000002</v>
      </c>
      <c r="Z209" s="39">
        <f>IFERROR(IF(Y209=0,"",ROUNDUP(Y209/H209,0)*0.00902),"")</f>
        <v>0.43296000000000001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211.9047619047619</v>
      </c>
      <c r="BN209" s="75">
        <f t="shared" ref="BN209:BN222" si="23">IFERROR(Y209*I209/H209,"0")</f>
        <v>213.60000000000002</v>
      </c>
      <c r="BO209" s="75">
        <f t="shared" ref="BO209:BO222" si="24">IFERROR(1/J209*(X209/H209),"0")</f>
        <v>0.36075036075036077</v>
      </c>
      <c r="BP209" s="75">
        <f t="shared" ref="BP209:BP222" si="25">IFERROR(1/J209*(Y209/H209),"0")</f>
        <v>0.36363636363636365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300</v>
      </c>
      <c r="Y211" s="53">
        <f t="shared" si="21"/>
        <v>302.40000000000003</v>
      </c>
      <c r="Z211" s="39">
        <f>IFERROR(IF(Y211=0,"",ROUNDUP(Y211/H211,0)*0.00902),"")</f>
        <v>0.64944000000000002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313.57142857142856</v>
      </c>
      <c r="BN211" s="75">
        <f t="shared" si="23"/>
        <v>316.08</v>
      </c>
      <c r="BO211" s="75">
        <f t="shared" si="24"/>
        <v>0.54112554112554112</v>
      </c>
      <c r="BP211" s="75">
        <f t="shared" si="25"/>
        <v>0.54545454545454541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hidden="1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119.04761904761905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120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1.0824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500</v>
      </c>
      <c r="Y224" s="41">
        <f>IFERROR(SUM(Y209:Y222),"0")</f>
        <v>504.00000000000006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100</v>
      </c>
      <c r="Y251" s="53">
        <f t="shared" ref="Y251:Y258" si="27">IFERROR(IF(X251="",0,CEILING((X251/$H251),1)*$H251),"")</f>
        <v>102.60000000000001</v>
      </c>
      <c r="Z251" s="39">
        <f>IFERROR(IF(Y251=0,"",ROUNDUP(Y251/H251,0)*0.00902),"")</f>
        <v>0.17138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103.5185185185185</v>
      </c>
      <c r="BN251" s="75">
        <f t="shared" ref="BN251:BN258" si="29">IFERROR(Y251*I251/H251,"0")</f>
        <v>106.21</v>
      </c>
      <c r="BO251" s="75">
        <f t="shared" ref="BO251:BO258" si="30">IFERROR(1/J251*(X251/H251),"0")</f>
        <v>0.14029180695847362</v>
      </c>
      <c r="BP251" s="75">
        <f t="shared" ref="BP251:BP258" si="31">IFERROR(1/J251*(Y251/H251),"0")</f>
        <v>0.14393939393939395</v>
      </c>
    </row>
    <row r="252" spans="1:68" ht="27" hidden="1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/>
      <c r="Y252" s="53">
        <f t="shared" si="27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0</v>
      </c>
      <c r="BN252" s="75">
        <f t="shared" si="29"/>
        <v>0</v>
      </c>
      <c r="BO252" s="75">
        <f t="shared" si="30"/>
        <v>0</v>
      </c>
      <c r="BP252" s="75">
        <f t="shared" si="31"/>
        <v>0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250</v>
      </c>
      <c r="Y253" s="53">
        <f t="shared" si="27"/>
        <v>253.8</v>
      </c>
      <c r="Z253" s="39">
        <f>IFERROR(IF(Y253=0,"",ROUNDUP(Y253/H253,0)*0.00902),"")</f>
        <v>0.42393999999999998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258.7962962962963</v>
      </c>
      <c r="BN253" s="75">
        <f t="shared" si="29"/>
        <v>262.72999999999996</v>
      </c>
      <c r="BO253" s="75">
        <f t="shared" si="30"/>
        <v>0.35072951739618402</v>
      </c>
      <c r="BP253" s="75">
        <f t="shared" si="31"/>
        <v>0.35606060606060608</v>
      </c>
    </row>
    <row r="254" spans="1:68" ht="27" hidden="1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/>
      <c r="Y254" s="53">
        <f t="shared" si="27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0</v>
      </c>
      <c r="BN254" s="75">
        <f t="shared" si="29"/>
        <v>0</v>
      </c>
      <c r="BO254" s="75">
        <f t="shared" si="30"/>
        <v>0</v>
      </c>
      <c r="BP254" s="75">
        <f t="shared" si="31"/>
        <v>0</v>
      </c>
    </row>
    <row r="255" spans="1:68" ht="27" hidden="1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hidden="1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64.81481481481481</v>
      </c>
      <c r="Y259" s="41">
        <f>IFERROR(Y251/H251,"0")+IFERROR(Y252/H252,"0")+IFERROR(Y253/H253,"0")+IFERROR(Y254/H254,"0")+IFERROR(Y255/H255,"0")+IFERROR(Y256/H256,"0")+IFERROR(Y257/H257,"0")+IFERROR(Y258/H258,"0")</f>
        <v>66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0.59531999999999996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350</v>
      </c>
      <c r="Y260" s="41">
        <f>IFERROR(SUM(Y251:Y258),"0")</f>
        <v>356.40000000000003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hidden="1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hidden="1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/>
      <c r="Y265" s="53">
        <f t="shared" si="32"/>
        <v>0</v>
      </c>
      <c r="Z265" s="39" t="str">
        <f t="shared" ref="Z265:Z271" si="37">IFERROR(IF(Y265=0,"",ROUNDUP(Y265/H265,0)*0.00651),"")</f>
        <v/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hidden="1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/>
      <c r="Y267" s="53">
        <f t="shared" si="32"/>
        <v>0</v>
      </c>
      <c r="Z267" s="39" t="str">
        <f t="shared" si="37"/>
        <v/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0</v>
      </c>
      <c r="BN267" s="75">
        <f t="shared" si="34"/>
        <v>0</v>
      </c>
      <c r="BO267" s="75">
        <f t="shared" si="35"/>
        <v>0</v>
      </c>
      <c r="BP267" s="75">
        <f t="shared" si="36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/>
      <c r="Y268" s="53">
        <f t="shared" si="32"/>
        <v>0</v>
      </c>
      <c r="Z268" s="39" t="str">
        <f t="shared" si="37"/>
        <v/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0</v>
      </c>
      <c r="BN268" s="75">
        <f t="shared" si="34"/>
        <v>0</v>
      </c>
      <c r="BO268" s="75">
        <f t="shared" si="35"/>
        <v>0</v>
      </c>
      <c r="BP268" s="75">
        <f t="shared" si="36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/>
      <c r="Y270" s="53">
        <f t="shared" si="32"/>
        <v>0</v>
      </c>
      <c r="Z270" s="39" t="str">
        <f t="shared" si="37"/>
        <v/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0</v>
      </c>
      <c r="BN270" s="75">
        <f t="shared" si="34"/>
        <v>0</v>
      </c>
      <c r="BO270" s="75">
        <f t="shared" si="35"/>
        <v>0</v>
      </c>
      <c r="BP270" s="75">
        <f t="shared" si="36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idden="1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0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0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4"/>
      <c r="AB272" s="64"/>
      <c r="AC272" s="64"/>
    </row>
    <row r="273" spans="1:68" hidden="1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0</v>
      </c>
      <c r="Y273" s="41">
        <f>IFERROR(SUM(Y262:Y271),"0")</f>
        <v>0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hidden="1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/>
      <c r="Y354" s="53">
        <f t="shared" ref="Y354:Y360" si="48"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0</v>
      </c>
      <c r="BN354" s="75">
        <f t="shared" ref="BN354:BN360" si="50">IFERROR(Y354*I354/H354,"0")</f>
        <v>0</v>
      </c>
      <c r="BO354" s="75">
        <f t="shared" ref="BO354:BO360" si="51">IFERROR(1/J354*(X354/H354),"0")</f>
        <v>0</v>
      </c>
      <c r="BP354" s="75">
        <f t="shared" ref="BP354:BP360" si="52">IFERROR(1/J354*(Y354/H354),"0")</f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/>
      <c r="Y355" s="53">
        <f t="shared" si="48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0</v>
      </c>
      <c r="BN355" s="75">
        <f t="shared" si="50"/>
        <v>0</v>
      </c>
      <c r="BO355" s="75">
        <f t="shared" si="51"/>
        <v>0</v>
      </c>
      <c r="BP355" s="75">
        <f t="shared" si="52"/>
        <v>0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hidden="1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50</v>
      </c>
      <c r="Y371" s="53">
        <f>IFERROR(IF(X371="",0,CEILING((X371/$H371),1)*$H371),"")</f>
        <v>50.400000000000006</v>
      </c>
      <c r="Z371" s="39">
        <f>IFERROR(IF(Y371=0,"",ROUNDUP(Y371/H371,0)*0.01898),"")</f>
        <v>0.11388000000000001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52.94047619047619</v>
      </c>
      <c r="BN371" s="75">
        <f>IFERROR(Y371*I371/H371,"0")</f>
        <v>53.364000000000004</v>
      </c>
      <c r="BO371" s="75">
        <f>IFERROR(1/J371*(X371/H371),"0")</f>
        <v>9.3005952380952384E-2</v>
      </c>
      <c r="BP371" s="75">
        <f>IFERROR(1/J371*(Y371/H371),"0")</f>
        <v>9.375E-2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350</v>
      </c>
      <c r="Y372" s="53">
        <f>IFERROR(IF(X372="",0,CEILING((X372/$H372),1)*$H372),"")</f>
        <v>351</v>
      </c>
      <c r="Z372" s="39">
        <f>IFERROR(IF(Y372=0,"",ROUNDUP(Y372/H372,0)*0.01898),"")</f>
        <v>0.85409999999999997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372.16666666666669</v>
      </c>
      <c r="BN372" s="75">
        <f>IFERROR(Y372*I372/H372,"0")</f>
        <v>373.23</v>
      </c>
      <c r="BO372" s="75">
        <f>IFERROR(1/J372*(X372/H372),"0")</f>
        <v>0.70112179487179493</v>
      </c>
      <c r="BP372" s="75">
        <f>IFERROR(1/J372*(Y372/H372),"0")</f>
        <v>0.703125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70</v>
      </c>
      <c r="Y373" s="53">
        <f>IFERROR(IF(X373="",0,CEILING((X373/$H373),1)*$H373),"")</f>
        <v>75.600000000000009</v>
      </c>
      <c r="Z373" s="39">
        <f>IFERROR(IF(Y373=0,"",ROUNDUP(Y373/H373,0)*0.01898),"")</f>
        <v>0.17082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74.116666666666674</v>
      </c>
      <c r="BN373" s="75">
        <f>IFERROR(Y373*I373/H373,"0")</f>
        <v>80.046000000000006</v>
      </c>
      <c r="BO373" s="75">
        <f>IFERROR(1/J373*(X373/H373),"0")</f>
        <v>0.13020833333333331</v>
      </c>
      <c r="BP373" s="75">
        <f>IFERROR(1/J373*(Y373/H373),"0")</f>
        <v>0.140625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59.157509157509153</v>
      </c>
      <c r="Y374" s="41">
        <f>IFERROR(Y371/H371,"0")+IFERROR(Y372/H372,"0")+IFERROR(Y373/H373,"0")</f>
        <v>60</v>
      </c>
      <c r="Z374" s="41">
        <f>IFERROR(IF(Z371="",0,Z371),"0")+IFERROR(IF(Z372="",0,Z372),"0")+IFERROR(IF(Z373="",0,Z373),"0")</f>
        <v>1.1388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470</v>
      </c>
      <c r="Y375" s="41">
        <f>IFERROR(SUM(Y371:Y373),"0")</f>
        <v>477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hidden="1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4100</v>
      </c>
      <c r="Y400" s="53">
        <f t="shared" si="53"/>
        <v>4110</v>
      </c>
      <c r="Z400" s="39">
        <f>IFERROR(IF(Y400=0,"",ROUNDUP(Y400/H400,0)*0.02175),"")</f>
        <v>5.9594999999999994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4228.4666666666662</v>
      </c>
      <c r="BN400" s="75">
        <f t="shared" si="55"/>
        <v>4238.7800000000007</v>
      </c>
      <c r="BO400" s="75">
        <f t="shared" si="56"/>
        <v>5.6944444444444438</v>
      </c>
      <c r="BP400" s="75">
        <f t="shared" si="57"/>
        <v>5.708333333333333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2500</v>
      </c>
      <c r="Y401" s="53">
        <f t="shared" si="53"/>
        <v>2505</v>
      </c>
      <c r="Z401" s="39">
        <f>IFERROR(IF(Y401=0,"",ROUNDUP(Y401/H401,0)*0.02175),"")</f>
        <v>3.6322499999999995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2578.3333333333335</v>
      </c>
      <c r="BN401" s="75">
        <f t="shared" si="55"/>
        <v>2583.4899999999998</v>
      </c>
      <c r="BO401" s="75">
        <f t="shared" si="56"/>
        <v>3.4722222222222219</v>
      </c>
      <c r="BP401" s="75">
        <f t="shared" si="57"/>
        <v>3.4791666666666665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2500</v>
      </c>
      <c r="Y402" s="53">
        <f t="shared" si="53"/>
        <v>2505</v>
      </c>
      <c r="Z402" s="39">
        <f>IFERROR(IF(Y402=0,"",ROUNDUP(Y402/H402,0)*0.02175),"")</f>
        <v>3.6322499999999995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2578.3333333333335</v>
      </c>
      <c r="BN402" s="75">
        <f t="shared" si="55"/>
        <v>2583.4899999999998</v>
      </c>
      <c r="BO402" s="75">
        <f t="shared" si="56"/>
        <v>3.4722222222222219</v>
      </c>
      <c r="BP402" s="75">
        <f t="shared" si="57"/>
        <v>3.4791666666666665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606.66666666666663</v>
      </c>
      <c r="Y407" s="41">
        <f>IFERROR(Y399/H399,"0")+IFERROR(Y400/H400,"0")+IFERROR(Y401/H401,"0")+IFERROR(Y402/H402,"0")+IFERROR(Y403/H403,"0")+IFERROR(Y404/H404,"0")+IFERROR(Y405/H405,"0")+IFERROR(Y406/H406,"0")</f>
        <v>608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13.223999999999998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9100</v>
      </c>
      <c r="Y408" s="41">
        <f>IFERROR(SUM(Y399:Y406),"0")</f>
        <v>9120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3000</v>
      </c>
      <c r="Y410" s="53">
        <f>IFERROR(IF(X410="",0,CEILING((X410/$H410),1)*$H410),"")</f>
        <v>3000</v>
      </c>
      <c r="Z410" s="39">
        <f>IFERROR(IF(Y410=0,"",ROUNDUP(Y410/H410,0)*0.02175),"")</f>
        <v>4.3499999999999996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3094</v>
      </c>
      <c r="BN410" s="75">
        <f>IFERROR(Y410*I410/H410,"0")</f>
        <v>3094</v>
      </c>
      <c r="BO410" s="75">
        <f>IFERROR(1/J410*(X410/H410),"0")</f>
        <v>4.1666666666666661</v>
      </c>
      <c r="BP410" s="75">
        <f>IFERROR(1/J410*(Y410/H410),"0")</f>
        <v>4.1666666666666661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200</v>
      </c>
      <c r="Y413" s="41">
        <f>IFERROR(Y410/H410,"0")+IFERROR(Y411/H411,"0")+IFERROR(Y412/H412,"0")</f>
        <v>200</v>
      </c>
      <c r="Z413" s="41">
        <f>IFERROR(IF(Z410="",0,Z410),"0")+IFERROR(IF(Z411="",0,Z411),"0")+IFERROR(IF(Z412="",0,Z412),"0")</f>
        <v>4.3499999999999996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3000</v>
      </c>
      <c r="Y414" s="41">
        <f>IFERROR(SUM(Y410:Y412),"0")</f>
        <v>3000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1400</v>
      </c>
      <c r="Y416" s="53">
        <f>IFERROR(IF(X416="",0,CEILING((X416/$H416),1)*$H416),"")</f>
        <v>1404</v>
      </c>
      <c r="Z416" s="39">
        <f>IFERROR(IF(Y416=0,"",ROUNDUP(Y416/H416,0)*0.01898),"")</f>
        <v>2.96088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1477.7777777777778</v>
      </c>
      <c r="BN416" s="75">
        <f>IFERROR(Y416*I416/H416,"0")</f>
        <v>1482</v>
      </c>
      <c r="BO416" s="75">
        <f>IFERROR(1/J416*(X416/H416),"0")</f>
        <v>2.4305555555555554</v>
      </c>
      <c r="BP416" s="75">
        <f>IFERROR(1/J416*(Y416/H416),"0")</f>
        <v>2.4375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150</v>
      </c>
      <c r="Y417" s="53">
        <f>IFERROR(IF(X417="",0,CEILING((X417/$H417),1)*$H417),"")</f>
        <v>153</v>
      </c>
      <c r="Z417" s="39">
        <f>IFERROR(IF(Y417=0,"",ROUNDUP(Y417/H417,0)*0.01898),"")</f>
        <v>0.32266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158.23333333333332</v>
      </c>
      <c r="BN417" s="75">
        <f>IFERROR(Y417*I417/H417,"0")</f>
        <v>161.398</v>
      </c>
      <c r="BO417" s="75">
        <f>IFERROR(1/J417*(X417/H417),"0")</f>
        <v>0.26041666666666669</v>
      </c>
      <c r="BP417" s="75">
        <f>IFERROR(1/J417*(Y417/H417),"0")</f>
        <v>0.265625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172.2222222222222</v>
      </c>
      <c r="Y418" s="41">
        <f>IFERROR(Y416/H416,"0")+IFERROR(Y417/H417,"0")</f>
        <v>173</v>
      </c>
      <c r="Z418" s="41">
        <f>IFERROR(IF(Z416="",0,Z416),"0")+IFERROR(IF(Z417="",0,Z417),"0")</f>
        <v>3.2835399999999999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1550</v>
      </c>
      <c r="Y419" s="41">
        <f>IFERROR(SUM(Y416:Y417),"0")</f>
        <v>1557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600</v>
      </c>
      <c r="Y421" s="53">
        <f>IFERROR(IF(X421="",0,CEILING((X421/$H421),1)*$H421),"")</f>
        <v>603</v>
      </c>
      <c r="Z421" s="39">
        <f>IFERROR(IF(Y421=0,"",ROUNDUP(Y421/H421,0)*0.01898),"")</f>
        <v>1.27166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632.93333333333328</v>
      </c>
      <c r="BN421" s="75">
        <f>IFERROR(Y421*I421/H421,"0")</f>
        <v>636.09799999999996</v>
      </c>
      <c r="BO421" s="75">
        <f>IFERROR(1/J421*(X421/H421),"0")</f>
        <v>1.0416666666666667</v>
      </c>
      <c r="BP421" s="75">
        <f>IFERROR(1/J421*(Y421/H421),"0")</f>
        <v>1.046875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66.666666666666671</v>
      </c>
      <c r="Y422" s="41">
        <f>IFERROR(Y421/H421,"0")</f>
        <v>67</v>
      </c>
      <c r="Z422" s="41">
        <f>IFERROR(IF(Z421="",0,Z421),"0")</f>
        <v>1.27166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600</v>
      </c>
      <c r="Y423" s="41">
        <f>IFERROR(SUM(Y421:Y421),"0")</f>
        <v>603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150</v>
      </c>
      <c r="Y435" s="53">
        <f>IFERROR(IF(X435="",0,CEILING((X435/$H435),1)*$H435),"")</f>
        <v>153</v>
      </c>
      <c r="Z435" s="39">
        <f>IFERROR(IF(Y435=0,"",ROUNDUP(Y435/H435,0)*0.01898),"")</f>
        <v>0.32266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158.23333333333332</v>
      </c>
      <c r="BN435" s="75">
        <f>IFERROR(Y435*I435/H435,"0")</f>
        <v>161.398</v>
      </c>
      <c r="BO435" s="75">
        <f>IFERROR(1/J435*(X435/H435),"0")</f>
        <v>0.26041666666666669</v>
      </c>
      <c r="BP435" s="75">
        <f>IFERROR(1/J435*(Y435/H435),"0")</f>
        <v>0.265625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16.666666666666668</v>
      </c>
      <c r="Y438" s="41">
        <f>IFERROR(Y435/H435,"0")+IFERROR(Y436/H436,"0")+IFERROR(Y437/H437,"0")</f>
        <v>17</v>
      </c>
      <c r="Z438" s="41">
        <f>IFERROR(IF(Z435="",0,Z435),"0")+IFERROR(IF(Z436="",0,Z436),"0")+IFERROR(IF(Z437="",0,Z437),"0")</f>
        <v>0.32266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150</v>
      </c>
      <c r="Y439" s="41">
        <f>IFERROR(SUM(Y435:Y437),"0")</f>
        <v>153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50</v>
      </c>
      <c r="Y443" s="53">
        <f t="shared" ref="Y443:Y448" si="58">IFERROR(IF(X443="",0,CEILING((X443/$H443),1)*$H443),"")</f>
        <v>54</v>
      </c>
      <c r="Z443" s="39">
        <f>IFERROR(IF(Y443=0,"",ROUNDUP(Y443/H443,0)*0.00902),"")</f>
        <v>9.0200000000000002E-2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51.759259259259252</v>
      </c>
      <c r="BN443" s="75">
        <f t="shared" ref="BN443:BN448" si="60">IFERROR(Y443*I443/H443,"0")</f>
        <v>55.9</v>
      </c>
      <c r="BO443" s="75">
        <f t="shared" ref="BO443:BO448" si="61">IFERROR(1/J443*(X443/H443),"0")</f>
        <v>7.0145903479236812E-2</v>
      </c>
      <c r="BP443" s="75">
        <f t="shared" ref="BP443:BP448" si="62">IFERROR(1/J443*(Y443/H443),"0")</f>
        <v>7.575757575757576E-2</v>
      </c>
    </row>
    <row r="444" spans="1:68" ht="27" hidden="1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/>
      <c r="Y444" s="53">
        <f t="shared" si="58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0</v>
      </c>
      <c r="BN444" s="75">
        <f t="shared" si="60"/>
        <v>0</v>
      </c>
      <c r="BO444" s="75">
        <f t="shared" si="61"/>
        <v>0</v>
      </c>
      <c r="BP444" s="75">
        <f t="shared" si="62"/>
        <v>0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hidden="1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9.2592592592592595</v>
      </c>
      <c r="Y449" s="41">
        <f>IFERROR(Y443/H443,"0")+IFERROR(Y444/H444,"0")+IFERROR(Y445/H445,"0")+IFERROR(Y446/H446,"0")+IFERROR(Y447/H447,"0")+IFERROR(Y448/H448,"0")</f>
        <v>10</v>
      </c>
      <c r="Z449" s="41">
        <f>IFERROR(IF(Z443="",0,Z443),"0")+IFERROR(IF(Z444="",0,Z444),"0")+IFERROR(IF(Z445="",0,Z445),"0")+IFERROR(IF(Z446="",0,Z446),"0")+IFERROR(IF(Z447="",0,Z447),"0")+IFERROR(IF(Z448="",0,Z448),"0")</f>
        <v>9.0200000000000002E-2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50</v>
      </c>
      <c r="Y450" s="41">
        <f>IFERROR(SUM(Y443:Y448),"0")</f>
        <v>54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400</v>
      </c>
      <c r="Y462" s="53">
        <f>IFERROR(IF(X462="",0,CEILING((X462/$H462),1)*$H462),"")</f>
        <v>405</v>
      </c>
      <c r="Z462" s="39">
        <f>IFERROR(IF(Y462=0,"",ROUNDUP(Y462/H462,0)*0.00902),"")</f>
        <v>0.67649999999999999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414.07407407407402</v>
      </c>
      <c r="BN462" s="75">
        <f>IFERROR(Y462*I462/H462,"0")</f>
        <v>419.24999999999994</v>
      </c>
      <c r="BO462" s="75">
        <f>IFERROR(1/J462*(X462/H462),"0")</f>
        <v>0.5611672278338945</v>
      </c>
      <c r="BP462" s="75">
        <f>IFERROR(1/J462*(Y462/H462),"0")</f>
        <v>0.56818181818181823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74.074074074074076</v>
      </c>
      <c r="Y465" s="41">
        <f>IFERROR(Y462/H462,"0")+IFERROR(Y463/H463,"0")+IFERROR(Y464/H464,"0")</f>
        <v>75</v>
      </c>
      <c r="Z465" s="41">
        <f>IFERROR(IF(Z462="",0,Z462),"0")+IFERROR(IF(Z463="",0,Z463),"0")+IFERROR(IF(Z464="",0,Z464),"0")</f>
        <v>0.67649999999999999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400</v>
      </c>
      <c r="Y466" s="41">
        <f>IFERROR(SUM(Y462:Y464),"0")</f>
        <v>405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>
        <v>30</v>
      </c>
      <c r="Y472" s="53">
        <f t="shared" si="63"/>
        <v>31.68</v>
      </c>
      <c r="Z472" s="39">
        <f t="shared" si="64"/>
        <v>7.1760000000000004E-2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31.988636363636363</v>
      </c>
      <c r="BN472" s="75">
        <f t="shared" si="66"/>
        <v>33.779999999999994</v>
      </c>
      <c r="BO472" s="75">
        <f t="shared" si="67"/>
        <v>5.4632867132867136E-2</v>
      </c>
      <c r="BP472" s="75">
        <f t="shared" si="68"/>
        <v>5.7692307692307696E-2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150</v>
      </c>
      <c r="Y473" s="53">
        <f t="shared" si="63"/>
        <v>153.12</v>
      </c>
      <c r="Z473" s="39">
        <f t="shared" si="64"/>
        <v>0.34683999999999998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159.94318181818181</v>
      </c>
      <c r="BN473" s="75">
        <f t="shared" si="66"/>
        <v>163.26999999999998</v>
      </c>
      <c r="BO473" s="75">
        <f t="shared" si="67"/>
        <v>0.27316433566433568</v>
      </c>
      <c r="BP473" s="75">
        <f t="shared" si="68"/>
        <v>0.27884615384615385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250</v>
      </c>
      <c r="Y475" s="53">
        <f t="shared" si="63"/>
        <v>253.44</v>
      </c>
      <c r="Z475" s="39">
        <f t="shared" si="64"/>
        <v>0.57408000000000003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266.57196969696969</v>
      </c>
      <c r="BN475" s="75">
        <f t="shared" si="66"/>
        <v>270.23999999999995</v>
      </c>
      <c r="BO475" s="75">
        <f t="shared" si="67"/>
        <v>0.45527389277389274</v>
      </c>
      <c r="BP475" s="75">
        <f t="shared" si="68"/>
        <v>0.46153846153846156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81.439393939393938</v>
      </c>
      <c r="Y479" s="41">
        <f>IFERROR(Y470/H470,"0")+IFERROR(Y471/H471,"0")+IFERROR(Y472/H472,"0")+IFERROR(Y473/H473,"0")+IFERROR(Y474/H474,"0")+IFERROR(Y475/H475,"0")+IFERROR(Y476/H476,"0")+IFERROR(Y477/H477,"0")+IFERROR(Y478/H478,"0")</f>
        <v>83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0.99268000000000001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430</v>
      </c>
      <c r="Y480" s="41">
        <f>IFERROR(SUM(Y470:Y478),"0")</f>
        <v>438.24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200</v>
      </c>
      <c r="Y482" s="53">
        <f>IFERROR(IF(X482="",0,CEILING((X482/$H482),1)*$H482),"")</f>
        <v>200.64000000000001</v>
      </c>
      <c r="Z482" s="39">
        <f>IFERROR(IF(Y482=0,"",ROUNDUP(Y482/H482,0)*0.01196),"")</f>
        <v>0.45448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213.25757575757575</v>
      </c>
      <c r="BN482" s="75">
        <f>IFERROR(Y482*I482/H482,"0")</f>
        <v>213.94</v>
      </c>
      <c r="BO482" s="75">
        <f>IFERROR(1/J482*(X482/H482),"0")</f>
        <v>0.36421911421911418</v>
      </c>
      <c r="BP482" s="75">
        <f>IFERROR(1/J482*(Y482/H482),"0")</f>
        <v>0.36538461538461542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37.878787878787875</v>
      </c>
      <c r="Y485" s="41">
        <f>IFERROR(Y482/H482,"0")+IFERROR(Y483/H483,"0")+IFERROR(Y484/H484,"0")</f>
        <v>38</v>
      </c>
      <c r="Z485" s="41">
        <f>IFERROR(IF(Z482="",0,Z482),"0")+IFERROR(IF(Z483="",0,Z483),"0")+IFERROR(IF(Z484="",0,Z484),"0")</f>
        <v>0.45448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200</v>
      </c>
      <c r="Y486" s="41">
        <f>IFERROR(SUM(Y482:Y484),"0")</f>
        <v>200.64000000000001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100</v>
      </c>
      <c r="Y488" s="53">
        <f t="shared" ref="Y488:Y494" si="69">IFERROR(IF(X488="",0,CEILING((X488/$H488),1)*$H488),"")</f>
        <v>100.32000000000001</v>
      </c>
      <c r="Z488" s="39">
        <f>IFERROR(IF(Y488=0,"",ROUNDUP(Y488/H488,0)*0.01196),"")</f>
        <v>0.22724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106.62878787878788</v>
      </c>
      <c r="BN488" s="75">
        <f t="shared" ref="BN488:BN494" si="71">IFERROR(Y488*I488/H488,"0")</f>
        <v>106.97</v>
      </c>
      <c r="BO488" s="75">
        <f t="shared" ref="BO488:BO494" si="72">IFERROR(1/J488*(X488/H488),"0")</f>
        <v>0.18210955710955709</v>
      </c>
      <c r="BP488" s="75">
        <f t="shared" ref="BP488:BP494" si="73">IFERROR(1/J488*(Y488/H488),"0")</f>
        <v>0.18269230769230771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100</v>
      </c>
      <c r="Y489" s="53">
        <f t="shared" si="69"/>
        <v>100.32000000000001</v>
      </c>
      <c r="Z489" s="39">
        <f>IFERROR(IF(Y489=0,"",ROUNDUP(Y489/H489,0)*0.01196),"")</f>
        <v>0.22724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106.62878787878788</v>
      </c>
      <c r="BN489" s="75">
        <f t="shared" si="71"/>
        <v>106.97</v>
      </c>
      <c r="BO489" s="75">
        <f t="shared" si="72"/>
        <v>0.18210955710955709</v>
      </c>
      <c r="BP489" s="75">
        <f t="shared" si="73"/>
        <v>0.18269230769230771</v>
      </c>
    </row>
    <row r="490" spans="1:68" ht="27" hidden="1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/>
      <c r="Y490" s="53">
        <f t="shared" si="69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37.878787878787875</v>
      </c>
      <c r="Y495" s="41">
        <f>IFERROR(Y488/H488,"0")+IFERROR(Y489/H489,"0")+IFERROR(Y490/H490,"0")+IFERROR(Y491/H491,"0")+IFERROR(Y492/H492,"0")+IFERROR(Y493/H493,"0")+IFERROR(Y494/H494,"0")</f>
        <v>38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0.45448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200</v>
      </c>
      <c r="Y496" s="41">
        <f>IFERROR(SUM(Y488:Y494),"0")</f>
        <v>200.64000000000001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hidden="1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/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17988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18081.12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18684.888322109986</v>
      </c>
      <c r="Y526" s="41">
        <f>IFERROR(SUM(BN22:BN522),"0")</f>
        <v>18782.384000000002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28</v>
      </c>
      <c r="Y527" s="42">
        <f>ROUNDUP(SUM(BP22:BP522),0)</f>
        <v>28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19384.888322109986</v>
      </c>
      <c r="Y528" s="41">
        <f>GrossWeightTotalR+PalletQtyTotalR*25</f>
        <v>19482.384000000002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1668.0934559267898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1680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30.129939999999998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207.60000000000002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32.400000000000006</v>
      </c>
      <c r="F535" s="50">
        <f>IFERROR(Y91*1,"0")+IFERROR(Y92*1,"0")+IFERROR(Y93*1,"0")+IFERROR(Y94*1,"0")+IFERROR(Y98*1,"0")+IFERROR(Y99*1,"0")+IFERROR(Y100*1,"0")+IFERROR(Y101*1,"0")</f>
        <v>437.4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334.8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504.00000000000006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356.40000000000003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477</v>
      </c>
      <c r="U535" s="50">
        <f>IFERROR(Y391*1,"0")+IFERROR(Y392*1,"0")+IFERROR(Y393*1,"0")</f>
        <v>0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14280</v>
      </c>
      <c r="W535" s="50">
        <f>IFERROR(Y426*1,"0")+IFERROR(Y427*1,"0")+IFERROR(Y431*1,"0")+IFERROR(Y435*1,"0")+IFERROR(Y436*1,"0")+IFERROR(Y437*1,"0")</f>
        <v>153</v>
      </c>
      <c r="X535" s="50">
        <f>IFERROR(Y443*1,"0")+IFERROR(Y444*1,"0")+IFERROR(Y445*1,"0")+IFERROR(Y446*1,"0")+IFERROR(Y447*1,"0")+IFERROR(Y448*1,"0")+IFERROR(Y452*1,"0")+IFERROR(Y453*1,"0")</f>
        <v>54</v>
      </c>
      <c r="Y535" s="50">
        <f>IFERROR(Y458*1,"0")+IFERROR(Y462*1,"0")+IFERROR(Y463*1,"0")+IFERROR(Y464*1,"0")</f>
        <v>405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839.5200000000001</v>
      </c>
      <c r="AA535" s="50">
        <f>IFERROR(Y500*1,"0")+IFERROR(Y504*1,"0")+IFERROR(Y508*1,"0")+IFERROR(Y512*1,"0")+IFERROR(Y516*1,"0")+IFERROR(Y517*1,"0")</f>
        <v>0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550,00"/>
        <filter val="1 668,09"/>
        <filter val="10,63"/>
        <filter val="100,00"/>
        <filter val="119,05"/>
        <filter val="150,00"/>
        <filter val="16,67"/>
        <filter val="17 988,00"/>
        <filter val="172,22"/>
        <filter val="18 684,89"/>
        <filter val="180,00"/>
        <filter val="19 384,89"/>
        <filter val="2 500,00"/>
        <filter val="2,78"/>
        <filter val="200,00"/>
        <filter val="204,00"/>
        <filter val="22,67"/>
        <filter val="24,00"/>
        <filter val="250,00"/>
        <filter val="27,00"/>
        <filter val="28"/>
        <filter val="3 000,00"/>
        <filter val="30,00"/>
        <filter val="300,00"/>
        <filter val="350,00"/>
        <filter val="37,04"/>
        <filter val="37,88"/>
        <filter val="4 100,00"/>
        <filter val="400,00"/>
        <filter val="43,21"/>
        <filter val="430,00"/>
        <filter val="470,00"/>
        <filter val="50,00"/>
        <filter val="500,00"/>
        <filter val="59,16"/>
        <filter val="6,00"/>
        <filter val="600,00"/>
        <filter val="606,67"/>
        <filter val="64,81"/>
        <filter val="66,67"/>
        <filter val="70,00"/>
        <filter val="74,07"/>
        <filter val="77,00"/>
        <filter val="81,44"/>
        <filter val="9 100,00"/>
        <filter val="9,26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2026-08-04T10:21:49Z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