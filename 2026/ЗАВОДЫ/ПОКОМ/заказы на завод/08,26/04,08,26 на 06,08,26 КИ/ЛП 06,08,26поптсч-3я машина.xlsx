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7ED3208-E341-4D1E-ADA2-D86AFCA9799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BN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Z457" i="2"/>
  <c r="Z458" i="2" s="1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P426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BP423" i="2" s="1"/>
  <c r="P423" i="2"/>
  <c r="X419" i="2"/>
  <c r="X418" i="2"/>
  <c r="BO417" i="2"/>
  <c r="BM417" i="2"/>
  <c r="Y417" i="2"/>
  <c r="Z417" i="2" s="1"/>
  <c r="P417" i="2"/>
  <c r="BO416" i="2"/>
  <c r="BM416" i="2"/>
  <c r="Y416" i="2"/>
  <c r="BN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Z385" i="2" s="1"/>
  <c r="P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Z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Z364" i="2" s="1"/>
  <c r="P364" i="2"/>
  <c r="BO363" i="2"/>
  <c r="BM363" i="2"/>
  <c r="Z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BP344" i="2" s="1"/>
  <c r="P344" i="2"/>
  <c r="BO343" i="2"/>
  <c r="BM343" i="2"/>
  <c r="Y343" i="2"/>
  <c r="P343" i="2"/>
  <c r="BO342" i="2"/>
  <c r="BM342" i="2"/>
  <c r="Y342" i="2"/>
  <c r="BP342" i="2" s="1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Z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O327" i="2"/>
  <c r="BM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P269" i="2" s="1"/>
  <c r="P269" i="2"/>
  <c r="X267" i="2"/>
  <c r="X266" i="2"/>
  <c r="BO265" i="2"/>
  <c r="BM265" i="2"/>
  <c r="Z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P244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Z241" i="2" s="1"/>
  <c r="P241" i="2"/>
  <c r="BO240" i="2"/>
  <c r="BM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P234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P210" i="2"/>
  <c r="BO210" i="2"/>
  <c r="BM210" i="2"/>
  <c r="Y210" i="2"/>
  <c r="P210" i="2"/>
  <c r="BO209" i="2"/>
  <c r="BM209" i="2"/>
  <c r="Y209" i="2"/>
  <c r="P209" i="2"/>
  <c r="BO208" i="2"/>
  <c r="BM208" i="2"/>
  <c r="Y208" i="2"/>
  <c r="BN208" i="2" s="1"/>
  <c r="P208" i="2"/>
  <c r="X204" i="2"/>
  <c r="Y203" i="2"/>
  <c r="X203" i="2"/>
  <c r="BO202" i="2"/>
  <c r="BM202" i="2"/>
  <c r="Y202" i="2"/>
  <c r="BP202" i="2" s="1"/>
  <c r="P202" i="2"/>
  <c r="X200" i="2"/>
  <c r="X199" i="2"/>
  <c r="BO198" i="2"/>
  <c r="BM198" i="2"/>
  <c r="Y198" i="2"/>
  <c r="BN198" i="2" s="1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BN191" i="2" s="1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BN166" i="2" s="1"/>
  <c r="P166" i="2"/>
  <c r="X163" i="2"/>
  <c r="X162" i="2"/>
  <c r="BO161" i="2"/>
  <c r="BM161" i="2"/>
  <c r="Z161" i="2"/>
  <c r="Z162" i="2" s="1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Z142" i="2"/>
  <c r="Y142" i="2"/>
  <c r="BN142" i="2" s="1"/>
  <c r="P142" i="2"/>
  <c r="BO141" i="2"/>
  <c r="BM141" i="2"/>
  <c r="Y141" i="2"/>
  <c r="BN141" i="2" s="1"/>
  <c r="P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Z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Z95" i="2"/>
  <c r="Y95" i="2"/>
  <c r="BN95" i="2" s="1"/>
  <c r="P95" i="2"/>
  <c r="X93" i="2"/>
  <c r="X92" i="2"/>
  <c r="BO91" i="2"/>
  <c r="BM91" i="2"/>
  <c r="Y91" i="2"/>
  <c r="BN91" i="2" s="1"/>
  <c r="P91" i="2"/>
  <c r="BP90" i="2"/>
  <c r="BO90" i="2"/>
  <c r="BM90" i="2"/>
  <c r="Y90" i="2"/>
  <c r="BN90" i="2" s="1"/>
  <c r="P90" i="2"/>
  <c r="BO89" i="2"/>
  <c r="BM89" i="2"/>
  <c r="Y89" i="2"/>
  <c r="P89" i="2"/>
  <c r="BO88" i="2"/>
  <c r="BM88" i="2"/>
  <c r="Z88" i="2"/>
  <c r="Y88" i="2"/>
  <c r="BN88" i="2" s="1"/>
  <c r="P88" i="2"/>
  <c r="X85" i="2"/>
  <c r="X84" i="2"/>
  <c r="BO83" i="2"/>
  <c r="BM83" i="2"/>
  <c r="Z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P64" i="2"/>
  <c r="BO64" i="2"/>
  <c r="BN64" i="2"/>
  <c r="BM64" i="2"/>
  <c r="Z64" i="2"/>
  <c r="Y64" i="2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D56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P41" i="2"/>
  <c r="BO41" i="2"/>
  <c r="BN41" i="2"/>
  <c r="BM41" i="2"/>
  <c r="Z41" i="2"/>
  <c r="Y41" i="2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BN77" i="2" l="1"/>
  <c r="BN185" i="2"/>
  <c r="BN230" i="2"/>
  <c r="BN235" i="2"/>
  <c r="BN264" i="2"/>
  <c r="BN269" i="2"/>
  <c r="BN344" i="2"/>
  <c r="BN375" i="2"/>
  <c r="BN383" i="2"/>
  <c r="BN423" i="2"/>
  <c r="BN470" i="2"/>
  <c r="BN504" i="2"/>
  <c r="Z28" i="2"/>
  <c r="Z53" i="2"/>
  <c r="BN53" i="2"/>
  <c r="Y85" i="2"/>
  <c r="BP88" i="2"/>
  <c r="Z91" i="2"/>
  <c r="Z98" i="2"/>
  <c r="Z139" i="2"/>
  <c r="BP142" i="2"/>
  <c r="BN202" i="2"/>
  <c r="Z211" i="2"/>
  <c r="BN211" i="2"/>
  <c r="BN260" i="2"/>
  <c r="BN273" i="2"/>
  <c r="BN307" i="2"/>
  <c r="Z319" i="2"/>
  <c r="Z337" i="2"/>
  <c r="BN342" i="2"/>
  <c r="BP391" i="2"/>
  <c r="BN396" i="2"/>
  <c r="BN417" i="2"/>
  <c r="Z428" i="2"/>
  <c r="W561" i="2"/>
  <c r="BN478" i="2"/>
  <c r="BP484" i="2"/>
  <c r="BN489" i="2"/>
  <c r="Z51" i="2"/>
  <c r="Z135" i="2"/>
  <c r="BP141" i="2"/>
  <c r="Z166" i="2"/>
  <c r="BP166" i="2"/>
  <c r="Z181" i="2"/>
  <c r="BP187" i="2"/>
  <c r="Z198" i="2"/>
  <c r="Z208" i="2"/>
  <c r="Z225" i="2"/>
  <c r="Z295" i="2"/>
  <c r="BP329" i="2"/>
  <c r="Z346" i="2"/>
  <c r="Z366" i="2"/>
  <c r="Z415" i="2"/>
  <c r="BP416" i="2"/>
  <c r="Z503" i="2"/>
  <c r="BP503" i="2"/>
  <c r="Y531" i="2"/>
  <c r="BP225" i="2"/>
  <c r="BN29" i="2"/>
  <c r="Y47" i="2"/>
  <c r="Y55" i="2"/>
  <c r="Z62" i="2"/>
  <c r="BP83" i="2"/>
  <c r="Y93" i="2"/>
  <c r="Z116" i="2"/>
  <c r="BN120" i="2"/>
  <c r="H561" i="2"/>
  <c r="BP132" i="2"/>
  <c r="BN140" i="2"/>
  <c r="Z141" i="2"/>
  <c r="Y143" i="2"/>
  <c r="Z149" i="2"/>
  <c r="BN156" i="2"/>
  <c r="Y163" i="2"/>
  <c r="Z184" i="2"/>
  <c r="Z187" i="2"/>
  <c r="Z191" i="2"/>
  <c r="Y204" i="2"/>
  <c r="BP226" i="2"/>
  <c r="Z230" i="2"/>
  <c r="BN231" i="2"/>
  <c r="Z232" i="2"/>
  <c r="BP240" i="2"/>
  <c r="BN241" i="2"/>
  <c r="Z242" i="2"/>
  <c r="Z272" i="2"/>
  <c r="Z275" i="2"/>
  <c r="Z282" i="2"/>
  <c r="BP283" i="2"/>
  <c r="BN284" i="2"/>
  <c r="Y298" i="2"/>
  <c r="BP304" i="2"/>
  <c r="BN305" i="2"/>
  <c r="Z306" i="2"/>
  <c r="Y331" i="2"/>
  <c r="BP327" i="2"/>
  <c r="BN328" i="2"/>
  <c r="Z329" i="2"/>
  <c r="Z344" i="2"/>
  <c r="Y369" i="2"/>
  <c r="BP365" i="2"/>
  <c r="Z372" i="2"/>
  <c r="BP385" i="2"/>
  <c r="Z409" i="2"/>
  <c r="Z411" i="2" s="1"/>
  <c r="Z416" i="2"/>
  <c r="Z425" i="2"/>
  <c r="BP441" i="2"/>
  <c r="BN453" i="2"/>
  <c r="Z469" i="2"/>
  <c r="Z478" i="2"/>
  <c r="Z480" i="2" s="1"/>
  <c r="BN479" i="2"/>
  <c r="BP501" i="2"/>
  <c r="BN515" i="2"/>
  <c r="BP366" i="2"/>
  <c r="Z72" i="2"/>
  <c r="BN30" i="2"/>
  <c r="BN42" i="2"/>
  <c r="BN52" i="2"/>
  <c r="BN54" i="2"/>
  <c r="BN65" i="2"/>
  <c r="BP98" i="2"/>
  <c r="BN121" i="2"/>
  <c r="BP161" i="2"/>
  <c r="Y170" i="2"/>
  <c r="Z178" i="2"/>
  <c r="Z185" i="2"/>
  <c r="Z226" i="2"/>
  <c r="Z240" i="2"/>
  <c r="Z249" i="2"/>
  <c r="Z269" i="2"/>
  <c r="Z273" i="2"/>
  <c r="Z283" i="2"/>
  <c r="BN290" i="2"/>
  <c r="BN295" i="2"/>
  <c r="Z304" i="2"/>
  <c r="Z307" i="2"/>
  <c r="Z311" i="2"/>
  <c r="Z312" i="2" s="1"/>
  <c r="Z327" i="2"/>
  <c r="Z342" i="2"/>
  <c r="Y370" i="2"/>
  <c r="BP363" i="2"/>
  <c r="BN364" i="2"/>
  <c r="Z365" i="2"/>
  <c r="Z367" i="2"/>
  <c r="Z383" i="2"/>
  <c r="BN384" i="2"/>
  <c r="Y412" i="2"/>
  <c r="BP408" i="2"/>
  <c r="Z423" i="2"/>
  <c r="BP428" i="2"/>
  <c r="BN429" i="2"/>
  <c r="Z441" i="2"/>
  <c r="BP457" i="2"/>
  <c r="Z501" i="2"/>
  <c r="Z538" i="2"/>
  <c r="Z539" i="2" s="1"/>
  <c r="Y387" i="2"/>
  <c r="X555" i="2"/>
  <c r="BP434" i="2"/>
  <c r="Y437" i="2"/>
  <c r="Z434" i="2"/>
  <c r="Z427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Z143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65" i="2"/>
  <c r="BP72" i="2"/>
  <c r="BN73" i="2"/>
  <c r="Y79" i="2"/>
  <c r="Y84" i="2"/>
  <c r="F561" i="2"/>
  <c r="BP91" i="2"/>
  <c r="BP95" i="2"/>
  <c r="BN96" i="2"/>
  <c r="Z97" i="2"/>
  <c r="Z99" i="2" s="1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Z266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Z386" i="2" s="1"/>
  <c r="BN385" i="2"/>
  <c r="Z389" i="2"/>
  <c r="BP389" i="2"/>
  <c r="Y392" i="2"/>
  <c r="Z396" i="2"/>
  <c r="BN408" i="2"/>
  <c r="Z41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69" i="2" s="1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Z297" i="2" s="1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Z251" i="2" s="1"/>
  <c r="Y262" i="2"/>
  <c r="Z271" i="2"/>
  <c r="Z281" i="2"/>
  <c r="BN291" i="2"/>
  <c r="Z302" i="2"/>
  <c r="Z336" i="2"/>
  <c r="Z338" i="2" s="1"/>
  <c r="Y352" i="2"/>
  <c r="Z391" i="2"/>
  <c r="BN403" i="2"/>
  <c r="Z426" i="2"/>
  <c r="Z436" i="2"/>
  <c r="Z437" i="2" s="1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Z454" i="2" s="1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Z322" i="2" s="1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347" i="2" l="1"/>
  <c r="Z431" i="2"/>
  <c r="Z199" i="2"/>
  <c r="Z331" i="2"/>
  <c r="Z55" i="2"/>
  <c r="Z292" i="2"/>
  <c r="Z277" i="2"/>
  <c r="Z136" i="2"/>
  <c r="Z379" i="2"/>
  <c r="X554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Z464" i="2"/>
  <c r="Z556" i="2" l="1"/>
  <c r="Y554" i="2"/>
</calcChain>
</file>

<file path=xl/sharedStrings.xml><?xml version="1.0" encoding="utf-8"?>
<sst xmlns="http://schemas.openxmlformats.org/spreadsheetml/2006/main" count="4202" uniqueCount="896">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</sst>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70" sqref="AA7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 t="s">
        <v>895</v>
      </c>
      <c r="I5" s="994"/>
      <c r="J5" s="994"/>
      <c r="K5" s="994"/>
      <c r="L5" s="994"/>
      <c r="M5" s="994"/>
      <c r="N5" s="72"/>
      <c r="P5" s="27" t="s">
        <v>4</v>
      </c>
      <c r="Q5" s="996">
        <v>46240</v>
      </c>
      <c r="R5" s="996"/>
      <c r="T5" s="997" t="s">
        <v>3</v>
      </c>
      <c r="U5" s="998"/>
      <c r="V5" s="999" t="s">
        <v>871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878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Четверг</v>
      </c>
      <c r="R6" s="974"/>
      <c r="T6" s="975" t="s">
        <v>5</v>
      </c>
      <c r="U6" s="976"/>
      <c r="V6" s="977" t="s">
        <v>70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3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58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0.5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71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55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72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73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74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75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61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59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66</v>
      </c>
      <c r="L17" s="933" t="s">
        <v>64</v>
      </c>
      <c r="M17" s="933" t="s">
        <v>2</v>
      </c>
      <c r="N17" s="933" t="s">
        <v>63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56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60</v>
      </c>
      <c r="AB17" s="939" t="s">
        <v>19</v>
      </c>
      <c r="AC17" s="939" t="s">
        <v>65</v>
      </c>
      <c r="AD17" s="941" t="s">
        <v>57</v>
      </c>
      <c r="AE17" s="942"/>
      <c r="AF17" s="943"/>
      <c r="AG17" s="82"/>
      <c r="BD17" s="81" t="s">
        <v>62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hidden="1" customHeight="1" x14ac:dyDescent="0.2">
      <c r="A19" s="662" t="s">
        <v>76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hidden="1" customHeight="1" x14ac:dyDescent="0.25">
      <c r="A20" s="655" t="s">
        <v>76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hidden="1" customHeight="1" x14ac:dyDescent="0.25">
      <c r="A21" s="656" t="s">
        <v>77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6" t="s">
        <v>86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56" t="s">
        <v>104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hidden="1" customHeight="1" x14ac:dyDescent="0.25">
      <c r="A39" s="655" t="s">
        <v>110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hidden="1" customHeight="1" x14ac:dyDescent="0.25">
      <c r="A40" s="656" t="s">
        <v>86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2" t="s">
        <v>126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hidden="1" customHeight="1" x14ac:dyDescent="0.25">
      <c r="A49" s="655" t="s">
        <v>127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hidden="1" customHeight="1" x14ac:dyDescent="0.25">
      <c r="A50" s="656" t="s">
        <v>128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hidden="1" customHeight="1" x14ac:dyDescent="0.25">
      <c r="A51" s="63" t="s">
        <v>129</v>
      </c>
      <c r="B51" s="63" t="s">
        <v>130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55" t="s">
        <v>143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hidden="1" customHeight="1" x14ac:dyDescent="0.25">
      <c r="A58" s="656" t="s">
        <v>128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161</v>
      </c>
      <c r="B66" s="63" t="s">
        <v>162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6" t="s">
        <v>164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1800</v>
      </c>
      <c r="Y70" s="55">
        <f>IFERROR(IF(X70="",0,CEILING((X70/$H70),1)*$H70),"")</f>
        <v>1803.6000000000001</v>
      </c>
      <c r="Z70" s="41">
        <f>IFERROR(IF(Y70=0,"",ROUNDUP(Y70/H70,0)*0.01898),"")</f>
        <v>3.1696599999999999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1868.3333333333333</v>
      </c>
      <c r="BN70" s="78">
        <f>IFERROR(Y70*I70/H70,"0")</f>
        <v>1872.0700000000002</v>
      </c>
      <c r="BO70" s="78">
        <f>IFERROR(1/J70*(X70/H70),"0")</f>
        <v>2.6041666666666665</v>
      </c>
      <c r="BP70" s="78">
        <f>IFERROR(1/J70*(Y70/H70),"0")</f>
        <v>2.609375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166.66666666666666</v>
      </c>
      <c r="Y74" s="43">
        <f>IFERROR(Y70/H70,"0")+IFERROR(Y71/H71,"0")+IFERROR(Y72/H72,"0")+IFERROR(Y73/H73,"0")</f>
        <v>167</v>
      </c>
      <c r="Z74" s="43">
        <f>IFERROR(IF(Z70="",0,Z70),"0")+IFERROR(IF(Z71="",0,Z71),"0")+IFERROR(IF(Z72="",0,Z72),"0")+IFERROR(IF(Z73="",0,Z73),"0")</f>
        <v>3.1696599999999999</v>
      </c>
      <c r="AA74" s="67"/>
      <c r="AB74" s="67"/>
      <c r="AC74" s="67"/>
    </row>
    <row r="75" spans="1:68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1800</v>
      </c>
      <c r="Y75" s="43">
        <f>IFERROR(SUM(Y70:Y73),"0")</f>
        <v>1803.6000000000001</v>
      </c>
      <c r="Z75" s="42"/>
      <c r="AA75" s="67"/>
      <c r="AB75" s="67"/>
      <c r="AC75" s="67"/>
    </row>
    <row r="76" spans="1:68" ht="14.25" hidden="1" customHeight="1" x14ac:dyDescent="0.25">
      <c r="A76" s="656" t="s">
        <v>86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6" t="s">
        <v>181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55" t="s">
        <v>188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hidden="1" customHeight="1" x14ac:dyDescent="0.25">
      <c r="A87" s="656" t="s">
        <v>128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56" t="s">
        <v>86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hidden="1" customHeight="1" x14ac:dyDescent="0.25">
      <c r="A95" s="63" t="s">
        <v>199</v>
      </c>
      <c r="B95" s="63" t="s">
        <v>200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55" t="s">
        <v>209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hidden="1" customHeight="1" x14ac:dyDescent="0.25">
      <c r="A102" s="656" t="s">
        <v>128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6" t="s">
        <v>164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6" t="s">
        <v>86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hidden="1" customHeight="1" x14ac:dyDescent="0.25">
      <c r="A120" s="63" t="s">
        <v>235</v>
      </c>
      <c r="B120" s="63" t="s">
        <v>236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56" t="s">
        <v>181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5" t="s">
        <v>248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hidden="1" customHeight="1" x14ac:dyDescent="0.25">
      <c r="A131" s="656" t="s">
        <v>128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56" t="s">
        <v>77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6" t="s">
        <v>86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55" t="s">
        <v>276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hidden="1" customHeight="1" x14ac:dyDescent="0.25">
      <c r="A153" s="656" t="s">
        <v>86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656" t="s">
        <v>104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655" t="s">
        <v>126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hidden="1" customHeight="1" x14ac:dyDescent="0.25">
      <c r="A165" s="656" t="s">
        <v>128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300</v>
      </c>
      <c r="B168" s="63" t="s">
        <v>301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56" t="s">
        <v>164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857" t="s">
        <v>305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56" t="s">
        <v>77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hidden="1" customHeight="1" x14ac:dyDescent="0.25">
      <c r="A177" s="63" t="s">
        <v>310</v>
      </c>
      <c r="B177" s="63" t="s">
        <v>311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316</v>
      </c>
      <c r="B179" s="63" t="s">
        <v>317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325</v>
      </c>
      <c r="B182" s="63" t="s">
        <v>326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336</v>
      </c>
      <c r="B187" s="63" t="s">
        <v>337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56" t="s">
        <v>86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6" t="s">
        <v>104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656" t="s">
        <v>354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662" t="s">
        <v>358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hidden="1" customHeight="1" x14ac:dyDescent="0.25">
      <c r="A206" s="655" t="s">
        <v>359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hidden="1" customHeight="1" x14ac:dyDescent="0.25">
      <c r="A207" s="656" t="s">
        <v>128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655" t="s">
        <v>380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hidden="1" customHeight="1" x14ac:dyDescent="0.25">
      <c r="A218" s="656" t="s">
        <v>164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656" t="s">
        <v>77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hidden="1" customHeight="1" x14ac:dyDescent="0.25">
      <c r="A223" s="63" t="s">
        <v>384</v>
      </c>
      <c r="B223" s="63" t="s">
        <v>385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390</v>
      </c>
      <c r="B225" s="63" t="s">
        <v>391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415</v>
      </c>
      <c r="B234" s="63" t="s">
        <v>416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56" t="s">
        <v>86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56" t="s">
        <v>104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56" t="s">
        <v>444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55" t="s">
        <v>447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hidden="1" customHeight="1" x14ac:dyDescent="0.25">
      <c r="A258" s="656" t="s">
        <v>128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6" t="s">
        <v>164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56" t="s">
        <v>77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hidden="1" customHeight="1" x14ac:dyDescent="0.25">
      <c r="A269" s="63" t="s">
        <v>458</v>
      </c>
      <c r="B269" s="63" t="s">
        <v>459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461</v>
      </c>
      <c r="B270" s="63" t="s">
        <v>462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464</v>
      </c>
      <c r="B271" s="63" t="s">
        <v>465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470</v>
      </c>
      <c r="B273" s="63" t="s">
        <v>471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472</v>
      </c>
      <c r="B274" s="63" t="s">
        <v>473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474</v>
      </c>
      <c r="B275" s="63" t="s">
        <v>475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476</v>
      </c>
      <c r="B276" s="63" t="s">
        <v>477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656" t="s">
        <v>86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hidden="1" customHeight="1" x14ac:dyDescent="0.25">
      <c r="A280" s="63" t="s">
        <v>478</v>
      </c>
      <c r="B280" s="63" t="s">
        <v>479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503</v>
      </c>
      <c r="B290" s="63" t="s">
        <v>504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656" t="s">
        <v>181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55" t="s">
        <v>515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hidden="1" customHeight="1" x14ac:dyDescent="0.25">
      <c r="A300" s="656" t="s">
        <v>128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6" t="s">
        <v>164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6" t="s">
        <v>537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56" t="s">
        <v>354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55" t="s">
        <v>548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hidden="1" customHeight="1" x14ac:dyDescent="0.25">
      <c r="A325" s="656" t="s">
        <v>128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555</v>
      </c>
      <c r="B328" s="63" t="s">
        <v>556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55" t="s">
        <v>564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hidden="1" customHeight="1" x14ac:dyDescent="0.25">
      <c r="A334" s="656" t="s">
        <v>86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568</v>
      </c>
      <c r="B336" s="63" t="s">
        <v>569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571</v>
      </c>
      <c r="B337" s="63" t="s">
        <v>572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55" t="s">
        <v>573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hidden="1" customHeight="1" x14ac:dyDescent="0.25">
      <c r="A341" s="656" t="s">
        <v>77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56" t="s">
        <v>86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55" t="s">
        <v>594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hidden="1" customHeight="1" x14ac:dyDescent="0.25">
      <c r="A355" s="656" t="s">
        <v>128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hidden="1" customHeight="1" x14ac:dyDescent="0.25">
      <c r="A356" s="63" t="s">
        <v>595</v>
      </c>
      <c r="B356" s="63" t="s">
        <v>596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597</v>
      </c>
      <c r="B357" s="63" t="s">
        <v>598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600</v>
      </c>
      <c r="B358" s="63" t="s">
        <v>601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55" t="s">
        <v>603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hidden="1" customHeight="1" x14ac:dyDescent="0.25">
      <c r="A362" s="656" t="s">
        <v>128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hidden="1" customHeight="1" x14ac:dyDescent="0.25">
      <c r="A363" s="63" t="s">
        <v>604</v>
      </c>
      <c r="B363" s="63" t="s">
        <v>605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610</v>
      </c>
      <c r="B365" s="63" t="s">
        <v>611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618</v>
      </c>
      <c r="B368" s="63" t="s">
        <v>619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56" t="s">
        <v>77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hidden="1" customHeight="1" x14ac:dyDescent="0.25">
      <c r="A372" s="63" t="s">
        <v>621</v>
      </c>
      <c r="B372" s="63" t="s">
        <v>622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656" t="s">
        <v>86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2600</v>
      </c>
      <c r="Y382" s="55">
        <f>IFERROR(IF(X382="",0,CEILING((X382/$H382),1)*$H382),"")</f>
        <v>2605.1999999999998</v>
      </c>
      <c r="Z382" s="41">
        <f>IFERROR(IF(Y382=0,"",ROUNDUP(Y382/H382,0)*0.01898),"")</f>
        <v>6.3393199999999998</v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2762.6666666666665</v>
      </c>
      <c r="BN382" s="78">
        <f>IFERROR(Y382*I382/H382,"0")</f>
        <v>2768.192</v>
      </c>
      <c r="BO382" s="78">
        <f>IFERROR(1/J382*(X382/H382),"0")</f>
        <v>5.208333333333333</v>
      </c>
      <c r="BP382" s="78">
        <f>IFERROR(1/J382*(Y382/H382),"0")</f>
        <v>5.21875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333.33333333333331</v>
      </c>
      <c r="Y386" s="43">
        <f>IFERROR(Y382/H382,"0")+IFERROR(Y383/H383,"0")+IFERROR(Y384/H384,"0")+IFERROR(Y385/H385,"0")</f>
        <v>334</v>
      </c>
      <c r="Z386" s="43">
        <f>IFERROR(IF(Z382="",0,Z382),"0")+IFERROR(IF(Z383="",0,Z383),"0")+IFERROR(IF(Z384="",0,Z384),"0")+IFERROR(IF(Z385="",0,Z385),"0")</f>
        <v>6.3393199999999998</v>
      </c>
      <c r="AA386" s="67"/>
      <c r="AB386" s="67"/>
      <c r="AC386" s="67"/>
    </row>
    <row r="387" spans="1:68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2600</v>
      </c>
      <c r="Y387" s="43">
        <f>IFERROR(SUM(Y382:Y385),"0")</f>
        <v>2605.1999999999998</v>
      </c>
      <c r="Z387" s="42"/>
      <c r="AA387" s="67"/>
      <c r="AB387" s="67"/>
      <c r="AC387" s="67"/>
    </row>
    <row r="388" spans="1:68" ht="14.25" hidden="1" customHeight="1" x14ac:dyDescent="0.25">
      <c r="A388" s="656" t="s">
        <v>181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hidden="1" customHeight="1" x14ac:dyDescent="0.25">
      <c r="A389" s="63" t="s">
        <v>651</v>
      </c>
      <c r="B389" s="63" t="s">
        <v>652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654</v>
      </c>
      <c r="B390" s="63" t="s">
        <v>655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657</v>
      </c>
      <c r="B391" s="63" t="s">
        <v>658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656" t="s">
        <v>104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667</v>
      </c>
      <c r="B398" s="63" t="s">
        <v>668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56" t="s">
        <v>669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56" t="s">
        <v>678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55" t="s">
        <v>687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hidden="1" customHeight="1" x14ac:dyDescent="0.25">
      <c r="A414" s="656" t="s">
        <v>86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hidden="1" customHeight="1" x14ac:dyDescent="0.25">
      <c r="A415" s="63" t="s">
        <v>688</v>
      </c>
      <c r="B415" s="63" t="s">
        <v>689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691</v>
      </c>
      <c r="B416" s="63" t="s">
        <v>692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694</v>
      </c>
      <c r="B417" s="63" t="s">
        <v>695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662" t="s">
        <v>697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hidden="1" customHeight="1" x14ac:dyDescent="0.25">
      <c r="A421" s="655" t="s">
        <v>698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hidden="1" customHeight="1" x14ac:dyDescent="0.25">
      <c r="A422" s="656" t="s">
        <v>128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702</v>
      </c>
      <c r="B424" s="63" t="s">
        <v>703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3000</v>
      </c>
      <c r="Y425" s="55">
        <f t="shared" si="52"/>
        <v>3000</v>
      </c>
      <c r="Z425" s="41">
        <f>IFERROR(IF(Y425=0,"",ROUNDUP(Y425/H425,0)*0.02175),"")</f>
        <v>4.3499999999999996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3094</v>
      </c>
      <c r="BN425" s="78">
        <f t="shared" si="54"/>
        <v>3094</v>
      </c>
      <c r="BO425" s="78">
        <f t="shared" si="55"/>
        <v>4.1666666666666661</v>
      </c>
      <c r="BP425" s="78">
        <f t="shared" si="56"/>
        <v>4.1666666666666661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4800</v>
      </c>
      <c r="Y427" s="55">
        <f t="shared" si="52"/>
        <v>4800</v>
      </c>
      <c r="Z427" s="41">
        <f>IFERROR(IF(Y427=0,"",ROUNDUP(Y427/H427,0)*0.02175),"")</f>
        <v>6.9599999999999991</v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4950.3999999999996</v>
      </c>
      <c r="BN427" s="78">
        <f t="shared" si="54"/>
        <v>4950.3999999999996</v>
      </c>
      <c r="BO427" s="78">
        <f t="shared" si="55"/>
        <v>6.6666666666666661</v>
      </c>
      <c r="BP427" s="78">
        <f t="shared" si="56"/>
        <v>6.6666666666666661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520</v>
      </c>
      <c r="Y431" s="43">
        <f>IFERROR(Y423/H423,"0")+IFERROR(Y424/H424,"0")+IFERROR(Y425/H425,"0")+IFERROR(Y426/H426,"0")+IFERROR(Y427/H427,"0")+IFERROR(Y428/H428,"0")+IFERROR(Y429/H429,"0")+IFERROR(Y430/H430,"0")</f>
        <v>520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11.309999999999999</v>
      </c>
      <c r="AA431" s="67"/>
      <c r="AB431" s="67"/>
      <c r="AC431" s="67"/>
    </row>
    <row r="432" spans="1:68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7800</v>
      </c>
      <c r="Y432" s="43">
        <f>IFERROR(SUM(Y423:Y430),"0")</f>
        <v>7800</v>
      </c>
      <c r="Z432" s="42"/>
      <c r="AA432" s="67"/>
      <c r="AB432" s="67"/>
      <c r="AC432" s="67"/>
    </row>
    <row r="433" spans="1:68" ht="14.25" hidden="1" customHeight="1" x14ac:dyDescent="0.25">
      <c r="A433" s="656" t="s">
        <v>164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4000</v>
      </c>
      <c r="Y434" s="55">
        <f>IFERROR(IF(X434="",0,CEILING((X434/$H434),1)*$H434),"")</f>
        <v>4005</v>
      </c>
      <c r="Z434" s="41">
        <f>IFERROR(IF(Y434=0,"",ROUNDUP(Y434/H434,0)*0.02175),"")</f>
        <v>5.8072499999999998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4125.333333333333</v>
      </c>
      <c r="BN434" s="78">
        <f>IFERROR(Y434*I434/H434,"0")</f>
        <v>4130.4900000000007</v>
      </c>
      <c r="BO434" s="78">
        <f>IFERROR(1/J434*(X434/H434),"0")</f>
        <v>5.5555555555555554</v>
      </c>
      <c r="BP434" s="78">
        <f>IFERROR(1/J434*(Y434/H434),"0")</f>
        <v>5.5625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266.66666666666669</v>
      </c>
      <c r="Y437" s="43">
        <f>IFERROR(Y434/H434,"0")+IFERROR(Y435/H435,"0")+IFERROR(Y436/H436,"0")</f>
        <v>267</v>
      </c>
      <c r="Z437" s="43">
        <f>IFERROR(IF(Z434="",0,Z434),"0")+IFERROR(IF(Z435="",0,Z435),"0")+IFERROR(IF(Z436="",0,Z436),"0")</f>
        <v>5.8072499999999998</v>
      </c>
      <c r="AA437" s="67"/>
      <c r="AB437" s="67"/>
      <c r="AC437" s="67"/>
    </row>
    <row r="438" spans="1:68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4000</v>
      </c>
      <c r="Y438" s="43">
        <f>IFERROR(SUM(Y434:Y436),"0")</f>
        <v>4005</v>
      </c>
      <c r="Z438" s="42"/>
      <c r="AA438" s="67"/>
      <c r="AB438" s="67"/>
      <c r="AC438" s="67"/>
    </row>
    <row r="439" spans="1:68" ht="14.25" hidden="1" customHeight="1" x14ac:dyDescent="0.25">
      <c r="A439" s="656" t="s">
        <v>86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customHeight="1" x14ac:dyDescent="0.25">
      <c r="A440" s="63" t="s">
        <v>732</v>
      </c>
      <c r="B440" s="63" t="s">
        <v>733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1800</v>
      </c>
      <c r="Y440" s="55">
        <f>IFERROR(IF(X440="",0,CEILING((X440/$H440),1)*$H440),"")</f>
        <v>1800</v>
      </c>
      <c r="Z440" s="41">
        <f>IFERROR(IF(Y440=0,"",ROUNDUP(Y440/H440,0)*0.01898),"")</f>
        <v>3.7960000000000003</v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1900</v>
      </c>
      <c r="BN440" s="78">
        <f>IFERROR(Y440*I440/H440,"0")</f>
        <v>1900</v>
      </c>
      <c r="BO440" s="78">
        <f>IFERROR(1/J440*(X440/H440),"0")</f>
        <v>3.125</v>
      </c>
      <c r="BP440" s="78">
        <f>IFERROR(1/J440*(Y440/H440),"0")</f>
        <v>3.125</v>
      </c>
    </row>
    <row r="441" spans="1:68" ht="27" hidden="1" customHeight="1" x14ac:dyDescent="0.25">
      <c r="A441" s="63" t="s">
        <v>735</v>
      </c>
      <c r="B441" s="63" t="s">
        <v>736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200</v>
      </c>
      <c r="Y443" s="43">
        <f>IFERROR(Y440/H440,"0")+IFERROR(Y441/H441,"0")+IFERROR(Y442/H442,"0")</f>
        <v>200</v>
      </c>
      <c r="Z443" s="43">
        <f>IFERROR(IF(Z440="",0,Z440),"0")+IFERROR(IF(Z441="",0,Z441),"0")+IFERROR(IF(Z442="",0,Z442),"0")</f>
        <v>3.7960000000000003</v>
      </c>
      <c r="AA443" s="67"/>
      <c r="AB443" s="67"/>
      <c r="AC443" s="67"/>
    </row>
    <row r="444" spans="1:68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1800</v>
      </c>
      <c r="Y444" s="43">
        <f>IFERROR(SUM(Y440:Y442),"0")</f>
        <v>1800</v>
      </c>
      <c r="Z444" s="42"/>
      <c r="AA444" s="67"/>
      <c r="AB444" s="67"/>
      <c r="AC444" s="67"/>
    </row>
    <row r="445" spans="1:68" ht="14.25" hidden="1" customHeight="1" x14ac:dyDescent="0.25">
      <c r="A445" s="656" t="s">
        <v>181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744</v>
      </c>
      <c r="B447" s="63" t="s">
        <v>745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655" t="s">
        <v>747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hidden="1" customHeight="1" x14ac:dyDescent="0.25">
      <c r="A451" s="656" t="s">
        <v>128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656" t="s">
        <v>77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6" t="s">
        <v>86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662" t="s">
        <v>763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hidden="1" customHeight="1" x14ac:dyDescent="0.25">
      <c r="A467" s="655" t="s">
        <v>764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hidden="1" customHeight="1" x14ac:dyDescent="0.25">
      <c r="A468" s="656" t="s">
        <v>77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hidden="1" customHeight="1" x14ac:dyDescent="0.25">
      <c r="A469" s="63" t="s">
        <v>765</v>
      </c>
      <c r="B469" s="63" t="s">
        <v>766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56" t="s">
        <v>86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655" t="s">
        <v>787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hidden="1" customHeight="1" x14ac:dyDescent="0.25">
      <c r="A483" s="656" t="s">
        <v>164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56" t="s">
        <v>77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hidden="1" customHeight="1" x14ac:dyDescent="0.25">
      <c r="A488" s="63" t="s">
        <v>791</v>
      </c>
      <c r="B488" s="63" t="s">
        <v>792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797</v>
      </c>
      <c r="B490" s="63" t="s">
        <v>798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662" t="s">
        <v>799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hidden="1" customHeight="1" x14ac:dyDescent="0.25">
      <c r="A494" s="655" t="s">
        <v>799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hidden="1" customHeight="1" x14ac:dyDescent="0.25">
      <c r="A495" s="656" t="s">
        <v>128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808</v>
      </c>
      <c r="B499" s="63" t="s">
        <v>809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814</v>
      </c>
      <c r="B501" s="63" t="s">
        <v>815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656" t="s">
        <v>164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hidden="1" customHeight="1" x14ac:dyDescent="0.25">
      <c r="A508" s="63" t="s">
        <v>823</v>
      </c>
      <c r="B508" s="63" t="s">
        <v>824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656" t="s">
        <v>77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hidden="1" customHeight="1" x14ac:dyDescent="0.25">
      <c r="A514" s="63" t="s">
        <v>830</v>
      </c>
      <c r="B514" s="63" t="s">
        <v>831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833</v>
      </c>
      <c r="B515" s="63" t="s">
        <v>834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836</v>
      </c>
      <c r="B516" s="63" t="s">
        <v>837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662" t="s">
        <v>846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hidden="1" customHeight="1" x14ac:dyDescent="0.25">
      <c r="A524" s="655" t="s">
        <v>846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hidden="1" customHeight="1" x14ac:dyDescent="0.25">
      <c r="A525" s="656" t="s">
        <v>128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hidden="1" customHeight="1" x14ac:dyDescent="0.25">
      <c r="A526" s="63" t="s">
        <v>847</v>
      </c>
      <c r="B526" s="63" t="s">
        <v>848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656" t="s">
        <v>164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56" t="s">
        <v>77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hidden="1" customHeight="1" x14ac:dyDescent="0.25">
      <c r="A534" s="63" t="s">
        <v>853</v>
      </c>
      <c r="B534" s="63" t="s">
        <v>854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56" t="s">
        <v>86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56" t="s">
        <v>181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655" t="s">
        <v>865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hidden="1" customHeight="1" x14ac:dyDescent="0.25">
      <c r="A547" s="656" t="s">
        <v>164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18000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18013.8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18700.733333333334</v>
      </c>
      <c r="Y552" s="43">
        <f>IFERROR(SUM(BN22:BN548),"0")</f>
        <v>18715.152000000002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28</v>
      </c>
      <c r="Y553" s="44">
        <f>ROUNDUP(SUM(BP22:BP548),0)</f>
        <v>28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19400.733333333334</v>
      </c>
      <c r="Y554" s="43">
        <f>GrossWeightTotalR+PalletQtyTotalR*25</f>
        <v>19415.152000000002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1486.6666666666667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1488</v>
      </c>
      <c r="Z555" s="42"/>
      <c r="AA555" s="67"/>
      <c r="AB555" s="67"/>
      <c r="AC555" s="67"/>
    </row>
    <row r="556" spans="1:68" ht="14.25" hidden="1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30.422229999999995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638" t="s">
        <v>126</v>
      </c>
      <c r="E558" s="638" t="s">
        <v>126</v>
      </c>
      <c r="F558" s="638" t="s">
        <v>126</v>
      </c>
      <c r="G558" s="638" t="s">
        <v>126</v>
      </c>
      <c r="H558" s="638" t="s">
        <v>126</v>
      </c>
      <c r="I558" s="638" t="s">
        <v>126</v>
      </c>
      <c r="J558" s="638" t="s">
        <v>126</v>
      </c>
      <c r="K558" s="638" t="s">
        <v>358</v>
      </c>
      <c r="L558" s="638" t="s">
        <v>358</v>
      </c>
      <c r="M558" s="638" t="s">
        <v>358</v>
      </c>
      <c r="N558" s="639"/>
      <c r="O558" s="638" t="s">
        <v>358</v>
      </c>
      <c r="P558" s="638" t="s">
        <v>358</v>
      </c>
      <c r="Q558" s="638" t="s">
        <v>358</v>
      </c>
      <c r="R558" s="638" t="s">
        <v>358</v>
      </c>
      <c r="S558" s="638" t="s">
        <v>358</v>
      </c>
      <c r="T558" s="638" t="s">
        <v>358</v>
      </c>
      <c r="U558" s="638" t="s">
        <v>358</v>
      </c>
      <c r="V558" s="638" t="s">
        <v>697</v>
      </c>
      <c r="W558" s="638" t="s">
        <v>697</v>
      </c>
      <c r="X558" s="638" t="s">
        <v>763</v>
      </c>
      <c r="Y558" s="638" t="s">
        <v>763</v>
      </c>
      <c r="Z558" s="85" t="s">
        <v>799</v>
      </c>
      <c r="AA558" s="638" t="s">
        <v>846</v>
      </c>
      <c r="AB558" s="638" t="s">
        <v>846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76</v>
      </c>
      <c r="C559" s="638" t="s">
        <v>110</v>
      </c>
      <c r="D559" s="638" t="s">
        <v>127</v>
      </c>
      <c r="E559" s="638" t="s">
        <v>143</v>
      </c>
      <c r="F559" s="638" t="s">
        <v>188</v>
      </c>
      <c r="G559" s="638" t="s">
        <v>209</v>
      </c>
      <c r="H559" s="638" t="s">
        <v>248</v>
      </c>
      <c r="I559" s="638" t="s">
        <v>276</v>
      </c>
      <c r="J559" s="638" t="s">
        <v>126</v>
      </c>
      <c r="K559" s="638" t="s">
        <v>359</v>
      </c>
      <c r="L559" s="638" t="s">
        <v>380</v>
      </c>
      <c r="M559" s="638" t="s">
        <v>447</v>
      </c>
      <c r="N559" s="1"/>
      <c r="O559" s="638" t="s">
        <v>515</v>
      </c>
      <c r="P559" s="638" t="s">
        <v>548</v>
      </c>
      <c r="Q559" s="638" t="s">
        <v>564</v>
      </c>
      <c r="R559" s="638" t="s">
        <v>573</v>
      </c>
      <c r="S559" s="638" t="s">
        <v>594</v>
      </c>
      <c r="T559" s="638" t="s">
        <v>603</v>
      </c>
      <c r="U559" s="638" t="s">
        <v>687</v>
      </c>
      <c r="V559" s="638" t="s">
        <v>698</v>
      </c>
      <c r="W559" s="638" t="s">
        <v>747</v>
      </c>
      <c r="X559" s="638" t="s">
        <v>764</v>
      </c>
      <c r="Y559" s="638" t="s">
        <v>787</v>
      </c>
      <c r="Z559" s="638" t="s">
        <v>799</v>
      </c>
      <c r="AA559" s="638" t="s">
        <v>846</v>
      </c>
      <c r="AB559" s="638" t="s">
        <v>865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1803.6000000000001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2605.1999999999998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13605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86,67"/>
        <filter val="1 800,00"/>
        <filter val="166,67"/>
        <filter val="18 000,00"/>
        <filter val="18 700,73"/>
        <filter val="19 400,73"/>
        <filter val="2 600,00"/>
        <filter val="200,00"/>
        <filter val="266,67"/>
        <filter val="28"/>
        <filter val="3 000,00"/>
        <filter val="333,33"/>
        <filter val="4 000,00"/>
        <filter val="4 800,00"/>
        <filter val="520,00"/>
        <filter val="7 800,00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2026-08-04T10:19:10Z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