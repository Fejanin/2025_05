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E59901A-65EF-4D47-B63D-804A61EEE3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<sst xmlns="http://schemas.openxmlformats.org/spreadsheetml/2006/main" count="4194" uniqueCount="891">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</sst>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Y551" sqref="Y5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46240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0.625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850</v>
      </c>
      <c r="Y426" s="55">
        <f t="shared" si="52"/>
        <v>855</v>
      </c>
      <c r="Z426" s="41">
        <f>IFERROR(IF(Y426=0,"",ROUNDUP(Y426/H426,0)*0.02175),"")</f>
        <v>1.2397499999999999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876.63333333333333</v>
      </c>
      <c r="BN426" s="78">
        <f t="shared" si="54"/>
        <v>881.79000000000008</v>
      </c>
      <c r="BO426" s="78">
        <f t="shared" si="55"/>
        <v>1.1805555555555554</v>
      </c>
      <c r="BP426" s="78">
        <f t="shared" si="56"/>
        <v>1.1875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56.666666666666664</v>
      </c>
      <c r="Y431" s="43">
        <f>IFERROR(Y423/H423,"0")+IFERROR(Y424/H424,"0")+IFERROR(Y425/H425,"0")+IFERROR(Y426/H426,"0")+IFERROR(Y427/H427,"0")+IFERROR(Y428/H428,"0")+IFERROR(Y429/H429,"0")+IFERROR(Y430/H430,"0")</f>
        <v>57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1.2397499999999999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850</v>
      </c>
      <c r="Y432" s="43">
        <f>IFERROR(SUM(Y423:Y430),"0")</f>
        <v>855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850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855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876.63333333333333</v>
      </c>
      <c r="Y552" s="43">
        <f>IFERROR(SUM(BN22:BN548),"0")</f>
        <v>881.79000000000008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</v>
      </c>
      <c r="Y553" s="44">
        <f>ROUNDUP(SUM(BP22:BP548),0)</f>
        <v>2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926.63333333333333</v>
      </c>
      <c r="Y554" s="43">
        <f>GrossWeightTotalR+PalletQtyTotalR*25</f>
        <v>931.79000000000008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56.666666666666664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57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1.2397499999999999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855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6,67"/>
        <filter val="850,00"/>
        <filter val="876,63"/>
        <filter val="926,63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