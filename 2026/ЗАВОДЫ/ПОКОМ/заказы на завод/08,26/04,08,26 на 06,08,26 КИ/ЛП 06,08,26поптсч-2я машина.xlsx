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19002E-17A0-43FD-AF58-7ABCF1A32C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P248" i="2"/>
  <c r="BO248" i="2"/>
  <c r="BM248" i="2"/>
  <c r="Y248" i="2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Y204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Z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Y163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52" i="2" l="1"/>
  <c r="BN88" i="2"/>
  <c r="BN121" i="2"/>
  <c r="Y143" i="2"/>
  <c r="BN156" i="2"/>
  <c r="BN166" i="2"/>
  <c r="BN273" i="2"/>
  <c r="BN307" i="2"/>
  <c r="BN342" i="2"/>
  <c r="BN375" i="2"/>
  <c r="BN384" i="2"/>
  <c r="BN423" i="2"/>
  <c r="BN453" i="2"/>
  <c r="BN503" i="2"/>
  <c r="BN30" i="2"/>
  <c r="Z41" i="2"/>
  <c r="BN41" i="2"/>
  <c r="BN42" i="2"/>
  <c r="BN53" i="2"/>
  <c r="Z62" i="2"/>
  <c r="BN65" i="2"/>
  <c r="H561" i="2"/>
  <c r="BN140" i="2"/>
  <c r="Z141" i="2"/>
  <c r="BN142" i="2"/>
  <c r="Y170" i="2"/>
  <c r="Z184" i="2"/>
  <c r="Z191" i="2"/>
  <c r="Z230" i="2"/>
  <c r="BN230" i="2"/>
  <c r="BN231" i="2"/>
  <c r="Z232" i="2"/>
  <c r="BN241" i="2"/>
  <c r="Z242" i="2"/>
  <c r="Z330" i="2"/>
  <c r="BN344" i="2"/>
  <c r="BN429" i="2"/>
  <c r="Z478" i="2"/>
  <c r="Z480" i="2" s="1"/>
  <c r="BN478" i="2"/>
  <c r="BN479" i="2"/>
  <c r="BP484" i="2"/>
  <c r="BP226" i="2"/>
  <c r="BP240" i="2"/>
  <c r="Z116" i="2"/>
  <c r="Z132" i="2"/>
  <c r="Z178" i="2"/>
  <c r="Z185" i="2"/>
  <c r="BP185" i="2"/>
  <c r="Z211" i="2"/>
  <c r="Z240" i="2"/>
  <c r="Z249" i="2"/>
  <c r="Z295" i="2"/>
  <c r="Z346" i="2"/>
  <c r="BP366" i="2"/>
  <c r="Z377" i="2"/>
  <c r="BP428" i="2"/>
  <c r="Z441" i="2"/>
  <c r="BP457" i="2"/>
  <c r="Z501" i="2"/>
  <c r="Y531" i="2"/>
  <c r="BN54" i="2"/>
  <c r="Z88" i="2"/>
  <c r="BP98" i="2"/>
  <c r="Z139" i="2"/>
  <c r="Z142" i="2"/>
  <c r="Z161" i="2"/>
  <c r="Z162" i="2" s="1"/>
  <c r="Y203" i="2"/>
  <c r="BP225" i="2"/>
  <c r="BN264" i="2"/>
  <c r="Z265" i="2"/>
  <c r="BN269" i="2"/>
  <c r="Z272" i="2"/>
  <c r="Z275" i="2"/>
  <c r="Z282" i="2"/>
  <c r="BP283" i="2"/>
  <c r="BN284" i="2"/>
  <c r="Y298" i="2"/>
  <c r="BP304" i="2"/>
  <c r="BN305" i="2"/>
  <c r="Z306" i="2"/>
  <c r="Y331" i="2"/>
  <c r="BP327" i="2"/>
  <c r="BN328" i="2"/>
  <c r="Z329" i="2"/>
  <c r="Z344" i="2"/>
  <c r="Z366" i="2"/>
  <c r="Y412" i="2"/>
  <c r="BP408" i="2"/>
  <c r="Z423" i="2"/>
  <c r="Z428" i="2"/>
  <c r="W561" i="2"/>
  <c r="Z457" i="2"/>
  <c r="Z458" i="2" s="1"/>
  <c r="BN470" i="2"/>
  <c r="BN489" i="2"/>
  <c r="Z503" i="2"/>
  <c r="BN504" i="2"/>
  <c r="BP83" i="2"/>
  <c r="BP132" i="2"/>
  <c r="Y369" i="2"/>
  <c r="BP441" i="2"/>
  <c r="Z28" i="2"/>
  <c r="Z64" i="2"/>
  <c r="BP64" i="2"/>
  <c r="Z83" i="2"/>
  <c r="BP161" i="2"/>
  <c r="Z226" i="2"/>
  <c r="BP329" i="2"/>
  <c r="Z409" i="2"/>
  <c r="BN29" i="2"/>
  <c r="Y47" i="2"/>
  <c r="Z72" i="2"/>
  <c r="BN77" i="2"/>
  <c r="Y85" i="2"/>
  <c r="Z98" i="2"/>
  <c r="Z135" i="2"/>
  <c r="BP141" i="2"/>
  <c r="Z166" i="2"/>
  <c r="Z181" i="2"/>
  <c r="BP187" i="2"/>
  <c r="Z198" i="2"/>
  <c r="BN202" i="2"/>
  <c r="Z208" i="2"/>
  <c r="BN211" i="2"/>
  <c r="Z225" i="2"/>
  <c r="BP234" i="2"/>
  <c r="BN235" i="2"/>
  <c r="BP244" i="2"/>
  <c r="BN260" i="2"/>
  <c r="Z273" i="2"/>
  <c r="Z283" i="2"/>
  <c r="BN290" i="2"/>
  <c r="BN295" i="2"/>
  <c r="Z304" i="2"/>
  <c r="Z307" i="2"/>
  <c r="Z311" i="2"/>
  <c r="Z312" i="2" s="1"/>
  <c r="Z327" i="2"/>
  <c r="Z342" i="2"/>
  <c r="BP365" i="2"/>
  <c r="Z372" i="2"/>
  <c r="Y387" i="2"/>
  <c r="BN396" i="2"/>
  <c r="Z408" i="2"/>
  <c r="Z411" i="2" s="1"/>
  <c r="BP426" i="2"/>
  <c r="Z538" i="2"/>
  <c r="Z539" i="2" s="1"/>
  <c r="Z425" i="2"/>
  <c r="Z427" i="2"/>
  <c r="Z269" i="2"/>
  <c r="BN120" i="2"/>
  <c r="BP385" i="2"/>
  <c r="Z385" i="2"/>
  <c r="BN417" i="2"/>
  <c r="Z416" i="2"/>
  <c r="BP416" i="2"/>
  <c r="Z415" i="2"/>
  <c r="BN515" i="2"/>
  <c r="Y370" i="2"/>
  <c r="Z365" i="2"/>
  <c r="BP501" i="2"/>
  <c r="BN364" i="2"/>
  <c r="Y93" i="2"/>
  <c r="Z91" i="2"/>
  <c r="Z95" i="2"/>
  <c r="BP363" i="2"/>
  <c r="D561" i="2"/>
  <c r="Z53" i="2"/>
  <c r="Y55" i="2"/>
  <c r="BP434" i="2"/>
  <c r="Y437" i="2"/>
  <c r="Z434" i="2"/>
  <c r="X55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51" i="2" l="1"/>
  <c r="Z297" i="2"/>
  <c r="Z199" i="2"/>
  <c r="Z331" i="2"/>
  <c r="Z143" i="2"/>
  <c r="Z292" i="2"/>
  <c r="Z136" i="2"/>
  <c r="Z379" i="2"/>
  <c r="Z369" i="2"/>
  <c r="Z431" i="2"/>
  <c r="Z277" i="2"/>
  <c r="Z386" i="2"/>
  <c r="Z418" i="2"/>
  <c r="Z99" i="2"/>
  <c r="Z55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<sst xmlns="http://schemas.openxmlformats.org/spreadsheetml/2006/main" count="4202" uniqueCount="896">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</sst>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46240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0.45833333333333331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120</v>
      </c>
      <c r="Y53" s="55">
        <f>IFERROR(IF(X53="",0,CEILING((X53/$H53),1)*$H53),"")</f>
        <v>120</v>
      </c>
      <c r="Z53" s="41">
        <f>IFERROR(IF(Y53=0,"",ROUNDUP(Y53/H53,0)*0.00902),"")</f>
        <v>0.27060000000000001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125.70000000000002</v>
      </c>
      <c r="BN53" s="78">
        <f>IFERROR(Y53*I53/H53,"0")</f>
        <v>125.70000000000002</v>
      </c>
      <c r="BO53" s="78">
        <f>IFERROR(1/J53*(X53/H53),"0")</f>
        <v>0.22727272727272729</v>
      </c>
      <c r="BP53" s="78">
        <f>IFERROR(1/J53*(Y53/H53),"0")</f>
        <v>0.22727272727272729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48.518518518518519</v>
      </c>
      <c r="Y55" s="43">
        <f>IFERROR(Y51/H51,"0")+IFERROR(Y52/H52,"0")+IFERROR(Y53/H53,"0")+IFERROR(Y54/H54,"0")</f>
        <v>49</v>
      </c>
      <c r="Z55" s="43">
        <f>IFERROR(IF(Z51="",0,Z51),"0")+IFERROR(IF(Z52="",0,Z52),"0")+IFERROR(IF(Z53="",0,Z53),"0")+IFERROR(IF(Z54="",0,Z54),"0")</f>
        <v>0.63122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320</v>
      </c>
      <c r="Y56" s="43">
        <f>IFERROR(SUM(Y51:Y54),"0")</f>
        <v>325.20000000000005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100</v>
      </c>
      <c r="Y59" s="55">
        <f t="shared" ref="Y59:Y66" si="0">IFERROR(IF(X59="",0,CEILING((X59/$H59),1)*$H59),"")</f>
        <v>100.8</v>
      </c>
      <c r="Z59" s="41">
        <f>IFERROR(IF(Y59=0,"",ROUNDUP(Y59/H59,0)*0.01898),"")</f>
        <v>0.17082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103.66071428571429</v>
      </c>
      <c r="BN59" s="78">
        <f t="shared" ref="BN59:BN66" si="2">IFERROR(Y59*I59/H59,"0")</f>
        <v>104.49000000000001</v>
      </c>
      <c r="BO59" s="78">
        <f t="shared" ref="BO59:BO66" si="3">IFERROR(1/J59*(X59/H59),"0")</f>
        <v>0.13950892857142858</v>
      </c>
      <c r="BP59" s="78">
        <f t="shared" ref="BP59:BP66" si="4">IFERROR(1/J59*(Y59/H59),"0")</f>
        <v>0.140625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1300</v>
      </c>
      <c r="Y61" s="55">
        <f t="shared" si="0"/>
        <v>1306.8000000000002</v>
      </c>
      <c r="Z61" s="41">
        <f>IFERROR(IF(Y61=0,"",ROUNDUP(Y61/H61,0)*0.01898),"")</f>
        <v>2.2965800000000001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1349.351851851852</v>
      </c>
      <c r="BN61" s="78">
        <f t="shared" si="2"/>
        <v>1356.41</v>
      </c>
      <c r="BO61" s="78">
        <f t="shared" si="3"/>
        <v>1.880787037037037</v>
      </c>
      <c r="BP61" s="78">
        <f t="shared" si="4"/>
        <v>1.8906250000000002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594</v>
      </c>
      <c r="Y66" s="55">
        <f t="shared" si="0"/>
        <v>594</v>
      </c>
      <c r="Z66" s="41">
        <f>IFERROR(IF(Y66=0,"",ROUNDUP(Y66/H66,0)*0.00902),"")</f>
        <v>1.1906400000000001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619.08000000000004</v>
      </c>
      <c r="BN66" s="78">
        <f t="shared" si="2"/>
        <v>619.08000000000004</v>
      </c>
      <c r="BO66" s="78">
        <f t="shared" si="3"/>
        <v>1</v>
      </c>
      <c r="BP66" s="78">
        <f t="shared" si="4"/>
        <v>1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261.29894179894177</v>
      </c>
      <c r="Y67" s="43">
        <f>IFERROR(Y59/H59,"0")+IFERROR(Y60/H60,"0")+IFERROR(Y61/H61,"0")+IFERROR(Y62/H62,"0")+IFERROR(Y63/H63,"0")+IFERROR(Y64/H64,"0")+IFERROR(Y65/H65,"0")+IFERROR(Y66/H66,"0")</f>
        <v>262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3.6580400000000002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1994</v>
      </c>
      <c r="Y68" s="43">
        <f>IFERROR(SUM(Y59:Y66),"0")</f>
        <v>2001.6000000000001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300</v>
      </c>
      <c r="Y70" s="55">
        <f>IFERROR(IF(X70="",0,CEILING((X70/$H70),1)*$H70),"")</f>
        <v>302.40000000000003</v>
      </c>
      <c r="Z70" s="41">
        <f>IFERROR(IF(Y70=0,"",ROUNDUP(Y70/H70,0)*0.01898),"")</f>
        <v>0.53144000000000002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311.38888888888891</v>
      </c>
      <c r="BN70" s="78">
        <f>IFERROR(Y70*I70/H70,"0")</f>
        <v>313.88</v>
      </c>
      <c r="BO70" s="78">
        <f>IFERROR(1/J70*(X70/H70),"0")</f>
        <v>0.43402777777777773</v>
      </c>
      <c r="BP70" s="78">
        <f>IFERROR(1/J70*(Y70/H70),"0")</f>
        <v>0.4375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491</v>
      </c>
      <c r="Y73" s="55">
        <f>IFERROR(IF(X73="",0,CEILING((X73/$H73),1)*$H73),"")</f>
        <v>491.40000000000003</v>
      </c>
      <c r="Z73" s="41">
        <f>IFERROR(IF(Y73=0,"",ROUNDUP(Y73/H73,0)*0.00651),"")</f>
        <v>1.18482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523.73333333333323</v>
      </c>
      <c r="BN73" s="78">
        <f>IFERROR(Y73*I73/H73,"0")</f>
        <v>524.16</v>
      </c>
      <c r="BO73" s="78">
        <f>IFERROR(1/J73*(X73/H73),"0")</f>
        <v>0.99918599918599926</v>
      </c>
      <c r="BP73" s="78">
        <f>IFERROR(1/J73*(Y73/H73),"0")</f>
        <v>1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209.62962962962962</v>
      </c>
      <c r="Y74" s="43">
        <f>IFERROR(Y70/H70,"0")+IFERROR(Y71/H71,"0")+IFERROR(Y72/H72,"0")+IFERROR(Y73/H73,"0")</f>
        <v>210</v>
      </c>
      <c r="Z74" s="43">
        <f>IFERROR(IF(Z70="",0,Z70),"0")+IFERROR(IF(Z71="",0,Z71),"0")+IFERROR(IF(Z72="",0,Z72),"0")+IFERROR(IF(Z73="",0,Z73),"0")</f>
        <v>1.7162600000000001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791</v>
      </c>
      <c r="Y75" s="43">
        <f>IFERROR(SUM(Y70:Y73),"0")</f>
        <v>793.80000000000007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90</v>
      </c>
      <c r="Y91" s="55">
        <f>IFERROR(IF(X91="",0,CEILING((X91/$H91),1)*$H91),"")</f>
        <v>90</v>
      </c>
      <c r="Z91" s="41">
        <f>IFERROR(IF(Y91=0,"",ROUNDUP(Y91/H91,0)*0.00902),"")</f>
        <v>0.1804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93.800000000000011</v>
      </c>
      <c r="BN91" s="78">
        <f>IFERROR(Y91*I91/H91,"0")</f>
        <v>93.800000000000011</v>
      </c>
      <c r="BO91" s="78">
        <f>IFERROR(1/J91*(X91/H91),"0")</f>
        <v>0.15151515151515152</v>
      </c>
      <c r="BP91" s="78">
        <f>IFERROR(1/J91*(Y91/H91),"0")</f>
        <v>0.15151515151515152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38.518518518518519</v>
      </c>
      <c r="Y92" s="43">
        <f>IFERROR(Y88/H88,"0")+IFERROR(Y89/H89,"0")+IFERROR(Y90/H90,"0")+IFERROR(Y91/H91,"0")</f>
        <v>39</v>
      </c>
      <c r="Z92" s="43">
        <f>IFERROR(IF(Z88="",0,Z88),"0")+IFERROR(IF(Z89="",0,Z89),"0")+IFERROR(IF(Z90="",0,Z90),"0")+IFERROR(IF(Z91="",0,Z91),"0")</f>
        <v>0.54102000000000006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290</v>
      </c>
      <c r="Y93" s="43">
        <f>IFERROR(SUM(Y88:Y91),"0")</f>
        <v>295.20000000000005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600</v>
      </c>
      <c r="Y95" s="55">
        <f>IFERROR(IF(X95="",0,CEILING((X95/$H95),1)*$H95),"")</f>
        <v>607.5</v>
      </c>
      <c r="Z95" s="41">
        <f>IFERROR(IF(Y95=0,"",ROUNDUP(Y95/H95,0)*0.01898),"")</f>
        <v>1.4235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636.59259259259261</v>
      </c>
      <c r="BN95" s="78">
        <f>IFERROR(Y95*I95/H95,"0")</f>
        <v>644.54999999999995</v>
      </c>
      <c r="BO95" s="78">
        <f>IFERROR(1/J95*(X95/H95),"0")</f>
        <v>1.1574074074074074</v>
      </c>
      <c r="BP95" s="78">
        <f>IFERROR(1/J95*(Y95/H95),"0")</f>
        <v>1.171875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74.074074074074076</v>
      </c>
      <c r="Y99" s="43">
        <f>IFERROR(Y95/H95,"0")+IFERROR(Y96/H96,"0")+IFERROR(Y97/H97,"0")+IFERROR(Y98/H98,"0")</f>
        <v>75</v>
      </c>
      <c r="Z99" s="43">
        <f>IFERROR(IF(Z95="",0,Z95),"0")+IFERROR(IF(Z96="",0,Z96),"0")+IFERROR(IF(Z97="",0,Z97),"0")+IFERROR(IF(Z98="",0,Z98),"0")</f>
        <v>1.4235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600</v>
      </c>
      <c r="Y100" s="43">
        <f>IFERROR(SUM(Y95:Y98),"0")</f>
        <v>607.5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1500</v>
      </c>
      <c r="Y120" s="55">
        <f>IFERROR(IF(X120="",0,CEILING((X120/$H120),1)*$H120),"")</f>
        <v>1506.6</v>
      </c>
      <c r="Z120" s="41">
        <f>IFERROR(IF(Y120=0,"",ROUNDUP(Y120/H120,0)*0.01898),"")</f>
        <v>3.5302799999999999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1590.3703703703702</v>
      </c>
      <c r="BN120" s="78">
        <f>IFERROR(Y120*I120/H120,"0")</f>
        <v>1597.3679999999999</v>
      </c>
      <c r="BO120" s="78">
        <f>IFERROR(1/J120*(X120/H120),"0")</f>
        <v>2.8935185185185186</v>
      </c>
      <c r="BP120" s="78">
        <f>IFERROR(1/J120*(Y120/H120),"0")</f>
        <v>2.90625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185.18518518518519</v>
      </c>
      <c r="Y124" s="43">
        <f>IFERROR(Y120/H120,"0")+IFERROR(Y121/H121,"0")+IFERROR(Y122/H122,"0")+IFERROR(Y123/H123,"0")</f>
        <v>186</v>
      </c>
      <c r="Z124" s="43">
        <f>IFERROR(IF(Z120="",0,Z120),"0")+IFERROR(IF(Z121="",0,Z121),"0")+IFERROR(IF(Z122="",0,Z122),"0")+IFERROR(IF(Z123="",0,Z123),"0")</f>
        <v>3.5302799999999999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1500</v>
      </c>
      <c r="Y125" s="43">
        <f>IFERROR(SUM(Y120:Y123),"0")</f>
        <v>1506.6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ref="Y177:Y187" si="10">IFERROR(IF(X177="",0,CEILING((X177/$H177),1)*$H177),"")</f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52.714285714285715</v>
      </c>
      <c r="BN177" s="78">
        <f t="shared" ref="BN177:BN187" si="12">IFERROR(Y177*I177/H177,"0")</f>
        <v>55.35</v>
      </c>
      <c r="BO177" s="78">
        <f t="shared" ref="BO177:BO187" si="13">IFERROR(1/J177*(X177/H177),"0")</f>
        <v>0.10822510822510824</v>
      </c>
      <c r="BP177" s="78">
        <f t="shared" ref="BP177:BP187" si="14">IFERROR(1/J177*(Y177/H177),"0")</f>
        <v>0.11363636363636365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150</v>
      </c>
      <c r="Y179" s="55">
        <f t="shared" si="10"/>
        <v>150.5</v>
      </c>
      <c r="Z179" s="41">
        <f>IFERROR(IF(Y179=0,"",ROUNDUP(Y179/H179,0)*0.00902),"")</f>
        <v>0.38785999999999998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158.14285714285714</v>
      </c>
      <c r="BN179" s="78">
        <f t="shared" si="12"/>
        <v>158.67000000000002</v>
      </c>
      <c r="BO179" s="78">
        <f t="shared" si="13"/>
        <v>0.32467532467532467</v>
      </c>
      <c r="BP179" s="78">
        <f t="shared" si="14"/>
        <v>0.32575757575757575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57.142857142857139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58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0.52315999999999996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200</v>
      </c>
      <c r="Y189" s="43">
        <f>IFERROR(SUM(Y177:Y187),"0")</f>
        <v>203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200</v>
      </c>
      <c r="Y269" s="55">
        <f t="shared" ref="Y269:Y276" si="27">IFERROR(IF(X269="",0,CEILING((X269/$H269),1)*$H269),"")</f>
        <v>205.20000000000002</v>
      </c>
      <c r="Z269" s="41">
        <f>IFERROR(IF(Y269=0,"",ROUNDUP(Y269/H269,0)*0.00902),"")</f>
        <v>0.34276000000000001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207.03703703703701</v>
      </c>
      <c r="BN269" s="78">
        <f t="shared" ref="BN269:BN276" si="29">IFERROR(Y269*I269/H269,"0")</f>
        <v>212.42</v>
      </c>
      <c r="BO269" s="78">
        <f t="shared" ref="BO269:BO276" si="30">IFERROR(1/J269*(X269/H269),"0")</f>
        <v>0.28058361391694725</v>
      </c>
      <c r="BP269" s="78">
        <f t="shared" ref="BP269:BP276" si="31">IFERROR(1/J269*(Y269/H269),"0")</f>
        <v>0.2878787878787879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250</v>
      </c>
      <c r="Y271" s="55">
        <f t="shared" si="27"/>
        <v>253.8</v>
      </c>
      <c r="Z271" s="41">
        <f>IFERROR(IF(Y271=0,"",ROUNDUP(Y271/H271,0)*0.00902),"")</f>
        <v>0.42393999999999998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258.7962962962963</v>
      </c>
      <c r="BN271" s="78">
        <f t="shared" si="29"/>
        <v>262.72999999999996</v>
      </c>
      <c r="BO271" s="78">
        <f t="shared" si="30"/>
        <v>0.35072951739618402</v>
      </c>
      <c r="BP271" s="78">
        <f t="shared" si="31"/>
        <v>0.35606060606060608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83.333333333333329</v>
      </c>
      <c r="Y277" s="43">
        <f>IFERROR(Y269/H269,"0")+IFERROR(Y270/H270,"0")+IFERROR(Y271/H271,"0")+IFERROR(Y272/H272,"0")+IFERROR(Y273/H273,"0")+IFERROR(Y274/H274,"0")+IFERROR(Y275/H275,"0")+IFERROR(Y276/H276,"0")</f>
        <v>85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0.76669999999999994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450</v>
      </c>
      <c r="Y278" s="43">
        <f>IFERROR(SUM(Y269:Y276),"0")</f>
        <v>459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100</v>
      </c>
      <c r="Y326" s="55">
        <f>IFERROR(IF(X326="",0,CEILING((X326/$H326),1)*$H326),"")</f>
        <v>108</v>
      </c>
      <c r="Z326" s="41">
        <f>IFERROR(IF(Y326=0,"",ROUNDUP(Y326/H326,0)*0.01898),"")</f>
        <v>0.1898</v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103.79629629629629</v>
      </c>
      <c r="BN326" s="78">
        <f>IFERROR(Y326*I326/H326,"0")</f>
        <v>112.1</v>
      </c>
      <c r="BO326" s="78">
        <f>IFERROR(1/J326*(X326/H326),"0")</f>
        <v>0.14467592592592593</v>
      </c>
      <c r="BP326" s="78">
        <f>IFERROR(1/J326*(Y326/H326),"0")</f>
        <v>0.15625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9.2592592592592595</v>
      </c>
      <c r="Y331" s="43">
        <f>IFERROR(Y326/H326,"0")+IFERROR(Y327/H327,"0")+IFERROR(Y328/H328,"0")+IFERROR(Y329/H329,"0")+IFERROR(Y330/H330,"0")</f>
        <v>10</v>
      </c>
      <c r="Z331" s="43">
        <f>IFERROR(IF(Z326="",0,Z326),"0")+IFERROR(IF(Z327="",0,Z327),"0")+IFERROR(IF(Z328="",0,Z328),"0")+IFERROR(IF(Z329="",0,Z329),"0")+IFERROR(IF(Z330="",0,Z330),"0")</f>
        <v>0.1898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100</v>
      </c>
      <c r="Y332" s="43">
        <f>IFERROR(SUM(Y326:Y330),"0")</f>
        <v>108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54</v>
      </c>
      <c r="Y350" s="55">
        <f>IFERROR(IF(X350="",0,CEILING((X350/$H350),1)*$H350),"")</f>
        <v>54</v>
      </c>
      <c r="Z350" s="41">
        <f>IFERROR(IF(Y350=0,"",ROUNDUP(Y350/H350,0)*0.00902),"")</f>
        <v>0.1353</v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56.849999999999994</v>
      </c>
      <c r="BN350" s="78">
        <f>IFERROR(Y350*I350/H350,"0")</f>
        <v>56.849999999999994</v>
      </c>
      <c r="BO350" s="78">
        <f>IFERROR(1/J350*(X350/H350),"0")</f>
        <v>0.11363636363636365</v>
      </c>
      <c r="BP350" s="78">
        <f>IFERROR(1/J350*(Y350/H350),"0")</f>
        <v>0.11363636363636365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15</v>
      </c>
      <c r="Y352" s="43">
        <f>IFERROR(Y350/H350,"0")+IFERROR(Y351/H351,"0")</f>
        <v>15</v>
      </c>
      <c r="Z352" s="43">
        <f>IFERROR(IF(Z350="",0,Z350),"0")+IFERROR(IF(Z351="",0,Z351),"0")</f>
        <v>0.1353</v>
      </c>
      <c r="AA352" s="67"/>
      <c r="AB352" s="67"/>
      <c r="AC352" s="67"/>
    </row>
    <row r="353" spans="1:68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54</v>
      </c>
      <c r="Y353" s="43">
        <f>IFERROR(SUM(Y350:Y351),"0")</f>
        <v>54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1200</v>
      </c>
      <c r="Y363" s="55">
        <f t="shared" ref="Y363:Y368" si="42">IFERROR(IF(X363="",0,CEILING((X363/$H363),1)*$H363),"")</f>
        <v>1209.6000000000001</v>
      </c>
      <c r="Z363" s="41">
        <f>IFERROR(IF(Y363=0,"",ROUNDUP(Y363/H363,0)*0.01898),"")</f>
        <v>2.1257600000000001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1245.5555555555557</v>
      </c>
      <c r="BN363" s="78">
        <f t="shared" ref="BN363:BN368" si="44">IFERROR(Y363*I363/H363,"0")</f>
        <v>1255.52</v>
      </c>
      <c r="BO363" s="78">
        <f t="shared" ref="BO363:BO368" si="45">IFERROR(1/J363*(X363/H363),"0")</f>
        <v>1.7361111111111109</v>
      </c>
      <c r="BP363" s="78">
        <f t="shared" ref="BP363:BP368" si="46">IFERROR(1/J363*(Y363/H363),"0")</f>
        <v>1.75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250</v>
      </c>
      <c r="Y364" s="55">
        <f t="shared" si="42"/>
        <v>259.20000000000005</v>
      </c>
      <c r="Z364" s="41">
        <f>IFERROR(IF(Y364=0,"",ROUNDUP(Y364/H364,0)*0.01898),"")</f>
        <v>0.45552000000000004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259.4907407407407</v>
      </c>
      <c r="BN364" s="78">
        <f t="shared" si="44"/>
        <v>269.04000000000002</v>
      </c>
      <c r="BO364" s="78">
        <f t="shared" si="45"/>
        <v>0.36168981481481477</v>
      </c>
      <c r="BP364" s="78">
        <f t="shared" si="46"/>
        <v>0.37500000000000006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100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103.79629629629629</v>
      </c>
      <c r="BN365" s="78">
        <f t="shared" si="44"/>
        <v>112.1</v>
      </c>
      <c r="BO365" s="78">
        <f t="shared" si="45"/>
        <v>0.14467592592592593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143.5185185185185</v>
      </c>
      <c r="Y369" s="43">
        <f>IFERROR(Y363/H363,"0")+IFERROR(Y364/H364,"0")+IFERROR(Y365/H365,"0")+IFERROR(Y366/H366,"0")+IFERROR(Y367/H367,"0")+IFERROR(Y368/H368,"0")</f>
        <v>146</v>
      </c>
      <c r="Z369" s="43">
        <f>IFERROR(IF(Z363="",0,Z363),"0")+IFERROR(IF(Z364="",0,Z364),"0")+IFERROR(IF(Z365="",0,Z365),"0")+IFERROR(IF(Z366="",0,Z366),"0")+IFERROR(IF(Z367="",0,Z367),"0")+IFERROR(IF(Z368="",0,Z368),"0")</f>
        <v>2.77108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1550</v>
      </c>
      <c r="Y370" s="43">
        <f>IFERROR(SUM(Y363:Y368),"0")</f>
        <v>1576.8000000000002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600</v>
      </c>
      <c r="Y372" s="55">
        <f t="shared" ref="Y372:Y378" si="47">IFERROR(IF(X372="",0,CEILING((X372/$H372),1)*$H372),"")</f>
        <v>600.6</v>
      </c>
      <c r="Z372" s="41">
        <f>IFERROR(IF(Y372=0,"",ROUNDUP(Y372/H372,0)*0.00902),"")</f>
        <v>1.28986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635.71428571428567</v>
      </c>
      <c r="BN372" s="78">
        <f t="shared" ref="BN372:BN378" si="49">IFERROR(Y372*I372/H372,"0")</f>
        <v>636.35</v>
      </c>
      <c r="BO372" s="78">
        <f t="shared" ref="BO372:BO378" si="50">IFERROR(1/J372*(X372/H372),"0")</f>
        <v>1.0822510822510822</v>
      </c>
      <c r="BP372" s="78">
        <f t="shared" ref="BP372:BP378" si="51">IFERROR(1/J372*(Y372/H372),"0")</f>
        <v>1.0833333333333333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600</v>
      </c>
      <c r="Y373" s="55">
        <f t="shared" si="47"/>
        <v>600.6</v>
      </c>
      <c r="Z373" s="41">
        <f>IFERROR(IF(Y373=0,"",ROUNDUP(Y373/H373,0)*0.00902),"")</f>
        <v>1.28986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635.71428571428567</v>
      </c>
      <c r="BN373" s="78">
        <f t="shared" si="49"/>
        <v>636.35</v>
      </c>
      <c r="BO373" s="78">
        <f t="shared" si="50"/>
        <v>1.0822510822510822</v>
      </c>
      <c r="BP373" s="78">
        <f t="shared" si="51"/>
        <v>1.0833333333333333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285.71428571428572</v>
      </c>
      <c r="Y379" s="43">
        <f>IFERROR(Y372/H372,"0")+IFERROR(Y373/H373,"0")+IFERROR(Y374/H374,"0")+IFERROR(Y375/H375,"0")+IFERROR(Y376/H376,"0")+IFERROR(Y377/H377,"0")+IFERROR(Y378/H378,"0")</f>
        <v>286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2.57972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1200</v>
      </c>
      <c r="Y380" s="43">
        <f>IFERROR(SUM(Y372:Y378),"0")</f>
        <v>1201.2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60</v>
      </c>
      <c r="Y385" s="55">
        <f>IFERROR(IF(X385="",0,CEILING((X385/$H385),1)*$H385),"")</f>
        <v>60</v>
      </c>
      <c r="Z385" s="41">
        <f>IFERROR(IF(Y385=0,"",ROUNDUP(Y385/H385,0)*0.00651),"")</f>
        <v>0.13020000000000001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64.92</v>
      </c>
      <c r="BN385" s="78">
        <f>IFERROR(Y385*I385/H385,"0")</f>
        <v>64.92</v>
      </c>
      <c r="BO385" s="78">
        <f>IFERROR(1/J385*(X385/H385),"0")</f>
        <v>0.1098901098901099</v>
      </c>
      <c r="BP385" s="78">
        <f>IFERROR(1/J385*(Y385/H385),"0")</f>
        <v>0.1098901098901099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20</v>
      </c>
      <c r="Y386" s="43">
        <f>IFERROR(Y382/H382,"0")+IFERROR(Y383/H383,"0")+IFERROR(Y384/H384,"0")+IFERROR(Y385/H385,"0")</f>
        <v>20</v>
      </c>
      <c r="Z386" s="43">
        <f>IFERROR(IF(Z382="",0,Z382),"0")+IFERROR(IF(Z383="",0,Z383),"0")+IFERROR(IF(Z384="",0,Z384),"0")+IFERROR(IF(Z385="",0,Z385),"0")</f>
        <v>0.13020000000000001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60</v>
      </c>
      <c r="Y387" s="43">
        <f>IFERROR(SUM(Y382:Y385),"0")</f>
        <v>60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1200</v>
      </c>
      <c r="Y390" s="55">
        <f>IFERROR(IF(X390="",0,CEILING((X390/$H390),1)*$H390),"")</f>
        <v>1201.2</v>
      </c>
      <c r="Z390" s="41">
        <f>IFERROR(IF(Y390=0,"",ROUNDUP(Y390/H390,0)*0.01898),"")</f>
        <v>2.92292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1276.0000000000002</v>
      </c>
      <c r="BN390" s="78">
        <f>IFERROR(Y390*I390/H390,"0")</f>
        <v>1277.2760000000001</v>
      </c>
      <c r="BO390" s="78">
        <f>IFERROR(1/J390*(X390/H390),"0")</f>
        <v>2.4038461538461537</v>
      </c>
      <c r="BP390" s="78">
        <f>IFERROR(1/J390*(Y390/H390),"0")</f>
        <v>2.40625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100.80000000000001</v>
      </c>
      <c r="Z391" s="41">
        <f>IFERROR(IF(Y391=0,"",ROUNDUP(Y391/H391,0)*0.01898),"")</f>
        <v>0.22776000000000002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105.88095238095238</v>
      </c>
      <c r="BN391" s="78">
        <f>IFERROR(Y391*I391/H391,"0")</f>
        <v>106.72800000000001</v>
      </c>
      <c r="BO391" s="78">
        <f>IFERROR(1/J391*(X391/H391),"0")</f>
        <v>0.18601190476190477</v>
      </c>
      <c r="BP391" s="78">
        <f>IFERROR(1/J391*(Y391/H391),"0")</f>
        <v>0.1875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165.75091575091574</v>
      </c>
      <c r="Y392" s="43">
        <f>IFERROR(Y389/H389,"0")+IFERROR(Y390/H390,"0")+IFERROR(Y391/H391,"0")</f>
        <v>166</v>
      </c>
      <c r="Z392" s="43">
        <f>IFERROR(IF(Z389="",0,Z389),"0")+IFERROR(IF(Z390="",0,Z390),"0")+IFERROR(IF(Z391="",0,Z391),"0")</f>
        <v>3.1506799999999999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1300</v>
      </c>
      <c r="Y393" s="43">
        <f>IFERROR(SUM(Y389:Y391),"0")</f>
        <v>1302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12</v>
      </c>
      <c r="Y398" s="55">
        <f>IFERROR(IF(X398="",0,CEILING((X398/$H398),1)*$H398),"")</f>
        <v>12.75</v>
      </c>
      <c r="Z398" s="41">
        <f>IFERROR(IF(Y398=0,"",ROUNDUP(Y398/H398,0)*0.00651),"")</f>
        <v>3.2550000000000003E-2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13.55294117647059</v>
      </c>
      <c r="BN398" s="78">
        <f>IFERROR(Y398*I398/H398,"0")</f>
        <v>14.4</v>
      </c>
      <c r="BO398" s="78">
        <f>IFERROR(1/J398*(X398/H398),"0")</f>
        <v>2.5856496444731741E-2</v>
      </c>
      <c r="BP398" s="78">
        <f>IFERROR(1/J398*(Y398/H398),"0")</f>
        <v>2.7472527472527476E-2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4.7058823529411766</v>
      </c>
      <c r="Y399" s="43">
        <f>IFERROR(Y395/H395,"0")+IFERROR(Y396/H396,"0")+IFERROR(Y397/H397,"0")+IFERROR(Y398/H398,"0")</f>
        <v>5</v>
      </c>
      <c r="Z399" s="43">
        <f>IFERROR(IF(Z395="",0,Z395),"0")+IFERROR(IF(Z396="",0,Z396),"0")+IFERROR(IF(Z397="",0,Z397),"0")+IFERROR(IF(Z398="",0,Z398),"0")</f>
        <v>3.2550000000000003E-2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12</v>
      </c>
      <c r="Y400" s="43">
        <f>IFERROR(SUM(Y395:Y398),"0")</f>
        <v>12.75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670</v>
      </c>
      <c r="Y415" s="55">
        <f>IFERROR(IF(X415="",0,CEILING((X415/$H415),1)*$H415),"")</f>
        <v>672.3</v>
      </c>
      <c r="Z415" s="41">
        <f>IFERROR(IF(Y415=0,"",ROUNDUP(Y415/H415,0)*0.01898),"")</f>
        <v>1.57534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710.86172839506173</v>
      </c>
      <c r="BN415" s="78">
        <f>IFERROR(Y415*I415/H415,"0")</f>
        <v>713.30200000000002</v>
      </c>
      <c r="BO415" s="78">
        <f>IFERROR(1/J415*(X415/H415),"0")</f>
        <v>1.2924382716049383</v>
      </c>
      <c r="BP415" s="78">
        <f>IFERROR(1/J415*(Y415/H415),"0")</f>
        <v>1.296875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175</v>
      </c>
      <c r="Y416" s="55">
        <f>IFERROR(IF(X416="",0,CEILING((X416/$H416),1)*$H416),"")</f>
        <v>176.4</v>
      </c>
      <c r="Z416" s="41">
        <f>IFERROR(IF(Y416=0,"",ROUNDUP(Y416/H416,0)*0.00651),"")</f>
        <v>0.54683999999999999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195.99999999999997</v>
      </c>
      <c r="BN416" s="78">
        <f>IFERROR(Y416*I416/H416,"0")</f>
        <v>197.56799999999998</v>
      </c>
      <c r="BO416" s="78">
        <f>IFERROR(1/J416*(X416/H416),"0")</f>
        <v>0.45787545787545786</v>
      </c>
      <c r="BP416" s="78">
        <f>IFERROR(1/J416*(Y416/H416),"0")</f>
        <v>0.46153846153846156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87</v>
      </c>
      <c r="Y417" s="55">
        <f>IFERROR(IF(X417="",0,CEILING((X417/$H417),1)*$H417),"")</f>
        <v>88.2</v>
      </c>
      <c r="Z417" s="41">
        <f>IFERROR(IF(Y417=0,"",ROUNDUP(Y417/H417,0)*0.00651),"")</f>
        <v>0.27342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96.942857142857136</v>
      </c>
      <c r="BN417" s="78">
        <f>IFERROR(Y417*I417/H417,"0")</f>
        <v>98.28</v>
      </c>
      <c r="BO417" s="78">
        <f>IFERROR(1/J417*(X417/H417),"0")</f>
        <v>0.22762951334379905</v>
      </c>
      <c r="BP417" s="78">
        <f>IFERROR(1/J417*(Y417/H417),"0")</f>
        <v>0.23076923076923078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207.47795414462078</v>
      </c>
      <c r="Y418" s="43">
        <f>IFERROR(Y415/H415,"0")+IFERROR(Y416/H416,"0")+IFERROR(Y417/H417,"0")</f>
        <v>209</v>
      </c>
      <c r="Z418" s="43">
        <f>IFERROR(IF(Z415="",0,Z415),"0")+IFERROR(IF(Z416="",0,Z416),"0")+IFERROR(IF(Z417="",0,Z417),"0")</f>
        <v>2.3956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932</v>
      </c>
      <c r="Y419" s="43">
        <f>IFERROR(SUM(Y415:Y417),"0")</f>
        <v>936.9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2100</v>
      </c>
      <c r="Y424" s="55">
        <f t="shared" si="52"/>
        <v>2100</v>
      </c>
      <c r="Z424" s="41">
        <f>IFERROR(IF(Y424=0,"",ROUNDUP(Y424/H424,0)*0.02175),"")</f>
        <v>3.0449999999999999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2165.8000000000002</v>
      </c>
      <c r="BN424" s="78">
        <f t="shared" si="54"/>
        <v>2165.8000000000002</v>
      </c>
      <c r="BO424" s="78">
        <f t="shared" si="55"/>
        <v>2.9166666666666665</v>
      </c>
      <c r="BP424" s="78">
        <f t="shared" si="56"/>
        <v>2.9166666666666665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140</v>
      </c>
      <c r="Y431" s="43">
        <f>IFERROR(Y423/H423,"0")+IFERROR(Y424/H424,"0")+IFERROR(Y425/H425,"0")+IFERROR(Y426/H426,"0")+IFERROR(Y427/H427,"0")+IFERROR(Y428/H428,"0")+IFERROR(Y429/H429,"0")+IFERROR(Y430/H430,"0")</f>
        <v>140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3.0449999999999999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2100</v>
      </c>
      <c r="Y432" s="43">
        <f>IFERROR(SUM(Y423:Y430),"0")</f>
        <v>2100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180</v>
      </c>
      <c r="Y441" s="55">
        <f>IFERROR(IF(X441="",0,CEILING((X441/$H441),1)*$H441),"")</f>
        <v>180</v>
      </c>
      <c r="Z441" s="41">
        <f>IFERROR(IF(Y441=0,"",ROUNDUP(Y441/H441,0)*0.01898),"")</f>
        <v>0.37959999999999999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189.88</v>
      </c>
      <c r="BN441" s="78">
        <f>IFERROR(Y441*I441/H441,"0")</f>
        <v>189.88</v>
      </c>
      <c r="BO441" s="78">
        <f>IFERROR(1/J441*(X441/H441),"0")</f>
        <v>0.3125</v>
      </c>
      <c r="BP441" s="78">
        <f>IFERROR(1/J441*(Y441/H441),"0")</f>
        <v>0.3125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20</v>
      </c>
      <c r="Y443" s="43">
        <f>IFERROR(Y440/H440,"0")+IFERROR(Y441/H441,"0")+IFERROR(Y442/H442,"0")</f>
        <v>20</v>
      </c>
      <c r="Z443" s="43">
        <f>IFERROR(IF(Z440="",0,Z440),"0")+IFERROR(IF(Z441="",0,Z441),"0")+IFERROR(IF(Z442="",0,Z442),"0")</f>
        <v>0.37959999999999999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180</v>
      </c>
      <c r="Y444" s="43">
        <f>IFERROR(SUM(Y440:Y442),"0")</f>
        <v>180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180</v>
      </c>
      <c r="Y461" s="55">
        <f>IFERROR(IF(X461="",0,CEILING((X461/$H461),1)*$H461),"")</f>
        <v>180</v>
      </c>
      <c r="Z461" s="41">
        <f>IFERROR(IF(Y461=0,"",ROUNDUP(Y461/H461,0)*0.01898),"")</f>
        <v>0.37959999999999999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189.88</v>
      </c>
      <c r="BN461" s="78">
        <f>IFERROR(Y461*I461/H461,"0")</f>
        <v>189.88</v>
      </c>
      <c r="BO461" s="78">
        <f>IFERROR(1/J461*(X461/H461),"0")</f>
        <v>0.3125</v>
      </c>
      <c r="BP461" s="78">
        <f>IFERROR(1/J461*(Y461/H461),"0")</f>
        <v>0.3125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20</v>
      </c>
      <c r="Y464" s="43">
        <f>IFERROR(Y461/H461,"0")+IFERROR(Y462/H462,"0")+IFERROR(Y463/H463,"0")</f>
        <v>20</v>
      </c>
      <c r="Z464" s="43">
        <f>IFERROR(IF(Z461="",0,Z461),"0")+IFERROR(IF(Z462="",0,Z462),"0")+IFERROR(IF(Z463="",0,Z463),"0")</f>
        <v>0.37959999999999999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180</v>
      </c>
      <c r="Y465" s="43">
        <f>IFERROR(SUM(Y461:Y463),"0")</f>
        <v>180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1100</v>
      </c>
      <c r="Y499" s="55">
        <f t="shared" si="62"/>
        <v>1103.52</v>
      </c>
      <c r="Z499" s="41">
        <f t="shared" si="63"/>
        <v>2.4996399999999999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1172.9166666666665</v>
      </c>
      <c r="BN499" s="78">
        <f t="shared" si="65"/>
        <v>1176.6699999999998</v>
      </c>
      <c r="BO499" s="78">
        <f t="shared" si="66"/>
        <v>2.0032051282051282</v>
      </c>
      <c r="BP499" s="78">
        <f t="shared" si="67"/>
        <v>2.0096153846153846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550</v>
      </c>
      <c r="Y501" s="55">
        <f t="shared" si="62"/>
        <v>554.4</v>
      </c>
      <c r="Z501" s="41">
        <f t="shared" si="63"/>
        <v>1.2558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586.45833333333326</v>
      </c>
      <c r="BN501" s="78">
        <f t="shared" si="65"/>
        <v>591.15</v>
      </c>
      <c r="BO501" s="78">
        <f t="shared" si="66"/>
        <v>1.0016025641025641</v>
      </c>
      <c r="BP501" s="78">
        <f t="shared" si="67"/>
        <v>1.0096153846153846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312.5</v>
      </c>
      <c r="Y505" s="43">
        <f>IFERROR(Y496/H496,"0")+IFERROR(Y497/H497,"0")+IFERROR(Y498/H498,"0")+IFERROR(Y499/H499,"0")+IFERROR(Y500/H500,"0")+IFERROR(Y501/H501,"0")+IFERROR(Y502/H502,"0")+IFERROR(Y503/H503,"0")+IFERROR(Y504/H504,"0")</f>
        <v>314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3.7554400000000001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1650</v>
      </c>
      <c r="Y506" s="43">
        <f>IFERROR(SUM(Y496:Y504),"0")</f>
        <v>1657.92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1100</v>
      </c>
      <c r="Y508" s="55">
        <f>IFERROR(IF(X508="",0,CEILING((X508/$H508),1)*$H508),"")</f>
        <v>1103.52</v>
      </c>
      <c r="Z508" s="41">
        <f>IFERROR(IF(Y508=0,"",ROUNDUP(Y508/H508,0)*0.01196),"")</f>
        <v>2.4996399999999999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1172.9166666666665</v>
      </c>
      <c r="BN508" s="78">
        <f>IFERROR(Y508*I508/H508,"0")</f>
        <v>1176.6699999999998</v>
      </c>
      <c r="BO508" s="78">
        <f>IFERROR(1/J508*(X508/H508),"0")</f>
        <v>2.0032051282051282</v>
      </c>
      <c r="BP508" s="78">
        <f>IFERROR(1/J508*(Y508/H508),"0")</f>
        <v>2.0096153846153846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208.33333333333331</v>
      </c>
      <c r="Y511" s="43">
        <f>IFERROR(Y508/H508,"0")+IFERROR(Y509/H509,"0")+IFERROR(Y510/H510,"0")</f>
        <v>209</v>
      </c>
      <c r="Z511" s="43">
        <f>IFERROR(IF(Z508="",0,Z508),"0")+IFERROR(IF(Z509="",0,Z509),"0")+IFERROR(IF(Z510="",0,Z510),"0")</f>
        <v>2.4996399999999999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1100</v>
      </c>
      <c r="Y512" s="43">
        <f>IFERROR(SUM(Y508:Y510),"0")</f>
        <v>1103.52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250</v>
      </c>
      <c r="Y514" s="55">
        <f t="shared" ref="Y514:Y520" si="68">IFERROR(IF(X514="",0,CEILING((X514/$H514),1)*$H514),"")</f>
        <v>253.44</v>
      </c>
      <c r="Z514" s="41">
        <f>IFERROR(IF(Y514=0,"",ROUNDUP(Y514/H514,0)*0.01196),"")</f>
        <v>0.57408000000000003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266.57196969696969</v>
      </c>
      <c r="BN514" s="78">
        <f t="shared" ref="BN514:BN520" si="70">IFERROR(Y514*I514/H514,"0")</f>
        <v>270.23999999999995</v>
      </c>
      <c r="BO514" s="78">
        <f t="shared" ref="BO514:BO520" si="71">IFERROR(1/J514*(X514/H514),"0")</f>
        <v>0.45527389277389274</v>
      </c>
      <c r="BP514" s="78">
        <f t="shared" ref="BP514:BP520" si="72">IFERROR(1/J514*(Y514/H514),"0")</f>
        <v>0.46153846153846156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250</v>
      </c>
      <c r="Y515" s="55">
        <f t="shared" si="68"/>
        <v>253.44</v>
      </c>
      <c r="Z515" s="41">
        <f>IFERROR(IF(Y515=0,"",ROUNDUP(Y515/H515,0)*0.01196),"")</f>
        <v>0.57408000000000003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266.57196969696969</v>
      </c>
      <c r="BN515" s="78">
        <f t="shared" si="70"/>
        <v>270.23999999999995</v>
      </c>
      <c r="BO515" s="78">
        <f t="shared" si="71"/>
        <v>0.45527389277389274</v>
      </c>
      <c r="BP515" s="78">
        <f t="shared" si="72"/>
        <v>0.46153846153846156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200</v>
      </c>
      <c r="Y516" s="55">
        <f t="shared" si="68"/>
        <v>200.64000000000001</v>
      </c>
      <c r="Z516" s="41">
        <f>IFERROR(IF(Y516=0,"",ROUNDUP(Y516/H516,0)*0.01196),"")</f>
        <v>0.45448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213.25757575757575</v>
      </c>
      <c r="BN516" s="78">
        <f t="shared" si="70"/>
        <v>213.94</v>
      </c>
      <c r="BO516" s="78">
        <f t="shared" si="71"/>
        <v>0.36421911421911418</v>
      </c>
      <c r="BP516" s="78">
        <f t="shared" si="72"/>
        <v>0.36538461538461542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132.57575757575756</v>
      </c>
      <c r="Y521" s="43">
        <f>IFERROR(Y514/H514,"0")+IFERROR(Y515/H515,"0")+IFERROR(Y516/H516,"0")+IFERROR(Y517/H517,"0")+IFERROR(Y518/H518,"0")+IFERROR(Y519/H519,"0")+IFERROR(Y520/H520,"0")</f>
        <v>134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1.6026400000000001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700</v>
      </c>
      <c r="Y522" s="43">
        <f>IFERROR(SUM(Y514:Y520),"0")</f>
        <v>707.52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670</v>
      </c>
      <c r="Y534" s="55">
        <f>IFERROR(IF(X534="",0,CEILING((X534/$H534),1)*$H534),"")</f>
        <v>672</v>
      </c>
      <c r="Z534" s="41">
        <f>IFERROR(IF(Y534=0,"",ROUNDUP(Y534/H534,0)*0.00902),"")</f>
        <v>1.4432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709.88095238095229</v>
      </c>
      <c r="BN534" s="78">
        <f>IFERROR(Y534*I534/H534,"0")</f>
        <v>712</v>
      </c>
      <c r="BO534" s="78">
        <f>IFERROR(1/J534*(X534/H534),"0")</f>
        <v>1.2085137085137085</v>
      </c>
      <c r="BP534" s="78">
        <f>IFERROR(1/J534*(Y534/H534),"0")</f>
        <v>1.2121212121212122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159.52380952380952</v>
      </c>
      <c r="Y535" s="43">
        <f>IFERROR(Y534/H534,"0")</f>
        <v>160</v>
      </c>
      <c r="Z535" s="43">
        <f>IFERROR(IF(Z534="",0,Z534),"0")</f>
        <v>1.4432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670</v>
      </c>
      <c r="Y536" s="43">
        <f>IFERROR(SUM(Y534:Y534),"0")</f>
        <v>672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17933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18044.509999999998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18884.763486310352</v>
      </c>
      <c r="Y552" s="43">
        <f>IFERROR(SUM(BN22:BN548),"0")</f>
        <v>19001.841999999997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31</v>
      </c>
      <c r="Y553" s="44">
        <f>ROUNDUP(SUM(BP22:BP548),0)</f>
        <v>32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19659.763486310352</v>
      </c>
      <c r="Y554" s="43">
        <f>GrossWeightTotalR+PalletQtyTotalR*25</f>
        <v>19801.841999999997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2802.0607743744999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2818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37.280230000000003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325.20000000000005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2795.4</v>
      </c>
      <c r="F561" s="52">
        <f>IFERROR(Y88*1,"0")+IFERROR(Y89*1,"0")+IFERROR(Y90*1,"0")+IFERROR(Y91*1,"0")+IFERROR(Y95*1,"0")+IFERROR(Y96*1,"0")+IFERROR(Y97*1,"0")+IFERROR(Y98*1,"0")</f>
        <v>902.7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1506.6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203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459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108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54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4152.75</v>
      </c>
      <c r="U561" s="52">
        <f>IFERROR(Y415*1,"0")+IFERROR(Y416*1,"0")+IFERROR(Y417*1,"0")</f>
        <v>936.9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2280</v>
      </c>
      <c r="W561" s="52">
        <f>IFERROR(Y452*1,"0")+IFERROR(Y453*1,"0")+IFERROR(Y457*1,"0")+IFERROR(Y461*1,"0")+IFERROR(Y462*1,"0")+IFERROR(Y463*1,"0")</f>
        <v>180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3468.96</v>
      </c>
      <c r="AA561" s="52">
        <f>IFERROR(Y526*1,"0")+IFERROR(Y530*1,"0")+IFERROR(Y534*1,"0")+IFERROR(Y538*1,"0")+IFERROR(Y542*1,"0")+IFERROR(Y543*1,"0")</f>
        <v>672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300,00"/>
        <filter val="1 500,00"/>
        <filter val="1 550,00"/>
        <filter val="1 650,00"/>
        <filter val="1 994,00"/>
        <filter val="100,00"/>
        <filter val="12,00"/>
        <filter val="120,00"/>
        <filter val="132,58"/>
        <filter val="140,00"/>
        <filter val="143,52"/>
        <filter val="15,00"/>
        <filter val="150,00"/>
        <filter val="159,52"/>
        <filter val="165,75"/>
        <filter val="17 933,00"/>
        <filter val="175,00"/>
        <filter val="18 884,76"/>
        <filter val="180,00"/>
        <filter val="185,19"/>
        <filter val="19 659,76"/>
        <filter val="2 100,00"/>
        <filter val="2 802,06"/>
        <filter val="20,00"/>
        <filter val="200,00"/>
        <filter val="207,48"/>
        <filter val="208,33"/>
        <filter val="209,63"/>
        <filter val="250,00"/>
        <filter val="261,30"/>
        <filter val="285,71"/>
        <filter val="290,00"/>
        <filter val="300,00"/>
        <filter val="31"/>
        <filter val="312,50"/>
        <filter val="320,00"/>
        <filter val="38,52"/>
        <filter val="4,71"/>
        <filter val="450,00"/>
        <filter val="48,52"/>
        <filter val="491,00"/>
        <filter val="50,00"/>
        <filter val="54,00"/>
        <filter val="550,00"/>
        <filter val="57,14"/>
        <filter val="594,00"/>
        <filter val="60,00"/>
        <filter val="600,00"/>
        <filter val="670,00"/>
        <filter val="700,00"/>
        <filter val="74,07"/>
        <filter val="791,00"/>
        <filter val="83,33"/>
        <filter val="87,00"/>
        <filter val="9,26"/>
        <filter val="90,00"/>
        <filter val="932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