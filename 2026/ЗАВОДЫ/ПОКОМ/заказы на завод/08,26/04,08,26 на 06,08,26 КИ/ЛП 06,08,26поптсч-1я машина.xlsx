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474AF1B-7357-4B7E-8EAF-0D43A0B98EC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P484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P426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N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P391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Z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Z346" i="2"/>
  <c r="Y346" i="2"/>
  <c r="BP346" i="2" s="1"/>
  <c r="P346" i="2"/>
  <c r="BO345" i="2"/>
  <c r="BM345" i="2"/>
  <c r="Y345" i="2"/>
  <c r="P345" i="2"/>
  <c r="BO344" i="2"/>
  <c r="BM344" i="2"/>
  <c r="Y344" i="2"/>
  <c r="BN344" i="2" s="1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Z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BP303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Z280" i="2"/>
  <c r="Y280" i="2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P244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P210" i="2"/>
  <c r="BO210" i="2"/>
  <c r="BM210" i="2"/>
  <c r="Y210" i="2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Z187" i="2"/>
  <c r="Y187" i="2"/>
  <c r="BN187" i="2" s="1"/>
  <c r="P187" i="2"/>
  <c r="BO186" i="2"/>
  <c r="BM186" i="2"/>
  <c r="Y186" i="2"/>
  <c r="BP186" i="2" s="1"/>
  <c r="P186" i="2"/>
  <c r="BO185" i="2"/>
  <c r="BM185" i="2"/>
  <c r="Z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Z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Y170" i="2" s="1"/>
  <c r="P167" i="2"/>
  <c r="BO166" i="2"/>
  <c r="BM166" i="2"/>
  <c r="Y166" i="2"/>
  <c r="BP166" i="2" s="1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N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Z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Z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Z52" i="2" s="1"/>
  <c r="P52" i="2"/>
  <c r="BO51" i="2"/>
  <c r="BM51" i="2"/>
  <c r="Z51" i="2"/>
  <c r="Y51" i="2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N29" i="2" l="1"/>
  <c r="BN42" i="2"/>
  <c r="BN52" i="2"/>
  <c r="BN121" i="2"/>
  <c r="BN241" i="2"/>
  <c r="BN273" i="2"/>
  <c r="BN284" i="2"/>
  <c r="BN307" i="2"/>
  <c r="BN342" i="2"/>
  <c r="BN383" i="2"/>
  <c r="BN429" i="2"/>
  <c r="BN479" i="2"/>
  <c r="BN503" i="2"/>
  <c r="BN30" i="2"/>
  <c r="BN54" i="2"/>
  <c r="Z62" i="2"/>
  <c r="BN65" i="2"/>
  <c r="BP90" i="2"/>
  <c r="Z149" i="2"/>
  <c r="BN166" i="2"/>
  <c r="Z184" i="2"/>
  <c r="BP185" i="2"/>
  <c r="Z191" i="2"/>
  <c r="Z211" i="2"/>
  <c r="BN231" i="2"/>
  <c r="BP234" i="2"/>
  <c r="BN235" i="2"/>
  <c r="Z409" i="2"/>
  <c r="BN453" i="2"/>
  <c r="BP283" i="2"/>
  <c r="BP83" i="2"/>
  <c r="Z53" i="2"/>
  <c r="BP53" i="2"/>
  <c r="Z83" i="2"/>
  <c r="Z139" i="2"/>
  <c r="Z142" i="2"/>
  <c r="BP142" i="2"/>
  <c r="Z161" i="2"/>
  <c r="Z162" i="2" s="1"/>
  <c r="Y203" i="2"/>
  <c r="BP226" i="2"/>
  <c r="Z230" i="2"/>
  <c r="BP230" i="2"/>
  <c r="Z232" i="2"/>
  <c r="BP240" i="2"/>
  <c r="Z242" i="2"/>
  <c r="Z275" i="2"/>
  <c r="Z283" i="2"/>
  <c r="Z329" i="2"/>
  <c r="Z344" i="2"/>
  <c r="BP344" i="2"/>
  <c r="Z366" i="2"/>
  <c r="BP385" i="2"/>
  <c r="Y412" i="2"/>
  <c r="BP408" i="2"/>
  <c r="Z423" i="2"/>
  <c r="BP423" i="2"/>
  <c r="Z428" i="2"/>
  <c r="Z469" i="2"/>
  <c r="Z478" i="2"/>
  <c r="BP478" i="2"/>
  <c r="Y531" i="2"/>
  <c r="Y47" i="2"/>
  <c r="BP161" i="2"/>
  <c r="BP329" i="2"/>
  <c r="Z41" i="2"/>
  <c r="BP41" i="2"/>
  <c r="Z64" i="2"/>
  <c r="BP64" i="2"/>
  <c r="BP98" i="2"/>
  <c r="Z28" i="2"/>
  <c r="D561" i="2"/>
  <c r="BN88" i="2"/>
  <c r="Z98" i="2"/>
  <c r="Z135" i="2"/>
  <c r="BP141" i="2"/>
  <c r="Z166" i="2"/>
  <c r="Z181" i="2"/>
  <c r="BP187" i="2"/>
  <c r="Z198" i="2"/>
  <c r="BN202" i="2"/>
  <c r="Z208" i="2"/>
  <c r="BN211" i="2"/>
  <c r="Z226" i="2"/>
  <c r="Z240" i="2"/>
  <c r="Z249" i="2"/>
  <c r="BN264" i="2"/>
  <c r="Z265" i="2"/>
  <c r="BN269" i="2"/>
  <c r="Z273" i="2"/>
  <c r="BP304" i="2"/>
  <c r="BN305" i="2"/>
  <c r="Z306" i="2"/>
  <c r="BP327" i="2"/>
  <c r="Z342" i="2"/>
  <c r="Z347" i="2" s="1"/>
  <c r="BP365" i="2"/>
  <c r="Z383" i="2"/>
  <c r="BN384" i="2"/>
  <c r="BN396" i="2"/>
  <c r="Z408" i="2"/>
  <c r="BP457" i="2"/>
  <c r="Z503" i="2"/>
  <c r="BN504" i="2"/>
  <c r="Y55" i="2"/>
  <c r="BP366" i="2"/>
  <c r="BP428" i="2"/>
  <c r="Z72" i="2"/>
  <c r="BN77" i="2"/>
  <c r="Z91" i="2"/>
  <c r="H561" i="2"/>
  <c r="BP132" i="2"/>
  <c r="BN140" i="2"/>
  <c r="Z141" i="2"/>
  <c r="Z143" i="2" s="1"/>
  <c r="Y143" i="2"/>
  <c r="BN156" i="2"/>
  <c r="Y163" i="2"/>
  <c r="Y204" i="2"/>
  <c r="BN295" i="2"/>
  <c r="Z304" i="2"/>
  <c r="Z307" i="2"/>
  <c r="Z311" i="2"/>
  <c r="Z312" i="2" s="1"/>
  <c r="Z327" i="2"/>
  <c r="Z330" i="2"/>
  <c r="Z337" i="2"/>
  <c r="Z367" i="2"/>
  <c r="BN375" i="2"/>
  <c r="Z377" i="2"/>
  <c r="Z457" i="2"/>
  <c r="Z458" i="2" s="1"/>
  <c r="BN470" i="2"/>
  <c r="BN489" i="2"/>
  <c r="Z538" i="2"/>
  <c r="Z539" i="2" s="1"/>
  <c r="Y331" i="2"/>
  <c r="BN328" i="2"/>
  <c r="BP88" i="2"/>
  <c r="Z363" i="2"/>
  <c r="BP441" i="2"/>
  <c r="Z441" i="2"/>
  <c r="Y370" i="2"/>
  <c r="Y387" i="2"/>
  <c r="Z372" i="2"/>
  <c r="Y369" i="2"/>
  <c r="BN364" i="2"/>
  <c r="Z282" i="2"/>
  <c r="Z95" i="2"/>
  <c r="BN417" i="2"/>
  <c r="BP416" i="2"/>
  <c r="Z416" i="2"/>
  <c r="Y93" i="2"/>
  <c r="BP501" i="2"/>
  <c r="Z501" i="2"/>
  <c r="Z425" i="2"/>
  <c r="Z427" i="2"/>
  <c r="Z272" i="2"/>
  <c r="Z269" i="2"/>
  <c r="BN290" i="2"/>
  <c r="BN120" i="2"/>
  <c r="W561" i="2"/>
  <c r="Z415" i="2"/>
  <c r="BP225" i="2"/>
  <c r="Z225" i="2"/>
  <c r="Y85" i="2"/>
  <c r="BN515" i="2"/>
  <c r="BP434" i="2"/>
  <c r="Y437" i="2"/>
  <c r="Z434" i="2"/>
  <c r="Z295" i="2"/>
  <c r="Y298" i="2"/>
  <c r="X555" i="2"/>
  <c r="BN260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Z331" i="2" s="1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Z251" i="2" s="1"/>
  <c r="Y262" i="2"/>
  <c r="Z271" i="2"/>
  <c r="Z281" i="2"/>
  <c r="BN291" i="2"/>
  <c r="Z302" i="2"/>
  <c r="Z336" i="2"/>
  <c r="Z338" i="2" s="1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322" i="2" l="1"/>
  <c r="Z454" i="2"/>
  <c r="Z386" i="2"/>
  <c r="Z418" i="2"/>
  <c r="Z411" i="2"/>
  <c r="Z292" i="2"/>
  <c r="Z136" i="2"/>
  <c r="Z99" i="2"/>
  <c r="Z369" i="2"/>
  <c r="Z431" i="2"/>
  <c r="Z437" i="2"/>
  <c r="Z379" i="2"/>
  <c r="Z277" i="2"/>
  <c r="X554" i="2"/>
  <c r="Z297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Z556" i="2" l="1"/>
  <c r="Y554" i="2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<sst xmlns="http://schemas.openxmlformats.org/spreadsheetml/2006/main" count="4202" uniqueCount="896">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</sst>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61" sqref="AA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46240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Четверг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500</v>
      </c>
      <c r="Y61" s="55">
        <f t="shared" si="0"/>
        <v>507.6</v>
      </c>
      <c r="Z61" s="41">
        <f>IFERROR(IF(Y61=0,"",ROUNDUP(Y61/H61,0)*0.01898),"")</f>
        <v>0.89205999999999996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518.98148148148141</v>
      </c>
      <c r="BN61" s="78">
        <f t="shared" si="2"/>
        <v>526.87</v>
      </c>
      <c r="BO61" s="78">
        <f t="shared" si="3"/>
        <v>0.72337962962962954</v>
      </c>
      <c r="BP61" s="78">
        <f t="shared" si="4"/>
        <v>0.734375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46.296296296296291</v>
      </c>
      <c r="Y67" s="43">
        <f>IFERROR(Y59/H59,"0")+IFERROR(Y60/H60,"0")+IFERROR(Y61/H61,"0")+IFERROR(Y62/H62,"0")+IFERROR(Y63/H63,"0")+IFERROR(Y64/H64,"0")+IFERROR(Y65/H65,"0")+IFERROR(Y66/H66,"0")</f>
        <v>47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0.89205999999999996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500</v>
      </c>
      <c r="Y68" s="43">
        <f>IFERROR(SUM(Y59:Y66),"0")</f>
        <v>507.6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1300</v>
      </c>
      <c r="Y70" s="55">
        <f>IFERROR(IF(X70="",0,CEILING((X70/$H70),1)*$H70),"")</f>
        <v>1306.8000000000002</v>
      </c>
      <c r="Z70" s="41">
        <f>IFERROR(IF(Y70=0,"",ROUNDUP(Y70/H70,0)*0.01898),"")</f>
        <v>2.2965800000000001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1349.351851851852</v>
      </c>
      <c r="BN70" s="78">
        <f>IFERROR(Y70*I70/H70,"0")</f>
        <v>1356.41</v>
      </c>
      <c r="BO70" s="78">
        <f>IFERROR(1/J70*(X70/H70),"0")</f>
        <v>1.880787037037037</v>
      </c>
      <c r="BP70" s="78">
        <f>IFERROR(1/J70*(Y70/H70),"0")</f>
        <v>1.8906250000000002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6</v>
      </c>
      <c r="Y73" s="55">
        <f>IFERROR(IF(X73="",0,CEILING((X73/$H73),1)*$H73),"")</f>
        <v>8.1000000000000014</v>
      </c>
      <c r="Z73" s="41">
        <f>IFERROR(IF(Y73=0,"",ROUNDUP(Y73/H73,0)*0.00651),"")</f>
        <v>1.9529999999999999E-2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6.4</v>
      </c>
      <c r="BN73" s="78">
        <f>IFERROR(Y73*I73/H73,"0")</f>
        <v>8.64</v>
      </c>
      <c r="BO73" s="78">
        <f>IFERROR(1/J73*(X73/H73),"0")</f>
        <v>1.2210012210012208E-2</v>
      </c>
      <c r="BP73" s="78">
        <f>IFERROR(1/J73*(Y73/H73),"0")</f>
        <v>1.6483516483516487E-2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122.5925925925926</v>
      </c>
      <c r="Y74" s="43">
        <f>IFERROR(Y70/H70,"0")+IFERROR(Y71/H71,"0")+IFERROR(Y72/H72,"0")+IFERROR(Y73/H73,"0")</f>
        <v>124.00000000000001</v>
      </c>
      <c r="Z74" s="43">
        <f>IFERROR(IF(Z70="",0,Z70),"0")+IFERROR(IF(Z71="",0,Z71),"0")+IFERROR(IF(Z72="",0,Z72),"0")+IFERROR(IF(Z73="",0,Z73),"0")</f>
        <v>2.3161100000000001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1306</v>
      </c>
      <c r="Y75" s="43">
        <f>IFERROR(SUM(Y70:Y73),"0")</f>
        <v>1314.9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70</v>
      </c>
      <c r="Y82" s="55">
        <f>IFERROR(IF(X82="",0,CEILING((X82/$H82),1)*$H82),"")</f>
        <v>70.2</v>
      </c>
      <c r="Z82" s="41">
        <f>IFERROR(IF(Y82=0,"",ROUNDUP(Y82/H82,0)*0.01898),"")</f>
        <v>0.17082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73.679487179487182</v>
      </c>
      <c r="BN82" s="78">
        <f>IFERROR(Y82*I82/H82,"0")</f>
        <v>73.890000000000015</v>
      </c>
      <c r="BO82" s="78">
        <f>IFERROR(1/J82*(X82/H82),"0")</f>
        <v>0.14022435897435898</v>
      </c>
      <c r="BP82" s="78">
        <f>IFERROR(1/J82*(Y82/H82),"0")</f>
        <v>0.140625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8.9743589743589745</v>
      </c>
      <c r="Y84" s="43">
        <f>IFERROR(Y82/H82,"0")+IFERROR(Y83/H83,"0")</f>
        <v>9</v>
      </c>
      <c r="Z84" s="43">
        <f>IFERROR(IF(Z82="",0,Z82),"0")+IFERROR(IF(Z83="",0,Z83),"0")</f>
        <v>0.17082</v>
      </c>
      <c r="AA84" s="67"/>
      <c r="AB84" s="67"/>
      <c r="AC84" s="67"/>
    </row>
    <row r="85" spans="1:68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70</v>
      </c>
      <c r="Y85" s="43">
        <f>IFERROR(SUM(Y82:Y83),"0")</f>
        <v>70.2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130</v>
      </c>
      <c r="Y88" s="55">
        <f>IFERROR(IF(X88="",0,CEILING((X88/$H88),1)*$H88),"")</f>
        <v>140.4</v>
      </c>
      <c r="Z88" s="41">
        <f>IFERROR(IF(Y88=0,"",ROUNDUP(Y88/H88,0)*0.01898),"")</f>
        <v>0.24674000000000001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134.93518518518519</v>
      </c>
      <c r="BN88" s="78">
        <f>IFERROR(Y88*I88/H88,"0")</f>
        <v>145.73000000000002</v>
      </c>
      <c r="BO88" s="78">
        <f>IFERROR(1/J88*(X88/H88),"0")</f>
        <v>0.18807870370370369</v>
      </c>
      <c r="BP88" s="78">
        <f>IFERROR(1/J88*(Y88/H88),"0")</f>
        <v>0.203125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15</v>
      </c>
      <c r="Y91" s="55">
        <f>IFERROR(IF(X91="",0,CEILING((X91/$H91),1)*$H91),"")</f>
        <v>18</v>
      </c>
      <c r="Z91" s="41">
        <f>IFERROR(IF(Y91=0,"",ROUNDUP(Y91/H91,0)*0.00902),"")</f>
        <v>3.6080000000000001E-2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15.633333333333335</v>
      </c>
      <c r="BN91" s="78">
        <f>IFERROR(Y91*I91/H91,"0")</f>
        <v>18.760000000000002</v>
      </c>
      <c r="BO91" s="78">
        <f>IFERROR(1/J91*(X91/H91),"0")</f>
        <v>2.5252525252525256E-2</v>
      </c>
      <c r="BP91" s="78">
        <f>IFERROR(1/J91*(Y91/H91),"0")</f>
        <v>3.0303030303030304E-2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15.37037037037037</v>
      </c>
      <c r="Y92" s="43">
        <f>IFERROR(Y88/H88,"0")+IFERROR(Y89/H89,"0")+IFERROR(Y90/H90,"0")+IFERROR(Y91/H91,"0")</f>
        <v>17</v>
      </c>
      <c r="Z92" s="43">
        <f>IFERROR(IF(Z88="",0,Z88),"0")+IFERROR(IF(Z89="",0,Z89),"0")+IFERROR(IF(Z90="",0,Z90),"0")+IFERROR(IF(Z91="",0,Z91),"0")</f>
        <v>0.28282000000000002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145</v>
      </c>
      <c r="Y93" s="43">
        <f>IFERROR(SUM(Y88:Y91),"0")</f>
        <v>158.4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100</v>
      </c>
      <c r="Y95" s="55">
        <f>IFERROR(IF(X95="",0,CEILING((X95/$H95),1)*$H95),"")</f>
        <v>105.3</v>
      </c>
      <c r="Z95" s="41">
        <f>IFERROR(IF(Y95=0,"",ROUNDUP(Y95/H95,0)*0.01898),"")</f>
        <v>0.24674000000000001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106.09876543209877</v>
      </c>
      <c r="BN95" s="78">
        <f>IFERROR(Y95*I95/H95,"0")</f>
        <v>111.72199999999999</v>
      </c>
      <c r="BO95" s="78">
        <f>IFERROR(1/J95*(X95/H95),"0")</f>
        <v>0.19290123456790123</v>
      </c>
      <c r="BP95" s="78">
        <f>IFERROR(1/J95*(Y95/H95),"0")</f>
        <v>0.203125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12.345679012345679</v>
      </c>
      <c r="Y99" s="43">
        <f>IFERROR(Y95/H95,"0")+IFERROR(Y96/H96,"0")+IFERROR(Y97/H97,"0")+IFERROR(Y98/H98,"0")</f>
        <v>13</v>
      </c>
      <c r="Z99" s="43">
        <f>IFERROR(IF(Z95="",0,Z95),"0")+IFERROR(IF(Z96="",0,Z96),"0")+IFERROR(IF(Z97="",0,Z97),"0")+IFERROR(IF(Z98="",0,Z98),"0")</f>
        <v>0.24674000000000001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100</v>
      </c>
      <c r="Y100" s="43">
        <f>IFERROR(SUM(Y95:Y98),"0")</f>
        <v>105.3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50</v>
      </c>
      <c r="Y103" s="55">
        <f t="shared" ref="Y103:Y108" si="5">IFERROR(IF(X103="",0,CEILING((X103/$H103),1)*$H103),"")</f>
        <v>54</v>
      </c>
      <c r="Z103" s="41">
        <f>IFERROR(IF(Y103=0,"",ROUNDUP(Y103/H103,0)*0.01898),"")</f>
        <v>9.4899999999999998E-2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51.898148148148145</v>
      </c>
      <c r="BN103" s="78">
        <f t="shared" ref="BN103:BN108" si="7">IFERROR(Y103*I103/H103,"0")</f>
        <v>56.05</v>
      </c>
      <c r="BO103" s="78">
        <f t="shared" ref="BO103:BO108" si="8">IFERROR(1/J103*(X103/H103),"0")</f>
        <v>7.2337962962962965E-2</v>
      </c>
      <c r="BP103" s="78">
        <f t="shared" ref="BP103:BP108" si="9">IFERROR(1/J103*(Y103/H103),"0")</f>
        <v>7.8125E-2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4.6296296296296298</v>
      </c>
      <c r="Y109" s="43">
        <f>IFERROR(Y103/H103,"0")+IFERROR(Y104/H104,"0")+IFERROR(Y105/H105,"0")+IFERROR(Y106/H106,"0")+IFERROR(Y107/H107,"0")+IFERROR(Y108/H108,"0")</f>
        <v>5</v>
      </c>
      <c r="Z109" s="43">
        <f>IFERROR(IF(Z103="",0,Z103),"0")+IFERROR(IF(Z104="",0,Z104),"0")+IFERROR(IF(Z105="",0,Z105),"0")+IFERROR(IF(Z106="",0,Z106),"0")+IFERROR(IF(Z107="",0,Z107),"0")+IFERROR(IF(Z108="",0,Z108),"0")</f>
        <v>9.4899999999999998E-2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50</v>
      </c>
      <c r="Y110" s="43">
        <f>IFERROR(SUM(Y103:Y108),"0")</f>
        <v>54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510</v>
      </c>
      <c r="Y120" s="55">
        <f>IFERROR(IF(X120="",0,CEILING((X120/$H120),1)*$H120),"")</f>
        <v>510.29999999999995</v>
      </c>
      <c r="Z120" s="41">
        <f>IFERROR(IF(Y120=0,"",ROUNDUP(Y120/H120,0)*0.01898),"")</f>
        <v>1.19574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540.72592592592582</v>
      </c>
      <c r="BN120" s="78">
        <f>IFERROR(Y120*I120/H120,"0")</f>
        <v>541.04399999999987</v>
      </c>
      <c r="BO120" s="78">
        <f>IFERROR(1/J120*(X120/H120),"0")</f>
        <v>0.98379629629629639</v>
      </c>
      <c r="BP120" s="78">
        <f>IFERROR(1/J120*(Y120/H120),"0")</f>
        <v>0.984375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62.962962962962969</v>
      </c>
      <c r="Y124" s="43">
        <f>IFERROR(Y120/H120,"0")+IFERROR(Y121/H121,"0")+IFERROR(Y122/H122,"0")+IFERROR(Y123/H123,"0")</f>
        <v>63</v>
      </c>
      <c r="Z124" s="43">
        <f>IFERROR(IF(Z120="",0,Z120),"0")+IFERROR(IF(Z121="",0,Z121),"0")+IFERROR(IF(Z122="",0,Z122),"0")+IFERROR(IF(Z123="",0,Z123),"0")</f>
        <v>1.19574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510</v>
      </c>
      <c r="Y125" s="43">
        <f>IFERROR(SUM(Y120:Y123),"0")</f>
        <v>510.29999999999995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50</v>
      </c>
      <c r="Y177" s="55">
        <f t="shared" ref="Y177:Y187" si="10">IFERROR(IF(X177="",0,CEILING((X177/$H177),1)*$H177),"")</f>
        <v>52.5</v>
      </c>
      <c r="Z177" s="41">
        <f>IFERROR(IF(Y177=0,"",ROUNDUP(Y177/H177,0)*0.00902),"")</f>
        <v>0.1353</v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52.714285714285715</v>
      </c>
      <c r="BN177" s="78">
        <f t="shared" ref="BN177:BN187" si="12">IFERROR(Y177*I177/H177,"0")</f>
        <v>55.35</v>
      </c>
      <c r="BO177" s="78">
        <f t="shared" ref="BO177:BO187" si="13">IFERROR(1/J177*(X177/H177),"0")</f>
        <v>0.10822510822510824</v>
      </c>
      <c r="BP177" s="78">
        <f t="shared" ref="BP177:BP187" si="14">IFERROR(1/J177*(Y177/H177),"0")</f>
        <v>0.11363636363636365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70</v>
      </c>
      <c r="Y179" s="55">
        <f t="shared" si="10"/>
        <v>70</v>
      </c>
      <c r="Z179" s="41">
        <f>IFERROR(IF(Y179=0,"",ROUNDUP(Y179/H179,0)*0.00902),"")</f>
        <v>0.1804</v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73.8</v>
      </c>
      <c r="BN179" s="78">
        <f t="shared" si="12"/>
        <v>73.8</v>
      </c>
      <c r="BO179" s="78">
        <f t="shared" si="13"/>
        <v>0.15151515151515152</v>
      </c>
      <c r="BP179" s="78">
        <f t="shared" si="14"/>
        <v>0.15151515151515152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34.285714285714285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35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0.31569999999999998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120</v>
      </c>
      <c r="Y189" s="43">
        <f>IFERROR(SUM(Y177:Y187),"0")</f>
        <v>122.5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60</v>
      </c>
      <c r="Y225" s="55">
        <f t="shared" si="21"/>
        <v>63</v>
      </c>
      <c r="Z225" s="41">
        <f>IFERROR(IF(Y225=0,"",ROUNDUP(Y225/H225,0)*0.00902),"")</f>
        <v>0.1353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62.714285714285708</v>
      </c>
      <c r="BN225" s="78">
        <f t="shared" si="23"/>
        <v>65.849999999999994</v>
      </c>
      <c r="BO225" s="78">
        <f t="shared" si="24"/>
        <v>0.10822510822510822</v>
      </c>
      <c r="BP225" s="78">
        <f t="shared" si="25"/>
        <v>0.11363636363636365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14.285714285714285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15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0.1353</v>
      </c>
      <c r="AA237" s="67"/>
      <c r="AB237" s="67"/>
      <c r="AC237" s="67"/>
    </row>
    <row r="238" spans="1:68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60</v>
      </c>
      <c r="Y238" s="43">
        <f>IFERROR(SUM(Y223:Y236),"0")</f>
        <v>63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40</v>
      </c>
      <c r="Y260" s="55">
        <f>IFERROR(IF(X260="",0,CEILING((X260/$H260),1)*$H260),"")</f>
        <v>40.5</v>
      </c>
      <c r="Z260" s="41">
        <f>IFERROR(IF(Y260=0,"",ROUNDUP(Y260/H260,0)*0.00651),"")</f>
        <v>9.7650000000000001E-2</v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42.666666666666657</v>
      </c>
      <c r="BN260" s="78">
        <f>IFERROR(Y260*I260/H260,"0")</f>
        <v>43.199999999999996</v>
      </c>
      <c r="BO260" s="78">
        <f>IFERROR(1/J260*(X260/H260),"0")</f>
        <v>8.1400081400081398E-2</v>
      </c>
      <c r="BP260" s="78">
        <f>IFERROR(1/J260*(Y260/H260),"0")</f>
        <v>8.2417582417582416E-2</v>
      </c>
    </row>
    <row r="261" spans="1:68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14.814814814814813</v>
      </c>
      <c r="Y261" s="43">
        <f>IFERROR(Y259/H259,"0")+IFERROR(Y260/H260,"0")</f>
        <v>14.999999999999998</v>
      </c>
      <c r="Z261" s="43">
        <f>IFERROR(IF(Z259="",0,Z259),"0")+IFERROR(IF(Z260="",0,Z260),"0")</f>
        <v>9.7650000000000001E-2</v>
      </c>
      <c r="AA261" s="67"/>
      <c r="AB261" s="67"/>
      <c r="AC261" s="67"/>
    </row>
    <row r="262" spans="1:68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40</v>
      </c>
      <c r="Y262" s="43">
        <f>IFERROR(SUM(Y259:Y260),"0")</f>
        <v>40.5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180</v>
      </c>
      <c r="Y269" s="55">
        <f t="shared" ref="Y269:Y276" si="27">IFERROR(IF(X269="",0,CEILING((X269/$H269),1)*$H269),"")</f>
        <v>183.60000000000002</v>
      </c>
      <c r="Z269" s="41">
        <f>IFERROR(IF(Y269=0,"",ROUNDUP(Y269/H269,0)*0.00902),"")</f>
        <v>0.30668000000000001</v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186.33333333333331</v>
      </c>
      <c r="BN269" s="78">
        <f t="shared" ref="BN269:BN276" si="29">IFERROR(Y269*I269/H269,"0")</f>
        <v>190.06</v>
      </c>
      <c r="BO269" s="78">
        <f t="shared" ref="BO269:BO276" si="30">IFERROR(1/J269*(X269/H269),"0")</f>
        <v>0.25252525252525249</v>
      </c>
      <c r="BP269" s="78">
        <f t="shared" ref="BP269:BP276" si="31">IFERROR(1/J269*(Y269/H269),"0")</f>
        <v>0.25757575757575757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140</v>
      </c>
      <c r="Y270" s="55">
        <f t="shared" si="27"/>
        <v>140.4</v>
      </c>
      <c r="Z270" s="41">
        <f>IFERROR(IF(Y270=0,"",ROUNDUP(Y270/H270,0)*0.00902),"")</f>
        <v>0.23452000000000001</v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144.92592592592592</v>
      </c>
      <c r="BN270" s="78">
        <f t="shared" si="29"/>
        <v>145.34</v>
      </c>
      <c r="BO270" s="78">
        <f t="shared" si="30"/>
        <v>0.19640852974186307</v>
      </c>
      <c r="BP270" s="78">
        <f t="shared" si="31"/>
        <v>0.19696969696969696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280</v>
      </c>
      <c r="Y271" s="55">
        <f t="shared" si="27"/>
        <v>280.8</v>
      </c>
      <c r="Z271" s="41">
        <f>IFERROR(IF(Y271=0,"",ROUNDUP(Y271/H271,0)*0.00902),"")</f>
        <v>0.46904000000000001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289.85185185185185</v>
      </c>
      <c r="BN271" s="78">
        <f t="shared" si="29"/>
        <v>290.68</v>
      </c>
      <c r="BO271" s="78">
        <f t="shared" si="30"/>
        <v>0.39281705948372614</v>
      </c>
      <c r="BP271" s="78">
        <f t="shared" si="31"/>
        <v>0.39393939393939392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300</v>
      </c>
      <c r="Y272" s="55">
        <f t="shared" si="27"/>
        <v>302.40000000000003</v>
      </c>
      <c r="Z272" s="41">
        <f>IFERROR(IF(Y272=0,"",ROUNDUP(Y272/H272,0)*0.00902),"")</f>
        <v>0.50512000000000001</v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310.55555555555554</v>
      </c>
      <c r="BN272" s="78">
        <f t="shared" si="29"/>
        <v>313.04000000000002</v>
      </c>
      <c r="BO272" s="78">
        <f t="shared" si="30"/>
        <v>0.42087542087542085</v>
      </c>
      <c r="BP272" s="78">
        <f t="shared" si="31"/>
        <v>0.42424242424242425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166.66666666666666</v>
      </c>
      <c r="Y277" s="43">
        <f>IFERROR(Y269/H269,"0")+IFERROR(Y270/H270,"0")+IFERROR(Y271/H271,"0")+IFERROR(Y272/H272,"0")+IFERROR(Y273/H273,"0")+IFERROR(Y274/H274,"0")+IFERROR(Y275/H275,"0")+IFERROR(Y276/H276,"0")</f>
        <v>168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1.51536</v>
      </c>
      <c r="AA277" s="67"/>
      <c r="AB277" s="67"/>
      <c r="AC277" s="67"/>
    </row>
    <row r="278" spans="1:68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900</v>
      </c>
      <c r="Y278" s="43">
        <f>IFERROR(SUM(Y269:Y276),"0")</f>
        <v>907.2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200</v>
      </c>
      <c r="Y282" s="55">
        <f t="shared" si="32"/>
        <v>200.1</v>
      </c>
      <c r="Z282" s="41">
        <f>IFERROR(IF(Y282=0,"",ROUNDUP(Y282/H282,0)*0.01898),"")</f>
        <v>0.43653999999999998</v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211.35632183908049</v>
      </c>
      <c r="BN282" s="78">
        <f t="shared" si="34"/>
        <v>211.46200000000005</v>
      </c>
      <c r="BO282" s="78">
        <f t="shared" si="35"/>
        <v>0.35919540229885061</v>
      </c>
      <c r="BP282" s="78">
        <f t="shared" si="36"/>
        <v>0.359375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120</v>
      </c>
      <c r="Y286" s="55">
        <f t="shared" si="32"/>
        <v>120</v>
      </c>
      <c r="Z286" s="41">
        <f>IFERROR(IF(Y286=0,"",ROUNDUP(Y286/H286,0)*0.00651),"")</f>
        <v>0.32550000000000001</v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132.60000000000002</v>
      </c>
      <c r="BN286" s="78">
        <f t="shared" si="34"/>
        <v>132.60000000000002</v>
      </c>
      <c r="BO286" s="78">
        <f t="shared" si="35"/>
        <v>0.27472527472527475</v>
      </c>
      <c r="BP286" s="78">
        <f t="shared" si="36"/>
        <v>0.27472527472527475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120</v>
      </c>
      <c r="Y289" s="55">
        <f t="shared" si="32"/>
        <v>120</v>
      </c>
      <c r="Z289" s="41">
        <f>IFERROR(IF(Y289=0,"",ROUNDUP(Y289/H289,0)*0.00651),"")</f>
        <v>0.32550000000000001</v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132.60000000000002</v>
      </c>
      <c r="BN289" s="78">
        <f t="shared" si="34"/>
        <v>132.60000000000002</v>
      </c>
      <c r="BO289" s="78">
        <f t="shared" si="35"/>
        <v>0.27472527472527475</v>
      </c>
      <c r="BP289" s="78">
        <f t="shared" si="36"/>
        <v>0.27472527472527475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120</v>
      </c>
      <c r="Y290" s="55">
        <f t="shared" si="32"/>
        <v>120</v>
      </c>
      <c r="Z290" s="41">
        <f>IFERROR(IF(Y290=0,"",ROUNDUP(Y290/H290,0)*0.00651),"")</f>
        <v>0.32550000000000001</v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132.9</v>
      </c>
      <c r="BN290" s="78">
        <f t="shared" si="34"/>
        <v>132.9</v>
      </c>
      <c r="BO290" s="78">
        <f t="shared" si="35"/>
        <v>0.27472527472527475</v>
      </c>
      <c r="BP290" s="78">
        <f t="shared" si="36"/>
        <v>0.27472527472527475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172.98850574712645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173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1.4130400000000001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560</v>
      </c>
      <c r="Y293" s="43">
        <f>IFERROR(SUM(Y280:Y291),"0")</f>
        <v>560.1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40</v>
      </c>
      <c r="Y295" s="55">
        <f>IFERROR(IF(X295="",0,CEILING((X295/$H295),1)*$H295),"")</f>
        <v>40.799999999999997</v>
      </c>
      <c r="Z295" s="41">
        <f>IFERROR(IF(Y295=0,"",ROUNDUP(Y295/H295,0)*0.00651),"")</f>
        <v>0.11067</v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44.20000000000001</v>
      </c>
      <c r="BN295" s="78">
        <f>IFERROR(Y295*I295/H295,"0")</f>
        <v>45.084000000000003</v>
      </c>
      <c r="BO295" s="78">
        <f>IFERROR(1/J295*(X295/H295),"0")</f>
        <v>9.1575091575091583E-2</v>
      </c>
      <c r="BP295" s="78">
        <f>IFERROR(1/J295*(Y295/H295),"0")</f>
        <v>9.3406593406593408E-2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16.666666666666668</v>
      </c>
      <c r="Y297" s="43">
        <f>IFERROR(Y295/H295,"0")+IFERROR(Y296/H296,"0")</f>
        <v>17</v>
      </c>
      <c r="Z297" s="43">
        <f>IFERROR(IF(Z295="",0,Z295),"0")+IFERROR(IF(Z296="",0,Z296),"0")</f>
        <v>0.11067</v>
      </c>
      <c r="AA297" s="67"/>
      <c r="AB297" s="67"/>
      <c r="AC297" s="67"/>
    </row>
    <row r="298" spans="1:68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40</v>
      </c>
      <c r="Y298" s="43">
        <f>IFERROR(SUM(Y295:Y296),"0")</f>
        <v>40.799999999999997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120</v>
      </c>
      <c r="Y328" s="55">
        <f>IFERROR(IF(X328="",0,CEILING((X328/$H328),1)*$H328),"")</f>
        <v>129.60000000000002</v>
      </c>
      <c r="Z328" s="41">
        <f>IFERROR(IF(Y328=0,"",ROUNDUP(Y328/H328,0)*0.01898),"")</f>
        <v>0.22776000000000002</v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124.55555555555556</v>
      </c>
      <c r="BN328" s="78">
        <f>IFERROR(Y328*I328/H328,"0")</f>
        <v>134.52000000000001</v>
      </c>
      <c r="BO328" s="78">
        <f>IFERROR(1/J328*(X328/H328),"0")</f>
        <v>0.1736111111111111</v>
      </c>
      <c r="BP328" s="78">
        <f>IFERROR(1/J328*(Y328/H328),"0")</f>
        <v>0.18750000000000003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11.111111111111111</v>
      </c>
      <c r="Y331" s="43">
        <f>IFERROR(Y326/H326,"0")+IFERROR(Y327/H327,"0")+IFERROR(Y328/H328,"0")+IFERROR(Y329/H329,"0")+IFERROR(Y330/H330,"0")</f>
        <v>12.000000000000002</v>
      </c>
      <c r="Z331" s="43">
        <f>IFERROR(IF(Z326="",0,Z326),"0")+IFERROR(IF(Z327="",0,Z327),"0")+IFERROR(IF(Z328="",0,Z328),"0")+IFERROR(IF(Z329="",0,Z329),"0")+IFERROR(IF(Z330="",0,Z330),"0")</f>
        <v>0.22776000000000002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120</v>
      </c>
      <c r="Y332" s="43">
        <f>IFERROR(SUM(Y326:Y330),"0")</f>
        <v>129.60000000000002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20</v>
      </c>
      <c r="Y357" s="55">
        <f>IFERROR(IF(X357="",0,CEILING((X357/$H357),1)*$H357),"")</f>
        <v>23.4</v>
      </c>
      <c r="Z357" s="41">
        <f>IFERROR(IF(Y357=0,"",ROUNDUP(Y357/H357,0)*0.01898),"")</f>
        <v>5.6940000000000004E-2</v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21.051282051282055</v>
      </c>
      <c r="BN357" s="78">
        <f>IFERROR(Y357*I357/H357,"0")</f>
        <v>24.630000000000003</v>
      </c>
      <c r="BO357" s="78">
        <f>IFERROR(1/J357*(X357/H357),"0")</f>
        <v>4.0064102564102567E-2</v>
      </c>
      <c r="BP357" s="78">
        <f>IFERROR(1/J357*(Y357/H357),"0")</f>
        <v>4.6875E-2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20</v>
      </c>
      <c r="Y358" s="55">
        <f>IFERROR(IF(X358="",0,CEILING((X358/$H358),1)*$H358),"")</f>
        <v>23.4</v>
      </c>
      <c r="Z358" s="41">
        <f>IFERROR(IF(Y358=0,"",ROUNDUP(Y358/H358,0)*0.01898),"")</f>
        <v>5.6940000000000004E-2</v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21.051282051282055</v>
      </c>
      <c r="BN358" s="78">
        <f>IFERROR(Y358*I358/H358,"0")</f>
        <v>24.630000000000003</v>
      </c>
      <c r="BO358" s="78">
        <f>IFERROR(1/J358*(X358/H358),"0")</f>
        <v>4.0064102564102567E-2</v>
      </c>
      <c r="BP358" s="78">
        <f>IFERROR(1/J358*(Y358/H358),"0")</f>
        <v>4.6875E-2</v>
      </c>
    </row>
    <row r="359" spans="1:68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5.1282051282051286</v>
      </c>
      <c r="Y359" s="43">
        <f>IFERROR(Y356/H356,"0")+IFERROR(Y357/H357,"0")+IFERROR(Y358/H358,"0")</f>
        <v>6</v>
      </c>
      <c r="Z359" s="43">
        <f>IFERROR(IF(Z356="",0,Z356),"0")+IFERROR(IF(Z357="",0,Z357),"0")+IFERROR(IF(Z358="",0,Z358),"0")</f>
        <v>0.11388000000000001</v>
      </c>
      <c r="AA359" s="67"/>
      <c r="AB359" s="67"/>
      <c r="AC359" s="67"/>
    </row>
    <row r="360" spans="1:68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40</v>
      </c>
      <c r="Y360" s="43">
        <f>IFERROR(SUM(Y356:Y358),"0")</f>
        <v>46.8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300</v>
      </c>
      <c r="Y363" s="55">
        <f t="shared" ref="Y363:Y368" si="42">IFERROR(IF(X363="",0,CEILING((X363/$H363),1)*$H363),"")</f>
        <v>302.40000000000003</v>
      </c>
      <c r="Z363" s="41">
        <f>IFERROR(IF(Y363=0,"",ROUNDUP(Y363/H363,0)*0.01898),"")</f>
        <v>0.53144000000000002</v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311.38888888888891</v>
      </c>
      <c r="BN363" s="78">
        <f t="shared" ref="BN363:BN368" si="44">IFERROR(Y363*I363/H363,"0")</f>
        <v>313.88</v>
      </c>
      <c r="BO363" s="78">
        <f t="shared" ref="BO363:BO368" si="45">IFERROR(1/J363*(X363/H363),"0")</f>
        <v>0.43402777777777773</v>
      </c>
      <c r="BP363" s="78">
        <f t="shared" ref="BP363:BP368" si="46">IFERROR(1/J363*(Y363/H363),"0")</f>
        <v>0.4375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40</v>
      </c>
      <c r="Y364" s="55">
        <f t="shared" si="42"/>
        <v>43.2</v>
      </c>
      <c r="Z364" s="41">
        <f>IFERROR(IF(Y364=0,"",ROUNDUP(Y364/H364,0)*0.01898),"")</f>
        <v>7.5920000000000001E-2</v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41.518518518518519</v>
      </c>
      <c r="BN364" s="78">
        <f t="shared" si="44"/>
        <v>44.84</v>
      </c>
      <c r="BO364" s="78">
        <f t="shared" si="45"/>
        <v>5.7870370370370364E-2</v>
      </c>
      <c r="BP364" s="78">
        <f t="shared" si="46"/>
        <v>6.25E-2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40</v>
      </c>
      <c r="Y365" s="55">
        <f t="shared" si="42"/>
        <v>43.2</v>
      </c>
      <c r="Z365" s="41">
        <f>IFERROR(IF(Y365=0,"",ROUNDUP(Y365/H365,0)*0.01898),"")</f>
        <v>7.5920000000000001E-2</v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41.518518518518519</v>
      </c>
      <c r="BN365" s="78">
        <f t="shared" si="44"/>
        <v>44.84</v>
      </c>
      <c r="BO365" s="78">
        <f t="shared" si="45"/>
        <v>5.7870370370370364E-2</v>
      </c>
      <c r="BP365" s="78">
        <f t="shared" si="46"/>
        <v>6.25E-2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35.185185185185183</v>
      </c>
      <c r="Y369" s="43">
        <f>IFERROR(Y363/H363,"0")+IFERROR(Y364/H364,"0")+IFERROR(Y365/H365,"0")+IFERROR(Y366/H366,"0")+IFERROR(Y367/H367,"0")+IFERROR(Y368/H368,"0")</f>
        <v>36</v>
      </c>
      <c r="Z369" s="43">
        <f>IFERROR(IF(Z363="",0,Z363),"0")+IFERROR(IF(Z364="",0,Z364),"0")+IFERROR(IF(Z365="",0,Z365),"0")+IFERROR(IF(Z366="",0,Z366),"0")+IFERROR(IF(Z367="",0,Z367),"0")+IFERROR(IF(Z368="",0,Z368),"0")</f>
        <v>0.68328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380</v>
      </c>
      <c r="Y370" s="43">
        <f>IFERROR(SUM(Y363:Y368),"0")</f>
        <v>388.8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40</v>
      </c>
      <c r="Y372" s="55">
        <f t="shared" ref="Y372:Y378" si="47">IFERROR(IF(X372="",0,CEILING((X372/$H372),1)*$H372),"")</f>
        <v>42</v>
      </c>
      <c r="Z372" s="41">
        <f>IFERROR(IF(Y372=0,"",ROUNDUP(Y372/H372,0)*0.00902),"")</f>
        <v>9.0200000000000002E-2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42.38095238095238</v>
      </c>
      <c r="BN372" s="78">
        <f t="shared" ref="BN372:BN378" si="49">IFERROR(Y372*I372/H372,"0")</f>
        <v>44.5</v>
      </c>
      <c r="BO372" s="78">
        <f t="shared" ref="BO372:BO378" si="50">IFERROR(1/J372*(X372/H372),"0")</f>
        <v>7.2150072150072145E-2</v>
      </c>
      <c r="BP372" s="78">
        <f t="shared" ref="BP372:BP378" si="51">IFERROR(1/J372*(Y372/H372),"0")</f>
        <v>7.575757575757576E-2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470</v>
      </c>
      <c r="Y373" s="55">
        <f t="shared" si="47"/>
        <v>470.40000000000003</v>
      </c>
      <c r="Z373" s="41">
        <f>IFERROR(IF(Y373=0,"",ROUNDUP(Y373/H373,0)*0.00902),"")</f>
        <v>1.01024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497.97619047619048</v>
      </c>
      <c r="BN373" s="78">
        <f t="shared" si="49"/>
        <v>498.40000000000003</v>
      </c>
      <c r="BO373" s="78">
        <f t="shared" si="50"/>
        <v>0.84776334776334772</v>
      </c>
      <c r="BP373" s="78">
        <f t="shared" si="51"/>
        <v>0.84848484848484851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121.42857142857142</v>
      </c>
      <c r="Y379" s="43">
        <f>IFERROR(Y372/H372,"0")+IFERROR(Y373/H373,"0")+IFERROR(Y374/H374,"0")+IFERROR(Y375/H375,"0")+IFERROR(Y376/H376,"0")+IFERROR(Y377/H377,"0")+IFERROR(Y378/H378,"0")</f>
        <v>122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1.1004400000000001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510</v>
      </c>
      <c r="Y380" s="43">
        <f>IFERROR(SUM(Y372:Y378),"0")</f>
        <v>512.40000000000009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2500</v>
      </c>
      <c r="Y382" s="55">
        <f>IFERROR(IF(X382="",0,CEILING((X382/$H382),1)*$H382),"")</f>
        <v>2503.7999999999997</v>
      </c>
      <c r="Z382" s="41">
        <f>IFERROR(IF(Y382=0,"",ROUNDUP(Y382/H382,0)*0.01898),"")</f>
        <v>6.0925799999999999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2656.4102564102564</v>
      </c>
      <c r="BN382" s="78">
        <f>IFERROR(Y382*I382/H382,"0")</f>
        <v>2660.4479999999999</v>
      </c>
      <c r="BO382" s="78">
        <f>IFERROR(1/J382*(X382/H382),"0")</f>
        <v>5.0080128205128203</v>
      </c>
      <c r="BP382" s="78">
        <f>IFERROR(1/J382*(Y382/H382),"0")</f>
        <v>5.015625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320.5128205128205</v>
      </c>
      <c r="Y386" s="43">
        <f>IFERROR(Y382/H382,"0")+IFERROR(Y383/H383,"0")+IFERROR(Y384/H384,"0")+IFERROR(Y385/H385,"0")</f>
        <v>321</v>
      </c>
      <c r="Z386" s="43">
        <f>IFERROR(IF(Z382="",0,Z382),"0")+IFERROR(IF(Z383="",0,Z383),"0")+IFERROR(IF(Z384="",0,Z384),"0")+IFERROR(IF(Z385="",0,Z385),"0")</f>
        <v>6.0925799999999999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2500</v>
      </c>
      <c r="Y387" s="43">
        <f>IFERROR(SUM(Y382:Y385),"0")</f>
        <v>2503.7999999999997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120</v>
      </c>
      <c r="Y389" s="55">
        <f>IFERROR(IF(X389="",0,CEILING((X389/$H389),1)*$H389),"")</f>
        <v>126</v>
      </c>
      <c r="Z389" s="41">
        <f>IFERROR(IF(Y389=0,"",ROUNDUP(Y389/H389,0)*0.01898),"")</f>
        <v>0.28470000000000001</v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127.05714285714285</v>
      </c>
      <c r="BN389" s="78">
        <f>IFERROR(Y389*I389/H389,"0")</f>
        <v>133.41</v>
      </c>
      <c r="BO389" s="78">
        <f>IFERROR(1/J389*(X389/H389),"0")</f>
        <v>0.2232142857142857</v>
      </c>
      <c r="BP389" s="78">
        <f>IFERROR(1/J389*(Y389/H389),"0")</f>
        <v>0.234375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360</v>
      </c>
      <c r="Y390" s="55">
        <f>IFERROR(IF(X390="",0,CEILING((X390/$H390),1)*$H390),"")</f>
        <v>366.59999999999997</v>
      </c>
      <c r="Z390" s="41">
        <f>IFERROR(IF(Y390=0,"",ROUNDUP(Y390/H390,0)*0.01898),"")</f>
        <v>0.89205999999999996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382.8</v>
      </c>
      <c r="BN390" s="78">
        <f>IFERROR(Y390*I390/H390,"0")</f>
        <v>389.81799999999998</v>
      </c>
      <c r="BO390" s="78">
        <f>IFERROR(1/J390*(X390/H390),"0")</f>
        <v>0.72115384615384615</v>
      </c>
      <c r="BP390" s="78">
        <f>IFERROR(1/J390*(Y390/H390),"0")</f>
        <v>0.734375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100</v>
      </c>
      <c r="Y391" s="55">
        <f>IFERROR(IF(X391="",0,CEILING((X391/$H391),1)*$H391),"")</f>
        <v>100.80000000000001</v>
      </c>
      <c r="Z391" s="41">
        <f>IFERROR(IF(Y391=0,"",ROUNDUP(Y391/H391,0)*0.01898),"")</f>
        <v>0.22776000000000002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105.88095238095238</v>
      </c>
      <c r="BN391" s="78">
        <f>IFERROR(Y391*I391/H391,"0")</f>
        <v>106.72800000000001</v>
      </c>
      <c r="BO391" s="78">
        <f>IFERROR(1/J391*(X391/H391),"0")</f>
        <v>0.18601190476190477</v>
      </c>
      <c r="BP391" s="78">
        <f>IFERROR(1/J391*(Y391/H391),"0")</f>
        <v>0.1875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72.344322344322336</v>
      </c>
      <c r="Y392" s="43">
        <f>IFERROR(Y389/H389,"0")+IFERROR(Y390/H390,"0")+IFERROR(Y391/H391,"0")</f>
        <v>74</v>
      </c>
      <c r="Z392" s="43">
        <f>IFERROR(IF(Z389="",0,Z389),"0")+IFERROR(IF(Z390="",0,Z390),"0")+IFERROR(IF(Z391="",0,Z391),"0")</f>
        <v>1.40452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580</v>
      </c>
      <c r="Y393" s="43">
        <f>IFERROR(SUM(Y389:Y391),"0")</f>
        <v>593.4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220</v>
      </c>
      <c r="Y415" s="55">
        <f>IFERROR(IF(X415="",0,CEILING((X415/$H415),1)*$H415),"")</f>
        <v>226.79999999999998</v>
      </c>
      <c r="Z415" s="41">
        <f>IFERROR(IF(Y415=0,"",ROUNDUP(Y415/H415,0)*0.01898),"")</f>
        <v>0.53144000000000002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233.41728395061727</v>
      </c>
      <c r="BN415" s="78">
        <f>IFERROR(Y415*I415/H415,"0")</f>
        <v>240.63199999999998</v>
      </c>
      <c r="BO415" s="78">
        <f>IFERROR(1/J415*(X415/H415),"0")</f>
        <v>0.42438271604938271</v>
      </c>
      <c r="BP415" s="78">
        <f>IFERROR(1/J415*(Y415/H415),"0")</f>
        <v>0.4375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8</v>
      </c>
      <c r="Y416" s="55">
        <f>IFERROR(IF(X416="",0,CEILING((X416/$H416),1)*$H416),"")</f>
        <v>8.4</v>
      </c>
      <c r="Z416" s="41">
        <f>IFERROR(IF(Y416=0,"",ROUNDUP(Y416/H416,0)*0.00651),"")</f>
        <v>2.6040000000000001E-2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8.9599999999999991</v>
      </c>
      <c r="BN416" s="78">
        <f>IFERROR(Y416*I416/H416,"0")</f>
        <v>9.4079999999999995</v>
      </c>
      <c r="BO416" s="78">
        <f>IFERROR(1/J416*(X416/H416),"0")</f>
        <v>2.0931449502878074E-2</v>
      </c>
      <c r="BP416" s="78">
        <f>IFERROR(1/J416*(Y416/H416),"0")</f>
        <v>2.197802197802198E-2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10</v>
      </c>
      <c r="Y417" s="55">
        <f>IFERROR(IF(X417="",0,CEILING((X417/$H417),1)*$H417),"")</f>
        <v>10.5</v>
      </c>
      <c r="Z417" s="41">
        <f>IFERROR(IF(Y417=0,"",ROUNDUP(Y417/H417,0)*0.00651),"")</f>
        <v>3.2550000000000003E-2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11.142857142857142</v>
      </c>
      <c r="BN417" s="78">
        <f>IFERROR(Y417*I417/H417,"0")</f>
        <v>11.7</v>
      </c>
      <c r="BO417" s="78">
        <f>IFERROR(1/J417*(X417/H417),"0")</f>
        <v>2.6164311878597593E-2</v>
      </c>
      <c r="BP417" s="78">
        <f>IFERROR(1/J417*(Y417/H417),"0")</f>
        <v>2.7472527472527476E-2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35.731922398589063</v>
      </c>
      <c r="Y418" s="43">
        <f>IFERROR(Y415/H415,"0")+IFERROR(Y416/H416,"0")+IFERROR(Y417/H417,"0")</f>
        <v>37</v>
      </c>
      <c r="Z418" s="43">
        <f>IFERROR(IF(Z415="",0,Z415),"0")+IFERROR(IF(Z416="",0,Z416),"0")+IFERROR(IF(Z417="",0,Z417),"0")</f>
        <v>0.59002999999999994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238</v>
      </c>
      <c r="Y419" s="43">
        <f>IFERROR(SUM(Y415:Y417),"0")</f>
        <v>245.7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750</v>
      </c>
      <c r="Y424" s="55">
        <f t="shared" si="52"/>
        <v>750</v>
      </c>
      <c r="Z424" s="41">
        <f>IFERROR(IF(Y424=0,"",ROUNDUP(Y424/H424,0)*0.02175),"")</f>
        <v>1.0874999999999999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773.5</v>
      </c>
      <c r="BN424" s="78">
        <f t="shared" si="54"/>
        <v>773.5</v>
      </c>
      <c r="BO424" s="78">
        <f t="shared" si="55"/>
        <v>1.0416666666666665</v>
      </c>
      <c r="BP424" s="78">
        <f t="shared" si="56"/>
        <v>1.0416666666666665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2000</v>
      </c>
      <c r="Y425" s="55">
        <f t="shared" si="52"/>
        <v>2010</v>
      </c>
      <c r="Z425" s="41">
        <f>IFERROR(IF(Y425=0,"",ROUNDUP(Y425/H425,0)*0.02175),"")</f>
        <v>2.9144999999999999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2062.6666666666665</v>
      </c>
      <c r="BN425" s="78">
        <f t="shared" si="54"/>
        <v>2072.98</v>
      </c>
      <c r="BO425" s="78">
        <f t="shared" si="55"/>
        <v>2.7777777777777777</v>
      </c>
      <c r="BP425" s="78">
        <f t="shared" si="56"/>
        <v>2.7916666666666665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1600</v>
      </c>
      <c r="Y427" s="55">
        <f t="shared" si="52"/>
        <v>1605</v>
      </c>
      <c r="Z427" s="41">
        <f>IFERROR(IF(Y427=0,"",ROUNDUP(Y427/H427,0)*0.02175),"")</f>
        <v>2.3272499999999998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1650.1333333333334</v>
      </c>
      <c r="BN427" s="78">
        <f t="shared" si="54"/>
        <v>1655.2900000000002</v>
      </c>
      <c r="BO427" s="78">
        <f t="shared" si="55"/>
        <v>2.2222222222222223</v>
      </c>
      <c r="BP427" s="78">
        <f t="shared" si="56"/>
        <v>2.2291666666666665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290</v>
      </c>
      <c r="Y431" s="43">
        <f>IFERROR(Y423/H423,"0")+IFERROR(Y424/H424,"0")+IFERROR(Y425/H425,"0")+IFERROR(Y426/H426,"0")+IFERROR(Y427/H427,"0")+IFERROR(Y428/H428,"0")+IFERROR(Y429/H429,"0")+IFERROR(Y430/H430,"0")</f>
        <v>291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6.32925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4350</v>
      </c>
      <c r="Y432" s="43">
        <f>IFERROR(SUM(Y423:Y430),"0")</f>
        <v>4365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1700</v>
      </c>
      <c r="Y434" s="55">
        <f>IFERROR(IF(X434="",0,CEILING((X434/$H434),1)*$H434),"")</f>
        <v>1710</v>
      </c>
      <c r="Z434" s="41">
        <f>IFERROR(IF(Y434=0,"",ROUNDUP(Y434/H434,0)*0.02175),"")</f>
        <v>2.4794999999999998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1753.2666666666667</v>
      </c>
      <c r="BN434" s="78">
        <f>IFERROR(Y434*I434/H434,"0")</f>
        <v>1763.5800000000002</v>
      </c>
      <c r="BO434" s="78">
        <f>IFERROR(1/J434*(X434/H434),"0")</f>
        <v>2.3611111111111107</v>
      </c>
      <c r="BP434" s="78">
        <f>IFERROR(1/J434*(Y434/H434),"0")</f>
        <v>2.375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113.33333333333333</v>
      </c>
      <c r="Y437" s="43">
        <f>IFERROR(Y434/H434,"0")+IFERROR(Y435/H435,"0")+IFERROR(Y436/H436,"0")</f>
        <v>114</v>
      </c>
      <c r="Z437" s="43">
        <f>IFERROR(IF(Z434="",0,Z434),"0")+IFERROR(IF(Z435="",0,Z435),"0")+IFERROR(IF(Z436="",0,Z436),"0")</f>
        <v>2.4794999999999998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1700</v>
      </c>
      <c r="Y438" s="43">
        <f>IFERROR(SUM(Y434:Y436),"0")</f>
        <v>1710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900</v>
      </c>
      <c r="Y440" s="55">
        <f>IFERROR(IF(X440="",0,CEILING((X440/$H440),1)*$H440),"")</f>
        <v>900</v>
      </c>
      <c r="Z440" s="41">
        <f>IFERROR(IF(Y440=0,"",ROUNDUP(Y440/H440,0)*0.01898),"")</f>
        <v>1.8980000000000001</v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950</v>
      </c>
      <c r="BN440" s="78">
        <f>IFERROR(Y440*I440/H440,"0")</f>
        <v>950</v>
      </c>
      <c r="BO440" s="78">
        <f>IFERROR(1/J440*(X440/H440),"0")</f>
        <v>1.5625</v>
      </c>
      <c r="BP440" s="78">
        <f>IFERROR(1/J440*(Y440/H440),"0")</f>
        <v>1.5625</v>
      </c>
    </row>
    <row r="441" spans="1:68" ht="27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230</v>
      </c>
      <c r="Y441" s="55">
        <f>IFERROR(IF(X441="",0,CEILING((X441/$H441),1)*$H441),"")</f>
        <v>234</v>
      </c>
      <c r="Z441" s="41">
        <f>IFERROR(IF(Y441=0,"",ROUNDUP(Y441/H441,0)*0.01898),"")</f>
        <v>0.49348000000000003</v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242.62444444444444</v>
      </c>
      <c r="BN441" s="78">
        <f>IFERROR(Y441*I441/H441,"0")</f>
        <v>246.84399999999999</v>
      </c>
      <c r="BO441" s="78">
        <f>IFERROR(1/J441*(X441/H441),"0")</f>
        <v>0.39930555555555558</v>
      </c>
      <c r="BP441" s="78">
        <f>IFERROR(1/J441*(Y441/H441),"0")</f>
        <v>0.40625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125.55555555555556</v>
      </c>
      <c r="Y443" s="43">
        <f>IFERROR(Y440/H440,"0")+IFERROR(Y441/H441,"0")+IFERROR(Y442/H442,"0")</f>
        <v>126</v>
      </c>
      <c r="Z443" s="43">
        <f>IFERROR(IF(Z440="",0,Z440),"0")+IFERROR(IF(Z441="",0,Z441),"0")+IFERROR(IF(Z442="",0,Z442),"0")</f>
        <v>2.3914800000000001</v>
      </c>
      <c r="AA443" s="67"/>
      <c r="AB443" s="67"/>
      <c r="AC443" s="67"/>
    </row>
    <row r="444" spans="1:68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1130</v>
      </c>
      <c r="Y444" s="43">
        <f>IFERROR(SUM(Y440:Y442),"0")</f>
        <v>1134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250</v>
      </c>
      <c r="Y447" s="55">
        <f>IFERROR(IF(X447="",0,CEILING((X447/$H447),1)*$H447),"")</f>
        <v>252</v>
      </c>
      <c r="Z447" s="41">
        <f>IFERROR(IF(Y447=0,"",ROUNDUP(Y447/H447,0)*0.01898),"")</f>
        <v>0.53144000000000002</v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263.72222222222223</v>
      </c>
      <c r="BN447" s="78">
        <f>IFERROR(Y447*I447/H447,"0")</f>
        <v>265.83199999999999</v>
      </c>
      <c r="BO447" s="78">
        <f>IFERROR(1/J447*(X447/H447),"0")</f>
        <v>0.43402777777777779</v>
      </c>
      <c r="BP447" s="78">
        <f>IFERROR(1/J447*(Y447/H447),"0")</f>
        <v>0.4375</v>
      </c>
    </row>
    <row r="448" spans="1:68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27.777777777777779</v>
      </c>
      <c r="Y448" s="43">
        <f>IFERROR(Y446/H446,"0")+IFERROR(Y447/H447,"0")</f>
        <v>28</v>
      </c>
      <c r="Z448" s="43">
        <f>IFERROR(IF(Z446="",0,Z446),"0")+IFERROR(IF(Z447="",0,Z447),"0")</f>
        <v>0.53144000000000002</v>
      </c>
      <c r="AA448" s="67"/>
      <c r="AB448" s="67"/>
      <c r="AC448" s="67"/>
    </row>
    <row r="449" spans="1:68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250</v>
      </c>
      <c r="Y449" s="43">
        <f>IFERROR(SUM(Y446:Y447),"0")</f>
        <v>252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60</v>
      </c>
      <c r="Y452" s="55">
        <f>IFERROR(IF(X452="",0,CEILING((X452/$H452),1)*$H452),"")</f>
        <v>60</v>
      </c>
      <c r="Z452" s="41">
        <f>IFERROR(IF(Y452=0,"",ROUNDUP(Y452/H452,0)*0.01898),"")</f>
        <v>9.4899999999999998E-2</v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62.050000000000004</v>
      </c>
      <c r="BN452" s="78">
        <f>IFERROR(Y452*I452/H452,"0")</f>
        <v>62.050000000000004</v>
      </c>
      <c r="BO452" s="78">
        <f>IFERROR(1/J452*(X452/H452),"0")</f>
        <v>7.8125E-2</v>
      </c>
      <c r="BP452" s="78">
        <f>IFERROR(1/J452*(Y452/H452),"0")</f>
        <v>7.8125E-2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5</v>
      </c>
      <c r="Y454" s="43">
        <f>IFERROR(Y452/H452,"0")+IFERROR(Y453/H453,"0")</f>
        <v>5</v>
      </c>
      <c r="Z454" s="43">
        <f>IFERROR(IF(Z452="",0,Z452),"0")+IFERROR(IF(Z453="",0,Z453),"0")</f>
        <v>9.4899999999999998E-2</v>
      </c>
      <c r="AA454" s="67"/>
      <c r="AB454" s="67"/>
      <c r="AC454" s="67"/>
    </row>
    <row r="455" spans="1:68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60</v>
      </c>
      <c r="Y455" s="43">
        <f>IFERROR(SUM(Y452:Y453),"0")</f>
        <v>60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460</v>
      </c>
      <c r="Y461" s="55">
        <f>IFERROR(IF(X461="",0,CEILING((X461/$H461),1)*$H461),"")</f>
        <v>468</v>
      </c>
      <c r="Z461" s="41">
        <f>IFERROR(IF(Y461=0,"",ROUNDUP(Y461/H461,0)*0.01898),"")</f>
        <v>0.98696000000000006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485.24888888888887</v>
      </c>
      <c r="BN461" s="78">
        <f>IFERROR(Y461*I461/H461,"0")</f>
        <v>493.68799999999999</v>
      </c>
      <c r="BO461" s="78">
        <f>IFERROR(1/J461*(X461/H461),"0")</f>
        <v>0.79861111111111116</v>
      </c>
      <c r="BP461" s="78">
        <f>IFERROR(1/J461*(Y461/H461),"0")</f>
        <v>0.8125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51.111111111111114</v>
      </c>
      <c r="Y464" s="43">
        <f>IFERROR(Y461/H461,"0")+IFERROR(Y462/H462,"0")+IFERROR(Y463/H463,"0")</f>
        <v>52</v>
      </c>
      <c r="Z464" s="43">
        <f>IFERROR(IF(Z461="",0,Z461),"0")+IFERROR(IF(Z462="",0,Z462),"0")+IFERROR(IF(Z463="",0,Z463),"0")</f>
        <v>0.98696000000000006</v>
      </c>
      <c r="AA464" s="67"/>
      <c r="AB464" s="67"/>
      <c r="AC464" s="67"/>
    </row>
    <row r="465" spans="1:68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460</v>
      </c>
      <c r="Y465" s="43">
        <f>IFERROR(SUM(Y461:Y463),"0")</f>
        <v>468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52</v>
      </c>
      <c r="Y469" s="55">
        <f t="shared" ref="Y469:Y474" si="57">IFERROR(IF(X469="",0,CEILING((X469/$H469),1)*$H469),"")</f>
        <v>54</v>
      </c>
      <c r="Z469" s="41">
        <f>IFERROR(IF(Y469=0,"",ROUNDUP(Y469/H469,0)*0.00902),"")</f>
        <v>9.0200000000000002E-2</v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53.829629629629629</v>
      </c>
      <c r="BN469" s="78">
        <f t="shared" ref="BN469:BN474" si="59">IFERROR(Y469*I469/H469,"0")</f>
        <v>55.9</v>
      </c>
      <c r="BO469" s="78">
        <f t="shared" ref="BO469:BO474" si="60">IFERROR(1/J469*(X469/H469),"0")</f>
        <v>7.2951739618406286E-2</v>
      </c>
      <c r="BP469" s="78">
        <f t="shared" ref="BP469:BP474" si="61">IFERROR(1/J469*(Y469/H469),"0")</f>
        <v>7.575757575757576E-2</v>
      </c>
    </row>
    <row r="470" spans="1:68" ht="27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100</v>
      </c>
      <c r="Y470" s="55">
        <f t="shared" si="57"/>
        <v>102.60000000000001</v>
      </c>
      <c r="Z470" s="41">
        <f>IFERROR(IF(Y470=0,"",ROUNDUP(Y470/H470,0)*0.00902),"")</f>
        <v>0.17138</v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103.5185185185185</v>
      </c>
      <c r="BN470" s="78">
        <f t="shared" si="59"/>
        <v>106.21</v>
      </c>
      <c r="BO470" s="78">
        <f t="shared" si="60"/>
        <v>0.14029180695847362</v>
      </c>
      <c r="BP470" s="78">
        <f t="shared" si="61"/>
        <v>0.14393939393939395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28.148148148148149</v>
      </c>
      <c r="Y475" s="43">
        <f>IFERROR(Y469/H469,"0")+IFERROR(Y470/H470,"0")+IFERROR(Y471/H471,"0")+IFERROR(Y472/H472,"0")+IFERROR(Y473/H473,"0")+IFERROR(Y474/H474,"0")</f>
        <v>29</v>
      </c>
      <c r="Z475" s="43">
        <f>IFERROR(IF(Z469="",0,Z469),"0")+IFERROR(IF(Z470="",0,Z470),"0")+IFERROR(IF(Z471="",0,Z471),"0")+IFERROR(IF(Z472="",0,Z472),"0")+IFERROR(IF(Z473="",0,Z473),"0")+IFERROR(IF(Z474="",0,Z474),"0")</f>
        <v>0.26158000000000003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152</v>
      </c>
      <c r="Y476" s="43">
        <f>IFERROR(SUM(Y469:Y474),"0")</f>
        <v>156.60000000000002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100</v>
      </c>
      <c r="Y488" s="55">
        <f>IFERROR(IF(X488="",0,CEILING((X488/$H488),1)*$H488),"")</f>
        <v>102.60000000000001</v>
      </c>
      <c r="Z488" s="41">
        <f>IFERROR(IF(Y488=0,"",ROUNDUP(Y488/H488,0)*0.00902),"")</f>
        <v>0.17138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103.5185185185185</v>
      </c>
      <c r="BN488" s="78">
        <f>IFERROR(Y488*I488/H488,"0")</f>
        <v>106.21</v>
      </c>
      <c r="BO488" s="78">
        <f>IFERROR(1/J488*(X488/H488),"0")</f>
        <v>0.14029180695847362</v>
      </c>
      <c r="BP488" s="78">
        <f>IFERROR(1/J488*(Y488/H488),"0")</f>
        <v>0.14393939393939395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18.518518518518519</v>
      </c>
      <c r="Y491" s="43">
        <f>IFERROR(Y488/H488,"0")+IFERROR(Y489/H489,"0")+IFERROR(Y490/H490,"0")</f>
        <v>19</v>
      </c>
      <c r="Z491" s="43">
        <f>IFERROR(IF(Z488="",0,Z488),"0")+IFERROR(IF(Z489="",0,Z489),"0")+IFERROR(IF(Z490="",0,Z490),"0")</f>
        <v>0.17138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100</v>
      </c>
      <c r="Y492" s="43">
        <f>IFERROR(SUM(Y488:Y490),"0")</f>
        <v>102.60000000000001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120</v>
      </c>
      <c r="Y499" s="55">
        <f t="shared" si="62"/>
        <v>121.44000000000001</v>
      </c>
      <c r="Z499" s="41">
        <f t="shared" si="63"/>
        <v>0.27507999999999999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127.95454545454545</v>
      </c>
      <c r="BN499" s="78">
        <f t="shared" si="65"/>
        <v>129.49</v>
      </c>
      <c r="BO499" s="78">
        <f t="shared" si="66"/>
        <v>0.21853146853146854</v>
      </c>
      <c r="BP499" s="78">
        <f t="shared" si="67"/>
        <v>0.22115384615384617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200</v>
      </c>
      <c r="Y501" s="55">
        <f t="shared" si="62"/>
        <v>200.64000000000001</v>
      </c>
      <c r="Z501" s="41">
        <f t="shared" si="63"/>
        <v>0.45448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213.25757575757575</v>
      </c>
      <c r="BN501" s="78">
        <f t="shared" si="65"/>
        <v>213.94</v>
      </c>
      <c r="BO501" s="78">
        <f t="shared" si="66"/>
        <v>0.36421911421911418</v>
      </c>
      <c r="BP501" s="78">
        <f t="shared" si="67"/>
        <v>0.36538461538461542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60.606060606060602</v>
      </c>
      <c r="Y505" s="43">
        <f>IFERROR(Y496/H496,"0")+IFERROR(Y497/H497,"0")+IFERROR(Y498/H498,"0")+IFERROR(Y499/H499,"0")+IFERROR(Y500/H500,"0")+IFERROR(Y501/H501,"0")+IFERROR(Y502/H502,"0")+IFERROR(Y503/H503,"0")+IFERROR(Y504/H504,"0")</f>
        <v>61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0.72955999999999999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320</v>
      </c>
      <c r="Y506" s="43">
        <f>IFERROR(SUM(Y496:Y504),"0")</f>
        <v>322.08000000000004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170</v>
      </c>
      <c r="Y508" s="55">
        <f>IFERROR(IF(X508="",0,CEILING((X508/$H508),1)*$H508),"")</f>
        <v>174.24</v>
      </c>
      <c r="Z508" s="41">
        <f>IFERROR(IF(Y508=0,"",ROUNDUP(Y508/H508,0)*0.01196),"")</f>
        <v>0.39468000000000003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181.26893939393938</v>
      </c>
      <c r="BN508" s="78">
        <f>IFERROR(Y508*I508/H508,"0")</f>
        <v>185.79</v>
      </c>
      <c r="BO508" s="78">
        <f>IFERROR(1/J508*(X508/H508),"0")</f>
        <v>0.3095862470862471</v>
      </c>
      <c r="BP508" s="78">
        <f>IFERROR(1/J508*(Y508/H508),"0")</f>
        <v>0.31730769230769235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32.196969696969695</v>
      </c>
      <c r="Y511" s="43">
        <f>IFERROR(Y508/H508,"0")+IFERROR(Y509/H509,"0")+IFERROR(Y510/H510,"0")</f>
        <v>33</v>
      </c>
      <c r="Z511" s="43">
        <f>IFERROR(IF(Z508="",0,Z508),"0")+IFERROR(IF(Z509="",0,Z509),"0")+IFERROR(IF(Z510="",0,Z510),"0")</f>
        <v>0.39468000000000003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170</v>
      </c>
      <c r="Y512" s="43">
        <f>IFERROR(SUM(Y508:Y510),"0")</f>
        <v>174.24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50</v>
      </c>
      <c r="Y514" s="55">
        <f t="shared" ref="Y514:Y520" si="68">IFERROR(IF(X514="",0,CEILING((X514/$H514),1)*$H514),"")</f>
        <v>52.800000000000004</v>
      </c>
      <c r="Z514" s="41">
        <f>IFERROR(IF(Y514=0,"",ROUNDUP(Y514/H514,0)*0.01196),"")</f>
        <v>0.1196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53.314393939393938</v>
      </c>
      <c r="BN514" s="78">
        <f t="shared" ref="BN514:BN520" si="70">IFERROR(Y514*I514/H514,"0")</f>
        <v>56.3</v>
      </c>
      <c r="BO514" s="78">
        <f t="shared" ref="BO514:BO520" si="71">IFERROR(1/J514*(X514/H514),"0")</f>
        <v>9.1054778554778545E-2</v>
      </c>
      <c r="BP514" s="78">
        <f t="shared" ref="BP514:BP520" si="72">IFERROR(1/J514*(Y514/H514),"0")</f>
        <v>9.6153846153846159E-2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65</v>
      </c>
      <c r="Y515" s="55">
        <f t="shared" si="68"/>
        <v>68.64</v>
      </c>
      <c r="Z515" s="41">
        <f>IFERROR(IF(Y515=0,"",ROUNDUP(Y515/H515,0)*0.01196),"")</f>
        <v>0.15548000000000001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69.30871212121211</v>
      </c>
      <c r="BN515" s="78">
        <f t="shared" si="70"/>
        <v>73.19</v>
      </c>
      <c r="BO515" s="78">
        <f t="shared" si="71"/>
        <v>0.11837121212121213</v>
      </c>
      <c r="BP515" s="78">
        <f t="shared" si="72"/>
        <v>0.125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60</v>
      </c>
      <c r="Y516" s="55">
        <f t="shared" si="68"/>
        <v>63.36</v>
      </c>
      <c r="Z516" s="41">
        <f>IFERROR(IF(Y516=0,"",ROUNDUP(Y516/H516,0)*0.01196),"")</f>
        <v>0.14352000000000001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63.977272727272727</v>
      </c>
      <c r="BN516" s="78">
        <f t="shared" si="70"/>
        <v>67.559999999999988</v>
      </c>
      <c r="BO516" s="78">
        <f t="shared" si="71"/>
        <v>0.10926573426573427</v>
      </c>
      <c r="BP516" s="78">
        <f t="shared" si="72"/>
        <v>0.11538461538461539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33.143939393939391</v>
      </c>
      <c r="Y521" s="43">
        <f>IFERROR(Y514/H514,"0")+IFERROR(Y515/H515,"0")+IFERROR(Y516/H516,"0")+IFERROR(Y517/H517,"0")+IFERROR(Y518/H518,"0")+IFERROR(Y519/H519,"0")+IFERROR(Y520/H520,"0")</f>
        <v>35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0.41859999999999997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175</v>
      </c>
      <c r="Y522" s="43">
        <f>IFERROR(SUM(Y514:Y520),"0")</f>
        <v>184.8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120</v>
      </c>
      <c r="Y526" s="55">
        <f>IFERROR(IF(X526="",0,CEILING((X526/$H526),1)*$H526),"")</f>
        <v>120</v>
      </c>
      <c r="Z526" s="41">
        <f>IFERROR(IF(Y526=0,"",ROUNDUP(Y526/H526,0)*0.01898),"")</f>
        <v>0.1898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124.10000000000001</v>
      </c>
      <c r="BN526" s="78">
        <f>IFERROR(Y526*I526/H526,"0")</f>
        <v>124.10000000000001</v>
      </c>
      <c r="BO526" s="78">
        <f>IFERROR(1/J526*(X526/H526),"0")</f>
        <v>0.15625</v>
      </c>
      <c r="BP526" s="78">
        <f>IFERROR(1/J526*(Y526/H526),"0")</f>
        <v>0.15625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10</v>
      </c>
      <c r="Y527" s="43">
        <f>IFERROR(Y526/H526,"0")</f>
        <v>10</v>
      </c>
      <c r="Z527" s="43">
        <f>IFERROR(IF(Z526="",0,Z526),"0")</f>
        <v>0.1898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120</v>
      </c>
      <c r="Y528" s="43">
        <f>IFERROR(SUM(Y526:Y526),"0")</f>
        <v>120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250</v>
      </c>
      <c r="Y534" s="55">
        <f>IFERROR(IF(X534="",0,CEILING((X534/$H534),1)*$H534),"")</f>
        <v>252</v>
      </c>
      <c r="Z534" s="41">
        <f>IFERROR(IF(Y534=0,"",ROUNDUP(Y534/H534,0)*0.00902),"")</f>
        <v>0.54120000000000001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264.88095238095235</v>
      </c>
      <c r="BN534" s="78">
        <f>IFERROR(Y534*I534/H534,"0")</f>
        <v>267</v>
      </c>
      <c r="BO534" s="78">
        <f>IFERROR(1/J534*(X534/H534),"0")</f>
        <v>0.45093795093795092</v>
      </c>
      <c r="BP534" s="78">
        <f>IFERROR(1/J534*(Y534/H534),"0")</f>
        <v>0.45454545454545459</v>
      </c>
    </row>
    <row r="535" spans="1:68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59.523809523809518</v>
      </c>
      <c r="Y535" s="43">
        <f>IFERROR(Y534/H534,"0")</f>
        <v>60</v>
      </c>
      <c r="Z535" s="43">
        <f>IFERROR(IF(Z534="",0,Z534),"0")</f>
        <v>0.54120000000000001</v>
      </c>
      <c r="AA535" s="67"/>
      <c r="AB535" s="67"/>
      <c r="AC535" s="67"/>
    </row>
    <row r="536" spans="1:68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250</v>
      </c>
      <c r="Y536" s="43">
        <f>IFERROR(SUM(Y534:Y534),"0")</f>
        <v>252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18006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18176.620000000003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18844.173366985284</v>
      </c>
      <c r="Y552" s="43">
        <f>IFERROR(SUM(BN22:BN548),"0")</f>
        <v>19022.919999999995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30</v>
      </c>
      <c r="Y553" s="44">
        <f>ROUNDUP(SUM(BP22:BP548),0)</f>
        <v>30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19594.173366985284</v>
      </c>
      <c r="Y554" s="43">
        <f>GrossWeightTotalR+PalletQtyTotalR*25</f>
        <v>19772.919999999995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2149.2373340792878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2172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34.519730000000003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1892.7</v>
      </c>
      <c r="F561" s="52">
        <f>IFERROR(Y88*1,"0")+IFERROR(Y89*1,"0")+IFERROR(Y90*1,"0")+IFERROR(Y91*1,"0")+IFERROR(Y95*1,"0")+IFERROR(Y96*1,"0")+IFERROR(Y97*1,"0")+IFERROR(Y98*1,"0")</f>
        <v>263.7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564.29999999999995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122.5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63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1548.6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129.60000000000002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46.8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3998.4</v>
      </c>
      <c r="U561" s="52">
        <f>IFERROR(Y415*1,"0")+IFERROR(Y416*1,"0")+IFERROR(Y417*1,"0")</f>
        <v>245.7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7461</v>
      </c>
      <c r="W561" s="52">
        <f>IFERROR(Y452*1,"0")+IFERROR(Y453*1,"0")+IFERROR(Y457*1,"0")+IFERROR(Y461*1,"0")+IFERROR(Y462*1,"0")+IFERROR(Y463*1,"0")</f>
        <v>528</v>
      </c>
      <c r="X561" s="52">
        <f>IFERROR(Y469*1,"0")+IFERROR(Y470*1,"0")+IFERROR(Y471*1,"0")+IFERROR(Y472*1,"0")+IFERROR(Y473*1,"0")+IFERROR(Y474*1,"0")+IFERROR(Y478*1,"0")+IFERROR(Y479*1,"0")</f>
        <v>156.60000000000002</v>
      </c>
      <c r="Y561" s="52">
        <f>IFERROR(Y484*1,"0")+IFERROR(Y488*1,"0")+IFERROR(Y489*1,"0")+IFERROR(Y490*1,"0")</f>
        <v>102.60000000000001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681.12</v>
      </c>
      <c r="AA561" s="52">
        <f>IFERROR(Y526*1,"0")+IFERROR(Y530*1,"0")+IFERROR(Y534*1,"0")+IFERROR(Y538*1,"0")+IFERROR(Y542*1,"0")+IFERROR(Y543*1,"0")</f>
        <v>372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30,00"/>
        <filter val="1 300,00"/>
        <filter val="1 306,00"/>
        <filter val="1 600,00"/>
        <filter val="1 700,00"/>
        <filter val="10,00"/>
        <filter val="100,00"/>
        <filter val="11,11"/>
        <filter val="113,33"/>
        <filter val="12,35"/>
        <filter val="120,00"/>
        <filter val="121,43"/>
        <filter val="122,59"/>
        <filter val="125,56"/>
        <filter val="130,00"/>
        <filter val="14,29"/>
        <filter val="14,81"/>
        <filter val="140,00"/>
        <filter val="145,00"/>
        <filter val="15,00"/>
        <filter val="15,37"/>
        <filter val="152,00"/>
        <filter val="16,67"/>
        <filter val="166,67"/>
        <filter val="170,00"/>
        <filter val="172,99"/>
        <filter val="175,00"/>
        <filter val="18 006,00"/>
        <filter val="18 844,17"/>
        <filter val="18,52"/>
        <filter val="180,00"/>
        <filter val="19 594,17"/>
        <filter val="2 000,00"/>
        <filter val="2 149,24"/>
        <filter val="2 500,00"/>
        <filter val="20,00"/>
        <filter val="200,00"/>
        <filter val="220,00"/>
        <filter val="230,00"/>
        <filter val="238,00"/>
        <filter val="250,00"/>
        <filter val="27,78"/>
        <filter val="28,15"/>
        <filter val="280,00"/>
        <filter val="290,00"/>
        <filter val="30"/>
        <filter val="300,00"/>
        <filter val="32,20"/>
        <filter val="320,00"/>
        <filter val="320,51"/>
        <filter val="33,14"/>
        <filter val="34,29"/>
        <filter val="35,19"/>
        <filter val="35,73"/>
        <filter val="360,00"/>
        <filter val="380,00"/>
        <filter val="4 350,00"/>
        <filter val="4,63"/>
        <filter val="40,00"/>
        <filter val="46,30"/>
        <filter val="460,00"/>
        <filter val="470,00"/>
        <filter val="5,00"/>
        <filter val="5,13"/>
        <filter val="50,00"/>
        <filter val="500,00"/>
        <filter val="51,11"/>
        <filter val="510,00"/>
        <filter val="52,00"/>
        <filter val="560,00"/>
        <filter val="580,00"/>
        <filter val="59,52"/>
        <filter val="6,00"/>
        <filter val="60,00"/>
        <filter val="60,61"/>
        <filter val="62,96"/>
        <filter val="65,00"/>
        <filter val="70,00"/>
        <filter val="72,34"/>
        <filter val="750,00"/>
        <filter val="8,00"/>
        <filter val="8,97"/>
        <filter val="900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2026-08-04T10:16:14Z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