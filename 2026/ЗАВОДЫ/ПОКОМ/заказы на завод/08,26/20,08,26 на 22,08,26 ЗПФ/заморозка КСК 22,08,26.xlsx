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769C3D7-B270-48DD-AB09-AB8609FDEF2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BN247" i="2" s="1"/>
  <c r="P247" i="2"/>
  <c r="Y245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BN216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P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BN172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N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N95" i="2" s="1"/>
  <c r="P95" i="2"/>
  <c r="BO94" i="2"/>
  <c r="BN94" i="2"/>
  <c r="BM94" i="2"/>
  <c r="Z94" i="2"/>
  <c r="Y94" i="2"/>
  <c r="BP94" i="2" s="1"/>
  <c r="P94" i="2"/>
  <c r="X91" i="2"/>
  <c r="X90" i="2"/>
  <c r="BO89" i="2"/>
  <c r="BM89" i="2"/>
  <c r="Z89" i="2"/>
  <c r="Y89" i="2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N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10" i="2" s="1"/>
  <c r="D7" i="2"/>
  <c r="Q6" i="2"/>
  <c r="P2" i="2"/>
  <c r="Z106" i="2" l="1"/>
  <c r="BN130" i="2"/>
  <c r="BP243" i="2"/>
  <c r="Z255" i="2"/>
  <c r="BN273" i="2"/>
  <c r="BP191" i="2"/>
  <c r="Y164" i="2"/>
  <c r="Y195" i="2"/>
  <c r="BN277" i="2"/>
  <c r="Z265" i="2"/>
  <c r="BN243" i="2"/>
  <c r="Y235" i="2"/>
  <c r="BP233" i="2"/>
  <c r="BP221" i="2"/>
  <c r="Z212" i="2"/>
  <c r="Z180" i="2"/>
  <c r="Y163" i="2"/>
  <c r="Z146" i="2"/>
  <c r="BP139" i="2"/>
  <c r="Z140" i="2"/>
  <c r="BP133" i="2"/>
  <c r="Y134" i="2"/>
  <c r="Y123" i="2"/>
  <c r="BP121" i="2"/>
  <c r="Z118" i="2"/>
  <c r="BP105" i="2"/>
  <c r="Z100" i="2"/>
  <c r="BP95" i="2"/>
  <c r="BP88" i="2"/>
  <c r="Z79" i="2"/>
  <c r="Y74" i="2"/>
  <c r="Y68" i="2"/>
  <c r="Z67" i="2"/>
  <c r="X284" i="2"/>
  <c r="Z57" i="2"/>
  <c r="Y44" i="2"/>
  <c r="Z36" i="2"/>
  <c r="BP29" i="2"/>
  <c r="BP22" i="2"/>
  <c r="X281" i="2"/>
  <c r="BP35" i="2"/>
  <c r="X280" i="2"/>
  <c r="Z43" i="2"/>
  <c r="Z49" i="2"/>
  <c r="BP53" i="2"/>
  <c r="Z73" i="2"/>
  <c r="BP78" i="2"/>
  <c r="BP98" i="2"/>
  <c r="Y107" i="2"/>
  <c r="BP115" i="2"/>
  <c r="Y141" i="2"/>
  <c r="Y146" i="2"/>
  <c r="Y174" i="2"/>
  <c r="Z194" i="2"/>
  <c r="BP199" i="2"/>
  <c r="Y201" i="2"/>
  <c r="BP204" i="2"/>
  <c r="Y213" i="2"/>
  <c r="BN221" i="2"/>
  <c r="Y222" i="2"/>
  <c r="Y265" i="2"/>
  <c r="BN274" i="2"/>
  <c r="Y37" i="2"/>
  <c r="Y57" i="2"/>
  <c r="BP71" i="2"/>
  <c r="Y80" i="2"/>
  <c r="Y90" i="2"/>
  <c r="Y101" i="2"/>
  <c r="Y106" i="2"/>
  <c r="BN121" i="2"/>
  <c r="Z134" i="2"/>
  <c r="Y140" i="2"/>
  <c r="Y158" i="2"/>
  <c r="BP162" i="2"/>
  <c r="Y173" i="2"/>
  <c r="Y181" i="2"/>
  <c r="BN211" i="2"/>
  <c r="Y212" i="2"/>
  <c r="BN253" i="2"/>
  <c r="Y255" i="2"/>
  <c r="Y278" i="2"/>
  <c r="X282" i="2"/>
  <c r="Z30" i="2"/>
  <c r="BN28" i="2"/>
  <c r="Y36" i="2"/>
  <c r="Y58" i="2"/>
  <c r="Y79" i="2"/>
  <c r="Z90" i="2"/>
  <c r="Y119" i="2"/>
  <c r="Y135" i="2"/>
  <c r="Z152" i="2"/>
  <c r="Z158" i="2"/>
  <c r="BN184" i="2"/>
  <c r="BN199" i="2"/>
  <c r="Z278" i="2"/>
  <c r="BP25" i="2"/>
  <c r="Y147" i="2"/>
  <c r="BP172" i="2"/>
  <c r="Z206" i="2"/>
  <c r="BN233" i="2"/>
  <c r="Y260" i="2"/>
  <c r="Y266" i="2"/>
  <c r="BP270" i="2"/>
  <c r="BN66" i="2"/>
  <c r="BN47" i="2"/>
  <c r="BP66" i="2"/>
  <c r="BN54" i="2"/>
  <c r="BP26" i="2"/>
  <c r="BN89" i="2"/>
  <c r="BP54" i="2"/>
  <c r="Y206" i="2"/>
  <c r="BP262" i="2"/>
  <c r="BN268" i="2"/>
  <c r="Y31" i="2"/>
  <c r="BN96" i="2"/>
  <c r="BN131" i="2"/>
  <c r="BP192" i="2"/>
  <c r="BP61" i="2"/>
  <c r="BN113" i="2"/>
  <c r="BN137" i="2"/>
  <c r="BN227" i="2"/>
  <c r="BP275" i="2"/>
  <c r="Y62" i="2"/>
  <c r="Y186" i="2"/>
  <c r="BN34" i="2"/>
  <c r="BP272" i="2"/>
  <c r="Y63" i="2"/>
  <c r="Y217" i="2"/>
  <c r="Y238" i="2"/>
  <c r="Y248" i="2"/>
  <c r="BP263" i="2"/>
  <c r="BN42" i="2"/>
  <c r="Y84" i="2"/>
  <c r="BP269" i="2"/>
  <c r="BN205" i="2"/>
  <c r="BP156" i="2"/>
  <c r="Y30" i="2"/>
  <c r="BN99" i="2"/>
  <c r="BP72" i="2"/>
  <c r="Y73" i="2"/>
  <c r="BP41" i="2"/>
  <c r="BN48" i="2"/>
  <c r="BP96" i="2"/>
  <c r="Y207" i="2"/>
  <c r="BP178" i="2"/>
  <c r="BN110" i="2"/>
  <c r="BP227" i="2"/>
  <c r="BP247" i="2"/>
  <c r="BP27" i="2"/>
  <c r="Y91" i="2"/>
  <c r="BN117" i="2"/>
  <c r="BN125" i="2"/>
  <c r="Y168" i="2"/>
  <c r="BN203" i="2"/>
  <c r="Y49" i="2"/>
  <c r="BP110" i="2"/>
  <c r="BP144" i="2"/>
  <c r="BN151" i="2"/>
  <c r="Y228" i="2"/>
  <c r="H9" i="2"/>
  <c r="BN97" i="2"/>
  <c r="BP125" i="2"/>
  <c r="BN132" i="2"/>
  <c r="BP193" i="2"/>
  <c r="BN210" i="2"/>
  <c r="BN276" i="2"/>
  <c r="J9" i="2"/>
  <c r="BP24" i="2"/>
  <c r="BP70" i="2"/>
  <c r="BN77" i="2"/>
  <c r="BN114" i="2"/>
  <c r="Y159" i="2"/>
  <c r="Y169" i="2"/>
  <c r="BN179" i="2"/>
  <c r="BN190" i="2"/>
  <c r="A10" i="2"/>
  <c r="Y50" i="2"/>
  <c r="BN104" i="2"/>
  <c r="Y118" i="2"/>
  <c r="Y126" i="2"/>
  <c r="BN138" i="2"/>
  <c r="Y194" i="2"/>
  <c r="Y218" i="2"/>
  <c r="Y239" i="2"/>
  <c r="Y249" i="2"/>
  <c r="BN258" i="2"/>
  <c r="Y279" i="2"/>
  <c r="Y67" i="2"/>
  <c r="BN41" i="2"/>
  <c r="BP116" i="2"/>
  <c r="Y185" i="2"/>
  <c r="BP23" i="2"/>
  <c r="Y100" i="2"/>
  <c r="BN157" i="2"/>
  <c r="BN237" i="2"/>
  <c r="Y256" i="2"/>
  <c r="BN112" i="2"/>
  <c r="BN156" i="2"/>
  <c r="BN271" i="2"/>
  <c r="BP55" i="2"/>
  <c r="BP190" i="2"/>
  <c r="Y43" i="2"/>
  <c r="BN56" i="2"/>
  <c r="BN65" i="2"/>
  <c r="BN111" i="2"/>
  <c r="BN145" i="2"/>
  <c r="BP258" i="2"/>
  <c r="BN264" i="2"/>
  <c r="BN254" i="2"/>
  <c r="BP271" i="2"/>
  <c r="BP254" i="2"/>
  <c r="BP83" i="2"/>
  <c r="F9" i="2"/>
  <c r="Y152" i="2"/>
  <c r="BP216" i="2"/>
  <c r="Y85" i="2"/>
  <c r="Y180" i="2"/>
  <c r="Y153" i="2"/>
  <c r="BN72" i="2"/>
  <c r="BN150" i="2"/>
  <c r="BP89" i="2"/>
  <c r="BN167" i="2"/>
  <c r="Z285" i="2" l="1"/>
  <c r="X283" i="2"/>
  <c r="Y281" i="2"/>
  <c r="Y282" i="2"/>
  <c r="Y284" i="2"/>
  <c r="Y280" i="2"/>
  <c r="Y283" i="2" l="1"/>
  <c r="C293" i="2" l="1"/>
  <c r="B293" i="2"/>
  <c r="A293" i="2"/>
</calcChain>
</file>

<file path=xl/sharedStrings.xml><?xml version="1.0" encoding="utf-8"?>
<sst xmlns="http://schemas.openxmlformats.org/spreadsheetml/2006/main" count="1735" uniqueCount="401">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</sst>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46256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78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Суббота</v>
      </c>
      <c r="R6" s="300"/>
      <c r="T6" s="301" t="s">
        <v>5</v>
      </c>
      <c r="U6" s="302"/>
      <c r="V6" s="303" t="s">
        <v>72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79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0.375</v>
      </c>
      <c r="R8" s="314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316" t="s">
        <v>46</v>
      </c>
      <c r="E9" s="317"/>
      <c r="F9" s="3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18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73"/>
      <c r="P9" s="31" t="s">
        <v>15</v>
      </c>
      <c r="Q9" s="319"/>
      <c r="R9" s="319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316"/>
      <c r="E10" s="317"/>
      <c r="F10" s="3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320" t="str">
        <f>IFERROR(VLOOKUP($D$10,Proxy,2,FALSE),"")</f>
        <v/>
      </c>
      <c r="I10" s="320"/>
      <c r="J10" s="320"/>
      <c r="K10" s="320"/>
      <c r="L10" s="320"/>
      <c r="M10" s="320"/>
      <c r="N10" s="74"/>
      <c r="P10" s="31" t="s">
        <v>32</v>
      </c>
      <c r="Q10" s="321"/>
      <c r="R10" s="321"/>
      <c r="U10" s="29" t="s">
        <v>12</v>
      </c>
      <c r="V10" s="322" t="s">
        <v>73</v>
      </c>
      <c r="W10" s="3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4"/>
      <c r="R11" s="324"/>
      <c r="U11" s="29" t="s">
        <v>28</v>
      </c>
      <c r="V11" s="325" t="s">
        <v>55</v>
      </c>
      <c r="W11" s="32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6" t="s">
        <v>74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79"/>
      <c r="P12" s="27" t="s">
        <v>30</v>
      </c>
      <c r="Q12" s="314"/>
      <c r="R12" s="314"/>
      <c r="S12" s="28"/>
      <c r="T12"/>
      <c r="U12" s="29" t="s">
        <v>46</v>
      </c>
      <c r="V12" s="327"/>
      <c r="W12" s="327"/>
      <c r="X12"/>
      <c r="AB12" s="59"/>
      <c r="AC12" s="59"/>
      <c r="AD12" s="59"/>
      <c r="AE12" s="59"/>
    </row>
    <row r="13" spans="1:32" s="17" customFormat="1" ht="23.25" customHeight="1" x14ac:dyDescent="0.2">
      <c r="A13" s="326" t="s">
        <v>75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79"/>
      <c r="O13" s="31"/>
      <c r="P13" s="31" t="s">
        <v>31</v>
      </c>
      <c r="Q13" s="325"/>
      <c r="R13" s="32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6" t="s">
        <v>76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8" t="s">
        <v>77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80"/>
      <c r="O15"/>
      <c r="P15" s="329" t="s">
        <v>61</v>
      </c>
      <c r="Q15" s="329"/>
      <c r="R15" s="329"/>
      <c r="S15" s="329"/>
      <c r="T15" s="32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0"/>
      <c r="Q16" s="330"/>
      <c r="R16" s="330"/>
      <c r="S16" s="330"/>
      <c r="T16" s="33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3" t="s">
        <v>59</v>
      </c>
      <c r="B17" s="333" t="s">
        <v>49</v>
      </c>
      <c r="C17" s="335" t="s">
        <v>48</v>
      </c>
      <c r="D17" s="337" t="s">
        <v>50</v>
      </c>
      <c r="E17" s="338"/>
      <c r="F17" s="333" t="s">
        <v>21</v>
      </c>
      <c r="G17" s="333" t="s">
        <v>24</v>
      </c>
      <c r="H17" s="333" t="s">
        <v>22</v>
      </c>
      <c r="I17" s="333" t="s">
        <v>23</v>
      </c>
      <c r="J17" s="333" t="s">
        <v>16</v>
      </c>
      <c r="K17" s="333" t="s">
        <v>69</v>
      </c>
      <c r="L17" s="333" t="s">
        <v>67</v>
      </c>
      <c r="M17" s="333" t="s">
        <v>2</v>
      </c>
      <c r="N17" s="333" t="s">
        <v>66</v>
      </c>
      <c r="O17" s="333" t="s">
        <v>25</v>
      </c>
      <c r="P17" s="337" t="s">
        <v>17</v>
      </c>
      <c r="Q17" s="341"/>
      <c r="R17" s="341"/>
      <c r="S17" s="341"/>
      <c r="T17" s="338"/>
      <c r="U17" s="331" t="s">
        <v>56</v>
      </c>
      <c r="V17" s="332"/>
      <c r="W17" s="333" t="s">
        <v>6</v>
      </c>
      <c r="X17" s="333" t="s">
        <v>41</v>
      </c>
      <c r="Y17" s="343" t="s">
        <v>54</v>
      </c>
      <c r="Z17" s="345" t="s">
        <v>18</v>
      </c>
      <c r="AA17" s="347" t="s">
        <v>60</v>
      </c>
      <c r="AB17" s="347" t="s">
        <v>19</v>
      </c>
      <c r="AC17" s="347" t="s">
        <v>68</v>
      </c>
      <c r="AD17" s="349" t="s">
        <v>57</v>
      </c>
      <c r="AE17" s="350"/>
      <c r="AF17" s="351"/>
      <c r="AG17" s="85"/>
      <c r="BD17" s="84" t="s">
        <v>64</v>
      </c>
    </row>
    <row r="18" spans="1:68" ht="14.25" customHeight="1" x14ac:dyDescent="0.2">
      <c r="A18" s="334"/>
      <c r="B18" s="334"/>
      <c r="C18" s="336"/>
      <c r="D18" s="339"/>
      <c r="E18" s="340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9"/>
      <c r="Q18" s="342"/>
      <c r="R18" s="342"/>
      <c r="S18" s="342"/>
      <c r="T18" s="340"/>
      <c r="U18" s="86" t="s">
        <v>44</v>
      </c>
      <c r="V18" s="86" t="s">
        <v>43</v>
      </c>
      <c r="W18" s="334"/>
      <c r="X18" s="334"/>
      <c r="Y18" s="344"/>
      <c r="Z18" s="346"/>
      <c r="AA18" s="348"/>
      <c r="AB18" s="348"/>
      <c r="AC18" s="348"/>
      <c r="AD18" s="352"/>
      <c r="AE18" s="353"/>
      <c r="AF18" s="354"/>
      <c r="AG18" s="85"/>
      <c r="BD18" s="84"/>
    </row>
    <row r="19" spans="1:68" ht="27.75" hidden="1" customHeight="1" x14ac:dyDescent="0.2">
      <c r="A19" s="355" t="s">
        <v>80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54"/>
      <c r="AB19" s="54"/>
      <c r="AC19" s="54"/>
    </row>
    <row r="20" spans="1:68" ht="16.5" hidden="1" customHeight="1" x14ac:dyDescent="0.25">
      <c r="A20" s="356" t="s">
        <v>80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65"/>
      <c r="AB20" s="65"/>
      <c r="AC20" s="82"/>
    </row>
    <row r="21" spans="1:68" ht="14.25" hidden="1" customHeight="1" x14ac:dyDescent="0.25">
      <c r="A21" s="357" t="s">
        <v>81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358">
        <v>4620207491508</v>
      </c>
      <c r="E22" s="35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0"/>
      <c r="R22" s="360"/>
      <c r="S22" s="360"/>
      <c r="T22" s="36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58">
        <v>4620207491256</v>
      </c>
      <c r="E23" s="35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0"/>
      <c r="R23" s="360"/>
      <c r="S23" s="360"/>
      <c r="T23" s="361"/>
      <c r="U23" s="39" t="s">
        <v>46</v>
      </c>
      <c r="V23" s="39" t="s">
        <v>46</v>
      </c>
      <c r="W23" s="40" t="s">
        <v>39</v>
      </c>
      <c r="X23" s="58">
        <v>84</v>
      </c>
      <c r="Y23" s="55">
        <f t="shared" si="0"/>
        <v>84</v>
      </c>
      <c r="Z23" s="41">
        <f t="shared" si="1"/>
        <v>1.302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556.91999999999996</v>
      </c>
      <c r="BN23" s="81">
        <f t="shared" si="3"/>
        <v>556.91999999999996</v>
      </c>
      <c r="BO23" s="81">
        <f t="shared" si="4"/>
        <v>1</v>
      </c>
      <c r="BP23" s="81">
        <f t="shared" si="5"/>
        <v>1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358">
        <v>4620207491713</v>
      </c>
      <c r="E24" s="35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0"/>
      <c r="R24" s="360"/>
      <c r="S24" s="360"/>
      <c r="T24" s="36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358">
        <v>4620207491720</v>
      </c>
      <c r="E25" s="35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0"/>
      <c r="R25" s="360"/>
      <c r="S25" s="360"/>
      <c r="T25" s="36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358">
        <v>4607111035912</v>
      </c>
      <c r="E26" s="35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0"/>
      <c r="R26" s="360"/>
      <c r="S26" s="360"/>
      <c r="T26" s="36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58">
        <v>4607111035929</v>
      </c>
      <c r="E27" s="35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0"/>
      <c r="R27" s="360"/>
      <c r="S27" s="360"/>
      <c r="T27" s="361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358">
        <v>4607111035882</v>
      </c>
      <c r="E28" s="35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0"/>
      <c r="R28" s="360"/>
      <c r="S28" s="360"/>
      <c r="T28" s="36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8">
        <v>4607111035905</v>
      </c>
      <c r="E29" s="35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0"/>
      <c r="R29" s="360"/>
      <c r="S29" s="360"/>
      <c r="T29" s="36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3"/>
      <c r="P30" s="369" t="s">
        <v>40</v>
      </c>
      <c r="Q30" s="370"/>
      <c r="R30" s="370"/>
      <c r="S30" s="370"/>
      <c r="T30" s="370"/>
      <c r="U30" s="370"/>
      <c r="V30" s="371"/>
      <c r="W30" s="42" t="s">
        <v>39</v>
      </c>
      <c r="X30" s="43">
        <f>IFERROR(SUM(X22:X29),"0")</f>
        <v>96</v>
      </c>
      <c r="Y30" s="43">
        <f>IFERROR(SUM(Y22:Y29),"0")</f>
        <v>96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1.488</v>
      </c>
      <c r="AA30" s="67"/>
      <c r="AB30" s="67"/>
      <c r="AC30" s="67"/>
    </row>
    <row r="31" spans="1:68" x14ac:dyDescent="0.2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3"/>
      <c r="P31" s="369" t="s">
        <v>40</v>
      </c>
      <c r="Q31" s="370"/>
      <c r="R31" s="370"/>
      <c r="S31" s="370"/>
      <c r="T31" s="370"/>
      <c r="U31" s="370"/>
      <c r="V31" s="371"/>
      <c r="W31" s="42" t="s">
        <v>0</v>
      </c>
      <c r="X31" s="43">
        <f>IFERROR(SUMPRODUCT(X22:X29*H22:H29),"0")</f>
        <v>624</v>
      </c>
      <c r="Y31" s="43">
        <f>IFERROR(SUMPRODUCT(Y22:Y29*H22:H29),"0")</f>
        <v>624</v>
      </c>
      <c r="Z31" s="42"/>
      <c r="AA31" s="67"/>
      <c r="AB31" s="67"/>
      <c r="AC31" s="67"/>
    </row>
    <row r="32" spans="1:68" ht="16.5" hidden="1" customHeight="1" x14ac:dyDescent="0.25">
      <c r="A32" s="356" t="s">
        <v>105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5"/>
      <c r="AB32" s="65"/>
      <c r="AC32" s="82"/>
    </row>
    <row r="33" spans="1:68" ht="14.25" hidden="1" customHeight="1" x14ac:dyDescent="0.25">
      <c r="A33" s="357" t="s">
        <v>81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8">
        <v>4607111039019</v>
      </c>
      <c r="E34" s="35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0"/>
      <c r="R34" s="360"/>
      <c r="S34" s="360"/>
      <c r="T34" s="36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8">
        <v>4607111038708</v>
      </c>
      <c r="E35" s="35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0"/>
      <c r="R35" s="360"/>
      <c r="S35" s="360"/>
      <c r="T35" s="361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3"/>
      <c r="P36" s="369" t="s">
        <v>40</v>
      </c>
      <c r="Q36" s="370"/>
      <c r="R36" s="370"/>
      <c r="S36" s="370"/>
      <c r="T36" s="370"/>
      <c r="U36" s="370"/>
      <c r="V36" s="371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3"/>
      <c r="P37" s="369" t="s">
        <v>40</v>
      </c>
      <c r="Q37" s="370"/>
      <c r="R37" s="370"/>
      <c r="S37" s="370"/>
      <c r="T37" s="370"/>
      <c r="U37" s="370"/>
      <c r="V37" s="371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55" t="s">
        <v>45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54"/>
      <c r="AB38" s="54"/>
      <c r="AC38" s="54"/>
    </row>
    <row r="39" spans="1:68" ht="16.5" hidden="1" customHeight="1" x14ac:dyDescent="0.25">
      <c r="A39" s="356" t="s">
        <v>111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65"/>
      <c r="AB39" s="65"/>
      <c r="AC39" s="82"/>
    </row>
    <row r="40" spans="1:68" ht="14.25" hidden="1" customHeight="1" x14ac:dyDescent="0.25">
      <c r="A40" s="357" t="s">
        <v>112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8">
        <v>4607111036537</v>
      </c>
      <c r="E41" s="35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0"/>
      <c r="R41" s="360"/>
      <c r="S41" s="360"/>
      <c r="T41" s="361"/>
      <c r="U41" s="39" t="s">
        <v>46</v>
      </c>
      <c r="V41" s="39" t="s">
        <v>46</v>
      </c>
      <c r="W41" s="40" t="s">
        <v>39</v>
      </c>
      <c r="X41" s="58">
        <v>308</v>
      </c>
      <c r="Y41" s="55">
        <f>IFERROR(IF(X41="","",X41),"")</f>
        <v>308</v>
      </c>
      <c r="Z41" s="41">
        <f>IFERROR(IF(X41="","",X41*0.00941),"")</f>
        <v>2.8982800000000002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591.9144</v>
      </c>
      <c r="BN41" s="81">
        <f>IFERROR(Y41*I41,"0")</f>
        <v>591.9144</v>
      </c>
      <c r="BO41" s="81">
        <f>IFERROR(X41/J41,"0")</f>
        <v>2.2000000000000002</v>
      </c>
      <c r="BP41" s="81">
        <f>IFERROR(Y41/J41,"0")</f>
        <v>2.2000000000000002</v>
      </c>
    </row>
    <row r="42" spans="1:68" ht="27" hidden="1" customHeight="1" x14ac:dyDescent="0.25">
      <c r="A42" s="63" t="s">
        <v>120</v>
      </c>
      <c r="B42" s="63" t="s">
        <v>121</v>
      </c>
      <c r="C42" s="36">
        <v>4301132188</v>
      </c>
      <c r="D42" s="358">
        <v>4607111036605</v>
      </c>
      <c r="E42" s="35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0"/>
      <c r="R42" s="360"/>
      <c r="S42" s="360"/>
      <c r="T42" s="36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3"/>
      <c r="P43" s="369" t="s">
        <v>40</v>
      </c>
      <c r="Q43" s="370"/>
      <c r="R43" s="370"/>
      <c r="S43" s="370"/>
      <c r="T43" s="370"/>
      <c r="U43" s="370"/>
      <c r="V43" s="371"/>
      <c r="W43" s="42" t="s">
        <v>39</v>
      </c>
      <c r="X43" s="43">
        <f>IFERROR(SUM(X41:X42),"0")</f>
        <v>308</v>
      </c>
      <c r="Y43" s="43">
        <f>IFERROR(SUM(Y41:Y42),"0")</f>
        <v>308</v>
      </c>
      <c r="Z43" s="43">
        <f>IFERROR(IF(Z41="",0,Z41),"0")+IFERROR(IF(Z42="",0,Z42),"0")</f>
        <v>2.8982800000000002</v>
      </c>
      <c r="AA43" s="67"/>
      <c r="AB43" s="67"/>
      <c r="AC43" s="67"/>
    </row>
    <row r="44" spans="1:68" x14ac:dyDescent="0.2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3"/>
      <c r="P44" s="369" t="s">
        <v>40</v>
      </c>
      <c r="Q44" s="370"/>
      <c r="R44" s="370"/>
      <c r="S44" s="370"/>
      <c r="T44" s="370"/>
      <c r="U44" s="370"/>
      <c r="V44" s="371"/>
      <c r="W44" s="42" t="s">
        <v>0</v>
      </c>
      <c r="X44" s="43">
        <f>IFERROR(SUMPRODUCT(X41:X42*H41:H42),"0")</f>
        <v>462</v>
      </c>
      <c r="Y44" s="43">
        <f>IFERROR(SUMPRODUCT(Y41:Y42*H41:H42),"0")</f>
        <v>462</v>
      </c>
      <c r="Z44" s="42"/>
      <c r="AA44" s="67"/>
      <c r="AB44" s="67"/>
      <c r="AC44" s="67"/>
    </row>
    <row r="45" spans="1:68" ht="16.5" hidden="1" customHeight="1" x14ac:dyDescent="0.25">
      <c r="A45" s="356" t="s">
        <v>122</v>
      </c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65"/>
      <c r="AB45" s="65"/>
      <c r="AC45" s="82"/>
    </row>
    <row r="46" spans="1:68" ht="14.25" hidden="1" customHeight="1" x14ac:dyDescent="0.25">
      <c r="A46" s="357" t="s">
        <v>81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8">
        <v>4620207490075</v>
      </c>
      <c r="E47" s="35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0"/>
      <c r="R47" s="360"/>
      <c r="S47" s="360"/>
      <c r="T47" s="36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8">
        <v>4620207490174</v>
      </c>
      <c r="E48" s="35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0"/>
      <c r="R48" s="360"/>
      <c r="S48" s="360"/>
      <c r="T48" s="361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3"/>
      <c r="P49" s="369" t="s">
        <v>40</v>
      </c>
      <c r="Q49" s="370"/>
      <c r="R49" s="370"/>
      <c r="S49" s="370"/>
      <c r="T49" s="370"/>
      <c r="U49" s="370"/>
      <c r="V49" s="371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3"/>
      <c r="P50" s="369" t="s">
        <v>40</v>
      </c>
      <c r="Q50" s="370"/>
      <c r="R50" s="370"/>
      <c r="S50" s="370"/>
      <c r="T50" s="370"/>
      <c r="U50" s="370"/>
      <c r="V50" s="371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56" t="s">
        <v>129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65"/>
      <c r="AB51" s="65"/>
      <c r="AC51" s="82"/>
    </row>
    <row r="52" spans="1:68" ht="14.25" hidden="1" customHeight="1" x14ac:dyDescent="0.25">
      <c r="A52" s="357" t="s">
        <v>81</v>
      </c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58">
        <v>4607111039385</v>
      </c>
      <c r="E53" s="35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0"/>
      <c r="R53" s="360"/>
      <c r="S53" s="360"/>
      <c r="T53" s="361"/>
      <c r="U53" s="39" t="s">
        <v>46</v>
      </c>
      <c r="V53" s="39" t="s">
        <v>46</v>
      </c>
      <c r="W53" s="40" t="s">
        <v>39</v>
      </c>
      <c r="X53" s="58">
        <v>60</v>
      </c>
      <c r="Y53" s="55">
        <f>IFERROR(IF(X53="","",X53),"")</f>
        <v>60</v>
      </c>
      <c r="Z53" s="41">
        <f>IFERROR(IF(X53="","",X53*0.0155),"")</f>
        <v>0.92999999999999994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438</v>
      </c>
      <c r="BN53" s="81">
        <f>IFERROR(Y53*I53,"0")</f>
        <v>438</v>
      </c>
      <c r="BO53" s="81">
        <f>IFERROR(X53/J53,"0")</f>
        <v>0.7142857142857143</v>
      </c>
      <c r="BP53" s="81">
        <f>IFERROR(Y53/J53,"0")</f>
        <v>0.7142857142857143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58">
        <v>4607111038982</v>
      </c>
      <c r="E54" s="35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0"/>
      <c r="R54" s="360"/>
      <c r="S54" s="360"/>
      <c r="T54" s="361"/>
      <c r="U54" s="39" t="s">
        <v>46</v>
      </c>
      <c r="V54" s="39" t="s">
        <v>46</v>
      </c>
      <c r="W54" s="40" t="s">
        <v>39</v>
      </c>
      <c r="X54" s="58">
        <v>96</v>
      </c>
      <c r="Y54" s="55">
        <f>IFERROR(IF(X54="","",X54),"")</f>
        <v>96</v>
      </c>
      <c r="Z54" s="41">
        <f>IFERROR(IF(X54="","",X54*0.0155),"")</f>
        <v>1.488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699.4559999999999</v>
      </c>
      <c r="BN54" s="81">
        <f>IFERROR(Y54*I54,"0")</f>
        <v>699.4559999999999</v>
      </c>
      <c r="BO54" s="81">
        <f>IFERROR(X54/J54,"0")</f>
        <v>1.1428571428571428</v>
      </c>
      <c r="BP54" s="81">
        <f>IFERROR(Y54/J54,"0")</f>
        <v>1.1428571428571428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4301071046</v>
      </c>
      <c r="D55" s="358">
        <v>4607111039354</v>
      </c>
      <c r="E55" s="35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0"/>
      <c r="R55" s="360"/>
      <c r="S55" s="360"/>
      <c r="T55" s="36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58">
        <v>4607111039330</v>
      </c>
      <c r="E56" s="35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0"/>
      <c r="R56" s="360"/>
      <c r="S56" s="360"/>
      <c r="T56" s="361"/>
      <c r="U56" s="39" t="s">
        <v>46</v>
      </c>
      <c r="V56" s="39" t="s">
        <v>46</v>
      </c>
      <c r="W56" s="40" t="s">
        <v>39</v>
      </c>
      <c r="X56" s="58">
        <v>120</v>
      </c>
      <c r="Y56" s="55">
        <f>IFERROR(IF(X56="","",X56),"")</f>
        <v>120</v>
      </c>
      <c r="Z56" s="41">
        <f>IFERROR(IF(X56="","",X56*0.0155),"")</f>
        <v>1.8599999999999999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876</v>
      </c>
      <c r="BN56" s="81">
        <f>IFERROR(Y56*I56,"0")</f>
        <v>876</v>
      </c>
      <c r="BO56" s="81">
        <f>IFERROR(X56/J56,"0")</f>
        <v>1.4285714285714286</v>
      </c>
      <c r="BP56" s="81">
        <f>IFERROR(Y56/J56,"0")</f>
        <v>1.4285714285714286</v>
      </c>
    </row>
    <row r="57" spans="1:68" x14ac:dyDescent="0.2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3"/>
      <c r="P57" s="369" t="s">
        <v>40</v>
      </c>
      <c r="Q57" s="370"/>
      <c r="R57" s="370"/>
      <c r="S57" s="370"/>
      <c r="T57" s="370"/>
      <c r="U57" s="370"/>
      <c r="V57" s="371"/>
      <c r="W57" s="42" t="s">
        <v>39</v>
      </c>
      <c r="X57" s="43">
        <f>IFERROR(SUM(X53:X56),"0")</f>
        <v>276</v>
      </c>
      <c r="Y57" s="43">
        <f>IFERROR(SUM(Y53:Y56),"0")</f>
        <v>276</v>
      </c>
      <c r="Z57" s="43">
        <f>IFERROR(IF(Z53="",0,Z53),"0")+IFERROR(IF(Z54="",0,Z54),"0")+IFERROR(IF(Z55="",0,Z55),"0")+IFERROR(IF(Z56="",0,Z56),"0")</f>
        <v>4.2780000000000005</v>
      </c>
      <c r="AA57" s="67"/>
      <c r="AB57" s="67"/>
      <c r="AC57" s="67"/>
    </row>
    <row r="58" spans="1:68" x14ac:dyDescent="0.2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3"/>
      <c r="P58" s="369" t="s">
        <v>40</v>
      </c>
      <c r="Q58" s="370"/>
      <c r="R58" s="370"/>
      <c r="S58" s="370"/>
      <c r="T58" s="370"/>
      <c r="U58" s="370"/>
      <c r="V58" s="371"/>
      <c r="W58" s="42" t="s">
        <v>0</v>
      </c>
      <c r="X58" s="43">
        <f>IFERROR(SUMPRODUCT(X53:X56*H53:H56),"0")</f>
        <v>1932</v>
      </c>
      <c r="Y58" s="43">
        <f>IFERROR(SUMPRODUCT(Y53:Y56*H53:H56),"0")</f>
        <v>1932</v>
      </c>
      <c r="Z58" s="42"/>
      <c r="AA58" s="67"/>
      <c r="AB58" s="67"/>
      <c r="AC58" s="67"/>
    </row>
    <row r="59" spans="1:68" ht="16.5" hidden="1" customHeight="1" x14ac:dyDescent="0.25">
      <c r="A59" s="356" t="s">
        <v>140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65"/>
      <c r="AB59" s="65"/>
      <c r="AC59" s="82"/>
    </row>
    <row r="60" spans="1:68" ht="14.25" hidden="1" customHeight="1" x14ac:dyDescent="0.25">
      <c r="A60" s="357" t="s">
        <v>112</v>
      </c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358">
        <v>4607111039712</v>
      </c>
      <c r="E61" s="35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0"/>
      <c r="R61" s="360"/>
      <c r="S61" s="360"/>
      <c r="T61" s="36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3"/>
      <c r="P62" s="369" t="s">
        <v>40</v>
      </c>
      <c r="Q62" s="370"/>
      <c r="R62" s="370"/>
      <c r="S62" s="370"/>
      <c r="T62" s="370"/>
      <c r="U62" s="370"/>
      <c r="V62" s="37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3"/>
      <c r="P63" s="369" t="s">
        <v>40</v>
      </c>
      <c r="Q63" s="370"/>
      <c r="R63" s="370"/>
      <c r="S63" s="370"/>
      <c r="T63" s="370"/>
      <c r="U63" s="370"/>
      <c r="V63" s="37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7" t="s">
        <v>144</v>
      </c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358">
        <v>4607111037008</v>
      </c>
      <c r="E65" s="35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0"/>
      <c r="R65" s="360"/>
      <c r="S65" s="360"/>
      <c r="T65" s="36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358">
        <v>4607111037398</v>
      </c>
      <c r="E66" s="35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0"/>
      <c r="R66" s="360"/>
      <c r="S66" s="360"/>
      <c r="T66" s="36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3"/>
      <c r="P67" s="369" t="s">
        <v>40</v>
      </c>
      <c r="Q67" s="370"/>
      <c r="R67" s="370"/>
      <c r="S67" s="370"/>
      <c r="T67" s="370"/>
      <c r="U67" s="370"/>
      <c r="V67" s="37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3"/>
      <c r="P68" s="369" t="s">
        <v>40</v>
      </c>
      <c r="Q68" s="370"/>
      <c r="R68" s="370"/>
      <c r="S68" s="370"/>
      <c r="T68" s="370"/>
      <c r="U68" s="370"/>
      <c r="V68" s="37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7" t="s">
        <v>150</v>
      </c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358">
        <v>4607111039705</v>
      </c>
      <c r="E70" s="35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0"/>
      <c r="R70" s="360"/>
      <c r="S70" s="360"/>
      <c r="T70" s="36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358">
        <v>4607111039729</v>
      </c>
      <c r="E71" s="35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0"/>
      <c r="R71" s="360"/>
      <c r="S71" s="360"/>
      <c r="T71" s="361"/>
      <c r="U71" s="39" t="s">
        <v>46</v>
      </c>
      <c r="V71" s="39" t="s">
        <v>46</v>
      </c>
      <c r="W71" s="40" t="s">
        <v>39</v>
      </c>
      <c r="X71" s="58">
        <v>42</v>
      </c>
      <c r="Y71" s="55">
        <f>IFERROR(IF(X71="","",X71),"")</f>
        <v>42</v>
      </c>
      <c r="Z71" s="41">
        <f>IFERROR(IF(X71="","",X71*0.00941),"")</f>
        <v>0.39522000000000002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65.52</v>
      </c>
      <c r="BN71" s="81">
        <f>IFERROR(Y71*I71,"0")</f>
        <v>65.52</v>
      </c>
      <c r="BO71" s="81">
        <f>IFERROR(X71/J71,"0")</f>
        <v>0.3</v>
      </c>
      <c r="BP71" s="81">
        <f>IFERROR(Y71/J71,"0")</f>
        <v>0.3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358">
        <v>4620207490228</v>
      </c>
      <c r="E72" s="35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0"/>
      <c r="R72" s="360"/>
      <c r="S72" s="360"/>
      <c r="T72" s="361"/>
      <c r="U72" s="39" t="s">
        <v>46</v>
      </c>
      <c r="V72" s="39" t="s">
        <v>46</v>
      </c>
      <c r="W72" s="40" t="s">
        <v>39</v>
      </c>
      <c r="X72" s="58">
        <v>42</v>
      </c>
      <c r="Y72" s="55">
        <f>IFERROR(IF(X72="","",X72),"")</f>
        <v>42</v>
      </c>
      <c r="Z72" s="41">
        <f>IFERROR(IF(X72="","",X72*0.00941),"")</f>
        <v>0.39522000000000002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65.52</v>
      </c>
      <c r="BN72" s="81">
        <f>IFERROR(Y72*I72,"0")</f>
        <v>65.52</v>
      </c>
      <c r="BO72" s="81">
        <f>IFERROR(X72/J72,"0")</f>
        <v>0.3</v>
      </c>
      <c r="BP72" s="81">
        <f>IFERROR(Y72/J72,"0")</f>
        <v>0.3</v>
      </c>
    </row>
    <row r="73" spans="1:68" x14ac:dyDescent="0.2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69" t="s">
        <v>40</v>
      </c>
      <c r="Q73" s="370"/>
      <c r="R73" s="370"/>
      <c r="S73" s="370"/>
      <c r="T73" s="370"/>
      <c r="U73" s="370"/>
      <c r="V73" s="371"/>
      <c r="W73" s="42" t="s">
        <v>39</v>
      </c>
      <c r="X73" s="43">
        <f>IFERROR(SUM(X70:X72),"0")</f>
        <v>84</v>
      </c>
      <c r="Y73" s="43">
        <f>IFERROR(SUM(Y70:Y72),"0")</f>
        <v>84</v>
      </c>
      <c r="Z73" s="43">
        <f>IFERROR(IF(Z70="",0,Z70),"0")+IFERROR(IF(Z71="",0,Z71),"0")+IFERROR(IF(Z72="",0,Z72),"0")</f>
        <v>0.79044000000000003</v>
      </c>
      <c r="AA73" s="67"/>
      <c r="AB73" s="67"/>
      <c r="AC73" s="67"/>
    </row>
    <row r="74" spans="1:68" x14ac:dyDescent="0.2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69" t="s">
        <v>40</v>
      </c>
      <c r="Q74" s="370"/>
      <c r="R74" s="370"/>
      <c r="S74" s="370"/>
      <c r="T74" s="370"/>
      <c r="U74" s="370"/>
      <c r="V74" s="371"/>
      <c r="W74" s="42" t="s">
        <v>0</v>
      </c>
      <c r="X74" s="43">
        <f>IFERROR(SUMPRODUCT(X70:X72*H70:H72),"0")</f>
        <v>100.8</v>
      </c>
      <c r="Y74" s="43">
        <f>IFERROR(SUMPRODUCT(Y70:Y72*H70:H72),"0")</f>
        <v>100.8</v>
      </c>
      <c r="Z74" s="42"/>
      <c r="AA74" s="67"/>
      <c r="AB74" s="67"/>
      <c r="AC74" s="67"/>
    </row>
    <row r="75" spans="1:68" ht="16.5" hidden="1" customHeight="1" x14ac:dyDescent="0.25">
      <c r="A75" s="356" t="s">
        <v>158</v>
      </c>
      <c r="B75" s="356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65"/>
      <c r="AB75" s="65"/>
      <c r="AC75" s="82"/>
    </row>
    <row r="76" spans="1:68" ht="14.25" hidden="1" customHeight="1" x14ac:dyDescent="0.25">
      <c r="A76" s="357" t="s">
        <v>81</v>
      </c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358">
        <v>4607111037411</v>
      </c>
      <c r="E77" s="35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0"/>
      <c r="R77" s="360"/>
      <c r="S77" s="360"/>
      <c r="T77" s="36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358">
        <v>4607111036728</v>
      </c>
      <c r="E78" s="35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0"/>
      <c r="R78" s="360"/>
      <c r="S78" s="360"/>
      <c r="T78" s="361"/>
      <c r="U78" s="39" t="s">
        <v>46</v>
      </c>
      <c r="V78" s="39" t="s">
        <v>46</v>
      </c>
      <c r="W78" s="40" t="s">
        <v>39</v>
      </c>
      <c r="X78" s="58">
        <v>36</v>
      </c>
      <c r="Y78" s="55">
        <f>IFERROR(IF(X78="","",X78),"")</f>
        <v>36</v>
      </c>
      <c r="Z78" s="41">
        <f>IFERROR(IF(X78="","",X78*0.00866),"")</f>
        <v>0.31175999999999998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187.67519999999999</v>
      </c>
      <c r="BN78" s="81">
        <f>IFERROR(Y78*I78,"0")</f>
        <v>187.67519999999999</v>
      </c>
      <c r="BO78" s="81">
        <f>IFERROR(X78/J78,"0")</f>
        <v>0.25</v>
      </c>
      <c r="BP78" s="81">
        <f>IFERROR(Y78/J78,"0")</f>
        <v>0.25</v>
      </c>
    </row>
    <row r="79" spans="1:68" x14ac:dyDescent="0.2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3"/>
      <c r="P79" s="369" t="s">
        <v>40</v>
      </c>
      <c r="Q79" s="370"/>
      <c r="R79" s="370"/>
      <c r="S79" s="370"/>
      <c r="T79" s="370"/>
      <c r="U79" s="370"/>
      <c r="V79" s="371"/>
      <c r="W79" s="42" t="s">
        <v>39</v>
      </c>
      <c r="X79" s="43">
        <f>IFERROR(SUM(X77:X78),"0")</f>
        <v>36</v>
      </c>
      <c r="Y79" s="43">
        <f>IFERROR(SUM(Y77:Y78),"0")</f>
        <v>36</v>
      </c>
      <c r="Z79" s="43">
        <f>IFERROR(IF(Z77="",0,Z77),"0")+IFERROR(IF(Z78="",0,Z78),"0")</f>
        <v>0.31175999999999998</v>
      </c>
      <c r="AA79" s="67"/>
      <c r="AB79" s="67"/>
      <c r="AC79" s="67"/>
    </row>
    <row r="80" spans="1:68" x14ac:dyDescent="0.2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3"/>
      <c r="P80" s="369" t="s">
        <v>40</v>
      </c>
      <c r="Q80" s="370"/>
      <c r="R80" s="370"/>
      <c r="S80" s="370"/>
      <c r="T80" s="370"/>
      <c r="U80" s="370"/>
      <c r="V80" s="371"/>
      <c r="W80" s="42" t="s">
        <v>0</v>
      </c>
      <c r="X80" s="43">
        <f>IFERROR(SUMPRODUCT(X77:X78*H77:H78),"0")</f>
        <v>180</v>
      </c>
      <c r="Y80" s="43">
        <f>IFERROR(SUMPRODUCT(Y77:Y78*H77:H78),"0")</f>
        <v>180</v>
      </c>
      <c r="Z80" s="42"/>
      <c r="AA80" s="67"/>
      <c r="AB80" s="67"/>
      <c r="AC80" s="67"/>
    </row>
    <row r="81" spans="1:68" ht="16.5" hidden="1" customHeight="1" x14ac:dyDescent="0.25">
      <c r="A81" s="356" t="s">
        <v>165</v>
      </c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65"/>
      <c r="AB81" s="65"/>
      <c r="AC81" s="82"/>
    </row>
    <row r="82" spans="1:68" ht="14.25" hidden="1" customHeight="1" x14ac:dyDescent="0.25">
      <c r="A82" s="357" t="s">
        <v>150</v>
      </c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358">
        <v>4607111033659</v>
      </c>
      <c r="E83" s="35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0"/>
      <c r="R83" s="360"/>
      <c r="S83" s="360"/>
      <c r="T83" s="361"/>
      <c r="U83" s="39" t="s">
        <v>46</v>
      </c>
      <c r="V83" s="39" t="s">
        <v>46</v>
      </c>
      <c r="W83" s="40" t="s">
        <v>39</v>
      </c>
      <c r="X83" s="58">
        <v>14</v>
      </c>
      <c r="Y83" s="55">
        <f>IFERROR(IF(X83="","",X83),"")</f>
        <v>14</v>
      </c>
      <c r="Z83" s="41">
        <f>IFERROR(IF(X83="","",X83*0.01788),"")</f>
        <v>0.25031999999999999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60.250400000000006</v>
      </c>
      <c r="BN83" s="81">
        <f>IFERROR(Y83*I83,"0")</f>
        <v>60.250400000000006</v>
      </c>
      <c r="BO83" s="81">
        <f>IFERROR(X83/J83,"0")</f>
        <v>0.2</v>
      </c>
      <c r="BP83" s="81">
        <f>IFERROR(Y83/J83,"0")</f>
        <v>0.2</v>
      </c>
    </row>
    <row r="84" spans="1:68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69" t="s">
        <v>40</v>
      </c>
      <c r="Q84" s="370"/>
      <c r="R84" s="370"/>
      <c r="S84" s="370"/>
      <c r="T84" s="370"/>
      <c r="U84" s="370"/>
      <c r="V84" s="371"/>
      <c r="W84" s="42" t="s">
        <v>39</v>
      </c>
      <c r="X84" s="43">
        <f>IFERROR(SUM(X83:X83),"0")</f>
        <v>14</v>
      </c>
      <c r="Y84" s="43">
        <f>IFERROR(SUM(Y83:Y83),"0")</f>
        <v>14</v>
      </c>
      <c r="Z84" s="43">
        <f>IFERROR(IF(Z83="",0,Z83),"0")</f>
        <v>0.25031999999999999</v>
      </c>
      <c r="AA84" s="67"/>
      <c r="AB84" s="67"/>
      <c r="AC84" s="67"/>
    </row>
    <row r="85" spans="1:68" x14ac:dyDescent="0.2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3"/>
      <c r="P85" s="369" t="s">
        <v>40</v>
      </c>
      <c r="Q85" s="370"/>
      <c r="R85" s="370"/>
      <c r="S85" s="370"/>
      <c r="T85" s="370"/>
      <c r="U85" s="370"/>
      <c r="V85" s="371"/>
      <c r="W85" s="42" t="s">
        <v>0</v>
      </c>
      <c r="X85" s="43">
        <f>IFERROR(SUMPRODUCT(X83:X83*H83:H83),"0")</f>
        <v>50.4</v>
      </c>
      <c r="Y85" s="43">
        <f>IFERROR(SUMPRODUCT(Y83:Y83*H83:H83),"0")</f>
        <v>50.4</v>
      </c>
      <c r="Z85" s="42"/>
      <c r="AA85" s="67"/>
      <c r="AB85" s="67"/>
      <c r="AC85" s="67"/>
    </row>
    <row r="86" spans="1:68" ht="16.5" hidden="1" customHeight="1" x14ac:dyDescent="0.25">
      <c r="A86" s="356" t="s">
        <v>169</v>
      </c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65"/>
      <c r="AB86" s="65"/>
      <c r="AC86" s="82"/>
    </row>
    <row r="87" spans="1:68" ht="14.25" hidden="1" customHeight="1" x14ac:dyDescent="0.25">
      <c r="A87" s="357" t="s">
        <v>170</v>
      </c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58">
        <v>4607111034120</v>
      </c>
      <c r="E88" s="35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0"/>
      <c r="R88" s="360"/>
      <c r="S88" s="360"/>
      <c r="T88" s="361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358">
        <v>4607111034137</v>
      </c>
      <c r="E89" s="35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0"/>
      <c r="R89" s="360"/>
      <c r="S89" s="360"/>
      <c r="T89" s="361"/>
      <c r="U89" s="39" t="s">
        <v>46</v>
      </c>
      <c r="V89" s="39" t="s">
        <v>46</v>
      </c>
      <c r="W89" s="40" t="s">
        <v>39</v>
      </c>
      <c r="X89" s="58">
        <v>28</v>
      </c>
      <c r="Y89" s="55">
        <f>IFERROR(IF(X89="","",X89),"")</f>
        <v>28</v>
      </c>
      <c r="Z89" s="41">
        <f>IFERROR(IF(X89="","",X89*0.01788),"")</f>
        <v>0.50063999999999997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120.50080000000001</v>
      </c>
      <c r="BN89" s="81">
        <f>IFERROR(Y89*I89,"0")</f>
        <v>120.50080000000001</v>
      </c>
      <c r="BO89" s="81">
        <f>IFERROR(X89/J89,"0")</f>
        <v>0.4</v>
      </c>
      <c r="BP89" s="81">
        <f>IFERROR(Y89/J89,"0")</f>
        <v>0.4</v>
      </c>
    </row>
    <row r="90" spans="1:68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69" t="s">
        <v>40</v>
      </c>
      <c r="Q90" s="370"/>
      <c r="R90" s="370"/>
      <c r="S90" s="370"/>
      <c r="T90" s="370"/>
      <c r="U90" s="370"/>
      <c r="V90" s="371"/>
      <c r="W90" s="42" t="s">
        <v>39</v>
      </c>
      <c r="X90" s="43">
        <f>IFERROR(SUM(X88:X89),"0")</f>
        <v>56</v>
      </c>
      <c r="Y90" s="43">
        <f>IFERROR(SUM(Y88:Y89),"0")</f>
        <v>56</v>
      </c>
      <c r="Z90" s="43">
        <f>IFERROR(IF(Z88="",0,Z88),"0")+IFERROR(IF(Z89="",0,Z89),"0")</f>
        <v>1.0012799999999999</v>
      </c>
      <c r="AA90" s="67"/>
      <c r="AB90" s="67"/>
      <c r="AC90" s="67"/>
    </row>
    <row r="91" spans="1:68" x14ac:dyDescent="0.2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3"/>
      <c r="P91" s="369" t="s">
        <v>40</v>
      </c>
      <c r="Q91" s="370"/>
      <c r="R91" s="370"/>
      <c r="S91" s="370"/>
      <c r="T91" s="370"/>
      <c r="U91" s="370"/>
      <c r="V91" s="371"/>
      <c r="W91" s="42" t="s">
        <v>0</v>
      </c>
      <c r="X91" s="43">
        <f>IFERROR(SUMPRODUCT(X88:X89*H88:H89),"0")</f>
        <v>201.6</v>
      </c>
      <c r="Y91" s="43">
        <f>IFERROR(SUMPRODUCT(Y88:Y89*H88:H89),"0")</f>
        <v>201.6</v>
      </c>
      <c r="Z91" s="42"/>
      <c r="AA91" s="67"/>
      <c r="AB91" s="67"/>
      <c r="AC91" s="67"/>
    </row>
    <row r="92" spans="1:68" ht="16.5" hidden="1" customHeight="1" x14ac:dyDescent="0.25">
      <c r="A92" s="356" t="s">
        <v>177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65"/>
      <c r="AB92" s="65"/>
      <c r="AC92" s="82"/>
    </row>
    <row r="93" spans="1:68" ht="14.25" hidden="1" customHeight="1" x14ac:dyDescent="0.25">
      <c r="A93" s="357" t="s">
        <v>150</v>
      </c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358">
        <v>4620207491027</v>
      </c>
      <c r="E94" s="35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0"/>
      <c r="R94" s="360"/>
      <c r="S94" s="360"/>
      <c r="T94" s="361"/>
      <c r="U94" s="39" t="s">
        <v>46</v>
      </c>
      <c r="V94" s="39" t="s">
        <v>46</v>
      </c>
      <c r="W94" s="40" t="s">
        <v>39</v>
      </c>
      <c r="X94" s="58">
        <v>28</v>
      </c>
      <c r="Y94" s="55">
        <f t="shared" ref="Y94:Y99" si="6">IFERROR(IF(X94="","",X94),"")</f>
        <v>28</v>
      </c>
      <c r="Z94" s="41">
        <f t="shared" ref="Z94:Z99" si="7">IFERROR(IF(X94="","",X94*0.01788),"")</f>
        <v>0.50063999999999997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99" si="8">IFERROR(X94*I94,"0")</f>
        <v>100.3408</v>
      </c>
      <c r="BN94" s="81">
        <f t="shared" ref="BN94:BN99" si="9">IFERROR(Y94*I94,"0")</f>
        <v>100.3408</v>
      </c>
      <c r="BO94" s="81">
        <f t="shared" ref="BO94:BO99" si="10">IFERROR(X94/J94,"0")</f>
        <v>0.4</v>
      </c>
      <c r="BP94" s="81">
        <f t="shared" ref="BP94:BP99" si="11">IFERROR(Y94/J94,"0")</f>
        <v>0.4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358">
        <v>4620207491003</v>
      </c>
      <c r="E95" s="35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9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0"/>
      <c r="R95" s="360"/>
      <c r="S95" s="360"/>
      <c r="T95" s="361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182</v>
      </c>
      <c r="B96" s="63" t="s">
        <v>183</v>
      </c>
      <c r="C96" s="36">
        <v>4301135768</v>
      </c>
      <c r="D96" s="358">
        <v>4620207491034</v>
      </c>
      <c r="E96" s="35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60"/>
      <c r="R96" s="360"/>
      <c r="S96" s="360"/>
      <c r="T96" s="361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358">
        <v>4620207491010</v>
      </c>
      <c r="E97" s="35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9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0"/>
      <c r="R97" s="360"/>
      <c r="S97" s="360"/>
      <c r="T97" s="361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187</v>
      </c>
      <c r="B98" s="63" t="s">
        <v>188</v>
      </c>
      <c r="C98" s="36">
        <v>4301135571</v>
      </c>
      <c r="D98" s="358">
        <v>4607111035028</v>
      </c>
      <c r="E98" s="35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87</v>
      </c>
      <c r="M98" s="38" t="s">
        <v>85</v>
      </c>
      <c r="N98" s="38"/>
      <c r="O98" s="37">
        <v>180</v>
      </c>
      <c r="P98" s="39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0"/>
      <c r="R98" s="360"/>
      <c r="S98" s="360"/>
      <c r="T98" s="36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88</v>
      </c>
      <c r="AK98" s="87">
        <v>1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189</v>
      </c>
      <c r="B99" s="63" t="s">
        <v>190</v>
      </c>
      <c r="C99" s="36">
        <v>4301135285</v>
      </c>
      <c r="D99" s="358">
        <v>4607111036407</v>
      </c>
      <c r="E99" s="35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0"/>
      <c r="R99" s="360"/>
      <c r="S99" s="360"/>
      <c r="T99" s="361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si="6"/>
        <v>28</v>
      </c>
      <c r="Z99" s="41">
        <f t="shared" si="7"/>
        <v>0.50063999999999997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126.81760000000001</v>
      </c>
      <c r="BN99" s="81">
        <f t="shared" si="9"/>
        <v>126.81760000000001</v>
      </c>
      <c r="BO99" s="81">
        <f t="shared" si="10"/>
        <v>0.4</v>
      </c>
      <c r="BP99" s="81">
        <f t="shared" si="11"/>
        <v>0.4</v>
      </c>
    </row>
    <row r="100" spans="1:68" x14ac:dyDescent="0.2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3"/>
      <c r="P100" s="369" t="s">
        <v>40</v>
      </c>
      <c r="Q100" s="370"/>
      <c r="R100" s="370"/>
      <c r="S100" s="370"/>
      <c r="T100" s="370"/>
      <c r="U100" s="370"/>
      <c r="V100" s="371"/>
      <c r="W100" s="42" t="s">
        <v>39</v>
      </c>
      <c r="X100" s="43">
        <f>IFERROR(SUM(X94:X99),"0")</f>
        <v>238</v>
      </c>
      <c r="Y100" s="43">
        <f>IFERROR(SUM(Y94:Y99),"0")</f>
        <v>238</v>
      </c>
      <c r="Z100" s="43">
        <f>IFERROR(IF(Z94="",0,Z94),"0")+IFERROR(IF(Z95="",0,Z95),"0")+IFERROR(IF(Z96="",0,Z96),"0")+IFERROR(IF(Z97="",0,Z97),"0")+IFERROR(IF(Z98="",0,Z98),"0")+IFERROR(IF(Z99="",0,Z99),"0")</f>
        <v>4.2554400000000001</v>
      </c>
      <c r="AA100" s="67"/>
      <c r="AB100" s="67"/>
      <c r="AC100" s="67"/>
    </row>
    <row r="101" spans="1:68" x14ac:dyDescent="0.2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3"/>
      <c r="P101" s="369" t="s">
        <v>40</v>
      </c>
      <c r="Q101" s="370"/>
      <c r="R101" s="370"/>
      <c r="S101" s="370"/>
      <c r="T101" s="370"/>
      <c r="U101" s="370"/>
      <c r="V101" s="371"/>
      <c r="W101" s="42" t="s">
        <v>0</v>
      </c>
      <c r="X101" s="43">
        <f>IFERROR(SUMPRODUCT(X94:X99*H94:H99),"0")</f>
        <v>722.4</v>
      </c>
      <c r="Y101" s="43">
        <f>IFERROR(SUMPRODUCT(Y94:Y99*H94:H99),"0")</f>
        <v>722.4</v>
      </c>
      <c r="Z101" s="42"/>
      <c r="AA101" s="67"/>
      <c r="AB101" s="67"/>
      <c r="AC101" s="67"/>
    </row>
    <row r="102" spans="1:68" ht="16.5" hidden="1" customHeight="1" x14ac:dyDescent="0.25">
      <c r="A102" s="356" t="s">
        <v>192</v>
      </c>
      <c r="B102" s="356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65"/>
      <c r="AB102" s="65"/>
      <c r="AC102" s="82"/>
    </row>
    <row r="103" spans="1:68" ht="14.25" hidden="1" customHeight="1" x14ac:dyDescent="0.25">
      <c r="A103" s="357" t="s">
        <v>144</v>
      </c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  <c r="AA103" s="66"/>
      <c r="AB103" s="66"/>
      <c r="AC103" s="83"/>
    </row>
    <row r="104" spans="1:68" ht="27" hidden="1" customHeight="1" x14ac:dyDescent="0.25">
      <c r="A104" s="63" t="s">
        <v>193</v>
      </c>
      <c r="B104" s="63" t="s">
        <v>194</v>
      </c>
      <c r="C104" s="36">
        <v>4301136070</v>
      </c>
      <c r="D104" s="358">
        <v>4607025784012</v>
      </c>
      <c r="E104" s="35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40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0"/>
      <c r="R104" s="360"/>
      <c r="S104" s="360"/>
      <c r="T104" s="361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196</v>
      </c>
      <c r="B105" s="63" t="s">
        <v>197</v>
      </c>
      <c r="C105" s="36">
        <v>4301136079</v>
      </c>
      <c r="D105" s="358">
        <v>4607025784319</v>
      </c>
      <c r="E105" s="35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87</v>
      </c>
      <c r="M105" s="38" t="s">
        <v>85</v>
      </c>
      <c r="N105" s="38"/>
      <c r="O105" s="37">
        <v>180</v>
      </c>
      <c r="P105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60"/>
      <c r="R105" s="360"/>
      <c r="S105" s="360"/>
      <c r="T105" s="36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88</v>
      </c>
      <c r="AK105" s="87">
        <v>1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3"/>
      <c r="P106" s="369" t="s">
        <v>40</v>
      </c>
      <c r="Q106" s="370"/>
      <c r="R106" s="370"/>
      <c r="S106" s="370"/>
      <c r="T106" s="370"/>
      <c r="U106" s="370"/>
      <c r="V106" s="37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3"/>
      <c r="P107" s="369" t="s">
        <v>40</v>
      </c>
      <c r="Q107" s="370"/>
      <c r="R107" s="370"/>
      <c r="S107" s="370"/>
      <c r="T107" s="370"/>
      <c r="U107" s="370"/>
      <c r="V107" s="371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6" t="s">
        <v>198</v>
      </c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65"/>
      <c r="AB108" s="65"/>
      <c r="AC108" s="82"/>
    </row>
    <row r="109" spans="1:68" ht="14.25" hidden="1" customHeight="1" x14ac:dyDescent="0.25">
      <c r="A109" s="357" t="s">
        <v>81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66"/>
      <c r="AB109" s="66"/>
      <c r="AC109" s="83"/>
    </row>
    <row r="110" spans="1:68" ht="27" customHeight="1" x14ac:dyDescent="0.25">
      <c r="A110" s="63" t="s">
        <v>199</v>
      </c>
      <c r="B110" s="63" t="s">
        <v>200</v>
      </c>
      <c r="C110" s="36">
        <v>4301071074</v>
      </c>
      <c r="D110" s="358">
        <v>4620207491157</v>
      </c>
      <c r="E110" s="35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0"/>
      <c r="R110" s="360"/>
      <c r="S110" s="360"/>
      <c r="T110" s="361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ref="Y110:Y117" si="12">IFERROR(IF(X110="","",X110),"")</f>
        <v>84</v>
      </c>
      <c r="Z110" s="41">
        <f t="shared" ref="Z110:Z117" si="13">IFERROR(IF(X110="","",X110*0.0155),"")</f>
        <v>1.302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611.52</v>
      </c>
      <c r="BN110" s="81">
        <f t="shared" ref="BN110:BN117" si="15">IFERROR(Y110*I110,"0")</f>
        <v>611.52</v>
      </c>
      <c r="BO110" s="81">
        <f t="shared" ref="BO110:BO117" si="16">IFERROR(X110/J110,"0")</f>
        <v>1</v>
      </c>
      <c r="BP110" s="81">
        <f t="shared" ref="BP110:BP117" si="17">IFERROR(Y110/J110,"0")</f>
        <v>1</v>
      </c>
    </row>
    <row r="111" spans="1:68" ht="27" hidden="1" customHeight="1" x14ac:dyDescent="0.25">
      <c r="A111" s="63" t="s">
        <v>202</v>
      </c>
      <c r="B111" s="63" t="s">
        <v>203</v>
      </c>
      <c r="C111" s="36">
        <v>4301071121</v>
      </c>
      <c r="D111" s="358">
        <v>4620207491393</v>
      </c>
      <c r="E111" s="35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0"/>
      <c r="R111" s="360"/>
      <c r="S111" s="360"/>
      <c r="T111" s="361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205</v>
      </c>
      <c r="B112" s="63" t="s">
        <v>206</v>
      </c>
      <c r="C112" s="36">
        <v>4301071051</v>
      </c>
      <c r="D112" s="358">
        <v>4607111039262</v>
      </c>
      <c r="E112" s="358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60"/>
      <c r="R112" s="360"/>
      <c r="S112" s="360"/>
      <c r="T112" s="361"/>
      <c r="U112" s="39" t="s">
        <v>46</v>
      </c>
      <c r="V112" s="39" t="s">
        <v>46</v>
      </c>
      <c r="W112" s="40" t="s">
        <v>39</v>
      </c>
      <c r="X112" s="58">
        <v>48</v>
      </c>
      <c r="Y112" s="55">
        <f t="shared" si="12"/>
        <v>48</v>
      </c>
      <c r="Z112" s="41">
        <f t="shared" si="13"/>
        <v>0.74399999999999999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322.54079999999999</v>
      </c>
      <c r="BN112" s="81">
        <f t="shared" si="15"/>
        <v>322.54079999999999</v>
      </c>
      <c r="BO112" s="81">
        <f t="shared" si="16"/>
        <v>0.5714285714285714</v>
      </c>
      <c r="BP112" s="81">
        <f t="shared" si="17"/>
        <v>0.5714285714285714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358">
        <v>4607111039248</v>
      </c>
      <c r="E113" s="358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60"/>
      <c r="R113" s="360"/>
      <c r="S113" s="360"/>
      <c r="T113" s="361"/>
      <c r="U113" s="39" t="s">
        <v>46</v>
      </c>
      <c r="V113" s="39" t="s">
        <v>46</v>
      </c>
      <c r="W113" s="40" t="s">
        <v>39</v>
      </c>
      <c r="X113" s="58">
        <v>60</v>
      </c>
      <c r="Y113" s="55">
        <f t="shared" si="12"/>
        <v>60</v>
      </c>
      <c r="Z113" s="41">
        <f t="shared" si="13"/>
        <v>0.92999999999999994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438</v>
      </c>
      <c r="BN113" s="81">
        <f t="shared" si="15"/>
        <v>438</v>
      </c>
      <c r="BO113" s="81">
        <f t="shared" si="16"/>
        <v>0.7142857142857143</v>
      </c>
      <c r="BP113" s="81">
        <f t="shared" si="17"/>
        <v>0.7142857142857143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4301070979</v>
      </c>
      <c r="D114" s="358">
        <v>4607111037145</v>
      </c>
      <c r="E114" s="358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60"/>
      <c r="R114" s="360"/>
      <c r="S114" s="360"/>
      <c r="T114" s="36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212</v>
      </c>
      <c r="B115" s="63" t="s">
        <v>213</v>
      </c>
      <c r="C115" s="36">
        <v>4301071075</v>
      </c>
      <c r="D115" s="358">
        <v>4620207491102</v>
      </c>
      <c r="E115" s="358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0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60"/>
      <c r="R115" s="360"/>
      <c r="S115" s="360"/>
      <c r="T115" s="36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358">
        <v>4607111039293</v>
      </c>
      <c r="E116" s="358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40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0"/>
      <c r="R116" s="360"/>
      <c r="S116" s="360"/>
      <c r="T116" s="361"/>
      <c r="U116" s="39" t="s">
        <v>46</v>
      </c>
      <c r="V116" s="39" t="s">
        <v>46</v>
      </c>
      <c r="W116" s="40" t="s">
        <v>39</v>
      </c>
      <c r="X116" s="58">
        <v>36</v>
      </c>
      <c r="Y116" s="55">
        <f t="shared" si="12"/>
        <v>36</v>
      </c>
      <c r="Z116" s="41">
        <f t="shared" si="13"/>
        <v>0.55800000000000005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241.90559999999999</v>
      </c>
      <c r="BN116" s="81">
        <f t="shared" si="15"/>
        <v>241.90559999999999</v>
      </c>
      <c r="BO116" s="81">
        <f t="shared" si="16"/>
        <v>0.42857142857142855</v>
      </c>
      <c r="BP116" s="81">
        <f t="shared" si="17"/>
        <v>0.42857142857142855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358">
        <v>4607111039279</v>
      </c>
      <c r="E117" s="358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0"/>
      <c r="R117" s="360"/>
      <c r="S117" s="360"/>
      <c r="T117" s="361"/>
      <c r="U117" s="39" t="s">
        <v>46</v>
      </c>
      <c r="V117" s="39" t="s">
        <v>46</v>
      </c>
      <c r="W117" s="40" t="s">
        <v>39</v>
      </c>
      <c r="X117" s="58">
        <v>96</v>
      </c>
      <c r="Y117" s="55">
        <f t="shared" si="12"/>
        <v>96</v>
      </c>
      <c r="Z117" s="41">
        <f t="shared" si="13"/>
        <v>1.488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700.8</v>
      </c>
      <c r="BN117" s="81">
        <f t="shared" si="15"/>
        <v>700.8</v>
      </c>
      <c r="BO117" s="81">
        <f t="shared" si="16"/>
        <v>1.1428571428571428</v>
      </c>
      <c r="BP117" s="81">
        <f t="shared" si="17"/>
        <v>1.1428571428571428</v>
      </c>
    </row>
    <row r="118" spans="1:68" x14ac:dyDescent="0.2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3"/>
      <c r="P118" s="369" t="s">
        <v>40</v>
      </c>
      <c r="Q118" s="370"/>
      <c r="R118" s="370"/>
      <c r="S118" s="370"/>
      <c r="T118" s="370"/>
      <c r="U118" s="370"/>
      <c r="V118" s="371"/>
      <c r="W118" s="42" t="s">
        <v>39</v>
      </c>
      <c r="X118" s="43">
        <f>IFERROR(SUM(X110:X117),"0")</f>
        <v>324</v>
      </c>
      <c r="Y118" s="43">
        <f>IFERROR(SUM(Y110:Y117),"0")</f>
        <v>324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5.0220000000000002</v>
      </c>
      <c r="AA118" s="67"/>
      <c r="AB118" s="67"/>
      <c r="AC118" s="67"/>
    </row>
    <row r="119" spans="1:68" x14ac:dyDescent="0.2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3"/>
      <c r="P119" s="369" t="s">
        <v>40</v>
      </c>
      <c r="Q119" s="370"/>
      <c r="R119" s="370"/>
      <c r="S119" s="370"/>
      <c r="T119" s="370"/>
      <c r="U119" s="370"/>
      <c r="V119" s="371"/>
      <c r="W119" s="42" t="s">
        <v>0</v>
      </c>
      <c r="X119" s="43">
        <f>IFERROR(SUMPRODUCT(X110:X117*H110:H117),"0")</f>
        <v>2217.6000000000004</v>
      </c>
      <c r="Y119" s="43">
        <f>IFERROR(SUMPRODUCT(Y110:Y117*H110:H117),"0")</f>
        <v>2217.6000000000004</v>
      </c>
      <c r="Z119" s="42"/>
      <c r="AA119" s="67"/>
      <c r="AB119" s="67"/>
      <c r="AC119" s="67"/>
    </row>
    <row r="120" spans="1:68" ht="14.25" hidden="1" customHeight="1" x14ac:dyDescent="0.25">
      <c r="A120" s="357" t="s">
        <v>150</v>
      </c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66"/>
      <c r="AB120" s="66"/>
      <c r="AC120" s="83"/>
    </row>
    <row r="121" spans="1:68" ht="27" hidden="1" customHeight="1" x14ac:dyDescent="0.25">
      <c r="A121" s="63" t="s">
        <v>219</v>
      </c>
      <c r="B121" s="63" t="s">
        <v>220</v>
      </c>
      <c r="C121" s="36">
        <v>4301135826</v>
      </c>
      <c r="D121" s="358">
        <v>4620207490983</v>
      </c>
      <c r="E121" s="358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0"/>
      <c r="R121" s="360"/>
      <c r="S121" s="360"/>
      <c r="T121" s="361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3"/>
      <c r="P122" s="369" t="s">
        <v>40</v>
      </c>
      <c r="Q122" s="370"/>
      <c r="R122" s="370"/>
      <c r="S122" s="370"/>
      <c r="T122" s="370"/>
      <c r="U122" s="370"/>
      <c r="V122" s="371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3"/>
      <c r="P123" s="369" t="s">
        <v>40</v>
      </c>
      <c r="Q123" s="370"/>
      <c r="R123" s="370"/>
      <c r="S123" s="370"/>
      <c r="T123" s="370"/>
      <c r="U123" s="370"/>
      <c r="V123" s="371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7" t="s">
        <v>222</v>
      </c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66"/>
      <c r="AB124" s="66"/>
      <c r="AC124" s="83"/>
    </row>
    <row r="125" spans="1:68" ht="27" hidden="1" customHeight="1" x14ac:dyDescent="0.25">
      <c r="A125" s="63" t="s">
        <v>223</v>
      </c>
      <c r="B125" s="63" t="s">
        <v>224</v>
      </c>
      <c r="C125" s="36">
        <v>4301071094</v>
      </c>
      <c r="D125" s="358">
        <v>4620207491140</v>
      </c>
      <c r="E125" s="358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0"/>
      <c r="R125" s="360"/>
      <c r="S125" s="360"/>
      <c r="T125" s="361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3"/>
      <c r="P126" s="369" t="s">
        <v>40</v>
      </c>
      <c r="Q126" s="370"/>
      <c r="R126" s="370"/>
      <c r="S126" s="370"/>
      <c r="T126" s="370"/>
      <c r="U126" s="370"/>
      <c r="V126" s="37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3"/>
      <c r="P127" s="369" t="s">
        <v>40</v>
      </c>
      <c r="Q127" s="370"/>
      <c r="R127" s="370"/>
      <c r="S127" s="370"/>
      <c r="T127" s="370"/>
      <c r="U127" s="370"/>
      <c r="V127" s="37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56" t="s">
        <v>226</v>
      </c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65"/>
      <c r="AB128" s="65"/>
      <c r="AC128" s="82"/>
    </row>
    <row r="129" spans="1:68" ht="14.25" hidden="1" customHeight="1" x14ac:dyDescent="0.25">
      <c r="A129" s="357" t="s">
        <v>150</v>
      </c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66"/>
      <c r="AB129" s="66"/>
      <c r="AC129" s="83"/>
    </row>
    <row r="130" spans="1:68" ht="27" hidden="1" customHeight="1" x14ac:dyDescent="0.25">
      <c r="A130" s="63" t="s">
        <v>227</v>
      </c>
      <c r="B130" s="63" t="s">
        <v>228</v>
      </c>
      <c r="C130" s="36">
        <v>4301135848</v>
      </c>
      <c r="D130" s="358">
        <v>4620207491799</v>
      </c>
      <c r="E130" s="358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41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60"/>
      <c r="R130" s="360"/>
      <c r="S130" s="360"/>
      <c r="T130" s="361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358">
        <v>4620207491492</v>
      </c>
      <c r="E131" s="35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60"/>
      <c r="R131" s="360"/>
      <c r="S131" s="360"/>
      <c r="T131" s="361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232</v>
      </c>
      <c r="B132" s="63" t="s">
        <v>233</v>
      </c>
      <c r="C132" s="36">
        <v>4301190118</v>
      </c>
      <c r="D132" s="358">
        <v>4620207491461</v>
      </c>
      <c r="E132" s="358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60"/>
      <c r="R132" s="360"/>
      <c r="S132" s="360"/>
      <c r="T132" s="361"/>
      <c r="U132" s="39" t="s">
        <v>46</v>
      </c>
      <c r="V132" s="39" t="s">
        <v>46</v>
      </c>
      <c r="W132" s="40" t="s">
        <v>39</v>
      </c>
      <c r="X132" s="58">
        <v>112</v>
      </c>
      <c r="Y132" s="55">
        <f>IFERROR(IF(X132="","",X132),"")</f>
        <v>112</v>
      </c>
      <c r="Z132" s="41">
        <f>IFERROR(IF(X132="","",X132*0.00941),"")</f>
        <v>1.05392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194.88</v>
      </c>
      <c r="BN132" s="81">
        <f>IFERROR(Y132*I132,"0")</f>
        <v>194.88</v>
      </c>
      <c r="BO132" s="81">
        <f>IFERROR(X132/J132,"0")</f>
        <v>0.8</v>
      </c>
      <c r="BP132" s="81">
        <f>IFERROR(Y132/J132,"0")</f>
        <v>0.8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358">
        <v>4620207491485</v>
      </c>
      <c r="E133" s="358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60"/>
      <c r="R133" s="360"/>
      <c r="S133" s="360"/>
      <c r="T133" s="361"/>
      <c r="U133" s="39" t="s">
        <v>46</v>
      </c>
      <c r="V133" s="39" t="s">
        <v>46</v>
      </c>
      <c r="W133" s="40" t="s">
        <v>39</v>
      </c>
      <c r="X133" s="58">
        <v>140</v>
      </c>
      <c r="Y133" s="55">
        <f>IFERROR(IF(X133="","",X133),"")</f>
        <v>140</v>
      </c>
      <c r="Z133" s="41">
        <f>IFERROR(IF(X133="","",X133*0.00941),"")</f>
        <v>1.3173999999999999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252</v>
      </c>
      <c r="BN133" s="81">
        <f>IFERROR(Y133*I133,"0")</f>
        <v>252</v>
      </c>
      <c r="BO133" s="81">
        <f>IFERROR(X133/J133,"0")</f>
        <v>1</v>
      </c>
      <c r="BP133" s="81">
        <f>IFERROR(Y133/J133,"0")</f>
        <v>1</v>
      </c>
    </row>
    <row r="134" spans="1:68" x14ac:dyDescent="0.2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3"/>
      <c r="P134" s="369" t="s">
        <v>40</v>
      </c>
      <c r="Q134" s="370"/>
      <c r="R134" s="370"/>
      <c r="S134" s="370"/>
      <c r="T134" s="370"/>
      <c r="U134" s="370"/>
      <c r="V134" s="371"/>
      <c r="W134" s="42" t="s">
        <v>39</v>
      </c>
      <c r="X134" s="43">
        <f>IFERROR(SUM(X130:X133),"0")</f>
        <v>308</v>
      </c>
      <c r="Y134" s="43">
        <f>IFERROR(SUM(Y130:Y133),"0")</f>
        <v>308</v>
      </c>
      <c r="Z134" s="43">
        <f>IFERROR(IF(Z130="",0,Z130),"0")+IFERROR(IF(Z131="",0,Z131),"0")+IFERROR(IF(Z132="",0,Z132),"0")+IFERROR(IF(Z133="",0,Z133),"0")</f>
        <v>2.8982799999999997</v>
      </c>
      <c r="AA134" s="67"/>
      <c r="AB134" s="67"/>
      <c r="AC134" s="67"/>
    </row>
    <row r="135" spans="1:68" x14ac:dyDescent="0.2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3"/>
      <c r="P135" s="369" t="s">
        <v>40</v>
      </c>
      <c r="Q135" s="370"/>
      <c r="R135" s="370"/>
      <c r="S135" s="370"/>
      <c r="T135" s="370"/>
      <c r="U135" s="370"/>
      <c r="V135" s="371"/>
      <c r="W135" s="42" t="s">
        <v>0</v>
      </c>
      <c r="X135" s="43">
        <f>IFERROR(SUMPRODUCT(X130:X133*H130:H133),"0")</f>
        <v>418.32</v>
      </c>
      <c r="Y135" s="43">
        <f>IFERROR(SUMPRODUCT(Y130:Y133*H130:H133),"0")</f>
        <v>418.32</v>
      </c>
      <c r="Z135" s="42"/>
      <c r="AA135" s="67"/>
      <c r="AB135" s="67"/>
      <c r="AC135" s="67"/>
    </row>
    <row r="136" spans="1:68" ht="14.25" hidden="1" customHeight="1" x14ac:dyDescent="0.25">
      <c r="A136" s="357" t="s">
        <v>236</v>
      </c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66"/>
      <c r="AB136" s="66"/>
      <c r="AC136" s="83"/>
    </row>
    <row r="137" spans="1:68" ht="27" hidden="1" customHeight="1" x14ac:dyDescent="0.25">
      <c r="A137" s="63" t="s">
        <v>237</v>
      </c>
      <c r="B137" s="63" t="s">
        <v>238</v>
      </c>
      <c r="C137" s="36">
        <v>4301190117</v>
      </c>
      <c r="D137" s="358">
        <v>4620207491386</v>
      </c>
      <c r="E137" s="358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0"/>
      <c r="R137" s="360"/>
      <c r="S137" s="360"/>
      <c r="T137" s="361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240</v>
      </c>
      <c r="B138" s="63" t="s">
        <v>241</v>
      </c>
      <c r="C138" s="36">
        <v>4301190115</v>
      </c>
      <c r="D138" s="358">
        <v>4620207491362</v>
      </c>
      <c r="E138" s="35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0"/>
      <c r="R138" s="360"/>
      <c r="S138" s="360"/>
      <c r="T138" s="36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4301190116</v>
      </c>
      <c r="D139" s="358">
        <v>4620207491379</v>
      </c>
      <c r="E139" s="35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0"/>
      <c r="R139" s="360"/>
      <c r="S139" s="360"/>
      <c r="T139" s="36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3"/>
      <c r="P140" s="369" t="s">
        <v>40</v>
      </c>
      <c r="Q140" s="370"/>
      <c r="R140" s="370"/>
      <c r="S140" s="370"/>
      <c r="T140" s="370"/>
      <c r="U140" s="370"/>
      <c r="V140" s="371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3"/>
      <c r="P141" s="369" t="s">
        <v>40</v>
      </c>
      <c r="Q141" s="370"/>
      <c r="R141" s="370"/>
      <c r="S141" s="370"/>
      <c r="T141" s="370"/>
      <c r="U141" s="370"/>
      <c r="V141" s="371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56" t="s">
        <v>244</v>
      </c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65"/>
      <c r="AB142" s="65"/>
      <c r="AC142" s="82"/>
    </row>
    <row r="143" spans="1:68" ht="14.25" hidden="1" customHeight="1" x14ac:dyDescent="0.25">
      <c r="A143" s="357" t="s">
        <v>150</v>
      </c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358">
        <v>4607111034014</v>
      </c>
      <c r="E144" s="358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60"/>
      <c r="R144" s="360"/>
      <c r="S144" s="360"/>
      <c r="T144" s="361"/>
      <c r="U144" s="39" t="s">
        <v>46</v>
      </c>
      <c r="V144" s="39" t="s">
        <v>46</v>
      </c>
      <c r="W144" s="40" t="s">
        <v>39</v>
      </c>
      <c r="X144" s="58">
        <v>28</v>
      </c>
      <c r="Y144" s="55">
        <f>IFERROR(IF(X144="","",X144),"")</f>
        <v>28</v>
      </c>
      <c r="Z144" s="41">
        <f>IFERROR(IF(X144="","",X144*0.01788),"")</f>
        <v>0.50063999999999997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103.70079999999999</v>
      </c>
      <c r="BN144" s="81">
        <f>IFERROR(Y144*I144,"0")</f>
        <v>103.70079999999999</v>
      </c>
      <c r="BO144" s="81">
        <f>IFERROR(X144/J144,"0")</f>
        <v>0.4</v>
      </c>
      <c r="BP144" s="81">
        <f>IFERROR(Y144/J144,"0")</f>
        <v>0.4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358">
        <v>4607111033994</v>
      </c>
      <c r="E145" s="35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60"/>
      <c r="R145" s="360"/>
      <c r="S145" s="360"/>
      <c r="T145" s="361"/>
      <c r="U145" s="39" t="s">
        <v>46</v>
      </c>
      <c r="V145" s="39" t="s">
        <v>46</v>
      </c>
      <c r="W145" s="40" t="s">
        <v>39</v>
      </c>
      <c r="X145" s="58">
        <v>70</v>
      </c>
      <c r="Y145" s="55">
        <f>IFERROR(IF(X145="","",X145),"")</f>
        <v>70</v>
      </c>
      <c r="Z145" s="41">
        <f>IFERROR(IF(X145="","",X145*0.01788),"")</f>
        <v>1.2516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259.25200000000001</v>
      </c>
      <c r="BN145" s="81">
        <f>IFERROR(Y145*I145,"0")</f>
        <v>259.25200000000001</v>
      </c>
      <c r="BO145" s="81">
        <f>IFERROR(X145/J145,"0")</f>
        <v>1</v>
      </c>
      <c r="BP145" s="81">
        <f>IFERROR(Y145/J145,"0")</f>
        <v>1</v>
      </c>
    </row>
    <row r="146" spans="1:68" x14ac:dyDescent="0.2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3"/>
      <c r="P146" s="369" t="s">
        <v>40</v>
      </c>
      <c r="Q146" s="370"/>
      <c r="R146" s="370"/>
      <c r="S146" s="370"/>
      <c r="T146" s="370"/>
      <c r="U146" s="370"/>
      <c r="V146" s="371"/>
      <c r="W146" s="42" t="s">
        <v>39</v>
      </c>
      <c r="X146" s="43">
        <f>IFERROR(SUM(X144:X145),"0")</f>
        <v>98</v>
      </c>
      <c r="Y146" s="43">
        <f>IFERROR(SUM(Y144:Y145),"0")</f>
        <v>98</v>
      </c>
      <c r="Z146" s="43">
        <f>IFERROR(IF(Z144="",0,Z144),"0")+IFERROR(IF(Z145="",0,Z145),"0")</f>
        <v>1.75224</v>
      </c>
      <c r="AA146" s="67"/>
      <c r="AB146" s="67"/>
      <c r="AC146" s="67"/>
    </row>
    <row r="147" spans="1:68" x14ac:dyDescent="0.2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3"/>
      <c r="P147" s="369" t="s">
        <v>40</v>
      </c>
      <c r="Q147" s="370"/>
      <c r="R147" s="370"/>
      <c r="S147" s="370"/>
      <c r="T147" s="370"/>
      <c r="U147" s="370"/>
      <c r="V147" s="371"/>
      <c r="W147" s="42" t="s">
        <v>0</v>
      </c>
      <c r="X147" s="43">
        <f>IFERROR(SUMPRODUCT(X144:X145*H144:H145),"0")</f>
        <v>294</v>
      </c>
      <c r="Y147" s="43">
        <f>IFERROR(SUMPRODUCT(Y144:Y145*H144:H145),"0")</f>
        <v>294</v>
      </c>
      <c r="Z147" s="42"/>
      <c r="AA147" s="67"/>
      <c r="AB147" s="67"/>
      <c r="AC147" s="67"/>
    </row>
    <row r="148" spans="1:68" ht="16.5" hidden="1" customHeight="1" x14ac:dyDescent="0.25">
      <c r="A148" s="356" t="s">
        <v>250</v>
      </c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65"/>
      <c r="AB148" s="65"/>
      <c r="AC148" s="82"/>
    </row>
    <row r="149" spans="1:68" ht="14.25" hidden="1" customHeight="1" x14ac:dyDescent="0.25">
      <c r="A149" s="357" t="s">
        <v>150</v>
      </c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66"/>
      <c r="AB149" s="66"/>
      <c r="AC149" s="83"/>
    </row>
    <row r="150" spans="1:68" ht="27" customHeight="1" x14ac:dyDescent="0.25">
      <c r="A150" s="63" t="s">
        <v>251</v>
      </c>
      <c r="B150" s="63" t="s">
        <v>252</v>
      </c>
      <c r="C150" s="36">
        <v>4301135824</v>
      </c>
      <c r="D150" s="358">
        <v>4607111039095</v>
      </c>
      <c r="E150" s="358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60"/>
      <c r="R150" s="360"/>
      <c r="S150" s="360"/>
      <c r="T150" s="361"/>
      <c r="U150" s="39" t="s">
        <v>46</v>
      </c>
      <c r="V150" s="39" t="s">
        <v>46</v>
      </c>
      <c r="W150" s="40" t="s">
        <v>39</v>
      </c>
      <c r="X150" s="58">
        <v>56</v>
      </c>
      <c r="Y150" s="55">
        <f>IFERROR(IF(X150="","",X150),"")</f>
        <v>56</v>
      </c>
      <c r="Z150" s="41">
        <f>IFERROR(IF(X150="","",X150*0.01788),"")</f>
        <v>1.0012799999999999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209.88800000000001</v>
      </c>
      <c r="BN150" s="81">
        <f>IFERROR(Y150*I150,"0")</f>
        <v>209.88800000000001</v>
      </c>
      <c r="BO150" s="81">
        <f>IFERROR(X150/J150,"0")</f>
        <v>0.8</v>
      </c>
      <c r="BP150" s="81">
        <f>IFERROR(Y150/J150,"0")</f>
        <v>0.8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358">
        <v>4607111034199</v>
      </c>
      <c r="E151" s="358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360"/>
      <c r="R151" s="360"/>
      <c r="S151" s="360"/>
      <c r="T151" s="361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3"/>
      <c r="P152" s="369" t="s">
        <v>40</v>
      </c>
      <c r="Q152" s="370"/>
      <c r="R152" s="370"/>
      <c r="S152" s="370"/>
      <c r="T152" s="370"/>
      <c r="U152" s="370"/>
      <c r="V152" s="371"/>
      <c r="W152" s="42" t="s">
        <v>39</v>
      </c>
      <c r="X152" s="43">
        <f>IFERROR(SUM(X150:X151),"0")</f>
        <v>126</v>
      </c>
      <c r="Y152" s="43">
        <f>IFERROR(SUM(Y150:Y151),"0")</f>
        <v>126</v>
      </c>
      <c r="Z152" s="43">
        <f>IFERROR(IF(Z150="",0,Z150),"0")+IFERROR(IF(Z151="",0,Z151),"0")</f>
        <v>2.2528800000000002</v>
      </c>
      <c r="AA152" s="67"/>
      <c r="AB152" s="67"/>
      <c r="AC152" s="67"/>
    </row>
    <row r="153" spans="1:68" x14ac:dyDescent="0.2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3"/>
      <c r="P153" s="369" t="s">
        <v>40</v>
      </c>
      <c r="Q153" s="370"/>
      <c r="R153" s="370"/>
      <c r="S153" s="370"/>
      <c r="T153" s="370"/>
      <c r="U153" s="370"/>
      <c r="V153" s="371"/>
      <c r="W153" s="42" t="s">
        <v>0</v>
      </c>
      <c r="X153" s="43">
        <f>IFERROR(SUMPRODUCT(X150:X151*H150:H151),"0")</f>
        <v>378</v>
      </c>
      <c r="Y153" s="43">
        <f>IFERROR(SUMPRODUCT(Y150:Y151*H150:H151),"0")</f>
        <v>378</v>
      </c>
      <c r="Z153" s="42"/>
      <c r="AA153" s="67"/>
      <c r="AB153" s="67"/>
      <c r="AC153" s="67"/>
    </row>
    <row r="154" spans="1:68" ht="16.5" hidden="1" customHeight="1" x14ac:dyDescent="0.25">
      <c r="A154" s="356" t="s">
        <v>257</v>
      </c>
      <c r="B154" s="356"/>
      <c r="C154" s="356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65"/>
      <c r="AB154" s="65"/>
      <c r="AC154" s="82"/>
    </row>
    <row r="155" spans="1:68" ht="14.25" hidden="1" customHeight="1" x14ac:dyDescent="0.25">
      <c r="A155" s="357" t="s">
        <v>150</v>
      </c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66"/>
      <c r="AB155" s="66"/>
      <c r="AC155" s="83"/>
    </row>
    <row r="156" spans="1:68" ht="27" hidden="1" customHeight="1" x14ac:dyDescent="0.25">
      <c r="A156" s="63" t="s">
        <v>258</v>
      </c>
      <c r="B156" s="63" t="s">
        <v>259</v>
      </c>
      <c r="C156" s="36">
        <v>4301135753</v>
      </c>
      <c r="D156" s="358">
        <v>4620207490914</v>
      </c>
      <c r="E156" s="358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87</v>
      </c>
      <c r="M156" s="38" t="s">
        <v>85</v>
      </c>
      <c r="N156" s="38"/>
      <c r="O156" s="37">
        <v>180</v>
      </c>
      <c r="P156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0"/>
      <c r="R156" s="360"/>
      <c r="S156" s="360"/>
      <c r="T156" s="361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88</v>
      </c>
      <c r="AK156" s="87">
        <v>1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358">
        <v>4620207490853</v>
      </c>
      <c r="E157" s="35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4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60"/>
      <c r="R157" s="360"/>
      <c r="S157" s="360"/>
      <c r="T157" s="361"/>
      <c r="U157" s="39" t="s">
        <v>46</v>
      </c>
      <c r="V157" s="39" t="s">
        <v>46</v>
      </c>
      <c r="W157" s="40" t="s">
        <v>39</v>
      </c>
      <c r="X157" s="58">
        <v>56</v>
      </c>
      <c r="Y157" s="55">
        <f>IFERROR(IF(X157="","",X157),"")</f>
        <v>56</v>
      </c>
      <c r="Z157" s="41">
        <f>IFERROR(IF(X157="","",X157*0.01788),"")</f>
        <v>1.0012799999999999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150.08000000000001</v>
      </c>
      <c r="BN157" s="81">
        <f>IFERROR(Y157*I157,"0")</f>
        <v>150.08000000000001</v>
      </c>
      <c r="BO157" s="81">
        <f>IFERROR(X157/J157,"0")</f>
        <v>0.8</v>
      </c>
      <c r="BP157" s="81">
        <f>IFERROR(Y157/J157,"0")</f>
        <v>0.8</v>
      </c>
    </row>
    <row r="158" spans="1:68" x14ac:dyDescent="0.2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3"/>
      <c r="P158" s="369" t="s">
        <v>40</v>
      </c>
      <c r="Q158" s="370"/>
      <c r="R158" s="370"/>
      <c r="S158" s="370"/>
      <c r="T158" s="370"/>
      <c r="U158" s="370"/>
      <c r="V158" s="371"/>
      <c r="W158" s="42" t="s">
        <v>39</v>
      </c>
      <c r="X158" s="43">
        <f>IFERROR(SUM(X156:X157),"0")</f>
        <v>56</v>
      </c>
      <c r="Y158" s="43">
        <f>IFERROR(SUM(Y156:Y157),"0")</f>
        <v>56</v>
      </c>
      <c r="Z158" s="43">
        <f>IFERROR(IF(Z156="",0,Z156),"0")+IFERROR(IF(Z157="",0,Z157),"0")</f>
        <v>1.0012799999999999</v>
      </c>
      <c r="AA158" s="67"/>
      <c r="AB158" s="67"/>
      <c r="AC158" s="67"/>
    </row>
    <row r="159" spans="1:68" x14ac:dyDescent="0.2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3"/>
      <c r="P159" s="369" t="s">
        <v>40</v>
      </c>
      <c r="Q159" s="370"/>
      <c r="R159" s="370"/>
      <c r="S159" s="370"/>
      <c r="T159" s="370"/>
      <c r="U159" s="370"/>
      <c r="V159" s="371"/>
      <c r="W159" s="42" t="s">
        <v>0</v>
      </c>
      <c r="X159" s="43">
        <f>IFERROR(SUMPRODUCT(X156:X157*H156:H157),"0")</f>
        <v>134.4</v>
      </c>
      <c r="Y159" s="43">
        <f>IFERROR(SUMPRODUCT(Y156:Y157*H156:H157),"0")</f>
        <v>134.4</v>
      </c>
      <c r="Z159" s="42"/>
      <c r="AA159" s="67"/>
      <c r="AB159" s="67"/>
      <c r="AC159" s="67"/>
    </row>
    <row r="160" spans="1:68" ht="16.5" hidden="1" customHeight="1" x14ac:dyDescent="0.25">
      <c r="A160" s="356" t="s">
        <v>262</v>
      </c>
      <c r="B160" s="356"/>
      <c r="C160" s="356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65"/>
      <c r="AB160" s="65"/>
      <c r="AC160" s="82"/>
    </row>
    <row r="161" spans="1:68" ht="14.25" hidden="1" customHeight="1" x14ac:dyDescent="0.25">
      <c r="A161" s="357" t="s">
        <v>150</v>
      </c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66"/>
      <c r="AB161" s="66"/>
      <c r="AC161" s="83"/>
    </row>
    <row r="162" spans="1:68" ht="27" customHeight="1" x14ac:dyDescent="0.25">
      <c r="A162" s="63" t="s">
        <v>263</v>
      </c>
      <c r="B162" s="63" t="s">
        <v>264</v>
      </c>
      <c r="C162" s="36">
        <v>4301135570</v>
      </c>
      <c r="D162" s="358">
        <v>4607111035806</v>
      </c>
      <c r="E162" s="358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42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60"/>
      <c r="R162" s="360"/>
      <c r="S162" s="360"/>
      <c r="T162" s="361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103.70079999999999</v>
      </c>
      <c r="BN162" s="81">
        <f>IFERROR(Y162*I162,"0")</f>
        <v>103.70079999999999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3"/>
      <c r="P163" s="369" t="s">
        <v>40</v>
      </c>
      <c r="Q163" s="370"/>
      <c r="R163" s="370"/>
      <c r="S163" s="370"/>
      <c r="T163" s="370"/>
      <c r="U163" s="370"/>
      <c r="V163" s="371"/>
      <c r="W163" s="42" t="s">
        <v>39</v>
      </c>
      <c r="X163" s="43">
        <f>IFERROR(SUM(X162:X162),"0")</f>
        <v>28</v>
      </c>
      <c r="Y163" s="43">
        <f>IFERROR(SUM(Y162:Y162),"0")</f>
        <v>28</v>
      </c>
      <c r="Z163" s="43">
        <f>IFERROR(IF(Z162="",0,Z162),"0")</f>
        <v>0.50063999999999997</v>
      </c>
      <c r="AA163" s="67"/>
      <c r="AB163" s="67"/>
      <c r="AC163" s="67"/>
    </row>
    <row r="164" spans="1:68" x14ac:dyDescent="0.2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3"/>
      <c r="P164" s="369" t="s">
        <v>40</v>
      </c>
      <c r="Q164" s="370"/>
      <c r="R164" s="370"/>
      <c r="S164" s="370"/>
      <c r="T164" s="370"/>
      <c r="U164" s="370"/>
      <c r="V164" s="371"/>
      <c r="W164" s="42" t="s">
        <v>0</v>
      </c>
      <c r="X164" s="43">
        <f>IFERROR(SUMPRODUCT(X162:X162*H162:H162),"0")</f>
        <v>84</v>
      </c>
      <c r="Y164" s="43">
        <f>IFERROR(SUMPRODUCT(Y162:Y162*H162:H162),"0")</f>
        <v>84</v>
      </c>
      <c r="Z164" s="42"/>
      <c r="AA164" s="67"/>
      <c r="AB164" s="67"/>
      <c r="AC164" s="67"/>
    </row>
    <row r="165" spans="1:68" ht="16.5" hidden="1" customHeight="1" x14ac:dyDescent="0.25">
      <c r="A165" s="356" t="s">
        <v>266</v>
      </c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65"/>
      <c r="AB165" s="65"/>
      <c r="AC165" s="82"/>
    </row>
    <row r="166" spans="1:68" ht="14.25" hidden="1" customHeight="1" x14ac:dyDescent="0.25">
      <c r="A166" s="357" t="s">
        <v>150</v>
      </c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66"/>
      <c r="AB166" s="66"/>
      <c r="AC166" s="83"/>
    </row>
    <row r="167" spans="1:68" ht="16.5" hidden="1" customHeight="1" x14ac:dyDescent="0.25">
      <c r="A167" s="63" t="s">
        <v>267</v>
      </c>
      <c r="B167" s="63" t="s">
        <v>268</v>
      </c>
      <c r="C167" s="36">
        <v>4301135607</v>
      </c>
      <c r="D167" s="358">
        <v>4607111039613</v>
      </c>
      <c r="E167" s="358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0"/>
      <c r="R167" s="360"/>
      <c r="S167" s="360"/>
      <c r="T167" s="361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3"/>
      <c r="P168" s="369" t="s">
        <v>40</v>
      </c>
      <c r="Q168" s="370"/>
      <c r="R168" s="370"/>
      <c r="S168" s="370"/>
      <c r="T168" s="370"/>
      <c r="U168" s="370"/>
      <c r="V168" s="37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3"/>
      <c r="P169" s="369" t="s">
        <v>40</v>
      </c>
      <c r="Q169" s="370"/>
      <c r="R169" s="370"/>
      <c r="S169" s="370"/>
      <c r="T169" s="370"/>
      <c r="U169" s="370"/>
      <c r="V169" s="37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6" t="s">
        <v>269</v>
      </c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65"/>
      <c r="AB170" s="65"/>
      <c r="AC170" s="82"/>
    </row>
    <row r="171" spans="1:68" ht="14.25" hidden="1" customHeight="1" x14ac:dyDescent="0.25">
      <c r="A171" s="357" t="s">
        <v>150</v>
      </c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66"/>
      <c r="AB171" s="66"/>
      <c r="AC171" s="83"/>
    </row>
    <row r="172" spans="1:68" ht="27" hidden="1" customHeight="1" x14ac:dyDescent="0.25">
      <c r="A172" s="63" t="s">
        <v>270</v>
      </c>
      <c r="B172" s="63" t="s">
        <v>271</v>
      </c>
      <c r="C172" s="36">
        <v>4301135591</v>
      </c>
      <c r="D172" s="358">
        <v>4607111036568</v>
      </c>
      <c r="E172" s="358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0"/>
      <c r="R172" s="360"/>
      <c r="S172" s="360"/>
      <c r="T172" s="36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3"/>
      <c r="P173" s="369" t="s">
        <v>40</v>
      </c>
      <c r="Q173" s="370"/>
      <c r="R173" s="370"/>
      <c r="S173" s="370"/>
      <c r="T173" s="370"/>
      <c r="U173" s="370"/>
      <c r="V173" s="371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3"/>
      <c r="P174" s="369" t="s">
        <v>40</v>
      </c>
      <c r="Q174" s="370"/>
      <c r="R174" s="370"/>
      <c r="S174" s="370"/>
      <c r="T174" s="370"/>
      <c r="U174" s="370"/>
      <c r="V174" s="371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55" t="s">
        <v>273</v>
      </c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5"/>
      <c r="V175" s="355"/>
      <c r="W175" s="355"/>
      <c r="X175" s="355"/>
      <c r="Y175" s="355"/>
      <c r="Z175" s="355"/>
      <c r="AA175" s="54"/>
      <c r="AB175" s="54"/>
      <c r="AC175" s="54"/>
    </row>
    <row r="176" spans="1:68" ht="16.5" hidden="1" customHeight="1" x14ac:dyDescent="0.25">
      <c r="A176" s="356" t="s">
        <v>274</v>
      </c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56"/>
      <c r="S176" s="356"/>
      <c r="T176" s="356"/>
      <c r="U176" s="356"/>
      <c r="V176" s="356"/>
      <c r="W176" s="356"/>
      <c r="X176" s="356"/>
      <c r="Y176" s="356"/>
      <c r="Z176" s="356"/>
      <c r="AA176" s="65"/>
      <c r="AB176" s="65"/>
      <c r="AC176" s="82"/>
    </row>
    <row r="177" spans="1:68" ht="14.25" hidden="1" customHeight="1" x14ac:dyDescent="0.25">
      <c r="A177" s="357" t="s">
        <v>81</v>
      </c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66"/>
      <c r="AB177" s="66"/>
      <c r="AC177" s="83"/>
    </row>
    <row r="178" spans="1:68" ht="16.5" hidden="1" customHeight="1" x14ac:dyDescent="0.25">
      <c r="A178" s="63" t="s">
        <v>275</v>
      </c>
      <c r="B178" s="63" t="s">
        <v>276</v>
      </c>
      <c r="C178" s="36">
        <v>4301071062</v>
      </c>
      <c r="D178" s="358">
        <v>4607111036384</v>
      </c>
      <c r="E178" s="358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118</v>
      </c>
      <c r="M178" s="38" t="s">
        <v>85</v>
      </c>
      <c r="N178" s="38"/>
      <c r="O178" s="37">
        <v>180</v>
      </c>
      <c r="P178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0"/>
      <c r="R178" s="360"/>
      <c r="S178" s="360"/>
      <c r="T178" s="361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119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358">
        <v>4607111036216</v>
      </c>
      <c r="E179" s="358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0"/>
      <c r="R179" s="360"/>
      <c r="S179" s="360"/>
      <c r="T179" s="361"/>
      <c r="U179" s="39" t="s">
        <v>46</v>
      </c>
      <c r="V179" s="39" t="s">
        <v>46</v>
      </c>
      <c r="W179" s="40" t="s">
        <v>39</v>
      </c>
      <c r="X179" s="58">
        <v>156</v>
      </c>
      <c r="Y179" s="55">
        <f>IFERROR(IF(X179="","",X179),"")</f>
        <v>156</v>
      </c>
      <c r="Z179" s="41">
        <f>IFERROR(IF(X179="","",X179*0.00866),"")</f>
        <v>1.3509599999999999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813.25919999999996</v>
      </c>
      <c r="BN179" s="81">
        <f>IFERROR(Y179*I179,"0")</f>
        <v>813.25919999999996</v>
      </c>
      <c r="BO179" s="81">
        <f>IFERROR(X179/J179,"0")</f>
        <v>1.0833333333333333</v>
      </c>
      <c r="BP179" s="81">
        <f>IFERROR(Y179/J179,"0")</f>
        <v>1.0833333333333333</v>
      </c>
    </row>
    <row r="180" spans="1:68" x14ac:dyDescent="0.2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3"/>
      <c r="P180" s="369" t="s">
        <v>40</v>
      </c>
      <c r="Q180" s="370"/>
      <c r="R180" s="370"/>
      <c r="S180" s="370"/>
      <c r="T180" s="370"/>
      <c r="U180" s="370"/>
      <c r="V180" s="371"/>
      <c r="W180" s="42" t="s">
        <v>39</v>
      </c>
      <c r="X180" s="43">
        <f>IFERROR(SUM(X178:X179),"0")</f>
        <v>156</v>
      </c>
      <c r="Y180" s="43">
        <f>IFERROR(SUM(Y178:Y179),"0")</f>
        <v>156</v>
      </c>
      <c r="Z180" s="43">
        <f>IFERROR(IF(Z178="",0,Z178),"0")+IFERROR(IF(Z179="",0,Z179),"0")</f>
        <v>1.3509599999999999</v>
      </c>
      <c r="AA180" s="67"/>
      <c r="AB180" s="67"/>
      <c r="AC180" s="67"/>
    </row>
    <row r="181" spans="1:68" x14ac:dyDescent="0.2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3"/>
      <c r="P181" s="369" t="s">
        <v>40</v>
      </c>
      <c r="Q181" s="370"/>
      <c r="R181" s="370"/>
      <c r="S181" s="370"/>
      <c r="T181" s="370"/>
      <c r="U181" s="370"/>
      <c r="V181" s="371"/>
      <c r="W181" s="42" t="s">
        <v>0</v>
      </c>
      <c r="X181" s="43">
        <f>IFERROR(SUMPRODUCT(X178:X179*H178:H179),"0")</f>
        <v>780</v>
      </c>
      <c r="Y181" s="43">
        <f>IFERROR(SUMPRODUCT(Y178:Y179*H178:H179),"0")</f>
        <v>780</v>
      </c>
      <c r="Z181" s="42"/>
      <c r="AA181" s="67"/>
      <c r="AB181" s="67"/>
      <c r="AC181" s="67"/>
    </row>
    <row r="182" spans="1:68" ht="16.5" hidden="1" customHeight="1" x14ac:dyDescent="0.25">
      <c r="A182" s="356" t="s">
        <v>281</v>
      </c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65"/>
      <c r="AB182" s="65"/>
      <c r="AC182" s="82"/>
    </row>
    <row r="183" spans="1:68" ht="14.25" hidden="1" customHeight="1" x14ac:dyDescent="0.25">
      <c r="A183" s="357" t="s">
        <v>81</v>
      </c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358">
        <v>4620207491737</v>
      </c>
      <c r="E184" s="358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4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0"/>
      <c r="R184" s="360"/>
      <c r="S184" s="360"/>
      <c r="T184" s="361"/>
      <c r="U184" s="39" t="s">
        <v>46</v>
      </c>
      <c r="V184" s="39" t="s">
        <v>46</v>
      </c>
      <c r="W184" s="40" t="s">
        <v>39</v>
      </c>
      <c r="X184" s="58">
        <v>24</v>
      </c>
      <c r="Y184" s="55">
        <f>IFERROR(IF(X184="","",X184),"")</f>
        <v>24</v>
      </c>
      <c r="Z184" s="41">
        <f>IFERROR(IF(X184="","",X184*0.0155),"")</f>
        <v>0.372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126.28799999999998</v>
      </c>
      <c r="BN184" s="81">
        <f>IFERROR(Y184*I184,"0")</f>
        <v>126.28799999999998</v>
      </c>
      <c r="BO184" s="81">
        <f>IFERROR(X184/J184,"0")</f>
        <v>0.2857142857142857</v>
      </c>
      <c r="BP184" s="81">
        <f>IFERROR(Y184/J184,"0")</f>
        <v>0.2857142857142857</v>
      </c>
    </row>
    <row r="185" spans="1:68" x14ac:dyDescent="0.2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3"/>
      <c r="P185" s="369" t="s">
        <v>40</v>
      </c>
      <c r="Q185" s="370"/>
      <c r="R185" s="370"/>
      <c r="S185" s="370"/>
      <c r="T185" s="370"/>
      <c r="U185" s="370"/>
      <c r="V185" s="371"/>
      <c r="W185" s="42" t="s">
        <v>39</v>
      </c>
      <c r="X185" s="43">
        <f>IFERROR(SUM(X184:X184),"0")</f>
        <v>24</v>
      </c>
      <c r="Y185" s="43">
        <f>IFERROR(SUM(Y184:Y184),"0")</f>
        <v>24</v>
      </c>
      <c r="Z185" s="43">
        <f>IFERROR(IF(Z184="",0,Z184),"0")</f>
        <v>0.372</v>
      </c>
      <c r="AA185" s="67"/>
      <c r="AB185" s="67"/>
      <c r="AC185" s="67"/>
    </row>
    <row r="186" spans="1:68" x14ac:dyDescent="0.2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3"/>
      <c r="P186" s="369" t="s">
        <v>40</v>
      </c>
      <c r="Q186" s="370"/>
      <c r="R186" s="370"/>
      <c r="S186" s="370"/>
      <c r="T186" s="370"/>
      <c r="U186" s="370"/>
      <c r="V186" s="371"/>
      <c r="W186" s="42" t="s">
        <v>0</v>
      </c>
      <c r="X186" s="43">
        <f>IFERROR(SUMPRODUCT(X184:X184*H184:H184),"0")</f>
        <v>120</v>
      </c>
      <c r="Y186" s="43">
        <f>IFERROR(SUMPRODUCT(Y184:Y184*H184:H184),"0")</f>
        <v>120</v>
      </c>
      <c r="Z186" s="42"/>
      <c r="AA186" s="67"/>
      <c r="AB186" s="67"/>
      <c r="AC186" s="67"/>
    </row>
    <row r="187" spans="1:68" ht="27.75" hidden="1" customHeight="1" x14ac:dyDescent="0.2">
      <c r="A187" s="355" t="s">
        <v>284</v>
      </c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5"/>
      <c r="P187" s="355"/>
      <c r="Q187" s="355"/>
      <c r="R187" s="355"/>
      <c r="S187" s="355"/>
      <c r="T187" s="355"/>
      <c r="U187" s="355"/>
      <c r="V187" s="355"/>
      <c r="W187" s="355"/>
      <c r="X187" s="355"/>
      <c r="Y187" s="355"/>
      <c r="Z187" s="355"/>
      <c r="AA187" s="54"/>
      <c r="AB187" s="54"/>
      <c r="AC187" s="54"/>
    </row>
    <row r="188" spans="1:68" ht="16.5" hidden="1" customHeight="1" x14ac:dyDescent="0.25">
      <c r="A188" s="356" t="s">
        <v>285</v>
      </c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6"/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  <c r="Z188" s="356"/>
      <c r="AA188" s="65"/>
      <c r="AB188" s="65"/>
      <c r="AC188" s="82"/>
    </row>
    <row r="189" spans="1:68" ht="14.25" hidden="1" customHeight="1" x14ac:dyDescent="0.25">
      <c r="A189" s="357" t="s">
        <v>112</v>
      </c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358">
        <v>4607111035691</v>
      </c>
      <c r="E190" s="358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4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0"/>
      <c r="R190" s="360"/>
      <c r="S190" s="360"/>
      <c r="T190" s="361"/>
      <c r="U190" s="39" t="s">
        <v>46</v>
      </c>
      <c r="V190" s="39" t="s">
        <v>46</v>
      </c>
      <c r="W190" s="40" t="s">
        <v>39</v>
      </c>
      <c r="X190" s="58">
        <v>140</v>
      </c>
      <c r="Y190" s="55">
        <f>IFERROR(IF(X190="","",X190),"")</f>
        <v>140</v>
      </c>
      <c r="Z190" s="41">
        <f>IFERROR(IF(X190="","",X190*0.01788),"")</f>
        <v>2.5032000000000001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474.32</v>
      </c>
      <c r="BN190" s="81">
        <f>IFERROR(Y190*I190,"0")</f>
        <v>474.32</v>
      </c>
      <c r="BO190" s="81">
        <f>IFERROR(X190/J190,"0")</f>
        <v>2</v>
      </c>
      <c r="BP190" s="81">
        <f>IFERROR(Y190/J190,"0")</f>
        <v>2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358">
        <v>4607111035721</v>
      </c>
      <c r="E191" s="35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0"/>
      <c r="R191" s="360"/>
      <c r="S191" s="360"/>
      <c r="T191" s="361"/>
      <c r="U191" s="39" t="s">
        <v>46</v>
      </c>
      <c r="V191" s="39" t="s">
        <v>46</v>
      </c>
      <c r="W191" s="40" t="s">
        <v>39</v>
      </c>
      <c r="X191" s="58">
        <v>56</v>
      </c>
      <c r="Y191" s="55">
        <f>IFERROR(IF(X191="","",X191),"")</f>
        <v>56</v>
      </c>
      <c r="Z191" s="41">
        <f>IFERROR(IF(X191="","",X191*0.01788),"")</f>
        <v>1.0012799999999999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189.72800000000001</v>
      </c>
      <c r="BN191" s="81">
        <f>IFERROR(Y191*I191,"0")</f>
        <v>189.72800000000001</v>
      </c>
      <c r="BO191" s="81">
        <f>IFERROR(X191/J191,"0")</f>
        <v>0.8</v>
      </c>
      <c r="BP191" s="81">
        <f>IFERROR(Y191/J191,"0")</f>
        <v>0.8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358">
        <v>4607111038487</v>
      </c>
      <c r="E192" s="358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0"/>
      <c r="R192" s="360"/>
      <c r="S192" s="360"/>
      <c r="T192" s="361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209.21600000000001</v>
      </c>
      <c r="BN192" s="81">
        <f>IFERROR(Y192*I192,"0")</f>
        <v>209.21600000000001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295</v>
      </c>
      <c r="B193" s="63" t="s">
        <v>296</v>
      </c>
      <c r="C193" s="36">
        <v>4301132243</v>
      </c>
      <c r="D193" s="358">
        <v>4620207491195</v>
      </c>
      <c r="E193" s="358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4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0"/>
      <c r="R193" s="360"/>
      <c r="S193" s="360"/>
      <c r="T193" s="361"/>
      <c r="U193" s="39" t="s">
        <v>46</v>
      </c>
      <c r="V193" s="39" t="s">
        <v>46</v>
      </c>
      <c r="W193" s="40" t="s">
        <v>39</v>
      </c>
      <c r="X193" s="58">
        <v>14</v>
      </c>
      <c r="Y193" s="55">
        <f>IFERROR(IF(X193="","",X193),"")</f>
        <v>14</v>
      </c>
      <c r="Z193" s="41">
        <f>IFERROR(IF(X193="","",X193*0.01788),"")</f>
        <v>0.25031999999999999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44.072000000000003</v>
      </c>
      <c r="BN193" s="81">
        <f>IFERROR(Y193*I193,"0")</f>
        <v>44.072000000000003</v>
      </c>
      <c r="BO193" s="81">
        <f>IFERROR(X193/J193,"0")</f>
        <v>0.2</v>
      </c>
      <c r="BP193" s="81">
        <f>IFERROR(Y193/J193,"0")</f>
        <v>0.2</v>
      </c>
    </row>
    <row r="194" spans="1:68" x14ac:dyDescent="0.2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3"/>
      <c r="P194" s="369" t="s">
        <v>40</v>
      </c>
      <c r="Q194" s="370"/>
      <c r="R194" s="370"/>
      <c r="S194" s="370"/>
      <c r="T194" s="370"/>
      <c r="U194" s="370"/>
      <c r="V194" s="371"/>
      <c r="W194" s="42" t="s">
        <v>39</v>
      </c>
      <c r="X194" s="43">
        <f>IFERROR(SUM(X190:X193),"0")</f>
        <v>266</v>
      </c>
      <c r="Y194" s="43">
        <f>IFERROR(SUM(Y190:Y193),"0")</f>
        <v>266</v>
      </c>
      <c r="Z194" s="43">
        <f>IFERROR(IF(Z190="",0,Z190),"0")+IFERROR(IF(Z191="",0,Z191),"0")+IFERROR(IF(Z192="",0,Z192),"0")+IFERROR(IF(Z193="",0,Z193),"0")</f>
        <v>4.7560800000000008</v>
      </c>
      <c r="AA194" s="67"/>
      <c r="AB194" s="67"/>
      <c r="AC194" s="67"/>
    </row>
    <row r="195" spans="1:68" x14ac:dyDescent="0.2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3"/>
      <c r="P195" s="369" t="s">
        <v>40</v>
      </c>
      <c r="Q195" s="370"/>
      <c r="R195" s="370"/>
      <c r="S195" s="370"/>
      <c r="T195" s="370"/>
      <c r="U195" s="370"/>
      <c r="V195" s="371"/>
      <c r="W195" s="42" t="s">
        <v>0</v>
      </c>
      <c r="X195" s="43">
        <f>IFERROR(SUMPRODUCT(X190:X193*H190:H193),"0")</f>
        <v>794.64</v>
      </c>
      <c r="Y195" s="43">
        <f>IFERROR(SUMPRODUCT(Y190:Y193*H190:H193),"0")</f>
        <v>794.64</v>
      </c>
      <c r="Z195" s="42"/>
      <c r="AA195" s="67"/>
      <c r="AB195" s="67"/>
      <c r="AC195" s="67"/>
    </row>
    <row r="196" spans="1:68" ht="27.75" hidden="1" customHeight="1" x14ac:dyDescent="0.2">
      <c r="A196" s="355" t="s">
        <v>298</v>
      </c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5"/>
      <c r="P196" s="355"/>
      <c r="Q196" s="355"/>
      <c r="R196" s="355"/>
      <c r="S196" s="355"/>
      <c r="T196" s="355"/>
      <c r="U196" s="355"/>
      <c r="V196" s="355"/>
      <c r="W196" s="355"/>
      <c r="X196" s="355"/>
      <c r="Y196" s="355"/>
      <c r="Z196" s="355"/>
      <c r="AA196" s="54"/>
      <c r="AB196" s="54"/>
      <c r="AC196" s="54"/>
    </row>
    <row r="197" spans="1:68" ht="16.5" hidden="1" customHeight="1" x14ac:dyDescent="0.25">
      <c r="A197" s="356" t="s">
        <v>299</v>
      </c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  <c r="Z197" s="356"/>
      <c r="AA197" s="65"/>
      <c r="AB197" s="65"/>
      <c r="AC197" s="82"/>
    </row>
    <row r="198" spans="1:68" ht="14.25" hidden="1" customHeight="1" x14ac:dyDescent="0.25">
      <c r="A198" s="357" t="s">
        <v>112</v>
      </c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4301132227</v>
      </c>
      <c r="D199" s="358">
        <v>4620207491133</v>
      </c>
      <c r="E199" s="358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0"/>
      <c r="R199" s="360"/>
      <c r="S199" s="360"/>
      <c r="T199" s="361"/>
      <c r="U199" s="39" t="s">
        <v>46</v>
      </c>
      <c r="V199" s="39" t="s">
        <v>46</v>
      </c>
      <c r="W199" s="40" t="s">
        <v>39</v>
      </c>
      <c r="X199" s="58">
        <v>56</v>
      </c>
      <c r="Y199" s="55">
        <f>IFERROR(IF(X199="","",X199),"")</f>
        <v>56</v>
      </c>
      <c r="Z199" s="41">
        <f>IFERROR(IF(X199="","",X199*0.01788),"")</f>
        <v>1.0012799999999999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166.88</v>
      </c>
      <c r="BN199" s="81">
        <f>IFERROR(Y199*I199,"0")</f>
        <v>166.88</v>
      </c>
      <c r="BO199" s="81">
        <f>IFERROR(X199/J199,"0")</f>
        <v>0.8</v>
      </c>
      <c r="BP199" s="81">
        <f>IFERROR(Y199/J199,"0")</f>
        <v>0.8</v>
      </c>
    </row>
    <row r="200" spans="1:68" x14ac:dyDescent="0.2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3"/>
      <c r="P200" s="369" t="s">
        <v>40</v>
      </c>
      <c r="Q200" s="370"/>
      <c r="R200" s="370"/>
      <c r="S200" s="370"/>
      <c r="T200" s="370"/>
      <c r="U200" s="370"/>
      <c r="V200" s="371"/>
      <c r="W200" s="42" t="s">
        <v>39</v>
      </c>
      <c r="X200" s="43">
        <f>IFERROR(SUM(X199:X199),"0")</f>
        <v>56</v>
      </c>
      <c r="Y200" s="43">
        <f>IFERROR(SUM(Y199:Y199),"0")</f>
        <v>56</v>
      </c>
      <c r="Z200" s="43">
        <f>IFERROR(IF(Z199="",0,Z199),"0")</f>
        <v>1.0012799999999999</v>
      </c>
      <c r="AA200" s="67"/>
      <c r="AB200" s="67"/>
      <c r="AC200" s="67"/>
    </row>
    <row r="201" spans="1:68" x14ac:dyDescent="0.2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3"/>
      <c r="P201" s="369" t="s">
        <v>40</v>
      </c>
      <c r="Q201" s="370"/>
      <c r="R201" s="370"/>
      <c r="S201" s="370"/>
      <c r="T201" s="370"/>
      <c r="U201" s="370"/>
      <c r="V201" s="371"/>
      <c r="W201" s="42" t="s">
        <v>0</v>
      </c>
      <c r="X201" s="43">
        <f>IFERROR(SUMPRODUCT(X199:X199*H199:H199),"0")</f>
        <v>154.56</v>
      </c>
      <c r="Y201" s="43">
        <f>IFERROR(SUMPRODUCT(Y199:Y199*H199:H199),"0")</f>
        <v>154.56</v>
      </c>
      <c r="Z201" s="42"/>
      <c r="AA201" s="67"/>
      <c r="AB201" s="67"/>
      <c r="AC201" s="67"/>
    </row>
    <row r="202" spans="1:68" ht="14.25" hidden="1" customHeight="1" x14ac:dyDescent="0.25">
      <c r="A202" s="357" t="s">
        <v>150</v>
      </c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66"/>
      <c r="AB202" s="66"/>
      <c r="AC202" s="83"/>
    </row>
    <row r="203" spans="1:68" ht="27" hidden="1" customHeight="1" x14ac:dyDescent="0.25">
      <c r="A203" s="63" t="s">
        <v>303</v>
      </c>
      <c r="B203" s="63" t="s">
        <v>304</v>
      </c>
      <c r="C203" s="36">
        <v>4301135834</v>
      </c>
      <c r="D203" s="358">
        <v>4620207491188</v>
      </c>
      <c r="E203" s="35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43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0"/>
      <c r="R203" s="360"/>
      <c r="S203" s="360"/>
      <c r="T203" s="36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4301135696</v>
      </c>
      <c r="D204" s="358">
        <v>4620207490235</v>
      </c>
      <c r="E204" s="35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43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0"/>
      <c r="R204" s="360"/>
      <c r="S204" s="360"/>
      <c r="T204" s="361"/>
      <c r="U204" s="39" t="s">
        <v>46</v>
      </c>
      <c r="V204" s="39" t="s">
        <v>46</v>
      </c>
      <c r="W204" s="40" t="s">
        <v>39</v>
      </c>
      <c r="X204" s="58">
        <v>14</v>
      </c>
      <c r="Y204" s="55">
        <f>IFERROR(IF(X204="","",X204),"")</f>
        <v>14</v>
      </c>
      <c r="Z204" s="41">
        <f>IFERROR(IF(X204="","",X204*0.01788),"")</f>
        <v>0.25031999999999999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43.450400000000002</v>
      </c>
      <c r="BN204" s="81">
        <f>IFERROR(Y204*I204,"0")</f>
        <v>43.450400000000002</v>
      </c>
      <c r="BO204" s="81">
        <f>IFERROR(X204/J204,"0")</f>
        <v>0.2</v>
      </c>
      <c r="BP204" s="81">
        <f>IFERROR(Y204/J204,"0")</f>
        <v>0.2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4301135697</v>
      </c>
      <c r="D205" s="358">
        <v>4620207490259</v>
      </c>
      <c r="E205" s="35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118</v>
      </c>
      <c r="M205" s="38" t="s">
        <v>85</v>
      </c>
      <c r="N205" s="38"/>
      <c r="O205" s="37">
        <v>180</v>
      </c>
      <c r="P205" s="4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0"/>
      <c r="R205" s="360"/>
      <c r="S205" s="360"/>
      <c r="T205" s="36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119</v>
      </c>
      <c r="AK205" s="87">
        <v>14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3"/>
      <c r="P206" s="369" t="s">
        <v>40</v>
      </c>
      <c r="Q206" s="370"/>
      <c r="R206" s="370"/>
      <c r="S206" s="370"/>
      <c r="T206" s="370"/>
      <c r="U206" s="370"/>
      <c r="V206" s="371"/>
      <c r="W206" s="42" t="s">
        <v>39</v>
      </c>
      <c r="X206" s="43">
        <f>IFERROR(SUM(X203:X205),"0")</f>
        <v>14</v>
      </c>
      <c r="Y206" s="43">
        <f>IFERROR(SUM(Y203:Y205),"0")</f>
        <v>14</v>
      </c>
      <c r="Z206" s="43">
        <f>IFERROR(IF(Z203="",0,Z203),"0")+IFERROR(IF(Z204="",0,Z204),"0")+IFERROR(IF(Z205="",0,Z205),"0")</f>
        <v>0.25031999999999999</v>
      </c>
      <c r="AA206" s="67"/>
      <c r="AB206" s="67"/>
      <c r="AC206" s="67"/>
    </row>
    <row r="207" spans="1:68" x14ac:dyDescent="0.2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3"/>
      <c r="P207" s="369" t="s">
        <v>40</v>
      </c>
      <c r="Q207" s="370"/>
      <c r="R207" s="370"/>
      <c r="S207" s="370"/>
      <c r="T207" s="370"/>
      <c r="U207" s="370"/>
      <c r="V207" s="371"/>
      <c r="W207" s="42" t="s">
        <v>0</v>
      </c>
      <c r="X207" s="43">
        <f>IFERROR(SUMPRODUCT(X203:X205*H203:H205),"0")</f>
        <v>33.6</v>
      </c>
      <c r="Y207" s="43">
        <f>IFERROR(SUMPRODUCT(Y203:Y205*H203:H205),"0")</f>
        <v>33.6</v>
      </c>
      <c r="Z207" s="42"/>
      <c r="AA207" s="67"/>
      <c r="AB207" s="67"/>
      <c r="AC207" s="67"/>
    </row>
    <row r="208" spans="1:68" ht="16.5" hidden="1" customHeight="1" x14ac:dyDescent="0.25">
      <c r="A208" s="356" t="s">
        <v>312</v>
      </c>
      <c r="B208" s="356"/>
      <c r="C208" s="356"/>
      <c r="D208" s="356"/>
      <c r="E208" s="356"/>
      <c r="F208" s="356"/>
      <c r="G208" s="356"/>
      <c r="H208" s="356"/>
      <c r="I208" s="356"/>
      <c r="J208" s="356"/>
      <c r="K208" s="356"/>
      <c r="L208" s="356"/>
      <c r="M208" s="356"/>
      <c r="N208" s="356"/>
      <c r="O208" s="356"/>
      <c r="P208" s="356"/>
      <c r="Q208" s="356"/>
      <c r="R208" s="356"/>
      <c r="S208" s="356"/>
      <c r="T208" s="356"/>
      <c r="U208" s="356"/>
      <c r="V208" s="356"/>
      <c r="W208" s="356"/>
      <c r="X208" s="356"/>
      <c r="Y208" s="356"/>
      <c r="Z208" s="356"/>
      <c r="AA208" s="65"/>
      <c r="AB208" s="65"/>
      <c r="AC208" s="82"/>
    </row>
    <row r="209" spans="1:68" ht="14.25" hidden="1" customHeight="1" x14ac:dyDescent="0.25">
      <c r="A209" s="357" t="s">
        <v>150</v>
      </c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66"/>
      <c r="AB209" s="66"/>
      <c r="AC209" s="83"/>
    </row>
    <row r="210" spans="1:68" ht="27" hidden="1" customHeight="1" x14ac:dyDescent="0.25">
      <c r="A210" s="63" t="s">
        <v>313</v>
      </c>
      <c r="B210" s="63" t="s">
        <v>314</v>
      </c>
      <c r="C210" s="36">
        <v>4301135854</v>
      </c>
      <c r="D210" s="358">
        <v>4620207491706</v>
      </c>
      <c r="E210" s="35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44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0"/>
      <c r="R210" s="360"/>
      <c r="S210" s="360"/>
      <c r="T210" s="36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316</v>
      </c>
      <c r="B211" s="63" t="s">
        <v>317</v>
      </c>
      <c r="C211" s="36">
        <v>4301135895</v>
      </c>
      <c r="D211" s="358">
        <v>4620207491522</v>
      </c>
      <c r="E211" s="358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44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0"/>
      <c r="R211" s="360"/>
      <c r="S211" s="360"/>
      <c r="T211" s="36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3"/>
      <c r="P212" s="369" t="s">
        <v>40</v>
      </c>
      <c r="Q212" s="370"/>
      <c r="R212" s="370"/>
      <c r="S212" s="370"/>
      <c r="T212" s="370"/>
      <c r="U212" s="370"/>
      <c r="V212" s="371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3"/>
      <c r="P213" s="369" t="s">
        <v>40</v>
      </c>
      <c r="Q213" s="370"/>
      <c r="R213" s="370"/>
      <c r="S213" s="370"/>
      <c r="T213" s="370"/>
      <c r="U213" s="370"/>
      <c r="V213" s="371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6" t="s">
        <v>319</v>
      </c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  <c r="Z214" s="356"/>
      <c r="AA214" s="65"/>
      <c r="AB214" s="65"/>
      <c r="AC214" s="82"/>
    </row>
    <row r="215" spans="1:68" ht="14.25" hidden="1" customHeight="1" x14ac:dyDescent="0.25">
      <c r="A215" s="357" t="s">
        <v>81</v>
      </c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66"/>
      <c r="AB215" s="66"/>
      <c r="AC215" s="83"/>
    </row>
    <row r="216" spans="1:68" ht="27" hidden="1" customHeight="1" x14ac:dyDescent="0.25">
      <c r="A216" s="63" t="s">
        <v>320</v>
      </c>
      <c r="B216" s="63" t="s">
        <v>321</v>
      </c>
      <c r="C216" s="36">
        <v>4301071097</v>
      </c>
      <c r="D216" s="358">
        <v>4620207491096</v>
      </c>
      <c r="E216" s="358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44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0"/>
      <c r="R216" s="360"/>
      <c r="S216" s="360"/>
      <c r="T216" s="36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3"/>
      <c r="P217" s="369" t="s">
        <v>40</v>
      </c>
      <c r="Q217" s="370"/>
      <c r="R217" s="370"/>
      <c r="S217" s="370"/>
      <c r="T217" s="370"/>
      <c r="U217" s="370"/>
      <c r="V217" s="371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3"/>
      <c r="P218" s="369" t="s">
        <v>40</v>
      </c>
      <c r="Q218" s="370"/>
      <c r="R218" s="370"/>
      <c r="S218" s="370"/>
      <c r="T218" s="370"/>
      <c r="U218" s="370"/>
      <c r="V218" s="371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6" t="s">
        <v>323</v>
      </c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65"/>
      <c r="AB219" s="65"/>
      <c r="AC219" s="82"/>
    </row>
    <row r="220" spans="1:68" ht="14.25" hidden="1" customHeight="1" x14ac:dyDescent="0.25">
      <c r="A220" s="357" t="s">
        <v>150</v>
      </c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66"/>
      <c r="AB220" s="66"/>
      <c r="AC220" s="83"/>
    </row>
    <row r="221" spans="1:68" ht="27" hidden="1" customHeight="1" x14ac:dyDescent="0.25">
      <c r="A221" s="63" t="s">
        <v>324</v>
      </c>
      <c r="B221" s="63" t="s">
        <v>325</v>
      </c>
      <c r="C221" s="36">
        <v>4301135694</v>
      </c>
      <c r="D221" s="358">
        <v>4620207490501</v>
      </c>
      <c r="E221" s="358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44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0"/>
      <c r="R221" s="360"/>
      <c r="S221" s="360"/>
      <c r="T221" s="361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3"/>
      <c r="P222" s="369" t="s">
        <v>40</v>
      </c>
      <c r="Q222" s="370"/>
      <c r="R222" s="370"/>
      <c r="S222" s="370"/>
      <c r="T222" s="370"/>
      <c r="U222" s="370"/>
      <c r="V222" s="371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3"/>
      <c r="P223" s="369" t="s">
        <v>40</v>
      </c>
      <c r="Q223" s="370"/>
      <c r="R223" s="370"/>
      <c r="S223" s="370"/>
      <c r="T223" s="370"/>
      <c r="U223" s="370"/>
      <c r="V223" s="371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55" t="s">
        <v>327</v>
      </c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  <c r="T224" s="355"/>
      <c r="U224" s="355"/>
      <c r="V224" s="355"/>
      <c r="W224" s="355"/>
      <c r="X224" s="355"/>
      <c r="Y224" s="355"/>
      <c r="Z224" s="355"/>
      <c r="AA224" s="54"/>
      <c r="AB224" s="54"/>
      <c r="AC224" s="54"/>
    </row>
    <row r="225" spans="1:68" ht="16.5" hidden="1" customHeight="1" x14ac:dyDescent="0.25">
      <c r="A225" s="356" t="s">
        <v>328</v>
      </c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  <c r="Z225" s="356"/>
      <c r="AA225" s="65"/>
      <c r="AB225" s="65"/>
      <c r="AC225" s="82"/>
    </row>
    <row r="226" spans="1:68" ht="14.25" hidden="1" customHeight="1" x14ac:dyDescent="0.25">
      <c r="A226" s="357" t="s">
        <v>81</v>
      </c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66"/>
      <c r="AB226" s="66"/>
      <c r="AC226" s="83"/>
    </row>
    <row r="227" spans="1:68" ht="27" hidden="1" customHeight="1" x14ac:dyDescent="0.25">
      <c r="A227" s="63" t="s">
        <v>329</v>
      </c>
      <c r="B227" s="63" t="s">
        <v>330</v>
      </c>
      <c r="C227" s="36">
        <v>4301071036</v>
      </c>
      <c r="D227" s="358">
        <v>4607111036162</v>
      </c>
      <c r="E227" s="358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44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0"/>
      <c r="R227" s="360"/>
      <c r="S227" s="360"/>
      <c r="T227" s="361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3"/>
      <c r="P228" s="369" t="s">
        <v>40</v>
      </c>
      <c r="Q228" s="370"/>
      <c r="R228" s="370"/>
      <c r="S228" s="370"/>
      <c r="T228" s="370"/>
      <c r="U228" s="370"/>
      <c r="V228" s="371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3"/>
      <c r="P229" s="369" t="s">
        <v>40</v>
      </c>
      <c r="Q229" s="370"/>
      <c r="R229" s="370"/>
      <c r="S229" s="370"/>
      <c r="T229" s="370"/>
      <c r="U229" s="370"/>
      <c r="V229" s="371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5" t="s">
        <v>332</v>
      </c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5"/>
      <c r="P230" s="355"/>
      <c r="Q230" s="355"/>
      <c r="R230" s="355"/>
      <c r="S230" s="355"/>
      <c r="T230" s="355"/>
      <c r="U230" s="355"/>
      <c r="V230" s="355"/>
      <c r="W230" s="355"/>
      <c r="X230" s="355"/>
      <c r="Y230" s="355"/>
      <c r="Z230" s="355"/>
      <c r="AA230" s="54"/>
      <c r="AB230" s="54"/>
      <c r="AC230" s="54"/>
    </row>
    <row r="231" spans="1:68" ht="16.5" hidden="1" customHeight="1" x14ac:dyDescent="0.25">
      <c r="A231" s="356" t="s">
        <v>333</v>
      </c>
      <c r="B231" s="356"/>
      <c r="C231" s="356"/>
      <c r="D231" s="356"/>
      <c r="E231" s="356"/>
      <c r="F231" s="356"/>
      <c r="G231" s="356"/>
      <c r="H231" s="356"/>
      <c r="I231" s="356"/>
      <c r="J231" s="356"/>
      <c r="K231" s="356"/>
      <c r="L231" s="356"/>
      <c r="M231" s="356"/>
      <c r="N231" s="356"/>
      <c r="O231" s="356"/>
      <c r="P231" s="356"/>
      <c r="Q231" s="356"/>
      <c r="R231" s="356"/>
      <c r="S231" s="356"/>
      <c r="T231" s="356"/>
      <c r="U231" s="356"/>
      <c r="V231" s="356"/>
      <c r="W231" s="356"/>
      <c r="X231" s="356"/>
      <c r="Y231" s="356"/>
      <c r="Z231" s="356"/>
      <c r="AA231" s="65"/>
      <c r="AB231" s="65"/>
      <c r="AC231" s="82"/>
    </row>
    <row r="232" spans="1:68" ht="14.25" hidden="1" customHeight="1" x14ac:dyDescent="0.25">
      <c r="A232" s="357" t="s">
        <v>334</v>
      </c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66"/>
      <c r="AB232" s="66"/>
      <c r="AC232" s="83"/>
    </row>
    <row r="233" spans="1:68" ht="27" hidden="1" customHeight="1" x14ac:dyDescent="0.25">
      <c r="A233" s="63" t="s">
        <v>335</v>
      </c>
      <c r="B233" s="63" t="s">
        <v>336</v>
      </c>
      <c r="C233" s="36">
        <v>4301133004</v>
      </c>
      <c r="D233" s="358">
        <v>4607111039774</v>
      </c>
      <c r="E233" s="358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44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0"/>
      <c r="R233" s="360"/>
      <c r="S233" s="360"/>
      <c r="T233" s="361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3"/>
      <c r="P234" s="369" t="s">
        <v>40</v>
      </c>
      <c r="Q234" s="370"/>
      <c r="R234" s="370"/>
      <c r="S234" s="370"/>
      <c r="T234" s="370"/>
      <c r="U234" s="370"/>
      <c r="V234" s="371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3"/>
      <c r="P235" s="369" t="s">
        <v>40</v>
      </c>
      <c r="Q235" s="370"/>
      <c r="R235" s="370"/>
      <c r="S235" s="370"/>
      <c r="T235" s="370"/>
      <c r="U235" s="370"/>
      <c r="V235" s="371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7" t="s">
        <v>150</v>
      </c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66"/>
      <c r="AB236" s="66"/>
      <c r="AC236" s="83"/>
    </row>
    <row r="237" spans="1:68" ht="37.5" hidden="1" customHeight="1" x14ac:dyDescent="0.25">
      <c r="A237" s="63" t="s">
        <v>338</v>
      </c>
      <c r="B237" s="63" t="s">
        <v>339</v>
      </c>
      <c r="C237" s="36">
        <v>4301135400</v>
      </c>
      <c r="D237" s="358">
        <v>4607111039361</v>
      </c>
      <c r="E237" s="358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0"/>
      <c r="R237" s="360"/>
      <c r="S237" s="360"/>
      <c r="T237" s="361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3"/>
      <c r="P238" s="369" t="s">
        <v>40</v>
      </c>
      <c r="Q238" s="370"/>
      <c r="R238" s="370"/>
      <c r="S238" s="370"/>
      <c r="T238" s="370"/>
      <c r="U238" s="370"/>
      <c r="V238" s="37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3"/>
      <c r="P239" s="369" t="s">
        <v>40</v>
      </c>
      <c r="Q239" s="370"/>
      <c r="R239" s="370"/>
      <c r="S239" s="370"/>
      <c r="T239" s="370"/>
      <c r="U239" s="370"/>
      <c r="V239" s="37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5" t="s">
        <v>340</v>
      </c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5"/>
      <c r="W240" s="355"/>
      <c r="X240" s="355"/>
      <c r="Y240" s="355"/>
      <c r="Z240" s="355"/>
      <c r="AA240" s="54"/>
      <c r="AB240" s="54"/>
      <c r="AC240" s="54"/>
    </row>
    <row r="241" spans="1:68" ht="16.5" hidden="1" customHeight="1" x14ac:dyDescent="0.25">
      <c r="A241" s="356" t="s">
        <v>340</v>
      </c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6"/>
      <c r="P241" s="356"/>
      <c r="Q241" s="356"/>
      <c r="R241" s="356"/>
      <c r="S241" s="356"/>
      <c r="T241" s="356"/>
      <c r="U241" s="356"/>
      <c r="V241" s="356"/>
      <c r="W241" s="356"/>
      <c r="X241" s="356"/>
      <c r="Y241" s="356"/>
      <c r="Z241" s="356"/>
      <c r="AA241" s="65"/>
      <c r="AB241" s="65"/>
      <c r="AC241" s="82"/>
    </row>
    <row r="242" spans="1:68" ht="14.25" hidden="1" customHeight="1" x14ac:dyDescent="0.25">
      <c r="A242" s="357" t="s">
        <v>112</v>
      </c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  <c r="AA242" s="66"/>
      <c r="AB242" s="66"/>
      <c r="AC242" s="83"/>
    </row>
    <row r="243" spans="1:68" ht="27" hidden="1" customHeight="1" x14ac:dyDescent="0.25">
      <c r="A243" s="63" t="s">
        <v>341</v>
      </c>
      <c r="B243" s="63" t="s">
        <v>342</v>
      </c>
      <c r="C243" s="36">
        <v>4301132228</v>
      </c>
      <c r="D243" s="358">
        <v>4640242181950</v>
      </c>
      <c r="E243" s="358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4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0"/>
      <c r="R243" s="360"/>
      <c r="S243" s="360"/>
      <c r="T243" s="36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3"/>
      <c r="P244" s="369" t="s">
        <v>40</v>
      </c>
      <c r="Q244" s="370"/>
      <c r="R244" s="370"/>
      <c r="S244" s="370"/>
      <c r="T244" s="370"/>
      <c r="U244" s="370"/>
      <c r="V244" s="371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3"/>
      <c r="P245" s="369" t="s">
        <v>40</v>
      </c>
      <c r="Q245" s="370"/>
      <c r="R245" s="370"/>
      <c r="S245" s="370"/>
      <c r="T245" s="370"/>
      <c r="U245" s="370"/>
      <c r="V245" s="371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7" t="s">
        <v>144</v>
      </c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  <c r="AA246" s="66"/>
      <c r="AB246" s="66"/>
      <c r="AC246" s="83"/>
    </row>
    <row r="247" spans="1:68" ht="27" hidden="1" customHeight="1" x14ac:dyDescent="0.25">
      <c r="A247" s="63" t="s">
        <v>344</v>
      </c>
      <c r="B247" s="63" t="s">
        <v>345</v>
      </c>
      <c r="C247" s="36">
        <v>4301136098</v>
      </c>
      <c r="D247" s="358">
        <v>4640242181943</v>
      </c>
      <c r="E247" s="358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4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0"/>
      <c r="R247" s="360"/>
      <c r="S247" s="360"/>
      <c r="T247" s="36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3"/>
      <c r="P248" s="369" t="s">
        <v>40</v>
      </c>
      <c r="Q248" s="370"/>
      <c r="R248" s="370"/>
      <c r="S248" s="370"/>
      <c r="T248" s="370"/>
      <c r="U248" s="370"/>
      <c r="V248" s="371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  <c r="O249" s="373"/>
      <c r="P249" s="369" t="s">
        <v>40</v>
      </c>
      <c r="Q249" s="370"/>
      <c r="R249" s="370"/>
      <c r="S249" s="370"/>
      <c r="T249" s="370"/>
      <c r="U249" s="370"/>
      <c r="V249" s="371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5" t="s">
        <v>347</v>
      </c>
      <c r="B250" s="355"/>
      <c r="C250" s="355"/>
      <c r="D250" s="355"/>
      <c r="E250" s="355"/>
      <c r="F250" s="355"/>
      <c r="G250" s="355"/>
      <c r="H250" s="355"/>
      <c r="I250" s="355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  <c r="T250" s="355"/>
      <c r="U250" s="355"/>
      <c r="V250" s="355"/>
      <c r="W250" s="355"/>
      <c r="X250" s="355"/>
      <c r="Y250" s="355"/>
      <c r="Z250" s="355"/>
      <c r="AA250" s="54"/>
      <c r="AB250" s="54"/>
      <c r="AC250" s="54"/>
    </row>
    <row r="251" spans="1:68" ht="16.5" hidden="1" customHeight="1" x14ac:dyDescent="0.25">
      <c r="A251" s="356" t="s">
        <v>347</v>
      </c>
      <c r="B251" s="356"/>
      <c r="C251" s="356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65"/>
      <c r="AB251" s="65"/>
      <c r="AC251" s="82"/>
    </row>
    <row r="252" spans="1:68" ht="14.25" hidden="1" customHeight="1" x14ac:dyDescent="0.25">
      <c r="A252" s="357" t="s">
        <v>81</v>
      </c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358">
        <v>4640242181264</v>
      </c>
      <c r="E253" s="358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44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0"/>
      <c r="R253" s="360"/>
      <c r="S253" s="360"/>
      <c r="T253" s="36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4301071021</v>
      </c>
      <c r="D254" s="358">
        <v>4640242181325</v>
      </c>
      <c r="E254" s="358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0"/>
      <c r="R254" s="360"/>
      <c r="S254" s="360"/>
      <c r="T254" s="36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3"/>
      <c r="P255" s="369" t="s">
        <v>40</v>
      </c>
      <c r="Q255" s="370"/>
      <c r="R255" s="370"/>
      <c r="S255" s="370"/>
      <c r="T255" s="370"/>
      <c r="U255" s="370"/>
      <c r="V255" s="371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3"/>
      <c r="P256" s="369" t="s">
        <v>40</v>
      </c>
      <c r="Q256" s="370"/>
      <c r="R256" s="370"/>
      <c r="S256" s="370"/>
      <c r="T256" s="370"/>
      <c r="U256" s="370"/>
      <c r="V256" s="371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7" t="s">
        <v>112</v>
      </c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358">
        <v>4640242180397</v>
      </c>
      <c r="E258" s="358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45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0"/>
      <c r="R258" s="360"/>
      <c r="S258" s="360"/>
      <c r="T258" s="361"/>
      <c r="U258" s="39" t="s">
        <v>46</v>
      </c>
      <c r="V258" s="39" t="s">
        <v>46</v>
      </c>
      <c r="W258" s="40" t="s">
        <v>39</v>
      </c>
      <c r="X258" s="58">
        <v>288</v>
      </c>
      <c r="Y258" s="55">
        <f>IFERROR(IF(X258="","",X258),"")</f>
        <v>288</v>
      </c>
      <c r="Z258" s="41">
        <f>IFERROR(IF(X258="","",X258*0.0155),"")</f>
        <v>4.4640000000000004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1802.8799999999999</v>
      </c>
      <c r="BN258" s="81">
        <f>IFERROR(Y258*I258,"0")</f>
        <v>1802.8799999999999</v>
      </c>
      <c r="BO258" s="81">
        <f>IFERROR(X258/J258,"0")</f>
        <v>3.4285714285714284</v>
      </c>
      <c r="BP258" s="81">
        <f>IFERROR(Y258/J258,"0")</f>
        <v>3.4285714285714284</v>
      </c>
    </row>
    <row r="259" spans="1:68" x14ac:dyDescent="0.2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3"/>
      <c r="P259" s="369" t="s">
        <v>40</v>
      </c>
      <c r="Q259" s="370"/>
      <c r="R259" s="370"/>
      <c r="S259" s="370"/>
      <c r="T259" s="370"/>
      <c r="U259" s="370"/>
      <c r="V259" s="371"/>
      <c r="W259" s="42" t="s">
        <v>39</v>
      </c>
      <c r="X259" s="43">
        <f>IFERROR(SUM(X258:X258),"0")</f>
        <v>288</v>
      </c>
      <c r="Y259" s="43">
        <f>IFERROR(SUM(Y258:Y258),"0")</f>
        <v>288</v>
      </c>
      <c r="Z259" s="43">
        <f>IFERROR(IF(Z258="",0,Z258),"0")</f>
        <v>4.4640000000000004</v>
      </c>
      <c r="AA259" s="67"/>
      <c r="AB259" s="67"/>
      <c r="AC259" s="67"/>
    </row>
    <row r="260" spans="1:68" x14ac:dyDescent="0.2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3"/>
      <c r="P260" s="369" t="s">
        <v>40</v>
      </c>
      <c r="Q260" s="370"/>
      <c r="R260" s="370"/>
      <c r="S260" s="370"/>
      <c r="T260" s="370"/>
      <c r="U260" s="370"/>
      <c r="V260" s="371"/>
      <c r="W260" s="42" t="s">
        <v>0</v>
      </c>
      <c r="X260" s="43">
        <f>IFERROR(SUMPRODUCT(X258:X258*H258:H258),"0")</f>
        <v>1728</v>
      </c>
      <c r="Y260" s="43">
        <f>IFERROR(SUMPRODUCT(Y258:Y258*H258:H258),"0")</f>
        <v>1728</v>
      </c>
      <c r="Z260" s="42"/>
      <c r="AA260" s="67"/>
      <c r="AB260" s="67"/>
      <c r="AC260" s="67"/>
    </row>
    <row r="261" spans="1:68" ht="14.25" hidden="1" customHeight="1" x14ac:dyDescent="0.25">
      <c r="A261" s="357" t="s">
        <v>144</v>
      </c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  <c r="AA261" s="66"/>
      <c r="AB261" s="66"/>
      <c r="AC261" s="83"/>
    </row>
    <row r="262" spans="1:68" ht="27" hidden="1" customHeight="1" x14ac:dyDescent="0.25">
      <c r="A262" s="63" t="s">
        <v>356</v>
      </c>
      <c r="B262" s="63" t="s">
        <v>357</v>
      </c>
      <c r="C262" s="36">
        <v>4301136051</v>
      </c>
      <c r="D262" s="358">
        <v>4640242180304</v>
      </c>
      <c r="E262" s="358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45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0"/>
      <c r="R262" s="360"/>
      <c r="S262" s="360"/>
      <c r="T262" s="361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358">
        <v>4640242180236</v>
      </c>
      <c r="E263" s="358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0"/>
      <c r="R263" s="360"/>
      <c r="S263" s="360"/>
      <c r="T263" s="361"/>
      <c r="U263" s="39" t="s">
        <v>46</v>
      </c>
      <c r="V263" s="39" t="s">
        <v>46</v>
      </c>
      <c r="W263" s="40" t="s">
        <v>39</v>
      </c>
      <c r="X263" s="58">
        <v>180</v>
      </c>
      <c r="Y263" s="55">
        <f>IFERROR(IF(X263="","",X263),"")</f>
        <v>180</v>
      </c>
      <c r="Z263" s="41">
        <f>IFERROR(IF(X263="","",X263*0.0155),"")</f>
        <v>2.79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942.30000000000007</v>
      </c>
      <c r="BN263" s="81">
        <f>IFERROR(Y263*I263,"0")</f>
        <v>942.30000000000007</v>
      </c>
      <c r="BO263" s="81">
        <f>IFERROR(X263/J263,"0")</f>
        <v>2.1428571428571428</v>
      </c>
      <c r="BP263" s="81">
        <f>IFERROR(Y263/J263,"0")</f>
        <v>2.1428571428571428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358">
        <v>4640242180410</v>
      </c>
      <c r="E264" s="358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45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0"/>
      <c r="R264" s="360"/>
      <c r="S264" s="360"/>
      <c r="T264" s="361"/>
      <c r="U264" s="39" t="s">
        <v>46</v>
      </c>
      <c r="V264" s="39" t="s">
        <v>46</v>
      </c>
      <c r="W264" s="40" t="s">
        <v>39</v>
      </c>
      <c r="X264" s="58">
        <v>14</v>
      </c>
      <c r="Y264" s="55">
        <f>IFERROR(IF(X264="","",X264),"")</f>
        <v>14</v>
      </c>
      <c r="Z264" s="41">
        <f>IFERROR(IF(X264="","",X264*0.00936),"")</f>
        <v>0.13103999999999999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34.048000000000002</v>
      </c>
      <c r="BN264" s="81">
        <f>IFERROR(Y264*I264,"0")</f>
        <v>34.048000000000002</v>
      </c>
      <c r="BO264" s="81">
        <f>IFERROR(X264/J264,"0")</f>
        <v>0.1111111111111111</v>
      </c>
      <c r="BP264" s="81">
        <f>IFERROR(Y264/J264,"0")</f>
        <v>0.1111111111111111</v>
      </c>
    </row>
    <row r="265" spans="1:68" x14ac:dyDescent="0.2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3"/>
      <c r="P265" s="369" t="s">
        <v>40</v>
      </c>
      <c r="Q265" s="370"/>
      <c r="R265" s="370"/>
      <c r="S265" s="370"/>
      <c r="T265" s="370"/>
      <c r="U265" s="370"/>
      <c r="V265" s="371"/>
      <c r="W265" s="42" t="s">
        <v>39</v>
      </c>
      <c r="X265" s="43">
        <f>IFERROR(SUM(X262:X264),"0")</f>
        <v>194</v>
      </c>
      <c r="Y265" s="43">
        <f>IFERROR(SUM(Y262:Y264),"0")</f>
        <v>194</v>
      </c>
      <c r="Z265" s="43">
        <f>IFERROR(IF(Z262="",0,Z262),"0")+IFERROR(IF(Z263="",0,Z263),"0")+IFERROR(IF(Z264="",0,Z264),"0")</f>
        <v>2.9210400000000001</v>
      </c>
      <c r="AA265" s="67"/>
      <c r="AB265" s="67"/>
      <c r="AC265" s="67"/>
    </row>
    <row r="266" spans="1:68" x14ac:dyDescent="0.2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  <c r="O266" s="373"/>
      <c r="P266" s="369" t="s">
        <v>40</v>
      </c>
      <c r="Q266" s="370"/>
      <c r="R266" s="370"/>
      <c r="S266" s="370"/>
      <c r="T266" s="370"/>
      <c r="U266" s="370"/>
      <c r="V266" s="371"/>
      <c r="W266" s="42" t="s">
        <v>0</v>
      </c>
      <c r="X266" s="43">
        <f>IFERROR(SUMPRODUCT(X262:X264*H262:H264),"0")</f>
        <v>931.36</v>
      </c>
      <c r="Y266" s="43">
        <f>IFERROR(SUMPRODUCT(Y262:Y264*H262:H264),"0")</f>
        <v>931.36</v>
      </c>
      <c r="Z266" s="42"/>
      <c r="AA266" s="67"/>
      <c r="AB266" s="67"/>
      <c r="AC266" s="67"/>
    </row>
    <row r="267" spans="1:68" ht="14.25" hidden="1" customHeight="1" x14ac:dyDescent="0.25">
      <c r="A267" s="357" t="s">
        <v>150</v>
      </c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  <c r="AA267" s="66"/>
      <c r="AB267" s="66"/>
      <c r="AC267" s="83"/>
    </row>
    <row r="268" spans="1:68" ht="37.5" hidden="1" customHeight="1" x14ac:dyDescent="0.25">
      <c r="A268" s="63" t="s">
        <v>363</v>
      </c>
      <c r="B268" s="63" t="s">
        <v>364</v>
      </c>
      <c r="C268" s="36">
        <v>4301135504</v>
      </c>
      <c r="D268" s="358">
        <v>4640242181554</v>
      </c>
      <c r="E268" s="358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0"/>
      <c r="R268" s="360"/>
      <c r="S268" s="360"/>
      <c r="T268" s="36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hidden="1" customHeight="1" x14ac:dyDescent="0.25">
      <c r="A269" s="63" t="s">
        <v>366</v>
      </c>
      <c r="B269" s="63" t="s">
        <v>367</v>
      </c>
      <c r="C269" s="36">
        <v>4301135518</v>
      </c>
      <c r="D269" s="358">
        <v>4640242181561</v>
      </c>
      <c r="E269" s="358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0"/>
      <c r="R269" s="360"/>
      <c r="S269" s="360"/>
      <c r="T269" s="36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369</v>
      </c>
      <c r="B270" s="63" t="s">
        <v>370</v>
      </c>
      <c r="C270" s="36">
        <v>4301135374</v>
      </c>
      <c r="D270" s="358">
        <v>4640242181424</v>
      </c>
      <c r="E270" s="358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0"/>
      <c r="R270" s="360"/>
      <c r="S270" s="360"/>
      <c r="T270" s="361"/>
      <c r="U270" s="39" t="s">
        <v>46</v>
      </c>
      <c r="V270" s="39" t="s">
        <v>46</v>
      </c>
      <c r="W270" s="40" t="s">
        <v>39</v>
      </c>
      <c r="X270" s="58">
        <v>24</v>
      </c>
      <c r="Y270" s="55">
        <f t="shared" si="18"/>
        <v>24</v>
      </c>
      <c r="Z270" s="41">
        <f>IFERROR(IF(X270="","",X270*0.0155),"")</f>
        <v>0.372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137.64000000000001</v>
      </c>
      <c r="BN270" s="81">
        <f t="shared" si="20"/>
        <v>137.64000000000001</v>
      </c>
      <c r="BO270" s="81">
        <f t="shared" si="21"/>
        <v>0.2857142857142857</v>
      </c>
      <c r="BP270" s="81">
        <f t="shared" si="22"/>
        <v>0.2857142857142857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358">
        <v>4640242181523</v>
      </c>
      <c r="E271" s="358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0"/>
      <c r="R271" s="360"/>
      <c r="S271" s="360"/>
      <c r="T271" s="361"/>
      <c r="U271" s="39" t="s">
        <v>46</v>
      </c>
      <c r="V271" s="39" t="s">
        <v>46</v>
      </c>
      <c r="W271" s="40" t="s">
        <v>39</v>
      </c>
      <c r="X271" s="58">
        <v>280</v>
      </c>
      <c r="Y271" s="55">
        <f t="shared" si="18"/>
        <v>280</v>
      </c>
      <c r="Z271" s="41">
        <f t="shared" ref="Z271:Z276" si="23">IFERROR(IF(X271="","",X271*0.00936),"")</f>
        <v>2.6208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893.76</v>
      </c>
      <c r="BN271" s="81">
        <f t="shared" si="20"/>
        <v>893.76</v>
      </c>
      <c r="BO271" s="81">
        <f t="shared" si="21"/>
        <v>2.2222222222222223</v>
      </c>
      <c r="BP271" s="81">
        <f t="shared" si="22"/>
        <v>2.2222222222222223</v>
      </c>
    </row>
    <row r="272" spans="1:68" ht="27" customHeight="1" x14ac:dyDescent="0.25">
      <c r="A272" s="63" t="s">
        <v>373</v>
      </c>
      <c r="B272" s="63" t="s">
        <v>374</v>
      </c>
      <c r="C272" s="36">
        <v>4301135375</v>
      </c>
      <c r="D272" s="358">
        <v>4640242181486</v>
      </c>
      <c r="E272" s="358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45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0"/>
      <c r="R272" s="360"/>
      <c r="S272" s="360"/>
      <c r="T272" s="361"/>
      <c r="U272" s="39" t="s">
        <v>46</v>
      </c>
      <c r="V272" s="39" t="s">
        <v>46</v>
      </c>
      <c r="W272" s="40" t="s">
        <v>39</v>
      </c>
      <c r="X272" s="58">
        <v>154</v>
      </c>
      <c r="Y272" s="55">
        <f t="shared" si="18"/>
        <v>154</v>
      </c>
      <c r="Z272" s="41">
        <f t="shared" si="23"/>
        <v>1.4414400000000001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599.36799999999994</v>
      </c>
      <c r="BN272" s="81">
        <f t="shared" si="20"/>
        <v>599.36799999999994</v>
      </c>
      <c r="BO272" s="81">
        <f t="shared" si="21"/>
        <v>1.2222222222222223</v>
      </c>
      <c r="BP272" s="81">
        <f t="shared" si="22"/>
        <v>1.2222222222222223</v>
      </c>
    </row>
    <row r="273" spans="1:68" ht="37.5" hidden="1" customHeight="1" x14ac:dyDescent="0.25">
      <c r="A273" s="63" t="s">
        <v>375</v>
      </c>
      <c r="B273" s="63" t="s">
        <v>376</v>
      </c>
      <c r="C273" s="36">
        <v>4301135402</v>
      </c>
      <c r="D273" s="358">
        <v>4640242181493</v>
      </c>
      <c r="E273" s="35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87</v>
      </c>
      <c r="M273" s="38" t="s">
        <v>85</v>
      </c>
      <c r="N273" s="38"/>
      <c r="O273" s="37">
        <v>180</v>
      </c>
      <c r="P273" s="46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0"/>
      <c r="R273" s="360"/>
      <c r="S273" s="360"/>
      <c r="T273" s="36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88</v>
      </c>
      <c r="AK273" s="87">
        <v>1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377</v>
      </c>
      <c r="B274" s="63" t="s">
        <v>378</v>
      </c>
      <c r="C274" s="36">
        <v>4301135403</v>
      </c>
      <c r="D274" s="358">
        <v>4640242181509</v>
      </c>
      <c r="E274" s="358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87</v>
      </c>
      <c r="M274" s="38" t="s">
        <v>85</v>
      </c>
      <c r="N274" s="38"/>
      <c r="O274" s="37">
        <v>180</v>
      </c>
      <c r="P274" s="4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0"/>
      <c r="R274" s="360"/>
      <c r="S274" s="360"/>
      <c r="T274" s="36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88</v>
      </c>
      <c r="AK274" s="87">
        <v>1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379</v>
      </c>
      <c r="B275" s="63" t="s">
        <v>380</v>
      </c>
      <c r="C275" s="36">
        <v>4301135304</v>
      </c>
      <c r="D275" s="358">
        <v>4640242181240</v>
      </c>
      <c r="E275" s="358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46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0"/>
      <c r="R275" s="360"/>
      <c r="S275" s="360"/>
      <c r="T275" s="36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381</v>
      </c>
      <c r="B276" s="63" t="s">
        <v>382</v>
      </c>
      <c r="C276" s="36">
        <v>4301135610</v>
      </c>
      <c r="D276" s="358">
        <v>4640242181318</v>
      </c>
      <c r="E276" s="358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4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0"/>
      <c r="R276" s="360"/>
      <c r="S276" s="360"/>
      <c r="T276" s="36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383</v>
      </c>
      <c r="B277" s="63" t="s">
        <v>384</v>
      </c>
      <c r="C277" s="36">
        <v>4301135306</v>
      </c>
      <c r="D277" s="358">
        <v>4640242181387</v>
      </c>
      <c r="E277" s="358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46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0"/>
      <c r="R277" s="360"/>
      <c r="S277" s="360"/>
      <c r="T277" s="36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3"/>
      <c r="P278" s="369" t="s">
        <v>40</v>
      </c>
      <c r="Q278" s="370"/>
      <c r="R278" s="370"/>
      <c r="S278" s="370"/>
      <c r="T278" s="370"/>
      <c r="U278" s="370"/>
      <c r="V278" s="371"/>
      <c r="W278" s="42" t="s">
        <v>39</v>
      </c>
      <c r="X278" s="43">
        <f>IFERROR(SUM(X268:X277),"0")</f>
        <v>458</v>
      </c>
      <c r="Y278" s="43">
        <f>IFERROR(SUM(Y268:Y277),"0")</f>
        <v>458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4.43424</v>
      </c>
      <c r="AA278" s="67"/>
      <c r="AB278" s="67"/>
      <c r="AC278" s="67"/>
    </row>
    <row r="279" spans="1:68" x14ac:dyDescent="0.2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373"/>
      <c r="P279" s="369" t="s">
        <v>40</v>
      </c>
      <c r="Q279" s="370"/>
      <c r="R279" s="370"/>
      <c r="S279" s="370"/>
      <c r="T279" s="370"/>
      <c r="U279" s="370"/>
      <c r="V279" s="371"/>
      <c r="W279" s="42" t="s">
        <v>0</v>
      </c>
      <c r="X279" s="43">
        <f>IFERROR(SUMPRODUCT(X268:X277*H268:H277),"0")</f>
        <v>1541.8000000000002</v>
      </c>
      <c r="Y279" s="43">
        <f>IFERROR(SUMPRODUCT(Y268:Y277*H268:H277),"0")</f>
        <v>1541.8000000000002</v>
      </c>
      <c r="Z279" s="42"/>
      <c r="AA279" s="67"/>
      <c r="AB279" s="67"/>
      <c r="AC279" s="67"/>
    </row>
    <row r="280" spans="1:68" ht="15" customHeight="1" x14ac:dyDescent="0.2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469"/>
      <c r="P280" s="466" t="s">
        <v>33</v>
      </c>
      <c r="Q280" s="467"/>
      <c r="R280" s="467"/>
      <c r="S280" s="467"/>
      <c r="T280" s="467"/>
      <c r="U280" s="467"/>
      <c r="V280" s="468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14094.68</v>
      </c>
      <c r="Y280" s="43">
        <f>IFERROR(Y31+Y37+Y44+Y50+Y58+Y63+Y68+Y74+Y80+Y85+Y91+Y101+Y107+Y119+Y123+Y127+Y135+Y141+Y147+Y153+Y159+Y164+Y169+Y174+Y181+Y186+Y195+Y201+Y207+Y213+Y218+Y223+Y229+Y235+Y239+Y245+Y249+Y256+Y260+Y266+Y279,"0")</f>
        <v>14094.68</v>
      </c>
      <c r="Z280" s="42"/>
      <c r="AA280" s="67"/>
      <c r="AB280" s="67"/>
      <c r="AC280" s="67"/>
    </row>
    <row r="281" spans="1:68" x14ac:dyDescent="0.2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469"/>
      <c r="P281" s="466" t="s">
        <v>34</v>
      </c>
      <c r="Q281" s="467"/>
      <c r="R281" s="467"/>
      <c r="S281" s="467"/>
      <c r="T281" s="467"/>
      <c r="U281" s="467"/>
      <c r="V281" s="468"/>
      <c r="W281" s="42" t="s">
        <v>0</v>
      </c>
      <c r="X281" s="43">
        <f>IFERROR(SUM(BM22:BM277),"0")</f>
        <v>15397.720799999999</v>
      </c>
      <c r="Y281" s="43">
        <f>IFERROR(SUM(BN22:BN277),"0")</f>
        <v>15397.720799999999</v>
      </c>
      <c r="Z281" s="42"/>
      <c r="AA281" s="67"/>
      <c r="AB281" s="67"/>
      <c r="AC281" s="67"/>
    </row>
    <row r="282" spans="1:68" x14ac:dyDescent="0.2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469"/>
      <c r="P282" s="466" t="s">
        <v>35</v>
      </c>
      <c r="Q282" s="467"/>
      <c r="R282" s="467"/>
      <c r="S282" s="467"/>
      <c r="T282" s="467"/>
      <c r="U282" s="467"/>
      <c r="V282" s="468"/>
      <c r="W282" s="42" t="s">
        <v>20</v>
      </c>
      <c r="X282" s="44">
        <f>ROUNDUP(SUM(BO22:BO277),0)</f>
        <v>39</v>
      </c>
      <c r="Y282" s="44">
        <f>ROUNDUP(SUM(BP22:BP277),0)</f>
        <v>39</v>
      </c>
      <c r="Z282" s="42"/>
      <c r="AA282" s="67"/>
      <c r="AB282" s="67"/>
      <c r="AC282" s="67"/>
    </row>
    <row r="283" spans="1:68" x14ac:dyDescent="0.2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469"/>
      <c r="P283" s="466" t="s">
        <v>36</v>
      </c>
      <c r="Q283" s="467"/>
      <c r="R283" s="467"/>
      <c r="S283" s="467"/>
      <c r="T283" s="467"/>
      <c r="U283" s="467"/>
      <c r="V283" s="468"/>
      <c r="W283" s="42" t="s">
        <v>0</v>
      </c>
      <c r="X283" s="43">
        <f>GrossWeightTotal+PalletQtyTotal*25</f>
        <v>16372.720799999999</v>
      </c>
      <c r="Y283" s="43">
        <f>GrossWeightTotalR+PalletQtyTotalR*25</f>
        <v>16372.720799999999</v>
      </c>
      <c r="Z283" s="42"/>
      <c r="AA283" s="67"/>
      <c r="AB283" s="67"/>
      <c r="AC283" s="67"/>
    </row>
    <row r="284" spans="1:68" x14ac:dyDescent="0.2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469"/>
      <c r="P284" s="466" t="s">
        <v>37</v>
      </c>
      <c r="Q284" s="467"/>
      <c r="R284" s="467"/>
      <c r="S284" s="467"/>
      <c r="T284" s="467"/>
      <c r="U284" s="467"/>
      <c r="V284" s="468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3540</v>
      </c>
      <c r="Y284" s="43">
        <f>IFERROR(Y30+Y36+Y43+Y49+Y57+Y62+Y67+Y73+Y79+Y84+Y90+Y100+Y106+Y118+Y122+Y126+Y134+Y140+Y146+Y152+Y158+Y163+Y168+Y173+Y180+Y185+Y194+Y200+Y206+Y212+Y217+Y222+Y228+Y234+Y238+Y244+Y248+Y255+Y259+Y265+Y278,"0")</f>
        <v>3540</v>
      </c>
      <c r="Z284" s="42"/>
      <c r="AA284" s="67"/>
      <c r="AB284" s="67"/>
      <c r="AC284" s="67"/>
    </row>
    <row r="285" spans="1:68" ht="14.25" hidden="1" x14ac:dyDescent="0.2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469"/>
      <c r="P285" s="466" t="s">
        <v>38</v>
      </c>
      <c r="Q285" s="467"/>
      <c r="R285" s="467"/>
      <c r="S285" s="467"/>
      <c r="T285" s="467"/>
      <c r="U285" s="467"/>
      <c r="V285" s="468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48.808760000000007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65" t="s">
        <v>80</v>
      </c>
      <c r="C287" s="465" t="s">
        <v>80</v>
      </c>
      <c r="D287" s="465" t="s">
        <v>45</v>
      </c>
      <c r="E287" s="465" t="s">
        <v>45</v>
      </c>
      <c r="F287" s="465" t="s">
        <v>45</v>
      </c>
      <c r="G287" s="465" t="s">
        <v>45</v>
      </c>
      <c r="H287" s="465" t="s">
        <v>45</v>
      </c>
      <c r="I287" s="465" t="s">
        <v>45</v>
      </c>
      <c r="J287" s="465" t="s">
        <v>45</v>
      </c>
      <c r="K287" s="465" t="s">
        <v>45</v>
      </c>
      <c r="L287" s="465" t="s">
        <v>45</v>
      </c>
      <c r="M287" s="465" t="s">
        <v>45</v>
      </c>
      <c r="N287" s="470"/>
      <c r="O287" s="465" t="s">
        <v>45</v>
      </c>
      <c r="P287" s="465" t="s">
        <v>45</v>
      </c>
      <c r="Q287" s="465" t="s">
        <v>45</v>
      </c>
      <c r="R287" s="465" t="s">
        <v>45</v>
      </c>
      <c r="S287" s="465" t="s">
        <v>45</v>
      </c>
      <c r="T287" s="465" t="s">
        <v>45</v>
      </c>
      <c r="U287" s="465" t="s">
        <v>45</v>
      </c>
      <c r="V287" s="465" t="s">
        <v>273</v>
      </c>
      <c r="W287" s="465" t="s">
        <v>273</v>
      </c>
      <c r="X287" s="88" t="s">
        <v>284</v>
      </c>
      <c r="Y287" s="465" t="s">
        <v>298</v>
      </c>
      <c r="Z287" s="465" t="s">
        <v>298</v>
      </c>
      <c r="AA287" s="465" t="s">
        <v>298</v>
      </c>
      <c r="AB287" s="465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471" t="s">
        <v>10</v>
      </c>
      <c r="B288" s="465" t="s">
        <v>80</v>
      </c>
      <c r="C288" s="465" t="s">
        <v>105</v>
      </c>
      <c r="D288" s="465" t="s">
        <v>111</v>
      </c>
      <c r="E288" s="465" t="s">
        <v>122</v>
      </c>
      <c r="F288" s="465" t="s">
        <v>129</v>
      </c>
      <c r="G288" s="465" t="s">
        <v>140</v>
      </c>
      <c r="H288" s="465" t="s">
        <v>158</v>
      </c>
      <c r="I288" s="465" t="s">
        <v>165</v>
      </c>
      <c r="J288" s="465" t="s">
        <v>169</v>
      </c>
      <c r="K288" s="465" t="s">
        <v>177</v>
      </c>
      <c r="L288" s="465" t="s">
        <v>192</v>
      </c>
      <c r="M288" s="465" t="s">
        <v>198</v>
      </c>
      <c r="N288" s="1"/>
      <c r="O288" s="465" t="s">
        <v>226</v>
      </c>
      <c r="P288" s="465" t="s">
        <v>244</v>
      </c>
      <c r="Q288" s="465" t="s">
        <v>250</v>
      </c>
      <c r="R288" s="465" t="s">
        <v>257</v>
      </c>
      <c r="S288" s="465" t="s">
        <v>262</v>
      </c>
      <c r="T288" s="465" t="s">
        <v>266</v>
      </c>
      <c r="U288" s="465" t="s">
        <v>269</v>
      </c>
      <c r="V288" s="465" t="s">
        <v>274</v>
      </c>
      <c r="W288" s="465" t="s">
        <v>281</v>
      </c>
      <c r="X288" s="465" t="s">
        <v>285</v>
      </c>
      <c r="Y288" s="465" t="s">
        <v>299</v>
      </c>
      <c r="Z288" s="465" t="s">
        <v>312</v>
      </c>
      <c r="AA288" s="465" t="s">
        <v>319</v>
      </c>
      <c r="AB288" s="465" t="s">
        <v>323</v>
      </c>
      <c r="AC288" s="465" t="s">
        <v>328</v>
      </c>
      <c r="AD288" s="465" t="s">
        <v>333</v>
      </c>
      <c r="AE288" s="465" t="s">
        <v>340</v>
      </c>
      <c r="AF288" s="465" t="s">
        <v>347</v>
      </c>
    </row>
    <row r="289" spans="1:32" ht="13.5" thickBot="1" x14ac:dyDescent="0.25">
      <c r="A289" s="472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1"/>
      <c r="O289" s="465"/>
      <c r="P289" s="465"/>
      <c r="Q289" s="465"/>
      <c r="R289" s="465"/>
      <c r="S289" s="465"/>
      <c r="T289" s="465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624</v>
      </c>
      <c r="C290" s="52">
        <f>IFERROR(X34*H34,"0")+IFERROR(X35*H35,"0")</f>
        <v>76.800000000000011</v>
      </c>
      <c r="D290" s="52">
        <f>IFERROR(X41*H41,"0")+IFERROR(X42*H42,"0")</f>
        <v>462</v>
      </c>
      <c r="E290" s="52">
        <f>IFERROR(X47*H47,"0")+IFERROR(X48*H48,"0")</f>
        <v>134.39999999999998</v>
      </c>
      <c r="F290" s="52">
        <f>IFERROR(X53*H53,"0")+IFERROR(X54*H54,"0")+IFERROR(X55*H55,"0")+IFERROR(X56*H56,"0")</f>
        <v>1932</v>
      </c>
      <c r="G290" s="52">
        <f>IFERROR(X61*H61,"0")+IFERROR(X65*H65,"0")+IFERROR(X66*H66,"0")+IFERROR(X70*H70,"0")+IFERROR(X71*H71,"0")+IFERROR(X72*H72,"0")</f>
        <v>100.8</v>
      </c>
      <c r="H290" s="52">
        <f>IFERROR(X77*H77,"0")+IFERROR(X78*H78,"0")</f>
        <v>180</v>
      </c>
      <c r="I290" s="52">
        <f>IFERROR(X83*H83,"0")</f>
        <v>50.4</v>
      </c>
      <c r="J290" s="52">
        <f>IFERROR(X88*H88,"0")+IFERROR(X89*H89,"0")</f>
        <v>201.6</v>
      </c>
      <c r="K290" s="52">
        <f>IFERROR(X94*H94,"0")+IFERROR(X95*H95,"0")+IFERROR(X96*H96,"0")+IFERROR(X97*H97,"0")+IFERROR(X98*H98,"0")+IFERROR(X99*H99,"0")</f>
        <v>722.4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2217.6000000000004</v>
      </c>
      <c r="N290" s="1"/>
      <c r="O290" s="52">
        <f>IFERROR(X130*H130,"0")+IFERROR(X131*H131,"0")+IFERROR(X132*H132,"0")+IFERROR(X133*H133,"0")+IFERROR(X137*H137,"0")+IFERROR(X138*H138,"0")+IFERROR(X139*H139,"0")</f>
        <v>418.32</v>
      </c>
      <c r="P290" s="52">
        <f>IFERROR(X144*H144,"0")+IFERROR(X145*H145,"0")</f>
        <v>294</v>
      </c>
      <c r="Q290" s="52">
        <f>IFERROR(X150*H150,"0")+IFERROR(X151*H151,"0")</f>
        <v>378</v>
      </c>
      <c r="R290" s="52">
        <f>IFERROR(X156*H156,"0")+IFERROR(X157*H157,"0")</f>
        <v>134.4</v>
      </c>
      <c r="S290" s="52">
        <f>IFERROR(X162*H162,"0")</f>
        <v>84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780</v>
      </c>
      <c r="W290" s="52">
        <f>IFERROR(X184*H184,"0")</f>
        <v>120</v>
      </c>
      <c r="X290" s="52">
        <f>IFERROR(X190*H190,"0")+IFERROR(X191*H191,"0")+IFERROR(X192*H192,"0")+IFERROR(X193*H193,"0")</f>
        <v>794.64</v>
      </c>
      <c r="Y290" s="52">
        <f>IFERROR(X199*H199,"0")+IFERROR(X203*H203,"0")+IFERROR(X204*H204,"0")+IFERROR(X205*H205,"0")</f>
        <v>188.16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4201.16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6064.7999999999993</v>
      </c>
      <c r="B293" s="72">
        <f>SUMPRODUCT(--(BB:BB="ПГП"),--(W:W="кор"),H:H,Y:Y)+SUMPRODUCT(--(BB:BB="ПГП"),--(W:W="кг"),Y:Y)</f>
        <v>8029.8799999999992</v>
      </c>
      <c r="C293" s="72">
        <f>SUMPRODUCT(--(BB:BB="КИЗ"),--(W:W="кор"),H:H,Y:Y)+SUMPRODUCT(--(BB:BB="КИЗ"),--(W:W="кг"),Y:Y)</f>
        <v>0</v>
      </c>
    </row>
  </sheetData>
  <sheetProtection algorithmName="SHA-512" hashValue="oSaWFlxD/M+DvIc+qtUYBFnXjxB0SGWQYOeLP8OfzjdKdGz/ZBaJSwoDOtoWzYvfRkEATvi3cklLUH5vULQWIQ==" saltValue="CMN99F3npCaIGecw+47Bf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1,80"/>
        <filter val="1 728,00"/>
        <filter val="1 932,00"/>
        <filter val="100,80"/>
        <filter val="112,00"/>
        <filter val="12,00"/>
        <filter val="120,00"/>
        <filter val="126,00"/>
        <filter val="134,40"/>
        <filter val="14 094,68"/>
        <filter val="14,00"/>
        <filter val="140,00"/>
        <filter val="15 397,72"/>
        <filter val="154,00"/>
        <filter val="154,56"/>
        <filter val="156,00"/>
        <filter val="16 372,72"/>
        <filter val="180,00"/>
        <filter val="194,00"/>
        <filter val="2 217,60"/>
        <filter val="201,60"/>
        <filter val="238,00"/>
        <filter val="24,00"/>
        <filter val="266,00"/>
        <filter val="276,00"/>
        <filter val="28,00"/>
        <filter val="280,00"/>
        <filter val="288,00"/>
        <filter val="294,00"/>
        <filter val="3 540,00"/>
        <filter val="308,00"/>
        <filter val="324,00"/>
        <filter val="33,60"/>
        <filter val="36,00"/>
        <filter val="378,00"/>
        <filter val="39"/>
        <filter val="418,32"/>
        <filter val="42,00"/>
        <filter val="458,00"/>
        <filter val="462,00"/>
        <filter val="48,00"/>
        <filter val="50,40"/>
        <filter val="56,00"/>
        <filter val="60,00"/>
        <filter val="624,00"/>
        <filter val="70,00"/>
        <filter val="722,40"/>
        <filter val="76,80"/>
        <filter val="780,00"/>
        <filter val="794,64"/>
        <filter val="84,00"/>
        <filter val="931,36"/>
        <filter val="96,00"/>
        <filter val="98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56 X150 X137:X139 X130:X133 X125 X121 X114:X115 X111 X105 X98 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62 X157 X151 X144:X145 X116:X117 X112:X113 X110 X104 X99 X97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jJPobETSSCpbkw9cHf7v8phr4+KyOk/jjjqx9LYVmeuHYhDAUFHNs5d8y8k8LVhHJ5m9+XSLpgZekC0GGZAYlw==" saltValue="gUbInLhLJVILc3j6cRaC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2026-08-20T10:55:41Z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