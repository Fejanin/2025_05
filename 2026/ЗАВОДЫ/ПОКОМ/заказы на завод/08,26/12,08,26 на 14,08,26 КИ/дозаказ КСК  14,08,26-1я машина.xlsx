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C8BE965-71C4-41E2-B6B2-B4E28EADC66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02" i="2" l="1"/>
  <c r="BN47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24" i="2" l="1"/>
  <c r="Z136" i="2"/>
  <c r="Z245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<sst xmlns="http://schemas.openxmlformats.org/spreadsheetml/2006/main" count="4194" uniqueCount="891">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</sst>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34" sqref="AA43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46248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0.40972222222222221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2400</v>
      </c>
      <c r="Y434" s="55">
        <f>IFERROR(IF(X434="",0,CEILING((X434/$H434),1)*$H434),"")</f>
        <v>2400</v>
      </c>
      <c r="Z434" s="41">
        <f>IFERROR(IF(Y434=0,"",ROUNDUP(Y434/H434,0)*0.02175),"")</f>
        <v>3.4799999999999995</v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2475.1999999999998</v>
      </c>
      <c r="BN434" s="78">
        <f>IFERROR(Y434*I434/H434,"0")</f>
        <v>2475.1999999999998</v>
      </c>
      <c r="BO434" s="78">
        <f>IFERROR(1/J434*(X434/H434),"0")</f>
        <v>3.333333333333333</v>
      </c>
      <c r="BP434" s="78">
        <f>IFERROR(1/J434*(Y434/H434),"0")</f>
        <v>3.333333333333333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160</v>
      </c>
      <c r="Y437" s="43">
        <f>IFERROR(Y434/H434,"0")+IFERROR(Y435/H435,"0")+IFERROR(Y436/H436,"0")</f>
        <v>160</v>
      </c>
      <c r="Z437" s="43">
        <f>IFERROR(IF(Z434="",0,Z434),"0")+IFERROR(IF(Z435="",0,Z435),"0")+IFERROR(IF(Z436="",0,Z436),"0")</f>
        <v>3.4799999999999995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2400</v>
      </c>
      <c r="Y438" s="43">
        <f>IFERROR(SUM(Y434:Y436),"0")</f>
        <v>2400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2400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2400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2475.1999999999998</v>
      </c>
      <c r="Y552" s="43">
        <f>IFERROR(SUM(BN22:BN548),"0")</f>
        <v>2475.1999999999998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2575.1999999999998</v>
      </c>
      <c r="Y554" s="43">
        <f>GrossWeightTotalR+PalletQtyTotalR*25</f>
        <v>2575.1999999999998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160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160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3.4799999999999995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2400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60,00"/>
        <filter val="2 400,00"/>
        <filter val="2 475,20"/>
        <filter val="2 575,20"/>
        <filter val="4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2026-08-14T06:41:29Z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