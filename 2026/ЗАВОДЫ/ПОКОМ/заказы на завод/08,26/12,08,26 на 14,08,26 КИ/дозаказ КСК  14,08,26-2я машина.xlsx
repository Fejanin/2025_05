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1083B3-A184-4C98-B2B5-4E2D434C8D2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214" i="2" l="1"/>
  <c r="BN284" i="2"/>
  <c r="BN373" i="2"/>
  <c r="BN472" i="2"/>
  <c r="BN288" i="2"/>
  <c r="BN402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22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<sst xmlns="http://schemas.openxmlformats.org/spreadsheetml/2006/main" count="4194" uniqueCount="891">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</sst>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66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67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 t="s">
        <v>890</v>
      </c>
      <c r="I5" s="994"/>
      <c r="J5" s="994"/>
      <c r="K5" s="994"/>
      <c r="L5" s="994"/>
      <c r="M5" s="994"/>
      <c r="N5" s="72"/>
      <c r="P5" s="27" t="s">
        <v>4</v>
      </c>
      <c r="Q5" s="996">
        <v>46248</v>
      </c>
      <c r="R5" s="996"/>
      <c r="T5" s="997" t="s">
        <v>3</v>
      </c>
      <c r="U5" s="998"/>
      <c r="V5" s="999" t="s">
        <v>870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871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Пятница</v>
      </c>
      <c r="R6" s="974"/>
      <c r="T6" s="975" t="s">
        <v>5</v>
      </c>
      <c r="U6" s="976"/>
      <c r="V6" s="977" t="s">
        <v>69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1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57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70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889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71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72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73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74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60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58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65</v>
      </c>
      <c r="L17" s="933" t="s">
        <v>63</v>
      </c>
      <c r="M17" s="933" t="s">
        <v>2</v>
      </c>
      <c r="N17" s="933" t="s">
        <v>62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55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59</v>
      </c>
      <c r="AB17" s="939" t="s">
        <v>19</v>
      </c>
      <c r="AC17" s="939" t="s">
        <v>64</v>
      </c>
      <c r="AD17" s="941" t="s">
        <v>56</v>
      </c>
      <c r="AE17" s="942"/>
      <c r="AF17" s="943"/>
      <c r="AG17" s="82"/>
      <c r="BD17" s="81" t="s">
        <v>61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75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75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76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85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103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109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85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125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126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127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5" t="s">
        <v>142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127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6" t="s">
        <v>163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6" t="s">
        <v>85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180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187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127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85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5" t="s">
        <v>208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127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163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85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6" t="s">
        <v>180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247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127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76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85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275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85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103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125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127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6" t="s">
        <v>163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7" t="s">
        <v>304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76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85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103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353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357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358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127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379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163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76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6" t="s">
        <v>85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103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443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446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127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163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76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6" t="s">
        <v>85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6" t="s">
        <v>180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514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127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163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536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353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547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127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563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85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572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76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85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127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602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127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56" t="s">
        <v>76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56" t="s">
        <v>85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56" t="s">
        <v>180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56" t="s">
        <v>103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668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677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686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85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662" t="s">
        <v>696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697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127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hidden="1" customHeight="1" x14ac:dyDescent="0.25">
      <c r="A424" s="63" t="s">
        <v>701</v>
      </c>
      <c r="B424" s="63" t="s">
        <v>702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52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0</v>
      </c>
      <c r="BN424" s="78">
        <f t="shared" si="54"/>
        <v>0</v>
      </c>
      <c r="BO424" s="78">
        <f t="shared" si="55"/>
        <v>0</v>
      </c>
      <c r="BP424" s="78">
        <f t="shared" si="56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2000</v>
      </c>
      <c r="Y425" s="55">
        <f t="shared" si="52"/>
        <v>2010</v>
      </c>
      <c r="Z425" s="41">
        <f>IFERROR(IF(Y425=0,"",ROUNDUP(Y425/H425,0)*0.02175),"")</f>
        <v>2.9144999999999999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2062.6666666666665</v>
      </c>
      <c r="BN425" s="78">
        <f t="shared" si="54"/>
        <v>2072.98</v>
      </c>
      <c r="BO425" s="78">
        <f t="shared" si="55"/>
        <v>2.7777777777777777</v>
      </c>
      <c r="BP425" s="78">
        <f t="shared" si="56"/>
        <v>2.7916666666666665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2600</v>
      </c>
      <c r="Y427" s="55">
        <f t="shared" si="52"/>
        <v>2610</v>
      </c>
      <c r="Z427" s="41">
        <f>IFERROR(IF(Y427=0,"",ROUNDUP(Y427/H427,0)*0.02175),"")</f>
        <v>3.7844999999999995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2681.4666666666667</v>
      </c>
      <c r="BN427" s="78">
        <f t="shared" si="54"/>
        <v>2691.78</v>
      </c>
      <c r="BO427" s="78">
        <f t="shared" si="55"/>
        <v>3.6111111111111112</v>
      </c>
      <c r="BP427" s="78">
        <f t="shared" si="56"/>
        <v>3.625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306.66666666666669</v>
      </c>
      <c r="Y431" s="43">
        <f>IFERROR(Y423/H423,"0")+IFERROR(Y424/H424,"0")+IFERROR(Y425/H425,"0")+IFERROR(Y426/H426,"0")+IFERROR(Y427/H427,"0")+IFERROR(Y428/H428,"0")+IFERROR(Y429/H429,"0")+IFERROR(Y430/H430,"0")</f>
        <v>308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6.6989999999999998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4600</v>
      </c>
      <c r="Y432" s="43">
        <f>IFERROR(SUM(Y423:Y430),"0")</f>
        <v>4620</v>
      </c>
      <c r="Z432" s="42"/>
      <c r="AA432" s="67"/>
      <c r="AB432" s="67"/>
      <c r="AC432" s="67"/>
    </row>
    <row r="433" spans="1:68" ht="14.25" hidden="1" customHeight="1" x14ac:dyDescent="0.25">
      <c r="A433" s="656" t="s">
        <v>163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656" t="s">
        <v>85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180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746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127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76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85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662" t="s">
        <v>762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763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76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56" t="s">
        <v>85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786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163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76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662" t="s">
        <v>798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798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127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656" t="s">
        <v>163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656" t="s">
        <v>76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662" t="s">
        <v>845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845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127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656" t="s">
        <v>163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76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56" t="s">
        <v>85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180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864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163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4600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4620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4744.1333333333332</v>
      </c>
      <c r="Y552" s="43">
        <f>IFERROR(SUM(BN22:BN548),"0")</f>
        <v>4764.76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7</v>
      </c>
      <c r="Y553" s="44">
        <f>ROUNDUP(SUM(BP22:BP548),0)</f>
        <v>7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4919.1333333333332</v>
      </c>
      <c r="Y554" s="43">
        <f>GrossWeightTotalR+PalletQtyTotalR*25</f>
        <v>4939.76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306.66666666666669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308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6.6989999999999998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638" t="s">
        <v>125</v>
      </c>
      <c r="E558" s="638" t="s">
        <v>125</v>
      </c>
      <c r="F558" s="638" t="s">
        <v>125</v>
      </c>
      <c r="G558" s="638" t="s">
        <v>125</v>
      </c>
      <c r="H558" s="638" t="s">
        <v>125</v>
      </c>
      <c r="I558" s="638" t="s">
        <v>125</v>
      </c>
      <c r="J558" s="638" t="s">
        <v>125</v>
      </c>
      <c r="K558" s="638" t="s">
        <v>357</v>
      </c>
      <c r="L558" s="638" t="s">
        <v>357</v>
      </c>
      <c r="M558" s="638" t="s">
        <v>357</v>
      </c>
      <c r="N558" s="639"/>
      <c r="O558" s="638" t="s">
        <v>357</v>
      </c>
      <c r="P558" s="638" t="s">
        <v>357</v>
      </c>
      <c r="Q558" s="638" t="s">
        <v>357</v>
      </c>
      <c r="R558" s="638" t="s">
        <v>357</v>
      </c>
      <c r="S558" s="638" t="s">
        <v>357</v>
      </c>
      <c r="T558" s="638" t="s">
        <v>357</v>
      </c>
      <c r="U558" s="638" t="s">
        <v>357</v>
      </c>
      <c r="V558" s="638" t="s">
        <v>696</v>
      </c>
      <c r="W558" s="638" t="s">
        <v>696</v>
      </c>
      <c r="X558" s="638" t="s">
        <v>762</v>
      </c>
      <c r="Y558" s="638" t="s">
        <v>762</v>
      </c>
      <c r="Z558" s="85" t="s">
        <v>798</v>
      </c>
      <c r="AA558" s="638" t="s">
        <v>845</v>
      </c>
      <c r="AB558" s="638" t="s">
        <v>845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75</v>
      </c>
      <c r="C559" s="638" t="s">
        <v>109</v>
      </c>
      <c r="D559" s="638" t="s">
        <v>126</v>
      </c>
      <c r="E559" s="638" t="s">
        <v>142</v>
      </c>
      <c r="F559" s="638" t="s">
        <v>187</v>
      </c>
      <c r="G559" s="638" t="s">
        <v>208</v>
      </c>
      <c r="H559" s="638" t="s">
        <v>247</v>
      </c>
      <c r="I559" s="638" t="s">
        <v>275</v>
      </c>
      <c r="J559" s="638" t="s">
        <v>125</v>
      </c>
      <c r="K559" s="638" t="s">
        <v>358</v>
      </c>
      <c r="L559" s="638" t="s">
        <v>379</v>
      </c>
      <c r="M559" s="638" t="s">
        <v>446</v>
      </c>
      <c r="N559" s="1"/>
      <c r="O559" s="638" t="s">
        <v>514</v>
      </c>
      <c r="P559" s="638" t="s">
        <v>547</v>
      </c>
      <c r="Q559" s="638" t="s">
        <v>563</v>
      </c>
      <c r="R559" s="638" t="s">
        <v>572</v>
      </c>
      <c r="S559" s="638" t="s">
        <v>593</v>
      </c>
      <c r="T559" s="638" t="s">
        <v>602</v>
      </c>
      <c r="U559" s="638" t="s">
        <v>686</v>
      </c>
      <c r="V559" s="638" t="s">
        <v>697</v>
      </c>
      <c r="W559" s="638" t="s">
        <v>746</v>
      </c>
      <c r="X559" s="638" t="s">
        <v>763</v>
      </c>
      <c r="Y559" s="638" t="s">
        <v>786</v>
      </c>
      <c r="Z559" s="638" t="s">
        <v>798</v>
      </c>
      <c r="AA559" s="638" t="s">
        <v>845</v>
      </c>
      <c r="AB559" s="638" t="s">
        <v>864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4620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000,00"/>
        <filter val="2 600,00"/>
        <filter val="306,67"/>
        <filter val="4 600,00"/>
        <filter val="4 744,13"/>
        <filter val="4 919,13"/>
        <filter val="7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