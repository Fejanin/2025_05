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B774959-FBDC-4BBA-AE43-4922015ABEC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Z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BP393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Y296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P129" i="2"/>
  <c r="BO129" i="2"/>
  <c r="BM129" i="2"/>
  <c r="Y129" i="2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Z119" i="2" s="1"/>
  <c r="P119" i="2"/>
  <c r="BO118" i="2"/>
  <c r="BM118" i="2"/>
  <c r="Y118" i="2"/>
  <c r="BP118" i="2" s="1"/>
  <c r="P118" i="2"/>
  <c r="BO117" i="2"/>
  <c r="BM117" i="2"/>
  <c r="Y117" i="2"/>
  <c r="Y121" i="2" s="1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BN100" i="2" s="1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P66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Z183" i="2" l="1"/>
  <c r="Z372" i="2"/>
  <c r="BP120" i="2"/>
  <c r="Z283" i="2"/>
  <c r="BP341" i="2"/>
  <c r="Z393" i="2"/>
  <c r="BN393" i="2"/>
  <c r="Y398" i="2"/>
  <c r="Z433" i="2"/>
  <c r="Z461" i="2"/>
  <c r="Z462" i="2" s="1"/>
  <c r="BP100" i="2"/>
  <c r="Z124" i="2"/>
  <c r="Z125" i="2" s="1"/>
  <c r="Z152" i="2"/>
  <c r="Z210" i="2"/>
  <c r="Z284" i="2"/>
  <c r="Z328" i="2"/>
  <c r="Z355" i="2"/>
  <c r="Z375" i="2"/>
  <c r="Z406" i="2"/>
  <c r="Z430" i="2"/>
  <c r="Z434" i="2"/>
  <c r="BN434" i="2"/>
  <c r="Z440" i="2"/>
  <c r="Z441" i="2" s="1"/>
  <c r="Z519" i="2"/>
  <c r="BN59" i="2"/>
  <c r="BN131" i="2"/>
  <c r="BN175" i="2"/>
  <c r="BN273" i="2"/>
  <c r="BN287" i="2"/>
  <c r="BN304" i="2"/>
  <c r="BN333" i="2"/>
  <c r="BN344" i="2"/>
  <c r="BP356" i="2"/>
  <c r="BN444" i="2"/>
  <c r="Y452" i="2"/>
  <c r="Y489" i="2"/>
  <c r="BN514" i="2"/>
  <c r="BN524" i="2"/>
  <c r="BN23" i="2"/>
  <c r="BN48" i="2"/>
  <c r="BN165" i="2"/>
  <c r="BN185" i="2"/>
  <c r="BN195" i="2"/>
  <c r="BN41" i="2"/>
  <c r="BN74" i="2"/>
  <c r="BN93" i="2"/>
  <c r="BN113" i="2"/>
  <c r="Z118" i="2"/>
  <c r="BN118" i="2"/>
  <c r="Y122" i="2"/>
  <c r="BP124" i="2"/>
  <c r="BN136" i="2"/>
  <c r="Z149" i="2"/>
  <c r="BP152" i="2"/>
  <c r="BN153" i="2"/>
  <c r="Z159" i="2"/>
  <c r="Z160" i="2" s="1"/>
  <c r="Y160" i="2"/>
  <c r="BN190" i="2"/>
  <c r="BP222" i="2"/>
  <c r="BN225" i="2"/>
  <c r="Z230" i="2"/>
  <c r="BN230" i="2"/>
  <c r="BN240" i="2"/>
  <c r="Y253" i="2"/>
  <c r="BP283" i="2"/>
  <c r="BN289" i="2"/>
  <c r="Z293" i="2"/>
  <c r="BN293" i="2"/>
  <c r="BP293" i="2"/>
  <c r="BN299" i="2"/>
  <c r="Z318" i="2"/>
  <c r="Y358" i="2"/>
  <c r="Z356" i="2"/>
  <c r="Z363" i="2"/>
  <c r="BN363" i="2"/>
  <c r="Z374" i="2"/>
  <c r="Z383" i="2"/>
  <c r="BN383" i="2"/>
  <c r="Y397" i="2"/>
  <c r="BP395" i="2"/>
  <c r="BN396" i="2"/>
  <c r="Z407" i="2"/>
  <c r="Z428" i="2"/>
  <c r="Z431" i="2"/>
  <c r="BP433" i="2"/>
  <c r="BP439" i="2"/>
  <c r="BN450" i="2"/>
  <c r="Y463" i="2"/>
  <c r="Z466" i="2"/>
  <c r="BN482" i="2"/>
  <c r="BN492" i="2"/>
  <c r="BN504" i="2"/>
  <c r="BP519" i="2"/>
  <c r="BN520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Z357" i="2" s="1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422" i="2" l="1"/>
  <c r="Z409" i="2"/>
  <c r="Z114" i="2"/>
  <c r="Z447" i="2"/>
  <c r="Z548" i="2"/>
  <c r="Z24" i="2"/>
  <c r="Z95" i="2"/>
  <c r="Z435" i="2"/>
  <c r="Z415" i="2"/>
  <c r="Z295" i="2"/>
  <c r="Z259" i="2"/>
  <c r="Z377" i="2"/>
  <c r="Z329" i="2"/>
  <c r="Z484" i="2"/>
  <c r="X558" i="2"/>
  <c r="Z384" i="2"/>
  <c r="Z515" i="2"/>
  <c r="Z350" i="2"/>
  <c r="Z290" i="2"/>
  <c r="Z197" i="2"/>
  <c r="Z88" i="2"/>
  <c r="Z367" i="2"/>
  <c r="Z167" i="2"/>
  <c r="Z264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<sst xmlns="http://schemas.openxmlformats.org/spreadsheetml/2006/main" count="4245" uniqueCount="901">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</sst>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380" sqref="AA38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 t="s">
        <v>900</v>
      </c>
      <c r="I5" s="1003"/>
      <c r="J5" s="1003"/>
      <c r="K5" s="1003"/>
      <c r="L5" s="1003"/>
      <c r="M5" s="1003"/>
      <c r="N5" s="72"/>
      <c r="P5" s="27" t="s">
        <v>4</v>
      </c>
      <c r="Q5" s="1005">
        <v>46248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Пятница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0.45833333333333331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hidden="1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hidden="1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2000</v>
      </c>
      <c r="Y380" s="55">
        <f>IFERROR(IF(X380="",0,CEILING((X380/$H380),1)*$H380),"")</f>
        <v>2004.6</v>
      </c>
      <c r="Z380" s="41">
        <f>IFERROR(IF(Y380=0,"",ROUNDUP(Y380/H380,0)*0.01898),"")</f>
        <v>4.8778600000000001</v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2125.1282051282051</v>
      </c>
      <c r="BN380" s="78">
        <f>IFERROR(Y380*I380/H380,"0")</f>
        <v>2130.0160000000001</v>
      </c>
      <c r="BO380" s="78">
        <f>IFERROR(1/J380*(X380/H380),"0")</f>
        <v>4.0064102564102564</v>
      </c>
      <c r="BP380" s="78">
        <f>IFERROR(1/J380*(Y380/H380),"0")</f>
        <v>4.015625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256.41025641025641</v>
      </c>
      <c r="Y384" s="43">
        <f>IFERROR(Y380/H380,"0")+IFERROR(Y381/H381,"0")+IFERROR(Y382/H382,"0")+IFERROR(Y383/H383,"0")</f>
        <v>257</v>
      </c>
      <c r="Z384" s="43">
        <f>IFERROR(IF(Z380="",0,Z380),"0")+IFERROR(IF(Z381="",0,Z381),"0")+IFERROR(IF(Z382="",0,Z382),"0")+IFERROR(IF(Z383="",0,Z383),"0")</f>
        <v>4.8778600000000001</v>
      </c>
      <c r="AA384" s="67"/>
      <c r="AB384" s="67"/>
      <c r="AC384" s="67"/>
    </row>
    <row r="385" spans="1:68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2000</v>
      </c>
      <c r="Y385" s="43">
        <f>IFERROR(SUM(Y380:Y383),"0")</f>
        <v>2004.6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hidden="1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idden="1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hidden="1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0</v>
      </c>
      <c r="BN429" s="78">
        <f t="shared" si="60"/>
        <v>0</v>
      </c>
      <c r="BO429" s="78">
        <f t="shared" si="61"/>
        <v>0</v>
      </c>
      <c r="BP429" s="78">
        <f t="shared" si="62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hidden="1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0</v>
      </c>
      <c r="Y435" s="43">
        <f>IFERROR(Y427/H427,"0")+IFERROR(Y428/H428,"0")+IFERROR(Y429/H429,"0")+IFERROR(Y430/H430,"0")+IFERROR(Y431/H431,"0")+IFERROR(Y432/H432,"0")+IFERROR(Y433/H433,"0")+IFERROR(Y434/H434,"0")</f>
        <v>0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0</v>
      </c>
      <c r="AA435" s="67"/>
      <c r="AB435" s="67"/>
      <c r="AC435" s="67"/>
    </row>
    <row r="436" spans="1:68" hidden="1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0</v>
      </c>
      <c r="Y436" s="43">
        <f>IFERROR(SUM(Y427:Y434),"0")</f>
        <v>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hidden="1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hidden="1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hidden="1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hidden="1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hidden="1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2000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2004.6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2125.1282051282051</v>
      </c>
      <c r="Y556" s="43">
        <f>IFERROR(SUM(BN22:BN552),"0")</f>
        <v>2130.0160000000001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5</v>
      </c>
      <c r="Y557" s="44">
        <f>ROUNDUP(SUM(BP22:BP552),0)</f>
        <v>5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2250.1282051282051</v>
      </c>
      <c r="Y558" s="43">
        <f>GrossWeightTotalR+PalletQtyTotalR*25</f>
        <v>2255.0160000000001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256.41025641025641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257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4.8778600000000001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2004.6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000,00"/>
        <filter val="2 125,13"/>
        <filter val="2 250,13"/>
        <filter val="256,41"/>
        <filter val="5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2026-08-12T13:15:24Z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