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B009DE-3417-4355-93AE-E4C6F82FB7A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59" i="2" l="1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66" i="2"/>
  <c r="BP66" i="2"/>
  <c r="BN74" i="2"/>
  <c r="BN93" i="2"/>
  <c r="BN113" i="2"/>
  <c r="Z119" i="2"/>
  <c r="Y122" i="2"/>
  <c r="BN120" i="2"/>
  <c r="BP120" i="2"/>
  <c r="BN41" i="2"/>
  <c r="BN100" i="2"/>
  <c r="BP100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Y121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548" i="2"/>
  <c r="Z415" i="2"/>
  <c r="Z259" i="2"/>
  <c r="Z484" i="2"/>
  <c r="Z290" i="2"/>
  <c r="Z384" i="2"/>
  <c r="Z515" i="2"/>
  <c r="Z367" i="2"/>
  <c r="Z264" i="2"/>
  <c r="Z422" i="2"/>
  <c r="Z357" i="2"/>
  <c r="Z441" i="2"/>
  <c r="Z409" i="2"/>
  <c r="Z88" i="2"/>
  <c r="Z114" i="2"/>
  <c r="Z377" i="2"/>
  <c r="Z329" i="2"/>
  <c r="Z24" i="2"/>
  <c r="Z95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<sst xmlns="http://schemas.openxmlformats.org/spreadsheetml/2006/main" count="4245" uniqueCount="901">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</sst>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46248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Пятница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40</v>
      </c>
      <c r="Y60" s="55">
        <f t="shared" si="0"/>
        <v>40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41.900000000000006</v>
      </c>
      <c r="BN60" s="78">
        <f t="shared" si="2"/>
        <v>41.900000000000006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40</v>
      </c>
      <c r="Y64" s="43">
        <f>IFERROR(SUM(Y55:Y62),"0")</f>
        <v>40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108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112.1</v>
      </c>
      <c r="BN66" s="78">
        <f>IFERROR(Y66*I66/H66,"0")</f>
        <v>112.1</v>
      </c>
      <c r="BO66" s="78">
        <f>IFERROR(1/J66*(X66/H66),"0")</f>
        <v>0.15625</v>
      </c>
      <c r="BP66" s="78">
        <f>IFERROR(1/J66*(Y66/H66),"0")</f>
        <v>0.15625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27</v>
      </c>
      <c r="Y69" s="55">
        <f>IFERROR(IF(X69="",0,CEILING((X69/$H69),1)*$H69),"")</f>
        <v>27</v>
      </c>
      <c r="Z69" s="41">
        <f>IFERROR(IF(Y69=0,"",ROUNDUP(Y69/H69,0)*0.00651),"")</f>
        <v>6.5100000000000005E-2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28.799999999999994</v>
      </c>
      <c r="BN69" s="78">
        <f>IFERROR(Y69*I69/H69,"0")</f>
        <v>28.799999999999994</v>
      </c>
      <c r="BO69" s="78">
        <f>IFERROR(1/J69*(X69/H69),"0")</f>
        <v>5.4945054945054951E-2</v>
      </c>
      <c r="BP69" s="78">
        <f>IFERROR(1/J69*(Y69/H69),"0")</f>
        <v>5.4945054945054951E-2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20</v>
      </c>
      <c r="Y70" s="43">
        <f>IFERROR(Y66/H66,"0")+IFERROR(Y67/H67,"0")+IFERROR(Y68/H68,"0")+IFERROR(Y69/H69,"0")</f>
        <v>20</v>
      </c>
      <c r="Z70" s="43">
        <f>IFERROR(IF(Z66="",0,Z66),"0")+IFERROR(IF(Z67="",0,Z67),"0")+IFERROR(IF(Z68="",0,Z68),"0")+IFERROR(IF(Z69="",0,Z69),"0")</f>
        <v>0.25490000000000002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135</v>
      </c>
      <c r="Y71" s="43">
        <f>IFERROR(SUM(Y66:Y69),"0")</f>
        <v>135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108</v>
      </c>
      <c r="Y84" s="55">
        <f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112.1</v>
      </c>
      <c r="BN84" s="78">
        <f>IFERROR(Y84*I84/H84,"0")</f>
        <v>112.1</v>
      </c>
      <c r="BO84" s="78">
        <f>IFERROR(1/J84*(X84/H84),"0")</f>
        <v>0.15625</v>
      </c>
      <c r="BP84" s="78">
        <f>IFERROR(1/J84*(Y84/H84),"0")</f>
        <v>0.15625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10</v>
      </c>
      <c r="Y88" s="43">
        <f>IFERROR(Y84/H84,"0")+IFERROR(Y85/H85,"0")+IFERROR(Y86/H86,"0")+IFERROR(Y87/H87,"0")</f>
        <v>10</v>
      </c>
      <c r="Z88" s="43">
        <f>IFERROR(IF(Z84="",0,Z84),"0")+IFERROR(IF(Z85="",0,Z85),"0")+IFERROR(IF(Z86="",0,Z86),"0")+IFERROR(IF(Z87="",0,Z87),"0")</f>
        <v>0.1898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108</v>
      </c>
      <c r="Y89" s="43">
        <f>IFERROR(SUM(Y84:Y87),"0")</f>
        <v>108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40.5</v>
      </c>
      <c r="Y91" s="55">
        <f>IFERROR(IF(X91="",0,CEILING((X91/$H91),1)*$H91),"")</f>
        <v>40.5</v>
      </c>
      <c r="Z91" s="41">
        <f>IFERROR(IF(Y91=0,"",ROUNDUP(Y91/H91,0)*0.01898),"")</f>
        <v>9.4899999999999998E-2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42.97</v>
      </c>
      <c r="BN91" s="78">
        <f>IFERROR(Y91*I91/H91,"0")</f>
        <v>42.97</v>
      </c>
      <c r="BO91" s="78">
        <f>IFERROR(1/J91*(X91/H91),"0")</f>
        <v>7.8125E-2</v>
      </c>
      <c r="BP91" s="78">
        <f>IFERROR(1/J91*(Y91/H91),"0")</f>
        <v>7.8125E-2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5</v>
      </c>
      <c r="Y95" s="43">
        <f>IFERROR(Y91/H91,"0")+IFERROR(Y92/H92,"0")+IFERROR(Y93/H93,"0")+IFERROR(Y94/H94,"0")</f>
        <v>5</v>
      </c>
      <c r="Z95" s="43">
        <f>IFERROR(IF(Z91="",0,Z91),"0")+IFERROR(IF(Z92="",0,Z92),"0")+IFERROR(IF(Z93="",0,Z93),"0")+IFERROR(IF(Z94="",0,Z94),"0")</f>
        <v>9.4899999999999998E-2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40.5</v>
      </c>
      <c r="Y96" s="43">
        <f>IFERROR(SUM(Y91:Y94),"0")</f>
        <v>40.5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17.5</v>
      </c>
      <c r="Y175" s="55">
        <f t="shared" ref="Y175:Y185" si="16">IFERROR(IF(X175="",0,CEILING((X175/$H175),1)*$H175),"")</f>
        <v>17.5</v>
      </c>
      <c r="Z175" s="41">
        <f>IFERROR(IF(Y175=0,"",ROUNDUP(Y175/H175,0)*0.00902),"")</f>
        <v>4.5100000000000001E-2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18.45</v>
      </c>
      <c r="BN175" s="78">
        <f t="shared" ref="BN175:BN185" si="18">IFERROR(Y175*I175/H175,"0")</f>
        <v>18.45</v>
      </c>
      <c r="BO175" s="78">
        <f t="shared" ref="BO175:BO185" si="19">IFERROR(1/J175*(X175/H175),"0")</f>
        <v>3.787878787878788E-2</v>
      </c>
      <c r="BP175" s="78">
        <f t="shared" ref="BP175:BP185" si="20">IFERROR(1/J175*(Y175/H175),"0")</f>
        <v>3.787878787878788E-2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4.5100000000000001E-2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17.5</v>
      </c>
      <c r="Y187" s="43">
        <f>IFERROR(SUM(Y175:Y185),"0")</f>
        <v>17.5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54</v>
      </c>
      <c r="Y325" s="55">
        <f>IFERROR(IF(X325="",0,CEILING((X325/$H325),1)*$H325),"")</f>
        <v>54</v>
      </c>
      <c r="Z325" s="41">
        <f>IFERROR(IF(Y325=0,"",ROUNDUP(Y325/H325,0)*0.01898),"")</f>
        <v>9.4899999999999998E-2</v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56.05</v>
      </c>
      <c r="BN325" s="78">
        <f>IFERROR(Y325*I325/H325,"0")</f>
        <v>56.05</v>
      </c>
      <c r="BO325" s="78">
        <f>IFERROR(1/J325*(X325/H325),"0")</f>
        <v>7.8125E-2</v>
      </c>
      <c r="BP325" s="78">
        <f>IFERROR(1/J325*(Y325/H325),"0")</f>
        <v>7.8125E-2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108</v>
      </c>
      <c r="Y326" s="55">
        <f>IFERROR(IF(X326="",0,CEILING((X326/$H326),1)*$H326),"")</f>
        <v>108</v>
      </c>
      <c r="Z326" s="41">
        <f>IFERROR(IF(Y326=0,"",ROUNDUP(Y326/H326,0)*0.01898),"")</f>
        <v>0.1898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112.1</v>
      </c>
      <c r="BN326" s="78">
        <f>IFERROR(Y326*I326/H326,"0")</f>
        <v>112.1</v>
      </c>
      <c r="BO326" s="78">
        <f>IFERROR(1/J326*(X326/H326),"0")</f>
        <v>0.15625</v>
      </c>
      <c r="BP326" s="78">
        <f>IFERROR(1/J326*(Y326/H326),"0")</f>
        <v>0.15625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15</v>
      </c>
      <c r="Y329" s="43">
        <f>IFERROR(Y324/H324,"0")+IFERROR(Y325/H325,"0")+IFERROR(Y326/H326,"0")+IFERROR(Y327/H327,"0")+IFERROR(Y328/H328,"0")</f>
        <v>15</v>
      </c>
      <c r="Z329" s="43">
        <f>IFERROR(IF(Z324="",0,Z324),"0")+IFERROR(IF(Z325="",0,Z325),"0")+IFERROR(IF(Z326="",0,Z326),"0")+IFERROR(IF(Z327="",0,Z327),"0")+IFERROR(IF(Z328="",0,Z328),"0")</f>
        <v>0.28470000000000001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162</v>
      </c>
      <c r="Y330" s="43">
        <f>IFERROR(SUM(Y324:Y328),"0")</f>
        <v>162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108</v>
      </c>
      <c r="Y363" s="55">
        <f t="shared" si="48"/>
        <v>108</v>
      </c>
      <c r="Z363" s="41">
        <f>IFERROR(IF(Y363=0,"",ROUNDUP(Y363/H363,0)*0.01898),"")</f>
        <v>0.1898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112.1</v>
      </c>
      <c r="BN363" s="78">
        <f t="shared" si="50"/>
        <v>112.1</v>
      </c>
      <c r="BO363" s="78">
        <f t="shared" si="51"/>
        <v>0.15625</v>
      </c>
      <c r="BP363" s="78">
        <f t="shared" si="52"/>
        <v>0.15625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10</v>
      </c>
      <c r="Y367" s="43">
        <f>IFERROR(Y361/H361,"0")+IFERROR(Y362/H362,"0")+IFERROR(Y363/H363,"0")+IFERROR(Y364/H364,"0")+IFERROR(Y365/H365,"0")+IFERROR(Y366/H366,"0")</f>
        <v>10</v>
      </c>
      <c r="Z367" s="43">
        <f>IFERROR(IF(Z361="",0,Z361),"0")+IFERROR(IF(Z362="",0,Z362),"0")+IFERROR(IF(Z363="",0,Z363),"0")+IFERROR(IF(Z364="",0,Z364),"0")+IFERROR(IF(Z365="",0,Z365),"0")+IFERROR(IF(Z366="",0,Z366),"0")</f>
        <v>0.1898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108</v>
      </c>
      <c r="Y368" s="43">
        <f>IFERROR(SUM(Y361:Y366),"0")</f>
        <v>108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42</v>
      </c>
      <c r="Y370" s="55">
        <f t="shared" ref="Y370:Y376" si="53">IFERROR(IF(X370="",0,CEILING((X370/$H370),1)*$H370),"")</f>
        <v>42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44.5</v>
      </c>
      <c r="BN370" s="78">
        <f t="shared" ref="BN370:BN376" si="55">IFERROR(Y370*I370/H370,"0")</f>
        <v>44.5</v>
      </c>
      <c r="BO370" s="78">
        <f t="shared" ref="BO370:BO376" si="56">IFERROR(1/J370*(X370/H370),"0")</f>
        <v>7.575757575757576E-2</v>
      </c>
      <c r="BP370" s="78">
        <f t="shared" ref="BP370:BP376" si="57">IFERROR(1/J370*(Y370/H370),"0")</f>
        <v>7.575757575757576E-2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42</v>
      </c>
      <c r="Y371" s="55">
        <f t="shared" si="53"/>
        <v>42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44.5</v>
      </c>
      <c r="BN371" s="78">
        <f t="shared" si="55"/>
        <v>44.5</v>
      </c>
      <c r="BO371" s="78">
        <f t="shared" si="56"/>
        <v>7.575757575757576E-2</v>
      </c>
      <c r="BP371" s="78">
        <f t="shared" si="57"/>
        <v>7.575757575757576E-2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20</v>
      </c>
      <c r="Y377" s="43">
        <f>IFERROR(Y370/H370,"0")+IFERROR(Y371/H371,"0")+IFERROR(Y372/H372,"0")+IFERROR(Y373/H373,"0")+IFERROR(Y374/H374,"0")+IFERROR(Y375/H375,"0")+IFERROR(Y376/H376,"0")</f>
        <v>20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0.1804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84</v>
      </c>
      <c r="Y378" s="43">
        <f>IFERROR(SUM(Y370:Y376),"0")</f>
        <v>84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1497.6</v>
      </c>
      <c r="Y380" s="55">
        <f>IFERROR(IF(X380="",0,CEILING((X380/$H380),1)*$H380),"")</f>
        <v>1497.6</v>
      </c>
      <c r="Z380" s="41">
        <f>IFERROR(IF(Y380=0,"",ROUNDUP(Y380/H380,0)*0.01898),"")</f>
        <v>3.6441600000000003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1591.296</v>
      </c>
      <c r="BN380" s="78">
        <f>IFERROR(Y380*I380/H380,"0")</f>
        <v>1591.296</v>
      </c>
      <c r="BO380" s="78">
        <f>IFERROR(1/J380*(X380/H380),"0")</f>
        <v>3</v>
      </c>
      <c r="BP380" s="78">
        <f>IFERROR(1/J380*(Y380/H380),"0")</f>
        <v>3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30</v>
      </c>
      <c r="Y383" s="55">
        <f>IFERROR(IF(X383="",0,CEILING((X383/$H383),1)*$H383),"")</f>
        <v>30</v>
      </c>
      <c r="Z383" s="41">
        <f>IFERROR(IF(Y383=0,"",ROUNDUP(Y383/H383,0)*0.00651),"")</f>
        <v>6.5100000000000005E-2</v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32.46</v>
      </c>
      <c r="BN383" s="78">
        <f>IFERROR(Y383*I383/H383,"0")</f>
        <v>32.46</v>
      </c>
      <c r="BO383" s="78">
        <f>IFERROR(1/J383*(X383/H383),"0")</f>
        <v>5.4945054945054951E-2</v>
      </c>
      <c r="BP383" s="78">
        <f>IFERROR(1/J383*(Y383/H383),"0")</f>
        <v>5.4945054945054951E-2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202</v>
      </c>
      <c r="Y384" s="43">
        <f>IFERROR(Y380/H380,"0")+IFERROR(Y381/H381,"0")+IFERROR(Y382/H382,"0")+IFERROR(Y383/H383,"0")</f>
        <v>202</v>
      </c>
      <c r="Z384" s="43">
        <f>IFERROR(IF(Z380="",0,Z380),"0")+IFERROR(IF(Z381="",0,Z381),"0")+IFERROR(IF(Z382="",0,Z382),"0")+IFERROR(IF(Z383="",0,Z383),"0")</f>
        <v>3.7092600000000004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1527.6</v>
      </c>
      <c r="Y385" s="43">
        <f>IFERROR(SUM(Y380:Y383),"0")</f>
        <v>1527.6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78</v>
      </c>
      <c r="Y388" s="55">
        <f>IFERROR(IF(X388="",0,CEILING((X388/$H388),1)*$H388),"")</f>
        <v>78</v>
      </c>
      <c r="Z388" s="41">
        <f>IFERROR(IF(Y388=0,"",ROUNDUP(Y388/H388,0)*0.01898),"")</f>
        <v>0.1898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82.94</v>
      </c>
      <c r="BN388" s="78">
        <f>IFERROR(Y388*I388/H388,"0")</f>
        <v>82.94</v>
      </c>
      <c r="BO388" s="78">
        <f>IFERROR(1/J388*(X388/H388),"0")</f>
        <v>0.15625</v>
      </c>
      <c r="BP388" s="78">
        <f>IFERROR(1/J388*(Y388/H388),"0")</f>
        <v>0.15625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42</v>
      </c>
      <c r="Y389" s="55">
        <f>IFERROR(IF(X389="",0,CEILING((X389/$H389),1)*$H389),"")</f>
        <v>42</v>
      </c>
      <c r="Z389" s="41">
        <f>IFERROR(IF(Y389=0,"",ROUNDUP(Y389/H389,0)*0.01898),"")</f>
        <v>9.4899999999999998E-2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44.47</v>
      </c>
      <c r="BN389" s="78">
        <f>IFERROR(Y389*I389/H389,"0")</f>
        <v>44.47</v>
      </c>
      <c r="BO389" s="78">
        <f>IFERROR(1/J389*(X389/H389),"0")</f>
        <v>7.8125E-2</v>
      </c>
      <c r="BP389" s="78">
        <f>IFERROR(1/J389*(Y389/H389),"0")</f>
        <v>7.8125E-2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15</v>
      </c>
      <c r="Y390" s="43">
        <f>IFERROR(Y387/H387,"0")+IFERROR(Y388/H388,"0")+IFERROR(Y389/H389,"0")</f>
        <v>15</v>
      </c>
      <c r="Z390" s="43">
        <f>IFERROR(IF(Z387="",0,Z387),"0")+IFERROR(IF(Z388="",0,Z388),"0")+IFERROR(IF(Z389="",0,Z389),"0")</f>
        <v>0.28470000000000001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120</v>
      </c>
      <c r="Y391" s="43">
        <f>IFERROR(SUM(Y387:Y389),"0")</f>
        <v>120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40.5</v>
      </c>
      <c r="Y419" s="55">
        <f>IFERROR(IF(X419="",0,CEILING((X419/$H419),1)*$H419),"")</f>
        <v>40.5</v>
      </c>
      <c r="Z419" s="41">
        <f>IFERROR(IF(Y419=0,"",ROUNDUP(Y419/H419,0)*0.01898),"")</f>
        <v>9.4899999999999998E-2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42.97</v>
      </c>
      <c r="BN419" s="78">
        <f>IFERROR(Y419*I419/H419,"0")</f>
        <v>42.97</v>
      </c>
      <c r="BO419" s="78">
        <f>IFERROR(1/J419*(X419/H419),"0")</f>
        <v>7.8125E-2</v>
      </c>
      <c r="BP419" s="78">
        <f>IFERROR(1/J419*(Y419/H419),"0")</f>
        <v>7.8125E-2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21</v>
      </c>
      <c r="Y420" s="55">
        <f>IFERROR(IF(X420="",0,CEILING((X420/$H420),1)*$H420),"")</f>
        <v>21</v>
      </c>
      <c r="Z420" s="41">
        <f>IFERROR(IF(Y420=0,"",ROUNDUP(Y420/H420,0)*0.00651),"")</f>
        <v>6.5100000000000005E-2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23.519999999999996</v>
      </c>
      <c r="BN420" s="78">
        <f>IFERROR(Y420*I420/H420,"0")</f>
        <v>23.519999999999996</v>
      </c>
      <c r="BO420" s="78">
        <f>IFERROR(1/J420*(X420/H420),"0")</f>
        <v>5.4945054945054951E-2</v>
      </c>
      <c r="BP420" s="78">
        <f>IFERROR(1/J420*(Y420/H420),"0")</f>
        <v>5.4945054945054951E-2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21</v>
      </c>
      <c r="Y421" s="55">
        <f>IFERROR(IF(X421="",0,CEILING((X421/$H421),1)*$H421),"")</f>
        <v>21</v>
      </c>
      <c r="Z421" s="41">
        <f>IFERROR(IF(Y421=0,"",ROUNDUP(Y421/H421,0)*0.00651),"")</f>
        <v>6.5100000000000005E-2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23.4</v>
      </c>
      <c r="BN421" s="78">
        <f>IFERROR(Y421*I421/H421,"0")</f>
        <v>23.4</v>
      </c>
      <c r="BO421" s="78">
        <f>IFERROR(1/J421*(X421/H421),"0")</f>
        <v>5.4945054945054951E-2</v>
      </c>
      <c r="BP421" s="78">
        <f>IFERROR(1/J421*(Y421/H421),"0")</f>
        <v>5.4945054945054951E-2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25</v>
      </c>
      <c r="Y422" s="43">
        <f>IFERROR(Y419/H419,"0")+IFERROR(Y420/H420,"0")+IFERROR(Y421/H421,"0")</f>
        <v>25</v>
      </c>
      <c r="Z422" s="43">
        <f>IFERROR(IF(Z419="",0,Z419),"0")+IFERROR(IF(Z420="",0,Z420),"0")+IFERROR(IF(Z421="",0,Z421),"0")</f>
        <v>0.22510000000000002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82.5</v>
      </c>
      <c r="Y423" s="43">
        <f>IFERROR(SUM(Y419:Y421),"0")</f>
        <v>82.5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720</v>
      </c>
      <c r="Y429" s="55">
        <f t="shared" si="58"/>
        <v>720</v>
      </c>
      <c r="Z429" s="41">
        <f>IFERROR(IF(Y429=0,"",ROUNDUP(Y429/H429,0)*0.02175),"")</f>
        <v>1.044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742.56</v>
      </c>
      <c r="BN429" s="78">
        <f t="shared" si="60"/>
        <v>742.56</v>
      </c>
      <c r="BO429" s="78">
        <f t="shared" si="61"/>
        <v>1</v>
      </c>
      <c r="BP429" s="78">
        <f t="shared" si="62"/>
        <v>1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720</v>
      </c>
      <c r="Y431" s="55">
        <f t="shared" si="58"/>
        <v>720</v>
      </c>
      <c r="Z431" s="41">
        <f>IFERROR(IF(Y431=0,"",ROUNDUP(Y431/H431,0)*0.02175),"")</f>
        <v>1.044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742.56</v>
      </c>
      <c r="BN431" s="78">
        <f t="shared" si="60"/>
        <v>742.56</v>
      </c>
      <c r="BO431" s="78">
        <f t="shared" si="61"/>
        <v>1</v>
      </c>
      <c r="BP431" s="78">
        <f t="shared" si="62"/>
        <v>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96</v>
      </c>
      <c r="Y435" s="43">
        <f>IFERROR(Y427/H427,"0")+IFERROR(Y428/H428,"0")+IFERROR(Y429/H429,"0")+IFERROR(Y430/H430,"0")+IFERROR(Y431/H431,"0")+IFERROR(Y432/H432,"0")+IFERROR(Y433/H433,"0")+IFERROR(Y434/H434,"0")</f>
        <v>96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2.0880000000000001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1440</v>
      </c>
      <c r="Y436" s="43">
        <f>IFERROR(SUM(Y427:Y434),"0")</f>
        <v>1440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26.4</v>
      </c>
      <c r="Y505" s="55">
        <f t="shared" si="68"/>
        <v>26.400000000000002</v>
      </c>
      <c r="Z505" s="41">
        <f t="shared" si="69"/>
        <v>5.9799999999999999E-2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28.149999999999995</v>
      </c>
      <c r="BN505" s="78">
        <f t="shared" si="71"/>
        <v>28.15</v>
      </c>
      <c r="BO505" s="78">
        <f t="shared" si="72"/>
        <v>4.8076923076923073E-2</v>
      </c>
      <c r="BP505" s="78">
        <f t="shared" si="73"/>
        <v>4.807692307692308E-2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4.9999999999999991</v>
      </c>
      <c r="Y509" s="43">
        <f>IFERROR(Y500/H500,"0")+IFERROR(Y501/H501,"0")+IFERROR(Y502/H502,"0")+IFERROR(Y503/H503,"0")+IFERROR(Y504/H504,"0")+IFERROR(Y505/H505,"0")+IFERROR(Y506/H506,"0")+IFERROR(Y507/H507,"0")+IFERROR(Y508/H508,"0")</f>
        <v>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5.9799999999999999E-2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26.4</v>
      </c>
      <c r="Y510" s="43">
        <f>IFERROR(SUM(Y500:Y508),"0")</f>
        <v>26.400000000000002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26.4</v>
      </c>
      <c r="Y512" s="55">
        <f>IFERROR(IF(X512="",0,CEILING((X512/$H512),1)*$H512),"")</f>
        <v>26.400000000000002</v>
      </c>
      <c r="Z512" s="41">
        <f>IFERROR(IF(Y512=0,"",ROUNDUP(Y512/H512,0)*0.01196),"")</f>
        <v>5.9799999999999999E-2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28.149999999999995</v>
      </c>
      <c r="BN512" s="78">
        <f>IFERROR(Y512*I512/H512,"0")</f>
        <v>28.15</v>
      </c>
      <c r="BO512" s="78">
        <f>IFERROR(1/J512*(X512/H512),"0")</f>
        <v>4.8076923076923073E-2</v>
      </c>
      <c r="BP512" s="78">
        <f>IFERROR(1/J512*(Y512/H512),"0")</f>
        <v>4.807692307692308E-2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4.9999999999999991</v>
      </c>
      <c r="Y515" s="43">
        <f>IFERROR(Y512/H512,"0")+IFERROR(Y513/H513,"0")+IFERROR(Y514/H514,"0")</f>
        <v>5</v>
      </c>
      <c r="Z515" s="43">
        <f>IFERROR(IF(Z512="",0,Z512),"0")+IFERROR(IF(Z513="",0,Z513),"0")+IFERROR(IF(Z514="",0,Z514),"0")</f>
        <v>5.9799999999999999E-2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26.4</v>
      </c>
      <c r="Y516" s="43">
        <f>IFERROR(SUM(Y512:Y514),"0")</f>
        <v>26.400000000000002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48</v>
      </c>
      <c r="Y538" s="55">
        <f>IFERROR(IF(X538="",0,CEILING((X538/$H538),1)*$H538),"")</f>
        <v>50.400000000000006</v>
      </c>
      <c r="Z538" s="41">
        <f>IFERROR(IF(Y538=0,"",ROUNDUP(Y538/H538,0)*0.00902),"")</f>
        <v>0.10824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50.857142857142861</v>
      </c>
      <c r="BN538" s="78">
        <f>IFERROR(Y538*I538/H538,"0")</f>
        <v>53.400000000000006</v>
      </c>
      <c r="BO538" s="78">
        <f>IFERROR(1/J538*(X538/H538),"0")</f>
        <v>8.658008658008659E-2</v>
      </c>
      <c r="BP538" s="78">
        <f>IFERROR(1/J538*(Y538/H538),"0")</f>
        <v>9.0909090909090912E-2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11.428571428571429</v>
      </c>
      <c r="Y539" s="43">
        <f>IFERROR(Y538/H538,"0")</f>
        <v>12</v>
      </c>
      <c r="Z539" s="43">
        <f>IFERROR(IF(Z538="",0,Z538),"0")</f>
        <v>0.10824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48</v>
      </c>
      <c r="Y540" s="43">
        <f>IFERROR(SUM(Y538:Y538),"0")</f>
        <v>50.400000000000006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3965.9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3968.3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4158.9031428571425</v>
      </c>
      <c r="Y556" s="43">
        <f>IFERROR(SUM(BN22:BN552),"0")</f>
        <v>4161.445999999999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7</v>
      </c>
      <c r="Y557" s="44">
        <f>ROUNDUP(SUM(BP22:BP552),0)</f>
        <v>7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4333.9031428571425</v>
      </c>
      <c r="Y558" s="43">
        <f>GrossWeightTotalR+PalletQtyTotalR*25</f>
        <v>4336.445999999999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454.42857142857144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455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7.8647000000000018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175</v>
      </c>
      <c r="F565" s="52">
        <f>IFERROR(Y84*1,"0")+IFERROR(Y85*1,"0")+IFERROR(Y86*1,"0")+IFERROR(Y87*1,"0")+IFERROR(Y91*1,"0")+IFERROR(Y92*1,"0")+IFERROR(Y93*1,"0")+IFERROR(Y94*1,"0")</f>
        <v>148.5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17.5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162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1839.6</v>
      </c>
      <c r="U565" s="52">
        <f>IFERROR(Y413*1,"0")+IFERROR(Y414*1,"0")</f>
        <v>0</v>
      </c>
      <c r="V565" s="52">
        <f>IFERROR(Y419*1,"0")+IFERROR(Y420*1,"0")+IFERROR(Y421*1,"0")</f>
        <v>82.5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1440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52.800000000000004</v>
      </c>
      <c r="AB565" s="52">
        <f>IFERROR(Y530*1,"0")+IFERROR(Y534*1,"0")+IFERROR(Y538*1,"0")+IFERROR(Y542*1,"0")+IFERROR(Y546*1,"0")+IFERROR(Y547*1,"0")</f>
        <v>50.400000000000006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27,60"/>
        <filter val="10,00"/>
        <filter val="108,00"/>
        <filter val="11,43"/>
        <filter val="120,00"/>
        <filter val="135,00"/>
        <filter val="15,00"/>
        <filter val="162,00"/>
        <filter val="17,50"/>
        <filter val="20,00"/>
        <filter val="202,00"/>
        <filter val="21,00"/>
        <filter val="25,00"/>
        <filter val="26,40"/>
        <filter val="27,00"/>
        <filter val="3 965,90"/>
        <filter val="30,00"/>
        <filter val="4 158,90"/>
        <filter val="4 333,90"/>
        <filter val="40,00"/>
        <filter val="40,50"/>
        <filter val="42,00"/>
        <filter val="454,43"/>
        <filter val="48,00"/>
        <filter val="5,00"/>
        <filter val="54,00"/>
        <filter val="7"/>
        <filter val="720,00"/>
        <filter val="78,00"/>
        <filter val="82,50"/>
        <filter val="84,00"/>
        <filter val="9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