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A66E80-1C92-45C4-A9AE-5B25C24696D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Y296" i="2" l="1"/>
  <c r="Y516" i="2"/>
  <c r="Z439" i="2"/>
  <c r="Z183" i="2"/>
  <c r="BP66" i="2"/>
  <c r="Z372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259" i="2"/>
  <c r="Z484" i="2"/>
  <c r="Z515" i="2"/>
  <c r="Z167" i="2"/>
  <c r="Z264" i="2"/>
  <c r="Z422" i="2"/>
  <c r="Z415" i="2"/>
  <c r="Z357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<sst xmlns="http://schemas.openxmlformats.org/spreadsheetml/2006/main" count="4245" uniqueCount="901">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</sst>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30" zoomScaleNormal="100" zoomScaleSheetLayoutView="100" workbookViewId="0">
      <selection activeCell="Y555" sqref="Y5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46248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Пятница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7.4074074074074066</v>
      </c>
      <c r="Y51" s="43">
        <f>IFERROR(Y47/H47,"0")+IFERROR(Y48/H48,"0")+IFERROR(Y49/H49,"0")+IFERROR(Y50/H50,"0")</f>
        <v>8</v>
      </c>
      <c r="Z51" s="43">
        <f>IFERROR(IF(Z47="",0,Z47),"0")+IFERROR(IF(Z48="",0,Z48),"0")+IFERROR(IF(Z49="",0,Z49),"0")+IFERROR(IF(Z50="",0,Z50),"0")</f>
        <v>0.15184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80</v>
      </c>
      <c r="Y52" s="43">
        <f>IFERROR(SUM(Y47:Y50),"0")</f>
        <v>86.4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100</v>
      </c>
      <c r="Y57" s="55">
        <f t="shared" si="0"/>
        <v>108</v>
      </c>
      <c r="Z57" s="41">
        <f>IFERROR(IF(Y57=0,"",ROUNDUP(Y57/H57,0)*0.01898),"")</f>
        <v>0.1898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103.79629629629629</v>
      </c>
      <c r="BN57" s="78">
        <f t="shared" si="2"/>
        <v>112.1</v>
      </c>
      <c r="BO57" s="78">
        <f t="shared" si="3"/>
        <v>0.14467592592592593</v>
      </c>
      <c r="BP57" s="78">
        <f t="shared" si="4"/>
        <v>0.15625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9.2592592592592595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0.1898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100</v>
      </c>
      <c r="Y64" s="43">
        <f>IFERROR(SUM(Y55:Y62),"0")</f>
        <v>108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400</v>
      </c>
      <c r="Y66" s="55">
        <f>IFERROR(IF(X66="",0,CEILING((X66/$H66),1)*$H66),"")</f>
        <v>410.40000000000003</v>
      </c>
      <c r="Z66" s="41">
        <f>IFERROR(IF(Y66=0,"",ROUNDUP(Y66/H66,0)*0.01898),"")</f>
        <v>0.72123999999999999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415.18518518518516</v>
      </c>
      <c r="BN66" s="78">
        <f>IFERROR(Y66*I66/H66,"0")</f>
        <v>425.98</v>
      </c>
      <c r="BO66" s="78">
        <f>IFERROR(1/J66*(X66/H66),"0")</f>
        <v>0.57870370370370372</v>
      </c>
      <c r="BP66" s="78">
        <f>IFERROR(1/J66*(Y66/H66),"0")</f>
        <v>0.59375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37.037037037037038</v>
      </c>
      <c r="Y70" s="43">
        <f>IFERROR(Y66/H66,"0")+IFERROR(Y67/H67,"0")+IFERROR(Y68/H68,"0")+IFERROR(Y69/H69,"0")</f>
        <v>38</v>
      </c>
      <c r="Z70" s="43">
        <f>IFERROR(IF(Z66="",0,Z66),"0")+IFERROR(IF(Z67="",0,Z67),"0")+IFERROR(IF(Z68="",0,Z68),"0")+IFERROR(IF(Z69="",0,Z69),"0")</f>
        <v>0.72123999999999999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400</v>
      </c>
      <c r="Y71" s="43">
        <f>IFERROR(SUM(Y66:Y69),"0")</f>
        <v>410.40000000000003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4.6296296296296298</v>
      </c>
      <c r="Y88" s="43">
        <f>IFERROR(Y84/H84,"0")+IFERROR(Y85/H85,"0")+IFERROR(Y86/H86,"0")+IFERROR(Y87/H87,"0")</f>
        <v>5</v>
      </c>
      <c r="Z88" s="43">
        <f>IFERROR(IF(Z84="",0,Z84),"0")+IFERROR(IF(Z85="",0,Z85),"0")+IFERROR(IF(Z86="",0,Z86),"0")+IFERROR(IF(Z87="",0,Z87),"0")</f>
        <v>9.4899999999999998E-2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50</v>
      </c>
      <c r="Y89" s="43">
        <f>IFERROR(SUM(Y84:Y87),"0")</f>
        <v>54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30</v>
      </c>
      <c r="Y91" s="55">
        <f>IFERROR(IF(X91="",0,CEILING((X91/$H91),1)*$H91),"")</f>
        <v>32.4</v>
      </c>
      <c r="Z91" s="41">
        <f>IFERROR(IF(Y91=0,"",ROUNDUP(Y91/H91,0)*0.01898),"")</f>
        <v>7.5920000000000001E-2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31.829629629629629</v>
      </c>
      <c r="BN91" s="78">
        <f>IFERROR(Y91*I91/H91,"0")</f>
        <v>34.375999999999998</v>
      </c>
      <c r="BO91" s="78">
        <f>IFERROR(1/J91*(X91/H91),"0")</f>
        <v>5.7870370370370371E-2</v>
      </c>
      <c r="BP91" s="78">
        <f>IFERROR(1/J91*(Y91/H91),"0")</f>
        <v>6.25E-2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3.7037037037037037</v>
      </c>
      <c r="Y95" s="43">
        <f>IFERROR(Y91/H91,"0")+IFERROR(Y92/H92,"0")+IFERROR(Y93/H93,"0")+IFERROR(Y94/H94,"0")</f>
        <v>4</v>
      </c>
      <c r="Z95" s="43">
        <f>IFERROR(IF(Z91="",0,Z91),"0")+IFERROR(IF(Z92="",0,Z92),"0")+IFERROR(IF(Z93="",0,Z93),"0")+IFERROR(IF(Z94="",0,Z94),"0")</f>
        <v>7.5920000000000001E-2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30</v>
      </c>
      <c r="Y96" s="43">
        <f>IFERROR(SUM(Y91:Y94),"0")</f>
        <v>32.4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60</v>
      </c>
      <c r="Y117" s="55">
        <f>IFERROR(IF(X117="",0,CEILING((X117/$H117),1)*$H117),"")</f>
        <v>64.8</v>
      </c>
      <c r="Z117" s="41">
        <f>IFERROR(IF(Y117=0,"",ROUNDUP(Y117/H117,0)*0.01898),"")</f>
        <v>0.15184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63.614814814814814</v>
      </c>
      <c r="BN117" s="78">
        <f>IFERROR(Y117*I117/H117,"0")</f>
        <v>68.703999999999994</v>
      </c>
      <c r="BO117" s="78">
        <f>IFERROR(1/J117*(X117/H117),"0")</f>
        <v>0.11574074074074074</v>
      </c>
      <c r="BP117" s="78">
        <f>IFERROR(1/J117*(Y117/H117),"0")</f>
        <v>0.125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7.4074074074074074</v>
      </c>
      <c r="Y121" s="43">
        <f>IFERROR(Y117/H117,"0")+IFERROR(Y118/H118,"0")+IFERROR(Y119/H119,"0")+IFERROR(Y120/H120,"0")</f>
        <v>8</v>
      </c>
      <c r="Z121" s="43">
        <f>IFERROR(IF(Z117="",0,Z117),"0")+IFERROR(IF(Z118="",0,Z118),"0")+IFERROR(IF(Z119="",0,Z119),"0")+IFERROR(IF(Z120="",0,Z120),"0")</f>
        <v>0.15184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60</v>
      </c>
      <c r="Y122" s="43">
        <f>IFERROR(SUM(Y117:Y120),"0")</f>
        <v>64.8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27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52.261904761904752</v>
      </c>
      <c r="BN223" s="78">
        <f t="shared" si="29"/>
        <v>52.68</v>
      </c>
      <c r="BO223" s="78">
        <f t="shared" si="30"/>
        <v>9.0187590187590191E-2</v>
      </c>
      <c r="BP223" s="78">
        <f t="shared" si="31"/>
        <v>9.0909090909090912E-2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11.904761904761905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12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0.10824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50</v>
      </c>
      <c r="Y236" s="43">
        <f>IFERROR(SUM(Y221:Y234),"0")</f>
        <v>50.400000000000006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ref="Y267:Y274" si="33">IFERROR(IF(X267="",0,CEILING((X267/$H267),1)*$H267),"")</f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82.81481481481481</v>
      </c>
      <c r="BN267" s="78">
        <f t="shared" ref="BN267:BN274" si="35">IFERROR(Y267*I267/H267,"0")</f>
        <v>83.85</v>
      </c>
      <c r="BO267" s="78">
        <f t="shared" ref="BO267:BO274" si="36">IFERROR(1/J267*(X267/H267),"0")</f>
        <v>0.11223344556677889</v>
      </c>
      <c r="BP267" s="78">
        <f t="shared" ref="BP267:BP274" si="37">IFERROR(1/J267*(Y267/H267),"0")</f>
        <v>0.11363636363636363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37.037037037037038</v>
      </c>
      <c r="Y275" s="43">
        <f>IFERROR(Y267/H267,"0")+IFERROR(Y268/H268,"0")+IFERROR(Y269/H269,"0")+IFERROR(Y270/H270,"0")+IFERROR(Y271/H271,"0")+IFERROR(Y272/H272,"0")+IFERROR(Y273/H273,"0")+IFERROR(Y274/H274,"0")</f>
        <v>38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0.34276000000000001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200</v>
      </c>
      <c r="Y276" s="43">
        <f>IFERROR(SUM(Y267:Y274),"0")</f>
        <v>205.2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600</v>
      </c>
      <c r="Y364" s="55">
        <f t="shared" si="48"/>
        <v>604.80000000000007</v>
      </c>
      <c r="Z364" s="41">
        <f>IFERROR(IF(Y364=0,"",ROUNDUP(Y364/H364,0)*0.01898),"")</f>
        <v>1.06288</v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622.77777777777783</v>
      </c>
      <c r="BN364" s="78">
        <f t="shared" si="50"/>
        <v>627.76</v>
      </c>
      <c r="BO364" s="78">
        <f t="shared" si="51"/>
        <v>0.86805555555555547</v>
      </c>
      <c r="BP364" s="78">
        <f t="shared" si="52"/>
        <v>0.875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55.55555555555555</v>
      </c>
      <c r="Y367" s="43">
        <f>IFERROR(Y361/H361,"0")+IFERROR(Y362/H362,"0")+IFERROR(Y363/H363,"0")+IFERROR(Y364/H364,"0")+IFERROR(Y365/H365,"0")+IFERROR(Y366/H366,"0")</f>
        <v>56</v>
      </c>
      <c r="Z367" s="43">
        <f>IFERROR(IF(Z361="",0,Z361),"0")+IFERROR(IF(Z362="",0,Z362),"0")+IFERROR(IF(Z363="",0,Z363),"0")+IFERROR(IF(Z364="",0,Z364),"0")+IFERROR(IF(Z365="",0,Z365),"0")+IFERROR(IF(Z366="",0,Z366),"0")</f>
        <v>1.06288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600</v>
      </c>
      <c r="Y368" s="43">
        <f>IFERROR(SUM(Y361:Y366),"0")</f>
        <v>604.80000000000007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30</v>
      </c>
      <c r="Y370" s="55">
        <f t="shared" ref="Y370:Y376" si="53">IFERROR(IF(X370="",0,CEILING((X370/$H370),1)*$H370),"")</f>
        <v>33.6</v>
      </c>
      <c r="Z370" s="41">
        <f>IFERROR(IF(Y370=0,"",ROUNDUP(Y370/H370,0)*0.00902),"")</f>
        <v>7.2160000000000002E-2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31.785714285714285</v>
      </c>
      <c r="BN370" s="78">
        <f t="shared" ref="BN370:BN376" si="55">IFERROR(Y370*I370/H370,"0")</f>
        <v>35.6</v>
      </c>
      <c r="BO370" s="78">
        <f t="shared" ref="BO370:BO376" si="56">IFERROR(1/J370*(X370/H370),"0")</f>
        <v>5.4112554112554112E-2</v>
      </c>
      <c r="BP370" s="78">
        <f t="shared" ref="BP370:BP376" si="57">IFERROR(1/J370*(Y370/H370),"0")</f>
        <v>6.0606060606060608E-2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600</v>
      </c>
      <c r="Y371" s="55">
        <f t="shared" si="53"/>
        <v>600.6</v>
      </c>
      <c r="Z371" s="41">
        <f>IFERROR(IF(Y371=0,"",ROUNDUP(Y371/H371,0)*0.00902),"")</f>
        <v>1.28986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635.71428571428567</v>
      </c>
      <c r="BN371" s="78">
        <f t="shared" si="55"/>
        <v>636.35</v>
      </c>
      <c r="BO371" s="78">
        <f t="shared" si="56"/>
        <v>1.0822510822510822</v>
      </c>
      <c r="BP371" s="78">
        <f t="shared" si="57"/>
        <v>1.0833333333333333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150</v>
      </c>
      <c r="Y377" s="43">
        <f>IFERROR(Y370/H370,"0")+IFERROR(Y371/H371,"0")+IFERROR(Y372/H372,"0")+IFERROR(Y373/H373,"0")+IFERROR(Y374/H374,"0")+IFERROR(Y375/H375,"0")+IFERROR(Y376/H376,"0")</f>
        <v>151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1.36202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630</v>
      </c>
      <c r="Y378" s="43">
        <f>IFERROR(SUM(Y370:Y376),"0")</f>
        <v>634.20000000000005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10</v>
      </c>
      <c r="Y400" s="55">
        <f>IFERROR(IF(X400="",0,CEILING((X400/$H400),1)*$H400),"")</f>
        <v>10</v>
      </c>
      <c r="Z400" s="41">
        <f>IFERROR(IF(Y400=0,"",ROUNDUP(Y400/H400,0)*0.00474),"")</f>
        <v>2.3700000000000002E-2</v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11.200000000000001</v>
      </c>
      <c r="BN400" s="78">
        <f>IFERROR(Y400*I400/H400,"0")</f>
        <v>11.200000000000001</v>
      </c>
      <c r="BO400" s="78">
        <f>IFERROR(1/J400*(X400/H400),"0")</f>
        <v>2.1008403361344536E-2</v>
      </c>
      <c r="BP400" s="78">
        <f>IFERROR(1/J400*(Y400/H400),"0")</f>
        <v>2.1008403361344536E-2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20</v>
      </c>
      <c r="Y402" s="55">
        <f>IFERROR(IF(X402="",0,CEILING((X402/$H402),1)*$H402),"")</f>
        <v>20</v>
      </c>
      <c r="Z402" s="41">
        <f>IFERROR(IF(Y402=0,"",ROUNDUP(Y402/H402,0)*0.00474),"")</f>
        <v>4.7400000000000005E-2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22.400000000000002</v>
      </c>
      <c r="BN402" s="78">
        <f>IFERROR(Y402*I402/H402,"0")</f>
        <v>22.400000000000002</v>
      </c>
      <c r="BO402" s="78">
        <f>IFERROR(1/J402*(X402/H402),"0")</f>
        <v>4.2016806722689072E-2</v>
      </c>
      <c r="BP402" s="78">
        <f>IFERROR(1/J402*(Y402/H402),"0")</f>
        <v>4.2016806722689072E-2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15</v>
      </c>
      <c r="Y403" s="43">
        <f>IFERROR(Y400/H400,"0")+IFERROR(Y401/H401,"0")+IFERROR(Y402/H402,"0")</f>
        <v>15</v>
      </c>
      <c r="Z403" s="43">
        <f>IFERROR(IF(Z400="",0,Z400),"0")+IFERROR(IF(Z401="",0,Z401),"0")+IFERROR(IF(Z402="",0,Z402),"0")</f>
        <v>7.110000000000001E-2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30</v>
      </c>
      <c r="Y404" s="43">
        <f>IFERROR(SUM(Y400:Y402),"0")</f>
        <v>30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50</v>
      </c>
      <c r="Y419" s="55">
        <f>IFERROR(IF(X419="",0,CEILING((X419/$H419),1)*$H419),"")</f>
        <v>56.699999999999996</v>
      </c>
      <c r="Z419" s="41">
        <f>IFERROR(IF(Y419=0,"",ROUNDUP(Y419/H419,0)*0.01898),"")</f>
        <v>0.13286000000000001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53.049382716049386</v>
      </c>
      <c r="BN419" s="78">
        <f>IFERROR(Y419*I419/H419,"0")</f>
        <v>60.157999999999994</v>
      </c>
      <c r="BO419" s="78">
        <f>IFERROR(1/J419*(X419/H419),"0")</f>
        <v>9.6450617283950615E-2</v>
      </c>
      <c r="BP419" s="78">
        <f>IFERROR(1/J419*(Y419/H419),"0")</f>
        <v>0.109375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6.1728395061728394</v>
      </c>
      <c r="Y422" s="43">
        <f>IFERROR(Y419/H419,"0")+IFERROR(Y420/H420,"0")+IFERROR(Y421/H421,"0")</f>
        <v>7</v>
      </c>
      <c r="Z422" s="43">
        <f>IFERROR(IF(Z419="",0,Z419),"0")+IFERROR(IF(Z420="",0,Z420),"0")+IFERROR(IF(Z421="",0,Z421),"0")</f>
        <v>0.13286000000000001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50</v>
      </c>
      <c r="Y423" s="43">
        <f>IFERROR(SUM(Y419:Y421),"0")</f>
        <v>56.699999999999996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200</v>
      </c>
      <c r="Y428" s="55">
        <f t="shared" si="5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206.26666666666668</v>
      </c>
      <c r="BN428" s="78">
        <f t="shared" si="60"/>
        <v>216.58</v>
      </c>
      <c r="BO428" s="78">
        <f t="shared" si="61"/>
        <v>0.27777777777777779</v>
      </c>
      <c r="BP428" s="78">
        <f t="shared" si="62"/>
        <v>0.29166666666666663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250</v>
      </c>
      <c r="Y429" s="55">
        <f t="shared" si="58"/>
        <v>255</v>
      </c>
      <c r="Z429" s="41">
        <f>IFERROR(IF(Y429=0,"",ROUNDUP(Y429/H429,0)*0.02175),"")</f>
        <v>0.36974999999999997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257.83333333333331</v>
      </c>
      <c r="BN429" s="78">
        <f t="shared" si="60"/>
        <v>262.99</v>
      </c>
      <c r="BO429" s="78">
        <f t="shared" si="61"/>
        <v>0.34722222222222221</v>
      </c>
      <c r="BP429" s="78">
        <f t="shared" si="62"/>
        <v>0.35416666666666663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1200</v>
      </c>
      <c r="Y430" s="55">
        <f t="shared" si="58"/>
        <v>1200</v>
      </c>
      <c r="Z430" s="41">
        <f>IFERROR(IF(Y430=0,"",ROUNDUP(Y430/H430,0)*0.02175),"")</f>
        <v>1.7399999999999998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1237.5999999999999</v>
      </c>
      <c r="BN430" s="78">
        <f t="shared" si="60"/>
        <v>1237.5999999999999</v>
      </c>
      <c r="BO430" s="78">
        <f t="shared" si="61"/>
        <v>1.6666666666666665</v>
      </c>
      <c r="BP430" s="78">
        <f t="shared" si="62"/>
        <v>1.6666666666666665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110</v>
      </c>
      <c r="Y435" s="43">
        <f>IFERROR(Y427/H427,"0")+IFERROR(Y428/H428,"0")+IFERROR(Y429/H429,"0")+IFERROR(Y430/H430,"0")+IFERROR(Y431/H431,"0")+IFERROR(Y432/H432,"0")+IFERROR(Y433/H433,"0")+IFERROR(Y434/H434,"0")</f>
        <v>111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2.41425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1650</v>
      </c>
      <c r="Y436" s="43">
        <f>IFERROR(SUM(Y427:Y434),"0")</f>
        <v>1665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100</v>
      </c>
      <c r="Y465" s="55">
        <f>IFERROR(IF(X465="",0,CEILING((X465/$H465),1)*$H465),"")</f>
        <v>108</v>
      </c>
      <c r="Z465" s="41">
        <f>IFERROR(IF(Y465=0,"",ROUNDUP(Y465/H465,0)*0.01898),"")</f>
        <v>0.22776000000000002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105.48888888888888</v>
      </c>
      <c r="BN465" s="78">
        <f>IFERROR(Y465*I465/H465,"0")</f>
        <v>113.92799999999998</v>
      </c>
      <c r="BO465" s="78">
        <f>IFERROR(1/J465*(X465/H465),"0")</f>
        <v>0.1736111111111111</v>
      </c>
      <c r="BP465" s="78">
        <f>IFERROR(1/J465*(Y465/H465),"0")</f>
        <v>0.1875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11.111111111111111</v>
      </c>
      <c r="Y468" s="43">
        <f>IFERROR(Y465/H465,"0")+IFERROR(Y466/H466,"0")+IFERROR(Y467/H467,"0")</f>
        <v>12</v>
      </c>
      <c r="Z468" s="43">
        <f>IFERROR(IF(Z465="",0,Z465),"0")+IFERROR(IF(Z466="",0,Z466),"0")+IFERROR(IF(Z467="",0,Z467),"0")</f>
        <v>0.22776000000000002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100</v>
      </c>
      <c r="Y469" s="43">
        <f>IFERROR(SUM(Y465:Y467),"0")</f>
        <v>108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10</v>
      </c>
      <c r="Y492" s="55">
        <f>IFERROR(IF(X492="",0,CEILING((X492/$H492),1)*$H492),"")</f>
        <v>10.8</v>
      </c>
      <c r="Z492" s="41">
        <f>IFERROR(IF(Y492=0,"",ROUNDUP(Y492/H492,0)*0.00902),"")</f>
        <v>1.804E-2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10.351851851851851</v>
      </c>
      <c r="BN492" s="78">
        <f>IFERROR(Y492*I492/H492,"0")</f>
        <v>11.18</v>
      </c>
      <c r="BO492" s="78">
        <f>IFERROR(1/J492*(X492/H492),"0")</f>
        <v>1.4029180695847361E-2</v>
      </c>
      <c r="BP492" s="78">
        <f>IFERROR(1/J492*(Y492/H492),"0")</f>
        <v>1.5151515151515152E-2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1.8518518518518516</v>
      </c>
      <c r="Y495" s="43">
        <f>IFERROR(Y492/H492,"0")+IFERROR(Y493/H493,"0")+IFERROR(Y494/H494,"0")</f>
        <v>2</v>
      </c>
      <c r="Z495" s="43">
        <f>IFERROR(IF(Z492="",0,Z492),"0")+IFERROR(IF(Z493="",0,Z493),"0")+IFERROR(IF(Z494="",0,Z494),"0")</f>
        <v>1.804E-2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10</v>
      </c>
      <c r="Y496" s="43">
        <f>IFERROR(SUM(Y492:Y494),"0")</f>
        <v>10.8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50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53.314393939393938</v>
      </c>
      <c r="BN505" s="78">
        <f t="shared" si="71"/>
        <v>56.3</v>
      </c>
      <c r="BO505" s="78">
        <f t="shared" si="72"/>
        <v>9.1054778554778545E-2</v>
      </c>
      <c r="BP505" s="78">
        <f t="shared" si="73"/>
        <v>9.6153846153846159E-2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9.4696969696969688</v>
      </c>
      <c r="Y509" s="43">
        <f>IFERROR(Y500/H500,"0")+IFERROR(Y501/H501,"0")+IFERROR(Y502/H502,"0")+IFERROR(Y503/H503,"0")+IFERROR(Y504/H504,"0")+IFERROR(Y505/H505,"0")+IFERROR(Y506/H506,"0")+IFERROR(Y507/H507,"0")+IFERROR(Y508/H508,"0")</f>
        <v>10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0.1196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50</v>
      </c>
      <c r="Y510" s="43">
        <f>IFERROR(SUM(Y500:Y508),"0")</f>
        <v>52.800000000000004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300</v>
      </c>
      <c r="Y512" s="55">
        <f>IFERROR(IF(X512="",0,CEILING((X512/$H512),1)*$H512),"")</f>
        <v>300.96000000000004</v>
      </c>
      <c r="Z512" s="41">
        <f>IFERROR(IF(Y512=0,"",ROUNDUP(Y512/H512,0)*0.01196),"")</f>
        <v>0.68171999999999999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319.88636363636363</v>
      </c>
      <c r="BN512" s="78">
        <f>IFERROR(Y512*I512/H512,"0")</f>
        <v>320.91000000000003</v>
      </c>
      <c r="BO512" s="78">
        <f>IFERROR(1/J512*(X512/H512),"0")</f>
        <v>0.54632867132867136</v>
      </c>
      <c r="BP512" s="78">
        <f>IFERROR(1/J512*(Y512/H512),"0")</f>
        <v>0.54807692307692313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56.818181818181813</v>
      </c>
      <c r="Y515" s="43">
        <f>IFERROR(Y512/H512,"0")+IFERROR(Y513/H513,"0")+IFERROR(Y514/H514,"0")</f>
        <v>57.000000000000007</v>
      </c>
      <c r="Z515" s="43">
        <f>IFERROR(IF(Z512="",0,Z512),"0")+IFERROR(IF(Z513="",0,Z513),"0")+IFERROR(IF(Z514="",0,Z514),"0")</f>
        <v>0.68171999999999999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300</v>
      </c>
      <c r="Y516" s="43">
        <f>IFERROR(SUM(Y512:Y514),"0")</f>
        <v>300.96000000000004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10</v>
      </c>
      <c r="Y518" s="55">
        <f t="shared" ref="Y518:Y524" si="74">IFERROR(IF(X518="",0,CEILING((X518/$H518),1)*$H518),"")</f>
        <v>10.56</v>
      </c>
      <c r="Z518" s="41">
        <f>IFERROR(IF(Y518=0,"",ROUNDUP(Y518/H518,0)*0.01196),"")</f>
        <v>2.392E-2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10.662878787878787</v>
      </c>
      <c r="BN518" s="78">
        <f t="shared" ref="BN518:BN524" si="76">IFERROR(Y518*I518/H518,"0")</f>
        <v>11.26</v>
      </c>
      <c r="BO518" s="78">
        <f t="shared" ref="BO518:BO524" si="77">IFERROR(1/J518*(X518/H518),"0")</f>
        <v>1.8210955710955712E-2</v>
      </c>
      <c r="BP518" s="78">
        <f t="shared" ref="BP518:BP524" si="78">IFERROR(1/J518*(Y518/H518),"0")</f>
        <v>1.9230769230769232E-2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15</v>
      </c>
      <c r="Y519" s="55">
        <f t="shared" si="74"/>
        <v>15.84</v>
      </c>
      <c r="Z519" s="41">
        <f>IFERROR(IF(Y519=0,"",ROUNDUP(Y519/H519,0)*0.01196),"")</f>
        <v>3.5880000000000002E-2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15.994318181818182</v>
      </c>
      <c r="BN519" s="78">
        <f t="shared" si="76"/>
        <v>16.889999999999997</v>
      </c>
      <c r="BO519" s="78">
        <f t="shared" si="77"/>
        <v>2.7316433566433568E-2</v>
      </c>
      <c r="BP519" s="78">
        <f t="shared" si="78"/>
        <v>2.8846153846153848E-2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20</v>
      </c>
      <c r="Y520" s="55">
        <f t="shared" si="74"/>
        <v>21.12</v>
      </c>
      <c r="Z520" s="41">
        <f>IFERROR(IF(Y520=0,"",ROUNDUP(Y520/H520,0)*0.01196),"")</f>
        <v>4.7840000000000001E-2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21.325757575757574</v>
      </c>
      <c r="BN520" s="78">
        <f t="shared" si="76"/>
        <v>22.52</v>
      </c>
      <c r="BO520" s="78">
        <f t="shared" si="77"/>
        <v>3.6421911421911424E-2</v>
      </c>
      <c r="BP520" s="78">
        <f t="shared" si="78"/>
        <v>3.8461538461538464E-2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8.5227272727272716</v>
      </c>
      <c r="Y525" s="43">
        <f>IFERROR(Y518/H518,"0")+IFERROR(Y519/H519,"0")+IFERROR(Y520/H520,"0")+IFERROR(Y521/H521,"0")+IFERROR(Y522/H522,"0")+IFERROR(Y523/H523,"0")+IFERROR(Y524/H524,"0")</f>
        <v>9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0.10764000000000001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45</v>
      </c>
      <c r="Y526" s="43">
        <f>IFERROR(SUM(Y518:Y524),"0")</f>
        <v>47.519999999999996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80</v>
      </c>
      <c r="Y538" s="55">
        <f>IFERROR(IF(X538="",0,CEILING((X538/$H538),1)*$H538),"")</f>
        <v>84</v>
      </c>
      <c r="Z538" s="41">
        <f>IFERROR(IF(Y538=0,"",ROUNDUP(Y538/H538,0)*0.00902),"")</f>
        <v>0.1804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84.761904761904759</v>
      </c>
      <c r="BN538" s="78">
        <f>IFERROR(Y538*I538/H538,"0")</f>
        <v>89</v>
      </c>
      <c r="BO538" s="78">
        <f>IFERROR(1/J538*(X538/H538),"0")</f>
        <v>0.14430014430014429</v>
      </c>
      <c r="BP538" s="78">
        <f>IFERROR(1/J538*(Y538/H538),"0")</f>
        <v>0.15151515151515152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19.047619047619047</v>
      </c>
      <c r="Y539" s="43">
        <f>IFERROR(Y538/H538,"0")</f>
        <v>20</v>
      </c>
      <c r="Z539" s="43">
        <f>IFERROR(IF(Z538="",0,Z538),"0")</f>
        <v>0.1804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80</v>
      </c>
      <c r="Y540" s="43">
        <f>IFERROR(SUM(Y538:Y538),"0")</f>
        <v>84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4515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4606.380000000001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4709.0735710277386</v>
      </c>
      <c r="Y556" s="43">
        <f>IFERROR(SUM(BN22:BN552),"0")</f>
        <v>4804.616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8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4884.0735710277386</v>
      </c>
      <c r="Y558" s="43">
        <f>GrossWeightTotalR+PalletQtyTotalR*25</f>
        <v>5004.616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561.93582651915972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573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8.2148100000000017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86.4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518.40000000000009</v>
      </c>
      <c r="F565" s="52">
        <f>IFERROR(Y84*1,"0")+IFERROR(Y85*1,"0")+IFERROR(Y86*1,"0")+IFERROR(Y87*1,"0")+IFERROR(Y91*1,"0")+IFERROR(Y92*1,"0")+IFERROR(Y93*1,"0")+IFERROR(Y94*1,"0")</f>
        <v>86.4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64.8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50.400000000000006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205.2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1269</v>
      </c>
      <c r="U565" s="52">
        <f>IFERROR(Y413*1,"0")+IFERROR(Y414*1,"0")</f>
        <v>0</v>
      </c>
      <c r="V565" s="52">
        <f>IFERROR(Y419*1,"0")+IFERROR(Y420*1,"0")+IFERROR(Y421*1,"0")</f>
        <v>56.699999999999996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1665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10.8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401.28000000000003</v>
      </c>
      <c r="AB565" s="52">
        <f>IFERROR(Y530*1,"0")+IFERROR(Y534*1,"0")+IFERROR(Y538*1,"0")+IFERROR(Y542*1,"0")+IFERROR(Y546*1,"0")+IFERROR(Y547*1,"0")</f>
        <v>84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650,00"/>
        <filter val="1,85"/>
        <filter val="10,00"/>
        <filter val="100,00"/>
        <filter val="11,11"/>
        <filter val="11,90"/>
        <filter val="110,00"/>
        <filter val="120,00"/>
        <filter val="15,00"/>
        <filter val="150,00"/>
        <filter val="19,05"/>
        <filter val="20,00"/>
        <filter val="200,00"/>
        <filter val="250,00"/>
        <filter val="3,70"/>
        <filter val="30,00"/>
        <filter val="300,00"/>
        <filter val="37,04"/>
        <filter val="4 515,00"/>
        <filter val="4 709,07"/>
        <filter val="4 884,07"/>
        <filter val="4,63"/>
        <filter val="400,00"/>
        <filter val="45,00"/>
        <filter val="50,00"/>
        <filter val="55,56"/>
        <filter val="56,82"/>
        <filter val="561,94"/>
        <filter val="6,17"/>
        <filter val="60,00"/>
        <filter val="600,00"/>
        <filter val="630,00"/>
        <filter val="7"/>
        <filter val="7,41"/>
        <filter val="8,52"/>
        <filter val="80,00"/>
        <filter val="9,26"/>
        <filter val="9,4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