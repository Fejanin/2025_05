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2292724-CE67-49AE-A7C5-359ED56C194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P444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Y423" i="2" s="1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Z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P300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Z221" i="2"/>
  <c r="Y221" i="2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Z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P136" i="2"/>
  <c r="BO136" i="2"/>
  <c r="BM136" i="2"/>
  <c r="Y136" i="2"/>
  <c r="Z136" i="2" s="1"/>
  <c r="P136" i="2"/>
  <c r="BO135" i="2"/>
  <c r="BM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Z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P113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Z87" i="2" s="1"/>
  <c r="P87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67" i="2" l="1"/>
  <c r="BN112" i="2"/>
  <c r="BN118" i="2"/>
  <c r="BN212" i="2"/>
  <c r="BN248" i="2"/>
  <c r="BN387" i="2"/>
  <c r="BN30" i="2"/>
  <c r="Z56" i="2"/>
  <c r="BN62" i="2"/>
  <c r="BN68" i="2"/>
  <c r="BP86" i="2"/>
  <c r="BN101" i="2"/>
  <c r="Z135" i="2"/>
  <c r="Z138" i="2"/>
  <c r="BN144" i="2"/>
  <c r="Z152" i="2"/>
  <c r="Y198" i="2"/>
  <c r="BN200" i="2"/>
  <c r="Z223" i="2"/>
  <c r="BN227" i="2"/>
  <c r="Z231" i="2"/>
  <c r="BN247" i="2"/>
  <c r="BN286" i="2"/>
  <c r="Z294" i="2"/>
  <c r="Z325" i="2"/>
  <c r="BN374" i="2"/>
  <c r="BN406" i="2"/>
  <c r="Z429" i="2"/>
  <c r="Z450" i="2"/>
  <c r="Y452" i="2"/>
  <c r="BN521" i="2"/>
  <c r="Z522" i="2"/>
  <c r="BN420" i="2"/>
  <c r="BP278" i="2"/>
  <c r="Z546" i="2"/>
  <c r="Z534" i="2"/>
  <c r="Z535" i="2" s="1"/>
  <c r="Y535" i="2"/>
  <c r="BP522" i="2"/>
  <c r="Z520" i="2"/>
  <c r="BP512" i="2"/>
  <c r="Z512" i="2"/>
  <c r="BN507" i="2"/>
  <c r="BN503" i="2"/>
  <c r="BN502" i="2"/>
  <c r="Y484" i="2"/>
  <c r="BN478" i="2"/>
  <c r="Y479" i="2"/>
  <c r="BP477" i="2"/>
  <c r="Z477" i="2"/>
  <c r="BN476" i="2"/>
  <c r="Z475" i="2"/>
  <c r="BN466" i="2"/>
  <c r="BN465" i="2"/>
  <c r="BN451" i="2"/>
  <c r="Y453" i="2"/>
  <c r="Z446" i="2"/>
  <c r="BN446" i="2"/>
  <c r="Y442" i="2"/>
  <c r="BN440" i="2"/>
  <c r="BN431" i="2"/>
  <c r="Z420" i="2"/>
  <c r="Y403" i="2"/>
  <c r="BP396" i="2"/>
  <c r="Z396" i="2"/>
  <c r="BN395" i="2"/>
  <c r="Y397" i="2"/>
  <c r="Z387" i="2"/>
  <c r="Z383" i="2"/>
  <c r="BP376" i="2"/>
  <c r="Z376" i="2"/>
  <c r="Z374" i="2"/>
  <c r="Y378" i="2"/>
  <c r="Z371" i="2"/>
  <c r="BP371" i="2"/>
  <c r="BN370" i="2"/>
  <c r="Z370" i="2"/>
  <c r="Y367" i="2"/>
  <c r="Z363" i="2"/>
  <c r="BN349" i="2"/>
  <c r="BN343" i="2"/>
  <c r="Z343" i="2"/>
  <c r="BP334" i="2"/>
  <c r="BN328" i="2"/>
  <c r="BP325" i="2"/>
  <c r="BN324" i="2"/>
  <c r="Z324" i="2"/>
  <c r="BN318" i="2"/>
  <c r="Z304" i="2"/>
  <c r="BN294" i="2"/>
  <c r="Z286" i="2"/>
  <c r="Z284" i="2"/>
  <c r="BN284" i="2"/>
  <c r="BN280" i="2"/>
  <c r="BN274" i="2"/>
  <c r="Z274" i="2"/>
  <c r="BN270" i="2"/>
  <c r="BP268" i="2"/>
  <c r="BN252" i="2"/>
  <c r="Y250" i="2"/>
  <c r="Z247" i="2"/>
  <c r="BN242" i="2"/>
  <c r="Z238" i="2"/>
  <c r="BN233" i="2"/>
  <c r="BN231" i="2"/>
  <c r="Z227" i="2"/>
  <c r="BP225" i="2"/>
  <c r="BN224" i="2"/>
  <c r="BP223" i="2"/>
  <c r="Z210" i="2"/>
  <c r="BN210" i="2"/>
  <c r="BN206" i="2"/>
  <c r="Y202" i="2"/>
  <c r="Y201" i="2"/>
  <c r="Z196" i="2"/>
  <c r="BN195" i="2"/>
  <c r="Z183" i="2"/>
  <c r="BN178" i="2"/>
  <c r="Z176" i="2"/>
  <c r="BP170" i="2"/>
  <c r="BP152" i="2"/>
  <c r="BP135" i="2"/>
  <c r="BP111" i="2"/>
  <c r="Z111" i="2"/>
  <c r="Y107" i="2"/>
  <c r="Z94" i="2"/>
  <c r="BN94" i="2"/>
  <c r="BP92" i="2"/>
  <c r="Z91" i="2"/>
  <c r="BP91" i="2"/>
  <c r="BN84" i="2"/>
  <c r="BP79" i="2"/>
  <c r="Z79" i="2"/>
  <c r="Y81" i="2"/>
  <c r="Z67" i="2"/>
  <c r="Z61" i="2"/>
  <c r="BP59" i="2"/>
  <c r="Z58" i="2"/>
  <c r="BP58" i="2"/>
  <c r="BN50" i="2"/>
  <c r="BP40" i="2"/>
  <c r="BN39" i="2"/>
  <c r="Z39" i="2"/>
  <c r="BN38" i="2"/>
  <c r="X559" i="2"/>
  <c r="Z30" i="2"/>
  <c r="BP28" i="2"/>
  <c r="Z27" i="2"/>
  <c r="X556" i="2"/>
  <c r="Y24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Z295" i="2" s="1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Z515" i="2" s="1"/>
  <c r="BN519" i="2"/>
  <c r="BP520" i="2"/>
  <c r="Z523" i="2"/>
  <c r="Z70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Z397" i="2" s="1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51" i="2" s="1"/>
  <c r="Z60" i="2"/>
  <c r="Y75" i="2"/>
  <c r="Z93" i="2"/>
  <c r="Z104" i="2"/>
  <c r="BP129" i="2"/>
  <c r="Z137" i="2"/>
  <c r="Z139" i="2" s="1"/>
  <c r="BN150" i="2"/>
  <c r="Y161" i="2"/>
  <c r="Z171" i="2"/>
  <c r="Z172" i="2" s="1"/>
  <c r="Z181" i="2"/>
  <c r="Z191" i="2"/>
  <c r="Z226" i="2"/>
  <c r="Z246" i="2"/>
  <c r="Y260" i="2"/>
  <c r="Z269" i="2"/>
  <c r="Z279" i="2"/>
  <c r="BN289" i="2"/>
  <c r="Z300" i="2"/>
  <c r="Z334" i="2"/>
  <c r="Y350" i="2"/>
  <c r="Z389" i="2"/>
  <c r="Z390" i="2" s="1"/>
  <c r="BN401" i="2"/>
  <c r="Y415" i="2"/>
  <c r="Y436" i="2"/>
  <c r="Z445" i="2"/>
  <c r="Y459" i="2"/>
  <c r="BN482" i="2"/>
  <c r="Z493" i="2"/>
  <c r="Z495" i="2" s="1"/>
  <c r="Z505" i="2"/>
  <c r="Z552" i="2"/>
  <c r="Z553" i="2" s="1"/>
  <c r="R565" i="2"/>
  <c r="BN534" i="2"/>
  <c r="BN546" i="2"/>
  <c r="S565" i="2"/>
  <c r="Z23" i="2"/>
  <c r="Z24" i="2" s="1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32" i="2" s="1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79" i="2" s="1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Z422" i="2" s="1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156" i="2" s="1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357" i="2" l="1"/>
  <c r="Z75" i="2"/>
  <c r="Z447" i="2"/>
  <c r="Z336" i="2"/>
  <c r="Z249" i="2"/>
  <c r="Z95" i="2"/>
  <c r="Z525" i="2"/>
  <c r="Z509" i="2"/>
  <c r="Z468" i="2"/>
  <c r="Z441" i="2"/>
  <c r="Z409" i="2"/>
  <c r="Z377" i="2"/>
  <c r="Z345" i="2"/>
  <c r="Z329" i="2"/>
  <c r="Z243" i="2"/>
  <c r="Z213" i="2"/>
  <c r="Z145" i="2"/>
  <c r="Z132" i="2"/>
  <c r="Z121" i="2"/>
  <c r="Z63" i="2"/>
  <c r="X558" i="2"/>
  <c r="Y556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<sst xmlns="http://schemas.openxmlformats.org/spreadsheetml/2006/main" count="4237" uniqueCount="896">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</sst>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278" sqref="AA27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895</v>
      </c>
      <c r="I5" s="649"/>
      <c r="J5" s="649"/>
      <c r="K5" s="649"/>
      <c r="L5" s="649"/>
      <c r="M5" s="649"/>
      <c r="N5" s="72"/>
      <c r="P5" s="27" t="s">
        <v>4</v>
      </c>
      <c r="Q5" s="651">
        <v>46248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877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Пятница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0.375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1000</v>
      </c>
      <c r="Y278" s="55">
        <f t="shared" ref="Y278:Y289" si="38">IFERROR(IF(X278="",0,CEILING((X278/$H278),1)*$H278),"")</f>
        <v>1004.4</v>
      </c>
      <c r="Z278" s="41">
        <f>IFERROR(IF(Y278=0,"",ROUNDUP(Y278/H278,0)*0.01898),"")</f>
        <v>2.3535200000000001</v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1060.9876543209878</v>
      </c>
      <c r="BN278" s="78">
        <f t="shared" ref="BN278:BN289" si="40">IFERROR(Y278*I278/H278,"0")</f>
        <v>1065.6559999999999</v>
      </c>
      <c r="BO278" s="78">
        <f t="shared" ref="BO278:BO289" si="41">IFERROR(1/J278*(X278/H278),"0")</f>
        <v>1.9290123456790125</v>
      </c>
      <c r="BP278" s="78">
        <f t="shared" ref="BP278:BP289" si="42">IFERROR(1/J278*(Y278/H278),"0")</f>
        <v>1.9375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500</v>
      </c>
      <c r="Y279" s="55">
        <f t="shared" si="38"/>
        <v>502.2</v>
      </c>
      <c r="Z279" s="41">
        <f>IFERROR(IF(Y279=0,"",ROUNDUP(Y279/H279,0)*0.01898),"")</f>
        <v>1.17676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529.38271604938279</v>
      </c>
      <c r="BN279" s="78">
        <f t="shared" si="40"/>
        <v>531.7120000000001</v>
      </c>
      <c r="BO279" s="78">
        <f t="shared" si="41"/>
        <v>0.96450617283950624</v>
      </c>
      <c r="BP279" s="78">
        <f t="shared" si="42"/>
        <v>0.96875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185.18518518518519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186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3.5302800000000003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1500</v>
      </c>
      <c r="Y291" s="43">
        <f>IFERROR(SUM(Y278:Y289),"0")</f>
        <v>1506.6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7000</v>
      </c>
      <c r="Y420" s="55">
        <f>IFERROR(IF(X420="",0,CEILING((X420/$H420),1)*$H420),"")</f>
        <v>7001.4000000000005</v>
      </c>
      <c r="Z420" s="41">
        <f>IFERROR(IF(Y420=0,"",ROUNDUP(Y420/H420,0)*0.00651),"")</f>
        <v>21.704340000000002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7840</v>
      </c>
      <c r="BN420" s="78">
        <f>IFERROR(Y420*I420/H420,"0")</f>
        <v>7841.5679999999993</v>
      </c>
      <c r="BO420" s="78">
        <f>IFERROR(1/J420*(X420/H420),"0")</f>
        <v>18.315018315018314</v>
      </c>
      <c r="BP420" s="78">
        <f>IFERROR(1/J420*(Y420/H420),"0")</f>
        <v>18.318681318681321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7000</v>
      </c>
      <c r="Y421" s="55">
        <f>IFERROR(IF(X421="",0,CEILING((X421/$H421),1)*$H421),"")</f>
        <v>7001.4000000000005</v>
      </c>
      <c r="Z421" s="41">
        <f>IFERROR(IF(Y421=0,"",ROUNDUP(Y421/H421,0)*0.00651),"")</f>
        <v>21.704340000000002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7799.9999999999991</v>
      </c>
      <c r="BN421" s="78">
        <f>IFERROR(Y421*I421/H421,"0")</f>
        <v>7801.5599999999995</v>
      </c>
      <c r="BO421" s="78">
        <f>IFERROR(1/J421*(X421/H421),"0")</f>
        <v>18.315018315018314</v>
      </c>
      <c r="BP421" s="78">
        <f>IFERROR(1/J421*(Y421/H421),"0")</f>
        <v>18.318681318681321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6666.6666666666661</v>
      </c>
      <c r="Y422" s="43">
        <f>IFERROR(Y419/H419,"0")+IFERROR(Y420/H420,"0")+IFERROR(Y421/H421,"0")</f>
        <v>6668</v>
      </c>
      <c r="Z422" s="43">
        <f>IFERROR(IF(Z419="",0,Z419),"0")+IFERROR(IF(Z420="",0,Z420),"0")+IFERROR(IF(Z421="",0,Z421),"0")</f>
        <v>43.408680000000004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14000</v>
      </c>
      <c r="Y423" s="43">
        <f>IFERROR(SUM(Y419:Y421),"0")</f>
        <v>14002.800000000001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1500</v>
      </c>
      <c r="Y438" s="55">
        <f>IFERROR(IF(X438="",0,CEILING((X438/$H438),1)*$H438),"")</f>
        <v>1500</v>
      </c>
      <c r="Z438" s="41">
        <f>IFERROR(IF(Y438=0,"",ROUNDUP(Y438/H438,0)*0.02175),"")</f>
        <v>2.1749999999999998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1547</v>
      </c>
      <c r="BN438" s="78">
        <f>IFERROR(Y438*I438/H438,"0")</f>
        <v>1547</v>
      </c>
      <c r="BO438" s="78">
        <f>IFERROR(1/J438*(X438/H438),"0")</f>
        <v>2.083333333333333</v>
      </c>
      <c r="BP438" s="78">
        <f>IFERROR(1/J438*(Y438/H438),"0")</f>
        <v>2.083333333333333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100</v>
      </c>
      <c r="Y441" s="43">
        <f>IFERROR(Y438/H438,"0")+IFERROR(Y439/H439,"0")+IFERROR(Y440/H440,"0")</f>
        <v>100</v>
      </c>
      <c r="Z441" s="43">
        <f>IFERROR(IF(Z438="",0,Z438),"0")+IFERROR(IF(Z439="",0,Z439),"0")+IFERROR(IF(Z440="",0,Z440),"0")</f>
        <v>2.1749999999999998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1500</v>
      </c>
      <c r="Y442" s="43">
        <f>IFERROR(SUM(Y438:Y440),"0")</f>
        <v>1500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17000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17009.400000000001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18777.370370370369</v>
      </c>
      <c r="Y556" s="43">
        <f>IFERROR(SUM(BN22:BN552),"0")</f>
        <v>18787.495999999999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42</v>
      </c>
      <c r="Y557" s="44">
        <f>ROUNDUP(SUM(BP22:BP552),0)</f>
        <v>42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19827.370370370369</v>
      </c>
      <c r="Y558" s="43">
        <f>GrossWeightTotalR+PalletQtyTotalR*25</f>
        <v>19837.495999999999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6951.8518518518513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6954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49.113959999999999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1506.6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0</v>
      </c>
      <c r="U565" s="52">
        <f>IFERROR(Y413*1,"0")+IFERROR(Y414*1,"0")</f>
        <v>0</v>
      </c>
      <c r="V565" s="52">
        <f>IFERROR(Y419*1,"0")+IFERROR(Y420*1,"0")+IFERROR(Y421*1,"0")</f>
        <v>14002.800000000001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1500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00,00"/>
        <filter val="14 000,00"/>
        <filter val="17 000,00"/>
        <filter val="18 777,37"/>
        <filter val="185,19"/>
        <filter val="19 827,37"/>
        <filter val="42"/>
        <filter val="500,00"/>
        <filter val="6 666,67"/>
        <filter val="6 951,85"/>
        <filter val="7 000,0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2026-08-12T13:09:40Z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