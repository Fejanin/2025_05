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751011A-66E9-4C95-A648-2B344DF5613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P129" i="2"/>
  <c r="BO129" i="2"/>
  <c r="BM129" i="2"/>
  <c r="Y129" i="2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Z183" i="2" l="1"/>
  <c r="Z372" i="2"/>
  <c r="Z439" i="2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441" i="2" s="1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290" i="2" s="1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Z384" i="2" s="1"/>
  <c r="BP438" i="2"/>
  <c r="Z446" i="2"/>
  <c r="Z447" i="2" s="1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09" i="2" l="1"/>
  <c r="Z259" i="2"/>
  <c r="Z484" i="2"/>
  <c r="Z167" i="2"/>
  <c r="Z264" i="2"/>
  <c r="Z422" i="2"/>
  <c r="Z357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<sst xmlns="http://schemas.openxmlformats.org/spreadsheetml/2006/main" count="4245" uniqueCount="901">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</sst>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46248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Пятница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0.45833333333333331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5000</v>
      </c>
      <c r="Y380" s="55">
        <f>IFERROR(IF(X380="",0,CEILING((X380/$H380),1)*$H380),"")</f>
        <v>5007.5999999999995</v>
      </c>
      <c r="Z380" s="41">
        <f>IFERROR(IF(Y380=0,"",ROUNDUP(Y380/H380,0)*0.01898),"")</f>
        <v>12.18516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5312.8205128205127</v>
      </c>
      <c r="BN380" s="78">
        <f>IFERROR(Y380*I380/H380,"0")</f>
        <v>5320.8959999999997</v>
      </c>
      <c r="BO380" s="78">
        <f>IFERROR(1/J380*(X380/H380),"0")</f>
        <v>10.016025641025641</v>
      </c>
      <c r="BP380" s="78">
        <f>IFERROR(1/J380*(Y380/H380),"0")</f>
        <v>10.03125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641.02564102564099</v>
      </c>
      <c r="Y384" s="43">
        <f>IFERROR(Y380/H380,"0")+IFERROR(Y381/H381,"0")+IFERROR(Y382/H382,"0")+IFERROR(Y383/H383,"0")</f>
        <v>642</v>
      </c>
      <c r="Z384" s="43">
        <f>IFERROR(IF(Z380="",0,Z380),"0")+IFERROR(IF(Z381="",0,Z381),"0")+IFERROR(IF(Z382="",0,Z382),"0")+IFERROR(IF(Z383="",0,Z383),"0")</f>
        <v>12.18516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5000</v>
      </c>
      <c r="Y385" s="43">
        <f>IFERROR(SUM(Y380:Y383),"0")</f>
        <v>5007.5999999999995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5000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5007.5999999999995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5312.8205128205127</v>
      </c>
      <c r="Y556" s="43">
        <f>IFERROR(SUM(BN22:BN552),"0")</f>
        <v>5320.8959999999997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11</v>
      </c>
      <c r="Y557" s="44">
        <f>ROUNDUP(SUM(BP22:BP552),0)</f>
        <v>11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5587.8205128205127</v>
      </c>
      <c r="Y558" s="43">
        <f>GrossWeightTotalR+PalletQtyTotalR*25</f>
        <v>5595.8959999999997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641.02564102564099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642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12.18516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5007.5999999999995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5 000,00"/>
        <filter val="5 312,82"/>
        <filter val="5 587,82"/>
        <filter val="641,03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