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1A0851E-6A11-4B44-923F-8CE5AA2A284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402" i="2" l="1"/>
  <c r="BN472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69" i="2" s="1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Z338" i="2" s="1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24" i="2" l="1"/>
  <c r="Z136" i="2"/>
  <c r="Z245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<sst xmlns="http://schemas.openxmlformats.org/spreadsheetml/2006/main" count="4194" uniqueCount="891">
  <si>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</si>
  <si>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</si>
  <si>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</si>
  <si>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</si>
  <si>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</si>
  <si>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</si>
  <si>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</si>
  <si>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</si>
  <si>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</si>
  <si>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</si>
  <si>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</si>
  <si>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</si>
  <si>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</si>
  <si>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</si>
  <si>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</si>
  <si>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</si>
  <si>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</si>
  <si>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</si>
  <si>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</si>
  <si>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</si>
  <si>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</si>
  <si>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</si>
  <si>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</si>
  <si>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</si>
  <si>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</si>
  <si>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</si>
  <si>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</si>
  <si>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</si>
  <si>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</si>
  <si>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</si>
  <si>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</si>
  <si>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</si>
  <si>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</si>
  <si>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</si>
  <si>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</si>
  <si>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</si>
  <si>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</si>
  <si>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</si>
  <si>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</si>
  <si>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</si>
  <si>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</si>
  <si>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</si>
  <si>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</si>
  <si>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</si>
  <si>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</si>
  <si>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</si>
  <si>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</si>
  <si>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</si>
  <si>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</si>
  <si>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</si>
  <si>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</si>
  <si>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</si>
  <si>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</si>
  <si>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</si>
  <si>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</si>
  <si>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</si>
  <si>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</si>
  <si>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</si>
  <si>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</si>
  <si>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</si>
  <si>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</si>
  <si>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</si>
  <si>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</si>
  <si>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</si>
  <si>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</si>
  <si>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</si>
  <si>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</si>
  <si>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</si>
  <si>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</si>
  <si>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</si>
  <si>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</si>
  <si>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</si>
  <si>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</si>
  <si>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</si>
  <si>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</si>
  <si>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</si>
  <si>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</si>
  <si>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</si>
  <si>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</si>
  <si>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</si>
  <si>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</si>
  <si>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</si>
  <si>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</si>
  <si>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</si>
  <si>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</si>
  <si>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</si>
  <si>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</si>
  <si>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</si>
  <si>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</si>
  <si>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</si>
  <si>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</si>
  <si>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</si>
  <si>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</si>
  <si>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</si>
  <si>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</si>
  <si>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</si>
  <si>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</si>
  <si>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</si>
  <si>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</si>
  <si>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</si>
  <si>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</si>
  <si>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</si>
  <si>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</si>
  <si>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</si>
  <si>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</si>
  <si>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</si>
  <si>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</si>
  <si>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</si>
  <si>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</si>
  <si>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</si>
  <si>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</si>
  <si>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</si>
  <si>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</si>
  <si>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</si>
  <si>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</si>
  <si>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</si>
  <si>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</si>
  <si>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</si>
  <si>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</si>
  <si>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</si>
  <si>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</si>
  <si>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</si>
  <si>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</si>
  <si>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</si>
  <si>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</si>
  <si>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</si>
  <si>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</si>
  <si>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</si>
  <si>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</si>
  <si>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</si>
  <si>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</si>
  <si>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</si>
  <si>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</si>
  <si>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</si>
  <si>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</si>
  <si>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</si>
  <si>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</si>
  <si>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</si>
  <si>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</si>
  <si>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</si>
  <si>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</si>
  <si>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</si>
  <si>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</si>
  <si>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</si>
  <si>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</si>
  <si>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</si>
  <si>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</si>
  <si>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</si>
  <si>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</si>
  <si>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</si>
  <si>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</si>
  <si>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</si>
  <si>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</si>
  <si>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</si>
  <si>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</si>
  <si>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</si>
  <si>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</si>
  <si>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</si>
  <si>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</si>
  <si>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</si>
  <si>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</si>
  <si>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</si>
  <si>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</si>
  <si>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</si>
  <si>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</si>
  <si>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</si>
  <si>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</si>
  <si>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</si>
  <si>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</si>
  <si>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</si>
  <si>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</si>
  <si>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</si>
  <si>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</si>
  <si>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</si>
  <si>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</si>
  <si>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</si>
  <si>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</si>
  <si>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</si>
  <si>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</si>
  <si>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</si>
  <si>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</si>
  <si>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</si>
  <si>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</si>
  <si>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</si>
  <si>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</si>
  <si>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</si>
  <si>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</si>
  <si>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</si>
  <si>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</si>
  <si>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</si>
  <si>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</si>
  <si>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</si>
  <si>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</si>
  <si>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</si>
  <si>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</si>
  <si>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</si>
  <si>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</si>
  <si>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</si>
  <si>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</si>
  <si>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</si>
  <si>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</si>
  <si>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</si>
  <si>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</si>
  <si>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</si>
  <si>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</si>
  <si>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</si>
  <si>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</si>
  <si>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</si>
  <si>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</si>
  <si>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</si>
  <si>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</si>
  <si>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</si>
  <si>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</si>
  <si>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</si>
  <si>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</si>
  <si>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</si>
  <si>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</si>
  <si>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</si>
  <si>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</si>
  <si>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</si>
  <si>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</si>
  <si>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</si>
  <si>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</si>
  <si>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</si>
  <si>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</si>
  <si>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</si>
  <si>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</si>
  <si>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</si>
  <si>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</si>
  <si>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</si>
  <si>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</si>
  <si>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</si>
  <si>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</si>
  <si>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</si>
  <si>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</si>
  <si>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</si>
  <si>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</si>
  <si>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</si>
  <si>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</si>
  <si>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</si>
  <si>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</si>
  <si>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</si>
  <si>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</si>
  <si>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</si>
  <si>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</si>
  <si>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</si>
  <si>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</si>
  <si>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</si>
  <si>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</si>
  <si>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</si>
  <si>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</si>
  <si>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</si>
  <si>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</si>
  <si>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</si>
  <si>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</si>
  <si>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</si>
  <si>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</si>
  <si>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</si>
  <si>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</si>
  <si>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</si>
  <si>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</si>
  <si>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</si>
  <si>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</si>
  <si>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</si>
  <si>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</si>
  <si>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</si>
  <si>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</si>
  <si>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</si>
  <si>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</si>
  <si>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</si>
  <si>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</si>
  <si>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</si>
  <si>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</si>
  <si>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</si>
  <si>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</si>
  <si>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</si>
  <si>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</si>
  <si>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</si>
  <si>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</si>
  <si>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</si>
  <si>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</si>
  <si>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</si>
  <si>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</si>
  <si>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</si>
  <si>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</si>
  <si>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</si>
  <si>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</si>
  <si>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</si>
  <si>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</si>
  <si>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</si>
  <si>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</si>
  <si>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</si>
  <si>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</si>
  <si>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</si>
  <si>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</si>
  <si>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</si>
  <si>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</si>
  <si>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</si>
  <si>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</si>
  <si>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</si>
  <si>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</si>
  <si>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</si>
  <si>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</si>
  <si>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</si>
  <si>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</si>
  <si>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</si>
  <si>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</si>
  <si>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</si>
  <si>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</si>
  <si>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</si>
  <si>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</si>
  <si>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</si>
  <si>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</si>
  <si>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</si>
  <si>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</si>
  <si>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</si>
  <si>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</si>
  <si>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</si>
  <si>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</si>
  <si>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</si>
  <si>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</si>
  <si>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</si>
  <si>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</si>
  <si>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</si>
  <si>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</si>
  <si>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</si>
  <si>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</si>
  <si>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</si>
  <si>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</si>
  <si>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</si>
  <si>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</si>
  <si>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</si>
  <si>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</si>
  <si>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</si>
  <si>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</si>
  <si>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</si>
  <si>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</si>
  <si>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</si>
  <si>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</si>
  <si>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</si>
  <si>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</si>
  <si>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</si>
  <si>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</si>
  <si>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</si>
  <si>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</si>
  <si>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</si>
  <si>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</si>
  <si>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</si>
  <si>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</si>
  <si>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</si>
  <si>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</si>
  <si>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</si>
  <si>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</si>
  <si>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</si>
  <si>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</si>
  <si>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</si>
  <si>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</si>
  <si>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</si>
  <si>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</si>
  <si>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</si>
  <si>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</si>
  <si>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</si>
  <si>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</si>
  <si>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</si>
  <si>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</si>
  <si>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</si>
  <si>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</si>
  <si>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</si>
  <si>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</si>
  <si>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</si>
  <si>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</si>
  <si>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</si>
  <si>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</si>
  <si>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</si>
  <si>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</si>
  <si>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</si>
  <si>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</si>
  <si>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</si>
  <si>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</si>
  <si>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</si>
  <si>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</si>
  <si>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</si>
  <si>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</si>
  <si>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</si>
  <si>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</si>
  <si>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</si>
  <si>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</si>
  <si>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</si>
  <si>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</si>
  <si>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</si>
  <si>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</si>
  <si>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</si>
  <si>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</si>
  <si>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</si>
  <si>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</si>
  <si>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</si>
  <si>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</si>
  <si>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</si>
  <si>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</si>
  <si>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</si>
  <si>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</si>
  <si>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</si>
  <si>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</si>
  <si>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</si>
  <si>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</si>
  <si>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</si>
  <si>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</si>
  <si>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</si>
  <si>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</si>
  <si>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</si>
  <si>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</si>
  <si>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</si>
  <si>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</si>
  <si>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</si>
  <si>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</si>
  <si>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</si>
  <si>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</si>
  <si>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</si>
  <si>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</si>
  <si>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</si>
  <si>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</si>
  <si>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</si>
  <si>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</si>
  <si>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</si>
  <si>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</si>
  <si>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</si>
  <si>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</si>
  <si>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</si>
  <si>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</si>
  <si>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</si>
  <si>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</si>
  <si>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</si>
  <si>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</si>
  <si>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</si>
  <si>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</si>
  <si>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</si>
  <si>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</si>
  <si>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</si>
  <si>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</si>
  <si>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</si>
  <si>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</si>
  <si>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</si>
  <si>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</si>
  <si>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</si>
  <si>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</si>
  <si>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</si>
  <si>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</si>
  <si>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</si>
  <si>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</si>
  <si>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</si>
  <si>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</si>
  <si>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</si>
  <si>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</si>
  <si>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</si>
  <si>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</si>
  <si>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</si>
  <si>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</si>
  <si>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</si>
  <si>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</si>
  <si>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</si>
  <si>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</si>
  <si>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</si>
  <si>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</si>
  <si>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</si>
  <si>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</si>
  <si>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</si>
  <si>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</si>
  <si>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</si>
  <si>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</si>
  <si>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</si>
  <si>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</si>
  <si>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</si>
  <si>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</si>
  <si>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</si>
  <si>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</si>
  <si>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</si>
  <si>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</si>
  <si>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</si>
  <si>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</si>
  <si>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</si>
  <si>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</si>
  <si>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</si>
  <si>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</si>
  <si>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</si>
  <si>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</si>
  <si>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</si>
  <si>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</si>
  <si>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</si>
  <si>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</si>
  <si>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</si>
  <si>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</si>
  <si>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</si>
  <si>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</si>
  <si>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</si>
  <si>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</si>
  <si>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</si>
  <si>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</si>
  <si>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</si>
  <si>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</si>
  <si>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</si>
  <si>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</si>
  <si>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</si>
  <si>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</si>
  <si>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</si>
  <si>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</si>
  <si>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</si>
  <si>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</si>
  <si>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</si>
  <si>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</si>
  <si>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</si>
  <si>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</si>
  <si>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</si>
  <si>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</si>
  <si>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</si>
  <si>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</si>
  <si>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</si>
  <si>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</si>
  <si>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</si>
  <si>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</si>
  <si>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</si>
  <si>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</si>
  <si>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</si>
  <si>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</si>
  <si>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</si>
  <si>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</si>
  <si>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</si>
  <si>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</si>
  <si>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</si>
  <si>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</si>
  <si>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</si>
  <si>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</si>
  <si>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</si>
  <si>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</si>
  <si>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</si>
  <si>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</si>
  <si>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</si>
  <si>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</si>
  <si>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</si>
  <si>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</si>
  <si>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</si>
  <si>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</si>
  <si>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</si>
  <si>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</si>
  <si>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</si>
  <si>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</si>
  <si>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</si>
  <si>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</si>
  <si>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</si>
  <si>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</si>
  <si>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</si>
  <si>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</si>
  <si>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</si>
  <si>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</si>
  <si>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</si>
  <si>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</si>
  <si>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</si>
  <si>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</si>
  <si>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</si>
  <si>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</si>
  <si>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</si>
  <si>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</si>
  <si>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</si>
  <si>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</si>
  <si>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</si>
  <si>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</si>
  <si>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</si>
  <si>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</si>
  <si>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</si>
  <si>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</si>
  <si>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</si>
  <si>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</si>
  <si>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</si>
  <si>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</si>
  <si>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</si>
  <si>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</si>
  <si>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</si>
  <si>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</si>
  <si>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</si>
  <si>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</si>
  <si>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</si>
  <si>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</si>
  <si>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</si>
  <si>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</si>
  <si>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</si>
  <si>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</si>
  <si>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</si>
  <si>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</si>
  <si>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</si>
  <si>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</si>
  <si>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</si>
  <si>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</si>
  <si>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</si>
  <si>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</si>
  <si>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</si>
  <si>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</si>
  <si>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</si>
  <si>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</si>
  <si>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</si>
  <si>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</si>
  <si>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</si>
  <si>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</si>
  <si>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</si>
  <si>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</si>
  <si>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</si>
  <si>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</si>
  <si>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</si>
  <si>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</si>
  <si>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</si>
  <si>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</si>
  <si>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</si>
  <si>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</si>
  <si>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</si>
  <si>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</si>
  <si>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</si>
  <si>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</si>
  <si>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</si>
  <si>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</si>
  <si>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</si>
  <si>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</si>
  <si>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</si>
  <si>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</si>
  <si>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</si>
  <si>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</si>
  <si>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</si>
  <si>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</si>
  <si>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</si>
  <si>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</si>
  <si>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</si>
  <si>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</si>
  <si>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</si>
  <si>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</si>
  <si>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</si>
  <si>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</si>
  <si>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</si>
  <si>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</si>
  <si>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</si>
  <si>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</si>
  <si>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</si>
  <si>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</si>
  <si>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</si>
  <si>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</si>
  <si>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</si>
  <si>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</si>
  <si>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</si>
  <si>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</si>
  <si>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</si>
  <si>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</si>
  <si>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</si>
  <si>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</si>
  <si>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</si>
  <si>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</si>
  <si>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</si>
  <si>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</si>
  <si>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</si>
  <si>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</si>
  <si>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</si>
  <si>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</si>
  <si>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</si>
  <si>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</si>
  <si>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</si>
  <si>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</si>
  <si>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</si>
  <si>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</si>
  <si>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</si>
  <si>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</si>
  <si>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</si>
  <si>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</si>
  <si>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</si>
  <si>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</si>
  <si>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</si>
  <si>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</si>
  <si>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</si>
  <si>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</si>
  <si>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</si>
  <si>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</si>
  <si>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</si>
  <si>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</si>
  <si>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</si>
  <si>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</si>
  <si>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</si>
  <si>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</si>
  <si>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</si>
  <si>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</si>
  <si>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</si>
  <si>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</si>
  <si>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</si>
  <si>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</si>
  <si>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</si>
  <si>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</si>
  <si>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</si>
  <si>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</si>
  <si>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</si>
  <si>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</si>
  <si>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</si>
  <si>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</si>
  <si>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</si>
  <si>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</si>
  <si>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</si>
  <si>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</si>
  <si>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</si>
  <si>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</si>
  <si>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</si>
  <si>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</si>
  <si>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</si>
  <si>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</si>
  <si>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</si>
  <si>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</si>
  <si>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</si>
  <si>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</si>
  <si>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</si>
  <si>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</si>
  <si>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</si>
  <si>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</si>
  <si>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</si>
  <si>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</si>
  <si>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</si>
  <si>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</si>
  <si>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</si>
  <si>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</si>
  <si>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</si>
  <si>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</si>
  <si>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</si>
  <si>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</si>
  <si>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</si>
  <si>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</si>
  <si>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</si>
  <si>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</si>
  <si>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</si>
  <si>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</si>
  <si>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</si>
  <si>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</si>
  <si>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</si>
  <si>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</si>
  <si>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</si>
  <si>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</si>
  <si>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</si>
  <si>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</si>
  <si>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</si>
  <si>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</si>
  <si>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</si>
  <si>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</si>
  <si>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</si>
  <si>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</si>
  <si>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</si>
  <si>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</si>
  <si>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</si>
  <si>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</si>
  <si>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</si>
  <si>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</si>
  <si>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</si>
  <si>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</si>
  <si>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</si>
  <si>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</si>
  <si>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</si>
  <si>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</si>
  <si>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</si>
  <si>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</si>
  <si>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</si>
  <si>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</si>
  <si>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</si>
  <si>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</si>
  <si>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</si>
  <si>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</si>
  <si>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</si>
  <si>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</si>
  <si>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</si>
  <si>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</si>
  <si>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</si>
  <si>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</si>
  <si>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</si>
  <si>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</si>
  <si>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</si>
  <si>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</si>
  <si>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</si>
  <si>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</si>
  <si>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</si>
  <si>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</si>
  <si>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</si>
  <si>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</si>
  <si>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</si>
  <si>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</si>
  <si>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</si>
  <si>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</si>
  <si>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</si>
  <si>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</si>
  <si>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</si>
  <si>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</si>
  <si>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</si>
  <si>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</si>
  <si>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</si>
  <si>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</si>
  <si>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</si>
  <si>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</si>
  <si>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</si>
  <si>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</si>
  <si>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</si>
  <si>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</si>
  <si>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</si>
  <si>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</si>
  <si>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</si>
  <si>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</si>
  <si>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</si>
  <si>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</si>
  <si>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</si>
  <si>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</si>
  <si>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</si>
  <si>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</si>
  <si>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</si>
  <si>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</si>
  <si>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</si>
  <si>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</si>
  <si>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</si>
  <si>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</si>
  <si>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</si>
  <si>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</si>
  <si>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</si>
  <si>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</si>
  <si>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</si>
  <si>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</si>
  <si>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</si>
  <si>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</si>
  <si>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</si>
  <si>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</si>
  <si>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</si>
  <si>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</si>
  <si>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</si>
  <si>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</si>
  <si>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</si>
  <si>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</si>
  <si>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</si>
  <si>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</si>
  <si>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</si>
  <si>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</si>
  <si>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</si>
  <si>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</si>
  <si>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</si>
  <si>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</si>
  <si>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</si>
  <si>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</si>
  <si>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</si>
  <si>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</si>
  <si>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</si>
  <si>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</si>
  <si>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</si>
  <si>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</si>
  <si>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</si>
  <si>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</si>
  <si>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</si>
  <si>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</si>
  <si>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</si>
  <si>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</si>
  <si>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</si>
  <si>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</si>
  <si>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</si>
  <si>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</si>
  <si>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</si>
  <si>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</si>
  <si>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</si>
  <si>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</si>
  <si>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</si>
  <si>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</si>
  <si>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</si>
  <si>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</si>
  <si>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</si>
  <si>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</si>
  <si>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</si>
  <si>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</si>
  <si>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</si>
  <si>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</si>
  <si>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</si>
  <si>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</si>
  <si>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</si>
  <si>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</si>
  <si>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</si>
  <si>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</si>
  <si>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</si>
  <si>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</si>
  <si>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</si>
  <si>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</si>
  <si>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</si>
  <si>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</si>
  <si>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</si>
  <si>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</si>
  <si>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</si>
  <si>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</si>
  <si>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</si>
  <si>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</si>
  <si>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</si>
  <si>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</si>
  <si>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</si>
  <si>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второй 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</si>
</sst>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Z567" sqref="Z56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66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67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46248</v>
      </c>
      <c r="R5" s="996"/>
      <c r="T5" s="997" t="s">
        <v>3</v>
      </c>
      <c r="U5" s="998"/>
      <c r="V5" s="999" t="s">
        <v>870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871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Пятница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57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0.70833333333333337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889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60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58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65</v>
      </c>
      <c r="L17" s="933" t="s">
        <v>63</v>
      </c>
      <c r="M17" s="933" t="s">
        <v>2</v>
      </c>
      <c r="N17" s="933" t="s">
        <v>62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55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59</v>
      </c>
      <c r="AB17" s="939" t="s">
        <v>19</v>
      </c>
      <c r="AC17" s="939" t="s">
        <v>64</v>
      </c>
      <c r="AD17" s="941" t="s">
        <v>56</v>
      </c>
      <c r="AE17" s="942"/>
      <c r="AF17" s="943"/>
      <c r="AG17" s="82"/>
      <c r="BD17" s="81" t="s">
        <v>61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103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109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85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125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126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127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127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6" t="s">
        <v>163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85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180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187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127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6" t="s">
        <v>85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5" t="s">
        <v>208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127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163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85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6" t="s">
        <v>180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247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127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76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85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275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85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103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125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127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163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857" t="s">
        <v>304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76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85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103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353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357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358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127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379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163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76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85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103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443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446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127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163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76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85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180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514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127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163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536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353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127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563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85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572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76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85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127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602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127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76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85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180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56" t="s">
        <v>103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668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677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686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85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662" t="s">
        <v>696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697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127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701</v>
      </c>
      <c r="B424" s="63" t="s">
        <v>702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707</v>
      </c>
      <c r="B426" s="63" t="s">
        <v>708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hidden="1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hidden="1" customHeight="1" x14ac:dyDescent="0.25">
      <c r="A433" s="656" t="s">
        <v>163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customHeight="1" x14ac:dyDescent="0.25">
      <c r="A434" s="63" t="s">
        <v>722</v>
      </c>
      <c r="B434" s="63" t="s">
        <v>723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2380</v>
      </c>
      <c r="Y434" s="55">
        <f>IFERROR(IF(X434="",0,CEILING((X434/$H434),1)*$H434),"")</f>
        <v>2385</v>
      </c>
      <c r="Z434" s="41">
        <f>IFERROR(IF(Y434=0,"",ROUNDUP(Y434/H434,0)*0.02175),"")</f>
        <v>3.4582499999999996</v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2454.5733333333333</v>
      </c>
      <c r="BN434" s="78">
        <f>IFERROR(Y434*I434/H434,"0")</f>
        <v>2459.7300000000005</v>
      </c>
      <c r="BO434" s="78">
        <f>IFERROR(1/J434*(X434/H434),"0")</f>
        <v>3.3055555555555554</v>
      </c>
      <c r="BP434" s="78">
        <f>IFERROR(1/J434*(Y434/H434),"0")</f>
        <v>3.3125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158.66666666666666</v>
      </c>
      <c r="Y437" s="43">
        <f>IFERROR(Y434/H434,"0")+IFERROR(Y435/H435,"0")+IFERROR(Y436/H436,"0")</f>
        <v>159</v>
      </c>
      <c r="Z437" s="43">
        <f>IFERROR(IF(Z434="",0,Z434),"0")+IFERROR(IF(Z435="",0,Z435),"0")+IFERROR(IF(Z436="",0,Z436),"0")</f>
        <v>3.4582499999999996</v>
      </c>
      <c r="AA437" s="67"/>
      <c r="AB437" s="67"/>
      <c r="AC437" s="67"/>
    </row>
    <row r="438" spans="1:68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2380</v>
      </c>
      <c r="Y438" s="43">
        <f>IFERROR(SUM(Y434:Y436),"0")</f>
        <v>2385</v>
      </c>
      <c r="Z438" s="42"/>
      <c r="AA438" s="67"/>
      <c r="AB438" s="67"/>
      <c r="AC438" s="67"/>
    </row>
    <row r="439" spans="1:68" ht="14.25" hidden="1" customHeight="1" x14ac:dyDescent="0.25">
      <c r="A439" s="656" t="s">
        <v>85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180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746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127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85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762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763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76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85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786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163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76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798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798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127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56" t="s">
        <v>163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56" t="s">
        <v>76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662" t="s">
        <v>845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845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127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163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76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85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180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864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163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2380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2385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2454.5733333333333</v>
      </c>
      <c r="Y552" s="43">
        <f>IFERROR(SUM(BN22:BN548),"0")</f>
        <v>2459.7300000000005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4</v>
      </c>
      <c r="Y553" s="44">
        <f>ROUNDUP(SUM(BP22:BP548),0)</f>
        <v>4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2554.5733333333333</v>
      </c>
      <c r="Y554" s="43">
        <f>GrossWeightTotalR+PalletQtyTotalR*25</f>
        <v>2559.7300000000005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158.66666666666666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159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3.4582499999999996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638" t="s">
        <v>125</v>
      </c>
      <c r="E558" s="638" t="s">
        <v>125</v>
      </c>
      <c r="F558" s="638" t="s">
        <v>125</v>
      </c>
      <c r="G558" s="638" t="s">
        <v>125</v>
      </c>
      <c r="H558" s="638" t="s">
        <v>125</v>
      </c>
      <c r="I558" s="638" t="s">
        <v>125</v>
      </c>
      <c r="J558" s="638" t="s">
        <v>125</v>
      </c>
      <c r="K558" s="638" t="s">
        <v>357</v>
      </c>
      <c r="L558" s="638" t="s">
        <v>357</v>
      </c>
      <c r="M558" s="638" t="s">
        <v>357</v>
      </c>
      <c r="N558" s="639"/>
      <c r="O558" s="638" t="s">
        <v>357</v>
      </c>
      <c r="P558" s="638" t="s">
        <v>357</v>
      </c>
      <c r="Q558" s="638" t="s">
        <v>357</v>
      </c>
      <c r="R558" s="638" t="s">
        <v>357</v>
      </c>
      <c r="S558" s="638" t="s">
        <v>357</v>
      </c>
      <c r="T558" s="638" t="s">
        <v>357</v>
      </c>
      <c r="U558" s="638" t="s">
        <v>357</v>
      </c>
      <c r="V558" s="638" t="s">
        <v>696</v>
      </c>
      <c r="W558" s="638" t="s">
        <v>696</v>
      </c>
      <c r="X558" s="638" t="s">
        <v>762</v>
      </c>
      <c r="Y558" s="638" t="s">
        <v>762</v>
      </c>
      <c r="Z558" s="85" t="s">
        <v>798</v>
      </c>
      <c r="AA558" s="638" t="s">
        <v>845</v>
      </c>
      <c r="AB558" s="638" t="s">
        <v>845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75</v>
      </c>
      <c r="C559" s="638" t="s">
        <v>109</v>
      </c>
      <c r="D559" s="638" t="s">
        <v>126</v>
      </c>
      <c r="E559" s="638" t="s">
        <v>142</v>
      </c>
      <c r="F559" s="638" t="s">
        <v>187</v>
      </c>
      <c r="G559" s="638" t="s">
        <v>208</v>
      </c>
      <c r="H559" s="638" t="s">
        <v>247</v>
      </c>
      <c r="I559" s="638" t="s">
        <v>275</v>
      </c>
      <c r="J559" s="638" t="s">
        <v>125</v>
      </c>
      <c r="K559" s="638" t="s">
        <v>358</v>
      </c>
      <c r="L559" s="638" t="s">
        <v>379</v>
      </c>
      <c r="M559" s="638" t="s">
        <v>446</v>
      </c>
      <c r="N559" s="1"/>
      <c r="O559" s="638" t="s">
        <v>514</v>
      </c>
      <c r="P559" s="638" t="s">
        <v>547</v>
      </c>
      <c r="Q559" s="638" t="s">
        <v>563</v>
      </c>
      <c r="R559" s="638" t="s">
        <v>572</v>
      </c>
      <c r="S559" s="638" t="s">
        <v>593</v>
      </c>
      <c r="T559" s="638" t="s">
        <v>602</v>
      </c>
      <c r="U559" s="638" t="s">
        <v>686</v>
      </c>
      <c r="V559" s="638" t="s">
        <v>697</v>
      </c>
      <c r="W559" s="638" t="s">
        <v>746</v>
      </c>
      <c r="X559" s="638" t="s">
        <v>763</v>
      </c>
      <c r="Y559" s="638" t="s">
        <v>786</v>
      </c>
      <c r="Z559" s="638" t="s">
        <v>798</v>
      </c>
      <c r="AA559" s="638" t="s">
        <v>845</v>
      </c>
      <c r="AB559" s="638" t="s">
        <v>864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2385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58,67"/>
        <filter val="2 380,00"/>
        <filter val="2 454,57"/>
        <filter val="2 554,57"/>
        <filter val="4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2026-08-14T13:38:07Z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