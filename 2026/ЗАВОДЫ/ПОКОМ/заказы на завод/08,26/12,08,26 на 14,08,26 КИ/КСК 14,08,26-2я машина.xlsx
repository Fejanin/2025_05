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F55E0D8-637A-4AFB-AF00-FFDFF40F4E4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Y423" i="2" s="1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Z221" i="2"/>
  <c r="Y221" i="2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Y198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58" i="2" l="1"/>
  <c r="BN68" i="2"/>
  <c r="BN118" i="2"/>
  <c r="BN200" i="2"/>
  <c r="Y202" i="2"/>
  <c r="BN212" i="2"/>
  <c r="BN248" i="2"/>
  <c r="BN406" i="2"/>
  <c r="BN507" i="2"/>
  <c r="BN30" i="2"/>
  <c r="BP92" i="2"/>
  <c r="BN112" i="2"/>
  <c r="Z153" i="2"/>
  <c r="BN325" i="2"/>
  <c r="Z328" i="2"/>
  <c r="Z450" i="2"/>
  <c r="Y452" i="2"/>
  <c r="BN476" i="2"/>
  <c r="BP170" i="2"/>
  <c r="Y250" i="2"/>
  <c r="BN247" i="2"/>
  <c r="BN274" i="2"/>
  <c r="Z120" i="2"/>
  <c r="BP136" i="2"/>
  <c r="BP268" i="2"/>
  <c r="Z294" i="2"/>
  <c r="Z227" i="2"/>
  <c r="BN227" i="2"/>
  <c r="BN284" i="2"/>
  <c r="BN374" i="2"/>
  <c r="BN387" i="2"/>
  <c r="Z520" i="2"/>
  <c r="Z546" i="2"/>
  <c r="Z534" i="2"/>
  <c r="Z535" i="2" s="1"/>
  <c r="Y535" i="2"/>
  <c r="BP522" i="2"/>
  <c r="Z522" i="2"/>
  <c r="BN521" i="2"/>
  <c r="Z512" i="2"/>
  <c r="BP512" i="2"/>
  <c r="BN503" i="2"/>
  <c r="BN502" i="2"/>
  <c r="BN478" i="2"/>
  <c r="BP477" i="2"/>
  <c r="Z477" i="2"/>
  <c r="Z475" i="2"/>
  <c r="Y479" i="2"/>
  <c r="BN466" i="2"/>
  <c r="BN465" i="2"/>
  <c r="BN451" i="2"/>
  <c r="Y453" i="2"/>
  <c r="Z446" i="2"/>
  <c r="BN446" i="2"/>
  <c r="BP444" i="2"/>
  <c r="BN440" i="2"/>
  <c r="BN431" i="2"/>
  <c r="BN420" i="2"/>
  <c r="Z420" i="2"/>
  <c r="Y403" i="2"/>
  <c r="Z396" i="2"/>
  <c r="BP396" i="2"/>
  <c r="BN395" i="2"/>
  <c r="Z387" i="2"/>
  <c r="Z383" i="2"/>
  <c r="BP376" i="2"/>
  <c r="Z376" i="2"/>
  <c r="Z374" i="2"/>
  <c r="Y378" i="2"/>
  <c r="Z371" i="2"/>
  <c r="BP371" i="2"/>
  <c r="BN370" i="2"/>
  <c r="Z370" i="2"/>
  <c r="Y367" i="2"/>
  <c r="Z363" i="2"/>
  <c r="BN349" i="2"/>
  <c r="BN343" i="2"/>
  <c r="Z343" i="2"/>
  <c r="BP334" i="2"/>
  <c r="BN328" i="2"/>
  <c r="Z325" i="2"/>
  <c r="BN324" i="2"/>
  <c r="Z324" i="2"/>
  <c r="BN318" i="2"/>
  <c r="Z304" i="2"/>
  <c r="BN294" i="2"/>
  <c r="BN286" i="2"/>
  <c r="Z286" i="2"/>
  <c r="Z284" i="2"/>
  <c r="BN280" i="2"/>
  <c r="BP278" i="2"/>
  <c r="Z274" i="2"/>
  <c r="BN270" i="2"/>
  <c r="BN252" i="2"/>
  <c r="Z247" i="2"/>
  <c r="BN242" i="2"/>
  <c r="Z238" i="2"/>
  <c r="BN233" i="2"/>
  <c r="Z231" i="2"/>
  <c r="BN231" i="2"/>
  <c r="BP225" i="2"/>
  <c r="BN224" i="2"/>
  <c r="BP223" i="2"/>
  <c r="Z223" i="2"/>
  <c r="Z210" i="2"/>
  <c r="BN210" i="2"/>
  <c r="BN206" i="2"/>
  <c r="Y201" i="2"/>
  <c r="Z196" i="2"/>
  <c r="Z197" i="2" s="1"/>
  <c r="BN195" i="2"/>
  <c r="Z183" i="2"/>
  <c r="BN178" i="2"/>
  <c r="Z176" i="2"/>
  <c r="Z152" i="2"/>
  <c r="BP152" i="2"/>
  <c r="BN144" i="2"/>
  <c r="Z138" i="2"/>
  <c r="BP135" i="2"/>
  <c r="BP113" i="2"/>
  <c r="BP111" i="2"/>
  <c r="Z111" i="2"/>
  <c r="BN101" i="2"/>
  <c r="Y107" i="2"/>
  <c r="Z94" i="2"/>
  <c r="BN94" i="2"/>
  <c r="Z91" i="2"/>
  <c r="BP91" i="2"/>
  <c r="BN84" i="2"/>
  <c r="Z79" i="2"/>
  <c r="Z80" i="2" s="1"/>
  <c r="BP79" i="2"/>
  <c r="Y81" i="2"/>
  <c r="Z67" i="2"/>
  <c r="BN67" i="2"/>
  <c r="BN62" i="2"/>
  <c r="Z61" i="2"/>
  <c r="Z58" i="2"/>
  <c r="BN50" i="2"/>
  <c r="BP40" i="2"/>
  <c r="BN39" i="2"/>
  <c r="Z39" i="2"/>
  <c r="BN38" i="2"/>
  <c r="Z30" i="2"/>
  <c r="BP28" i="2"/>
  <c r="X559" i="2"/>
  <c r="Z27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Z397" i="2" s="1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51" i="2" s="1"/>
  <c r="Z60" i="2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BN401" i="2"/>
  <c r="Y415" i="2"/>
  <c r="Y436" i="2"/>
  <c r="Z445" i="2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Z329" i="2" s="1"/>
  <c r="Y351" i="2"/>
  <c r="Z362" i="2"/>
  <c r="Z372" i="2"/>
  <c r="Z382" i="2"/>
  <c r="BN394" i="2"/>
  <c r="Y416" i="2"/>
  <c r="Z428" i="2"/>
  <c r="Z438" i="2"/>
  <c r="Z441" i="2" s="1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Z422" i="2" s="1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357" i="2" l="1"/>
  <c r="Z32" i="2"/>
  <c r="Z24" i="2"/>
  <c r="Z447" i="2"/>
  <c r="Z249" i="2"/>
  <c r="Z63" i="2"/>
  <c r="Z295" i="2"/>
  <c r="Z145" i="2"/>
  <c r="Z132" i="2"/>
  <c r="Z377" i="2"/>
  <c r="Z390" i="2"/>
  <c r="Z515" i="2"/>
  <c r="Z95" i="2"/>
  <c r="Z525" i="2"/>
  <c r="Z509" i="2"/>
  <c r="Z479" i="2"/>
  <c r="Z468" i="2"/>
  <c r="Z409" i="2"/>
  <c r="Z345" i="2"/>
  <c r="Z336" i="2"/>
  <c r="Z243" i="2"/>
  <c r="Z213" i="2"/>
  <c r="Z156" i="2"/>
  <c r="Z121" i="2"/>
  <c r="Z70" i="2"/>
  <c r="Y556" i="2"/>
  <c r="X558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Z560" i="2" l="1"/>
  <c r="Y558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<sst xmlns="http://schemas.openxmlformats.org/spreadsheetml/2006/main" count="4237" uniqueCount="896">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</sst>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46248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Пятница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64</v>
      </c>
      <c r="Y41" s="55">
        <f>IFERROR(IF(X41="",0,CEILING((X41/$H41),1)*$H41),"")</f>
        <v>65.28</v>
      </c>
      <c r="Z41" s="41">
        <f>IFERROR(IF(Y41=0,"",ROUNDUP(Y41/H41,0)*0.00651),"")</f>
        <v>0.22134000000000001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70</v>
      </c>
      <c r="BN41" s="78">
        <f>IFERROR(Y41*I41/H41,"0")</f>
        <v>71.40000000000002</v>
      </c>
      <c r="BO41" s="78">
        <f>IFERROR(1/J41*(X41/H41),"0")</f>
        <v>0.18315018315018317</v>
      </c>
      <c r="BP41" s="78">
        <f>IFERROR(1/J41*(Y41/H41),"0")</f>
        <v>0.18681318681318682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33.333333333333336</v>
      </c>
      <c r="Y42" s="43">
        <f>IFERROR(Y37/H37,"0")+IFERROR(Y38/H38,"0")+IFERROR(Y39/H39,"0")+IFERROR(Y40/H40,"0")+IFERROR(Y41/H41,"0")</f>
        <v>34</v>
      </c>
      <c r="Z42" s="43">
        <f>IFERROR(IF(Z37="",0,Z37),"0")+IFERROR(IF(Z38="",0,Z38),"0")+IFERROR(IF(Z39="",0,Z39),"0")+IFERROR(IF(Z40="",0,Z40),"0")+IFERROR(IF(Z41="",0,Z41),"0")</f>
        <v>0.22134000000000001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64</v>
      </c>
      <c r="Y43" s="43">
        <f>IFERROR(SUM(Y37:Y41),"0")</f>
        <v>65.28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160</v>
      </c>
      <c r="Y49" s="55">
        <f>IFERROR(IF(X49="",0,CEILING((X49/$H49),1)*$H49),"")</f>
        <v>160</v>
      </c>
      <c r="Z49" s="41">
        <f>IFERROR(IF(Y49=0,"",ROUNDUP(Y49/H49,0)*0.00902),"")</f>
        <v>0.36080000000000001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167.60000000000002</v>
      </c>
      <c r="BN49" s="78">
        <f>IFERROR(Y49*I49/H49,"0")</f>
        <v>167.60000000000002</v>
      </c>
      <c r="BO49" s="78">
        <f>IFERROR(1/J49*(X49/H49),"0")</f>
        <v>0.30303030303030304</v>
      </c>
      <c r="BP49" s="78">
        <f>IFERROR(1/J49*(Y49/H49),"0")</f>
        <v>0.30303030303030304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40</v>
      </c>
      <c r="Y51" s="43">
        <f>IFERROR(Y47/H47,"0")+IFERROR(Y48/H48,"0")+IFERROR(Y49/H49,"0")+IFERROR(Y50/H50,"0")</f>
        <v>40</v>
      </c>
      <c r="Z51" s="43">
        <f>IFERROR(IF(Z47="",0,Z47),"0")+IFERROR(IF(Z48="",0,Z48),"0")+IFERROR(IF(Z49="",0,Z49),"0")+IFERROR(IF(Z50="",0,Z50),"0")</f>
        <v>0.36080000000000001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160</v>
      </c>
      <c r="Y52" s="43">
        <f>IFERROR(SUM(Y47:Y50),"0")</f>
        <v>160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270</v>
      </c>
      <c r="Y62" s="55">
        <f t="shared" si="0"/>
        <v>270</v>
      </c>
      <c r="Z62" s="41">
        <f>IFERROR(IF(Y62=0,"",ROUNDUP(Y62/H62,0)*0.00902),"")</f>
        <v>0.54120000000000001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281.40000000000003</v>
      </c>
      <c r="BN62" s="78">
        <f t="shared" si="2"/>
        <v>281.40000000000003</v>
      </c>
      <c r="BO62" s="78">
        <f t="shared" si="3"/>
        <v>0.45454545454545459</v>
      </c>
      <c r="BP62" s="78">
        <f t="shared" si="4"/>
        <v>0.45454545454545459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60</v>
      </c>
      <c r="Y63" s="43">
        <f>IFERROR(Y55/H55,"0")+IFERROR(Y56/H56,"0")+IFERROR(Y57/H57,"0")+IFERROR(Y58/H58,"0")+IFERROR(Y59/H59,"0")+IFERROR(Y60/H60,"0")+IFERROR(Y61/H61,"0")+IFERROR(Y62/H62,"0")</f>
        <v>60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0.54120000000000001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270</v>
      </c>
      <c r="Y64" s="43">
        <f>IFERROR(SUM(Y55:Y62),"0")</f>
        <v>270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40</v>
      </c>
      <c r="Y78" s="55">
        <f>IFERROR(IF(X78="",0,CEILING((X78/$H78),1)*$H78),"")</f>
        <v>46.8</v>
      </c>
      <c r="Z78" s="41">
        <f>IFERROR(IF(Y78=0,"",ROUNDUP(Y78/H78,0)*0.01898),"")</f>
        <v>0.11388000000000001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42.102564102564109</v>
      </c>
      <c r="BN78" s="78">
        <f>IFERROR(Y78*I78/H78,"0")</f>
        <v>49.260000000000005</v>
      </c>
      <c r="BO78" s="78">
        <f>IFERROR(1/J78*(X78/H78),"0")</f>
        <v>8.0128205128205135E-2</v>
      </c>
      <c r="BP78" s="78">
        <f>IFERROR(1/J78*(Y78/H78),"0")</f>
        <v>9.375E-2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5.1282051282051286</v>
      </c>
      <c r="Y80" s="43">
        <f>IFERROR(Y78/H78,"0")+IFERROR(Y79/H79,"0")</f>
        <v>6</v>
      </c>
      <c r="Z80" s="43">
        <f>IFERROR(IF(Z78="",0,Z78),"0")+IFERROR(IF(Z79="",0,Z79),"0")</f>
        <v>0.11388000000000001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40</v>
      </c>
      <c r="Y81" s="43">
        <f>IFERROR(SUM(Y78:Y79),"0")</f>
        <v>46.8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270</v>
      </c>
      <c r="Y87" s="55">
        <f>IFERROR(IF(X87="",0,CEILING((X87/$H87),1)*$H87),"")</f>
        <v>270</v>
      </c>
      <c r="Z87" s="41">
        <f>IFERROR(IF(Y87=0,"",ROUNDUP(Y87/H87,0)*0.00902),"")</f>
        <v>0.54120000000000001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281.40000000000003</v>
      </c>
      <c r="BN87" s="78">
        <f>IFERROR(Y87*I87/H87,"0")</f>
        <v>281.40000000000003</v>
      </c>
      <c r="BO87" s="78">
        <f>IFERROR(1/J87*(X87/H87),"0")</f>
        <v>0.45454545454545459</v>
      </c>
      <c r="BP87" s="78">
        <f>IFERROR(1/J87*(Y87/H87),"0")</f>
        <v>0.45454545454545459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60</v>
      </c>
      <c r="Y88" s="43">
        <f>IFERROR(Y84/H84,"0")+IFERROR(Y85/H85,"0")+IFERROR(Y86/H86,"0")+IFERROR(Y87/H87,"0")</f>
        <v>60</v>
      </c>
      <c r="Z88" s="43">
        <f>IFERROR(IF(Z84="",0,Z84),"0")+IFERROR(IF(Z85="",0,Z85),"0")+IFERROR(IF(Z86="",0,Z86),"0")+IFERROR(IF(Z87="",0,Z87),"0")</f>
        <v>0.54120000000000001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270</v>
      </c>
      <c r="Y89" s="43">
        <f>IFERROR(SUM(Y84:Y87),"0")</f>
        <v>270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800</v>
      </c>
      <c r="Y91" s="55">
        <f>IFERROR(IF(X91="",0,CEILING((X91/$H91),1)*$H91),"")</f>
        <v>801.9</v>
      </c>
      <c r="Z91" s="41">
        <f>IFERROR(IF(Y91=0,"",ROUNDUP(Y91/H91,0)*0.01898),"")</f>
        <v>1.8790200000000001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848.79012345679018</v>
      </c>
      <c r="BN91" s="78">
        <f>IFERROR(Y91*I91/H91,"0")</f>
        <v>850.80600000000004</v>
      </c>
      <c r="BO91" s="78">
        <f>IFERROR(1/J91*(X91/H91),"0")</f>
        <v>1.5432098765432098</v>
      </c>
      <c r="BP91" s="78">
        <f>IFERROR(1/J91*(Y91/H91),"0")</f>
        <v>1.546875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450</v>
      </c>
      <c r="Y93" s="55">
        <f>IFERROR(IF(X93="",0,CEILING((X93/$H93),1)*$H93),"")</f>
        <v>450.90000000000003</v>
      </c>
      <c r="Z93" s="41">
        <f>IFERROR(IF(Y93=0,"",ROUNDUP(Y93/H93,0)*0.00651),"")</f>
        <v>1.08717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492</v>
      </c>
      <c r="BN93" s="78">
        <f>IFERROR(Y93*I93/H93,"0")</f>
        <v>492.98399999999998</v>
      </c>
      <c r="BO93" s="78">
        <f>IFERROR(1/J93*(X93/H93),"0")</f>
        <v>0.91575091575091572</v>
      </c>
      <c r="BP93" s="78">
        <f>IFERROR(1/J93*(Y93/H93),"0")</f>
        <v>0.91758241758241765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265.4320987654321</v>
      </c>
      <c r="Y95" s="43">
        <f>IFERROR(Y91/H91,"0")+IFERROR(Y92/H92,"0")+IFERROR(Y93/H93,"0")+IFERROR(Y94/H94,"0")</f>
        <v>266</v>
      </c>
      <c r="Z95" s="43">
        <f>IFERROR(IF(Z91="",0,Z91),"0")+IFERROR(IF(Z92="",0,Z92),"0")+IFERROR(IF(Z93="",0,Z93),"0")+IFERROR(IF(Z94="",0,Z94),"0")</f>
        <v>2.9661900000000001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1250</v>
      </c>
      <c r="Y96" s="43">
        <f>IFERROR(SUM(Y91:Y94),"0")</f>
        <v>1252.8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70</v>
      </c>
      <c r="Y99" s="55">
        <f t="shared" ref="Y99:Y105" si="5">IFERROR(IF(X99="",0,CEILING((X99/$H99),1)*$H99),"")</f>
        <v>75.600000000000009</v>
      </c>
      <c r="Z99" s="41">
        <f>IFERROR(IF(Y99=0,"",ROUNDUP(Y99/H99,0)*0.01898),"")</f>
        <v>0.13286000000000001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72.657407407407405</v>
      </c>
      <c r="BN99" s="78">
        <f t="shared" ref="BN99:BN105" si="7">IFERROR(Y99*I99/H99,"0")</f>
        <v>78.47</v>
      </c>
      <c r="BO99" s="78">
        <f t="shared" ref="BO99:BO105" si="8">IFERROR(1/J99*(X99/H99),"0")</f>
        <v>0.10127314814814814</v>
      </c>
      <c r="BP99" s="78">
        <f t="shared" ref="BP99:BP105" si="9">IFERROR(1/J99*(Y99/H99),"0")</f>
        <v>0.109375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810</v>
      </c>
      <c r="Y104" s="55">
        <f t="shared" si="5"/>
        <v>810</v>
      </c>
      <c r="Z104" s="41">
        <f>IFERROR(IF(Y104=0,"",ROUNDUP(Y104/H104,0)*0.00902),"")</f>
        <v>1.6236000000000002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844.2</v>
      </c>
      <c r="BN104" s="78">
        <f t="shared" si="7"/>
        <v>844.2</v>
      </c>
      <c r="BO104" s="78">
        <f t="shared" si="8"/>
        <v>1.3636363636363638</v>
      </c>
      <c r="BP104" s="78">
        <f t="shared" si="9"/>
        <v>1.3636363636363638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186.48148148148147</v>
      </c>
      <c r="Y106" s="43">
        <f>IFERROR(Y99/H99,"0")+IFERROR(Y100/H100,"0")+IFERROR(Y101/H101,"0")+IFERROR(Y102/H102,"0")+IFERROR(Y103/H103,"0")+IFERROR(Y104/H104,"0")+IFERROR(Y105/H105,"0")</f>
        <v>187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1.7564600000000001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880</v>
      </c>
      <c r="Y107" s="43">
        <f>IFERROR(SUM(Y99:Y105),"0")</f>
        <v>885.6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500</v>
      </c>
      <c r="Y117" s="55">
        <f>IFERROR(IF(X117="",0,CEILING((X117/$H117),1)*$H117),"")</f>
        <v>502.2</v>
      </c>
      <c r="Z117" s="41">
        <f>IFERROR(IF(Y117=0,"",ROUNDUP(Y117/H117,0)*0.01898),"")</f>
        <v>1.17676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530.12345679012344</v>
      </c>
      <c r="BN117" s="78">
        <f>IFERROR(Y117*I117/H117,"0")</f>
        <v>532.4559999999999</v>
      </c>
      <c r="BO117" s="78">
        <f>IFERROR(1/J117*(X117/H117),"0")</f>
        <v>0.96450617283950624</v>
      </c>
      <c r="BP117" s="78">
        <f>IFERROR(1/J117*(Y117/H117),"0")</f>
        <v>0.96875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765</v>
      </c>
      <c r="Y119" s="55">
        <f>IFERROR(IF(X119="",0,CEILING((X119/$H119),1)*$H119),"")</f>
        <v>766.80000000000007</v>
      </c>
      <c r="Z119" s="41">
        <f>IFERROR(IF(Y119=0,"",ROUNDUP(Y119/H119,0)*0.00651),"")</f>
        <v>1.84884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836.39999999999986</v>
      </c>
      <c r="BN119" s="78">
        <f>IFERROR(Y119*I119/H119,"0")</f>
        <v>838.36800000000005</v>
      </c>
      <c r="BO119" s="78">
        <f>IFERROR(1/J119*(X119/H119),"0")</f>
        <v>1.5567765567765568</v>
      </c>
      <c r="BP119" s="78">
        <f>IFERROR(1/J119*(Y119/H119),"0")</f>
        <v>1.5604395604395607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150</v>
      </c>
      <c r="Y120" s="55">
        <f>IFERROR(IF(X120="",0,CEILING((X120/$H120),1)*$H120),"")</f>
        <v>151.20000000000002</v>
      </c>
      <c r="Z120" s="41">
        <f>IFERROR(IF(Y120=0,"",ROUNDUP(Y120/H120,0)*0.00651),"")</f>
        <v>0.54683999999999999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165</v>
      </c>
      <c r="BN120" s="78">
        <f>IFERROR(Y120*I120/H120,"0")</f>
        <v>166.32000000000002</v>
      </c>
      <c r="BO120" s="78">
        <f>IFERROR(1/J120*(X120/H120),"0")</f>
        <v>0.45787545787545786</v>
      </c>
      <c r="BP120" s="78">
        <f>IFERROR(1/J120*(Y120/H120),"0")</f>
        <v>0.46153846153846168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428.39506172839504</v>
      </c>
      <c r="Y121" s="43">
        <f>IFERROR(Y117/H117,"0")+IFERROR(Y118/H118,"0")+IFERROR(Y119/H119,"0")+IFERROR(Y120/H120,"0")</f>
        <v>430</v>
      </c>
      <c r="Z121" s="43">
        <f>IFERROR(IF(Z117="",0,Z117),"0")+IFERROR(IF(Z118="",0,Z118),"0")+IFERROR(IF(Z119="",0,Z119),"0")+IFERROR(IF(Z120="",0,Z120),"0")</f>
        <v>3.5724399999999998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1415</v>
      </c>
      <c r="Y122" s="43">
        <f>IFERROR(SUM(Y117:Y120),"0")</f>
        <v>1420.2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64</v>
      </c>
      <c r="Y131" s="55">
        <f>IFERROR(IF(X131="",0,CEILING((X131/$H131),1)*$H131),"")</f>
        <v>64</v>
      </c>
      <c r="Z131" s="41">
        <f>IFERROR(IF(Y131=0,"",ROUNDUP(Y131/H131,0)*0.00651),"")</f>
        <v>0.13020000000000001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67.599999999999994</v>
      </c>
      <c r="BN131" s="78">
        <f>IFERROR(Y131*I131/H131,"0")</f>
        <v>67.599999999999994</v>
      </c>
      <c r="BO131" s="78">
        <f>IFERROR(1/J131*(X131/H131),"0")</f>
        <v>0.1098901098901099</v>
      </c>
      <c r="BP131" s="78">
        <f>IFERROR(1/J131*(Y131/H131),"0")</f>
        <v>0.1098901098901099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20</v>
      </c>
      <c r="Y132" s="43">
        <f>IFERROR(Y129/H129,"0")+IFERROR(Y130/H130,"0")+IFERROR(Y131/H131,"0")</f>
        <v>20</v>
      </c>
      <c r="Z132" s="43">
        <f>IFERROR(IF(Z129="",0,Z129),"0")+IFERROR(IF(Z130="",0,Z130),"0")+IFERROR(IF(Z131="",0,Z131),"0")</f>
        <v>0.13020000000000001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64</v>
      </c>
      <c r="Y133" s="43">
        <f>IFERROR(SUM(Y129:Y131),"0")</f>
        <v>64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59.499999999999993</v>
      </c>
      <c r="Y136" s="55">
        <f>IFERROR(IF(X136="",0,CEILING((X136/$H136),1)*$H136),"")</f>
        <v>61.599999999999994</v>
      </c>
      <c r="Z136" s="41">
        <f>IFERROR(IF(Y136=0,"",ROUNDUP(Y136/H136,0)*0.00651),"")</f>
        <v>0.14322000000000001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65.195000000000007</v>
      </c>
      <c r="BN136" s="78">
        <f>IFERROR(Y136*I136/H136,"0")</f>
        <v>67.496000000000009</v>
      </c>
      <c r="BO136" s="78">
        <f>IFERROR(1/J136*(X136/H136),"0")</f>
        <v>0.11675824175824177</v>
      </c>
      <c r="BP136" s="78">
        <f>IFERROR(1/J136*(Y136/H136),"0")</f>
        <v>0.12087912087912089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21.25</v>
      </c>
      <c r="Y139" s="43">
        <f>IFERROR(Y135/H135,"0")+IFERROR(Y136/H136,"0")+IFERROR(Y137/H137,"0")+IFERROR(Y138/H138,"0")</f>
        <v>22</v>
      </c>
      <c r="Z139" s="43">
        <f>IFERROR(IF(Z135="",0,Z135),"0")+IFERROR(IF(Z136="",0,Z136),"0")+IFERROR(IF(Z137="",0,Z137),"0")+IFERROR(IF(Z138="",0,Z138),"0")</f>
        <v>0.14322000000000001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59.499999999999993</v>
      </c>
      <c r="Y140" s="43">
        <f>IFERROR(SUM(Y135:Y138),"0")</f>
        <v>61.599999999999994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115.5</v>
      </c>
      <c r="Y143" s="55">
        <f>IFERROR(IF(X143="",0,CEILING((X143/$H143),1)*$H143),"")</f>
        <v>116.16000000000001</v>
      </c>
      <c r="Z143" s="41">
        <f>IFERROR(IF(Y143=0,"",ROUNDUP(Y143/H143,0)*0.00651),"")</f>
        <v>0.28644000000000003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127.22499999999998</v>
      </c>
      <c r="BN143" s="78">
        <f>IFERROR(Y143*I143/H143,"0")</f>
        <v>127.95200000000001</v>
      </c>
      <c r="BO143" s="78">
        <f>IFERROR(1/J143*(X143/H143),"0")</f>
        <v>0.24038461538461539</v>
      </c>
      <c r="BP143" s="78">
        <f>IFERROR(1/J143*(Y143/H143),"0")</f>
        <v>0.24175824175824179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43.75</v>
      </c>
      <c r="Y145" s="43">
        <f>IFERROR(Y142/H142,"0")+IFERROR(Y143/H143,"0")+IFERROR(Y144/H144,"0")</f>
        <v>44</v>
      </c>
      <c r="Z145" s="43">
        <f>IFERROR(IF(Z142="",0,Z142),"0")+IFERROR(IF(Z143="",0,Z143),"0")+IFERROR(IF(Z144="",0,Z144),"0")</f>
        <v>0.28644000000000003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115.5</v>
      </c>
      <c r="Y146" s="43">
        <f>IFERROR(SUM(Y142:Y144),"0")</f>
        <v>116.16000000000001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12</v>
      </c>
      <c r="Y170" s="55">
        <f>IFERROR(IF(X170="",0,CEILING((X170/$H170),1)*$H170),"")</f>
        <v>12.24</v>
      </c>
      <c r="Z170" s="41">
        <f>IFERROR(IF(Y170=0,"",ROUNDUP(Y170/H170,0)*0.00556),"")</f>
        <v>9.4519999999999993E-2</v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14.166666666666666</v>
      </c>
      <c r="BN170" s="78">
        <f>IFERROR(Y170*I170/H170,"0")</f>
        <v>14.450000000000001</v>
      </c>
      <c r="BO170" s="78">
        <f>IFERROR(1/J170*(X170/H170),"0")</f>
        <v>6.6137566137566134E-2</v>
      </c>
      <c r="BP170" s="78">
        <f>IFERROR(1/J170*(Y170/H170),"0")</f>
        <v>6.7460317460317457E-2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16.666666666666668</v>
      </c>
      <c r="Y172" s="43">
        <f>IFERROR(Y170/H170,"0")+IFERROR(Y171/H171,"0")</f>
        <v>17</v>
      </c>
      <c r="Z172" s="43">
        <f>IFERROR(IF(Z170="",0,Z170),"0")+IFERROR(IF(Z171="",0,Z171),"0")</f>
        <v>9.4519999999999993E-2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12</v>
      </c>
      <c r="Y173" s="43">
        <f>IFERROR(SUM(Y170:Y171),"0")</f>
        <v>12.24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500</v>
      </c>
      <c r="Y175" s="55">
        <f t="shared" ref="Y175:Y185" si="16">IFERROR(IF(X175="",0,CEILING((X175/$H175),1)*$H175),"")</f>
        <v>500.5</v>
      </c>
      <c r="Z175" s="41">
        <f>IFERROR(IF(Y175=0,"",ROUNDUP(Y175/H175,0)*0.00902),"")</f>
        <v>1.28986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527.14285714285711</v>
      </c>
      <c r="BN175" s="78">
        <f t="shared" ref="BN175:BN185" si="18">IFERROR(Y175*I175/H175,"0")</f>
        <v>527.66999999999996</v>
      </c>
      <c r="BO175" s="78">
        <f t="shared" ref="BO175:BO185" si="19">IFERROR(1/J175*(X175/H175),"0")</f>
        <v>1.0822510822510822</v>
      </c>
      <c r="BP175" s="78">
        <f t="shared" ref="BP175:BP185" si="20">IFERROR(1/J175*(Y175/H175),"0")</f>
        <v>1.0833333333333333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380</v>
      </c>
      <c r="Y177" s="55">
        <f t="shared" si="16"/>
        <v>381.5</v>
      </c>
      <c r="Z177" s="41">
        <f>IFERROR(IF(Y177=0,"",ROUNDUP(Y177/H177,0)*0.00902),"")</f>
        <v>0.98318000000000005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400.62857142857143</v>
      </c>
      <c r="BN177" s="78">
        <f t="shared" si="18"/>
        <v>402.21</v>
      </c>
      <c r="BO177" s="78">
        <f t="shared" si="19"/>
        <v>0.82251082251082253</v>
      </c>
      <c r="BP177" s="78">
        <f t="shared" si="20"/>
        <v>0.8257575757575758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150</v>
      </c>
      <c r="Y178" s="55">
        <f t="shared" si="16"/>
        <v>150.5</v>
      </c>
      <c r="Z178" s="41">
        <f>IFERROR(IF(Y178=0,"",ROUNDUP(Y178/H178,0)*0.00902),"")</f>
        <v>0.38785999999999998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158.14285714285714</v>
      </c>
      <c r="BN178" s="78">
        <f t="shared" si="18"/>
        <v>158.67000000000002</v>
      </c>
      <c r="BO178" s="78">
        <f t="shared" si="19"/>
        <v>0.32467532467532467</v>
      </c>
      <c r="BP178" s="78">
        <f t="shared" si="20"/>
        <v>0.32575757575757575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9</v>
      </c>
      <c r="Y179" s="55">
        <f t="shared" si="16"/>
        <v>9</v>
      </c>
      <c r="Z179" s="41">
        <f>IFERROR(IF(Y179=0,"",ROUNDUP(Y179/H179,0)*0.00417),"")</f>
        <v>4.1700000000000001E-2</v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11.1</v>
      </c>
      <c r="BN179" s="78">
        <f t="shared" si="18"/>
        <v>11.1</v>
      </c>
      <c r="BO179" s="78">
        <f t="shared" si="19"/>
        <v>2.976190476190476E-2</v>
      </c>
      <c r="BP179" s="78">
        <f t="shared" si="20"/>
        <v>2.976190476190476E-2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224.00000000000003</v>
      </c>
      <c r="Y180" s="55">
        <f t="shared" si="16"/>
        <v>225.12</v>
      </c>
      <c r="Z180" s="41">
        <f>IFERROR(IF(Y180=0,"",ROUNDUP(Y180/H180,0)*0.00502),"")</f>
        <v>0.67268000000000006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237.3333333333334</v>
      </c>
      <c r="BN180" s="78">
        <f t="shared" si="18"/>
        <v>238.52000000000004</v>
      </c>
      <c r="BO180" s="78">
        <f t="shared" si="19"/>
        <v>0.56980056980056992</v>
      </c>
      <c r="BP180" s="78">
        <f t="shared" si="20"/>
        <v>0.57264957264957272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140</v>
      </c>
      <c r="Y183" s="55">
        <f t="shared" si="16"/>
        <v>141.12</v>
      </c>
      <c r="Z183" s="41">
        <f>IFERROR(IF(Y183=0,"",ROUNDUP(Y183/H183,0)*0.00502),"")</f>
        <v>0.42168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148.33333333333334</v>
      </c>
      <c r="BN183" s="78">
        <f t="shared" si="18"/>
        <v>149.52000000000001</v>
      </c>
      <c r="BO183" s="78">
        <f t="shared" si="19"/>
        <v>0.35612535612535623</v>
      </c>
      <c r="BP183" s="78">
        <f t="shared" si="20"/>
        <v>0.35897435897435903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140</v>
      </c>
      <c r="Y185" s="55">
        <f t="shared" si="16"/>
        <v>141.12</v>
      </c>
      <c r="Z185" s="41">
        <f>IFERROR(IF(Y185=0,"",ROUNDUP(Y185/H185,0)*0.00502),"")</f>
        <v>0.42168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148.33333333333334</v>
      </c>
      <c r="BN185" s="78">
        <f t="shared" si="18"/>
        <v>149.52000000000001</v>
      </c>
      <c r="BO185" s="78">
        <f t="shared" si="19"/>
        <v>0.35612535612535623</v>
      </c>
      <c r="BP185" s="78">
        <f t="shared" si="20"/>
        <v>0.35897435897435903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604.28571428571433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607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4.2186399999999997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1543</v>
      </c>
      <c r="Y187" s="43">
        <f>IFERROR(SUM(Y175:Y185),"0")</f>
        <v>1548.8599999999997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250</v>
      </c>
      <c r="Y211" s="55">
        <f t="shared" si="21"/>
        <v>259.20000000000005</v>
      </c>
      <c r="Z211" s="41">
        <f t="shared" si="22"/>
        <v>0.45552000000000004</v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259.4907407407407</v>
      </c>
      <c r="BN211" s="78">
        <f t="shared" si="24"/>
        <v>269.04000000000002</v>
      </c>
      <c r="BO211" s="78">
        <f t="shared" si="25"/>
        <v>0.36168981481481477</v>
      </c>
      <c r="BP211" s="78">
        <f t="shared" si="26"/>
        <v>0.37500000000000006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23.148148148148145</v>
      </c>
      <c r="Y213" s="43">
        <f>IFERROR(Y206/H206,"0")+IFERROR(Y207/H207,"0")+IFERROR(Y208/H208,"0")+IFERROR(Y209/H209,"0")+IFERROR(Y210/H210,"0")+IFERROR(Y211/H211,"0")+IFERROR(Y212/H212,"0")</f>
        <v>24.000000000000004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0.45552000000000004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250</v>
      </c>
      <c r="Y214" s="43">
        <f>IFERROR(SUM(Y206:Y212),"0")</f>
        <v>259.20000000000005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30</v>
      </c>
      <c r="Y222" s="55">
        <f t="shared" si="27"/>
        <v>33.6</v>
      </c>
      <c r="Z222" s="41">
        <f>IFERROR(IF(Y222=0,"",ROUNDUP(Y222/H222,0)*0.00902),"")</f>
        <v>7.2160000000000002E-2</v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31.785714285714285</v>
      </c>
      <c r="BN222" s="78">
        <f t="shared" si="29"/>
        <v>35.6</v>
      </c>
      <c r="BO222" s="78">
        <f t="shared" si="30"/>
        <v>5.4112554112554112E-2</v>
      </c>
      <c r="BP222" s="78">
        <f t="shared" si="31"/>
        <v>6.0606060606060608E-2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40</v>
      </c>
      <c r="Y223" s="55">
        <f t="shared" si="27"/>
        <v>42</v>
      </c>
      <c r="Z223" s="41">
        <f>IFERROR(IF(Y223=0,"",ROUNDUP(Y223/H223,0)*0.00902),"")</f>
        <v>9.0200000000000002E-2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41.809523809523803</v>
      </c>
      <c r="BN223" s="78">
        <f t="shared" si="29"/>
        <v>43.9</v>
      </c>
      <c r="BO223" s="78">
        <f t="shared" si="30"/>
        <v>7.2150072150072145E-2</v>
      </c>
      <c r="BP223" s="78">
        <f t="shared" si="31"/>
        <v>7.575757575757576E-2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27"/>
        <v>8</v>
      </c>
      <c r="Z224" s="41">
        <f>IFERROR(IF(Y224=0,"",ROUNDUP(Y224/H224,0)*0.00556),"")</f>
        <v>5.5599999999999997E-2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9.3000000000000007</v>
      </c>
      <c r="BN224" s="78">
        <f t="shared" si="29"/>
        <v>9.3000000000000007</v>
      </c>
      <c r="BO224" s="78">
        <f t="shared" si="30"/>
        <v>3.968253968253968E-2</v>
      </c>
      <c r="BP224" s="78">
        <f t="shared" si="31"/>
        <v>3.968253968253968E-2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87.5</v>
      </c>
      <c r="Y225" s="55">
        <f t="shared" si="27"/>
        <v>88.2</v>
      </c>
      <c r="Z225" s="41">
        <f t="shared" ref="Z225:Z230" si="32">IFERROR(IF(Y225=0,"",ROUNDUP(Y225/H225,0)*0.00502),"")</f>
        <v>0.21084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92.916666666666657</v>
      </c>
      <c r="BN225" s="78">
        <f t="shared" si="29"/>
        <v>93.66</v>
      </c>
      <c r="BO225" s="78">
        <f t="shared" si="30"/>
        <v>0.17806267806267806</v>
      </c>
      <c r="BP225" s="78">
        <f t="shared" si="31"/>
        <v>0.17948717948717952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489.99999999999994</v>
      </c>
      <c r="Y227" s="55">
        <f t="shared" si="27"/>
        <v>491.40000000000003</v>
      </c>
      <c r="Z227" s="41">
        <f t="shared" si="32"/>
        <v>1.1746799999999999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520.33333333333326</v>
      </c>
      <c r="BN227" s="78">
        <f t="shared" si="29"/>
        <v>521.82000000000005</v>
      </c>
      <c r="BO227" s="78">
        <f t="shared" si="30"/>
        <v>0.99715099715099709</v>
      </c>
      <c r="BP227" s="78">
        <f t="shared" si="31"/>
        <v>1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16</v>
      </c>
      <c r="Y231" s="55">
        <f t="shared" si="27"/>
        <v>16</v>
      </c>
      <c r="Z231" s="41">
        <f>IFERROR(IF(Y231=0,"",ROUNDUP(Y231/H231,0)*0.00417),"")</f>
        <v>8.3400000000000002E-2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20.2</v>
      </c>
      <c r="BN231" s="78">
        <f t="shared" si="29"/>
        <v>20.2</v>
      </c>
      <c r="BO231" s="78">
        <f t="shared" si="30"/>
        <v>5.9523809523809521E-2</v>
      </c>
      <c r="BP231" s="78">
        <f t="shared" si="31"/>
        <v>5.9523809523809521E-2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420</v>
      </c>
      <c r="Y232" s="55">
        <f t="shared" si="27"/>
        <v>420</v>
      </c>
      <c r="Z232" s="41">
        <f>IFERROR(IF(Y232=0,"",ROUNDUP(Y232/H232,0)*0.00502),"")</f>
        <v>1.004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440.00000000000006</v>
      </c>
      <c r="BN232" s="78">
        <f t="shared" si="29"/>
        <v>440.00000000000006</v>
      </c>
      <c r="BO232" s="78">
        <f t="shared" si="30"/>
        <v>0.85470085470085477</v>
      </c>
      <c r="BP232" s="78">
        <f t="shared" si="31"/>
        <v>0.85470085470085477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521.66666666666663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524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2.6908799999999999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1091.5</v>
      </c>
      <c r="Y236" s="43">
        <f>IFERROR(SUM(Y221:Y234),"0")</f>
        <v>1099.2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7.0000000000000009</v>
      </c>
      <c r="Y247" s="55">
        <f>IFERROR(IF(X247="",0,CEILING((X247/$H247),1)*$H247),"")</f>
        <v>7.5600000000000005</v>
      </c>
      <c r="Z247" s="41">
        <f>IFERROR(IF(Y247=0,"",ROUNDUP(Y247/H247,0)*0.0059),"")</f>
        <v>3.5400000000000001E-2</v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8.0555555555555554</v>
      </c>
      <c r="BN247" s="78">
        <f>IFERROR(Y247*I247/H247,"0")</f>
        <v>8.6999999999999993</v>
      </c>
      <c r="BO247" s="78">
        <f>IFERROR(1/J247*(X247/H247),"0")</f>
        <v>2.5720164609053499E-2</v>
      </c>
      <c r="BP247" s="78">
        <f>IFERROR(1/J247*(Y247/H247),"0")</f>
        <v>2.7777777777777776E-2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28.000000000000004</v>
      </c>
      <c r="Y248" s="55">
        <f>IFERROR(IF(X248="",0,CEILING((X248/$H248),1)*$H248),"")</f>
        <v>28.98</v>
      </c>
      <c r="Z248" s="41">
        <f>IFERROR(IF(Y248=0,"",ROUNDUP(Y248/H248,0)*0.0059),"")</f>
        <v>0.13569999999999999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32.222222222222221</v>
      </c>
      <c r="BN248" s="78">
        <f>IFERROR(Y248*I248/H248,"0")</f>
        <v>33.35</v>
      </c>
      <c r="BO248" s="78">
        <f>IFERROR(1/J248*(X248/H248),"0")</f>
        <v>0.102880658436214</v>
      </c>
      <c r="BP248" s="78">
        <f>IFERROR(1/J248*(Y248/H248),"0")</f>
        <v>0.10648148148148148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27.777777777777782</v>
      </c>
      <c r="Y249" s="43">
        <f>IFERROR(Y246/H246,"0")+IFERROR(Y247/H247,"0")+IFERROR(Y248/H248,"0")</f>
        <v>29</v>
      </c>
      <c r="Z249" s="43">
        <f>IFERROR(IF(Z246="",0,Z246),"0")+IFERROR(IF(Z247="",0,Z247),"0")+IFERROR(IF(Z248="",0,Z248),"0")</f>
        <v>0.17109999999999997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35.000000000000007</v>
      </c>
      <c r="Y250" s="43">
        <f>IFERROR(SUM(Y246:Y248),"0")</f>
        <v>36.54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450</v>
      </c>
      <c r="Y267" s="55">
        <f t="shared" ref="Y267:Y274" si="33">IFERROR(IF(X267="",0,CEILING((X267/$H267),1)*$H267),"")</f>
        <v>453.6</v>
      </c>
      <c r="Z267" s="41">
        <f>IFERROR(IF(Y267=0,"",ROUNDUP(Y267/H267,0)*0.00902),"")</f>
        <v>0.75768000000000002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465.83333333333331</v>
      </c>
      <c r="BN267" s="78">
        <f t="shared" ref="BN267:BN274" si="35">IFERROR(Y267*I267/H267,"0")</f>
        <v>469.56</v>
      </c>
      <c r="BO267" s="78">
        <f t="shared" ref="BO267:BO274" si="36">IFERROR(1/J267*(X267/H267),"0")</f>
        <v>0.63131313131313127</v>
      </c>
      <c r="BP267" s="78">
        <f t="shared" ref="BP267:BP274" si="37">IFERROR(1/J267*(Y267/H267),"0")</f>
        <v>0.63636363636363635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60</v>
      </c>
      <c r="Y268" s="55">
        <f t="shared" si="33"/>
        <v>64.800000000000011</v>
      </c>
      <c r="Z268" s="41">
        <f>IFERROR(IF(Y268=0,"",ROUNDUP(Y268/H268,0)*0.00902),"")</f>
        <v>0.10824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62.1111111111111</v>
      </c>
      <c r="BN268" s="78">
        <f t="shared" si="35"/>
        <v>67.08</v>
      </c>
      <c r="BO268" s="78">
        <f t="shared" si="36"/>
        <v>8.4175084175084181E-2</v>
      </c>
      <c r="BP268" s="78">
        <f t="shared" si="37"/>
        <v>9.0909090909090925E-2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100</v>
      </c>
      <c r="Y269" s="55">
        <f t="shared" si="33"/>
        <v>102.60000000000001</v>
      </c>
      <c r="Z269" s="41">
        <f>IFERROR(IF(Y269=0,"",ROUNDUP(Y269/H269,0)*0.00902),"")</f>
        <v>0.17138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103.5185185185185</v>
      </c>
      <c r="BN269" s="78">
        <f t="shared" si="35"/>
        <v>106.21</v>
      </c>
      <c r="BO269" s="78">
        <f t="shared" si="36"/>
        <v>0.14029180695847362</v>
      </c>
      <c r="BP269" s="78">
        <f t="shared" si="37"/>
        <v>0.14393939393939395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30</v>
      </c>
      <c r="Y270" s="55">
        <f t="shared" si="33"/>
        <v>32.400000000000006</v>
      </c>
      <c r="Z270" s="41">
        <f>IFERROR(IF(Y270=0,"",ROUNDUP(Y270/H270,0)*0.00902),"")</f>
        <v>5.4120000000000001E-2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31.05555555555555</v>
      </c>
      <c r="BN270" s="78">
        <f t="shared" si="35"/>
        <v>33.54</v>
      </c>
      <c r="BO270" s="78">
        <f t="shared" si="36"/>
        <v>4.208754208754209E-2</v>
      </c>
      <c r="BP270" s="78">
        <f t="shared" si="37"/>
        <v>4.5454545454545463E-2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105</v>
      </c>
      <c r="Y271" s="55">
        <f t="shared" si="33"/>
        <v>106.2</v>
      </c>
      <c r="Z271" s="41">
        <f>IFERROR(IF(Y271=0,"",ROUNDUP(Y271/H271,0)*0.00502),"")</f>
        <v>0.29618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112.58333333333333</v>
      </c>
      <c r="BN271" s="78">
        <f t="shared" si="35"/>
        <v>113.87</v>
      </c>
      <c r="BO271" s="78">
        <f t="shared" si="36"/>
        <v>0.2492877492877493</v>
      </c>
      <c r="BP271" s="78">
        <f t="shared" si="37"/>
        <v>0.25213675213675218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9</v>
      </c>
      <c r="Y274" s="55">
        <f t="shared" si="33"/>
        <v>9</v>
      </c>
      <c r="Z274" s="41">
        <f>IFERROR(IF(Y274=0,"",ROUNDUP(Y274/H274,0)*0.00502),"")</f>
        <v>2.5100000000000001E-2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9.4999999999999982</v>
      </c>
      <c r="BN274" s="78">
        <f t="shared" si="35"/>
        <v>9.4999999999999982</v>
      </c>
      <c r="BO274" s="78">
        <f t="shared" si="36"/>
        <v>2.1367521367521368E-2</v>
      </c>
      <c r="BP274" s="78">
        <f t="shared" si="37"/>
        <v>2.1367521367521368E-2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181.85185185185185</v>
      </c>
      <c r="Y275" s="43">
        <f>IFERROR(Y267/H267,"0")+IFERROR(Y268/H268,"0")+IFERROR(Y269/H269,"0")+IFERROR(Y270/H270,"0")+IFERROR(Y271/H271,"0")+IFERROR(Y272/H272,"0")+IFERROR(Y273/H273,"0")+IFERROR(Y274/H274,"0")</f>
        <v>185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1.4126999999999998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754</v>
      </c>
      <c r="Y276" s="43">
        <f>IFERROR(SUM(Y267:Y274),"0")</f>
        <v>768.60000000000014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200</v>
      </c>
      <c r="Y280" s="55">
        <f t="shared" si="38"/>
        <v>200.1</v>
      </c>
      <c r="Z280" s="41">
        <f>IFERROR(IF(Y280=0,"",ROUNDUP(Y280/H280,0)*0.01898),"")</f>
        <v>0.43653999999999998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211.35632183908049</v>
      </c>
      <c r="BN280" s="78">
        <f t="shared" si="40"/>
        <v>211.46200000000005</v>
      </c>
      <c r="BO280" s="78">
        <f t="shared" si="41"/>
        <v>0.35919540229885061</v>
      </c>
      <c r="BP280" s="78">
        <f t="shared" si="42"/>
        <v>0.359375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600</v>
      </c>
      <c r="Y281" s="55">
        <f t="shared" si="38"/>
        <v>600</v>
      </c>
      <c r="Z281" s="41">
        <f>IFERROR(IF(Y281=0,"",ROUNDUP(Y281/H281,0)*0.00651),"")</f>
        <v>1.6274999999999999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667.5</v>
      </c>
      <c r="BN281" s="78">
        <f t="shared" si="40"/>
        <v>667.5</v>
      </c>
      <c r="BO281" s="78">
        <f t="shared" si="41"/>
        <v>1.3736263736263736</v>
      </c>
      <c r="BP281" s="78">
        <f t="shared" si="42"/>
        <v>1.3736263736263736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560</v>
      </c>
      <c r="Y284" s="55">
        <f t="shared" si="38"/>
        <v>561.6</v>
      </c>
      <c r="Z284" s="41">
        <f>IFERROR(IF(Y284=0,"",ROUNDUP(Y284/H284,0)*0.00651),"")</f>
        <v>1.5233400000000001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618.80000000000007</v>
      </c>
      <c r="BN284" s="78">
        <f t="shared" si="40"/>
        <v>620.5680000000001</v>
      </c>
      <c r="BO284" s="78">
        <f t="shared" si="41"/>
        <v>1.2820512820512822</v>
      </c>
      <c r="BP284" s="78">
        <f t="shared" si="42"/>
        <v>1.285714285714286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100</v>
      </c>
      <c r="Y287" s="55">
        <f t="shared" si="38"/>
        <v>100.8</v>
      </c>
      <c r="Z287" s="41">
        <f>IFERROR(IF(Y287=0,"",ROUNDUP(Y287/H287,0)*0.00651),"")</f>
        <v>0.27342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110.5</v>
      </c>
      <c r="BN287" s="78">
        <f t="shared" si="40"/>
        <v>111.384</v>
      </c>
      <c r="BO287" s="78">
        <f t="shared" si="41"/>
        <v>0.22893772893772898</v>
      </c>
      <c r="BP287" s="78">
        <f t="shared" si="42"/>
        <v>0.23076923076923078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200</v>
      </c>
      <c r="Y288" s="55">
        <f t="shared" si="38"/>
        <v>201.6</v>
      </c>
      <c r="Z288" s="41">
        <f>IFERROR(IF(Y288=0,"",ROUNDUP(Y288/H288,0)*0.00651),"")</f>
        <v>0.54683999999999999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221.50000000000003</v>
      </c>
      <c r="BN288" s="78">
        <f t="shared" si="40"/>
        <v>223.27200000000002</v>
      </c>
      <c r="BO288" s="78">
        <f t="shared" si="41"/>
        <v>0.45787545787545797</v>
      </c>
      <c r="BP288" s="78">
        <f t="shared" si="42"/>
        <v>0.46153846153846156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631.32183908045977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633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4.4076400000000007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1660</v>
      </c>
      <c r="Y291" s="43">
        <f>IFERROR(SUM(Y278:Y289),"0")</f>
        <v>1664.1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40</v>
      </c>
      <c r="Y293" s="55">
        <f>IFERROR(IF(X293="",0,CEILING((X293/$H293),1)*$H293),"")</f>
        <v>40.799999999999997</v>
      </c>
      <c r="Z293" s="41">
        <f>IFERROR(IF(Y293=0,"",ROUNDUP(Y293/H293,0)*0.00651),"")</f>
        <v>0.11067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44.20000000000001</v>
      </c>
      <c r="BN293" s="78">
        <f>IFERROR(Y293*I293/H293,"0")</f>
        <v>45.084000000000003</v>
      </c>
      <c r="BO293" s="78">
        <f>IFERROR(1/J293*(X293/H293),"0")</f>
        <v>9.1575091575091583E-2</v>
      </c>
      <c r="BP293" s="78">
        <f>IFERROR(1/J293*(Y293/H293),"0")</f>
        <v>9.3406593406593408E-2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80</v>
      </c>
      <c r="Y294" s="55">
        <f>IFERROR(IF(X294="",0,CEILING((X294/$H294),1)*$H294),"")</f>
        <v>81.599999999999994</v>
      </c>
      <c r="Z294" s="41">
        <f>IFERROR(IF(Y294=0,"",ROUNDUP(Y294/H294,0)*0.00651),"")</f>
        <v>0.22134000000000001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88.40000000000002</v>
      </c>
      <c r="BN294" s="78">
        <f>IFERROR(Y294*I294/H294,"0")</f>
        <v>90.168000000000006</v>
      </c>
      <c r="BO294" s="78">
        <f>IFERROR(1/J294*(X294/H294),"0")</f>
        <v>0.18315018315018317</v>
      </c>
      <c r="BP294" s="78">
        <f>IFERROR(1/J294*(Y294/H294),"0")</f>
        <v>0.18681318681318682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50</v>
      </c>
      <c r="Y295" s="43">
        <f>IFERROR(Y293/H293,"0")+IFERROR(Y294/H294,"0")</f>
        <v>51</v>
      </c>
      <c r="Z295" s="43">
        <f>IFERROR(IF(Z293="",0,Z293),"0")+IFERROR(IF(Z294="",0,Z294),"0")</f>
        <v>0.33201000000000003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120</v>
      </c>
      <c r="Y296" s="43">
        <f>IFERROR(SUM(Y293:Y294),"0")</f>
        <v>122.39999999999999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150</v>
      </c>
      <c r="Y301" s="55">
        <f t="shared" si="43"/>
        <v>150.79999999999998</v>
      </c>
      <c r="Z301" s="41">
        <f>IFERROR(IF(Y301=0,"",ROUNDUP(Y301/H301,0)*0.01898),"")</f>
        <v>0.24674000000000001</v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155.30172413793105</v>
      </c>
      <c r="BN301" s="78">
        <f t="shared" si="45"/>
        <v>156.12999999999997</v>
      </c>
      <c r="BO301" s="78">
        <f t="shared" si="46"/>
        <v>0.20204741379310345</v>
      </c>
      <c r="BP301" s="78">
        <f t="shared" si="47"/>
        <v>0.20312499999999997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40</v>
      </c>
      <c r="Y302" s="55">
        <f t="shared" si="43"/>
        <v>40</v>
      </c>
      <c r="Z302" s="41">
        <f>IFERROR(IF(Y302=0,"",ROUNDUP(Y302/H302,0)*0.00902),"")</f>
        <v>9.0200000000000002E-2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41.900000000000006</v>
      </c>
      <c r="BN302" s="78">
        <f t="shared" si="45"/>
        <v>41.900000000000006</v>
      </c>
      <c r="BO302" s="78">
        <f t="shared" si="46"/>
        <v>7.575757575757576E-2</v>
      </c>
      <c r="BP302" s="78">
        <f t="shared" si="47"/>
        <v>7.575757575757576E-2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40</v>
      </c>
      <c r="Y305" s="55">
        <f t="shared" si="43"/>
        <v>40</v>
      </c>
      <c r="Z305" s="41">
        <f>IFERROR(IF(Y305=0,"",ROUNDUP(Y305/H305,0)*0.00902),"")</f>
        <v>9.0200000000000002E-2</v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41.900000000000006</v>
      </c>
      <c r="BN305" s="78">
        <f t="shared" si="45"/>
        <v>41.900000000000006</v>
      </c>
      <c r="BO305" s="78">
        <f t="shared" si="46"/>
        <v>7.575757575757576E-2</v>
      </c>
      <c r="BP305" s="78">
        <f t="shared" si="47"/>
        <v>7.575757575757576E-2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32.931034482758619</v>
      </c>
      <c r="Y306" s="43">
        <f>IFERROR(Y299/H299,"0")+IFERROR(Y300/H300,"0")+IFERROR(Y301/H301,"0")+IFERROR(Y302/H302,"0")+IFERROR(Y303/H303,"0")+IFERROR(Y304/H304,"0")+IFERROR(Y305/H305,"0")</f>
        <v>33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0.42714000000000002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230</v>
      </c>
      <c r="Y307" s="43">
        <f>IFERROR(SUM(Y299:Y305),"0")</f>
        <v>230.79999999999998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49.5</v>
      </c>
      <c r="Y309" s="55">
        <f>IFERROR(IF(X309="",0,CEILING((X309/$H309),1)*$H309),"")</f>
        <v>49.5</v>
      </c>
      <c r="Z309" s="41">
        <f>IFERROR(IF(Y309=0,"",ROUNDUP(Y309/H309,0)*0.00502),"")</f>
        <v>0.1255</v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52.000000000000007</v>
      </c>
      <c r="BN309" s="78">
        <f>IFERROR(Y309*I309/H309,"0")</f>
        <v>52.000000000000007</v>
      </c>
      <c r="BO309" s="78">
        <f>IFERROR(1/J309*(X309/H309),"0")</f>
        <v>0.10683760683760685</v>
      </c>
      <c r="BP309" s="78">
        <f>IFERROR(1/J309*(Y309/H309),"0")</f>
        <v>0.10683760683760685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25</v>
      </c>
      <c r="Y310" s="43">
        <f>IFERROR(Y309/H309,"0")</f>
        <v>25</v>
      </c>
      <c r="Z310" s="43">
        <f>IFERROR(IF(Z309="",0,Z309),"0")</f>
        <v>0.1255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49.5</v>
      </c>
      <c r="Y311" s="43">
        <f>IFERROR(SUM(Y309:Y309),"0")</f>
        <v>49.5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12</v>
      </c>
      <c r="Y313" s="55">
        <f>IFERROR(IF(X313="",0,CEILING((X313/$H313),1)*$H313),"")</f>
        <v>12.6</v>
      </c>
      <c r="Z313" s="41">
        <f>IFERROR(IF(Y313=0,"",ROUNDUP(Y313/H313,0)*0.0059),"")</f>
        <v>4.1299999999999996E-2</v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13.166666666666668</v>
      </c>
      <c r="BN313" s="78">
        <f>IFERROR(Y313*I313/H313,"0")</f>
        <v>13.825000000000001</v>
      </c>
      <c r="BO313" s="78">
        <f>IFERROR(1/J313*(X313/H313),"0")</f>
        <v>3.0864197530864192E-2</v>
      </c>
      <c r="BP313" s="78">
        <f>IFERROR(1/J313*(Y313/H313),"0")</f>
        <v>3.2407407407407406E-2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6.6666666666666661</v>
      </c>
      <c r="Y314" s="43">
        <f>IFERROR(Y313/H313,"0")</f>
        <v>7</v>
      </c>
      <c r="Z314" s="43">
        <f>IFERROR(IF(Z313="",0,Z313),"0")</f>
        <v>4.1299999999999996E-2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12</v>
      </c>
      <c r="Y315" s="43">
        <f>IFERROR(SUM(Y313:Y313),"0")</f>
        <v>12.6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40</v>
      </c>
      <c r="Y334" s="55">
        <f>IFERROR(IF(X334="",0,CEILING((X334/$H334),1)*$H334),"")</f>
        <v>40.799999999999997</v>
      </c>
      <c r="Z334" s="41">
        <f>IFERROR(IF(Y334=0,"",ROUNDUP(Y334/H334,0)*0.00651),"")</f>
        <v>0.11067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44.20000000000001</v>
      </c>
      <c r="BN334" s="78">
        <f>IFERROR(Y334*I334/H334,"0")</f>
        <v>45.084000000000003</v>
      </c>
      <c r="BO334" s="78">
        <f>IFERROR(1/J334*(X334/H334),"0")</f>
        <v>9.1575091575091583E-2</v>
      </c>
      <c r="BP334" s="78">
        <f>IFERROR(1/J334*(Y334/H334),"0")</f>
        <v>9.3406593406593408E-2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200</v>
      </c>
      <c r="Y335" s="55">
        <f>IFERROR(IF(X335="",0,CEILING((X335/$H335),1)*$H335),"")</f>
        <v>201.6</v>
      </c>
      <c r="Z335" s="41">
        <f>IFERROR(IF(Y335=0,"",ROUNDUP(Y335/H335,0)*0.00651),"")</f>
        <v>0.54683999999999999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215</v>
      </c>
      <c r="BN335" s="78">
        <f>IFERROR(Y335*I335/H335,"0")</f>
        <v>216.72000000000003</v>
      </c>
      <c r="BO335" s="78">
        <f>IFERROR(1/J335*(X335/H335),"0")</f>
        <v>0.45787545787545797</v>
      </c>
      <c r="BP335" s="78">
        <f>IFERROR(1/J335*(Y335/H335),"0")</f>
        <v>0.46153846153846156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100.00000000000001</v>
      </c>
      <c r="Y336" s="43">
        <f>IFERROR(Y333/H333,"0")+IFERROR(Y334/H334,"0")+IFERROR(Y335/H335,"0")</f>
        <v>101</v>
      </c>
      <c r="Z336" s="43">
        <f>IFERROR(IF(Z333="",0,Z333),"0")+IFERROR(IF(Z334="",0,Z334),"0")+IFERROR(IF(Z335="",0,Z335),"0")</f>
        <v>0.65751000000000004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240</v>
      </c>
      <c r="Y337" s="43">
        <f>IFERROR(SUM(Y333:Y335),"0")</f>
        <v>242.39999999999998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250</v>
      </c>
      <c r="Y355" s="55">
        <f>IFERROR(IF(X355="",0,CEILING((X355/$H355),1)*$H355),"")</f>
        <v>257.39999999999998</v>
      </c>
      <c r="Z355" s="41">
        <f>IFERROR(IF(Y355=0,"",ROUNDUP(Y355/H355,0)*0.01898),"")</f>
        <v>0.62634000000000001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263.14102564102564</v>
      </c>
      <c r="BN355" s="78">
        <f>IFERROR(Y355*I355/H355,"0")</f>
        <v>270.93</v>
      </c>
      <c r="BO355" s="78">
        <f>IFERROR(1/J355*(X355/H355),"0")</f>
        <v>0.50080128205128205</v>
      </c>
      <c r="BP355" s="78">
        <f>IFERROR(1/J355*(Y355/H355),"0")</f>
        <v>0.515625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190</v>
      </c>
      <c r="Y356" s="55">
        <f>IFERROR(IF(X356="",0,CEILING((X356/$H356),1)*$H356),"")</f>
        <v>195</v>
      </c>
      <c r="Z356" s="41">
        <f>IFERROR(IF(Y356=0,"",ROUNDUP(Y356/H356,0)*0.01898),"")</f>
        <v>0.47450000000000003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199.9871794871795</v>
      </c>
      <c r="BN356" s="78">
        <f>IFERROR(Y356*I356/H356,"0")</f>
        <v>205.25000000000003</v>
      </c>
      <c r="BO356" s="78">
        <f>IFERROR(1/J356*(X356/H356),"0")</f>
        <v>0.38060897435897439</v>
      </c>
      <c r="BP356" s="78">
        <f>IFERROR(1/J356*(Y356/H356),"0")</f>
        <v>0.390625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56.410256410256409</v>
      </c>
      <c r="Y357" s="43">
        <f>IFERROR(Y354/H354,"0")+IFERROR(Y355/H355,"0")+IFERROR(Y356/H356,"0")</f>
        <v>58</v>
      </c>
      <c r="Z357" s="43">
        <f>IFERROR(IF(Z354="",0,Z354),"0")+IFERROR(IF(Z355="",0,Z355),"0")+IFERROR(IF(Z356="",0,Z356),"0")</f>
        <v>1.10084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440</v>
      </c>
      <c r="Y358" s="43">
        <f>IFERROR(SUM(Y354:Y356),"0")</f>
        <v>452.4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875</v>
      </c>
      <c r="Y374" s="55">
        <f t="shared" si="53"/>
        <v>875.7</v>
      </c>
      <c r="Z374" s="41">
        <f>IFERROR(IF(Y374=0,"",ROUNDUP(Y374/H374,0)*0.00502),"")</f>
        <v>2.09334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916.66666666666674</v>
      </c>
      <c r="BN374" s="78">
        <f t="shared" si="55"/>
        <v>917.40000000000009</v>
      </c>
      <c r="BO374" s="78">
        <f t="shared" si="56"/>
        <v>1.7806267806267806</v>
      </c>
      <c r="BP374" s="78">
        <f t="shared" si="57"/>
        <v>1.7820512820512822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15</v>
      </c>
      <c r="Y376" s="55">
        <f t="shared" si="53"/>
        <v>16.2</v>
      </c>
      <c r="Z376" s="41">
        <f>IFERROR(IF(Y376=0,"",ROUNDUP(Y376/H376,0)*0.00651),"")</f>
        <v>5.8590000000000003E-2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16.900000000000002</v>
      </c>
      <c r="BN376" s="78">
        <f t="shared" si="55"/>
        <v>18.251999999999999</v>
      </c>
      <c r="BO376" s="78">
        <f t="shared" si="56"/>
        <v>4.5787545787545791E-2</v>
      </c>
      <c r="BP376" s="78">
        <f t="shared" si="57"/>
        <v>4.9450549450549455E-2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424.99999999999994</v>
      </c>
      <c r="Y377" s="43">
        <f>IFERROR(Y370/H370,"0")+IFERROR(Y371/H371,"0")+IFERROR(Y372/H372,"0")+IFERROR(Y373/H373,"0")+IFERROR(Y374/H374,"0")+IFERROR(Y375/H375,"0")+IFERROR(Y376/H376,"0")</f>
        <v>426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2.1519300000000001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890</v>
      </c>
      <c r="Y378" s="43">
        <f>IFERROR(SUM(Y370:Y376),"0")</f>
        <v>891.90000000000009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450</v>
      </c>
      <c r="Y387" s="55">
        <f>IFERROR(IF(X387="",0,CEILING((X387/$H387),1)*$H387),"")</f>
        <v>453.6</v>
      </c>
      <c r="Z387" s="41">
        <f>IFERROR(IF(Y387=0,"",ROUNDUP(Y387/H387,0)*0.01898),"")</f>
        <v>1.0249200000000001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476.46428571428572</v>
      </c>
      <c r="BN387" s="78">
        <f>IFERROR(Y387*I387/H387,"0")</f>
        <v>480.27600000000001</v>
      </c>
      <c r="BO387" s="78">
        <f>IFERROR(1/J387*(X387/H387),"0")</f>
        <v>0.8370535714285714</v>
      </c>
      <c r="BP387" s="78">
        <f>IFERROR(1/J387*(Y387/H387),"0")</f>
        <v>0.84375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400</v>
      </c>
      <c r="Y388" s="55">
        <f>IFERROR(IF(X388="",0,CEILING((X388/$H388),1)*$H388),"")</f>
        <v>405.59999999999997</v>
      </c>
      <c r="Z388" s="41">
        <f>IFERROR(IF(Y388=0,"",ROUNDUP(Y388/H388,0)*0.01898),"")</f>
        <v>0.98696000000000006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425.33333333333337</v>
      </c>
      <c r="BN388" s="78">
        <f>IFERROR(Y388*I388/H388,"0")</f>
        <v>431.28799999999995</v>
      </c>
      <c r="BO388" s="78">
        <f>IFERROR(1/J388*(X388/H388),"0")</f>
        <v>0.80128205128205132</v>
      </c>
      <c r="BP388" s="78">
        <f>IFERROR(1/J388*(Y388/H388),"0")</f>
        <v>0.8125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104.85347985347985</v>
      </c>
      <c r="Y390" s="43">
        <f>IFERROR(Y387/H387,"0")+IFERROR(Y388/H388,"0")+IFERROR(Y389/H389,"0")</f>
        <v>106</v>
      </c>
      <c r="Z390" s="43">
        <f>IFERROR(IF(Z387="",0,Z387),"0")+IFERROR(IF(Z388="",0,Z388),"0")+IFERROR(IF(Z389="",0,Z389),"0")</f>
        <v>2.0118800000000001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850</v>
      </c>
      <c r="Y391" s="43">
        <f>IFERROR(SUM(Y387:Y389),"0")</f>
        <v>859.2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30</v>
      </c>
      <c r="Y406" s="55">
        <f>IFERROR(IF(X406="",0,CEILING((X406/$H406),1)*$H406),"")</f>
        <v>30</v>
      </c>
      <c r="Z406" s="41">
        <f>IFERROR(IF(Y406=0,"",ROUNDUP(Y406/H406,0)*0.0045),"")</f>
        <v>4.4999999999999998E-2</v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32.200000000000003</v>
      </c>
      <c r="BN406" s="78">
        <f>IFERROR(Y406*I406/H406,"0")</f>
        <v>32.200000000000003</v>
      </c>
      <c r="BO406" s="78">
        <f>IFERROR(1/J406*(X406/H406),"0")</f>
        <v>4.4642857142857137E-2</v>
      </c>
      <c r="BP406" s="78">
        <f>IFERROR(1/J406*(Y406/H406),"0")</f>
        <v>4.4642857142857137E-2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65</v>
      </c>
      <c r="Y407" s="55">
        <f>IFERROR(IF(X407="",0,CEILING((X407/$H407),1)*$H407),"")</f>
        <v>66.3</v>
      </c>
      <c r="Z407" s="41">
        <f>IFERROR(IF(Y407=0,"",ROUNDUP(Y407/H407,0)*0.006),"")</f>
        <v>0.10200000000000001</v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69.5</v>
      </c>
      <c r="BN407" s="78">
        <f>IFERROR(Y407*I407/H407,"0")</f>
        <v>70.89</v>
      </c>
      <c r="BO407" s="78">
        <f>IFERROR(1/J407*(X407/H407),"0")</f>
        <v>0.11574074074074074</v>
      </c>
      <c r="BP407" s="78">
        <f>IFERROR(1/J407*(Y407/H407),"0")</f>
        <v>0.11805555555555555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30</v>
      </c>
      <c r="Y408" s="55">
        <f>IFERROR(IF(X408="",0,CEILING((X408/$H408),1)*$H408),"")</f>
        <v>30</v>
      </c>
      <c r="Z408" s="41">
        <f>IFERROR(IF(Y408=0,"",ROUNDUP(Y408/H408,0)*0.0045),"")</f>
        <v>4.4999999999999998E-2</v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32.200000000000003</v>
      </c>
      <c r="BN408" s="78">
        <f>IFERROR(Y408*I408/H408,"0")</f>
        <v>32.200000000000003</v>
      </c>
      <c r="BO408" s="78">
        <f>IFERROR(1/J408*(X408/H408),"0")</f>
        <v>4.4642857142857137E-2</v>
      </c>
      <c r="BP408" s="78">
        <f>IFERROR(1/J408*(Y408/H408),"0")</f>
        <v>4.4642857142857137E-2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36.666666666666671</v>
      </c>
      <c r="Y409" s="43">
        <f>IFERROR(Y406/H406,"0")+IFERROR(Y407/H407,"0")+IFERROR(Y408/H408,"0")</f>
        <v>37</v>
      </c>
      <c r="Z409" s="43">
        <f>IFERROR(IF(Z406="",0,Z406),"0")+IFERROR(IF(Z407="",0,Z407),"0")+IFERROR(IF(Z408="",0,Z408),"0")</f>
        <v>0.192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125</v>
      </c>
      <c r="Y410" s="43">
        <f>IFERROR(SUM(Y406:Y408),"0")</f>
        <v>126.3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500</v>
      </c>
      <c r="Y431" s="55">
        <f t="shared" si="58"/>
        <v>510</v>
      </c>
      <c r="Z431" s="41">
        <f>IFERROR(IF(Y431=0,"",ROUNDUP(Y431/H431,0)*0.02175),"")</f>
        <v>0.73949999999999994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515.66666666666663</v>
      </c>
      <c r="BN431" s="78">
        <f t="shared" si="60"/>
        <v>525.98</v>
      </c>
      <c r="BO431" s="78">
        <f t="shared" si="61"/>
        <v>0.69444444444444442</v>
      </c>
      <c r="BP431" s="78">
        <f t="shared" si="62"/>
        <v>0.70833333333333326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33.333333333333336</v>
      </c>
      <c r="Y435" s="43">
        <f>IFERROR(Y427/H427,"0")+IFERROR(Y428/H428,"0")+IFERROR(Y429/H429,"0")+IFERROR(Y430/H430,"0")+IFERROR(Y431/H431,"0")+IFERROR(Y432/H432,"0")+IFERROR(Y433/H433,"0")+IFERROR(Y434/H434,"0")</f>
        <v>34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0.73949999999999994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500</v>
      </c>
      <c r="Y436" s="43">
        <f>IFERROR(SUM(Y427:Y434),"0")</f>
        <v>510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50</v>
      </c>
      <c r="Y445" s="55">
        <f>IFERROR(IF(X445="",0,CEILING((X445/$H445),1)*$H445),"")</f>
        <v>54</v>
      </c>
      <c r="Z445" s="41">
        <f>IFERROR(IF(Y445=0,"",ROUNDUP(Y445/H445,0)*0.01898),"")</f>
        <v>0.11388000000000001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52.74444444444444</v>
      </c>
      <c r="BN445" s="78">
        <f>IFERROR(Y445*I445/H445,"0")</f>
        <v>56.963999999999992</v>
      </c>
      <c r="BO445" s="78">
        <f>IFERROR(1/J445*(X445/H445),"0")</f>
        <v>8.6805555555555552E-2</v>
      </c>
      <c r="BP445" s="78">
        <f>IFERROR(1/J445*(Y445/H445),"0")</f>
        <v>9.375E-2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5.5555555555555554</v>
      </c>
      <c r="Y447" s="43">
        <f>IFERROR(Y444/H444,"0")+IFERROR(Y445/H445,"0")+IFERROR(Y446/H446,"0")</f>
        <v>6</v>
      </c>
      <c r="Z447" s="43">
        <f>IFERROR(IF(Z444="",0,Z444),"0")+IFERROR(IF(Z445="",0,Z445),"0")+IFERROR(IF(Z446="",0,Z446),"0")</f>
        <v>0.11388000000000001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50</v>
      </c>
      <c r="Y448" s="43">
        <f>IFERROR(SUM(Y444:Y446),"0")</f>
        <v>54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40</v>
      </c>
      <c r="Y451" s="55">
        <f>IFERROR(IF(X451="",0,CEILING((X451/$H451),1)*$H451),"")</f>
        <v>45</v>
      </c>
      <c r="Z451" s="41">
        <f>IFERROR(IF(Y451=0,"",ROUNDUP(Y451/H451,0)*0.01898),"")</f>
        <v>9.4899999999999998E-2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42.195555555555558</v>
      </c>
      <c r="BN451" s="78">
        <f>IFERROR(Y451*I451/H451,"0")</f>
        <v>47.47</v>
      </c>
      <c r="BO451" s="78">
        <f>IFERROR(1/J451*(X451/H451),"0")</f>
        <v>6.9444444444444448E-2</v>
      </c>
      <c r="BP451" s="78">
        <f>IFERROR(1/J451*(Y451/H451),"0")</f>
        <v>7.8125E-2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4.4444444444444446</v>
      </c>
      <c r="Y452" s="43">
        <f>IFERROR(Y450/H450,"0")+IFERROR(Y451/H451,"0")</f>
        <v>5</v>
      </c>
      <c r="Z452" s="43">
        <f>IFERROR(IF(Z450="",0,Z450),"0")+IFERROR(IF(Z451="",0,Z451),"0")</f>
        <v>9.4899999999999998E-2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40</v>
      </c>
      <c r="Y453" s="43">
        <f>IFERROR(SUM(Y450:Y451),"0")</f>
        <v>45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30</v>
      </c>
      <c r="Y456" s="55">
        <f>IFERROR(IF(X456="",0,CEILING((X456/$H456),1)*$H456),"")</f>
        <v>36</v>
      </c>
      <c r="Z456" s="41">
        <f>IFERROR(IF(Y456=0,"",ROUNDUP(Y456/H456,0)*0.01898),"")</f>
        <v>5.6940000000000004E-2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31.025000000000002</v>
      </c>
      <c r="BN456" s="78">
        <f>IFERROR(Y456*I456/H456,"0")</f>
        <v>37.229999999999997</v>
      </c>
      <c r="BO456" s="78">
        <f>IFERROR(1/J456*(X456/H456),"0")</f>
        <v>3.90625E-2</v>
      </c>
      <c r="BP456" s="78">
        <f>IFERROR(1/J456*(Y456/H456),"0")</f>
        <v>4.6875E-2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2.5</v>
      </c>
      <c r="Y458" s="43">
        <f>IFERROR(Y456/H456,"0")+IFERROR(Y457/H457,"0")</f>
        <v>3</v>
      </c>
      <c r="Z458" s="43">
        <f>IFERROR(IF(Z456="",0,Z456),"0")+IFERROR(IF(Z457="",0,Z457),"0")</f>
        <v>5.6940000000000004E-2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30</v>
      </c>
      <c r="Y459" s="43">
        <f>IFERROR(SUM(Y456:Y457),"0")</f>
        <v>36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30</v>
      </c>
      <c r="Y465" s="55">
        <f>IFERROR(IF(X465="",0,CEILING((X465/$H465),1)*$H465),"")</f>
        <v>36</v>
      </c>
      <c r="Z465" s="41">
        <f>IFERROR(IF(Y465=0,"",ROUNDUP(Y465/H465,0)*0.01898),"")</f>
        <v>7.5920000000000001E-2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31.646666666666665</v>
      </c>
      <c r="BN465" s="78">
        <f>IFERROR(Y465*I465/H465,"0")</f>
        <v>37.975999999999999</v>
      </c>
      <c r="BO465" s="78">
        <f>IFERROR(1/J465*(X465/H465),"0")</f>
        <v>5.2083333333333336E-2</v>
      </c>
      <c r="BP465" s="78">
        <f>IFERROR(1/J465*(Y465/H465),"0")</f>
        <v>6.25E-2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3.3333333333333335</v>
      </c>
      <c r="Y468" s="43">
        <f>IFERROR(Y465/H465,"0")+IFERROR(Y466/H466,"0")+IFERROR(Y467/H467,"0")</f>
        <v>4</v>
      </c>
      <c r="Z468" s="43">
        <f>IFERROR(IF(Z465="",0,Z465),"0")+IFERROR(IF(Z466="",0,Z466),"0")+IFERROR(IF(Z467="",0,Z467),"0")</f>
        <v>7.5920000000000001E-2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30</v>
      </c>
      <c r="Y469" s="43">
        <f>IFERROR(SUM(Y465:Y467),"0")</f>
        <v>36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80</v>
      </c>
      <c r="Y500" s="55">
        <f t="shared" ref="Y500:Y508" si="68">IFERROR(IF(X500="",0,CEILING((X500/$H500),1)*$H500),"")</f>
        <v>84.48</v>
      </c>
      <c r="Z500" s="41">
        <f t="shared" ref="Z500:Z505" si="69">IFERROR(IF(Y500=0,"",ROUNDUP(Y500/H500,0)*0.01196),"")</f>
        <v>0.19136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85.303030303030297</v>
      </c>
      <c r="BN500" s="78">
        <f t="shared" ref="BN500:BN508" si="71">IFERROR(Y500*I500/H500,"0")</f>
        <v>90.08</v>
      </c>
      <c r="BO500" s="78">
        <f t="shared" ref="BO500:BO508" si="72">IFERROR(1/J500*(X500/H500),"0")</f>
        <v>0.14568764568764569</v>
      </c>
      <c r="BP500" s="78">
        <f t="shared" ref="BP500:BP508" si="73">IFERROR(1/J500*(Y500/H500),"0")</f>
        <v>0.15384615384615385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550</v>
      </c>
      <c r="Y505" s="55">
        <f t="shared" si="68"/>
        <v>554.4</v>
      </c>
      <c r="Z505" s="41">
        <f t="shared" si="69"/>
        <v>1.2558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586.45833333333326</v>
      </c>
      <c r="BN505" s="78">
        <f t="shared" si="71"/>
        <v>591.15</v>
      </c>
      <c r="BO505" s="78">
        <f t="shared" si="72"/>
        <v>1.0016025641025641</v>
      </c>
      <c r="BP505" s="78">
        <f t="shared" si="73"/>
        <v>1.0096153846153846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330</v>
      </c>
      <c r="Y508" s="55">
        <f t="shared" si="68"/>
        <v>331.2</v>
      </c>
      <c r="Z508" s="41">
        <f>IFERROR(IF(Y508=0,"",ROUNDUP(Y508/H508,0)*0.00902),"")</f>
        <v>0.62238000000000004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475.06250000000006</v>
      </c>
      <c r="BN508" s="78">
        <f t="shared" si="71"/>
        <v>476.79</v>
      </c>
      <c r="BO508" s="78">
        <f t="shared" si="72"/>
        <v>0.52083333333333337</v>
      </c>
      <c r="BP508" s="78">
        <f t="shared" si="73"/>
        <v>0.52272727272727271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188.06818181818181</v>
      </c>
      <c r="Y509" s="43">
        <f>IFERROR(Y500/H500,"0")+IFERROR(Y501/H501,"0")+IFERROR(Y502/H502,"0")+IFERROR(Y503/H503,"0")+IFERROR(Y504/H504,"0")+IFERROR(Y505/H505,"0")+IFERROR(Y506/H506,"0")+IFERROR(Y507/H507,"0")+IFERROR(Y508/H508,"0")</f>
        <v>190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2.0695399999999999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960</v>
      </c>
      <c r="Y510" s="43">
        <f>IFERROR(SUM(Y500:Y508),"0")</f>
        <v>970.07999999999993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500</v>
      </c>
      <c r="Y512" s="55">
        <f>IFERROR(IF(X512="",0,CEILING((X512/$H512),1)*$H512),"")</f>
        <v>501.6</v>
      </c>
      <c r="Z512" s="41">
        <f>IFERROR(IF(Y512=0,"",ROUNDUP(Y512/H512,0)*0.01196),"")</f>
        <v>1.1362000000000001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533.14393939393938</v>
      </c>
      <c r="BN512" s="78">
        <f>IFERROR(Y512*I512/H512,"0")</f>
        <v>534.85</v>
      </c>
      <c r="BO512" s="78">
        <f>IFERROR(1/J512*(X512/H512),"0")</f>
        <v>0.91054778554778548</v>
      </c>
      <c r="BP512" s="78">
        <f>IFERROR(1/J512*(Y512/H512),"0")</f>
        <v>0.91346153846153855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120</v>
      </c>
      <c r="Y514" s="55">
        <f>IFERROR(IF(X514="",0,CEILING((X514/$H514),1)*$H514),"")</f>
        <v>120</v>
      </c>
      <c r="Z514" s="41">
        <f>IFERROR(IF(Y514=0,"",ROUNDUP(Y514/H514,0)*0.00902),"")</f>
        <v>0.22550000000000001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172.75000000000003</v>
      </c>
      <c r="BN514" s="78">
        <f>IFERROR(Y514*I514/H514,"0")</f>
        <v>172.75000000000003</v>
      </c>
      <c r="BO514" s="78">
        <f>IFERROR(1/J514*(X514/H514),"0")</f>
        <v>0.18939393939393939</v>
      </c>
      <c r="BP514" s="78">
        <f>IFERROR(1/J514*(Y514/H514),"0")</f>
        <v>0.18939393939393939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119.69696969696969</v>
      </c>
      <c r="Y515" s="43">
        <f>IFERROR(Y512/H512,"0")+IFERROR(Y513/H513,"0")+IFERROR(Y514/H514,"0")</f>
        <v>120</v>
      </c>
      <c r="Z515" s="43">
        <f>IFERROR(IF(Z512="",0,Z512),"0")+IFERROR(IF(Z513="",0,Z513),"0")+IFERROR(IF(Z514="",0,Z514),"0")</f>
        <v>1.3617000000000001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620</v>
      </c>
      <c r="Y516" s="43">
        <f>IFERROR(SUM(Y512:Y514),"0")</f>
        <v>621.6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40</v>
      </c>
      <c r="Y518" s="55">
        <f t="shared" ref="Y518:Y524" si="74">IFERROR(IF(X518="",0,CEILING((X518/$H518),1)*$H518),"")</f>
        <v>42.24</v>
      </c>
      <c r="Z518" s="41">
        <f>IFERROR(IF(Y518=0,"",ROUNDUP(Y518/H518,0)*0.01196),"")</f>
        <v>9.5680000000000001E-2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42.651515151515149</v>
      </c>
      <c r="BN518" s="78">
        <f t="shared" ref="BN518:BN524" si="76">IFERROR(Y518*I518/H518,"0")</f>
        <v>45.04</v>
      </c>
      <c r="BO518" s="78">
        <f t="shared" ref="BO518:BO524" si="77">IFERROR(1/J518*(X518/H518),"0")</f>
        <v>7.2843822843822847E-2</v>
      </c>
      <c r="BP518" s="78">
        <f t="shared" ref="BP518:BP524" si="78">IFERROR(1/J518*(Y518/H518),"0")</f>
        <v>7.6923076923076927E-2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120</v>
      </c>
      <c r="Y519" s="55">
        <f t="shared" si="74"/>
        <v>121.44000000000001</v>
      </c>
      <c r="Z519" s="41">
        <f>IFERROR(IF(Y519=0,"",ROUNDUP(Y519/H519,0)*0.01196),"")</f>
        <v>0.27507999999999999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127.95454545454545</v>
      </c>
      <c r="BN519" s="78">
        <f t="shared" si="76"/>
        <v>129.49</v>
      </c>
      <c r="BO519" s="78">
        <f t="shared" si="77"/>
        <v>0.21853146853146854</v>
      </c>
      <c r="BP519" s="78">
        <f t="shared" si="78"/>
        <v>0.22115384615384617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500</v>
      </c>
      <c r="Y520" s="55">
        <f t="shared" si="74"/>
        <v>501.6</v>
      </c>
      <c r="Z520" s="41">
        <f>IFERROR(IF(Y520=0,"",ROUNDUP(Y520/H520,0)*0.01196),"")</f>
        <v>1.1362000000000001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533.14393939393938</v>
      </c>
      <c r="BN520" s="78">
        <f t="shared" si="76"/>
        <v>534.85</v>
      </c>
      <c r="BO520" s="78">
        <f t="shared" si="77"/>
        <v>0.91054778554778548</v>
      </c>
      <c r="BP520" s="78">
        <f t="shared" si="78"/>
        <v>0.91346153846153855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48</v>
      </c>
      <c r="Y521" s="55">
        <f t="shared" si="74"/>
        <v>48</v>
      </c>
      <c r="Z521" s="41">
        <f>IFERROR(IF(Y521=0,"",ROUNDUP(Y521/H521,0)*0.00902),"")</f>
        <v>9.0200000000000002E-2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69.100000000000009</v>
      </c>
      <c r="BN521" s="78">
        <f t="shared" si="76"/>
        <v>69.100000000000009</v>
      </c>
      <c r="BO521" s="78">
        <f t="shared" si="77"/>
        <v>7.575757575757576E-2</v>
      </c>
      <c r="BP521" s="78">
        <f t="shared" si="78"/>
        <v>7.575757575757576E-2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42</v>
      </c>
      <c r="Y524" s="55">
        <f t="shared" si="74"/>
        <v>43.199999999999996</v>
      </c>
      <c r="Z524" s="41">
        <f>IFERROR(IF(Y524=0,"",ROUNDUP(Y524/H524,0)*0.00902),"")</f>
        <v>8.1180000000000002E-2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58.362499999999997</v>
      </c>
      <c r="BN524" s="78">
        <f t="shared" si="76"/>
        <v>60.029999999999994</v>
      </c>
      <c r="BO524" s="78">
        <f t="shared" si="77"/>
        <v>6.6287878787878785E-2</v>
      </c>
      <c r="BP524" s="78">
        <f t="shared" si="78"/>
        <v>6.8181818181818177E-2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143.75</v>
      </c>
      <c r="Y525" s="43">
        <f>IFERROR(Y518/H518,"0")+IFERROR(Y519/H519,"0")+IFERROR(Y520/H520,"0")+IFERROR(Y521/H521,"0")+IFERROR(Y522/H522,"0")+IFERROR(Y523/H523,"0")+IFERROR(Y524/H524,"0")</f>
        <v>145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1.6783400000000002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750</v>
      </c>
      <c r="Y526" s="43">
        <f>IFERROR(SUM(Y518:Y524),"0")</f>
        <v>756.48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100</v>
      </c>
      <c r="Y530" s="55">
        <f>IFERROR(IF(X530="",0,CEILING((X530/$H530),1)*$H530),"")</f>
        <v>108</v>
      </c>
      <c r="Z530" s="41">
        <f>IFERROR(IF(Y530=0,"",ROUNDUP(Y530/H530,0)*0.01898),"")</f>
        <v>0.17082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103.41666666666667</v>
      </c>
      <c r="BN530" s="78">
        <f>IFERROR(Y530*I530/H530,"0")</f>
        <v>111.69</v>
      </c>
      <c r="BO530" s="78">
        <f>IFERROR(1/J530*(X530/H530),"0")</f>
        <v>0.13020833333333334</v>
      </c>
      <c r="BP530" s="78">
        <f>IFERROR(1/J530*(Y530/H530),"0")</f>
        <v>0.140625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8.3333333333333339</v>
      </c>
      <c r="Y531" s="43">
        <f>IFERROR(Y530/H530,"0")</f>
        <v>9</v>
      </c>
      <c r="Z531" s="43">
        <f>IFERROR(IF(Z530="",0,Z530),"0")</f>
        <v>0.17082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100</v>
      </c>
      <c r="Y532" s="43">
        <f>IFERROR(SUM(Y530:Y530),"0")</f>
        <v>108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1500</v>
      </c>
      <c r="Y542" s="55">
        <f>IFERROR(IF(X542="",0,CEILING((X542/$H542),1)*$H542),"")</f>
        <v>1503</v>
      </c>
      <c r="Z542" s="41">
        <f>IFERROR(IF(Y542=0,"",ROUNDUP(Y542/H542,0)*0.01898),"")</f>
        <v>3.1696599999999999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1582.3333333333333</v>
      </c>
      <c r="BN542" s="78">
        <f>IFERROR(Y542*I542/H542,"0")</f>
        <v>1585.498</v>
      </c>
      <c r="BO542" s="78">
        <f>IFERROR(1/J542*(X542/H542),"0")</f>
        <v>2.6041666666666665</v>
      </c>
      <c r="BP542" s="78">
        <f>IFERROR(1/J542*(Y542/H542),"0")</f>
        <v>2.609375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166.66666666666666</v>
      </c>
      <c r="Y543" s="43">
        <f>IFERROR(Y542/H542,"0")</f>
        <v>167</v>
      </c>
      <c r="Z543" s="43">
        <f>IFERROR(IF(Z542="",0,Z542),"0")</f>
        <v>3.1696599999999999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1500</v>
      </c>
      <c r="Y544" s="43">
        <f>IFERROR(SUM(Y542:Y542),"0")</f>
        <v>1503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17470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17628.839999999997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18778.665952453252</v>
      </c>
      <c r="Y556" s="43">
        <f>IFERROR(SUM(BN22:BN552),"0")</f>
        <v>18947.323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34</v>
      </c>
      <c r="Y557" s="44">
        <f>ROUNDUP(SUM(BP22:BP552),0)</f>
        <v>35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19628.665952453252</v>
      </c>
      <c r="Y558" s="43">
        <f>GrossWeightTotalR+PalletQtyTotalR*25</f>
        <v>19822.323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4683.6987671757788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4715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40.655679999999997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65.28</v>
      </c>
      <c r="D565" s="52">
        <f>IFERROR(Y47*1,"0")+IFERROR(Y48*1,"0")+IFERROR(Y49*1,"0")+IFERROR(Y50*1,"0")</f>
        <v>160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316.8</v>
      </c>
      <c r="F565" s="52">
        <f>IFERROR(Y84*1,"0")+IFERROR(Y85*1,"0")+IFERROR(Y86*1,"0")+IFERROR(Y87*1,"0")+IFERROR(Y91*1,"0")+IFERROR(Y92*1,"0")+IFERROR(Y93*1,"0")+IFERROR(Y94*1,"0")</f>
        <v>1522.8000000000002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2305.7999999999997</v>
      </c>
      <c r="H565" s="52">
        <f>IFERROR(Y129*1,"0")+IFERROR(Y130*1,"0")+IFERROR(Y131*1,"0")+IFERROR(Y135*1,"0")+IFERROR(Y136*1,"0")+IFERROR(Y137*1,"0")+IFERROR(Y138*1,"0")+IFERROR(Y142*1,"0")+IFERROR(Y143*1,"0")+IFERROR(Y144*1,"0")</f>
        <v>241.76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1561.1</v>
      </c>
      <c r="K565" s="52">
        <f>IFERROR(Y206*1,"0")+IFERROR(Y207*1,"0")+IFERROR(Y208*1,"0")+IFERROR(Y209*1,"0")+IFERROR(Y210*1,"0")+IFERROR(Y211*1,"0")+IFERROR(Y212*1,"0")</f>
        <v>259.20000000000005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1135.74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2555.1000000000004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292.89999999999998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242.39999999999998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452.4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1877.3999999999999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609</v>
      </c>
      <c r="X565" s="52">
        <f>IFERROR(Y456*1,"0")+IFERROR(Y457*1,"0")+IFERROR(Y461*1,"0")+IFERROR(Y465*1,"0")+IFERROR(Y466*1,"0")+IFERROR(Y467*1,"0")</f>
        <v>72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2348.16</v>
      </c>
      <c r="AB565" s="52">
        <f>IFERROR(Y530*1,"0")+IFERROR(Y534*1,"0")+IFERROR(Y538*1,"0")+IFERROR(Y542*1,"0")+IFERROR(Y546*1,"0")+IFERROR(Y547*1,"0")</f>
        <v>1611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1,50"/>
        <filter val="1 250,00"/>
        <filter val="1 415,00"/>
        <filter val="1 500,00"/>
        <filter val="1 543,00"/>
        <filter val="1 660,00"/>
        <filter val="100,00"/>
        <filter val="104,85"/>
        <filter val="105,00"/>
        <filter val="115,50"/>
        <filter val="119,70"/>
        <filter val="12,00"/>
        <filter val="120,00"/>
        <filter val="125,00"/>
        <filter val="140,00"/>
        <filter val="143,75"/>
        <filter val="15,00"/>
        <filter val="150,00"/>
        <filter val="16,00"/>
        <filter val="16,67"/>
        <filter val="160,00"/>
        <filter val="166,67"/>
        <filter val="17 470,00"/>
        <filter val="18 778,67"/>
        <filter val="181,85"/>
        <filter val="186,48"/>
        <filter val="188,07"/>
        <filter val="19 628,67"/>
        <filter val="190,00"/>
        <filter val="2,50"/>
        <filter val="20,00"/>
        <filter val="200,00"/>
        <filter val="21,25"/>
        <filter val="224,00"/>
        <filter val="23,15"/>
        <filter val="230,00"/>
        <filter val="240,00"/>
        <filter val="25,00"/>
        <filter val="250,00"/>
        <filter val="265,43"/>
        <filter val="27,78"/>
        <filter val="270,00"/>
        <filter val="28,00"/>
        <filter val="3,33"/>
        <filter val="30,00"/>
        <filter val="32,93"/>
        <filter val="33,33"/>
        <filter val="330,00"/>
        <filter val="34"/>
        <filter val="35,00"/>
        <filter val="36,67"/>
        <filter val="380,00"/>
        <filter val="4 683,70"/>
        <filter val="4,44"/>
        <filter val="40,00"/>
        <filter val="400,00"/>
        <filter val="42,00"/>
        <filter val="420,00"/>
        <filter val="425,00"/>
        <filter val="428,40"/>
        <filter val="43,75"/>
        <filter val="440,00"/>
        <filter val="450,00"/>
        <filter val="48,00"/>
        <filter val="49,50"/>
        <filter val="490,00"/>
        <filter val="5,13"/>
        <filter val="5,56"/>
        <filter val="50,00"/>
        <filter val="500,00"/>
        <filter val="521,67"/>
        <filter val="550,00"/>
        <filter val="56,41"/>
        <filter val="560,00"/>
        <filter val="59,50"/>
        <filter val="6,67"/>
        <filter val="60,00"/>
        <filter val="600,00"/>
        <filter val="604,29"/>
        <filter val="620,00"/>
        <filter val="631,32"/>
        <filter val="64,00"/>
        <filter val="65,00"/>
        <filter val="7,00"/>
        <filter val="70,00"/>
        <filter val="750,00"/>
        <filter val="754,00"/>
        <filter val="765,00"/>
        <filter val="8,00"/>
        <filter val="8,33"/>
        <filter val="80,00"/>
        <filter val="800,00"/>
        <filter val="810,00"/>
        <filter val="850,00"/>
        <filter val="87,50"/>
        <filter val="875,00"/>
        <filter val="880,00"/>
        <filter val="890,00"/>
        <filter val="9,00"/>
        <filter val="96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