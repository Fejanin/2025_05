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1AABCA-CF15-44B4-84B4-241E9139ED6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480" i="2" l="1"/>
  <c r="Z159" i="2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41" i="2"/>
  <c r="BN74" i="2"/>
  <c r="BN93" i="2"/>
  <c r="BN113" i="2"/>
  <c r="Y122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X558" i="2"/>
  <c r="Z415" i="2"/>
  <c r="Z259" i="2"/>
  <c r="Z377" i="2"/>
  <c r="Z329" i="2"/>
  <c r="Z484" i="2"/>
  <c r="Z384" i="2"/>
  <c r="Z515" i="2"/>
  <c r="Z350" i="2"/>
  <c r="Z197" i="2"/>
  <c r="Z367" i="2"/>
  <c r="Z167" i="2"/>
  <c r="Z264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<sst xmlns="http://schemas.openxmlformats.org/spreadsheetml/2006/main" count="4245" uniqueCount="901">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</sst>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36</v>
      </c>
      <c r="Y30" s="55">
        <f>IFERROR(IF(X30="",0,CEILING((X30/$H30),1)*$H30),"")</f>
        <v>36</v>
      </c>
      <c r="Z30" s="41">
        <f>IFERROR(IF(Y30=0,"",ROUNDUP(Y30/H30,0)*0.00651),"")</f>
        <v>0.13020000000000001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63.6</v>
      </c>
      <c r="BN30" s="78">
        <f>IFERROR(Y30*I30/H30,"0")</f>
        <v>63.6</v>
      </c>
      <c r="BO30" s="78">
        <f>IFERROR(1/J30*(X30/H30),"0")</f>
        <v>0.1098901098901099</v>
      </c>
      <c r="BP30" s="78">
        <f>IFERROR(1/J30*(Y30/H30),"0")</f>
        <v>0.1098901098901099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36</v>
      </c>
      <c r="Y33" s="43">
        <f>IFERROR(SUM(Y27:Y31),"0")</f>
        <v>36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120</v>
      </c>
      <c r="Y49" s="55">
        <f>IFERROR(IF(X49="",0,CEILING((X49/$H49),1)*$H49),"")</f>
        <v>120</v>
      </c>
      <c r="Z49" s="41">
        <f>IFERROR(IF(Y49=0,"",ROUNDUP(Y49/H49,0)*0.00902),"")</f>
        <v>0.27060000000000001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125.70000000000002</v>
      </c>
      <c r="BN49" s="78">
        <f>IFERROR(Y49*I49/H49,"0")</f>
        <v>125.70000000000002</v>
      </c>
      <c r="BO49" s="78">
        <f>IFERROR(1/J49*(X49/H49),"0")</f>
        <v>0.22727272727272729</v>
      </c>
      <c r="BP49" s="78">
        <f>IFERROR(1/J49*(Y49/H49),"0")</f>
        <v>0.22727272727272729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0.27060000000000001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120</v>
      </c>
      <c r="Y52" s="43">
        <f>IFERROR(SUM(Y47:Y50),"0")</f>
        <v>120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105.3</v>
      </c>
      <c r="Y69" s="55">
        <f>IFERROR(IF(X69="",0,CEILING((X69/$H69),1)*$H69),"")</f>
        <v>105.30000000000001</v>
      </c>
      <c r="Z69" s="41">
        <f>IFERROR(IF(Y69=0,"",ROUNDUP(Y69/H69,0)*0.00651),"")</f>
        <v>0.25389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112.31999999999998</v>
      </c>
      <c r="BN69" s="78">
        <f>IFERROR(Y69*I69/H69,"0")</f>
        <v>112.32</v>
      </c>
      <c r="BO69" s="78">
        <f>IFERROR(1/J69*(X69/H69),"0")</f>
        <v>0.21428571428571427</v>
      </c>
      <c r="BP69" s="78">
        <f>IFERROR(1/J69*(Y69/H69),"0")</f>
        <v>0.2142857142857143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38.999999999999993</v>
      </c>
      <c r="Y70" s="43">
        <f>IFERROR(Y66/H66,"0")+IFERROR(Y67/H67,"0")+IFERROR(Y68/H68,"0")+IFERROR(Y69/H69,"0")</f>
        <v>39</v>
      </c>
      <c r="Z70" s="43">
        <f>IFERROR(IF(Z66="",0,Z66),"0")+IFERROR(IF(Z67="",0,Z67),"0")+IFERROR(IF(Z68="",0,Z68),"0")+IFERROR(IF(Z69="",0,Z69),"0")</f>
        <v>0.25389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105.3</v>
      </c>
      <c r="Y71" s="43">
        <f>IFERROR(SUM(Y66:Y69),"0")</f>
        <v>105.30000000000001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29.4</v>
      </c>
      <c r="Y73" s="55">
        <f>IFERROR(IF(X73="",0,CEILING((X73/$H73),1)*$H73),"")</f>
        <v>30.6</v>
      </c>
      <c r="Z73" s="41">
        <f>IFERROR(IF(Y73=0,"",ROUNDUP(Y73/H73,0)*0.00651),"")</f>
        <v>0.11067</v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33.417999999999992</v>
      </c>
      <c r="BN73" s="78">
        <f>IFERROR(Y73*I73/H73,"0")</f>
        <v>34.781999999999996</v>
      </c>
      <c r="BO73" s="78">
        <f>IFERROR(1/J73*(X73/H73),"0")</f>
        <v>8.9743589743589744E-2</v>
      </c>
      <c r="BP73" s="78">
        <f>IFERROR(1/J73*(Y73/H73),"0")</f>
        <v>9.3406593406593408E-2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25.5</v>
      </c>
      <c r="Y74" s="55">
        <f>IFERROR(IF(X74="",0,CEILING((X74/$H74),1)*$H74),"")</f>
        <v>27</v>
      </c>
      <c r="Z74" s="41">
        <f>IFERROR(IF(Y74=0,"",ROUNDUP(Y74/H74,0)*0.00651),"")</f>
        <v>9.7650000000000001E-2</v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28.05</v>
      </c>
      <c r="BN74" s="78">
        <f>IFERROR(Y74*I74/H74,"0")</f>
        <v>29.7</v>
      </c>
      <c r="BO74" s="78">
        <f>IFERROR(1/J74*(X74/H74),"0")</f>
        <v>7.783882783882784E-2</v>
      </c>
      <c r="BP74" s="78">
        <f>IFERROR(1/J74*(Y74/H74),"0")</f>
        <v>8.241758241758243E-2</v>
      </c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30.5</v>
      </c>
      <c r="Y75" s="43">
        <f>IFERROR(Y73/H73,"0")+IFERROR(Y74/H74,"0")</f>
        <v>32</v>
      </c>
      <c r="Z75" s="43">
        <f>IFERROR(IF(Z73="",0,Z73),"0")+IFERROR(IF(Z74="",0,Z74),"0")</f>
        <v>0.20832000000000001</v>
      </c>
      <c r="AA75" s="67"/>
      <c r="AB75" s="67"/>
      <c r="AC75" s="67"/>
    </row>
    <row r="76" spans="1:68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54.9</v>
      </c>
      <c r="Y76" s="43">
        <f>IFERROR(SUM(Y73:Y74),"0")</f>
        <v>57.6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42.4</v>
      </c>
      <c r="Y79" s="55">
        <f>IFERROR(IF(X79="",0,CEILING((X79/$H79),1)*$H79),"")</f>
        <v>43.199999999999996</v>
      </c>
      <c r="Z79" s="41">
        <f>IFERROR(IF(Y79=0,"",ROUNDUP(Y79/H79,0)*0.00902),"")</f>
        <v>0.16236</v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45.756666666666661</v>
      </c>
      <c r="BN79" s="78">
        <f>IFERROR(Y79*I79/H79,"0")</f>
        <v>46.61999999999999</v>
      </c>
      <c r="BO79" s="78">
        <f>IFERROR(1/J79*(X79/H79),"0")</f>
        <v>0.13383838383838384</v>
      </c>
      <c r="BP79" s="78">
        <f>IFERROR(1/J79*(Y79/H79),"0")</f>
        <v>0.13636363636363635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17.666666666666668</v>
      </c>
      <c r="Y80" s="43">
        <f>IFERROR(Y78/H78,"0")+IFERROR(Y79/H79,"0")</f>
        <v>18</v>
      </c>
      <c r="Z80" s="43">
        <f>IFERROR(IF(Z78="",0,Z78),"0")+IFERROR(IF(Z79="",0,Z79),"0")</f>
        <v>0.16236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42.4</v>
      </c>
      <c r="Y81" s="43">
        <f>IFERROR(SUM(Y78:Y79),"0")</f>
        <v>43.199999999999996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13.09</v>
      </c>
      <c r="Y85" s="55">
        <f>IFERROR(IF(X85="",0,CEILING((X85/$H85),1)*$H85),"")</f>
        <v>13.6</v>
      </c>
      <c r="Z85" s="41">
        <f>IFERROR(IF(Y85=0,"",ROUNDUP(Y85/H85,0)*0.00726),"")</f>
        <v>5.808E-2</v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13.860000000000001</v>
      </c>
      <c r="BN85" s="78">
        <f>IFERROR(Y85*I85/H85,"0")</f>
        <v>14.4</v>
      </c>
      <c r="BO85" s="78">
        <f>IFERROR(1/J85*(X85/H85),"0")</f>
        <v>4.0104166666666663E-2</v>
      </c>
      <c r="BP85" s="78">
        <f>IFERROR(1/J85*(Y85/H85),"0")</f>
        <v>4.1666666666666664E-2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7.7</v>
      </c>
      <c r="Y88" s="43">
        <f>IFERROR(Y84/H84,"0")+IFERROR(Y85/H85,"0")+IFERROR(Y86/H86,"0")+IFERROR(Y87/H87,"0")</f>
        <v>8</v>
      </c>
      <c r="Z88" s="43">
        <f>IFERROR(IF(Z84="",0,Z84),"0")+IFERROR(IF(Z85="",0,Z85),"0")+IFERROR(IF(Z86="",0,Z86),"0")+IFERROR(IF(Z87="",0,Z87),"0")</f>
        <v>5.808E-2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13.09</v>
      </c>
      <c r="Y89" s="43">
        <f>IFERROR(SUM(Y84:Y87),"0")</f>
        <v>13.6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216</v>
      </c>
      <c r="Y93" s="55">
        <f>IFERROR(IF(X93="",0,CEILING((X93/$H93),1)*$H93),"")</f>
        <v>216</v>
      </c>
      <c r="Z93" s="41">
        <f>IFERROR(IF(Y93=0,"",ROUNDUP(Y93/H93,0)*0.00651),"")</f>
        <v>0.52080000000000004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236.15999999999997</v>
      </c>
      <c r="BN93" s="78">
        <f>IFERROR(Y93*I93/H93,"0")</f>
        <v>236.15999999999997</v>
      </c>
      <c r="BO93" s="78">
        <f>IFERROR(1/J93*(X93/H93),"0")</f>
        <v>0.43956043956043961</v>
      </c>
      <c r="BP93" s="78">
        <f>IFERROR(1/J93*(Y93/H93),"0")</f>
        <v>0.43956043956043961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80</v>
      </c>
      <c r="Y95" s="43">
        <f>IFERROR(Y91/H91,"0")+IFERROR(Y92/H92,"0")+IFERROR(Y93/H93,"0")+IFERROR(Y94/H94,"0")</f>
        <v>80</v>
      </c>
      <c r="Z95" s="43">
        <f>IFERROR(IF(Z91="",0,Z91),"0")+IFERROR(IF(Z92="",0,Z92),"0")+IFERROR(IF(Z93="",0,Z93),"0")+IFERROR(IF(Z94="",0,Z94),"0")</f>
        <v>0.52080000000000004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216</v>
      </c>
      <c r="Y96" s="43">
        <f>IFERROR(SUM(Y91:Y94),"0")</f>
        <v>216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1.98</v>
      </c>
      <c r="Y100" s="55">
        <f t="shared" si="5"/>
        <v>2.2000000000000002</v>
      </c>
      <c r="Z100" s="41">
        <f>IFERROR(IF(Y100=0,"",ROUNDUP(Y100/H100,0)*0.00726),"")</f>
        <v>1.452E-2</v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2.3579999999999997</v>
      </c>
      <c r="BN100" s="78">
        <f t="shared" si="7"/>
        <v>2.62</v>
      </c>
      <c r="BO100" s="78">
        <f t="shared" si="8"/>
        <v>9.3749999999999979E-3</v>
      </c>
      <c r="BP100" s="78">
        <f t="shared" si="9"/>
        <v>1.0416666666666666E-2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1.7999999999999998</v>
      </c>
      <c r="Y106" s="43">
        <f>IFERROR(Y99/H99,"0")+IFERROR(Y100/H100,"0")+IFERROR(Y101/H101,"0")+IFERROR(Y102/H102,"0")+IFERROR(Y103/H103,"0")+IFERROR(Y104/H104,"0")+IFERROR(Y105/H105,"0")</f>
        <v>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1.452E-2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1.98</v>
      </c>
      <c r="Y107" s="43">
        <f>IFERROR(SUM(Y99:Y105),"0")</f>
        <v>2.2000000000000002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15</v>
      </c>
      <c r="Y110" s="55">
        <f>IFERROR(IF(X110="",0,CEILING((X110/$H110),1)*$H110),"")</f>
        <v>15</v>
      </c>
      <c r="Z110" s="41">
        <f>IFERROR(IF(Y110=0,"",ROUNDUP(Y110/H110,0)*0.00358),"")</f>
        <v>5.3699999999999998E-2</v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18.149999999999999</v>
      </c>
      <c r="BN110" s="78">
        <f>IFERROR(Y110*I110/H110,"0")</f>
        <v>18.149999999999999</v>
      </c>
      <c r="BO110" s="78">
        <f>IFERROR(1/J110*(X110/H110),"0")</f>
        <v>3.8265306122448974E-2</v>
      </c>
      <c r="BP110" s="78">
        <f>IFERROR(1/J110*(Y110/H110),"0")</f>
        <v>3.8265306122448974E-2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15</v>
      </c>
      <c r="Y114" s="43">
        <f>IFERROR(Y109/H109,"0")+IFERROR(Y110/H110,"0")+IFERROR(Y111/H111,"0")+IFERROR(Y112/H112,"0")+IFERROR(Y113/H113,"0")</f>
        <v>15</v>
      </c>
      <c r="Z114" s="43">
        <f>IFERROR(IF(Z109="",0,Z109),"0")+IFERROR(IF(Z110="",0,Z110),"0")+IFERROR(IF(Z111="",0,Z111),"0")+IFERROR(IF(Z112="",0,Z112),"0")+IFERROR(IF(Z113="",0,Z113),"0")</f>
        <v>5.3699999999999998E-2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15</v>
      </c>
      <c r="Y115" s="43">
        <f>IFERROR(SUM(Y109:Y113),"0")</f>
        <v>15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82.2</v>
      </c>
      <c r="Y120" s="55">
        <f>IFERROR(IF(X120="",0,CEILING((X120/$H120),1)*$H120),"")</f>
        <v>82.8</v>
      </c>
      <c r="Z120" s="41">
        <f>IFERROR(IF(Y120=0,"",ROUNDUP(Y120/H120,0)*0.00651),"")</f>
        <v>0.29946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90.42</v>
      </c>
      <c r="BN120" s="78">
        <f>IFERROR(Y120*I120/H120,"0")</f>
        <v>91.08</v>
      </c>
      <c r="BO120" s="78">
        <f>IFERROR(1/J120*(X120/H120),"0")</f>
        <v>0.25091575091575091</v>
      </c>
      <c r="BP120" s="78">
        <f>IFERROR(1/J120*(Y120/H120),"0")</f>
        <v>0.25274725274725279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45.666666666666664</v>
      </c>
      <c r="Y121" s="43">
        <f>IFERROR(Y117/H117,"0")+IFERROR(Y118/H118,"0")+IFERROR(Y119/H119,"0")+IFERROR(Y120/H120,"0")</f>
        <v>46</v>
      </c>
      <c r="Z121" s="43">
        <f>IFERROR(IF(Z117="",0,Z117),"0")+IFERROR(IF(Z118="",0,Z118),"0")+IFERROR(IF(Z119="",0,Z119),"0")+IFERROR(IF(Z120="",0,Z120),"0")</f>
        <v>0.29946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82.2</v>
      </c>
      <c r="Y122" s="43">
        <f>IFERROR(SUM(Y117:Y120),"0")</f>
        <v>82.8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3.04</v>
      </c>
      <c r="Y224" s="55">
        <f t="shared" si="27"/>
        <v>3.2</v>
      </c>
      <c r="Z224" s="41">
        <f>IFERROR(IF(Y224=0,"",ROUNDUP(Y224/H224,0)*0.00556),"")</f>
        <v>2.2239999999999999E-2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3.5340000000000003</v>
      </c>
      <c r="BN224" s="78">
        <f t="shared" si="29"/>
        <v>3.72</v>
      </c>
      <c r="BO224" s="78">
        <f t="shared" si="30"/>
        <v>1.5079365079365078E-2</v>
      </c>
      <c r="BP224" s="78">
        <f t="shared" si="31"/>
        <v>1.5873015873015872E-2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7.36</v>
      </c>
      <c r="Y231" s="55">
        <f t="shared" si="27"/>
        <v>8</v>
      </c>
      <c r="Z231" s="41">
        <f>IFERROR(IF(Y231=0,"",ROUNDUP(Y231/H231,0)*0.00417),"")</f>
        <v>4.1700000000000001E-2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9.2919999999999998</v>
      </c>
      <c r="BN231" s="78">
        <f t="shared" si="29"/>
        <v>10.1</v>
      </c>
      <c r="BO231" s="78">
        <f t="shared" si="30"/>
        <v>2.7380952380952377E-2</v>
      </c>
      <c r="BP231" s="78">
        <f t="shared" si="31"/>
        <v>2.976190476190476E-2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6.3939999999999997E-2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10.4</v>
      </c>
      <c r="Y236" s="43">
        <f>IFERROR(SUM(Y221:Y234),"0")</f>
        <v>11.2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168</v>
      </c>
      <c r="Y284" s="55">
        <f t="shared" si="38"/>
        <v>168</v>
      </c>
      <c r="Z284" s="41">
        <f>IFERROR(IF(Y284=0,"",ROUNDUP(Y284/H284,0)*0.00651),"")</f>
        <v>0.45569999999999999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185.64000000000001</v>
      </c>
      <c r="BN284" s="78">
        <f t="shared" si="40"/>
        <v>185.64000000000001</v>
      </c>
      <c r="BO284" s="78">
        <f t="shared" si="41"/>
        <v>0.38461538461538464</v>
      </c>
      <c r="BP284" s="78">
        <f t="shared" si="42"/>
        <v>0.38461538461538464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168</v>
      </c>
      <c r="Y286" s="55">
        <f t="shared" si="38"/>
        <v>168</v>
      </c>
      <c r="Z286" s="41">
        <f>IFERROR(IF(Y286=0,"",ROUNDUP(Y286/H286,0)*0.00651),"")</f>
        <v>0.45569999999999999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185.64000000000001</v>
      </c>
      <c r="BN286" s="78">
        <f t="shared" si="40"/>
        <v>185.64000000000001</v>
      </c>
      <c r="BO286" s="78">
        <f t="shared" si="41"/>
        <v>0.38461538461538464</v>
      </c>
      <c r="BP286" s="78">
        <f t="shared" si="42"/>
        <v>0.38461538461538464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140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140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0.91139999999999999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336</v>
      </c>
      <c r="Y291" s="43">
        <f>IFERROR(SUM(Y278:Y289),"0")</f>
        <v>336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120</v>
      </c>
      <c r="Y302" s="55">
        <f t="shared" si="43"/>
        <v>120</v>
      </c>
      <c r="Z302" s="41">
        <f>IFERROR(IF(Y302=0,"",ROUNDUP(Y302/H302,0)*0.00902),"")</f>
        <v>0.27060000000000001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125.70000000000002</v>
      </c>
      <c r="BN302" s="78">
        <f t="shared" si="45"/>
        <v>125.70000000000002</v>
      </c>
      <c r="BO302" s="78">
        <f t="shared" si="46"/>
        <v>0.22727272727272729</v>
      </c>
      <c r="BP302" s="78">
        <f t="shared" si="47"/>
        <v>0.22727272727272729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81.599999999999994</v>
      </c>
      <c r="Y305" s="55">
        <f t="shared" si="43"/>
        <v>84</v>
      </c>
      <c r="Z305" s="41">
        <f>IFERROR(IF(Y305=0,"",ROUNDUP(Y305/H305,0)*0.00902),"")</f>
        <v>0.18942000000000001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85.475999999999999</v>
      </c>
      <c r="BN305" s="78">
        <f t="shared" si="45"/>
        <v>87.990000000000009</v>
      </c>
      <c r="BO305" s="78">
        <f t="shared" si="46"/>
        <v>0.15454545454545454</v>
      </c>
      <c r="BP305" s="78">
        <f t="shared" si="47"/>
        <v>0.15909090909090909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50.4</v>
      </c>
      <c r="Y306" s="43">
        <f>IFERROR(Y299/H299,"0")+IFERROR(Y300/H300,"0")+IFERROR(Y301/H301,"0")+IFERROR(Y302/H302,"0")+IFERROR(Y303/H303,"0")+IFERROR(Y304/H304,"0")+IFERROR(Y305/H305,"0")</f>
        <v>51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0.46001999999999998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201.6</v>
      </c>
      <c r="Y307" s="43">
        <f>IFERROR(SUM(Y299:Y305),"0")</f>
        <v>204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48</v>
      </c>
      <c r="Y335" s="55">
        <f>IFERROR(IF(X335="",0,CEILING((X335/$H335),1)*$H335),"")</f>
        <v>48</v>
      </c>
      <c r="Z335" s="41">
        <f>IFERROR(IF(Y335=0,"",ROUNDUP(Y335/H335,0)*0.00651),"")</f>
        <v>0.13020000000000001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51.6</v>
      </c>
      <c r="BN335" s="78">
        <f>IFERROR(Y335*I335/H335,"0")</f>
        <v>51.6</v>
      </c>
      <c r="BO335" s="78">
        <f>IFERROR(1/J335*(X335/H335),"0")</f>
        <v>0.1098901098901099</v>
      </c>
      <c r="BP335" s="78">
        <f>IFERROR(1/J335*(Y335/H335),"0")</f>
        <v>0.1098901098901099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20</v>
      </c>
      <c r="Y336" s="43">
        <f>IFERROR(Y333/H333,"0")+IFERROR(Y334/H334,"0")+IFERROR(Y335/H335,"0")</f>
        <v>20</v>
      </c>
      <c r="Z336" s="43">
        <f>IFERROR(IF(Z333="",0,Z333),"0")+IFERROR(IF(Z334="",0,Z334),"0")+IFERROR(IF(Z335="",0,Z335),"0")</f>
        <v>0.13020000000000001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48</v>
      </c>
      <c r="Y337" s="43">
        <f>IFERROR(SUM(Y333:Y335),"0")</f>
        <v>48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40.799999999999997</v>
      </c>
      <c r="Y348" s="55">
        <f>IFERROR(IF(X348="",0,CEILING((X348/$H348),1)*$H348),"")</f>
        <v>43.2</v>
      </c>
      <c r="Z348" s="41">
        <f>IFERROR(IF(Y348=0,"",ROUNDUP(Y348/H348,0)*0.00902),"")</f>
        <v>0.10824</v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42.953333333333326</v>
      </c>
      <c r="BN348" s="78">
        <f>IFERROR(Y348*I348/H348,"0")</f>
        <v>45.480000000000004</v>
      </c>
      <c r="BO348" s="78">
        <f>IFERROR(1/J348*(X348/H348),"0")</f>
        <v>8.5858585858585856E-2</v>
      </c>
      <c r="BP348" s="78">
        <f>IFERROR(1/J348*(Y348/H348),"0")</f>
        <v>9.0909090909090912E-2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11.333333333333332</v>
      </c>
      <c r="Y350" s="43">
        <f>IFERROR(Y348/H348,"0")+IFERROR(Y349/H349,"0")</f>
        <v>12</v>
      </c>
      <c r="Z350" s="43">
        <f>IFERROR(IF(Z348="",0,Z348),"0")+IFERROR(IF(Z349="",0,Z349),"0")</f>
        <v>0.10824</v>
      </c>
      <c r="AA350" s="67"/>
      <c r="AB350" s="67"/>
      <c r="AC350" s="67"/>
    </row>
    <row r="351" spans="1:68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40.799999999999997</v>
      </c>
      <c r="Y351" s="43">
        <f>IFERROR(SUM(Y348:Y349),"0")</f>
        <v>43.2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24</v>
      </c>
      <c r="Y366" s="55">
        <f t="shared" si="48"/>
        <v>24</v>
      </c>
      <c r="Z366" s="41">
        <f>IFERROR(IF(Y366=0,"",ROUNDUP(Y366/H366,0)*0.00902),"")</f>
        <v>5.4120000000000001E-2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25.14</v>
      </c>
      <c r="BN366" s="78">
        <f t="shared" si="50"/>
        <v>25.14</v>
      </c>
      <c r="BO366" s="78">
        <f t="shared" si="51"/>
        <v>4.5454545454545456E-2</v>
      </c>
      <c r="BP366" s="78">
        <f t="shared" si="52"/>
        <v>4.5454545454545456E-2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6</v>
      </c>
      <c r="Y367" s="43">
        <f>IFERROR(Y361/H361,"0")+IFERROR(Y362/H362,"0")+IFERROR(Y363/H363,"0")+IFERROR(Y364/H364,"0")+IFERROR(Y365/H365,"0")+IFERROR(Y366/H366,"0")</f>
        <v>6</v>
      </c>
      <c r="Z367" s="43">
        <f>IFERROR(IF(Z361="",0,Z361),"0")+IFERROR(IF(Z362="",0,Z362),"0")+IFERROR(IF(Z363="",0,Z363),"0")+IFERROR(IF(Z364="",0,Z364),"0")+IFERROR(IF(Z365="",0,Z365),"0")+IFERROR(IF(Z366="",0,Z366),"0")</f>
        <v>5.4120000000000001E-2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24</v>
      </c>
      <c r="Y368" s="43">
        <f>IFERROR(SUM(Y361:Y366),"0")</f>
        <v>24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29.1</v>
      </c>
      <c r="Y376" s="55">
        <f t="shared" si="53"/>
        <v>30.6</v>
      </c>
      <c r="Z376" s="41">
        <f>IFERROR(IF(Y376=0,"",ROUNDUP(Y376/H376,0)*0.00651),"")</f>
        <v>0.11067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32.786000000000001</v>
      </c>
      <c r="BN376" s="78">
        <f t="shared" si="55"/>
        <v>34.475999999999999</v>
      </c>
      <c r="BO376" s="78">
        <f t="shared" si="56"/>
        <v>8.8827838827838845E-2</v>
      </c>
      <c r="BP376" s="78">
        <f t="shared" si="57"/>
        <v>9.3406593406593408E-2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49.5</v>
      </c>
      <c r="Y377" s="43">
        <f>IFERROR(Y370/H370,"0")+IFERROR(Y371/H371,"0")+IFERROR(Y372/H372,"0")+IFERROR(Y373/H373,"0")+IFERROR(Y374/H374,"0")+IFERROR(Y375/H375,"0")+IFERROR(Y376/H376,"0")</f>
        <v>51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0.28134999999999999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99.1</v>
      </c>
      <c r="Y378" s="43">
        <f>IFERROR(SUM(Y370:Y376),"0")</f>
        <v>102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10.029999999999999</v>
      </c>
      <c r="Y396" s="55">
        <f>IFERROR(IF(X396="",0,CEILING((X396/$H396),1)*$H396),"")</f>
        <v>10.199999999999999</v>
      </c>
      <c r="Z396" s="41">
        <f>IFERROR(IF(Y396=0,"",ROUNDUP(Y396/H396,0)*0.00651),"")</f>
        <v>2.6040000000000001E-2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11.327999999999999</v>
      </c>
      <c r="BN396" s="78">
        <f>IFERROR(Y396*I396/H396,"0")</f>
        <v>11.52</v>
      </c>
      <c r="BO396" s="78">
        <f>IFERROR(1/J396*(X396/H396),"0")</f>
        <v>2.1611721611721615E-2</v>
      </c>
      <c r="BP396" s="78">
        <f>IFERROR(1/J396*(Y396/H396),"0")</f>
        <v>2.197802197802198E-2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3.9333333333333336</v>
      </c>
      <c r="Y397" s="43">
        <f>IFERROR(Y393/H393,"0")+IFERROR(Y394/H394,"0")+IFERROR(Y395/H395,"0")+IFERROR(Y396/H396,"0")</f>
        <v>4</v>
      </c>
      <c r="Z397" s="43">
        <f>IFERROR(IF(Z393="",0,Z393),"0")+IFERROR(IF(Z394="",0,Z394),"0")+IFERROR(IF(Z395="",0,Z395),"0")+IFERROR(IF(Z396="",0,Z396),"0")</f>
        <v>2.6040000000000001E-2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10.029999999999999</v>
      </c>
      <c r="Y398" s="43">
        <f>IFERROR(SUM(Y393:Y396),"0")</f>
        <v>10.199999999999999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24</v>
      </c>
      <c r="Y402" s="55">
        <f>IFERROR(IF(X402="",0,CEILING((X402/$H402),1)*$H402),"")</f>
        <v>24</v>
      </c>
      <c r="Z402" s="41">
        <f>IFERROR(IF(Y402=0,"",ROUNDUP(Y402/H402,0)*0.00474),"")</f>
        <v>5.688E-2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26.880000000000003</v>
      </c>
      <c r="BN402" s="78">
        <f>IFERROR(Y402*I402/H402,"0")</f>
        <v>26.880000000000003</v>
      </c>
      <c r="BO402" s="78">
        <f>IFERROR(1/J402*(X402/H402),"0")</f>
        <v>5.0420168067226892E-2</v>
      </c>
      <c r="BP402" s="78">
        <f>IFERROR(1/J402*(Y402/H402),"0")</f>
        <v>5.0420168067226892E-2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12</v>
      </c>
      <c r="Y403" s="43">
        <f>IFERROR(Y400/H400,"0")+IFERROR(Y401/H401,"0")+IFERROR(Y402/H402,"0")</f>
        <v>12</v>
      </c>
      <c r="Z403" s="43">
        <f>IFERROR(IF(Z400="",0,Z400),"0")+IFERROR(IF(Z401="",0,Z401),"0")+IFERROR(IF(Z402="",0,Z402),"0")</f>
        <v>5.688E-2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24</v>
      </c>
      <c r="Y404" s="43">
        <f>IFERROR(SUM(Y400:Y402),"0")</f>
        <v>24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84</v>
      </c>
      <c r="Y420" s="55">
        <f>IFERROR(IF(X420="",0,CEILING((X420/$H420),1)*$H420),"")</f>
        <v>84</v>
      </c>
      <c r="Z420" s="41">
        <f>IFERROR(IF(Y420=0,"",ROUNDUP(Y420/H420,0)*0.00651),"")</f>
        <v>0.26040000000000002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94.079999999999984</v>
      </c>
      <c r="BN420" s="78">
        <f>IFERROR(Y420*I420/H420,"0")</f>
        <v>94.079999999999984</v>
      </c>
      <c r="BO420" s="78">
        <f>IFERROR(1/J420*(X420/H420),"0")</f>
        <v>0.2197802197802198</v>
      </c>
      <c r="BP420" s="78">
        <f>IFERROR(1/J420*(Y420/H420),"0")</f>
        <v>0.2197802197802198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40</v>
      </c>
      <c r="Y422" s="43">
        <f>IFERROR(Y419/H419,"0")+IFERROR(Y420/H420,"0")+IFERROR(Y421/H421,"0")</f>
        <v>40</v>
      </c>
      <c r="Z422" s="43">
        <f>IFERROR(IF(Z419="",0,Z419),"0")+IFERROR(IF(Z420="",0,Z420),"0")+IFERROR(IF(Z421="",0,Z421),"0")</f>
        <v>0.26040000000000002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84</v>
      </c>
      <c r="Y423" s="43">
        <f>IFERROR(SUM(Y419:Y421),"0")</f>
        <v>84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150</v>
      </c>
      <c r="Y434" s="55">
        <f t="shared" si="58"/>
        <v>150</v>
      </c>
      <c r="Z434" s="41">
        <f>IFERROR(IF(Y434=0,"",ROUNDUP(Y434/H434,0)*0.00902),"")</f>
        <v>0.27060000000000001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155.70000000000002</v>
      </c>
      <c r="BN434" s="78">
        <f t="shared" si="60"/>
        <v>155.70000000000002</v>
      </c>
      <c r="BO434" s="78">
        <f t="shared" si="61"/>
        <v>0.22727272727272729</v>
      </c>
      <c r="BP434" s="78">
        <f t="shared" si="62"/>
        <v>0.22727272727272729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30</v>
      </c>
      <c r="Y435" s="43">
        <f>IFERROR(Y427/H427,"0")+IFERROR(Y428/H428,"0")+IFERROR(Y429/H429,"0")+IFERROR(Y430/H430,"0")+IFERROR(Y431/H431,"0")+IFERROR(Y432/H432,"0")+IFERROR(Y433/H433,"0")+IFERROR(Y434/H434,"0")</f>
        <v>30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0.27060000000000001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150</v>
      </c>
      <c r="Y436" s="43">
        <f>IFERROR(SUM(Y427:Y434),"0")</f>
        <v>150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43.6</v>
      </c>
      <c r="Y440" s="55">
        <f>IFERROR(IF(X440="",0,CEILING((X440/$H440),1)*$H440),"")</f>
        <v>44</v>
      </c>
      <c r="Z440" s="41">
        <f>IFERROR(IF(Y440=0,"",ROUNDUP(Y440/H440,0)*0.00902),"")</f>
        <v>9.9220000000000003E-2</v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45.671000000000006</v>
      </c>
      <c r="BN440" s="78">
        <f>IFERROR(Y440*I440/H440,"0")</f>
        <v>46.09</v>
      </c>
      <c r="BO440" s="78">
        <f>IFERROR(1/J440*(X440/H440),"0")</f>
        <v>8.257575757575758E-2</v>
      </c>
      <c r="BP440" s="78">
        <f>IFERROR(1/J440*(Y440/H440),"0")</f>
        <v>8.3333333333333343E-2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10.9</v>
      </c>
      <c r="Y441" s="43">
        <f>IFERROR(Y438/H438,"0")+IFERROR(Y439/H439,"0")+IFERROR(Y440/H440,"0")</f>
        <v>11</v>
      </c>
      <c r="Z441" s="43">
        <f>IFERROR(IF(Z438="",0,Z438),"0")+IFERROR(IF(Z439="",0,Z439),"0")+IFERROR(IF(Z440="",0,Z440),"0")</f>
        <v>9.9220000000000003E-2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43.6</v>
      </c>
      <c r="Y442" s="43">
        <f>IFERROR(SUM(Y438:Y440),"0")</f>
        <v>44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31.5</v>
      </c>
      <c r="Y475" s="55">
        <f t="shared" si="63"/>
        <v>31.5</v>
      </c>
      <c r="Z475" s="41">
        <f>IFERROR(IF(Y475=0,"",ROUNDUP(Y475/H475,0)*0.00502),"")</f>
        <v>7.5300000000000006E-2</v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33.450000000000003</v>
      </c>
      <c r="BN475" s="78">
        <f t="shared" si="65"/>
        <v>33.450000000000003</v>
      </c>
      <c r="BO475" s="78">
        <f t="shared" si="66"/>
        <v>6.4102564102564111E-2</v>
      </c>
      <c r="BP475" s="78">
        <f t="shared" si="67"/>
        <v>6.4102564102564111E-2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12.6</v>
      </c>
      <c r="Y477" s="55">
        <f t="shared" si="63"/>
        <v>12.600000000000001</v>
      </c>
      <c r="Z477" s="41">
        <f>IFERROR(IF(Y477=0,"",ROUNDUP(Y477/H477,0)*0.00502),"")</f>
        <v>3.0120000000000001E-2</v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13.379999999999999</v>
      </c>
      <c r="BN477" s="78">
        <f t="shared" si="65"/>
        <v>13.38</v>
      </c>
      <c r="BO477" s="78">
        <f t="shared" si="66"/>
        <v>2.5641025641025644E-2</v>
      </c>
      <c r="BP477" s="78">
        <f t="shared" si="67"/>
        <v>2.5641025641025644E-2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7.7</v>
      </c>
      <c r="Y478" s="55">
        <f t="shared" si="63"/>
        <v>8.4</v>
      </c>
      <c r="Z478" s="41">
        <f>IFERROR(IF(Y478=0,"",ROUNDUP(Y478/H478,0)*0.00502),"")</f>
        <v>2.0080000000000001E-2</v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8.1766666666666659</v>
      </c>
      <c r="BN478" s="78">
        <f t="shared" si="65"/>
        <v>8.92</v>
      </c>
      <c r="BO478" s="78">
        <f t="shared" si="66"/>
        <v>1.5669515669515671E-2</v>
      </c>
      <c r="BP478" s="78">
        <f t="shared" si="67"/>
        <v>1.7094017094017096E-2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24.666666666666668</v>
      </c>
      <c r="Y479" s="43">
        <f>IFERROR(Y473/H473,"0")+IFERROR(Y474/H474,"0")+IFERROR(Y475/H475,"0")+IFERROR(Y476/H476,"0")+IFERROR(Y477/H477,"0")+IFERROR(Y478/H478,"0")</f>
        <v>25</v>
      </c>
      <c r="Z479" s="43">
        <f>IFERROR(IF(Z473="",0,Z473),"0")+IFERROR(IF(Z474="",0,Z474),"0")+IFERROR(IF(Z475="",0,Z475),"0")+IFERROR(IF(Z476="",0,Z476),"0")+IFERROR(IF(Z477="",0,Z477),"0")+IFERROR(IF(Z478="",0,Z478),"0")</f>
        <v>0.1255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51.800000000000004</v>
      </c>
      <c r="Y480" s="43">
        <f>IFERROR(SUM(Y473:Y478),"0")</f>
        <v>52.5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36</v>
      </c>
      <c r="Y482" s="55">
        <f>IFERROR(IF(X482="",0,CEILING((X482/$H482),1)*$H482),"")</f>
        <v>36</v>
      </c>
      <c r="Z482" s="41">
        <f>IFERROR(IF(Y482=0,"",ROUNDUP(Y482/H482,0)*0.00902),"")</f>
        <v>0.1353</v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39.39</v>
      </c>
      <c r="BN482" s="78">
        <f>IFERROR(Y482*I482/H482,"0")</f>
        <v>39.39</v>
      </c>
      <c r="BO482" s="78">
        <f>IFERROR(1/J482*(X482/H482),"0")</f>
        <v>0.11363636363636365</v>
      </c>
      <c r="BP482" s="78">
        <f>IFERROR(1/J482*(Y482/H482),"0")</f>
        <v>0.11363636363636365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15</v>
      </c>
      <c r="Y484" s="43">
        <f>IFERROR(Y482/H482,"0")+IFERROR(Y483/H483,"0")</f>
        <v>15</v>
      </c>
      <c r="Z484" s="43">
        <f>IFERROR(IF(Z482="",0,Z482),"0")+IFERROR(IF(Z483="",0,Z483),"0")</f>
        <v>0.1353</v>
      </c>
      <c r="AA484" s="67"/>
      <c r="AB484" s="67"/>
      <c r="AC484" s="67"/>
    </row>
    <row r="485" spans="1:68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36</v>
      </c>
      <c r="Y485" s="43">
        <f>IFERROR(SUM(Y482:Y483),"0")</f>
        <v>36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273.60000000000002</v>
      </c>
      <c r="Y507" s="55">
        <f t="shared" si="68"/>
        <v>273.59999999999997</v>
      </c>
      <c r="Z507" s="41">
        <f>IFERROR(IF(Y507=0,"",ROUNDUP(Y507/H507,0)*0.00902),"")</f>
        <v>0.51414000000000004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393.87000000000006</v>
      </c>
      <c r="BN507" s="78">
        <f t="shared" si="71"/>
        <v>393.86999999999995</v>
      </c>
      <c r="BO507" s="78">
        <f t="shared" si="72"/>
        <v>0.43181818181818188</v>
      </c>
      <c r="BP507" s="78">
        <f t="shared" si="73"/>
        <v>0.43181818181818177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180</v>
      </c>
      <c r="Y508" s="55">
        <f t="shared" si="68"/>
        <v>182.4</v>
      </c>
      <c r="Z508" s="41">
        <f>IFERROR(IF(Y508=0,"",ROUNDUP(Y508/H508,0)*0.00902),"")</f>
        <v>0.34276000000000001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259.125</v>
      </c>
      <c r="BN508" s="78">
        <f t="shared" si="71"/>
        <v>262.58000000000004</v>
      </c>
      <c r="BO508" s="78">
        <f t="shared" si="72"/>
        <v>0.28409090909090912</v>
      </c>
      <c r="BP508" s="78">
        <f t="shared" si="73"/>
        <v>0.2878787878787879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94.5</v>
      </c>
      <c r="Y509" s="43">
        <f>IFERROR(Y500/H500,"0")+IFERROR(Y501/H501,"0")+IFERROR(Y502/H502,"0")+IFERROR(Y503/H503,"0")+IFERROR(Y504/H504,"0")+IFERROR(Y505/H505,"0")+IFERROR(Y506/H506,"0")+IFERROR(Y507/H507,"0")+IFERROR(Y508/H508,"0")</f>
        <v>95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0.8569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453.6</v>
      </c>
      <c r="Y510" s="43">
        <f>IFERROR(SUM(Y500:Y508),"0")</f>
        <v>456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2299.7999999999997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2316.8000000000002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2671.9380000000001</v>
      </c>
      <c r="Y556" s="43">
        <f>IFERROR(SUM(BN22:BN552),"0")</f>
        <v>2691.2780000000002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2796.9380000000001</v>
      </c>
      <c r="Y558" s="43">
        <f>GrossWeightTotalR+PalletQtyTotalR*25</f>
        <v>2816.2780000000002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808.56666666666649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816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5.8120399999999997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36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120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206.1</v>
      </c>
      <c r="F565" s="52">
        <f>IFERROR(Y84*1,"0")+IFERROR(Y85*1,"0")+IFERROR(Y86*1,"0")+IFERROR(Y87*1,"0")+IFERROR(Y91*1,"0")+IFERROR(Y92*1,"0")+IFERROR(Y93*1,"0")+IFERROR(Y94*1,"0")</f>
        <v>229.6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11.2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336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204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48</v>
      </c>
      <c r="R565" s="52">
        <f>IFERROR(Y340*1,"0")+IFERROR(Y341*1,"0")+IFERROR(Y342*1,"0")+IFERROR(Y343*1,"0")+IFERROR(Y344*1,"0")+IFERROR(Y348*1,"0")+IFERROR(Y349*1,"0")</f>
        <v>43.2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160.19999999999999</v>
      </c>
      <c r="U565" s="52">
        <f>IFERROR(Y413*1,"0")+IFERROR(Y414*1,"0")</f>
        <v>0</v>
      </c>
      <c r="V565" s="52">
        <f>IFERROR(Y419*1,"0")+IFERROR(Y420*1,"0")+IFERROR(Y421*1,"0")</f>
        <v>84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194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88.5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456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0"/>
        <filter val="1,98"/>
        <filter val="10,03"/>
        <filter val="10,40"/>
        <filter val="10,90"/>
        <filter val="105,30"/>
        <filter val="11,33"/>
        <filter val="12,00"/>
        <filter val="12,60"/>
        <filter val="120,00"/>
        <filter val="13,00"/>
        <filter val="13,09"/>
        <filter val="140,00"/>
        <filter val="15,00"/>
        <filter val="150,00"/>
        <filter val="168,00"/>
        <filter val="17,67"/>
        <filter val="180,00"/>
        <filter val="2 299,80"/>
        <filter val="2 671,94"/>
        <filter val="2 796,94"/>
        <filter val="20,00"/>
        <filter val="201,60"/>
        <filter val="216,00"/>
        <filter val="24,00"/>
        <filter val="24,67"/>
        <filter val="25,50"/>
        <filter val="273,60"/>
        <filter val="29,10"/>
        <filter val="29,40"/>
        <filter val="3,04"/>
        <filter val="3,93"/>
        <filter val="30,00"/>
        <filter val="30,50"/>
        <filter val="31,50"/>
        <filter val="336,00"/>
        <filter val="36,00"/>
        <filter val="39,00"/>
        <filter val="40,00"/>
        <filter val="40,80"/>
        <filter val="42,40"/>
        <filter val="43,60"/>
        <filter val="45,67"/>
        <filter val="453,60"/>
        <filter val="48,00"/>
        <filter val="49,50"/>
        <filter val="5"/>
        <filter val="50,40"/>
        <filter val="51,80"/>
        <filter val="54,90"/>
        <filter val="6,00"/>
        <filter val="7,36"/>
        <filter val="7,70"/>
        <filter val="70,00"/>
        <filter val="80,00"/>
        <filter val="808,57"/>
        <filter val="81,60"/>
        <filter val="82,20"/>
        <filter val="84,00"/>
        <filter val="94,50"/>
        <filter val="99,1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