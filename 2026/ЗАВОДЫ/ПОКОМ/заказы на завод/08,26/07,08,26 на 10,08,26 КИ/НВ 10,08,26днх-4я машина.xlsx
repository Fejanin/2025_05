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E70CED3-79CF-4A95-A627-D7CAEC6D32B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X552" i="1"/>
  <c r="BO551" i="1"/>
  <c r="BM551" i="1"/>
  <c r="Y551" i="1"/>
  <c r="AC564" i="1" s="1"/>
  <c r="P551" i="1"/>
  <c r="X548" i="1"/>
  <c r="X547" i="1"/>
  <c r="BO546" i="1"/>
  <c r="BM546" i="1"/>
  <c r="Y546" i="1"/>
  <c r="P546" i="1"/>
  <c r="BO545" i="1"/>
  <c r="BM545" i="1"/>
  <c r="Y545" i="1"/>
  <c r="Y547" i="1" s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AB564" i="1" s="1"/>
  <c r="P529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BP481" i="1" s="1"/>
  <c r="P481" i="1"/>
  <c r="X479" i="1"/>
  <c r="X478" i="1"/>
  <c r="BP477" i="1"/>
  <c r="BO477" i="1"/>
  <c r="BN477" i="1"/>
  <c r="BM477" i="1"/>
  <c r="Z477" i="1"/>
  <c r="Y477" i="1"/>
  <c r="P477" i="1"/>
  <c r="BO476" i="1"/>
  <c r="BM476" i="1"/>
  <c r="Y476" i="1"/>
  <c r="P476" i="1"/>
  <c r="BO475" i="1"/>
  <c r="BM475" i="1"/>
  <c r="Y475" i="1"/>
  <c r="BP475" i="1" s="1"/>
  <c r="P475" i="1"/>
  <c r="BO474" i="1"/>
  <c r="BM474" i="1"/>
  <c r="Y474" i="1"/>
  <c r="P474" i="1"/>
  <c r="BO473" i="1"/>
  <c r="BM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O465" i="1"/>
  <c r="BM465" i="1"/>
  <c r="Y465" i="1"/>
  <c r="BP465" i="1" s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2" i="1"/>
  <c r="Y451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BP432" i="1" s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X422" i="1"/>
  <c r="X421" i="1"/>
  <c r="BO420" i="1"/>
  <c r="BM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X415" i="1"/>
  <c r="Y414" i="1"/>
  <c r="X414" i="1"/>
  <c r="BP413" i="1"/>
  <c r="BO413" i="1"/>
  <c r="BN413" i="1"/>
  <c r="BM413" i="1"/>
  <c r="Z413" i="1"/>
  <c r="Y413" i="1"/>
  <c r="BP412" i="1"/>
  <c r="BO412" i="1"/>
  <c r="BN412" i="1"/>
  <c r="BM412" i="1"/>
  <c r="Z412" i="1"/>
  <c r="Y412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8" i="1"/>
  <c r="X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O348" i="1"/>
  <c r="BM348" i="1"/>
  <c r="Y348" i="1"/>
  <c r="P348" i="1"/>
  <c r="X346" i="1"/>
  <c r="X345" i="1"/>
  <c r="BO344" i="1"/>
  <c r="BM344" i="1"/>
  <c r="Y344" i="1"/>
  <c r="BP344" i="1" s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BP335" i="1" s="1"/>
  <c r="P335" i="1"/>
  <c r="BO334" i="1"/>
  <c r="BM334" i="1"/>
  <c r="Y334" i="1"/>
  <c r="P334" i="1"/>
  <c r="BO333" i="1"/>
  <c r="BM333" i="1"/>
  <c r="Y333" i="1"/>
  <c r="P333" i="1"/>
  <c r="X330" i="1"/>
  <c r="X329" i="1"/>
  <c r="BO328" i="1"/>
  <c r="BM328" i="1"/>
  <c r="Y328" i="1"/>
  <c r="BP328" i="1" s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O324" i="1"/>
  <c r="BM324" i="1"/>
  <c r="Y324" i="1"/>
  <c r="P324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X315" i="1"/>
  <c r="X314" i="1"/>
  <c r="BO313" i="1"/>
  <c r="BM313" i="1"/>
  <c r="Y313" i="1"/>
  <c r="Y315" i="1" s="1"/>
  <c r="P313" i="1"/>
  <c r="X311" i="1"/>
  <c r="X310" i="1"/>
  <c r="BO309" i="1"/>
  <c r="BM309" i="1"/>
  <c r="Y309" i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BP299" i="1" s="1"/>
  <c r="P299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X291" i="1"/>
  <c r="X290" i="1"/>
  <c r="BO289" i="1"/>
  <c r="BM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6" i="1"/>
  <c r="X275" i="1"/>
  <c r="BO274" i="1"/>
  <c r="BM274" i="1"/>
  <c r="Y274" i="1"/>
  <c r="P274" i="1"/>
  <c r="BO273" i="1"/>
  <c r="BM273" i="1"/>
  <c r="Z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BO269" i="1"/>
  <c r="BM269" i="1"/>
  <c r="Y269" i="1"/>
  <c r="P269" i="1"/>
  <c r="BO268" i="1"/>
  <c r="BM268" i="1"/>
  <c r="Y268" i="1"/>
  <c r="P268" i="1"/>
  <c r="BO267" i="1"/>
  <c r="BM267" i="1"/>
  <c r="Y267" i="1"/>
  <c r="BP267" i="1" s="1"/>
  <c r="P267" i="1"/>
  <c r="X265" i="1"/>
  <c r="X264" i="1"/>
  <c r="BO263" i="1"/>
  <c r="BM263" i="1"/>
  <c r="Y263" i="1"/>
  <c r="P263" i="1"/>
  <c r="BO262" i="1"/>
  <c r="BM262" i="1"/>
  <c r="Y262" i="1"/>
  <c r="Y264" i="1" s="1"/>
  <c r="P262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50" i="1"/>
  <c r="X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BP238" i="1" s="1"/>
  <c r="P238" i="1"/>
  <c r="X236" i="1"/>
  <c r="X235" i="1"/>
  <c r="BO234" i="1"/>
  <c r="BM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BO189" i="1"/>
  <c r="BM189" i="1"/>
  <c r="Y189" i="1"/>
  <c r="Y192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BN171" i="1" s="1"/>
  <c r="P171" i="1"/>
  <c r="BO170" i="1"/>
  <c r="BM170" i="1"/>
  <c r="Y170" i="1"/>
  <c r="Y172" i="1" s="1"/>
  <c r="P170" i="1"/>
  <c r="X168" i="1"/>
  <c r="X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Z155" i="1" s="1"/>
  <c r="P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O149" i="1"/>
  <c r="BM149" i="1"/>
  <c r="Z149" i="1"/>
  <c r="Y149" i="1"/>
  <c r="BN149" i="1" s="1"/>
  <c r="P149" i="1"/>
  <c r="X146" i="1"/>
  <c r="X145" i="1"/>
  <c r="BO144" i="1"/>
  <c r="BM144" i="1"/>
  <c r="Y144" i="1"/>
  <c r="P144" i="1"/>
  <c r="BO143" i="1"/>
  <c r="BM143" i="1"/>
  <c r="Y143" i="1"/>
  <c r="BP143" i="1" s="1"/>
  <c r="P143" i="1"/>
  <c r="BO142" i="1"/>
  <c r="BM142" i="1"/>
  <c r="Y142" i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BP137" i="1" s="1"/>
  <c r="P137" i="1"/>
  <c r="BO136" i="1"/>
  <c r="BM136" i="1"/>
  <c r="Z136" i="1"/>
  <c r="Y136" i="1"/>
  <c r="BN136" i="1" s="1"/>
  <c r="P136" i="1"/>
  <c r="BO135" i="1"/>
  <c r="BM135" i="1"/>
  <c r="Y135" i="1"/>
  <c r="Y140" i="1" s="1"/>
  <c r="P135" i="1"/>
  <c r="X133" i="1"/>
  <c r="X132" i="1"/>
  <c r="BO131" i="1"/>
  <c r="BM131" i="1"/>
  <c r="Y131" i="1"/>
  <c r="BP131" i="1" s="1"/>
  <c r="P131" i="1"/>
  <c r="BO130" i="1"/>
  <c r="BM130" i="1"/>
  <c r="Y130" i="1"/>
  <c r="P130" i="1"/>
  <c r="BO129" i="1"/>
  <c r="BM129" i="1"/>
  <c r="Y129" i="1"/>
  <c r="H564" i="1" s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P119" i="1"/>
  <c r="BO119" i="1"/>
  <c r="BM119" i="1"/>
  <c r="Y119" i="1"/>
  <c r="P119" i="1"/>
  <c r="BO118" i="1"/>
  <c r="BM118" i="1"/>
  <c r="Y118" i="1"/>
  <c r="BP118" i="1" s="1"/>
  <c r="P118" i="1"/>
  <c r="BO117" i="1"/>
  <c r="BM117" i="1"/>
  <c r="Y117" i="1"/>
  <c r="P117" i="1"/>
  <c r="X115" i="1"/>
  <c r="X114" i="1"/>
  <c r="BO113" i="1"/>
  <c r="BM113" i="1"/>
  <c r="Y113" i="1"/>
  <c r="P113" i="1"/>
  <c r="BO112" i="1"/>
  <c r="BM112" i="1"/>
  <c r="Y112" i="1"/>
  <c r="BP112" i="1" s="1"/>
  <c r="P112" i="1"/>
  <c r="BO111" i="1"/>
  <c r="BM111" i="1"/>
  <c r="Y111" i="1"/>
  <c r="BN111" i="1" s="1"/>
  <c r="P111" i="1"/>
  <c r="BO110" i="1"/>
  <c r="BM110" i="1"/>
  <c r="Y110" i="1"/>
  <c r="BP110" i="1" s="1"/>
  <c r="P110" i="1"/>
  <c r="BO109" i="1"/>
  <c r="BM109" i="1"/>
  <c r="Y109" i="1"/>
  <c r="BN109" i="1" s="1"/>
  <c r="P109" i="1"/>
  <c r="X107" i="1"/>
  <c r="X106" i="1"/>
  <c r="BO105" i="1"/>
  <c r="BM105" i="1"/>
  <c r="Y105" i="1"/>
  <c r="BN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O99" i="1"/>
  <c r="BM99" i="1"/>
  <c r="Z99" i="1"/>
  <c r="Y99" i="1"/>
  <c r="BN99" i="1" s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O73" i="1"/>
  <c r="BM73" i="1"/>
  <c r="Y73" i="1"/>
  <c r="BN73" i="1" s="1"/>
  <c r="P73" i="1"/>
  <c r="X71" i="1"/>
  <c r="X70" i="1"/>
  <c r="BO69" i="1"/>
  <c r="BM69" i="1"/>
  <c r="Y69" i="1"/>
  <c r="BN69" i="1" s="1"/>
  <c r="P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Z55" i="1"/>
  <c r="Y55" i="1"/>
  <c r="BN55" i="1" s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N48" i="1" s="1"/>
  <c r="P48" i="1"/>
  <c r="BO47" i="1"/>
  <c r="BM47" i="1"/>
  <c r="Y47" i="1"/>
  <c r="D564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Z38" i="1"/>
  <c r="Y38" i="1"/>
  <c r="BN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BP28" i="1" l="1"/>
  <c r="BP48" i="1"/>
  <c r="BN59" i="1"/>
  <c r="BN84" i="1"/>
  <c r="BP84" i="1"/>
  <c r="BN92" i="1"/>
  <c r="Z92" i="1"/>
  <c r="BN113" i="1"/>
  <c r="Z113" i="1"/>
  <c r="BP130" i="1"/>
  <c r="BN130" i="1"/>
  <c r="Z130" i="1"/>
  <c r="Y146" i="1"/>
  <c r="Z142" i="1"/>
  <c r="BP181" i="1"/>
  <c r="BN181" i="1"/>
  <c r="Z181" i="1"/>
  <c r="BP209" i="1"/>
  <c r="BN209" i="1"/>
  <c r="Z209" i="1"/>
  <c r="BP234" i="1"/>
  <c r="BN234" i="1"/>
  <c r="Z234" i="1"/>
  <c r="BP269" i="1"/>
  <c r="BN269" i="1"/>
  <c r="Z269" i="1"/>
  <c r="BP286" i="1"/>
  <c r="BN286" i="1"/>
  <c r="Z286" i="1"/>
  <c r="BP319" i="1"/>
  <c r="BN319" i="1"/>
  <c r="Z319" i="1"/>
  <c r="BP348" i="1"/>
  <c r="BN348" i="1"/>
  <c r="Z348" i="1"/>
  <c r="BP382" i="1"/>
  <c r="BN382" i="1"/>
  <c r="Z382" i="1"/>
  <c r="BP426" i="1"/>
  <c r="BN426" i="1"/>
  <c r="Z426" i="1"/>
  <c r="BP473" i="1"/>
  <c r="BN473" i="1"/>
  <c r="Z473" i="1"/>
  <c r="BP506" i="1"/>
  <c r="BN506" i="1"/>
  <c r="Z506" i="1"/>
  <c r="X558" i="1"/>
  <c r="Z28" i="1"/>
  <c r="Z30" i="1"/>
  <c r="BN30" i="1"/>
  <c r="C564" i="1"/>
  <c r="BP38" i="1"/>
  <c r="Z48" i="1"/>
  <c r="Z50" i="1"/>
  <c r="BN50" i="1"/>
  <c r="BP55" i="1"/>
  <c r="BN67" i="1"/>
  <c r="BN79" i="1"/>
  <c r="Z84" i="1"/>
  <c r="BP92" i="1"/>
  <c r="BP94" i="1"/>
  <c r="BN94" i="1"/>
  <c r="Z94" i="1"/>
  <c r="BN103" i="1"/>
  <c r="BP113" i="1"/>
  <c r="Y121" i="1"/>
  <c r="BN119" i="1"/>
  <c r="Z119" i="1"/>
  <c r="BP142" i="1"/>
  <c r="BP144" i="1"/>
  <c r="BN144" i="1"/>
  <c r="Z144" i="1"/>
  <c r="BN153" i="1"/>
  <c r="BP191" i="1"/>
  <c r="BN191" i="1"/>
  <c r="Z191" i="1"/>
  <c r="BP226" i="1"/>
  <c r="BN226" i="1"/>
  <c r="Z226" i="1"/>
  <c r="BP246" i="1"/>
  <c r="BN246" i="1"/>
  <c r="Z246" i="1"/>
  <c r="BP278" i="1"/>
  <c r="BN278" i="1"/>
  <c r="Z278" i="1"/>
  <c r="BP301" i="1"/>
  <c r="BN301" i="1"/>
  <c r="Z301" i="1"/>
  <c r="Y336" i="1"/>
  <c r="BP333" i="1"/>
  <c r="BN333" i="1"/>
  <c r="Z333" i="1"/>
  <c r="BP370" i="1"/>
  <c r="BN370" i="1"/>
  <c r="Z370" i="1"/>
  <c r="BP394" i="1"/>
  <c r="BN394" i="1"/>
  <c r="Z394" i="1"/>
  <c r="BP438" i="1"/>
  <c r="BN438" i="1"/>
  <c r="Z438" i="1"/>
  <c r="BP492" i="1"/>
  <c r="BN492" i="1"/>
  <c r="Z492" i="1"/>
  <c r="BP522" i="1"/>
  <c r="BN522" i="1"/>
  <c r="Z522" i="1"/>
  <c r="BP99" i="1"/>
  <c r="BP136" i="1"/>
  <c r="BP149" i="1"/>
  <c r="BN165" i="1"/>
  <c r="Z61" i="1"/>
  <c r="BP61" i="1"/>
  <c r="Y71" i="1"/>
  <c r="Z69" i="1"/>
  <c r="BP69" i="1"/>
  <c r="Y75" i="1"/>
  <c r="Z105" i="1"/>
  <c r="BP105" i="1"/>
  <c r="Y115" i="1"/>
  <c r="Z111" i="1"/>
  <c r="BP111" i="1"/>
  <c r="Z117" i="1"/>
  <c r="BP117" i="1"/>
  <c r="BP175" i="1"/>
  <c r="Z175" i="1"/>
  <c r="BN175" i="1"/>
  <c r="BP207" i="1"/>
  <c r="Z207" i="1"/>
  <c r="BN207" i="1"/>
  <c r="BN242" i="1"/>
  <c r="BP242" i="1"/>
  <c r="Z242" i="1"/>
  <c r="BN274" i="1"/>
  <c r="BP274" i="1"/>
  <c r="Z274" i="1"/>
  <c r="BN364" i="1"/>
  <c r="BP364" i="1"/>
  <c r="Z364" i="1"/>
  <c r="Y396" i="1"/>
  <c r="BN392" i="1"/>
  <c r="BP392" i="1"/>
  <c r="Z392" i="1"/>
  <c r="BN520" i="1"/>
  <c r="BP520" i="1"/>
  <c r="Z520" i="1"/>
  <c r="Z59" i="1"/>
  <c r="Z67" i="1"/>
  <c r="Z73" i="1"/>
  <c r="BP73" i="1"/>
  <c r="Z103" i="1"/>
  <c r="Z109" i="1"/>
  <c r="BP109" i="1"/>
  <c r="BN142" i="1"/>
  <c r="Z153" i="1"/>
  <c r="Z165" i="1"/>
  <c r="BP171" i="1"/>
  <c r="Z171" i="1"/>
  <c r="BN228" i="1"/>
  <c r="BP228" i="1"/>
  <c r="Z228" i="1"/>
  <c r="BN248" i="1"/>
  <c r="BP248" i="1"/>
  <c r="Z248" i="1"/>
  <c r="BN280" i="1"/>
  <c r="BP280" i="1"/>
  <c r="Z280" i="1"/>
  <c r="BN303" i="1"/>
  <c r="BP303" i="1"/>
  <c r="Z303" i="1"/>
  <c r="BN340" i="1"/>
  <c r="BP340" i="1"/>
  <c r="Z340" i="1"/>
  <c r="BN372" i="1"/>
  <c r="BP372" i="1"/>
  <c r="Z372" i="1"/>
  <c r="BN400" i="1"/>
  <c r="BP400" i="1"/>
  <c r="Z400" i="1"/>
  <c r="BN444" i="1"/>
  <c r="BP444" i="1"/>
  <c r="Z444" i="1"/>
  <c r="BN546" i="1"/>
  <c r="BP546" i="1"/>
  <c r="Z546" i="1"/>
  <c r="Z79" i="1"/>
  <c r="BN117" i="1"/>
  <c r="BP183" i="1"/>
  <c r="Z183" i="1"/>
  <c r="BN183" i="1"/>
  <c r="BN263" i="1"/>
  <c r="BP263" i="1"/>
  <c r="Z263" i="1"/>
  <c r="Y311" i="1"/>
  <c r="Y310" i="1"/>
  <c r="BN309" i="1"/>
  <c r="BP309" i="1"/>
  <c r="Z309" i="1"/>
  <c r="Z310" i="1" s="1"/>
  <c r="BN317" i="1"/>
  <c r="BP317" i="1"/>
  <c r="Z317" i="1"/>
  <c r="BN380" i="1"/>
  <c r="BP380" i="1"/>
  <c r="Z380" i="1"/>
  <c r="BN420" i="1"/>
  <c r="BP420" i="1"/>
  <c r="Z420" i="1"/>
  <c r="BN504" i="1"/>
  <c r="BP504" i="1"/>
  <c r="Z504" i="1"/>
  <c r="BN179" i="1"/>
  <c r="BP179" i="1"/>
  <c r="Z179" i="1"/>
  <c r="Y193" i="1"/>
  <c r="BP189" i="1"/>
  <c r="Z189" i="1"/>
  <c r="BN189" i="1"/>
  <c r="BN211" i="1"/>
  <c r="BP211" i="1"/>
  <c r="Z211" i="1"/>
  <c r="BN271" i="1"/>
  <c r="BP271" i="1"/>
  <c r="Z271" i="1"/>
  <c r="BN288" i="1"/>
  <c r="BP288" i="1"/>
  <c r="Z288" i="1"/>
  <c r="Y330" i="1"/>
  <c r="BN324" i="1"/>
  <c r="BP324" i="1"/>
  <c r="Z324" i="1"/>
  <c r="BN355" i="1"/>
  <c r="BP355" i="1"/>
  <c r="Z355" i="1"/>
  <c r="BN386" i="1"/>
  <c r="BP386" i="1"/>
  <c r="Z386" i="1"/>
  <c r="BN428" i="1"/>
  <c r="BP428" i="1"/>
  <c r="Z428" i="1"/>
  <c r="BN512" i="1"/>
  <c r="BP512" i="1"/>
  <c r="Z512" i="1"/>
  <c r="BN224" i="1"/>
  <c r="BN232" i="1"/>
  <c r="BN238" i="1"/>
  <c r="BN267" i="1"/>
  <c r="Y290" i="1"/>
  <c r="BN284" i="1"/>
  <c r="BN299" i="1"/>
  <c r="BN313" i="1"/>
  <c r="Y314" i="1"/>
  <c r="BN328" i="1"/>
  <c r="BN335" i="1"/>
  <c r="BN344" i="1"/>
  <c r="U564" i="1"/>
  <c r="BN432" i="1"/>
  <c r="BN465" i="1"/>
  <c r="BN475" i="1"/>
  <c r="BN481" i="1"/>
  <c r="BN500" i="1"/>
  <c r="BN551" i="1"/>
  <c r="Y552" i="1"/>
  <c r="Z414" i="1"/>
  <c r="Z224" i="1"/>
  <c r="Z232" i="1"/>
  <c r="Z238" i="1"/>
  <c r="Z267" i="1"/>
  <c r="Z284" i="1"/>
  <c r="Z299" i="1"/>
  <c r="Z313" i="1"/>
  <c r="Z314" i="1" s="1"/>
  <c r="BP313" i="1"/>
  <c r="Z328" i="1"/>
  <c r="Z335" i="1"/>
  <c r="Z344" i="1"/>
  <c r="Z432" i="1"/>
  <c r="Z465" i="1"/>
  <c r="Z475" i="1"/>
  <c r="Z481" i="1"/>
  <c r="Z500" i="1"/>
  <c r="Z551" i="1"/>
  <c r="Z552" i="1" s="1"/>
  <c r="BP551" i="1"/>
  <c r="F9" i="1"/>
  <c r="J9" i="1"/>
  <c r="F10" i="1"/>
  <c r="Y25" i="1"/>
  <c r="Y33" i="1"/>
  <c r="Y43" i="1"/>
  <c r="Y51" i="1"/>
  <c r="Y64" i="1"/>
  <c r="Y70" i="1"/>
  <c r="Y76" i="1"/>
  <c r="Y80" i="1"/>
  <c r="Y89" i="1"/>
  <c r="Y95" i="1"/>
  <c r="Y106" i="1"/>
  <c r="Y114" i="1"/>
  <c r="Y122" i="1"/>
  <c r="Y126" i="1"/>
  <c r="Y133" i="1"/>
  <c r="Y139" i="1"/>
  <c r="Y14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BP176" i="1"/>
  <c r="BN176" i="1"/>
  <c r="Z176" i="1"/>
  <c r="BP180" i="1"/>
  <c r="BN180" i="1"/>
  <c r="Z180" i="1"/>
  <c r="BP184" i="1"/>
  <c r="BN184" i="1"/>
  <c r="Z184" i="1"/>
  <c r="BP196" i="1"/>
  <c r="BN196" i="1"/>
  <c r="Z196" i="1"/>
  <c r="Z197" i="1" s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Y243" i="1"/>
  <c r="BP247" i="1"/>
  <c r="BN247" i="1"/>
  <c r="Z247" i="1"/>
  <c r="Z249" i="1" s="1"/>
  <c r="BP268" i="1"/>
  <c r="BN268" i="1"/>
  <c r="Z268" i="1"/>
  <c r="Z275" i="1" s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Y421" i="1"/>
  <c r="P564" i="1"/>
  <c r="H9" i="1"/>
  <c r="B564" i="1"/>
  <c r="X555" i="1"/>
  <c r="X556" i="1"/>
  <c r="Z23" i="1"/>
  <c r="Z24" i="1" s="1"/>
  <c r="BN23" i="1"/>
  <c r="Y24" i="1"/>
  <c r="X554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4" i="1"/>
  <c r="Z56" i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BN85" i="1"/>
  <c r="Z87" i="1"/>
  <c r="BN87" i="1"/>
  <c r="Y88" i="1"/>
  <c r="Z91" i="1"/>
  <c r="BN91" i="1"/>
  <c r="BP91" i="1"/>
  <c r="Z93" i="1"/>
  <c r="BN93" i="1"/>
  <c r="G564" i="1"/>
  <c r="Z100" i="1"/>
  <c r="BN100" i="1"/>
  <c r="Z102" i="1"/>
  <c r="BN102" i="1"/>
  <c r="Z104" i="1"/>
  <c r="BN104" i="1"/>
  <c r="Y107" i="1"/>
  <c r="Z110" i="1"/>
  <c r="BN110" i="1"/>
  <c r="Z112" i="1"/>
  <c r="BN112" i="1"/>
  <c r="Z118" i="1"/>
  <c r="BN118" i="1"/>
  <c r="Z120" i="1"/>
  <c r="BN120" i="1"/>
  <c r="Z124" i="1"/>
  <c r="Z125" i="1" s="1"/>
  <c r="BN124" i="1"/>
  <c r="BP124" i="1"/>
  <c r="Z129" i="1"/>
  <c r="BN129" i="1"/>
  <c r="BP129" i="1"/>
  <c r="Z131" i="1"/>
  <c r="BN131" i="1"/>
  <c r="Y132" i="1"/>
  <c r="Z135" i="1"/>
  <c r="BN135" i="1"/>
  <c r="BP135" i="1"/>
  <c r="Z137" i="1"/>
  <c r="BN137" i="1"/>
  <c r="Z143" i="1"/>
  <c r="Z145" i="1" s="1"/>
  <c r="BN143" i="1"/>
  <c r="I564" i="1"/>
  <c r="Y156" i="1"/>
  <c r="Z150" i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Y187" i="1"/>
  <c r="BP178" i="1"/>
  <c r="BN178" i="1"/>
  <c r="Z178" i="1"/>
  <c r="BP182" i="1"/>
  <c r="BN182" i="1"/>
  <c r="Z182" i="1"/>
  <c r="Y186" i="1"/>
  <c r="Z192" i="1"/>
  <c r="BP190" i="1"/>
  <c r="BN190" i="1"/>
  <c r="Z190" i="1"/>
  <c r="Y197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4" i="1"/>
  <c r="BP241" i="1"/>
  <c r="BN241" i="1"/>
  <c r="Z241" i="1"/>
  <c r="Y250" i="1"/>
  <c r="Y249" i="1"/>
  <c r="BP258" i="1"/>
  <c r="BN258" i="1"/>
  <c r="Z258" i="1"/>
  <c r="Z259" i="1" s="1"/>
  <c r="Y260" i="1"/>
  <c r="Y265" i="1"/>
  <c r="BP262" i="1"/>
  <c r="BN262" i="1"/>
  <c r="Z262" i="1"/>
  <c r="Z264" i="1" s="1"/>
  <c r="BP270" i="1"/>
  <c r="BN270" i="1"/>
  <c r="Z270" i="1"/>
  <c r="BP302" i="1"/>
  <c r="BN302" i="1"/>
  <c r="Z302" i="1"/>
  <c r="Y306" i="1"/>
  <c r="Z320" i="1"/>
  <c r="BP318" i="1"/>
  <c r="BN318" i="1"/>
  <c r="Z318" i="1"/>
  <c r="Y320" i="1"/>
  <c r="BP341" i="1"/>
  <c r="BN341" i="1"/>
  <c r="Z341" i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BP387" i="1"/>
  <c r="BN387" i="1"/>
  <c r="Z387" i="1"/>
  <c r="Z389" i="1" s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Y321" i="1"/>
  <c r="BP325" i="1"/>
  <c r="BN325" i="1"/>
  <c r="Z325" i="1"/>
  <c r="Z329" i="1" s="1"/>
  <c r="Y329" i="1"/>
  <c r="BP334" i="1"/>
  <c r="BN334" i="1"/>
  <c r="Z334" i="1"/>
  <c r="Z336" i="1" s="1"/>
  <c r="BP343" i="1"/>
  <c r="BN343" i="1"/>
  <c r="Z343" i="1"/>
  <c r="Y350" i="1"/>
  <c r="BP356" i="1"/>
  <c r="BN356" i="1"/>
  <c r="Z356" i="1"/>
  <c r="T564" i="1"/>
  <c r="Y366" i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BP393" i="1"/>
  <c r="BN393" i="1"/>
  <c r="Z393" i="1"/>
  <c r="BP401" i="1"/>
  <c r="BN401" i="1"/>
  <c r="Z401" i="1"/>
  <c r="Y408" i="1"/>
  <c r="BP405" i="1"/>
  <c r="BN405" i="1"/>
  <c r="Z405" i="1"/>
  <c r="Z408" i="1" s="1"/>
  <c r="BP427" i="1"/>
  <c r="BN427" i="1"/>
  <c r="Z427" i="1"/>
  <c r="BP431" i="1"/>
  <c r="BN431" i="1"/>
  <c r="Z431" i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Z514" i="1" s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Z88" i="1" l="1"/>
  <c r="X557" i="1"/>
  <c r="Z483" i="1"/>
  <c r="Z345" i="1"/>
  <c r="Z172" i="1"/>
  <c r="Z106" i="1"/>
  <c r="Y555" i="1"/>
  <c r="Z156" i="1"/>
  <c r="Z63" i="1"/>
  <c r="Y556" i="1"/>
  <c r="Z434" i="1"/>
  <c r="Z306" i="1"/>
  <c r="Z243" i="1"/>
  <c r="Z121" i="1"/>
  <c r="Z114" i="1"/>
  <c r="Z32" i="1"/>
  <c r="Z421" i="1"/>
  <c r="Z186" i="1"/>
  <c r="Z494" i="1"/>
  <c r="Z290" i="1"/>
  <c r="Z357" i="1"/>
  <c r="Y558" i="1"/>
  <c r="Z213" i="1"/>
  <c r="Z167" i="1"/>
  <c r="Z508" i="1"/>
  <c r="Z478" i="1"/>
  <c r="Z440" i="1"/>
  <c r="Z524" i="1"/>
  <c r="Z467" i="1"/>
  <c r="Z446" i="1"/>
  <c r="Z396" i="1"/>
  <c r="Z376" i="1"/>
  <c r="Z366" i="1"/>
  <c r="Z383" i="1"/>
  <c r="Z235" i="1"/>
  <c r="Z139" i="1"/>
  <c r="Z132" i="1"/>
  <c r="Z95" i="1"/>
  <c r="Z70" i="1"/>
  <c r="Z51" i="1"/>
  <c r="Z42" i="1"/>
  <c r="Z402" i="1"/>
  <c r="Y554" i="1"/>
  <c r="Z559" i="1" l="1"/>
  <c r="Y557" i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<sst xmlns="http://schemas.openxmlformats.org/spreadsheetml/2006/main" count="2517" uniqueCount="913">
  <si>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</si>
  <si>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</si>
  <si>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</si>
  <si>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</si>
  <si>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</si>
  <si>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</si>
  <si>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</si>
  <si>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</si>
  <si>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</si>
  <si>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</si>
  <si>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</si>
  <si>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</si>
  <si>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</si>
  <si>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</si>
  <si>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</si>
  <si>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</si>
  <si>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</si>
  <si>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</si>
  <si>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</si>
  <si>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</si>
  <si>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</si>
  <si>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</si>
  <si>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</si>
  <si>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</si>
  <si>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</si>
  <si>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</si>
  <si>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</si>
  <si>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</si>
  <si>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</si>
  <si>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</si>
  <si>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</si>
  <si>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</si>
  <si>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</si>
  <si>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</si>
  <si>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</si>
  <si>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</si>
  <si>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</si>
  <si>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</si>
  <si>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</si>
  <si>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</si>
  <si>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</si>
  <si>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</si>
  <si>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</si>
  <si>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</si>
  <si>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</si>
  <si>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</si>
  <si>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</si>
  <si>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</si>
  <si>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</si>
  <si>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</si>
  <si>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</si>
  <si>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</si>
  <si>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</si>
  <si>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</si>
  <si>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</si>
  <si>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</si>
  <si>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</si>
  <si>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</si>
  <si>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</si>
  <si>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</si>
  <si>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</si>
  <si>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</si>
  <si>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</si>
  <si>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</si>
  <si>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</si>
  <si>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</si>
  <si>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</si>
  <si>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</si>
  <si>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</si>
  <si>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</si>
  <si>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</si>
  <si>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</si>
  <si>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</si>
  <si>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</si>
  <si>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</si>
  <si>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</si>
  <si>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</si>
  <si>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</si>
  <si>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</si>
  <si>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</si>
  <si>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</si>
  <si>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</si>
  <si>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</si>
  <si>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</si>
  <si>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</si>
  <si>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</si>
  <si>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</si>
  <si>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</si>
  <si>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</si>
  <si>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</si>
  <si>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</si>
  <si>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</si>
  <si>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</si>
  <si>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</si>
  <si>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</si>
  <si>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</si>
  <si>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</si>
  <si>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</si>
  <si>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</si>
  <si>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</si>
  <si>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</si>
  <si>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</si>
  <si>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</si>
  <si>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</si>
  <si>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</si>
  <si>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</si>
  <si>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</si>
  <si>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</si>
  <si>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</si>
  <si>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</si>
  <si>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</si>
  <si>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</si>
  <si>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</si>
  <si>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</si>
  <si>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</si>
  <si>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</si>
  <si>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</si>
  <si>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</si>
  <si>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</si>
  <si>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</si>
  <si>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</si>
  <si>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</si>
  <si>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</si>
  <si>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</si>
  <si>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</si>
  <si>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</si>
  <si>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</si>
  <si>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</si>
  <si>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</si>
  <si>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</si>
  <si>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</si>
  <si>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</si>
  <si>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</si>
  <si>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</si>
  <si>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</si>
  <si>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</si>
  <si>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</si>
  <si>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</si>
  <si>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</si>
  <si>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</si>
  <si>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</si>
  <si>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</si>
  <si>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</si>
  <si>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</si>
  <si>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</si>
  <si>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</si>
  <si>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</si>
  <si>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</si>
  <si>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</si>
  <si>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</si>
  <si>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</si>
  <si>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</si>
  <si>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</si>
  <si>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</si>
  <si>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</si>
  <si>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</si>
  <si>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</si>
  <si>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</si>
  <si>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</si>
  <si>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</si>
  <si>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</si>
  <si>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</si>
  <si>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</si>
  <si>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</si>
  <si>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</si>
  <si>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</si>
  <si>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</si>
  <si>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</si>
  <si>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</si>
  <si>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</si>
  <si>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</si>
  <si>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</si>
  <si>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</si>
  <si>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</si>
  <si>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</si>
  <si>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</si>
  <si>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</si>
  <si>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</si>
  <si>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</si>
  <si>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</si>
  <si>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</si>
  <si>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</si>
  <si>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</si>
  <si>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</si>
  <si>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</si>
  <si>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</si>
  <si>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</si>
  <si>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</si>
  <si>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</si>
  <si>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</si>
  <si>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</si>
  <si>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</si>
  <si>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</si>
  <si>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</si>
  <si>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</si>
  <si>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</si>
  <si>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</si>
  <si>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</si>
  <si>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</si>
  <si>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</si>
  <si>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</si>
  <si>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</si>
  <si>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</si>
  <si>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</si>
  <si>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</si>
  <si>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</si>
  <si>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</si>
  <si>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</si>
  <si>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</si>
  <si>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</si>
  <si>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</si>
  <si>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</si>
  <si>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</si>
  <si>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</si>
  <si>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</si>
  <si>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</si>
  <si>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</si>
  <si>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</si>
  <si>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</si>
  <si>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</si>
  <si>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</si>
  <si>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</si>
  <si>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</si>
  <si>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</si>
  <si>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</si>
  <si>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</si>
  <si>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</si>
  <si>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</si>
  <si>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</si>
  <si>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</si>
  <si>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</si>
  <si>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</si>
  <si>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</si>
  <si>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</si>
  <si>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</si>
  <si>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</si>
  <si>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</si>
  <si>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</si>
  <si>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</si>
  <si>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</si>
  <si>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</si>
  <si>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</si>
  <si>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</si>
  <si>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</si>
  <si>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</si>
  <si>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</si>
  <si>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</si>
  <si>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</si>
  <si>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</si>
  <si>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</si>
  <si>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</si>
  <si>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</si>
  <si>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</si>
  <si>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</si>
  <si>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</si>
  <si>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</si>
  <si>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</si>
  <si>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</si>
  <si>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</si>
  <si>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</si>
  <si>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</si>
  <si>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</si>
  <si>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</si>
  <si>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</si>
  <si>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</si>
  <si>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</si>
  <si>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</si>
  <si>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</si>
  <si>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</si>
  <si>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</si>
  <si>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</si>
  <si>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</si>
  <si>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</si>
  <si>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</si>
  <si>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</si>
  <si>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</si>
  <si>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</si>
  <si>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</si>
  <si>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</si>
  <si>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</si>
  <si>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</si>
  <si>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</si>
  <si>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</si>
  <si>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</si>
  <si>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</si>
  <si>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</si>
  <si>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</si>
  <si>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</si>
  <si>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</si>
  <si>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</si>
  <si>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</si>
  <si>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</si>
  <si>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</si>
  <si>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</si>
  <si>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</si>
  <si>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</si>
  <si>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</si>
  <si>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</si>
  <si>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</si>
  <si>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</si>
  <si>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</si>
  <si>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</si>
  <si>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</si>
  <si>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</si>
  <si>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</si>
  <si>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</si>
  <si>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</si>
  <si>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</si>
  <si>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</si>
  <si>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</si>
  <si>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</si>
  <si>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</si>
  <si>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</si>
  <si>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</si>
  <si>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</si>
  <si>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</si>
  <si>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</si>
  <si>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</si>
  <si>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</si>
  <si>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</si>
  <si>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</si>
  <si>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</si>
  <si>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</si>
  <si>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</si>
  <si>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</si>
  <si>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</si>
  <si>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</si>
  <si>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</si>
  <si>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</si>
  <si>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</si>
  <si>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</si>
  <si>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</si>
  <si>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</si>
  <si>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</si>
  <si>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</si>
  <si>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</si>
  <si>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</si>
  <si>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</si>
  <si>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</si>
  <si>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</si>
  <si>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</si>
  <si>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</si>
  <si>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</si>
  <si>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</si>
  <si>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</si>
  <si>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</si>
  <si>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</si>
  <si>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</si>
  <si>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</si>
  <si>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</si>
  <si>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</si>
  <si>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</si>
  <si>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</si>
  <si>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</si>
  <si>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</si>
  <si>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</si>
  <si>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</si>
  <si>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</si>
  <si>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</si>
  <si>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</si>
  <si>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</si>
  <si>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</si>
  <si>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</si>
  <si>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</si>
  <si>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</si>
  <si>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</si>
  <si>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</si>
  <si>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</si>
  <si>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</si>
  <si>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</si>
  <si>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</si>
  <si>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</si>
  <si>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</si>
  <si>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</si>
  <si>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</si>
  <si>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</si>
  <si>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</si>
  <si>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</si>
  <si>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</si>
  <si>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</si>
  <si>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</si>
  <si>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</si>
  <si>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</si>
  <si>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</si>
  <si>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</si>
  <si>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</si>
  <si>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</si>
  <si>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</si>
  <si>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</si>
  <si>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</si>
  <si>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</si>
  <si>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</si>
  <si>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</si>
  <si>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</si>
  <si>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</si>
  <si>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</si>
  <si>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</si>
  <si>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</si>
  <si>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</si>
  <si>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</si>
  <si>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</si>
  <si>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</si>
  <si>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</si>
  <si>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</si>
  <si>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</si>
  <si>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</si>
  <si>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</si>
  <si>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</si>
  <si>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</si>
  <si>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</si>
  <si>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</si>
  <si>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</si>
  <si>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</si>
  <si>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</si>
  <si>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</si>
  <si>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</si>
  <si>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</si>
  <si>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</si>
  <si>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</si>
  <si>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</si>
  <si>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</si>
  <si>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</si>
  <si>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</si>
  <si>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</si>
  <si>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</si>
  <si>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</si>
  <si>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</si>
  <si>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</si>
  <si>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</si>
  <si>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</si>
  <si>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</si>
  <si>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</si>
  <si>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</si>
  <si>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</si>
  <si>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</si>
  <si>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</si>
  <si>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</si>
  <si>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</si>
  <si>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</si>
  <si>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</si>
  <si>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</si>
  <si>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</si>
  <si>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</si>
  <si>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</si>
  <si>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</si>
  <si>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</si>
  <si>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</si>
  <si>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</si>
  <si>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</si>
  <si>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</si>
  <si>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</si>
  <si>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</si>
  <si>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</si>
  <si>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</si>
  <si>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</si>
  <si>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</si>
  <si>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</si>
  <si>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</si>
  <si>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</si>
  <si>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</si>
  <si>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</si>
  <si>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</si>
  <si>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</si>
  <si>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</si>
  <si>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</si>
  <si>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</si>
  <si>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</si>
  <si>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</si>
  <si>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</si>
  <si>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</si>
  <si>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</si>
  <si>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</si>
  <si>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</si>
  <si>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</si>
  <si>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</si>
  <si>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</si>
  <si>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</si>
  <si>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</si>
  <si>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</si>
  <si>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</si>
  <si>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</si>
  <si>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</si>
  <si>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</si>
  <si>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</si>
  <si>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</si>
  <si>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</si>
  <si>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</si>
  <si>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</si>
  <si>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</si>
  <si>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</si>
  <si>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</si>
  <si>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</si>
  <si>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</si>
  <si>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</si>
  <si>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</si>
  <si>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</si>
  <si>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</si>
  <si>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</si>
  <si>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</si>
  <si>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</si>
  <si>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</si>
  <si>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</si>
  <si>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</si>
  <si>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</si>
  <si>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</si>
  <si>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</si>
  <si>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</si>
  <si>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</si>
  <si>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</si>
  <si>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</si>
  <si>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</si>
  <si>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</si>
  <si>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</si>
  <si>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</si>
  <si>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</si>
  <si>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</si>
  <si>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</si>
  <si>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</si>
  <si>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</si>
  <si>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</si>
  <si>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</si>
  <si>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</si>
  <si>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</si>
  <si>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</si>
  <si>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</si>
  <si>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</si>
  <si>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</si>
  <si>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</si>
  <si>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</si>
  <si>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</si>
  <si>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</si>
  <si>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</si>
  <si>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</si>
  <si>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</si>
  <si>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</si>
  <si>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</si>
  <si>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</si>
  <si>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</si>
  <si>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</si>
  <si>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</si>
  <si>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</si>
  <si>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</si>
  <si>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</si>
  <si>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</si>
  <si>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</si>
  <si>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</si>
  <si>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</si>
  <si>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</si>
  <si>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</si>
  <si>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</si>
  <si>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</si>
  <si>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</si>
  <si>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</si>
  <si>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</si>
  <si>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</si>
  <si>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</si>
  <si>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</si>
  <si>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</si>
  <si>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</si>
  <si>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</si>
  <si>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</si>
  <si>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</si>
  <si>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</si>
  <si>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</si>
  <si>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</si>
  <si>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</si>
  <si>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</si>
  <si>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</si>
  <si>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</si>
  <si>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</si>
  <si>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</si>
  <si>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</si>
  <si>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</si>
  <si>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</si>
  <si>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</si>
  <si>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</si>
  <si>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</si>
  <si>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</si>
  <si>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</si>
  <si>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</si>
  <si>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</si>
  <si>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</si>
  <si>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</si>
  <si>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</si>
  <si>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</si>
  <si>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</si>
  <si>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</si>
  <si>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</si>
  <si>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</si>
  <si>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</si>
  <si>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</si>
  <si>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</si>
  <si>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</si>
  <si>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</si>
  <si>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</si>
  <si>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</si>
  <si>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</si>
  <si>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</si>
  <si>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</si>
  <si>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</si>
  <si>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</si>
  <si>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</si>
  <si>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</si>
  <si>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</si>
  <si>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</si>
  <si>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</si>
  <si>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</si>
  <si>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</si>
  <si>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</si>
  <si>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</si>
  <si>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</si>
  <si>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</si>
  <si>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</si>
  <si>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</si>
  <si>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</si>
  <si>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</si>
  <si>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</si>
  <si>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</si>
  <si>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</si>
  <si>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</si>
  <si>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</si>
  <si>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</si>
  <si>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</si>
  <si>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</si>
  <si>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</si>
  <si>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</si>
  <si>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</si>
  <si>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</si>
  <si>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</si>
  <si>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</si>
  <si>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</si>
  <si>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</si>
  <si>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</si>
  <si>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</si>
  <si>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</si>
  <si>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</si>
  <si>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</si>
  <si>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</si>
  <si>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</si>
  <si>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</si>
  <si>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</si>
  <si>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</si>
  <si>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</si>
  <si>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</si>
  <si>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</si>
  <si>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</si>
  <si>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</si>
  <si>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</si>
  <si>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</si>
  <si>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</si>
  <si>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</si>
  <si>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</si>
  <si>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</si>
  <si>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</si>
  <si>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</si>
  <si>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</si>
  <si>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</si>
  <si>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</si>
  <si>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</si>
  <si>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</si>
  <si>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</si>
  <si>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</si>
  <si>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</si>
  <si>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</si>
  <si>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</si>
  <si>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</si>
  <si>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</si>
  <si>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</si>
  <si>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</si>
  <si>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</si>
  <si>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</si>
  <si>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</si>
  <si>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</si>
  <si>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</si>
  <si>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</si>
  <si>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</si>
  <si>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</si>
  <si>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</si>
  <si>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</si>
  <si>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</si>
  <si>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</si>
  <si>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</si>
  <si>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</si>
  <si>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</si>
  <si>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</si>
  <si>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</si>
  <si>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</si>
  <si>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</si>
  <si>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</si>
  <si>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</si>
  <si>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</si>
  <si>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</si>
  <si>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</si>
  <si>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</si>
  <si>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</si>
  <si>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</si>
  <si>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</si>
  <si>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</si>
  <si>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</si>
  <si>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</si>
  <si>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</si>
  <si>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</si>
  <si>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</si>
  <si>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</si>
  <si>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</si>
  <si>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</si>
  <si>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</si>
  <si>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</si>
  <si>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</si>
  <si>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</si>
  <si>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</si>
  <si>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</si>
  <si>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</si>
  <si>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</si>
  <si>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</si>
  <si>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</si>
  <si>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</si>
  <si>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</si>
  <si>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</si>
  <si>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</si>
  <si>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</si>
  <si>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</si>
  <si>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</si>
  <si>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</si>
  <si>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</si>
  <si>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</si>
  <si>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</si>
  <si>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</si>
  <si>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</si>
  <si>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</si>
  <si>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</si>
  <si>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</si>
  <si>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</si>
  <si>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</si>
  <si>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</si>
  <si>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</si>
  <si>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</si>
  <si>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</si>
  <si>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</si>
  <si>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</si>
  <si>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</si>
  <si>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</si>
  <si>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</si>
  <si>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</si>
  <si>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</si>
  <si>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</si>
  <si>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</si>
  <si>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</si>
  <si>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</si>
  <si>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</si>
  <si>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</si>
  <si>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</si>
  <si>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</si>
  <si>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</si>
  <si>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</si>
  <si>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</si>
  <si>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</si>
  <si>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</si>
  <si>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</si>
  <si>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</si>
  <si>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</si>
  <si>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</si>
  <si>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</si>
  <si>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</si>
  <si>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</si>
  <si>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</si>
  <si>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</si>
  <si>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</si>
  <si>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</si>
  <si>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</si>
  <si>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</si>
  <si>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</si>
  <si>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</si>
  <si>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</si>
  <si>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</si>
  <si>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</si>
  <si>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</si>
  <si>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</si>
  <si>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</si>
  <si>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</si>
  <si>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</si>
  <si>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</si>
  <si>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</si>
  <si>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</si>
  <si>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</si>
  <si>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</si>
  <si>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</si>
  <si>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</si>
  <si>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</si>
  <si>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</si>
  <si>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</si>
  <si>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</si>
  <si>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</si>
  <si>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</si>
  <si>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</si>
  <si>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</si>
  <si>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</si>
  <si>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</si>
  <si>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</si>
  <si>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</si>
  <si>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</si>
  <si>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</si>
  <si>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</si>
  <si>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</si>
  <si>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</si>
  <si>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</si>
  <si>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</si>
  <si>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</si>
  <si>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</si>
  <si>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</si>
  <si>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</si>
  <si>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</si>
  <si>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</si>
  <si>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</si>
  <si>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</si>
  <si>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</si>
  <si>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</si>
  <si>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</si>
  <si>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</si>
  <si>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</si>
  <si>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</si>
  <si>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</si>
  <si>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</si>
  <si>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</si>
  <si>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</si>
  <si>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</si>
  <si>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</si>
  <si>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</si>
  <si>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</si>
  <si>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</si>
  <si>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</si>
  <si>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</si>
  <si>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</si>
  <si>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</si>
  <si>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</si>
  <si>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</si>
  <si>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</si>
  <si>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</si>
  <si>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</si>
  <si>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</si>
  <si>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</si>
  <si>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</si>
  <si>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</si>
  <si>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</si>
  <si>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</si>
  <si>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</si>
  <si>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</si>
  <si>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</si>
  <si>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</si>
  <si>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</si>
  <si>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</si>
  <si>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</si>
  <si>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</si>
  <si>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</si>
  <si>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</si>
  <si>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</si>
  <si>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</si>
  <si>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</si>
  <si>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</si>
  <si>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</si>
  <si>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</si>
  <si>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</si>
  <si>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</si>
  <si>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</si>
  <si>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</si>
  <si>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</si>
  <si>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</si>
  <si>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</si>
  <si>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</si>
  <si>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</si>
  <si>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</si>
  <si>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</si>
  <si>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</si>
  <si>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</si>
  <si>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</si>
  <si>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</si>
  <si>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</si>
  <si>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</si>
  <si>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</si>
  <si>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</si>
  <si>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</si>
  <si>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</si>
  <si>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</si>
  <si>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</si>
  <si>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</si>
  <si>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</si>
  <si>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</si>
  <si>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</si>
  <si>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</si>
  <si>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</si>
  <si>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</si>
  <si>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</si>
  <si>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</si>
  <si>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</si>
  <si>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</si>
  <si>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</si>
  <si>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</si>
  <si>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</si>
  <si>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</si>
  <si>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</si>
  <si>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</si>
  <si>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</si>
  <si>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</si>
  <si>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</si>
  <si>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</si>
  <si>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</si>
  <si>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</si>
  <si>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</si>
  <si>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</si>
  <si>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</si>
  <si>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</si>
  <si>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</si>
  <si>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31 европалет,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</si>
</sst>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689" t="s">
        <v>0</v>
      </c>
      <c r="E1" s="674"/>
      <c r="F1" s="674"/>
      <c r="G1" s="12" t="s">
        <v>1</v>
      </c>
      <c r="H1" s="68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0"/>
      <c r="Q3" s="640"/>
      <c r="R3" s="640"/>
      <c r="S3" s="640"/>
      <c r="T3" s="640"/>
      <c r="U3" s="640"/>
      <c r="V3" s="640"/>
      <c r="W3" s="640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85" t="s">
        <v>8</v>
      </c>
      <c r="B5" s="664"/>
      <c r="C5" s="665"/>
      <c r="D5" s="727"/>
      <c r="E5" s="728"/>
      <c r="F5" s="967" t="s">
        <v>9</v>
      </c>
      <c r="G5" s="665"/>
      <c r="H5" s="727" t="s">
        <v>912</v>
      </c>
      <c r="I5" s="909"/>
      <c r="J5" s="909"/>
      <c r="K5" s="909"/>
      <c r="L5" s="909"/>
      <c r="M5" s="728"/>
      <c r="N5" s="58"/>
      <c r="P5" s="24" t="s">
        <v>10</v>
      </c>
      <c r="Q5" s="983">
        <v>46244</v>
      </c>
      <c r="R5" s="784"/>
      <c r="T5" s="832" t="s">
        <v>11</v>
      </c>
      <c r="U5" s="725"/>
      <c r="V5" s="834" t="s">
        <v>12</v>
      </c>
      <c r="W5" s="784"/>
      <c r="AB5" s="51"/>
      <c r="AC5" s="51"/>
      <c r="AD5" s="51"/>
      <c r="AE5" s="51"/>
    </row>
    <row r="6" spans="1:32" s="627" customFormat="1" ht="24" customHeight="1" x14ac:dyDescent="0.2">
      <c r="A6" s="785" t="s">
        <v>13</v>
      </c>
      <c r="B6" s="664"/>
      <c r="C6" s="665"/>
      <c r="D6" s="911" t="s">
        <v>885</v>
      </c>
      <c r="E6" s="912"/>
      <c r="F6" s="912"/>
      <c r="G6" s="912"/>
      <c r="H6" s="912"/>
      <c r="I6" s="912"/>
      <c r="J6" s="912"/>
      <c r="K6" s="912"/>
      <c r="L6" s="912"/>
      <c r="M6" s="784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39" t="s">
        <v>15</v>
      </c>
      <c r="U6" s="725"/>
      <c r="V6" s="893" t="s">
        <v>16</v>
      </c>
      <c r="W6" s="65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83" t="str">
        <f>IFERROR(VLOOKUP(DeliveryAddress,Table,3,0),1)</f>
        <v>5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0"/>
      <c r="U7" s="725"/>
      <c r="V7" s="894"/>
      <c r="W7" s="895"/>
      <c r="AB7" s="51"/>
      <c r="AC7" s="51"/>
      <c r="AD7" s="51"/>
      <c r="AE7" s="51"/>
    </row>
    <row r="8" spans="1:32" s="627" customFormat="1" ht="25.5" customHeight="1" x14ac:dyDescent="0.2">
      <c r="A8" s="1004" t="s">
        <v>17</v>
      </c>
      <c r="B8" s="642"/>
      <c r="C8" s="643"/>
      <c r="D8" s="686"/>
      <c r="E8" s="687"/>
      <c r="F8" s="687"/>
      <c r="G8" s="687"/>
      <c r="H8" s="687"/>
      <c r="I8" s="687"/>
      <c r="J8" s="687"/>
      <c r="K8" s="687"/>
      <c r="L8" s="687"/>
      <c r="M8" s="688"/>
      <c r="N8" s="61"/>
      <c r="P8" s="24" t="s">
        <v>18</v>
      </c>
      <c r="Q8" s="793">
        <v>0.5</v>
      </c>
      <c r="R8" s="685"/>
      <c r="T8" s="640"/>
      <c r="U8" s="725"/>
      <c r="V8" s="894"/>
      <c r="W8" s="895"/>
      <c r="AB8" s="51"/>
      <c r="AC8" s="51"/>
      <c r="AD8" s="51"/>
      <c r="AE8" s="51"/>
    </row>
    <row r="9" spans="1:32" s="627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801"/>
      <c r="E9" s="65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5"/>
      <c r="P9" s="26" t="s">
        <v>19</v>
      </c>
      <c r="Q9" s="780"/>
      <c r="R9" s="781"/>
      <c r="T9" s="640"/>
      <c r="U9" s="725"/>
      <c r="V9" s="896"/>
      <c r="W9" s="897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801"/>
      <c r="E10" s="65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884" t="str">
        <f>IFERROR(VLOOKUP($D$10,Proxy,2,FALSE),"")</f>
        <v/>
      </c>
      <c r="I10" s="640"/>
      <c r="J10" s="640"/>
      <c r="K10" s="640"/>
      <c r="L10" s="640"/>
      <c r="M10" s="640"/>
      <c r="N10" s="626"/>
      <c r="P10" s="26" t="s">
        <v>20</v>
      </c>
      <c r="Q10" s="840"/>
      <c r="R10" s="841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3"/>
      <c r="R11" s="784"/>
      <c r="U11" s="24" t="s">
        <v>25</v>
      </c>
      <c r="V11" s="969" t="s">
        <v>26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5" t="s">
        <v>27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28</v>
      </c>
      <c r="Q12" s="793"/>
      <c r="R12" s="685"/>
      <c r="S12" s="23"/>
      <c r="U12" s="24"/>
      <c r="V12" s="674"/>
      <c r="W12" s="640"/>
      <c r="AB12" s="51"/>
      <c r="AC12" s="51"/>
      <c r="AD12" s="51"/>
      <c r="AE12" s="51"/>
    </row>
    <row r="13" spans="1:32" s="627" customFormat="1" ht="23.25" customHeight="1" x14ac:dyDescent="0.2">
      <c r="A13" s="825" t="s">
        <v>29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30</v>
      </c>
      <c r="Q13" s="969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5" t="s">
        <v>31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5" t="s">
        <v>32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8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9"/>
      <c r="Q16" s="809"/>
      <c r="R16" s="809"/>
      <c r="S16" s="809"/>
      <c r="T16" s="8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34</v>
      </c>
      <c r="B17" s="692" t="s">
        <v>35</v>
      </c>
      <c r="C17" s="800" t="s">
        <v>36</v>
      </c>
      <c r="D17" s="692" t="s">
        <v>37</v>
      </c>
      <c r="E17" s="749"/>
      <c r="F17" s="692" t="s">
        <v>38</v>
      </c>
      <c r="G17" s="692" t="s">
        <v>39</v>
      </c>
      <c r="H17" s="692" t="s">
        <v>40</v>
      </c>
      <c r="I17" s="692" t="s">
        <v>41</v>
      </c>
      <c r="J17" s="692" t="s">
        <v>42</v>
      </c>
      <c r="K17" s="692" t="s">
        <v>43</v>
      </c>
      <c r="L17" s="692" t="s">
        <v>44</v>
      </c>
      <c r="M17" s="692" t="s">
        <v>45</v>
      </c>
      <c r="N17" s="692" t="s">
        <v>46</v>
      </c>
      <c r="O17" s="692" t="s">
        <v>47</v>
      </c>
      <c r="P17" s="692" t="s">
        <v>48</v>
      </c>
      <c r="Q17" s="748"/>
      <c r="R17" s="748"/>
      <c r="S17" s="748"/>
      <c r="T17" s="749"/>
      <c r="U17" s="974" t="s">
        <v>49</v>
      </c>
      <c r="V17" s="665"/>
      <c r="W17" s="692" t="s">
        <v>50</v>
      </c>
      <c r="X17" s="692" t="s">
        <v>51</v>
      </c>
      <c r="Y17" s="975" t="s">
        <v>52</v>
      </c>
      <c r="Z17" s="907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93"/>
      <c r="B18" s="693"/>
      <c r="C18" s="693"/>
      <c r="D18" s="750"/>
      <c r="E18" s="752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93"/>
      <c r="X18" s="693"/>
      <c r="Y18" s="976"/>
      <c r="Z18" s="908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718" t="s">
        <v>61</v>
      </c>
      <c r="B19" s="719"/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19"/>
      <c r="N19" s="719"/>
      <c r="O19" s="719"/>
      <c r="P19" s="719"/>
      <c r="Q19" s="719"/>
      <c r="R19" s="719"/>
      <c r="S19" s="719"/>
      <c r="T19" s="719"/>
      <c r="U19" s="719"/>
      <c r="V19" s="719"/>
      <c r="W19" s="719"/>
      <c r="X19" s="719"/>
      <c r="Y19" s="719"/>
      <c r="Z19" s="719"/>
      <c r="AA19" s="48"/>
      <c r="AB19" s="48"/>
      <c r="AC19" s="48"/>
    </row>
    <row r="20" spans="1:68" ht="16.5" hidden="1" customHeight="1" x14ac:dyDescent="0.25">
      <c r="A20" s="639" t="s">
        <v>61</v>
      </c>
      <c r="B20" s="640"/>
      <c r="C20" s="640"/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  <c r="AA20" s="628"/>
      <c r="AB20" s="628"/>
      <c r="AC20" s="628"/>
    </row>
    <row r="21" spans="1:68" ht="14.25" hidden="1" customHeight="1" x14ac:dyDescent="0.25">
      <c r="A21" s="644" t="s">
        <v>62</v>
      </c>
      <c r="B21" s="640"/>
      <c r="C21" s="640"/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7">
        <v>4680115886643</v>
      </c>
      <c r="E22" s="638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7">
        <v>4680115889071</v>
      </c>
      <c r="E23" s="638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1"/>
      <c r="P24" s="641" t="s">
        <v>72</v>
      </c>
      <c r="Q24" s="642"/>
      <c r="R24" s="642"/>
      <c r="S24" s="642"/>
      <c r="T24" s="642"/>
      <c r="U24" s="642"/>
      <c r="V24" s="643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61"/>
      <c r="P25" s="641" t="s">
        <v>72</v>
      </c>
      <c r="Q25" s="642"/>
      <c r="R25" s="642"/>
      <c r="S25" s="642"/>
      <c r="T25" s="642"/>
      <c r="U25" s="642"/>
      <c r="V25" s="643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44" t="s">
        <v>74</v>
      </c>
      <c r="B26" s="640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29"/>
      <c r="AB26" s="629"/>
      <c r="AC26" s="62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7">
        <v>4680115885912</v>
      </c>
      <c r="E27" s="638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7">
        <v>4607091388237</v>
      </c>
      <c r="E28" s="638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7">
        <v>4680115887350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7">
        <v>4680115885905</v>
      </c>
      <c r="E30" s="638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7">
        <v>4680115887619</v>
      </c>
      <c r="E31" s="638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6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61"/>
      <c r="P32" s="641" t="s">
        <v>72</v>
      </c>
      <c r="Q32" s="642"/>
      <c r="R32" s="642"/>
      <c r="S32" s="642"/>
      <c r="T32" s="642"/>
      <c r="U32" s="642"/>
      <c r="V32" s="643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61"/>
      <c r="P33" s="641" t="s">
        <v>72</v>
      </c>
      <c r="Q33" s="642"/>
      <c r="R33" s="642"/>
      <c r="S33" s="642"/>
      <c r="T33" s="642"/>
      <c r="U33" s="642"/>
      <c r="V33" s="643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hidden="1" customHeight="1" x14ac:dyDescent="0.2">
      <c r="A34" s="718" t="s">
        <v>92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19"/>
      <c r="N34" s="719"/>
      <c r="O34" s="719"/>
      <c r="P34" s="719"/>
      <c r="Q34" s="719"/>
      <c r="R34" s="719"/>
      <c r="S34" s="719"/>
      <c r="T34" s="719"/>
      <c r="U34" s="719"/>
      <c r="V34" s="719"/>
      <c r="W34" s="719"/>
      <c r="X34" s="719"/>
      <c r="Y34" s="719"/>
      <c r="Z34" s="719"/>
      <c r="AA34" s="48"/>
      <c r="AB34" s="48"/>
      <c r="AC34" s="48"/>
    </row>
    <row r="35" spans="1:68" ht="16.5" hidden="1" customHeight="1" x14ac:dyDescent="0.25">
      <c r="A35" s="639" t="s">
        <v>93</v>
      </c>
      <c r="B35" s="640"/>
      <c r="C35" s="640"/>
      <c r="D35" s="640"/>
      <c r="E35" s="640"/>
      <c r="F35" s="640"/>
      <c r="G35" s="640"/>
      <c r="H35" s="640"/>
      <c r="I35" s="640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  <c r="AA35" s="628"/>
      <c r="AB35" s="628"/>
      <c r="AC35" s="628"/>
    </row>
    <row r="36" spans="1:68" ht="14.25" hidden="1" customHeight="1" x14ac:dyDescent="0.25">
      <c r="A36" s="644" t="s">
        <v>74</v>
      </c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29"/>
      <c r="AB36" s="629"/>
      <c r="AC36" s="62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37">
        <v>4680115889354</v>
      </c>
      <c r="E37" s="638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37">
        <v>4680115888463</v>
      </c>
      <c r="E38" s="638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4301052202</v>
      </c>
      <c r="D39" s="637">
        <v>4680115888494</v>
      </c>
      <c r="E39" s="638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37">
        <v>4680115888272</v>
      </c>
      <c r="E40" s="638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37">
        <v>4680115888364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0"/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61"/>
      <c r="P42" s="641" t="s">
        <v>72</v>
      </c>
      <c r="Q42" s="642"/>
      <c r="R42" s="642"/>
      <c r="S42" s="642"/>
      <c r="T42" s="642"/>
      <c r="U42" s="642"/>
      <c r="V42" s="643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61"/>
      <c r="P43" s="641" t="s">
        <v>72</v>
      </c>
      <c r="Q43" s="642"/>
      <c r="R43" s="642"/>
      <c r="S43" s="642"/>
      <c r="T43" s="642"/>
      <c r="U43" s="642"/>
      <c r="V43" s="643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18" t="s">
        <v>109</v>
      </c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19"/>
      <c r="P44" s="719"/>
      <c r="Q44" s="719"/>
      <c r="R44" s="719"/>
      <c r="S44" s="719"/>
      <c r="T44" s="719"/>
      <c r="U44" s="719"/>
      <c r="V44" s="719"/>
      <c r="W44" s="719"/>
      <c r="X44" s="719"/>
      <c r="Y44" s="719"/>
      <c r="Z44" s="719"/>
      <c r="AA44" s="48"/>
      <c r="AB44" s="48"/>
      <c r="AC44" s="48"/>
    </row>
    <row r="45" spans="1:68" ht="16.5" hidden="1" customHeight="1" x14ac:dyDescent="0.25">
      <c r="A45" s="639" t="s">
        <v>110</v>
      </c>
      <c r="B45" s="640"/>
      <c r="C45" s="640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  <c r="AA45" s="628"/>
      <c r="AB45" s="628"/>
      <c r="AC45" s="628"/>
    </row>
    <row r="46" spans="1:68" ht="14.25" hidden="1" customHeight="1" x14ac:dyDescent="0.25">
      <c r="A46" s="644" t="s">
        <v>111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37">
        <v>4607091385670</v>
      </c>
      <c r="E47" s="638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33">
        <v>1108</v>
      </c>
      <c r="Y47" s="634">
        <f>IFERROR(IF(X47="",0,CEILING((X47/$H47),1)*$H47),"")</f>
        <v>1112.4000000000001</v>
      </c>
      <c r="Z47" s="36">
        <f>IFERROR(IF(Y47=0,"",ROUNDUP(Y47/H47,0)*0.01898),"")</f>
        <v>1.9549400000000001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1150.062962962963</v>
      </c>
      <c r="BN47" s="64">
        <f>IFERROR(Y47*I47/H47,"0")</f>
        <v>1154.6300000000001</v>
      </c>
      <c r="BO47" s="64">
        <f>IFERROR(1/J47*(X47/H47),"0")</f>
        <v>1.6030092592592591</v>
      </c>
      <c r="BP47" s="64">
        <f>IFERROR(1/J47*(Y47/H47),"0")</f>
        <v>1.609375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37">
        <v>4680115887725</v>
      </c>
      <c r="E48" s="638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37">
        <v>4607091385687</v>
      </c>
      <c r="E49" s="638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37">
        <v>4680115882539</v>
      </c>
      <c r="E50" s="638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33">
        <v>54</v>
      </c>
      <c r="Y50" s="634">
        <f>IFERROR(IF(X50="",0,CEILING((X50/$H50),1)*$H50),"")</f>
        <v>55.5</v>
      </c>
      <c r="Z50" s="36">
        <f>IFERROR(IF(Y50=0,"",ROUNDUP(Y50/H50,0)*0.00902),"")</f>
        <v>0.1353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56.772972972972973</v>
      </c>
      <c r="BN50" s="64">
        <f>IFERROR(Y50*I50/H50,"0")</f>
        <v>58.35</v>
      </c>
      <c r="BO50" s="64">
        <f>IFERROR(1/J50*(X50/H50),"0")</f>
        <v>0.11056511056511056</v>
      </c>
      <c r="BP50" s="64">
        <f>IFERROR(1/J50*(Y50/H50),"0")</f>
        <v>0.11363636363636365</v>
      </c>
    </row>
    <row r="51" spans="1:68" x14ac:dyDescent="0.2">
      <c r="A51" s="660"/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61"/>
      <c r="P51" s="641" t="s">
        <v>72</v>
      </c>
      <c r="Q51" s="642"/>
      <c r="R51" s="642"/>
      <c r="S51" s="642"/>
      <c r="T51" s="642"/>
      <c r="U51" s="642"/>
      <c r="V51" s="643"/>
      <c r="W51" s="37" t="s">
        <v>73</v>
      </c>
      <c r="X51" s="635">
        <f>IFERROR(X47/H47,"0")+IFERROR(X48/H48,"0")+IFERROR(X49/H49,"0")+IFERROR(X50/H50,"0")</f>
        <v>117.18718718718718</v>
      </c>
      <c r="Y51" s="635">
        <f>IFERROR(Y47/H47,"0")+IFERROR(Y48/H48,"0")+IFERROR(Y49/H49,"0")+IFERROR(Y50/H50,"0")</f>
        <v>118</v>
      </c>
      <c r="Z51" s="635">
        <f>IFERROR(IF(Z47="",0,Z47),"0")+IFERROR(IF(Z48="",0,Z48),"0")+IFERROR(IF(Z49="",0,Z49),"0")+IFERROR(IF(Z50="",0,Z50),"0")</f>
        <v>2.0902400000000001</v>
      </c>
      <c r="AA51" s="636"/>
      <c r="AB51" s="636"/>
      <c r="AC51" s="636"/>
    </row>
    <row r="52" spans="1:68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61"/>
      <c r="P52" s="641" t="s">
        <v>72</v>
      </c>
      <c r="Q52" s="642"/>
      <c r="R52" s="642"/>
      <c r="S52" s="642"/>
      <c r="T52" s="642"/>
      <c r="U52" s="642"/>
      <c r="V52" s="643"/>
      <c r="W52" s="37" t="s">
        <v>67</v>
      </c>
      <c r="X52" s="635">
        <f>IFERROR(SUM(X47:X50),"0")</f>
        <v>1162</v>
      </c>
      <c r="Y52" s="635">
        <f>IFERROR(SUM(Y47:Y50),"0")</f>
        <v>1167.9000000000001</v>
      </c>
      <c r="Z52" s="37"/>
      <c r="AA52" s="636"/>
      <c r="AB52" s="636"/>
      <c r="AC52" s="636"/>
    </row>
    <row r="53" spans="1:68" ht="16.5" hidden="1" customHeight="1" x14ac:dyDescent="0.25">
      <c r="A53" s="639" t="s">
        <v>126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28"/>
      <c r="AB53" s="628"/>
      <c r="AC53" s="628"/>
    </row>
    <row r="54" spans="1:68" ht="14.25" hidden="1" customHeight="1" x14ac:dyDescent="0.25">
      <c r="A54" s="644" t="s">
        <v>111</v>
      </c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29"/>
      <c r="AB54" s="629"/>
      <c r="AC54" s="629"/>
    </row>
    <row r="55" spans="1:68" ht="27" hidden="1" customHeight="1" x14ac:dyDescent="0.25">
      <c r="A55" s="54" t="s">
        <v>127</v>
      </c>
      <c r="B55" s="54" t="s">
        <v>128</v>
      </c>
      <c r="C55" s="31">
        <v>4301012030</v>
      </c>
      <c r="D55" s="637">
        <v>4680115885882</v>
      </c>
      <c r="E55" s="638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4301012161</v>
      </c>
      <c r="D56" s="637">
        <v>4680115885882</v>
      </c>
      <c r="E56" s="638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37">
        <v>4680115881426</v>
      </c>
      <c r="E57" s="638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33">
        <v>311</v>
      </c>
      <c r="Y57" s="634">
        <f t="shared" si="0"/>
        <v>313.20000000000005</v>
      </c>
      <c r="Z57" s="36">
        <f>IFERROR(IF(Y57=0,"",ROUNDUP(Y57/H57,0)*0.01898),"")</f>
        <v>0.55042000000000002</v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322.80648148148151</v>
      </c>
      <c r="BN57" s="64">
        <f t="shared" si="2"/>
        <v>325.09000000000003</v>
      </c>
      <c r="BO57" s="64">
        <f t="shared" si="3"/>
        <v>0.44994212962962959</v>
      </c>
      <c r="BP57" s="64">
        <f t="shared" si="4"/>
        <v>0.45312500000000006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4301011386</v>
      </c>
      <c r="D58" s="637">
        <v>4680115880283</v>
      </c>
      <c r="E58" s="638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6"/>
      <c r="R58" s="646"/>
      <c r="S58" s="646"/>
      <c r="T58" s="647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4301012259</v>
      </c>
      <c r="D59" s="637">
        <v>4680115880283</v>
      </c>
      <c r="E59" s="638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37">
        <v>4680115881525</v>
      </c>
      <c r="E60" s="638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6"/>
      <c r="R60" s="646"/>
      <c r="S60" s="646"/>
      <c r="T60" s="647"/>
      <c r="U60" s="34"/>
      <c r="V60" s="34"/>
      <c r="W60" s="35" t="s">
        <v>67</v>
      </c>
      <c r="X60" s="633">
        <v>3</v>
      </c>
      <c r="Y60" s="634">
        <f t="shared" si="0"/>
        <v>4</v>
      </c>
      <c r="Z60" s="36">
        <f>IFERROR(IF(Y60=0,"",ROUNDUP(Y60/H60,0)*0.00902),"")</f>
        <v>9.0200000000000002E-3</v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3.1425000000000001</v>
      </c>
      <c r="BN60" s="64">
        <f t="shared" si="2"/>
        <v>4.1900000000000004</v>
      </c>
      <c r="BO60" s="64">
        <f t="shared" si="3"/>
        <v>5.681818181818182E-3</v>
      </c>
      <c r="BP60" s="64">
        <f t="shared" si="4"/>
        <v>7.575757575757576E-3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37">
        <v>4680115885899</v>
      </c>
      <c r="E61" s="638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37">
        <v>4680115881419</v>
      </c>
      <c r="E62" s="638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6"/>
      <c r="R62" s="646"/>
      <c r="S62" s="646"/>
      <c r="T62" s="647"/>
      <c r="U62" s="34"/>
      <c r="V62" s="34"/>
      <c r="W62" s="35" t="s">
        <v>67</v>
      </c>
      <c r="X62" s="633">
        <v>170</v>
      </c>
      <c r="Y62" s="634">
        <f t="shared" si="0"/>
        <v>171</v>
      </c>
      <c r="Z62" s="36">
        <f>IFERROR(IF(Y62=0,"",ROUNDUP(Y62/H62,0)*0.00902),"")</f>
        <v>0.34276000000000001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177.17777777777781</v>
      </c>
      <c r="BN62" s="64">
        <f t="shared" si="2"/>
        <v>178.22000000000003</v>
      </c>
      <c r="BO62" s="64">
        <f t="shared" si="3"/>
        <v>0.28619528619528622</v>
      </c>
      <c r="BP62" s="64">
        <f t="shared" si="4"/>
        <v>0.2878787878787879</v>
      </c>
    </row>
    <row r="63" spans="1:68" x14ac:dyDescent="0.2">
      <c r="A63" s="66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61"/>
      <c r="P63" s="641" t="s">
        <v>72</v>
      </c>
      <c r="Q63" s="642"/>
      <c r="R63" s="642"/>
      <c r="S63" s="642"/>
      <c r="T63" s="642"/>
      <c r="U63" s="642"/>
      <c r="V63" s="643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67.324074074074076</v>
      </c>
      <c r="Y63" s="635">
        <f>IFERROR(Y55/H55,"0")+IFERROR(Y56/H56,"0")+IFERROR(Y57/H57,"0")+IFERROR(Y58/H58,"0")+IFERROR(Y59/H59,"0")+IFERROR(Y60/H60,"0")+IFERROR(Y61/H61,"0")+IFERROR(Y62/H62,"0")</f>
        <v>68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0.90220000000000011</v>
      </c>
      <c r="AA63" s="636"/>
      <c r="AB63" s="636"/>
      <c r="AC63" s="636"/>
    </row>
    <row r="64" spans="1:68" x14ac:dyDescent="0.2">
      <c r="A64" s="640"/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61"/>
      <c r="P64" s="641" t="s">
        <v>72</v>
      </c>
      <c r="Q64" s="642"/>
      <c r="R64" s="642"/>
      <c r="S64" s="642"/>
      <c r="T64" s="642"/>
      <c r="U64" s="642"/>
      <c r="V64" s="643"/>
      <c r="W64" s="37" t="s">
        <v>67</v>
      </c>
      <c r="X64" s="635">
        <f>IFERROR(SUM(X55:X62),"0")</f>
        <v>484</v>
      </c>
      <c r="Y64" s="635">
        <f>IFERROR(SUM(Y55:Y62),"0")</f>
        <v>488.20000000000005</v>
      </c>
      <c r="Z64" s="37"/>
      <c r="AA64" s="636"/>
      <c r="AB64" s="636"/>
      <c r="AC64" s="636"/>
    </row>
    <row r="65" spans="1:68" ht="14.25" hidden="1" customHeight="1" x14ac:dyDescent="0.25">
      <c r="A65" s="644" t="s">
        <v>147</v>
      </c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37">
        <v>4680115881440</v>
      </c>
      <c r="E66" s="638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33">
        <v>13</v>
      </c>
      <c r="Y66" s="634">
        <f>IFERROR(IF(X66="",0,CEILING((X66/$H66),1)*$H66),"")</f>
        <v>21.6</v>
      </c>
      <c r="Z66" s="36">
        <f>IFERROR(IF(Y66=0,"",ROUNDUP(Y66/H66,0)*0.01898),"")</f>
        <v>3.7960000000000001E-2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13.493518518518519</v>
      </c>
      <c r="BN66" s="64">
        <f>IFERROR(Y66*I66/H66,"0")</f>
        <v>22.42</v>
      </c>
      <c r="BO66" s="64">
        <f>IFERROR(1/J66*(X66/H66),"0")</f>
        <v>1.8807870370370371E-2</v>
      </c>
      <c r="BP66" s="64">
        <f>IFERROR(1/J66*(Y66/H66),"0")</f>
        <v>3.125E-2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4301020358</v>
      </c>
      <c r="D67" s="637">
        <v>4680115885950</v>
      </c>
      <c r="E67" s="638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153</v>
      </c>
      <c r="B68" s="54" t="s">
        <v>154</v>
      </c>
      <c r="C68" s="31">
        <v>4301020371</v>
      </c>
      <c r="D68" s="637">
        <v>4680115887688</v>
      </c>
      <c r="E68" s="638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156</v>
      </c>
      <c r="B69" s="54" t="s">
        <v>157</v>
      </c>
      <c r="C69" s="31">
        <v>4301020296</v>
      </c>
      <c r="D69" s="637">
        <v>4680115881433</v>
      </c>
      <c r="E69" s="638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6"/>
      <c r="R69" s="646"/>
      <c r="S69" s="646"/>
      <c r="T69" s="647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61"/>
      <c r="P70" s="641" t="s">
        <v>72</v>
      </c>
      <c r="Q70" s="642"/>
      <c r="R70" s="642"/>
      <c r="S70" s="642"/>
      <c r="T70" s="642"/>
      <c r="U70" s="642"/>
      <c r="V70" s="643"/>
      <c r="W70" s="37" t="s">
        <v>73</v>
      </c>
      <c r="X70" s="635">
        <f>IFERROR(X66/H66,"0")+IFERROR(X67/H67,"0")+IFERROR(X68/H68,"0")+IFERROR(X69/H69,"0")</f>
        <v>1.2037037037037037</v>
      </c>
      <c r="Y70" s="635">
        <f>IFERROR(Y66/H66,"0")+IFERROR(Y67/H67,"0")+IFERROR(Y68/H68,"0")+IFERROR(Y69/H69,"0")</f>
        <v>2</v>
      </c>
      <c r="Z70" s="635">
        <f>IFERROR(IF(Z66="",0,Z66),"0")+IFERROR(IF(Z67="",0,Z67),"0")+IFERROR(IF(Z68="",0,Z68),"0")+IFERROR(IF(Z69="",0,Z69),"0")</f>
        <v>3.7960000000000001E-2</v>
      </c>
      <c r="AA70" s="636"/>
      <c r="AB70" s="636"/>
      <c r="AC70" s="636"/>
    </row>
    <row r="71" spans="1:68" x14ac:dyDescent="0.2">
      <c r="A71" s="640"/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61"/>
      <c r="P71" s="641" t="s">
        <v>72</v>
      </c>
      <c r="Q71" s="642"/>
      <c r="R71" s="642"/>
      <c r="S71" s="642"/>
      <c r="T71" s="642"/>
      <c r="U71" s="642"/>
      <c r="V71" s="643"/>
      <c r="W71" s="37" t="s">
        <v>67</v>
      </c>
      <c r="X71" s="635">
        <f>IFERROR(SUM(X66:X69),"0")</f>
        <v>13</v>
      </c>
      <c r="Y71" s="635">
        <f>IFERROR(SUM(Y66:Y69),"0")</f>
        <v>21.6</v>
      </c>
      <c r="Z71" s="37"/>
      <c r="AA71" s="636"/>
      <c r="AB71" s="636"/>
      <c r="AC71" s="636"/>
    </row>
    <row r="72" spans="1:68" ht="14.25" hidden="1" customHeight="1" x14ac:dyDescent="0.25">
      <c r="A72" s="644" t="s">
        <v>74</v>
      </c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37">
        <v>4680115884311</v>
      </c>
      <c r="E73" s="638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33">
        <v>17</v>
      </c>
      <c r="Y73" s="634">
        <f>IFERROR(IF(X73="",0,CEILING((X73/$H73),1)*$H73),"")</f>
        <v>18</v>
      </c>
      <c r="Z73" s="36">
        <f>IFERROR(IF(Y73=0,"",ROUNDUP(Y73/H73,0)*0.00651),"")</f>
        <v>6.5100000000000005E-2</v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19.323333333333331</v>
      </c>
      <c r="BN73" s="64">
        <f>IFERROR(Y73*I73/H73,"0")</f>
        <v>20.459999999999997</v>
      </c>
      <c r="BO73" s="64">
        <f>IFERROR(1/J73*(X73/H73),"0")</f>
        <v>5.1892551892551896E-2</v>
      </c>
      <c r="BP73" s="64">
        <f>IFERROR(1/J73*(Y73/H73),"0")</f>
        <v>5.4945054945054951E-2</v>
      </c>
    </row>
    <row r="74" spans="1:68" ht="27" hidden="1" customHeight="1" x14ac:dyDescent="0.25">
      <c r="A74" s="54" t="s">
        <v>161</v>
      </c>
      <c r="B74" s="54" t="s">
        <v>162</v>
      </c>
      <c r="C74" s="31">
        <v>4301051929</v>
      </c>
      <c r="D74" s="637">
        <v>4680115884403</v>
      </c>
      <c r="E74" s="638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61"/>
      <c r="P75" s="641" t="s">
        <v>72</v>
      </c>
      <c r="Q75" s="642"/>
      <c r="R75" s="642"/>
      <c r="S75" s="642"/>
      <c r="T75" s="642"/>
      <c r="U75" s="642"/>
      <c r="V75" s="643"/>
      <c r="W75" s="37" t="s">
        <v>73</v>
      </c>
      <c r="X75" s="635">
        <f>IFERROR(X73/H73,"0")+IFERROR(X74/H74,"0")</f>
        <v>9.4444444444444446</v>
      </c>
      <c r="Y75" s="635">
        <f>IFERROR(Y73/H73,"0")+IFERROR(Y74/H74,"0")</f>
        <v>10</v>
      </c>
      <c r="Z75" s="635">
        <f>IFERROR(IF(Z73="",0,Z73),"0")+IFERROR(IF(Z74="",0,Z74),"0")</f>
        <v>6.5100000000000005E-2</v>
      </c>
      <c r="AA75" s="636"/>
      <c r="AB75" s="636"/>
      <c r="AC75" s="636"/>
    </row>
    <row r="76" spans="1:68" x14ac:dyDescent="0.2">
      <c r="A76" s="640"/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61"/>
      <c r="P76" s="641" t="s">
        <v>72</v>
      </c>
      <c r="Q76" s="642"/>
      <c r="R76" s="642"/>
      <c r="S76" s="642"/>
      <c r="T76" s="642"/>
      <c r="U76" s="642"/>
      <c r="V76" s="643"/>
      <c r="W76" s="37" t="s">
        <v>67</v>
      </c>
      <c r="X76" s="635">
        <f>IFERROR(SUM(X73:X74),"0")</f>
        <v>17</v>
      </c>
      <c r="Y76" s="635">
        <f>IFERROR(SUM(Y73:Y74),"0")</f>
        <v>18</v>
      </c>
      <c r="Z76" s="37"/>
      <c r="AA76" s="636"/>
      <c r="AB76" s="636"/>
      <c r="AC76" s="636"/>
    </row>
    <row r="77" spans="1:68" ht="14.25" hidden="1" customHeight="1" x14ac:dyDescent="0.25">
      <c r="A77" s="644" t="s">
        <v>164</v>
      </c>
      <c r="B77" s="640"/>
      <c r="C77" s="640"/>
      <c r="D77" s="640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29"/>
      <c r="AB77" s="629"/>
      <c r="AC77" s="629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37">
        <v>4680115881532</v>
      </c>
      <c r="E78" s="638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168</v>
      </c>
      <c r="B79" s="54" t="s">
        <v>169</v>
      </c>
      <c r="C79" s="31">
        <v>4301060351</v>
      </c>
      <c r="D79" s="637">
        <v>4680115881464</v>
      </c>
      <c r="E79" s="638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6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61"/>
      <c r="P80" s="641" t="s">
        <v>72</v>
      </c>
      <c r="Q80" s="642"/>
      <c r="R80" s="642"/>
      <c r="S80" s="642"/>
      <c r="T80" s="642"/>
      <c r="U80" s="642"/>
      <c r="V80" s="643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hidden="1" x14ac:dyDescent="0.2">
      <c r="A81" s="640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61"/>
      <c r="P81" s="641" t="s">
        <v>72</v>
      </c>
      <c r="Q81" s="642"/>
      <c r="R81" s="642"/>
      <c r="S81" s="642"/>
      <c r="T81" s="642"/>
      <c r="U81" s="642"/>
      <c r="V81" s="643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hidden="1" customHeight="1" x14ac:dyDescent="0.25">
      <c r="A82" s="639" t="s">
        <v>171</v>
      </c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28"/>
      <c r="AB82" s="628"/>
      <c r="AC82" s="628"/>
    </row>
    <row r="83" spans="1:68" ht="14.25" hidden="1" customHeight="1" x14ac:dyDescent="0.25">
      <c r="A83" s="644" t="s">
        <v>111</v>
      </c>
      <c r="B83" s="640"/>
      <c r="C83" s="640"/>
      <c r="D83" s="640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37">
        <v>4680115881327</v>
      </c>
      <c r="E84" s="638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9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6"/>
      <c r="R84" s="646"/>
      <c r="S84" s="646"/>
      <c r="T84" s="647"/>
      <c r="U84" s="34"/>
      <c r="V84" s="34"/>
      <c r="W84" s="35" t="s">
        <v>67</v>
      </c>
      <c r="X84" s="633">
        <v>657</v>
      </c>
      <c r="Y84" s="634">
        <f>IFERROR(IF(X84="",0,CEILING((X84/$H84),1)*$H84),"")</f>
        <v>658.80000000000007</v>
      </c>
      <c r="Z84" s="36">
        <f>IFERROR(IF(Y84=0,"",ROUNDUP(Y84/H84,0)*0.01898),"")</f>
        <v>1.15778</v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681.94166666666661</v>
      </c>
      <c r="BN84" s="64">
        <f>IFERROR(Y84*I84/H84,"0")</f>
        <v>683.81000000000006</v>
      </c>
      <c r="BO84" s="64">
        <f>IFERROR(1/J84*(X84/H84),"0")</f>
        <v>0.95052083333333326</v>
      </c>
      <c r="BP84" s="64">
        <f>IFERROR(1/J84*(Y84/H84),"0")</f>
        <v>0.953125</v>
      </c>
    </row>
    <row r="85" spans="1:68" ht="27" hidden="1" customHeight="1" x14ac:dyDescent="0.25">
      <c r="A85" s="54" t="s">
        <v>175</v>
      </c>
      <c r="B85" s="54" t="s">
        <v>176</v>
      </c>
      <c r="C85" s="31">
        <v>4301011261</v>
      </c>
      <c r="D85" s="637">
        <v>4680115887732</v>
      </c>
      <c r="E85" s="638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6"/>
      <c r="R85" s="646"/>
      <c r="S85" s="646"/>
      <c r="T85" s="647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4301011476</v>
      </c>
      <c r="D86" s="637">
        <v>4680115881518</v>
      </c>
      <c r="E86" s="638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6"/>
      <c r="R86" s="646"/>
      <c r="S86" s="646"/>
      <c r="T86" s="647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37">
        <v>4680115881303</v>
      </c>
      <c r="E87" s="638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6"/>
      <c r="R87" s="646"/>
      <c r="S87" s="646"/>
      <c r="T87" s="647"/>
      <c r="U87" s="34"/>
      <c r="V87" s="34"/>
      <c r="W87" s="35" t="s">
        <v>67</v>
      </c>
      <c r="X87" s="633">
        <v>173</v>
      </c>
      <c r="Y87" s="634">
        <f>IFERROR(IF(X87="",0,CEILING((X87/$H87),1)*$H87),"")</f>
        <v>175.5</v>
      </c>
      <c r="Z87" s="36">
        <f>IFERROR(IF(Y87=0,"",ROUNDUP(Y87/H87,0)*0.00902),"")</f>
        <v>0.35177999999999998</v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180.30444444444447</v>
      </c>
      <c r="BN87" s="64">
        <f>IFERROR(Y87*I87/H87,"0")</f>
        <v>182.91</v>
      </c>
      <c r="BO87" s="64">
        <f>IFERROR(1/J87*(X87/H87),"0")</f>
        <v>0.29124579124579125</v>
      </c>
      <c r="BP87" s="64">
        <f>IFERROR(1/J87*(Y87/H87),"0")</f>
        <v>0.29545454545454547</v>
      </c>
    </row>
    <row r="88" spans="1:68" x14ac:dyDescent="0.2">
      <c r="A88" s="66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61"/>
      <c r="P88" s="641" t="s">
        <v>72</v>
      </c>
      <c r="Q88" s="642"/>
      <c r="R88" s="642"/>
      <c r="S88" s="642"/>
      <c r="T88" s="642"/>
      <c r="U88" s="642"/>
      <c r="V88" s="643"/>
      <c r="W88" s="37" t="s">
        <v>73</v>
      </c>
      <c r="X88" s="635">
        <f>IFERROR(X84/H84,"0")+IFERROR(X85/H85,"0")+IFERROR(X86/H86,"0")+IFERROR(X87/H87,"0")</f>
        <v>99.277777777777771</v>
      </c>
      <c r="Y88" s="635">
        <f>IFERROR(Y84/H84,"0")+IFERROR(Y85/H85,"0")+IFERROR(Y86/H86,"0")+IFERROR(Y87/H87,"0")</f>
        <v>100</v>
      </c>
      <c r="Z88" s="635">
        <f>IFERROR(IF(Z84="",0,Z84),"0")+IFERROR(IF(Z85="",0,Z85),"0")+IFERROR(IF(Z86="",0,Z86),"0")+IFERROR(IF(Z87="",0,Z87),"0")</f>
        <v>1.50956</v>
      </c>
      <c r="AA88" s="636"/>
      <c r="AB88" s="636"/>
      <c r="AC88" s="636"/>
    </row>
    <row r="89" spans="1:68" x14ac:dyDescent="0.2">
      <c r="A89" s="640"/>
      <c r="B89" s="640"/>
      <c r="C89" s="640"/>
      <c r="D89" s="640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61"/>
      <c r="P89" s="641" t="s">
        <v>72</v>
      </c>
      <c r="Q89" s="642"/>
      <c r="R89" s="642"/>
      <c r="S89" s="642"/>
      <c r="T89" s="642"/>
      <c r="U89" s="642"/>
      <c r="V89" s="643"/>
      <c r="W89" s="37" t="s">
        <v>67</v>
      </c>
      <c r="X89" s="635">
        <f>IFERROR(SUM(X84:X87),"0")</f>
        <v>830</v>
      </c>
      <c r="Y89" s="635">
        <f>IFERROR(SUM(Y84:Y87),"0")</f>
        <v>834.30000000000007</v>
      </c>
      <c r="Z89" s="37"/>
      <c r="AA89" s="636"/>
      <c r="AB89" s="636"/>
      <c r="AC89" s="636"/>
    </row>
    <row r="90" spans="1:68" ht="14.25" hidden="1" customHeight="1" x14ac:dyDescent="0.25">
      <c r="A90" s="644" t="s">
        <v>74</v>
      </c>
      <c r="B90" s="640"/>
      <c r="C90" s="640"/>
      <c r="D90" s="640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37">
        <v>4607091386967</v>
      </c>
      <c r="E91" s="638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6"/>
      <c r="R91" s="646"/>
      <c r="S91" s="646"/>
      <c r="T91" s="647"/>
      <c r="U91" s="34"/>
      <c r="V91" s="34"/>
      <c r="W91" s="35" t="s">
        <v>67</v>
      </c>
      <c r="X91" s="633">
        <v>500</v>
      </c>
      <c r="Y91" s="634">
        <f>IFERROR(IF(X91="",0,CEILING((X91/$H91),1)*$H91),"")</f>
        <v>502.2</v>
      </c>
      <c r="Z91" s="36">
        <f>IFERROR(IF(Y91=0,"",ROUNDUP(Y91/H91,0)*0.01898),"")</f>
        <v>1.17676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530.49382716049388</v>
      </c>
      <c r="BN91" s="64">
        <f>IFERROR(Y91*I91/H91,"0")</f>
        <v>532.82799999999997</v>
      </c>
      <c r="BO91" s="64">
        <f>IFERROR(1/J91*(X91/H91),"0")</f>
        <v>0.96450617283950624</v>
      </c>
      <c r="BP91" s="64">
        <f>IFERROR(1/J91*(Y91/H91),"0")</f>
        <v>0.96875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4301051788</v>
      </c>
      <c r="D92" s="637">
        <v>4680115884953</v>
      </c>
      <c r="E92" s="638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6"/>
      <c r="R92" s="646"/>
      <c r="S92" s="646"/>
      <c r="T92" s="647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187</v>
      </c>
      <c r="B93" s="54" t="s">
        <v>188</v>
      </c>
      <c r="C93" s="31">
        <v>4301051718</v>
      </c>
      <c r="D93" s="637">
        <v>4607091385731</v>
      </c>
      <c r="E93" s="638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6"/>
      <c r="R93" s="646"/>
      <c r="S93" s="646"/>
      <c r="T93" s="647"/>
      <c r="U93" s="34"/>
      <c r="V93" s="34"/>
      <c r="W93" s="35" t="s">
        <v>67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189</v>
      </c>
      <c r="B94" s="54" t="s">
        <v>190</v>
      </c>
      <c r="C94" s="31">
        <v>4301052092</v>
      </c>
      <c r="D94" s="637">
        <v>4680115880894</v>
      </c>
      <c r="E94" s="638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6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61"/>
      <c r="P95" s="641" t="s">
        <v>72</v>
      </c>
      <c r="Q95" s="642"/>
      <c r="R95" s="642"/>
      <c r="S95" s="642"/>
      <c r="T95" s="642"/>
      <c r="U95" s="642"/>
      <c r="V95" s="643"/>
      <c r="W95" s="37" t="s">
        <v>73</v>
      </c>
      <c r="X95" s="635">
        <f>IFERROR(X91/H91,"0")+IFERROR(X92/H92,"0")+IFERROR(X93/H93,"0")+IFERROR(X94/H94,"0")</f>
        <v>61.728395061728399</v>
      </c>
      <c r="Y95" s="635">
        <f>IFERROR(Y91/H91,"0")+IFERROR(Y92/H92,"0")+IFERROR(Y93/H93,"0")+IFERROR(Y94/H94,"0")</f>
        <v>62</v>
      </c>
      <c r="Z95" s="635">
        <f>IFERROR(IF(Z91="",0,Z91),"0")+IFERROR(IF(Z92="",0,Z92),"0")+IFERROR(IF(Z93="",0,Z93),"0")+IFERROR(IF(Z94="",0,Z94),"0")</f>
        <v>1.17676</v>
      </c>
      <c r="AA95" s="636"/>
      <c r="AB95" s="636"/>
      <c r="AC95" s="636"/>
    </row>
    <row r="96" spans="1:68" x14ac:dyDescent="0.2">
      <c r="A96" s="640"/>
      <c r="B96" s="640"/>
      <c r="C96" s="640"/>
      <c r="D96" s="640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61"/>
      <c r="P96" s="641" t="s">
        <v>72</v>
      </c>
      <c r="Q96" s="642"/>
      <c r="R96" s="642"/>
      <c r="S96" s="642"/>
      <c r="T96" s="642"/>
      <c r="U96" s="642"/>
      <c r="V96" s="643"/>
      <c r="W96" s="37" t="s">
        <v>67</v>
      </c>
      <c r="X96" s="635">
        <f>IFERROR(SUM(X91:X94),"0")</f>
        <v>500</v>
      </c>
      <c r="Y96" s="635">
        <f>IFERROR(SUM(Y91:Y94),"0")</f>
        <v>502.2</v>
      </c>
      <c r="Z96" s="37"/>
      <c r="AA96" s="636"/>
      <c r="AB96" s="636"/>
      <c r="AC96" s="636"/>
    </row>
    <row r="97" spans="1:68" ht="16.5" hidden="1" customHeight="1" x14ac:dyDescent="0.25">
      <c r="A97" s="639" t="s">
        <v>192</v>
      </c>
      <c r="B97" s="640"/>
      <c r="C97" s="640"/>
      <c r="D97" s="640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28"/>
      <c r="AB97" s="628"/>
      <c r="AC97" s="628"/>
    </row>
    <row r="98" spans="1:68" ht="14.25" hidden="1" customHeight="1" x14ac:dyDescent="0.25">
      <c r="A98" s="644" t="s">
        <v>111</v>
      </c>
      <c r="B98" s="640"/>
      <c r="C98" s="640"/>
      <c r="D98" s="640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37">
        <v>4680115882133</v>
      </c>
      <c r="E99" s="638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6"/>
      <c r="R99" s="646"/>
      <c r="S99" s="646"/>
      <c r="T99" s="647"/>
      <c r="U99" s="34"/>
      <c r="V99" s="34"/>
      <c r="W99" s="35" t="s">
        <v>67</v>
      </c>
      <c r="X99" s="633">
        <v>369</v>
      </c>
      <c r="Y99" s="634">
        <f t="shared" ref="Y99:Y105" si="5">IFERROR(IF(X99="",0,CEILING((X99/$H99),1)*$H99),"")</f>
        <v>378</v>
      </c>
      <c r="Z99" s="36">
        <f>IFERROR(IF(Y99=0,"",ROUNDUP(Y99/H99,0)*0.01898),"")</f>
        <v>0.6643</v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383.00833333333338</v>
      </c>
      <c r="BN99" s="64">
        <f t="shared" ref="BN99:BN105" si="7">IFERROR(Y99*I99/H99,"0")</f>
        <v>392.34999999999997</v>
      </c>
      <c r="BO99" s="64">
        <f t="shared" ref="BO99:BO105" si="8">IFERROR(1/J99*(X99/H99),"0")</f>
        <v>0.53385416666666663</v>
      </c>
      <c r="BP99" s="64">
        <f t="shared" ref="BP99:BP105" si="9">IFERROR(1/J99*(Y99/H99),"0")</f>
        <v>0.546875</v>
      </c>
    </row>
    <row r="100" spans="1:68" ht="27" hidden="1" customHeight="1" x14ac:dyDescent="0.25">
      <c r="A100" s="54" t="s">
        <v>196</v>
      </c>
      <c r="B100" s="54" t="s">
        <v>197</v>
      </c>
      <c r="C100" s="31">
        <v>4301012051</v>
      </c>
      <c r="D100" s="637">
        <v>4680115887718</v>
      </c>
      <c r="E100" s="638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6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6"/>
      <c r="R100" s="646"/>
      <c r="S100" s="646"/>
      <c r="T100" s="647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196</v>
      </c>
      <c r="B101" s="54" t="s">
        <v>199</v>
      </c>
      <c r="C101" s="31">
        <v>4301012334</v>
      </c>
      <c r="D101" s="637">
        <v>4680115887718</v>
      </c>
      <c r="E101" s="638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6"/>
      <c r="R101" s="646"/>
      <c r="S101" s="646"/>
      <c r="T101" s="647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196</v>
      </c>
      <c r="B102" s="54" t="s">
        <v>200</v>
      </c>
      <c r="C102" s="31">
        <v>4301012379</v>
      </c>
      <c r="D102" s="637">
        <v>4680115887718</v>
      </c>
      <c r="E102" s="638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3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4301011417</v>
      </c>
      <c r="D103" s="637">
        <v>4680115880269</v>
      </c>
      <c r="E103" s="638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6"/>
      <c r="R103" s="646"/>
      <c r="S103" s="646"/>
      <c r="T103" s="647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4301011415</v>
      </c>
      <c r="D104" s="637">
        <v>4680115880429</v>
      </c>
      <c r="E104" s="638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hidden="1" customHeight="1" x14ac:dyDescent="0.25">
      <c r="A105" s="54" t="s">
        <v>205</v>
      </c>
      <c r="B105" s="54" t="s">
        <v>206</v>
      </c>
      <c r="C105" s="31">
        <v>4301011462</v>
      </c>
      <c r="D105" s="637">
        <v>4680115881457</v>
      </c>
      <c r="E105" s="638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6"/>
      <c r="R105" s="646"/>
      <c r="S105" s="646"/>
      <c r="T105" s="647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61"/>
      <c r="P106" s="641" t="s">
        <v>72</v>
      </c>
      <c r="Q106" s="642"/>
      <c r="R106" s="642"/>
      <c r="S106" s="642"/>
      <c r="T106" s="642"/>
      <c r="U106" s="642"/>
      <c r="V106" s="643"/>
      <c r="W106" s="37" t="s">
        <v>73</v>
      </c>
      <c r="X106" s="635">
        <f>IFERROR(X99/H99,"0")+IFERROR(X100/H100,"0")+IFERROR(X101/H101,"0")+IFERROR(X102/H102,"0")+IFERROR(X103/H103,"0")+IFERROR(X104/H104,"0")+IFERROR(X105/H105,"0")</f>
        <v>34.166666666666664</v>
      </c>
      <c r="Y106" s="635">
        <f>IFERROR(Y99/H99,"0")+IFERROR(Y100/H100,"0")+IFERROR(Y101/H101,"0")+IFERROR(Y102/H102,"0")+IFERROR(Y103/H103,"0")+IFERROR(Y104/H104,"0")+IFERROR(Y105/H105,"0")</f>
        <v>35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0.6643</v>
      </c>
      <c r="AA106" s="636"/>
      <c r="AB106" s="636"/>
      <c r="AC106" s="636"/>
    </row>
    <row r="107" spans="1:68" x14ac:dyDescent="0.2">
      <c r="A107" s="640"/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61"/>
      <c r="P107" s="641" t="s">
        <v>72</v>
      </c>
      <c r="Q107" s="642"/>
      <c r="R107" s="642"/>
      <c r="S107" s="642"/>
      <c r="T107" s="642"/>
      <c r="U107" s="642"/>
      <c r="V107" s="643"/>
      <c r="W107" s="37" t="s">
        <v>67</v>
      </c>
      <c r="X107" s="635">
        <f>IFERROR(SUM(X99:X105),"0")</f>
        <v>369</v>
      </c>
      <c r="Y107" s="635">
        <f>IFERROR(SUM(Y99:Y105),"0")</f>
        <v>378</v>
      </c>
      <c r="Z107" s="37"/>
      <c r="AA107" s="636"/>
      <c r="AB107" s="636"/>
      <c r="AC107" s="636"/>
    </row>
    <row r="108" spans="1:68" ht="14.25" hidden="1" customHeight="1" x14ac:dyDescent="0.25">
      <c r="A108" s="644" t="s">
        <v>147</v>
      </c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29"/>
      <c r="AB108" s="629"/>
      <c r="AC108" s="629"/>
    </row>
    <row r="109" spans="1:68" ht="27" hidden="1" customHeight="1" x14ac:dyDescent="0.25">
      <c r="A109" s="54" t="s">
        <v>207</v>
      </c>
      <c r="B109" s="54" t="s">
        <v>208</v>
      </c>
      <c r="C109" s="31">
        <v>4301020391</v>
      </c>
      <c r="D109" s="637">
        <v>4680115881488</v>
      </c>
      <c r="E109" s="638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6"/>
      <c r="R109" s="646"/>
      <c r="S109" s="646"/>
      <c r="T109" s="647"/>
      <c r="U109" s="34"/>
      <c r="V109" s="34"/>
      <c r="W109" s="35" t="s">
        <v>67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210</v>
      </c>
      <c r="B110" s="54" t="s">
        <v>211</v>
      </c>
      <c r="C110" s="31">
        <v>4301020186</v>
      </c>
      <c r="D110" s="637">
        <v>4680115887664</v>
      </c>
      <c r="E110" s="638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8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6"/>
      <c r="R110" s="646"/>
      <c r="S110" s="646"/>
      <c r="T110" s="647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210</v>
      </c>
      <c r="B111" s="54" t="s">
        <v>214</v>
      </c>
      <c r="C111" s="31">
        <v>4301020430</v>
      </c>
      <c r="D111" s="637">
        <v>4680115887664</v>
      </c>
      <c r="E111" s="638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4301020393</v>
      </c>
      <c r="D112" s="637">
        <v>4680115882775</v>
      </c>
      <c r="E112" s="638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37">
        <v>4680115880658</v>
      </c>
      <c r="E113" s="638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33">
        <v>3</v>
      </c>
      <c r="Y113" s="634">
        <f>IFERROR(IF(X113="",0,CEILING((X113/$H113),1)*$H113),"")</f>
        <v>4.8</v>
      </c>
      <c r="Z113" s="36">
        <f>IFERROR(IF(Y113=0,"",ROUNDUP(Y113/H113,0)*0.00651),"")</f>
        <v>1.302E-2</v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3.2250000000000001</v>
      </c>
      <c r="BN113" s="64">
        <f>IFERROR(Y113*I113/H113,"0")</f>
        <v>5.16</v>
      </c>
      <c r="BO113" s="64">
        <f>IFERROR(1/J113*(X113/H113),"0")</f>
        <v>6.8681318681318689E-3</v>
      </c>
      <c r="BP113" s="64">
        <f>IFERROR(1/J113*(Y113/H113),"0")</f>
        <v>1.098901098901099E-2</v>
      </c>
    </row>
    <row r="114" spans="1:68" x14ac:dyDescent="0.2">
      <c r="A114" s="66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61"/>
      <c r="P114" s="641" t="s">
        <v>72</v>
      </c>
      <c r="Q114" s="642"/>
      <c r="R114" s="642"/>
      <c r="S114" s="642"/>
      <c r="T114" s="642"/>
      <c r="U114" s="642"/>
      <c r="V114" s="643"/>
      <c r="W114" s="37" t="s">
        <v>73</v>
      </c>
      <c r="X114" s="635">
        <f>IFERROR(X109/H109,"0")+IFERROR(X110/H110,"0")+IFERROR(X111/H111,"0")+IFERROR(X112/H112,"0")+IFERROR(X113/H113,"0")</f>
        <v>1.25</v>
      </c>
      <c r="Y114" s="635">
        <f>IFERROR(Y109/H109,"0")+IFERROR(Y110/H110,"0")+IFERROR(Y111/H111,"0")+IFERROR(Y112/H112,"0")+IFERROR(Y113/H113,"0")</f>
        <v>2</v>
      </c>
      <c r="Z114" s="635">
        <f>IFERROR(IF(Z109="",0,Z109),"0")+IFERROR(IF(Z110="",0,Z110),"0")+IFERROR(IF(Z111="",0,Z111),"0")+IFERROR(IF(Z112="",0,Z112),"0")+IFERROR(IF(Z113="",0,Z113),"0")</f>
        <v>1.302E-2</v>
      </c>
      <c r="AA114" s="636"/>
      <c r="AB114" s="636"/>
      <c r="AC114" s="636"/>
    </row>
    <row r="115" spans="1:68" x14ac:dyDescent="0.2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61"/>
      <c r="P115" s="641" t="s">
        <v>72</v>
      </c>
      <c r="Q115" s="642"/>
      <c r="R115" s="642"/>
      <c r="S115" s="642"/>
      <c r="T115" s="642"/>
      <c r="U115" s="642"/>
      <c r="V115" s="643"/>
      <c r="W115" s="37" t="s">
        <v>67</v>
      </c>
      <c r="X115" s="635">
        <f>IFERROR(SUM(X109:X113),"0")</f>
        <v>3</v>
      </c>
      <c r="Y115" s="635">
        <f>IFERROR(SUM(Y109:Y113),"0")</f>
        <v>4.8</v>
      </c>
      <c r="Z115" s="37"/>
      <c r="AA115" s="636"/>
      <c r="AB115" s="636"/>
      <c r="AC115" s="636"/>
    </row>
    <row r="116" spans="1:68" ht="14.25" hidden="1" customHeight="1" x14ac:dyDescent="0.25">
      <c r="A116" s="644" t="s">
        <v>74</v>
      </c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37">
        <v>4607091385168</v>
      </c>
      <c r="E117" s="638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6"/>
      <c r="R117" s="646"/>
      <c r="S117" s="646"/>
      <c r="T117" s="647"/>
      <c r="U117" s="34"/>
      <c r="V117" s="34"/>
      <c r="W117" s="35" t="s">
        <v>67</v>
      </c>
      <c r="X117" s="633">
        <v>1062</v>
      </c>
      <c r="Y117" s="634">
        <f>IFERROR(IF(X117="",0,CEILING((X117/$H117),1)*$H117),"")</f>
        <v>1069.2</v>
      </c>
      <c r="Z117" s="36">
        <f>IFERROR(IF(Y117=0,"",ROUNDUP(Y117/H117,0)*0.01898),"")</f>
        <v>2.50536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1125.9822222222222</v>
      </c>
      <c r="BN117" s="64">
        <f>IFERROR(Y117*I117/H117,"0")</f>
        <v>1133.616</v>
      </c>
      <c r="BO117" s="64">
        <f>IFERROR(1/J117*(X117/H117),"0")</f>
        <v>2.0486111111111112</v>
      </c>
      <c r="BP117" s="64">
        <f>IFERROR(1/J117*(Y117/H117),"0")</f>
        <v>2.0625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4301051730</v>
      </c>
      <c r="D118" s="637">
        <v>4607091383256</v>
      </c>
      <c r="E118" s="638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6"/>
      <c r="R118" s="646"/>
      <c r="S118" s="646"/>
      <c r="T118" s="647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37">
        <v>4607091385748</v>
      </c>
      <c r="E119" s="638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33">
        <v>381</v>
      </c>
      <c r="Y119" s="634">
        <f>IFERROR(IF(X119="",0,CEILING((X119/$H119),1)*$H119),"")</f>
        <v>383.40000000000003</v>
      </c>
      <c r="Z119" s="36">
        <f>IFERROR(IF(Y119=0,"",ROUNDUP(Y119/H119,0)*0.00651),"")</f>
        <v>0.92442000000000002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416.55999999999995</v>
      </c>
      <c r="BN119" s="64">
        <f>IFERROR(Y119*I119/H119,"0")</f>
        <v>419.18400000000003</v>
      </c>
      <c r="BO119" s="64">
        <f>IFERROR(1/J119*(X119/H119),"0")</f>
        <v>0.77533577533577547</v>
      </c>
      <c r="BP119" s="64">
        <f>IFERROR(1/J119*(Y119/H119),"0")</f>
        <v>0.78021978021978033</v>
      </c>
    </row>
    <row r="120" spans="1:68" ht="16.5" hidden="1" customHeight="1" x14ac:dyDescent="0.25">
      <c r="A120" s="54" t="s">
        <v>226</v>
      </c>
      <c r="B120" s="54" t="s">
        <v>227</v>
      </c>
      <c r="C120" s="31">
        <v>4301051740</v>
      </c>
      <c r="D120" s="637">
        <v>4680115884533</v>
      </c>
      <c r="E120" s="638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61"/>
      <c r="P121" s="641" t="s">
        <v>72</v>
      </c>
      <c r="Q121" s="642"/>
      <c r="R121" s="642"/>
      <c r="S121" s="642"/>
      <c r="T121" s="642"/>
      <c r="U121" s="642"/>
      <c r="V121" s="643"/>
      <c r="W121" s="37" t="s">
        <v>73</v>
      </c>
      <c r="X121" s="635">
        <f>IFERROR(X117/H117,"0")+IFERROR(X118/H118,"0")+IFERROR(X119/H119,"0")+IFERROR(X120/H120,"0")</f>
        <v>272.22222222222223</v>
      </c>
      <c r="Y121" s="635">
        <f>IFERROR(Y117/H117,"0")+IFERROR(Y118/H118,"0")+IFERROR(Y119/H119,"0")+IFERROR(Y120/H120,"0")</f>
        <v>274</v>
      </c>
      <c r="Z121" s="635">
        <f>IFERROR(IF(Z117="",0,Z117),"0")+IFERROR(IF(Z118="",0,Z118),"0")+IFERROR(IF(Z119="",0,Z119),"0")+IFERROR(IF(Z120="",0,Z120),"0")</f>
        <v>3.4297800000000001</v>
      </c>
      <c r="AA121" s="636"/>
      <c r="AB121" s="636"/>
      <c r="AC121" s="636"/>
    </row>
    <row r="122" spans="1:68" x14ac:dyDescent="0.2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61"/>
      <c r="P122" s="641" t="s">
        <v>72</v>
      </c>
      <c r="Q122" s="642"/>
      <c r="R122" s="642"/>
      <c r="S122" s="642"/>
      <c r="T122" s="642"/>
      <c r="U122" s="642"/>
      <c r="V122" s="643"/>
      <c r="W122" s="37" t="s">
        <v>67</v>
      </c>
      <c r="X122" s="635">
        <f>IFERROR(SUM(X117:X120),"0")</f>
        <v>1443</v>
      </c>
      <c r="Y122" s="635">
        <f>IFERROR(SUM(Y117:Y120),"0")</f>
        <v>1452.6000000000001</v>
      </c>
      <c r="Z122" s="37"/>
      <c r="AA122" s="636"/>
      <c r="AB122" s="636"/>
      <c r="AC122" s="636"/>
    </row>
    <row r="123" spans="1:68" ht="14.25" hidden="1" customHeight="1" x14ac:dyDescent="0.25">
      <c r="A123" s="644" t="s">
        <v>164</v>
      </c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37">
        <v>4680115880238</v>
      </c>
      <c r="E124" s="638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6"/>
      <c r="R124" s="646"/>
      <c r="S124" s="646"/>
      <c r="T124" s="647"/>
      <c r="U124" s="34"/>
      <c r="V124" s="34"/>
      <c r="W124" s="35" t="s">
        <v>67</v>
      </c>
      <c r="X124" s="633">
        <v>45</v>
      </c>
      <c r="Y124" s="634">
        <f>IFERROR(IF(X124="",0,CEILING((X124/$H124),1)*$H124),"")</f>
        <v>45.54</v>
      </c>
      <c r="Z124" s="36">
        <f>IFERROR(IF(Y124=0,"",ROUNDUP(Y124/H124,0)*0.00651),"")</f>
        <v>0.14973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50.86363636363636</v>
      </c>
      <c r="BN124" s="64">
        <f>IFERROR(Y124*I124/H124,"0")</f>
        <v>51.474000000000004</v>
      </c>
      <c r="BO124" s="64">
        <f>IFERROR(1/J124*(X124/H124),"0")</f>
        <v>0.12487512487512488</v>
      </c>
      <c r="BP124" s="64">
        <f>IFERROR(1/J124*(Y124/H124),"0")</f>
        <v>0.1263736263736264</v>
      </c>
    </row>
    <row r="125" spans="1:68" x14ac:dyDescent="0.2">
      <c r="A125" s="66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61"/>
      <c r="P125" s="641" t="s">
        <v>72</v>
      </c>
      <c r="Q125" s="642"/>
      <c r="R125" s="642"/>
      <c r="S125" s="642"/>
      <c r="T125" s="642"/>
      <c r="U125" s="642"/>
      <c r="V125" s="643"/>
      <c r="W125" s="37" t="s">
        <v>73</v>
      </c>
      <c r="X125" s="635">
        <f>IFERROR(X124/H124,"0")</f>
        <v>22.727272727272727</v>
      </c>
      <c r="Y125" s="635">
        <f>IFERROR(Y124/H124,"0")</f>
        <v>23</v>
      </c>
      <c r="Z125" s="635">
        <f>IFERROR(IF(Z124="",0,Z124),"0")</f>
        <v>0.14973</v>
      </c>
      <c r="AA125" s="636"/>
      <c r="AB125" s="636"/>
      <c r="AC125" s="636"/>
    </row>
    <row r="126" spans="1:68" x14ac:dyDescent="0.2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61"/>
      <c r="P126" s="641" t="s">
        <v>72</v>
      </c>
      <c r="Q126" s="642"/>
      <c r="R126" s="642"/>
      <c r="S126" s="642"/>
      <c r="T126" s="642"/>
      <c r="U126" s="642"/>
      <c r="V126" s="643"/>
      <c r="W126" s="37" t="s">
        <v>67</v>
      </c>
      <c r="X126" s="635">
        <f>IFERROR(SUM(X124:X124),"0")</f>
        <v>45</v>
      </c>
      <c r="Y126" s="635">
        <f>IFERROR(SUM(Y124:Y124),"0")</f>
        <v>45.54</v>
      </c>
      <c r="Z126" s="37"/>
      <c r="AA126" s="636"/>
      <c r="AB126" s="636"/>
      <c r="AC126" s="636"/>
    </row>
    <row r="127" spans="1:68" ht="16.5" hidden="1" customHeight="1" x14ac:dyDescent="0.25">
      <c r="A127" s="639" t="s">
        <v>232</v>
      </c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28"/>
      <c r="AB127" s="628"/>
      <c r="AC127" s="628"/>
    </row>
    <row r="128" spans="1:68" ht="14.25" hidden="1" customHeight="1" x14ac:dyDescent="0.25">
      <c r="A128" s="644" t="s">
        <v>111</v>
      </c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29"/>
      <c r="AB128" s="629"/>
      <c r="AC128" s="629"/>
    </row>
    <row r="129" spans="1:68" ht="27" hidden="1" customHeight="1" x14ac:dyDescent="0.25">
      <c r="A129" s="54" t="s">
        <v>233</v>
      </c>
      <c r="B129" s="54" t="s">
        <v>234</v>
      </c>
      <c r="C129" s="31">
        <v>4301012347</v>
      </c>
      <c r="D129" s="637">
        <v>4680115888784</v>
      </c>
      <c r="E129" s="638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6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6"/>
      <c r="R129" s="646"/>
      <c r="S129" s="646"/>
      <c r="T129" s="647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237</v>
      </c>
      <c r="B130" s="54" t="s">
        <v>238</v>
      </c>
      <c r="C130" s="31">
        <v>4301011562</v>
      </c>
      <c r="D130" s="637">
        <v>4680115882577</v>
      </c>
      <c r="E130" s="638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6"/>
      <c r="R130" s="646"/>
      <c r="S130" s="646"/>
      <c r="T130" s="647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237</v>
      </c>
      <c r="B131" s="54" t="s">
        <v>241</v>
      </c>
      <c r="C131" s="31">
        <v>4301011564</v>
      </c>
      <c r="D131" s="637">
        <v>4680115882577</v>
      </c>
      <c r="E131" s="638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6"/>
      <c r="R131" s="646"/>
      <c r="S131" s="646"/>
      <c r="T131" s="647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6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61"/>
      <c r="P132" s="641" t="s">
        <v>72</v>
      </c>
      <c r="Q132" s="642"/>
      <c r="R132" s="642"/>
      <c r="S132" s="642"/>
      <c r="T132" s="642"/>
      <c r="U132" s="642"/>
      <c r="V132" s="643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hidden="1" x14ac:dyDescent="0.2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61"/>
      <c r="P133" s="641" t="s">
        <v>72</v>
      </c>
      <c r="Q133" s="642"/>
      <c r="R133" s="642"/>
      <c r="S133" s="642"/>
      <c r="T133" s="642"/>
      <c r="U133" s="642"/>
      <c r="V133" s="643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hidden="1" customHeight="1" x14ac:dyDescent="0.25">
      <c r="A134" s="644" t="s">
        <v>62</v>
      </c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29"/>
      <c r="AB134" s="629"/>
      <c r="AC134" s="629"/>
    </row>
    <row r="135" spans="1:68" ht="16.5" hidden="1" customHeight="1" x14ac:dyDescent="0.25">
      <c r="A135" s="54" t="s">
        <v>242</v>
      </c>
      <c r="B135" s="54" t="s">
        <v>243</v>
      </c>
      <c r="C135" s="31">
        <v>4301031506</v>
      </c>
      <c r="D135" s="637">
        <v>4680115888913</v>
      </c>
      <c r="E135" s="638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6"/>
      <c r="R135" s="646"/>
      <c r="S135" s="646"/>
      <c r="T135" s="647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37">
        <v>4680115883444</v>
      </c>
      <c r="E136" s="638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33">
        <v>5</v>
      </c>
      <c r="Y136" s="634">
        <f>IFERROR(IF(X136="",0,CEILING((X136/$H136),1)*$H136),"")</f>
        <v>5.6</v>
      </c>
      <c r="Z136" s="36">
        <f>IFERROR(IF(Y136=0,"",ROUNDUP(Y136/H136,0)*0.00651),"")</f>
        <v>1.302E-2</v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5.4785714285714286</v>
      </c>
      <c r="BN136" s="64">
        <f>IFERROR(Y136*I136/H136,"0")</f>
        <v>6.1359999999999992</v>
      </c>
      <c r="BO136" s="64">
        <f>IFERROR(1/J136*(X136/H136),"0")</f>
        <v>9.8116169544740992E-3</v>
      </c>
      <c r="BP136" s="64">
        <f>IFERROR(1/J136*(Y136/H136),"0")</f>
        <v>1.098901098901099E-2</v>
      </c>
    </row>
    <row r="137" spans="1:68" ht="27" hidden="1" customHeight="1" x14ac:dyDescent="0.25">
      <c r="A137" s="54" t="s">
        <v>245</v>
      </c>
      <c r="B137" s="54" t="s">
        <v>248</v>
      </c>
      <c r="C137" s="31">
        <v>4301031235</v>
      </c>
      <c r="D137" s="637">
        <v>4680115883444</v>
      </c>
      <c r="E137" s="638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249</v>
      </c>
      <c r="B138" s="54" t="s">
        <v>250</v>
      </c>
      <c r="C138" s="31">
        <v>4301031504</v>
      </c>
      <c r="D138" s="637">
        <v>4680115888920</v>
      </c>
      <c r="E138" s="638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6"/>
      <c r="R138" s="646"/>
      <c r="S138" s="646"/>
      <c r="T138" s="647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61"/>
      <c r="P139" s="641" t="s">
        <v>72</v>
      </c>
      <c r="Q139" s="642"/>
      <c r="R139" s="642"/>
      <c r="S139" s="642"/>
      <c r="T139" s="642"/>
      <c r="U139" s="642"/>
      <c r="V139" s="643"/>
      <c r="W139" s="37" t="s">
        <v>73</v>
      </c>
      <c r="X139" s="635">
        <f>IFERROR(X135/H135,"0")+IFERROR(X136/H136,"0")+IFERROR(X137/H137,"0")+IFERROR(X138/H138,"0")</f>
        <v>1.7857142857142858</v>
      </c>
      <c r="Y139" s="635">
        <f>IFERROR(Y135/H135,"0")+IFERROR(Y136/H136,"0")+IFERROR(Y137/H137,"0")+IFERROR(Y138/H138,"0")</f>
        <v>2</v>
      </c>
      <c r="Z139" s="635">
        <f>IFERROR(IF(Z135="",0,Z135),"0")+IFERROR(IF(Z136="",0,Z136),"0")+IFERROR(IF(Z137="",0,Z137),"0")+IFERROR(IF(Z138="",0,Z138),"0")</f>
        <v>1.302E-2</v>
      </c>
      <c r="AA139" s="636"/>
      <c r="AB139" s="636"/>
      <c r="AC139" s="636"/>
    </row>
    <row r="140" spans="1:68" x14ac:dyDescent="0.2">
      <c r="A140" s="640"/>
      <c r="B140" s="640"/>
      <c r="C140" s="640"/>
      <c r="D140" s="640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61"/>
      <c r="P140" s="641" t="s">
        <v>72</v>
      </c>
      <c r="Q140" s="642"/>
      <c r="R140" s="642"/>
      <c r="S140" s="642"/>
      <c r="T140" s="642"/>
      <c r="U140" s="642"/>
      <c r="V140" s="643"/>
      <c r="W140" s="37" t="s">
        <v>67</v>
      </c>
      <c r="X140" s="635">
        <f>IFERROR(SUM(X135:X138),"0")</f>
        <v>5</v>
      </c>
      <c r="Y140" s="635">
        <f>IFERROR(SUM(Y135:Y138),"0")</f>
        <v>5.6</v>
      </c>
      <c r="Z140" s="37"/>
      <c r="AA140" s="636"/>
      <c r="AB140" s="636"/>
      <c r="AC140" s="636"/>
    </row>
    <row r="141" spans="1:68" ht="14.25" hidden="1" customHeight="1" x14ac:dyDescent="0.25">
      <c r="A141" s="644" t="s">
        <v>74</v>
      </c>
      <c r="B141" s="640"/>
      <c r="C141" s="640"/>
      <c r="D141" s="640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29"/>
      <c r="AB141" s="629"/>
      <c r="AC141" s="629"/>
    </row>
    <row r="142" spans="1:68" ht="16.5" hidden="1" customHeight="1" x14ac:dyDescent="0.25">
      <c r="A142" s="54" t="s">
        <v>251</v>
      </c>
      <c r="B142" s="54" t="s">
        <v>252</v>
      </c>
      <c r="C142" s="31">
        <v>4301052219</v>
      </c>
      <c r="D142" s="637">
        <v>4680115888944</v>
      </c>
      <c r="E142" s="638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6"/>
      <c r="R142" s="646"/>
      <c r="S142" s="646"/>
      <c r="T142" s="647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253</v>
      </c>
      <c r="B143" s="54" t="s">
        <v>254</v>
      </c>
      <c r="C143" s="31">
        <v>4301051476</v>
      </c>
      <c r="D143" s="637">
        <v>4680115882584</v>
      </c>
      <c r="E143" s="638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6"/>
      <c r="R143" s="646"/>
      <c r="S143" s="646"/>
      <c r="T143" s="647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253</v>
      </c>
      <c r="B144" s="54" t="s">
        <v>255</v>
      </c>
      <c r="C144" s="31">
        <v>4301051477</v>
      </c>
      <c r="D144" s="637">
        <v>4680115882584</v>
      </c>
      <c r="E144" s="638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73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6"/>
      <c r="R144" s="646"/>
      <c r="S144" s="646"/>
      <c r="T144" s="647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6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61"/>
      <c r="P145" s="641" t="s">
        <v>72</v>
      </c>
      <c r="Q145" s="642"/>
      <c r="R145" s="642"/>
      <c r="S145" s="642"/>
      <c r="T145" s="642"/>
      <c r="U145" s="642"/>
      <c r="V145" s="643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hidden="1" x14ac:dyDescent="0.2">
      <c r="A146" s="640"/>
      <c r="B146" s="640"/>
      <c r="C146" s="640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61"/>
      <c r="P146" s="641" t="s">
        <v>72</v>
      </c>
      <c r="Q146" s="642"/>
      <c r="R146" s="642"/>
      <c r="S146" s="642"/>
      <c r="T146" s="642"/>
      <c r="U146" s="642"/>
      <c r="V146" s="643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hidden="1" customHeight="1" x14ac:dyDescent="0.25">
      <c r="A147" s="639" t="s">
        <v>256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28"/>
      <c r="AB147" s="628"/>
      <c r="AC147" s="628"/>
    </row>
    <row r="148" spans="1:68" ht="14.25" hidden="1" customHeight="1" x14ac:dyDescent="0.25">
      <c r="A148" s="644" t="s">
        <v>74</v>
      </c>
      <c r="B148" s="640"/>
      <c r="C148" s="640"/>
      <c r="D148" s="640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29"/>
      <c r="AB148" s="629"/>
      <c r="AC148" s="629"/>
    </row>
    <row r="149" spans="1:68" ht="27" hidden="1" customHeight="1" x14ac:dyDescent="0.25">
      <c r="A149" s="54" t="s">
        <v>257</v>
      </c>
      <c r="B149" s="54" t="s">
        <v>258</v>
      </c>
      <c r="C149" s="31">
        <v>4301052254</v>
      </c>
      <c r="D149" s="637">
        <v>4680115888203</v>
      </c>
      <c r="E149" s="638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4301052172</v>
      </c>
      <c r="D150" s="637">
        <v>4680115888180</v>
      </c>
      <c r="E150" s="638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263</v>
      </c>
      <c r="C151" s="31">
        <v>4301052252</v>
      </c>
      <c r="D151" s="637">
        <v>4680115888180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264</v>
      </c>
      <c r="B152" s="54" t="s">
        <v>265</v>
      </c>
      <c r="C152" s="31">
        <v>4301052173</v>
      </c>
      <c r="D152" s="637">
        <v>4680115888197</v>
      </c>
      <c r="E152" s="638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264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5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6"/>
      <c r="R153" s="646"/>
      <c r="S153" s="646"/>
      <c r="T153" s="647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4301052175</v>
      </c>
      <c r="D154" s="637">
        <v>4680115888210</v>
      </c>
      <c r="E154" s="638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6"/>
      <c r="R154" s="646"/>
      <c r="S154" s="646"/>
      <c r="T154" s="647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268</v>
      </c>
      <c r="B155" s="54" t="s">
        <v>271</v>
      </c>
      <c r="C155" s="31">
        <v>4301052255</v>
      </c>
      <c r="D155" s="637">
        <v>4680115888210</v>
      </c>
      <c r="E155" s="638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6"/>
      <c r="R155" s="646"/>
      <c r="S155" s="646"/>
      <c r="T155" s="647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6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61"/>
      <c r="P156" s="641" t="s">
        <v>72</v>
      </c>
      <c r="Q156" s="642"/>
      <c r="R156" s="642"/>
      <c r="S156" s="642"/>
      <c r="T156" s="642"/>
      <c r="U156" s="642"/>
      <c r="V156" s="643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40"/>
      <c r="B157" s="640"/>
      <c r="C157" s="640"/>
      <c r="D157" s="640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61"/>
      <c r="P157" s="641" t="s">
        <v>72</v>
      </c>
      <c r="Q157" s="642"/>
      <c r="R157" s="642"/>
      <c r="S157" s="642"/>
      <c r="T157" s="642"/>
      <c r="U157" s="642"/>
      <c r="V157" s="643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44" t="s">
        <v>272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29"/>
      <c r="AB158" s="629"/>
      <c r="AC158" s="629"/>
    </row>
    <row r="159" spans="1:68" ht="27" hidden="1" customHeight="1" x14ac:dyDescent="0.25">
      <c r="A159" s="54" t="s">
        <v>273</v>
      </c>
      <c r="B159" s="54" t="s">
        <v>274</v>
      </c>
      <c r="C159" s="31">
        <v>4301032067</v>
      </c>
      <c r="D159" s="637">
        <v>4680115889132</v>
      </c>
      <c r="E159" s="638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6"/>
      <c r="R159" s="646"/>
      <c r="S159" s="646"/>
      <c r="T159" s="647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61"/>
      <c r="P160" s="641" t="s">
        <v>72</v>
      </c>
      <c r="Q160" s="642"/>
      <c r="R160" s="642"/>
      <c r="S160" s="642"/>
      <c r="T160" s="642"/>
      <c r="U160" s="642"/>
      <c r="V160" s="643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40"/>
      <c r="B161" s="640"/>
      <c r="C161" s="640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61"/>
      <c r="P161" s="641" t="s">
        <v>72</v>
      </c>
      <c r="Q161" s="642"/>
      <c r="R161" s="642"/>
      <c r="S161" s="642"/>
      <c r="T161" s="642"/>
      <c r="U161" s="642"/>
      <c r="V161" s="643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39" t="s">
        <v>109</v>
      </c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28"/>
      <c r="AB162" s="628"/>
      <c r="AC162" s="628"/>
    </row>
    <row r="163" spans="1:68" ht="14.25" hidden="1" customHeight="1" x14ac:dyDescent="0.25">
      <c r="A163" s="644" t="s">
        <v>111</v>
      </c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29"/>
      <c r="AB163" s="629"/>
      <c r="AC163" s="629"/>
    </row>
    <row r="164" spans="1:68" ht="27" hidden="1" customHeight="1" x14ac:dyDescent="0.25">
      <c r="A164" s="54" t="s">
        <v>279</v>
      </c>
      <c r="B164" s="54" t="s">
        <v>280</v>
      </c>
      <c r="C164" s="31">
        <v>4301012338</v>
      </c>
      <c r="D164" s="637">
        <v>4680115887374</v>
      </c>
      <c r="E164" s="638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8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6"/>
      <c r="R164" s="646"/>
      <c r="S164" s="646"/>
      <c r="T164" s="647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282</v>
      </c>
      <c r="B165" s="54" t="s">
        <v>283</v>
      </c>
      <c r="C165" s="31">
        <v>4301011705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6"/>
      <c r="R165" s="646"/>
      <c r="S165" s="646"/>
      <c r="T165" s="647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285</v>
      </c>
      <c r="B166" s="54" t="s">
        <v>286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6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61"/>
      <c r="P167" s="641" t="s">
        <v>72</v>
      </c>
      <c r="Q167" s="642"/>
      <c r="R167" s="642"/>
      <c r="S167" s="642"/>
      <c r="T167" s="642"/>
      <c r="U167" s="642"/>
      <c r="V167" s="643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0"/>
      <c r="B168" s="640"/>
      <c r="C168" s="640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61"/>
      <c r="P168" s="641" t="s">
        <v>72</v>
      </c>
      <c r="Q168" s="642"/>
      <c r="R168" s="642"/>
      <c r="S168" s="642"/>
      <c r="T168" s="642"/>
      <c r="U168" s="642"/>
      <c r="V168" s="643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4" t="s">
        <v>147</v>
      </c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29"/>
      <c r="AB169" s="629"/>
      <c r="AC169" s="629"/>
    </row>
    <row r="170" spans="1:68" ht="16.5" hidden="1" customHeight="1" x14ac:dyDescent="0.25">
      <c r="A170" s="54" t="s">
        <v>288</v>
      </c>
      <c r="B170" s="54" t="s">
        <v>289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7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6"/>
      <c r="R170" s="646"/>
      <c r="S170" s="646"/>
      <c r="T170" s="647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65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6"/>
      <c r="R171" s="646"/>
      <c r="S171" s="646"/>
      <c r="T171" s="647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61"/>
      <c r="P172" s="641" t="s">
        <v>72</v>
      </c>
      <c r="Q172" s="642"/>
      <c r="R172" s="642"/>
      <c r="S172" s="642"/>
      <c r="T172" s="642"/>
      <c r="U172" s="642"/>
      <c r="V172" s="643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0"/>
      <c r="B173" s="640"/>
      <c r="C173" s="640"/>
      <c r="D173" s="640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61"/>
      <c r="P173" s="641" t="s">
        <v>72</v>
      </c>
      <c r="Q173" s="642"/>
      <c r="R173" s="642"/>
      <c r="S173" s="642"/>
      <c r="T173" s="642"/>
      <c r="U173" s="642"/>
      <c r="V173" s="64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4" t="s">
        <v>62</v>
      </c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33">
        <v>8</v>
      </c>
      <c r="Y175" s="634">
        <f t="shared" ref="Y175:Y185" si="16">IFERROR(IF(X175="",0,CEILING((X175/$H175),1)*$H175),"")</f>
        <v>10.5</v>
      </c>
      <c r="Z175" s="36">
        <f>IFERROR(IF(Y175=0,"",ROUNDUP(Y175/H175,0)*0.00902),"")</f>
        <v>2.7060000000000001E-2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8.4342857142857142</v>
      </c>
      <c r="BN175" s="64">
        <f t="shared" ref="BN175:BN185" si="18">IFERROR(Y175*I175/H175,"0")</f>
        <v>11.069999999999999</v>
      </c>
      <c r="BO175" s="64">
        <f t="shared" ref="BO175:BO185" si="19">IFERROR(1/J175*(X175/H175),"0")</f>
        <v>1.7316017316017316E-2</v>
      </c>
      <c r="BP175" s="64">
        <f t="shared" ref="BP175:BP185" si="20">IFERROR(1/J175*(Y175/H175),"0")</f>
        <v>2.2727272727272728E-2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4301031498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33">
        <v>48</v>
      </c>
      <c r="Y178" s="634">
        <f t="shared" si="16"/>
        <v>49</v>
      </c>
      <c r="Z178" s="36">
        <f>IFERROR(IF(Y178=0,"",ROUNDUP(Y178/H178,0)*0.00902),"")</f>
        <v>0.12628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50.605714285714285</v>
      </c>
      <c r="BN178" s="64">
        <f t="shared" si="18"/>
        <v>51.660000000000004</v>
      </c>
      <c r="BO178" s="64">
        <f t="shared" si="19"/>
        <v>0.10389610389610389</v>
      </c>
      <c r="BP178" s="64">
        <f t="shared" si="20"/>
        <v>0.10606060606060606</v>
      </c>
    </row>
    <row r="179" spans="1:68" ht="16.5" hidden="1" customHeight="1" x14ac:dyDescent="0.25">
      <c r="A179" s="54" t="s">
        <v>306</v>
      </c>
      <c r="B179" s="54" t="s">
        <v>307</v>
      </c>
      <c r="C179" s="31">
        <v>4301032049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33">
        <v>101</v>
      </c>
      <c r="Y180" s="634">
        <f t="shared" si="16"/>
        <v>102.47999999999999</v>
      </c>
      <c r="Z180" s="36">
        <f>IFERROR(IF(Y180=0,"",ROUNDUP(Y180/H180,0)*0.00502),"")</f>
        <v>0.30621999999999999</v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107.01190476190477</v>
      </c>
      <c r="BN180" s="64">
        <f t="shared" si="18"/>
        <v>108.57999999999998</v>
      </c>
      <c r="BO180" s="64">
        <f t="shared" si="19"/>
        <v>0.25691900691900693</v>
      </c>
      <c r="BP180" s="64">
        <f t="shared" si="20"/>
        <v>0.2606837606837607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33">
        <v>5</v>
      </c>
      <c r="Y181" s="634">
        <f t="shared" si="16"/>
        <v>5.4</v>
      </c>
      <c r="Z181" s="36">
        <f>IFERROR(IF(Y181=0,"",ROUNDUP(Y181/H181,0)*0.00417),"")</f>
        <v>2.5020000000000001E-2</v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6.166666666666667</v>
      </c>
      <c r="BN181" s="64">
        <f t="shared" si="18"/>
        <v>6.66</v>
      </c>
      <c r="BO181" s="64">
        <f t="shared" si="19"/>
        <v>1.6534391534391533E-2</v>
      </c>
      <c r="BP181" s="64">
        <f t="shared" si="20"/>
        <v>1.7857142857142856E-2</v>
      </c>
    </row>
    <row r="182" spans="1:68" ht="27" hidden="1" customHeight="1" x14ac:dyDescent="0.25">
      <c r="A182" s="54" t="s">
        <v>311</v>
      </c>
      <c r="B182" s="54" t="s">
        <v>314</v>
      </c>
      <c r="C182" s="31">
        <v>4301031510</v>
      </c>
      <c r="D182" s="637">
        <v>4680115887763</v>
      </c>
      <c r="E182" s="638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9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4301031454</v>
      </c>
      <c r="D183" s="637">
        <v>4680115887480</v>
      </c>
      <c r="E183" s="638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4301031434</v>
      </c>
      <c r="D184" s="637">
        <v>4680115888067</v>
      </c>
      <c r="E184" s="638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6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6"/>
      <c r="R184" s="646"/>
      <c r="S184" s="646"/>
      <c r="T184" s="647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37">
        <v>4680115887435</v>
      </c>
      <c r="E185" s="638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6"/>
      <c r="R185" s="646"/>
      <c r="S185" s="646"/>
      <c r="T185" s="647"/>
      <c r="U185" s="34"/>
      <c r="V185" s="34"/>
      <c r="W185" s="35" t="s">
        <v>67</v>
      </c>
      <c r="X185" s="633">
        <v>106</v>
      </c>
      <c r="Y185" s="634">
        <f t="shared" si="16"/>
        <v>107.52</v>
      </c>
      <c r="Z185" s="36">
        <f>IFERROR(IF(Y185=0,"",ROUNDUP(Y185/H185,0)*0.00502),"")</f>
        <v>0.32128000000000001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112.30952380952382</v>
      </c>
      <c r="BN185" s="64">
        <f t="shared" si="18"/>
        <v>113.91999999999999</v>
      </c>
      <c r="BO185" s="64">
        <f t="shared" si="19"/>
        <v>0.26963776963776964</v>
      </c>
      <c r="BP185" s="64">
        <f t="shared" si="20"/>
        <v>0.27350427350427353</v>
      </c>
    </row>
    <row r="186" spans="1:68" x14ac:dyDescent="0.2">
      <c r="A186" s="66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61"/>
      <c r="P186" s="641" t="s">
        <v>72</v>
      </c>
      <c r="Q186" s="642"/>
      <c r="R186" s="642"/>
      <c r="S186" s="642"/>
      <c r="T186" s="642"/>
      <c r="U186" s="642"/>
      <c r="V186" s="643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144.76984126984127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148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0.80586000000000002</v>
      </c>
      <c r="AA186" s="636"/>
      <c r="AB186" s="636"/>
      <c r="AC186" s="636"/>
    </row>
    <row r="187" spans="1:68" x14ac:dyDescent="0.2">
      <c r="A187" s="640"/>
      <c r="B187" s="640"/>
      <c r="C187" s="640"/>
      <c r="D187" s="640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61"/>
      <c r="P187" s="641" t="s">
        <v>72</v>
      </c>
      <c r="Q187" s="642"/>
      <c r="R187" s="642"/>
      <c r="S187" s="642"/>
      <c r="T187" s="642"/>
      <c r="U187" s="642"/>
      <c r="V187" s="643"/>
      <c r="W187" s="37" t="s">
        <v>67</v>
      </c>
      <c r="X187" s="635">
        <f>IFERROR(SUM(X175:X185),"0")</f>
        <v>268</v>
      </c>
      <c r="Y187" s="635">
        <f>IFERROR(SUM(Y175:Y185),"0")</f>
        <v>274.89999999999998</v>
      </c>
      <c r="Z187" s="37"/>
      <c r="AA187" s="636"/>
      <c r="AB187" s="636"/>
      <c r="AC187" s="636"/>
    </row>
    <row r="188" spans="1:68" ht="14.25" hidden="1" customHeight="1" x14ac:dyDescent="0.25">
      <c r="A188" s="644" t="s">
        <v>74</v>
      </c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29"/>
      <c r="AB188" s="629"/>
      <c r="AC188" s="629"/>
    </row>
    <row r="189" spans="1:68" ht="16.5" hidden="1" customHeight="1" x14ac:dyDescent="0.25">
      <c r="A189" s="54" t="s">
        <v>322</v>
      </c>
      <c r="B189" s="54" t="s">
        <v>323</v>
      </c>
      <c r="C189" s="31">
        <v>4301052193</v>
      </c>
      <c r="D189" s="637">
        <v>4680115888395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325</v>
      </c>
      <c r="B190" s="54" t="s">
        <v>326</v>
      </c>
      <c r="C190" s="31">
        <v>4301052191</v>
      </c>
      <c r="D190" s="637">
        <v>4680115888371</v>
      </c>
      <c r="E190" s="638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6"/>
      <c r="R190" s="646"/>
      <c r="S190" s="646"/>
      <c r="T190" s="647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328</v>
      </c>
      <c r="B191" s="54" t="s">
        <v>329</v>
      </c>
      <c r="C191" s="31">
        <v>4301052064</v>
      </c>
      <c r="D191" s="637">
        <v>4680115887459</v>
      </c>
      <c r="E191" s="638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6"/>
      <c r="R191" s="646"/>
      <c r="S191" s="646"/>
      <c r="T191" s="647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61"/>
      <c r="P192" s="641" t="s">
        <v>72</v>
      </c>
      <c r="Q192" s="642"/>
      <c r="R192" s="642"/>
      <c r="S192" s="642"/>
      <c r="T192" s="642"/>
      <c r="U192" s="642"/>
      <c r="V192" s="643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40"/>
      <c r="B193" s="640"/>
      <c r="C193" s="640"/>
      <c r="D193" s="640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61"/>
      <c r="P193" s="641" t="s">
        <v>72</v>
      </c>
      <c r="Q193" s="642"/>
      <c r="R193" s="642"/>
      <c r="S193" s="642"/>
      <c r="T193" s="642"/>
      <c r="U193" s="642"/>
      <c r="V193" s="643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44" t="s">
        <v>272</v>
      </c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29"/>
      <c r="AB194" s="629"/>
      <c r="AC194" s="629"/>
    </row>
    <row r="195" spans="1:68" ht="16.5" hidden="1" customHeight="1" x14ac:dyDescent="0.25">
      <c r="A195" s="54" t="s">
        <v>331</v>
      </c>
      <c r="B195" s="54" t="s">
        <v>332</v>
      </c>
      <c r="C195" s="31">
        <v>4301032058</v>
      </c>
      <c r="D195" s="637">
        <v>4680115889026</v>
      </c>
      <c r="E195" s="638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6"/>
      <c r="R195" s="646"/>
      <c r="S195" s="646"/>
      <c r="T195" s="647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335</v>
      </c>
      <c r="B196" s="54" t="s">
        <v>336</v>
      </c>
      <c r="C196" s="31">
        <v>4301032057</v>
      </c>
      <c r="D196" s="637">
        <v>4680115889088</v>
      </c>
      <c r="E196" s="638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6"/>
      <c r="R196" s="646"/>
      <c r="S196" s="646"/>
      <c r="T196" s="647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60"/>
      <c r="B197" s="640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61"/>
      <c r="P197" s="641" t="s">
        <v>72</v>
      </c>
      <c r="Q197" s="642"/>
      <c r="R197" s="642"/>
      <c r="S197" s="642"/>
      <c r="T197" s="642"/>
      <c r="U197" s="642"/>
      <c r="V197" s="643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40"/>
      <c r="B198" s="640"/>
      <c r="C198" s="640"/>
      <c r="D198" s="640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61"/>
      <c r="P198" s="641" t="s">
        <v>72</v>
      </c>
      <c r="Q198" s="642"/>
      <c r="R198" s="642"/>
      <c r="S198" s="642"/>
      <c r="T198" s="642"/>
      <c r="U198" s="642"/>
      <c r="V198" s="643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44" t="s">
        <v>338</v>
      </c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29"/>
      <c r="AB199" s="629"/>
      <c r="AC199" s="629"/>
    </row>
    <row r="200" spans="1:68" ht="27" hidden="1" customHeight="1" x14ac:dyDescent="0.25">
      <c r="A200" s="54" t="s">
        <v>339</v>
      </c>
      <c r="B200" s="54" t="s">
        <v>340</v>
      </c>
      <c r="C200" s="31">
        <v>4301041009</v>
      </c>
      <c r="D200" s="637">
        <v>4680115889033</v>
      </c>
      <c r="E200" s="638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6"/>
      <c r="R200" s="646"/>
      <c r="S200" s="646"/>
      <c r="T200" s="647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60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61"/>
      <c r="P201" s="641" t="s">
        <v>72</v>
      </c>
      <c r="Q201" s="642"/>
      <c r="R201" s="642"/>
      <c r="S201" s="642"/>
      <c r="T201" s="642"/>
      <c r="U201" s="642"/>
      <c r="V201" s="643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40"/>
      <c r="B202" s="640"/>
      <c r="C202" s="640"/>
      <c r="D202" s="640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61"/>
      <c r="P202" s="641" t="s">
        <v>72</v>
      </c>
      <c r="Q202" s="642"/>
      <c r="R202" s="642"/>
      <c r="S202" s="642"/>
      <c r="T202" s="642"/>
      <c r="U202" s="642"/>
      <c r="V202" s="643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18" t="s">
        <v>342</v>
      </c>
      <c r="B203" s="719"/>
      <c r="C203" s="719"/>
      <c r="D203" s="719"/>
      <c r="E203" s="719"/>
      <c r="F203" s="719"/>
      <c r="G203" s="719"/>
      <c r="H203" s="719"/>
      <c r="I203" s="719"/>
      <c r="J203" s="719"/>
      <c r="K203" s="719"/>
      <c r="L203" s="719"/>
      <c r="M203" s="719"/>
      <c r="N203" s="719"/>
      <c r="O203" s="719"/>
      <c r="P203" s="719"/>
      <c r="Q203" s="719"/>
      <c r="R203" s="719"/>
      <c r="S203" s="719"/>
      <c r="T203" s="719"/>
      <c r="U203" s="719"/>
      <c r="V203" s="719"/>
      <c r="W203" s="719"/>
      <c r="X203" s="719"/>
      <c r="Y203" s="719"/>
      <c r="Z203" s="719"/>
      <c r="AA203" s="48"/>
      <c r="AB203" s="48"/>
      <c r="AC203" s="48"/>
    </row>
    <row r="204" spans="1:68" ht="16.5" hidden="1" customHeight="1" x14ac:dyDescent="0.25">
      <c r="A204" s="639" t="s">
        <v>343</v>
      </c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28"/>
      <c r="AB204" s="628"/>
      <c r="AC204" s="628"/>
    </row>
    <row r="205" spans="1:68" ht="14.25" hidden="1" customHeight="1" x14ac:dyDescent="0.25">
      <c r="A205" s="644" t="s">
        <v>111</v>
      </c>
      <c r="B205" s="640"/>
      <c r="C205" s="640"/>
      <c r="D205" s="640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29"/>
      <c r="AB205" s="629"/>
      <c r="AC205" s="629"/>
    </row>
    <row r="206" spans="1:68" ht="27" hidden="1" customHeight="1" x14ac:dyDescent="0.25">
      <c r="A206" s="54" t="s">
        <v>344</v>
      </c>
      <c r="B206" s="54" t="s">
        <v>345</v>
      </c>
      <c r="C206" s="31">
        <v>4301011223</v>
      </c>
      <c r="D206" s="637">
        <v>4607091383423</v>
      </c>
      <c r="E206" s="638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6"/>
      <c r="R206" s="646"/>
      <c r="S206" s="646"/>
      <c r="T206" s="647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4301012340</v>
      </c>
      <c r="D207" s="637">
        <v>4680115888760</v>
      </c>
      <c r="E207" s="638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6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4301012341</v>
      </c>
      <c r="D208" s="637">
        <v>4680115888807</v>
      </c>
      <c r="E208" s="638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4301012342</v>
      </c>
      <c r="D209" s="637">
        <v>4680115888852</v>
      </c>
      <c r="E209" s="638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355</v>
      </c>
      <c r="B210" s="54" t="s">
        <v>356</v>
      </c>
      <c r="C210" s="31">
        <v>4301012370</v>
      </c>
      <c r="D210" s="637">
        <v>4680115886957</v>
      </c>
      <c r="E210" s="638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6"/>
      <c r="R210" s="646"/>
      <c r="S210" s="646"/>
      <c r="T210" s="647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358</v>
      </c>
      <c r="B211" s="54" t="s">
        <v>359</v>
      </c>
      <c r="C211" s="31">
        <v>4301012098</v>
      </c>
      <c r="D211" s="637">
        <v>4680115885660</v>
      </c>
      <c r="E211" s="638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6"/>
      <c r="R211" s="646"/>
      <c r="S211" s="646"/>
      <c r="T211" s="647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361</v>
      </c>
      <c r="B212" s="54" t="s">
        <v>362</v>
      </c>
      <c r="C212" s="31">
        <v>4301012369</v>
      </c>
      <c r="D212" s="637">
        <v>4680115886773</v>
      </c>
      <c r="E212" s="638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6"/>
      <c r="R212" s="646"/>
      <c r="S212" s="646"/>
      <c r="T212" s="647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60"/>
      <c r="B213" s="640"/>
      <c r="C213" s="640"/>
      <c r="D213" s="640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61"/>
      <c r="P213" s="641" t="s">
        <v>72</v>
      </c>
      <c r="Q213" s="642"/>
      <c r="R213" s="642"/>
      <c r="S213" s="642"/>
      <c r="T213" s="642"/>
      <c r="U213" s="642"/>
      <c r="V213" s="643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40"/>
      <c r="B214" s="640"/>
      <c r="C214" s="640"/>
      <c r="D214" s="640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61"/>
      <c r="P214" s="641" t="s">
        <v>72</v>
      </c>
      <c r="Q214" s="642"/>
      <c r="R214" s="642"/>
      <c r="S214" s="642"/>
      <c r="T214" s="642"/>
      <c r="U214" s="642"/>
      <c r="V214" s="643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39" t="s">
        <v>364</v>
      </c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28"/>
      <c r="AB215" s="628"/>
      <c r="AC215" s="628"/>
    </row>
    <row r="216" spans="1:68" ht="14.25" hidden="1" customHeight="1" x14ac:dyDescent="0.25">
      <c r="A216" s="644" t="s">
        <v>147</v>
      </c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29"/>
      <c r="AB216" s="629"/>
      <c r="AC216" s="629"/>
    </row>
    <row r="217" spans="1:68" ht="27" hidden="1" customHeight="1" x14ac:dyDescent="0.25">
      <c r="A217" s="54" t="s">
        <v>365</v>
      </c>
      <c r="B217" s="54" t="s">
        <v>366</v>
      </c>
      <c r="C217" s="31">
        <v>4301020323</v>
      </c>
      <c r="D217" s="637">
        <v>4680115886223</v>
      </c>
      <c r="E217" s="638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6"/>
      <c r="R217" s="646"/>
      <c r="S217" s="646"/>
      <c r="T217" s="647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60"/>
      <c r="B218" s="640"/>
      <c r="C218" s="640"/>
      <c r="D218" s="640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61"/>
      <c r="P218" s="641" t="s">
        <v>72</v>
      </c>
      <c r="Q218" s="642"/>
      <c r="R218" s="642"/>
      <c r="S218" s="642"/>
      <c r="T218" s="642"/>
      <c r="U218" s="642"/>
      <c r="V218" s="643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40"/>
      <c r="B219" s="640"/>
      <c r="C219" s="640"/>
      <c r="D219" s="640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61"/>
      <c r="P219" s="641" t="s">
        <v>72</v>
      </c>
      <c r="Q219" s="642"/>
      <c r="R219" s="642"/>
      <c r="S219" s="642"/>
      <c r="T219" s="642"/>
      <c r="U219" s="642"/>
      <c r="V219" s="643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44" t="s">
        <v>62</v>
      </c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37">
        <v>4680115880993</v>
      </c>
      <c r="E221" s="638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6"/>
      <c r="R221" s="646"/>
      <c r="S221" s="646"/>
      <c r="T221" s="647"/>
      <c r="U221" s="34"/>
      <c r="V221" s="34"/>
      <c r="W221" s="35" t="s">
        <v>67</v>
      </c>
      <c r="X221" s="633">
        <v>23</v>
      </c>
      <c r="Y221" s="634">
        <f t="shared" ref="Y221:Y234" si="27">IFERROR(IF(X221="",0,CEILING((X221/$H221),1)*$H221),"")</f>
        <v>25.200000000000003</v>
      </c>
      <c r="Z221" s="36">
        <f>IFERROR(IF(Y221=0,"",ROUNDUP(Y221/H221,0)*0.00902),"")</f>
        <v>5.4120000000000001E-2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24.36904761904762</v>
      </c>
      <c r="BN221" s="64">
        <f t="shared" ref="BN221:BN234" si="29">IFERROR(Y221*I221/H221,"0")</f>
        <v>26.700000000000003</v>
      </c>
      <c r="BO221" s="64">
        <f t="shared" ref="BO221:BO234" si="30">IFERROR(1/J221*(X221/H221),"0")</f>
        <v>4.1486291486291488E-2</v>
      </c>
      <c r="BP221" s="64">
        <f t="shared" ref="BP221:BP234" si="31">IFERROR(1/J221*(Y221/H221),"0")</f>
        <v>4.5454545454545456E-2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4301031204</v>
      </c>
      <c r="D222" s="637">
        <v>4680115881761</v>
      </c>
      <c r="E222" s="638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6"/>
      <c r="R222" s="646"/>
      <c r="S222" s="646"/>
      <c r="T222" s="647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374</v>
      </c>
      <c r="B223" s="54" t="s">
        <v>375</v>
      </c>
      <c r="C223" s="31">
        <v>4301031201</v>
      </c>
      <c r="D223" s="637">
        <v>4680115881563</v>
      </c>
      <c r="E223" s="638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6"/>
      <c r="R223" s="646"/>
      <c r="S223" s="646"/>
      <c r="T223" s="647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hidden="1" customHeight="1" x14ac:dyDescent="0.25">
      <c r="A224" s="54" t="s">
        <v>377</v>
      </c>
      <c r="B224" s="54" t="s">
        <v>378</v>
      </c>
      <c r="C224" s="31">
        <v>4301031447</v>
      </c>
      <c r="D224" s="637">
        <v>4680115887565</v>
      </c>
      <c r="E224" s="638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6"/>
      <c r="R224" s="646"/>
      <c r="S224" s="646"/>
      <c r="T224" s="647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37">
        <v>4680115880986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6"/>
      <c r="R225" s="646"/>
      <c r="S225" s="646"/>
      <c r="T225" s="647"/>
      <c r="U225" s="34"/>
      <c r="V225" s="34"/>
      <c r="W225" s="35" t="s">
        <v>67</v>
      </c>
      <c r="X225" s="633">
        <v>11</v>
      </c>
      <c r="Y225" s="634">
        <f t="shared" si="27"/>
        <v>12.600000000000001</v>
      </c>
      <c r="Z225" s="36">
        <f t="shared" ref="Z225:Z230" si="32">IFERROR(IF(Y225=0,"",ROUNDUP(Y225/H225,0)*0.00502),"")</f>
        <v>3.0120000000000001E-2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11.68095238095238</v>
      </c>
      <c r="BN225" s="64">
        <f t="shared" si="29"/>
        <v>13.38</v>
      </c>
      <c r="BO225" s="64">
        <f t="shared" si="30"/>
        <v>2.2385022385022386E-2</v>
      </c>
      <c r="BP225" s="64">
        <f t="shared" si="31"/>
        <v>2.5641025641025644E-2</v>
      </c>
    </row>
    <row r="226" spans="1:68" ht="27" hidden="1" customHeight="1" x14ac:dyDescent="0.25">
      <c r="A226" s="54" t="s">
        <v>382</v>
      </c>
      <c r="B226" s="54" t="s">
        <v>383</v>
      </c>
      <c r="C226" s="31">
        <v>4301031443</v>
      </c>
      <c r="D226" s="637">
        <v>4680115887213</v>
      </c>
      <c r="E226" s="638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4301031205</v>
      </c>
      <c r="D227" s="637">
        <v>4680115881785</v>
      </c>
      <c r="E227" s="638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6"/>
      <c r="R227" s="646"/>
      <c r="S227" s="646"/>
      <c r="T227" s="647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4301031499</v>
      </c>
      <c r="D228" s="637">
        <v>4680115888432</v>
      </c>
      <c r="E228" s="638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4301031427</v>
      </c>
      <c r="D229" s="637">
        <v>4680115888104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6"/>
      <c r="R229" s="646"/>
      <c r="S229" s="646"/>
      <c r="T229" s="647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37">
        <v>4680115886537</v>
      </c>
      <c r="E230" s="638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6"/>
      <c r="R230" s="646"/>
      <c r="S230" s="646"/>
      <c r="T230" s="647"/>
      <c r="U230" s="34"/>
      <c r="V230" s="34"/>
      <c r="W230" s="35" t="s">
        <v>67</v>
      </c>
      <c r="X230" s="633">
        <v>9</v>
      </c>
      <c r="Y230" s="634">
        <f t="shared" si="27"/>
        <v>9</v>
      </c>
      <c r="Z230" s="36">
        <f t="shared" si="32"/>
        <v>2.5100000000000001E-2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9.65</v>
      </c>
      <c r="BN230" s="64">
        <f t="shared" si="29"/>
        <v>9.65</v>
      </c>
      <c r="BO230" s="64">
        <f t="shared" si="30"/>
        <v>2.1367521367521368E-2</v>
      </c>
      <c r="BP230" s="64">
        <f t="shared" si="31"/>
        <v>2.1367521367521368E-2</v>
      </c>
    </row>
    <row r="231" spans="1:68" ht="27" hidden="1" customHeight="1" x14ac:dyDescent="0.25">
      <c r="A231" s="54" t="s">
        <v>396</v>
      </c>
      <c r="B231" s="54" t="s">
        <v>397</v>
      </c>
      <c r="C231" s="31">
        <v>4301031279</v>
      </c>
      <c r="D231" s="637">
        <v>4680115887596</v>
      </c>
      <c r="E231" s="638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7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hidden="1" customHeight="1" x14ac:dyDescent="0.25">
      <c r="A232" s="54" t="s">
        <v>399</v>
      </c>
      <c r="B232" s="54" t="s">
        <v>400</v>
      </c>
      <c r="C232" s="31">
        <v>4301031202</v>
      </c>
      <c r="D232" s="637">
        <v>4680115881679</v>
      </c>
      <c r="E232" s="638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6"/>
      <c r="R232" s="646"/>
      <c r="S232" s="646"/>
      <c r="T232" s="647"/>
      <c r="U232" s="34"/>
      <c r="V232" s="34"/>
      <c r="W232" s="35" t="s">
        <v>67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4301031158</v>
      </c>
      <c r="D233" s="637">
        <v>4680115880191</v>
      </c>
      <c r="E233" s="638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6"/>
      <c r="R233" s="646"/>
      <c r="S233" s="646"/>
      <c r="T233" s="647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4301031245</v>
      </c>
      <c r="D234" s="637">
        <v>4680115883963</v>
      </c>
      <c r="E234" s="638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6"/>
      <c r="R234" s="646"/>
      <c r="S234" s="646"/>
      <c r="T234" s="647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0"/>
      <c r="B235" s="640"/>
      <c r="C235" s="640"/>
      <c r="D235" s="640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61"/>
      <c r="P235" s="641" t="s">
        <v>72</v>
      </c>
      <c r="Q235" s="642"/>
      <c r="R235" s="642"/>
      <c r="S235" s="642"/>
      <c r="T235" s="642"/>
      <c r="U235" s="642"/>
      <c r="V235" s="643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15.714285714285715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17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0.10934000000000001</v>
      </c>
      <c r="AA235" s="636"/>
      <c r="AB235" s="636"/>
      <c r="AC235" s="636"/>
    </row>
    <row r="236" spans="1:68" x14ac:dyDescent="0.2">
      <c r="A236" s="640"/>
      <c r="B236" s="640"/>
      <c r="C236" s="640"/>
      <c r="D236" s="640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61"/>
      <c r="P236" s="641" t="s">
        <v>72</v>
      </c>
      <c r="Q236" s="642"/>
      <c r="R236" s="642"/>
      <c r="S236" s="642"/>
      <c r="T236" s="642"/>
      <c r="U236" s="642"/>
      <c r="V236" s="643"/>
      <c r="W236" s="37" t="s">
        <v>67</v>
      </c>
      <c r="X236" s="635">
        <f>IFERROR(SUM(X221:X234),"0")</f>
        <v>43</v>
      </c>
      <c r="Y236" s="635">
        <f>IFERROR(SUM(Y221:Y234),"0")</f>
        <v>46.800000000000004</v>
      </c>
      <c r="Z236" s="37"/>
      <c r="AA236" s="636"/>
      <c r="AB236" s="636"/>
      <c r="AC236" s="636"/>
    </row>
    <row r="237" spans="1:68" ht="14.25" hidden="1" customHeight="1" x14ac:dyDescent="0.25">
      <c r="A237" s="644" t="s">
        <v>74</v>
      </c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29"/>
      <c r="AB237" s="629"/>
      <c r="AC237" s="629"/>
    </row>
    <row r="238" spans="1:68" ht="16.5" hidden="1" customHeight="1" x14ac:dyDescent="0.25">
      <c r="A238" s="54" t="s">
        <v>406</v>
      </c>
      <c r="B238" s="54" t="s">
        <v>407</v>
      </c>
      <c r="C238" s="31">
        <v>4301052209</v>
      </c>
      <c r="D238" s="637">
        <v>4680115888692</v>
      </c>
      <c r="E238" s="638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409</v>
      </c>
      <c r="B239" s="54" t="s">
        <v>410</v>
      </c>
      <c r="C239" s="31">
        <v>4301052213</v>
      </c>
      <c r="D239" s="637">
        <v>4680115888722</v>
      </c>
      <c r="E239" s="638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412</v>
      </c>
      <c r="B240" s="54" t="s">
        <v>413</v>
      </c>
      <c r="C240" s="31">
        <v>4301052177</v>
      </c>
      <c r="D240" s="637">
        <v>4680115888951</v>
      </c>
      <c r="E240" s="638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415</v>
      </c>
      <c r="B241" s="54" t="s">
        <v>416</v>
      </c>
      <c r="C241" s="31">
        <v>4301052178</v>
      </c>
      <c r="D241" s="637">
        <v>4680115888975</v>
      </c>
      <c r="E241" s="638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4301052176</v>
      </c>
      <c r="D242" s="637">
        <v>4680115888982</v>
      </c>
      <c r="E242" s="638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6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60"/>
      <c r="B243" s="640"/>
      <c r="C243" s="640"/>
      <c r="D243" s="640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61"/>
      <c r="P243" s="641" t="s">
        <v>72</v>
      </c>
      <c r="Q243" s="642"/>
      <c r="R243" s="642"/>
      <c r="S243" s="642"/>
      <c r="T243" s="642"/>
      <c r="U243" s="642"/>
      <c r="V243" s="643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40"/>
      <c r="B244" s="640"/>
      <c r="C244" s="640"/>
      <c r="D244" s="640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61"/>
      <c r="P244" s="641" t="s">
        <v>72</v>
      </c>
      <c r="Q244" s="642"/>
      <c r="R244" s="642"/>
      <c r="S244" s="642"/>
      <c r="T244" s="642"/>
      <c r="U244" s="642"/>
      <c r="V244" s="643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44" t="s">
        <v>272</v>
      </c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29"/>
      <c r="AB245" s="629"/>
      <c r="AC245" s="629"/>
    </row>
    <row r="246" spans="1:68" ht="27" hidden="1" customHeight="1" x14ac:dyDescent="0.25">
      <c r="A246" s="54" t="s">
        <v>420</v>
      </c>
      <c r="B246" s="54" t="s">
        <v>421</v>
      </c>
      <c r="C246" s="31">
        <v>4301032053</v>
      </c>
      <c r="D246" s="637">
        <v>4680115886780</v>
      </c>
      <c r="E246" s="638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423</v>
      </c>
      <c r="B247" s="54" t="s">
        <v>424</v>
      </c>
      <c r="C247" s="31">
        <v>4301032051</v>
      </c>
      <c r="D247" s="637">
        <v>4680115886742</v>
      </c>
      <c r="E247" s="638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426</v>
      </c>
      <c r="B248" s="54" t="s">
        <v>427</v>
      </c>
      <c r="C248" s="31">
        <v>4301032052</v>
      </c>
      <c r="D248" s="637">
        <v>4680115886766</v>
      </c>
      <c r="E248" s="638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660"/>
      <c r="B249" s="640"/>
      <c r="C249" s="640"/>
      <c r="D249" s="640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61"/>
      <c r="P249" s="641" t="s">
        <v>72</v>
      </c>
      <c r="Q249" s="642"/>
      <c r="R249" s="642"/>
      <c r="S249" s="642"/>
      <c r="T249" s="642"/>
      <c r="U249" s="642"/>
      <c r="V249" s="643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hidden="1" x14ac:dyDescent="0.2">
      <c r="A250" s="640"/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61"/>
      <c r="P250" s="641" t="s">
        <v>72</v>
      </c>
      <c r="Q250" s="642"/>
      <c r="R250" s="642"/>
      <c r="S250" s="642"/>
      <c r="T250" s="642"/>
      <c r="U250" s="642"/>
      <c r="V250" s="643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hidden="1" customHeight="1" x14ac:dyDescent="0.25">
      <c r="A251" s="644" t="s">
        <v>428</v>
      </c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29"/>
      <c r="AB251" s="629"/>
      <c r="AC251" s="629"/>
    </row>
    <row r="252" spans="1:68" ht="27" hidden="1" customHeight="1" x14ac:dyDescent="0.25">
      <c r="A252" s="54" t="s">
        <v>429</v>
      </c>
      <c r="B252" s="54" t="s">
        <v>430</v>
      </c>
      <c r="C252" s="31">
        <v>4301170013</v>
      </c>
      <c r="D252" s="637">
        <v>4680115886797</v>
      </c>
      <c r="E252" s="638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7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6"/>
      <c r="R252" s="646"/>
      <c r="S252" s="646"/>
      <c r="T252" s="647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idden="1" x14ac:dyDescent="0.2">
      <c r="A253" s="660"/>
      <c r="B253" s="640"/>
      <c r="C253" s="640"/>
      <c r="D253" s="640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61"/>
      <c r="P253" s="641" t="s">
        <v>72</v>
      </c>
      <c r="Q253" s="642"/>
      <c r="R253" s="642"/>
      <c r="S253" s="642"/>
      <c r="T253" s="642"/>
      <c r="U253" s="642"/>
      <c r="V253" s="643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hidden="1" x14ac:dyDescent="0.2">
      <c r="A254" s="640"/>
      <c r="B254" s="640"/>
      <c r="C254" s="640"/>
      <c r="D254" s="640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61"/>
      <c r="P254" s="641" t="s">
        <v>72</v>
      </c>
      <c r="Q254" s="642"/>
      <c r="R254" s="642"/>
      <c r="S254" s="642"/>
      <c r="T254" s="642"/>
      <c r="U254" s="642"/>
      <c r="V254" s="643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hidden="1" customHeight="1" x14ac:dyDescent="0.25">
      <c r="A255" s="639" t="s">
        <v>431</v>
      </c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28"/>
      <c r="AB255" s="628"/>
      <c r="AC255" s="628"/>
    </row>
    <row r="256" spans="1:68" ht="14.25" hidden="1" customHeight="1" x14ac:dyDescent="0.25">
      <c r="A256" s="644" t="s">
        <v>111</v>
      </c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29"/>
      <c r="AB256" s="629"/>
      <c r="AC256" s="629"/>
    </row>
    <row r="257" spans="1:68" ht="27" hidden="1" customHeight="1" x14ac:dyDescent="0.25">
      <c r="A257" s="54" t="s">
        <v>432</v>
      </c>
      <c r="B257" s="54" t="s">
        <v>433</v>
      </c>
      <c r="C257" s="31">
        <v>4301011450</v>
      </c>
      <c r="D257" s="637">
        <v>4680115881402</v>
      </c>
      <c r="E257" s="638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6"/>
      <c r="R257" s="646"/>
      <c r="S257" s="646"/>
      <c r="T257" s="647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435</v>
      </c>
      <c r="B258" s="54" t="s">
        <v>436</v>
      </c>
      <c r="C258" s="31">
        <v>4301011768</v>
      </c>
      <c r="D258" s="637">
        <v>4680115881396</v>
      </c>
      <c r="E258" s="638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6"/>
      <c r="R258" s="646"/>
      <c r="S258" s="646"/>
      <c r="T258" s="647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0"/>
      <c r="B259" s="640"/>
      <c r="C259" s="640"/>
      <c r="D259" s="640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61"/>
      <c r="P259" s="641" t="s">
        <v>72</v>
      </c>
      <c r="Q259" s="642"/>
      <c r="R259" s="642"/>
      <c r="S259" s="642"/>
      <c r="T259" s="642"/>
      <c r="U259" s="642"/>
      <c r="V259" s="643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40"/>
      <c r="B260" s="640"/>
      <c r="C260" s="640"/>
      <c r="D260" s="640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61"/>
      <c r="P260" s="641" t="s">
        <v>72</v>
      </c>
      <c r="Q260" s="642"/>
      <c r="R260" s="642"/>
      <c r="S260" s="642"/>
      <c r="T260" s="642"/>
      <c r="U260" s="642"/>
      <c r="V260" s="643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44" t="s">
        <v>147</v>
      </c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29"/>
      <c r="AB261" s="629"/>
      <c r="AC261" s="629"/>
    </row>
    <row r="262" spans="1:68" ht="16.5" hidden="1" customHeight="1" x14ac:dyDescent="0.25">
      <c r="A262" s="54" t="s">
        <v>437</v>
      </c>
      <c r="B262" s="54" t="s">
        <v>438</v>
      </c>
      <c r="C262" s="31">
        <v>4301020261</v>
      </c>
      <c r="D262" s="637">
        <v>4680115882935</v>
      </c>
      <c r="E262" s="638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6"/>
      <c r="R262" s="646"/>
      <c r="S262" s="646"/>
      <c r="T262" s="647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440</v>
      </c>
      <c r="B263" s="54" t="s">
        <v>441</v>
      </c>
      <c r="C263" s="31">
        <v>4301020220</v>
      </c>
      <c r="D263" s="637">
        <v>4680115880764</v>
      </c>
      <c r="E263" s="638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6"/>
      <c r="R263" s="646"/>
      <c r="S263" s="646"/>
      <c r="T263" s="647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60"/>
      <c r="B264" s="640"/>
      <c r="C264" s="640"/>
      <c r="D264" s="640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61"/>
      <c r="P264" s="641" t="s">
        <v>72</v>
      </c>
      <c r="Q264" s="642"/>
      <c r="R264" s="642"/>
      <c r="S264" s="642"/>
      <c r="T264" s="642"/>
      <c r="U264" s="642"/>
      <c r="V264" s="643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40"/>
      <c r="B265" s="640"/>
      <c r="C265" s="640"/>
      <c r="D265" s="640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61"/>
      <c r="P265" s="641" t="s">
        <v>72</v>
      </c>
      <c r="Q265" s="642"/>
      <c r="R265" s="642"/>
      <c r="S265" s="642"/>
      <c r="T265" s="642"/>
      <c r="U265" s="642"/>
      <c r="V265" s="643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44" t="s">
        <v>62</v>
      </c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29"/>
      <c r="AB266" s="629"/>
      <c r="AC266" s="629"/>
    </row>
    <row r="267" spans="1:68" ht="27" hidden="1" customHeight="1" x14ac:dyDescent="0.25">
      <c r="A267" s="54" t="s">
        <v>442</v>
      </c>
      <c r="B267" s="54" t="s">
        <v>443</v>
      </c>
      <c r="C267" s="31">
        <v>4301031224</v>
      </c>
      <c r="D267" s="637">
        <v>4680115882683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37">
        <v>4680115882690</v>
      </c>
      <c r="E268" s="638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67</v>
      </c>
      <c r="X268" s="633">
        <v>49</v>
      </c>
      <c r="Y268" s="634">
        <f t="shared" si="33"/>
        <v>54</v>
      </c>
      <c r="Z268" s="36">
        <f>IFERROR(IF(Y268=0,"",ROUNDUP(Y268/H268,0)*0.00902),"")</f>
        <v>9.0200000000000002E-2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50.724074074074068</v>
      </c>
      <c r="BN268" s="64">
        <f t="shared" si="35"/>
        <v>55.9</v>
      </c>
      <c r="BO268" s="64">
        <f t="shared" si="36"/>
        <v>6.8742985409652069E-2</v>
      </c>
      <c r="BP268" s="64">
        <f t="shared" si="37"/>
        <v>7.575757575757576E-2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37">
        <v>4680115882669</v>
      </c>
      <c r="E269" s="638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33">
        <v>233</v>
      </c>
      <c r="Y269" s="634">
        <f t="shared" si="33"/>
        <v>237.60000000000002</v>
      </c>
      <c r="Z269" s="36">
        <f>IFERROR(IF(Y269=0,"",ROUNDUP(Y269/H269,0)*0.00902),"")</f>
        <v>0.39688000000000001</v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241.19814814814814</v>
      </c>
      <c r="BN269" s="64">
        <f t="shared" si="35"/>
        <v>245.96</v>
      </c>
      <c r="BO269" s="64">
        <f t="shared" si="36"/>
        <v>0.32687991021324353</v>
      </c>
      <c r="BP269" s="64">
        <f t="shared" si="37"/>
        <v>0.33333333333333337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37">
        <v>4680115882676</v>
      </c>
      <c r="E270" s="638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33">
        <v>44</v>
      </c>
      <c r="Y270" s="634">
        <f t="shared" si="33"/>
        <v>48.6</v>
      </c>
      <c r="Z270" s="36">
        <f>IFERROR(IF(Y270=0,"",ROUNDUP(Y270/H270,0)*0.00902),"")</f>
        <v>8.1180000000000002E-2</v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45.548148148148144</v>
      </c>
      <c r="BN270" s="64">
        <f t="shared" si="35"/>
        <v>50.309999999999995</v>
      </c>
      <c r="BO270" s="64">
        <f t="shared" si="36"/>
        <v>6.1728395061728392E-2</v>
      </c>
      <c r="BP270" s="64">
        <f t="shared" si="37"/>
        <v>6.8181818181818177E-2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4301031223</v>
      </c>
      <c r="D271" s="637">
        <v>4680115884014</v>
      </c>
      <c r="E271" s="638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37">
        <v>4680115884007</v>
      </c>
      <c r="E272" s="638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33">
        <v>28</v>
      </c>
      <c r="Y272" s="634">
        <f t="shared" si="33"/>
        <v>28.8</v>
      </c>
      <c r="Z272" s="36">
        <f>IFERROR(IF(Y272=0,"",ROUNDUP(Y272/H272,0)*0.00502),"")</f>
        <v>8.0320000000000003E-2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29.555555555555554</v>
      </c>
      <c r="BN272" s="64">
        <f t="shared" si="35"/>
        <v>30.4</v>
      </c>
      <c r="BO272" s="64">
        <f t="shared" si="36"/>
        <v>6.6476733143399816E-2</v>
      </c>
      <c r="BP272" s="64">
        <f t="shared" si="37"/>
        <v>6.8376068376068383E-2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4301031229</v>
      </c>
      <c r="D273" s="637">
        <v>4680115884038</v>
      </c>
      <c r="E273" s="638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hidden="1" customHeight="1" x14ac:dyDescent="0.25">
      <c r="A274" s="54" t="s">
        <v>460</v>
      </c>
      <c r="B274" s="54" t="s">
        <v>461</v>
      </c>
      <c r="C274" s="31">
        <v>4301031225</v>
      </c>
      <c r="D274" s="637">
        <v>4680115884021</v>
      </c>
      <c r="E274" s="638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x14ac:dyDescent="0.2">
      <c r="A275" s="660"/>
      <c r="B275" s="640"/>
      <c r="C275" s="640"/>
      <c r="D275" s="640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61"/>
      <c r="P275" s="641" t="s">
        <v>72</v>
      </c>
      <c r="Q275" s="642"/>
      <c r="R275" s="642"/>
      <c r="S275" s="642"/>
      <c r="T275" s="642"/>
      <c r="U275" s="642"/>
      <c r="V275" s="643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75.92592592592591</v>
      </c>
      <c r="Y275" s="635">
        <f>IFERROR(Y267/H267,"0")+IFERROR(Y268/H268,"0")+IFERROR(Y269/H269,"0")+IFERROR(Y270/H270,"0")+IFERROR(Y271/H271,"0")+IFERROR(Y272/H272,"0")+IFERROR(Y273/H273,"0")+IFERROR(Y274/H274,"0")</f>
        <v>79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0.64857999999999993</v>
      </c>
      <c r="AA275" s="636"/>
      <c r="AB275" s="636"/>
      <c r="AC275" s="636"/>
    </row>
    <row r="276" spans="1:68" x14ac:dyDescent="0.2">
      <c r="A276" s="640"/>
      <c r="B276" s="640"/>
      <c r="C276" s="640"/>
      <c r="D276" s="640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61"/>
      <c r="P276" s="641" t="s">
        <v>72</v>
      </c>
      <c r="Q276" s="642"/>
      <c r="R276" s="642"/>
      <c r="S276" s="642"/>
      <c r="T276" s="642"/>
      <c r="U276" s="642"/>
      <c r="V276" s="643"/>
      <c r="W276" s="37" t="s">
        <v>67</v>
      </c>
      <c r="X276" s="635">
        <f>IFERROR(SUM(X267:X274),"0")</f>
        <v>354</v>
      </c>
      <c r="Y276" s="635">
        <f>IFERROR(SUM(Y267:Y274),"0")</f>
        <v>369.00000000000006</v>
      </c>
      <c r="Z276" s="37"/>
      <c r="AA276" s="636"/>
      <c r="AB276" s="636"/>
      <c r="AC276" s="636"/>
    </row>
    <row r="277" spans="1:68" ht="14.25" hidden="1" customHeight="1" x14ac:dyDescent="0.25">
      <c r="A277" s="644" t="s">
        <v>74</v>
      </c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29"/>
      <c r="AB277" s="629"/>
      <c r="AC277" s="629"/>
    </row>
    <row r="278" spans="1:68" ht="27" hidden="1" customHeight="1" x14ac:dyDescent="0.25">
      <c r="A278" s="54" t="s">
        <v>462</v>
      </c>
      <c r="B278" s="54" t="s">
        <v>463</v>
      </c>
      <c r="C278" s="31">
        <v>4301051408</v>
      </c>
      <c r="D278" s="637">
        <v>4680115881594</v>
      </c>
      <c r="E278" s="638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6"/>
      <c r="R278" s="646"/>
      <c r="S278" s="646"/>
      <c r="T278" s="647"/>
      <c r="U278" s="34"/>
      <c r="V278" s="34"/>
      <c r="W278" s="35" t="s">
        <v>67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4301051411</v>
      </c>
      <c r="D279" s="637">
        <v>4680115881617</v>
      </c>
      <c r="E279" s="638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6"/>
      <c r="R279" s="646"/>
      <c r="S279" s="646"/>
      <c r="T279" s="647"/>
      <c r="U279" s="34"/>
      <c r="V279" s="34"/>
      <c r="W279" s="35" t="s">
        <v>67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hidden="1" customHeight="1" x14ac:dyDescent="0.25">
      <c r="A280" s="54" t="s">
        <v>468</v>
      </c>
      <c r="B280" s="54" t="s">
        <v>469</v>
      </c>
      <c r="C280" s="31">
        <v>4301051656</v>
      </c>
      <c r="D280" s="637">
        <v>4680115880573</v>
      </c>
      <c r="E280" s="638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37">
        <v>4680115882195</v>
      </c>
      <c r="E281" s="638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6"/>
      <c r="R281" s="646"/>
      <c r="S281" s="646"/>
      <c r="T281" s="647"/>
      <c r="U281" s="34"/>
      <c r="V281" s="34"/>
      <c r="W281" s="35" t="s">
        <v>67</v>
      </c>
      <c r="X281" s="633">
        <v>343</v>
      </c>
      <c r="Y281" s="634">
        <f t="shared" si="38"/>
        <v>343.2</v>
      </c>
      <c r="Z281" s="36">
        <f>IFERROR(IF(Y281=0,"",ROUNDUP(Y281/H281,0)*0.00651),"")</f>
        <v>0.93093000000000004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381.58749999999998</v>
      </c>
      <c r="BN281" s="64">
        <f t="shared" si="40"/>
        <v>381.81</v>
      </c>
      <c r="BO281" s="64">
        <f t="shared" si="41"/>
        <v>0.78525641025641046</v>
      </c>
      <c r="BP281" s="64">
        <f t="shared" si="42"/>
        <v>0.78571428571428581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4301051752</v>
      </c>
      <c r="D282" s="637">
        <v>4680115882607</v>
      </c>
      <c r="E282" s="638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4301052143</v>
      </c>
      <c r="D283" s="637">
        <v>4680115882607</v>
      </c>
      <c r="E283" s="638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37">
        <v>4680115880092</v>
      </c>
      <c r="E284" s="638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33">
        <v>397</v>
      </c>
      <c r="Y284" s="634">
        <f t="shared" si="38"/>
        <v>398.4</v>
      </c>
      <c r="Z284" s="36">
        <f>IFERROR(IF(Y284=0,"",ROUNDUP(Y284/H284,0)*0.00651),"")</f>
        <v>1.08066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438.68500000000006</v>
      </c>
      <c r="BN284" s="64">
        <f t="shared" si="40"/>
        <v>440.23200000000003</v>
      </c>
      <c r="BO284" s="64">
        <f t="shared" si="41"/>
        <v>0.9088827838827841</v>
      </c>
      <c r="BP284" s="64">
        <f t="shared" si="42"/>
        <v>0.91208791208791218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4301052214</v>
      </c>
      <c r="D285" s="637">
        <v>4680115889064</v>
      </c>
      <c r="E285" s="638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37">
        <v>4680115880221</v>
      </c>
      <c r="E286" s="638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33">
        <v>200</v>
      </c>
      <c r="Y286" s="634">
        <f t="shared" si="38"/>
        <v>201.6</v>
      </c>
      <c r="Z286" s="36">
        <f>IFERROR(IF(Y286=0,"",ROUNDUP(Y286/H286,0)*0.00651),"")</f>
        <v>0.54683999999999999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221</v>
      </c>
      <c r="BN286" s="64">
        <f t="shared" si="40"/>
        <v>222.768</v>
      </c>
      <c r="BO286" s="64">
        <f t="shared" si="41"/>
        <v>0.45787545787545797</v>
      </c>
      <c r="BP286" s="64">
        <f t="shared" si="42"/>
        <v>0.46153846153846156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37">
        <v>4680115880504</v>
      </c>
      <c r="E287" s="638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6"/>
      <c r="R287" s="646"/>
      <c r="S287" s="646"/>
      <c r="T287" s="647"/>
      <c r="U287" s="34"/>
      <c r="V287" s="34"/>
      <c r="W287" s="35" t="s">
        <v>67</v>
      </c>
      <c r="X287" s="633">
        <v>60</v>
      </c>
      <c r="Y287" s="634">
        <f t="shared" si="38"/>
        <v>60</v>
      </c>
      <c r="Z287" s="36">
        <f>IFERROR(IF(Y287=0,"",ROUNDUP(Y287/H287,0)*0.00651),"")</f>
        <v>0.16275000000000001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66.300000000000011</v>
      </c>
      <c r="BN287" s="64">
        <f t="shared" si="40"/>
        <v>66.300000000000011</v>
      </c>
      <c r="BO287" s="64">
        <f t="shared" si="41"/>
        <v>0.13736263736263737</v>
      </c>
      <c r="BP287" s="64">
        <f t="shared" si="42"/>
        <v>0.13736263736263737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37">
        <v>4680115882164</v>
      </c>
      <c r="E288" s="638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33">
        <v>60</v>
      </c>
      <c r="Y288" s="634">
        <f t="shared" si="38"/>
        <v>60</v>
      </c>
      <c r="Z288" s="36">
        <f>IFERROR(IF(Y288=0,"",ROUNDUP(Y288/H288,0)*0.00651),"")</f>
        <v>0.16275000000000001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66.45</v>
      </c>
      <c r="BN288" s="64">
        <f t="shared" si="40"/>
        <v>66.45</v>
      </c>
      <c r="BO288" s="64">
        <f t="shared" si="41"/>
        <v>0.13736263736263737</v>
      </c>
      <c r="BP288" s="64">
        <f t="shared" si="42"/>
        <v>0.13736263736263737</v>
      </c>
    </row>
    <row r="289" spans="1:68" ht="27" hidden="1" customHeight="1" x14ac:dyDescent="0.25">
      <c r="A289" s="54" t="s">
        <v>490</v>
      </c>
      <c r="B289" s="54" t="s">
        <v>491</v>
      </c>
      <c r="C289" s="31">
        <v>4301052180</v>
      </c>
      <c r="D289" s="637">
        <v>4680115888340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6"/>
      <c r="R289" s="646"/>
      <c r="S289" s="646"/>
      <c r="T289" s="647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0"/>
      <c r="B290" s="640"/>
      <c r="C290" s="640"/>
      <c r="D290" s="640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61"/>
      <c r="P290" s="641" t="s">
        <v>72</v>
      </c>
      <c r="Q290" s="642"/>
      <c r="R290" s="642"/>
      <c r="S290" s="642"/>
      <c r="T290" s="642"/>
      <c r="U290" s="642"/>
      <c r="V290" s="643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441.66666666666674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443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2.8839299999999999</v>
      </c>
      <c r="AA290" s="636"/>
      <c r="AB290" s="636"/>
      <c r="AC290" s="636"/>
    </row>
    <row r="291" spans="1:68" x14ac:dyDescent="0.2">
      <c r="A291" s="640"/>
      <c r="B291" s="640"/>
      <c r="C291" s="640"/>
      <c r="D291" s="640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61"/>
      <c r="P291" s="641" t="s">
        <v>72</v>
      </c>
      <c r="Q291" s="642"/>
      <c r="R291" s="642"/>
      <c r="S291" s="642"/>
      <c r="T291" s="642"/>
      <c r="U291" s="642"/>
      <c r="V291" s="643"/>
      <c r="W291" s="37" t="s">
        <v>67</v>
      </c>
      <c r="X291" s="635">
        <f>IFERROR(SUM(X278:X289),"0")</f>
        <v>1060</v>
      </c>
      <c r="Y291" s="635">
        <f>IFERROR(SUM(Y278:Y289),"0")</f>
        <v>1063.1999999999998</v>
      </c>
      <c r="Z291" s="37"/>
      <c r="AA291" s="636"/>
      <c r="AB291" s="636"/>
      <c r="AC291" s="636"/>
    </row>
    <row r="292" spans="1:68" ht="14.25" hidden="1" customHeight="1" x14ac:dyDescent="0.25">
      <c r="A292" s="644" t="s">
        <v>164</v>
      </c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37">
        <v>4680115880818</v>
      </c>
      <c r="E293" s="638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67</v>
      </c>
      <c r="X293" s="633">
        <v>8</v>
      </c>
      <c r="Y293" s="634">
        <f>IFERROR(IF(X293="",0,CEILING((X293/$H293),1)*$H293),"")</f>
        <v>9.6</v>
      </c>
      <c r="Z293" s="36">
        <f>IFERROR(IF(Y293=0,"",ROUNDUP(Y293/H293,0)*0.00651),"")</f>
        <v>2.6040000000000001E-2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8.8400000000000016</v>
      </c>
      <c r="BN293" s="64">
        <f>IFERROR(Y293*I293/H293,"0")</f>
        <v>10.608000000000001</v>
      </c>
      <c r="BO293" s="64">
        <f>IFERROR(1/J293*(X293/H293),"0")</f>
        <v>1.8315018315018316E-2</v>
      </c>
      <c r="BP293" s="64">
        <f>IFERROR(1/J293*(Y293/H293),"0")</f>
        <v>2.197802197802198E-2</v>
      </c>
    </row>
    <row r="294" spans="1:68" ht="27" hidden="1" customHeight="1" x14ac:dyDescent="0.25">
      <c r="A294" s="54" t="s">
        <v>496</v>
      </c>
      <c r="B294" s="54" t="s">
        <v>497</v>
      </c>
      <c r="C294" s="31">
        <v>4301060389</v>
      </c>
      <c r="D294" s="637">
        <v>4680115880801</v>
      </c>
      <c r="E294" s="638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6"/>
      <c r="R294" s="646"/>
      <c r="S294" s="646"/>
      <c r="T294" s="647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60"/>
      <c r="B295" s="640"/>
      <c r="C295" s="640"/>
      <c r="D295" s="640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61"/>
      <c r="P295" s="641" t="s">
        <v>72</v>
      </c>
      <c r="Q295" s="642"/>
      <c r="R295" s="642"/>
      <c r="S295" s="642"/>
      <c r="T295" s="642"/>
      <c r="U295" s="642"/>
      <c r="V295" s="643"/>
      <c r="W295" s="37" t="s">
        <v>73</v>
      </c>
      <c r="X295" s="635">
        <f>IFERROR(X293/H293,"0")+IFERROR(X294/H294,"0")</f>
        <v>3.3333333333333335</v>
      </c>
      <c r="Y295" s="635">
        <f>IFERROR(Y293/H293,"0")+IFERROR(Y294/H294,"0")</f>
        <v>4</v>
      </c>
      <c r="Z295" s="635">
        <f>IFERROR(IF(Z293="",0,Z293),"0")+IFERROR(IF(Z294="",0,Z294),"0")</f>
        <v>2.6040000000000001E-2</v>
      </c>
      <c r="AA295" s="636"/>
      <c r="AB295" s="636"/>
      <c r="AC295" s="636"/>
    </row>
    <row r="296" spans="1:68" x14ac:dyDescent="0.2">
      <c r="A296" s="640"/>
      <c r="B296" s="640"/>
      <c r="C296" s="640"/>
      <c r="D296" s="640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61"/>
      <c r="P296" s="641" t="s">
        <v>72</v>
      </c>
      <c r="Q296" s="642"/>
      <c r="R296" s="642"/>
      <c r="S296" s="642"/>
      <c r="T296" s="642"/>
      <c r="U296" s="642"/>
      <c r="V296" s="643"/>
      <c r="W296" s="37" t="s">
        <v>67</v>
      </c>
      <c r="X296" s="635">
        <f>IFERROR(SUM(X293:X294),"0")</f>
        <v>8</v>
      </c>
      <c r="Y296" s="635">
        <f>IFERROR(SUM(Y293:Y294),"0")</f>
        <v>9.6</v>
      </c>
      <c r="Z296" s="37"/>
      <c r="AA296" s="636"/>
      <c r="AB296" s="636"/>
      <c r="AC296" s="636"/>
    </row>
    <row r="297" spans="1:68" ht="16.5" hidden="1" customHeight="1" x14ac:dyDescent="0.25">
      <c r="A297" s="639" t="s">
        <v>499</v>
      </c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28"/>
      <c r="AB297" s="628"/>
      <c r="AC297" s="628"/>
    </row>
    <row r="298" spans="1:68" ht="14.25" hidden="1" customHeight="1" x14ac:dyDescent="0.25">
      <c r="A298" s="644" t="s">
        <v>111</v>
      </c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29"/>
      <c r="AB298" s="629"/>
      <c r="AC298" s="629"/>
    </row>
    <row r="299" spans="1:68" ht="27" hidden="1" customHeight="1" x14ac:dyDescent="0.25">
      <c r="A299" s="54" t="s">
        <v>500</v>
      </c>
      <c r="B299" s="54" t="s">
        <v>501</v>
      </c>
      <c r="C299" s="31">
        <v>4301011826</v>
      </c>
      <c r="D299" s="637">
        <v>4680115884137</v>
      </c>
      <c r="E299" s="638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6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503</v>
      </c>
      <c r="B300" s="54" t="s">
        <v>504</v>
      </c>
      <c r="C300" s="31">
        <v>4301011724</v>
      </c>
      <c r="D300" s="637">
        <v>4680115884236</v>
      </c>
      <c r="E300" s="638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4301011721</v>
      </c>
      <c r="D301" s="637">
        <v>4680115884175</v>
      </c>
      <c r="E301" s="638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4301011824</v>
      </c>
      <c r="D302" s="637">
        <v>4680115884144</v>
      </c>
      <c r="E302" s="638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4301012149</v>
      </c>
      <c r="D303" s="637">
        <v>4680115886551</v>
      </c>
      <c r="E303" s="638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4301012228</v>
      </c>
      <c r="D304" s="637">
        <v>4680115887282</v>
      </c>
      <c r="E304" s="638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hidden="1" customHeight="1" x14ac:dyDescent="0.25">
      <c r="A305" s="54" t="s">
        <v>516</v>
      </c>
      <c r="B305" s="54" t="s">
        <v>517</v>
      </c>
      <c r="C305" s="31">
        <v>4301011722</v>
      </c>
      <c r="D305" s="637">
        <v>4680115884205</v>
      </c>
      <c r="E305" s="638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hidden="1" x14ac:dyDescent="0.2">
      <c r="A306" s="660"/>
      <c r="B306" s="640"/>
      <c r="C306" s="640"/>
      <c r="D306" s="640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61"/>
      <c r="P306" s="641" t="s">
        <v>72</v>
      </c>
      <c r="Q306" s="642"/>
      <c r="R306" s="642"/>
      <c r="S306" s="642"/>
      <c r="T306" s="642"/>
      <c r="U306" s="642"/>
      <c r="V306" s="643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hidden="1" x14ac:dyDescent="0.2">
      <c r="A307" s="640"/>
      <c r="B307" s="640"/>
      <c r="C307" s="640"/>
      <c r="D307" s="640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61"/>
      <c r="P307" s="641" t="s">
        <v>72</v>
      </c>
      <c r="Q307" s="642"/>
      <c r="R307" s="642"/>
      <c r="S307" s="642"/>
      <c r="T307" s="642"/>
      <c r="U307" s="642"/>
      <c r="V307" s="643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4" t="s">
        <v>147</v>
      </c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29"/>
      <c r="AB308" s="629"/>
      <c r="AC308" s="629"/>
    </row>
    <row r="309" spans="1:68" ht="27" hidden="1" customHeight="1" x14ac:dyDescent="0.25">
      <c r="A309" s="54" t="s">
        <v>518</v>
      </c>
      <c r="B309" s="54" t="s">
        <v>519</v>
      </c>
      <c r="C309" s="31">
        <v>4301020377</v>
      </c>
      <c r="D309" s="637">
        <v>4680115885981</v>
      </c>
      <c r="E309" s="638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6"/>
      <c r="R309" s="646"/>
      <c r="S309" s="646"/>
      <c r="T309" s="647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60"/>
      <c r="B310" s="640"/>
      <c r="C310" s="640"/>
      <c r="D310" s="640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61"/>
      <c r="P310" s="641" t="s">
        <v>72</v>
      </c>
      <c r="Q310" s="642"/>
      <c r="R310" s="642"/>
      <c r="S310" s="642"/>
      <c r="T310" s="642"/>
      <c r="U310" s="642"/>
      <c r="V310" s="643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0"/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61"/>
      <c r="P311" s="641" t="s">
        <v>72</v>
      </c>
      <c r="Q311" s="642"/>
      <c r="R311" s="642"/>
      <c r="S311" s="642"/>
      <c r="T311" s="642"/>
      <c r="U311" s="642"/>
      <c r="V311" s="64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4" t="s">
        <v>521</v>
      </c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37">
        <v>4680115886803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98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6"/>
      <c r="R313" s="646"/>
      <c r="S313" s="646"/>
      <c r="T313" s="647"/>
      <c r="U313" s="34"/>
      <c r="V313" s="34"/>
      <c r="W313" s="35" t="s">
        <v>67</v>
      </c>
      <c r="X313" s="633">
        <v>3</v>
      </c>
      <c r="Y313" s="634">
        <f>IFERROR(IF(X313="",0,CEILING((X313/$H313),1)*$H313),"")</f>
        <v>3.6</v>
      </c>
      <c r="Z313" s="36">
        <f>IFERROR(IF(Y313=0,"",ROUNDUP(Y313/H313,0)*0.0059),"")</f>
        <v>1.18E-2</v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3.291666666666667</v>
      </c>
      <c r="BN313" s="64">
        <f>IFERROR(Y313*I313/H313,"0")</f>
        <v>3.95</v>
      </c>
      <c r="BO313" s="64">
        <f>IFERROR(1/J313*(X313/H313),"0")</f>
        <v>7.7160493827160481E-3</v>
      </c>
      <c r="BP313" s="64">
        <f>IFERROR(1/J313*(Y313/H313),"0")</f>
        <v>9.2592592592592587E-3</v>
      </c>
    </row>
    <row r="314" spans="1:68" x14ac:dyDescent="0.2">
      <c r="A314" s="660"/>
      <c r="B314" s="640"/>
      <c r="C314" s="640"/>
      <c r="D314" s="640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61"/>
      <c r="P314" s="641" t="s">
        <v>72</v>
      </c>
      <c r="Q314" s="642"/>
      <c r="R314" s="642"/>
      <c r="S314" s="642"/>
      <c r="T314" s="642"/>
      <c r="U314" s="642"/>
      <c r="V314" s="643"/>
      <c r="W314" s="37" t="s">
        <v>73</v>
      </c>
      <c r="X314" s="635">
        <f>IFERROR(X313/H313,"0")</f>
        <v>1.6666666666666665</v>
      </c>
      <c r="Y314" s="635">
        <f>IFERROR(Y313/H313,"0")</f>
        <v>2</v>
      </c>
      <c r="Z314" s="635">
        <f>IFERROR(IF(Z313="",0,Z313),"0")</f>
        <v>1.18E-2</v>
      </c>
      <c r="AA314" s="636"/>
      <c r="AB314" s="636"/>
      <c r="AC314" s="636"/>
    </row>
    <row r="315" spans="1:68" x14ac:dyDescent="0.2">
      <c r="A315" s="640"/>
      <c r="B315" s="640"/>
      <c r="C315" s="640"/>
      <c r="D315" s="640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61"/>
      <c r="P315" s="641" t="s">
        <v>72</v>
      </c>
      <c r="Q315" s="642"/>
      <c r="R315" s="642"/>
      <c r="S315" s="642"/>
      <c r="T315" s="642"/>
      <c r="U315" s="642"/>
      <c r="V315" s="643"/>
      <c r="W315" s="37" t="s">
        <v>67</v>
      </c>
      <c r="X315" s="635">
        <f>IFERROR(SUM(X313:X313),"0")</f>
        <v>3</v>
      </c>
      <c r="Y315" s="635">
        <f>IFERROR(SUM(Y313:Y313),"0")</f>
        <v>3.6</v>
      </c>
      <c r="Z315" s="37"/>
      <c r="AA315" s="636"/>
      <c r="AB315" s="636"/>
      <c r="AC315" s="636"/>
    </row>
    <row r="316" spans="1:68" ht="14.25" hidden="1" customHeight="1" x14ac:dyDescent="0.25">
      <c r="A316" s="644" t="s">
        <v>338</v>
      </c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29"/>
      <c r="AB316" s="629"/>
      <c r="AC316" s="629"/>
    </row>
    <row r="317" spans="1:68" ht="27" hidden="1" customHeight="1" x14ac:dyDescent="0.25">
      <c r="A317" s="54" t="s">
        <v>525</v>
      </c>
      <c r="B317" s="54" t="s">
        <v>526</v>
      </c>
      <c r="C317" s="31">
        <v>4301041004</v>
      </c>
      <c r="D317" s="637">
        <v>4680115886704</v>
      </c>
      <c r="E317" s="638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6"/>
      <c r="R317" s="646"/>
      <c r="S317" s="646"/>
      <c r="T317" s="647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528</v>
      </c>
      <c r="B318" s="54" t="s">
        <v>529</v>
      </c>
      <c r="C318" s="31">
        <v>4301041008</v>
      </c>
      <c r="D318" s="637">
        <v>4680115886681</v>
      </c>
      <c r="E318" s="638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6"/>
      <c r="R318" s="646"/>
      <c r="S318" s="646"/>
      <c r="T318" s="647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530</v>
      </c>
      <c r="B319" s="54" t="s">
        <v>531</v>
      </c>
      <c r="C319" s="31">
        <v>4301041007</v>
      </c>
      <c r="D319" s="637">
        <v>4680115886735</v>
      </c>
      <c r="E319" s="638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0"/>
      <c r="B320" s="640"/>
      <c r="C320" s="640"/>
      <c r="D320" s="640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61"/>
      <c r="P320" s="641" t="s">
        <v>72</v>
      </c>
      <c r="Q320" s="642"/>
      <c r="R320" s="642"/>
      <c r="S320" s="642"/>
      <c r="T320" s="642"/>
      <c r="U320" s="642"/>
      <c r="V320" s="643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40"/>
      <c r="B321" s="640"/>
      <c r="C321" s="640"/>
      <c r="D321" s="640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61"/>
      <c r="P321" s="641" t="s">
        <v>72</v>
      </c>
      <c r="Q321" s="642"/>
      <c r="R321" s="642"/>
      <c r="S321" s="642"/>
      <c r="T321" s="642"/>
      <c r="U321" s="642"/>
      <c r="V321" s="643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39" t="s">
        <v>532</v>
      </c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28"/>
      <c r="AB322" s="628"/>
      <c r="AC322" s="628"/>
    </row>
    <row r="323" spans="1:68" ht="14.25" hidden="1" customHeight="1" x14ac:dyDescent="0.25">
      <c r="A323" s="644" t="s">
        <v>111</v>
      </c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29"/>
      <c r="AB323" s="629"/>
      <c r="AC323" s="629"/>
    </row>
    <row r="324" spans="1:68" ht="27" hidden="1" customHeight="1" x14ac:dyDescent="0.25">
      <c r="A324" s="54" t="s">
        <v>533</v>
      </c>
      <c r="B324" s="54" t="s">
        <v>534</v>
      </c>
      <c r="C324" s="31">
        <v>4301011855</v>
      </c>
      <c r="D324" s="637">
        <v>4680115885837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536</v>
      </c>
      <c r="B325" s="54" t="s">
        <v>537</v>
      </c>
      <c r="C325" s="31">
        <v>4301012234</v>
      </c>
      <c r="D325" s="637">
        <v>4680115887237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6"/>
      <c r="R325" s="646"/>
      <c r="S325" s="646"/>
      <c r="T325" s="647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539</v>
      </c>
      <c r="B326" s="54" t="s">
        <v>540</v>
      </c>
      <c r="C326" s="31">
        <v>4301011850</v>
      </c>
      <c r="D326" s="637">
        <v>4680115885806</v>
      </c>
      <c r="E326" s="638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542</v>
      </c>
      <c r="B327" s="54" t="s">
        <v>543</v>
      </c>
      <c r="C327" s="31">
        <v>4301011852</v>
      </c>
      <c r="D327" s="637">
        <v>4680115885844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545</v>
      </c>
      <c r="B328" s="54" t="s">
        <v>546</v>
      </c>
      <c r="C328" s="31">
        <v>4301011851</v>
      </c>
      <c r="D328" s="637">
        <v>4680115885820</v>
      </c>
      <c r="E328" s="638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60"/>
      <c r="B329" s="640"/>
      <c r="C329" s="640"/>
      <c r="D329" s="640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61"/>
      <c r="P329" s="641" t="s">
        <v>72</v>
      </c>
      <c r="Q329" s="642"/>
      <c r="R329" s="642"/>
      <c r="S329" s="642"/>
      <c r="T329" s="642"/>
      <c r="U329" s="642"/>
      <c r="V329" s="643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40"/>
      <c r="B330" s="640"/>
      <c r="C330" s="640"/>
      <c r="D330" s="640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61"/>
      <c r="P330" s="641" t="s">
        <v>72</v>
      </c>
      <c r="Q330" s="642"/>
      <c r="R330" s="642"/>
      <c r="S330" s="642"/>
      <c r="T330" s="642"/>
      <c r="U330" s="642"/>
      <c r="V330" s="643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39" t="s">
        <v>548</v>
      </c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28"/>
      <c r="AB331" s="628"/>
      <c r="AC331" s="628"/>
    </row>
    <row r="332" spans="1:68" ht="14.25" hidden="1" customHeight="1" x14ac:dyDescent="0.25">
      <c r="A332" s="644" t="s">
        <v>74</v>
      </c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29"/>
      <c r="AB332" s="629"/>
      <c r="AC332" s="629"/>
    </row>
    <row r="333" spans="1:68" ht="27" hidden="1" customHeight="1" x14ac:dyDescent="0.25">
      <c r="A333" s="54" t="s">
        <v>549</v>
      </c>
      <c r="B333" s="54" t="s">
        <v>550</v>
      </c>
      <c r="C333" s="31">
        <v>4301051893</v>
      </c>
      <c r="D333" s="637">
        <v>4680115886186</v>
      </c>
      <c r="E333" s="638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6"/>
      <c r="R333" s="646"/>
      <c r="S333" s="646"/>
      <c r="T333" s="647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37">
        <v>4680115881228</v>
      </c>
      <c r="E334" s="638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6"/>
      <c r="R334" s="646"/>
      <c r="S334" s="646"/>
      <c r="T334" s="647"/>
      <c r="U334" s="34"/>
      <c r="V334" s="34"/>
      <c r="W334" s="35" t="s">
        <v>67</v>
      </c>
      <c r="X334" s="633">
        <v>60</v>
      </c>
      <c r="Y334" s="634">
        <f>IFERROR(IF(X334="",0,CEILING((X334/$H334),1)*$H334),"")</f>
        <v>60</v>
      </c>
      <c r="Z334" s="36">
        <f>IFERROR(IF(Y334=0,"",ROUNDUP(Y334/H334,0)*0.00651),"")</f>
        <v>0.16275000000000001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66.300000000000011</v>
      </c>
      <c r="BN334" s="64">
        <f>IFERROR(Y334*I334/H334,"0")</f>
        <v>66.300000000000011</v>
      </c>
      <c r="BO334" s="64">
        <f>IFERROR(1/J334*(X334/H334),"0")</f>
        <v>0.13736263736263737</v>
      </c>
      <c r="BP334" s="64">
        <f>IFERROR(1/J334*(Y334/H334),"0")</f>
        <v>0.13736263736263737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37">
        <v>4680115881211</v>
      </c>
      <c r="E335" s="638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6"/>
      <c r="R335" s="646"/>
      <c r="S335" s="646"/>
      <c r="T335" s="647"/>
      <c r="U335" s="34"/>
      <c r="V335" s="34"/>
      <c r="W335" s="35" t="s">
        <v>67</v>
      </c>
      <c r="X335" s="633">
        <v>40</v>
      </c>
      <c r="Y335" s="634">
        <f>IFERROR(IF(X335="",0,CEILING((X335/$H335),1)*$H335),"")</f>
        <v>40.799999999999997</v>
      </c>
      <c r="Z335" s="36">
        <f>IFERROR(IF(Y335=0,"",ROUNDUP(Y335/H335,0)*0.00651),"")</f>
        <v>0.11067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43</v>
      </c>
      <c r="BN335" s="64">
        <f>IFERROR(Y335*I335/H335,"0")</f>
        <v>43.86</v>
      </c>
      <c r="BO335" s="64">
        <f>IFERROR(1/J335*(X335/H335),"0")</f>
        <v>9.1575091575091583E-2</v>
      </c>
      <c r="BP335" s="64">
        <f>IFERROR(1/J335*(Y335/H335),"0")</f>
        <v>9.3406593406593408E-2</v>
      </c>
    </row>
    <row r="336" spans="1:68" x14ac:dyDescent="0.2">
      <c r="A336" s="660"/>
      <c r="B336" s="640"/>
      <c r="C336" s="640"/>
      <c r="D336" s="640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61"/>
      <c r="P336" s="641" t="s">
        <v>72</v>
      </c>
      <c r="Q336" s="642"/>
      <c r="R336" s="642"/>
      <c r="S336" s="642"/>
      <c r="T336" s="642"/>
      <c r="U336" s="642"/>
      <c r="V336" s="643"/>
      <c r="W336" s="37" t="s">
        <v>73</v>
      </c>
      <c r="X336" s="635">
        <f>IFERROR(X333/H333,"0")+IFERROR(X334/H334,"0")+IFERROR(X335/H335,"0")</f>
        <v>41.666666666666671</v>
      </c>
      <c r="Y336" s="635">
        <f>IFERROR(Y333/H333,"0")+IFERROR(Y334/H334,"0")+IFERROR(Y335/H335,"0")</f>
        <v>42</v>
      </c>
      <c r="Z336" s="635">
        <f>IFERROR(IF(Z333="",0,Z333),"0")+IFERROR(IF(Z334="",0,Z334),"0")+IFERROR(IF(Z335="",0,Z335),"0")</f>
        <v>0.27342</v>
      </c>
      <c r="AA336" s="636"/>
      <c r="AB336" s="636"/>
      <c r="AC336" s="636"/>
    </row>
    <row r="337" spans="1:68" x14ac:dyDescent="0.2">
      <c r="A337" s="640"/>
      <c r="B337" s="640"/>
      <c r="C337" s="640"/>
      <c r="D337" s="640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61"/>
      <c r="P337" s="641" t="s">
        <v>72</v>
      </c>
      <c r="Q337" s="642"/>
      <c r="R337" s="642"/>
      <c r="S337" s="642"/>
      <c r="T337" s="642"/>
      <c r="U337" s="642"/>
      <c r="V337" s="643"/>
      <c r="W337" s="37" t="s">
        <v>67</v>
      </c>
      <c r="X337" s="635">
        <f>IFERROR(SUM(X333:X335),"0")</f>
        <v>100</v>
      </c>
      <c r="Y337" s="635">
        <f>IFERROR(SUM(Y333:Y335),"0")</f>
        <v>100.8</v>
      </c>
      <c r="Z337" s="37"/>
      <c r="AA337" s="636"/>
      <c r="AB337" s="636"/>
      <c r="AC337" s="636"/>
    </row>
    <row r="338" spans="1:68" ht="16.5" hidden="1" customHeight="1" x14ac:dyDescent="0.25">
      <c r="A338" s="639" t="s">
        <v>557</v>
      </c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28"/>
      <c r="AB338" s="628"/>
      <c r="AC338" s="628"/>
    </row>
    <row r="339" spans="1:68" ht="14.25" hidden="1" customHeight="1" x14ac:dyDescent="0.25">
      <c r="A339" s="644" t="s">
        <v>62</v>
      </c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29"/>
      <c r="AB339" s="629"/>
      <c r="AC339" s="629"/>
    </row>
    <row r="340" spans="1:68" ht="27" hidden="1" customHeight="1" x14ac:dyDescent="0.25">
      <c r="A340" s="54" t="s">
        <v>558</v>
      </c>
      <c r="B340" s="54" t="s">
        <v>559</v>
      </c>
      <c r="C340" s="31">
        <v>4301031445</v>
      </c>
      <c r="D340" s="637">
        <v>4680115888319</v>
      </c>
      <c r="E340" s="638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6"/>
      <c r="R340" s="646"/>
      <c r="S340" s="646"/>
      <c r="T340" s="647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4301031502</v>
      </c>
      <c r="D341" s="637">
        <v>4680115884700</v>
      </c>
      <c r="E341" s="638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4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6"/>
      <c r="R341" s="646"/>
      <c r="S341" s="646"/>
      <c r="T341" s="647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563</v>
      </c>
      <c r="B342" s="54" t="s">
        <v>564</v>
      </c>
      <c r="C342" s="31">
        <v>4301031307</v>
      </c>
      <c r="D342" s="637">
        <v>4680115880344</v>
      </c>
      <c r="E342" s="638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6"/>
      <c r="R342" s="646"/>
      <c r="S342" s="646"/>
      <c r="T342" s="647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566</v>
      </c>
      <c r="B343" s="54" t="s">
        <v>567</v>
      </c>
      <c r="C343" s="31">
        <v>4301031501</v>
      </c>
      <c r="D343" s="637">
        <v>4680115886919</v>
      </c>
      <c r="E343" s="638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569</v>
      </c>
      <c r="B344" s="54" t="s">
        <v>570</v>
      </c>
      <c r="C344" s="31">
        <v>4301031246</v>
      </c>
      <c r="D344" s="637">
        <v>4680115883970</v>
      </c>
      <c r="E344" s="638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6"/>
      <c r="R344" s="646"/>
      <c r="S344" s="646"/>
      <c r="T344" s="647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0"/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61"/>
      <c r="P345" s="641" t="s">
        <v>72</v>
      </c>
      <c r="Q345" s="642"/>
      <c r="R345" s="642"/>
      <c r="S345" s="642"/>
      <c r="T345" s="642"/>
      <c r="U345" s="642"/>
      <c r="V345" s="643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40"/>
      <c r="B346" s="640"/>
      <c r="C346" s="640"/>
      <c r="D346" s="640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61"/>
      <c r="P346" s="641" t="s">
        <v>72</v>
      </c>
      <c r="Q346" s="642"/>
      <c r="R346" s="642"/>
      <c r="S346" s="642"/>
      <c r="T346" s="642"/>
      <c r="U346" s="642"/>
      <c r="V346" s="643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44" t="s">
        <v>74</v>
      </c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29"/>
      <c r="AB347" s="629"/>
      <c r="AC347" s="629"/>
    </row>
    <row r="348" spans="1:68" ht="27" hidden="1" customHeight="1" x14ac:dyDescent="0.25">
      <c r="A348" s="54" t="s">
        <v>572</v>
      </c>
      <c r="B348" s="54" t="s">
        <v>573</v>
      </c>
      <c r="C348" s="31">
        <v>4301051782</v>
      </c>
      <c r="D348" s="637">
        <v>4680115884618</v>
      </c>
      <c r="E348" s="638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6"/>
      <c r="R348" s="646"/>
      <c r="S348" s="646"/>
      <c r="T348" s="647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575</v>
      </c>
      <c r="B349" s="54" t="s">
        <v>576</v>
      </c>
      <c r="C349" s="31">
        <v>4301052057</v>
      </c>
      <c r="D349" s="637">
        <v>4680115887114</v>
      </c>
      <c r="E349" s="638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6"/>
      <c r="R349" s="646"/>
      <c r="S349" s="646"/>
      <c r="T349" s="647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0"/>
      <c r="B350" s="640"/>
      <c r="C350" s="640"/>
      <c r="D350" s="640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61"/>
      <c r="P350" s="641" t="s">
        <v>72</v>
      </c>
      <c r="Q350" s="642"/>
      <c r="R350" s="642"/>
      <c r="S350" s="642"/>
      <c r="T350" s="642"/>
      <c r="U350" s="642"/>
      <c r="V350" s="643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40"/>
      <c r="B351" s="640"/>
      <c r="C351" s="640"/>
      <c r="D351" s="640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61"/>
      <c r="P351" s="641" t="s">
        <v>72</v>
      </c>
      <c r="Q351" s="642"/>
      <c r="R351" s="642"/>
      <c r="S351" s="642"/>
      <c r="T351" s="642"/>
      <c r="U351" s="642"/>
      <c r="V351" s="643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39" t="s">
        <v>578</v>
      </c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28"/>
      <c r="AB352" s="628"/>
      <c r="AC352" s="628"/>
    </row>
    <row r="353" spans="1:68" ht="14.25" hidden="1" customHeight="1" x14ac:dyDescent="0.25">
      <c r="A353" s="644" t="s">
        <v>111</v>
      </c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37">
        <v>4680115887947</v>
      </c>
      <c r="E354" s="638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67</v>
      </c>
      <c r="X354" s="633">
        <v>50</v>
      </c>
      <c r="Y354" s="634">
        <f>IFERROR(IF(X354="",0,CEILING((X354/$H354),1)*$H354),"")</f>
        <v>54.6</v>
      </c>
      <c r="Z354" s="36">
        <f>IFERROR(IF(Y354=0,"",ROUNDUP(Y354/H354,0)*0.01898),"")</f>
        <v>0.13286000000000001</v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52.628205128205138</v>
      </c>
      <c r="BN354" s="64">
        <f>IFERROR(Y354*I354/H354,"0")</f>
        <v>57.470000000000013</v>
      </c>
      <c r="BO354" s="64">
        <f>IFERROR(1/J354*(X354/H354),"0")</f>
        <v>0.10016025641025642</v>
      </c>
      <c r="BP354" s="64">
        <f>IFERROR(1/J354*(Y354/H354),"0")</f>
        <v>0.109375</v>
      </c>
    </row>
    <row r="355" spans="1:68" ht="27" hidden="1" customHeight="1" x14ac:dyDescent="0.25">
      <c r="A355" s="54" t="s">
        <v>581</v>
      </c>
      <c r="B355" s="54" t="s">
        <v>582</v>
      </c>
      <c r="C355" s="31">
        <v>4301012325</v>
      </c>
      <c r="D355" s="637">
        <v>4680115887978</v>
      </c>
      <c r="E355" s="638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9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6"/>
      <c r="R355" s="646"/>
      <c r="S355" s="646"/>
      <c r="T355" s="647"/>
      <c r="U355" s="34"/>
      <c r="V355" s="34"/>
      <c r="W355" s="35" t="s">
        <v>67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584</v>
      </c>
      <c r="B356" s="54" t="s">
        <v>585</v>
      </c>
      <c r="C356" s="31">
        <v>4301012327</v>
      </c>
      <c r="D356" s="637">
        <v>4680115887992</v>
      </c>
      <c r="E356" s="638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0"/>
      <c r="B357" s="640"/>
      <c r="C357" s="640"/>
      <c r="D357" s="640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61"/>
      <c r="P357" s="641" t="s">
        <v>72</v>
      </c>
      <c r="Q357" s="642"/>
      <c r="R357" s="642"/>
      <c r="S357" s="642"/>
      <c r="T357" s="642"/>
      <c r="U357" s="642"/>
      <c r="V357" s="643"/>
      <c r="W357" s="37" t="s">
        <v>73</v>
      </c>
      <c r="X357" s="635">
        <f>IFERROR(X354/H354,"0")+IFERROR(X355/H355,"0")+IFERROR(X356/H356,"0")</f>
        <v>6.4102564102564106</v>
      </c>
      <c r="Y357" s="635">
        <f>IFERROR(Y354/H354,"0")+IFERROR(Y355/H355,"0")+IFERROR(Y356/H356,"0")</f>
        <v>7</v>
      </c>
      <c r="Z357" s="635">
        <f>IFERROR(IF(Z354="",0,Z354),"0")+IFERROR(IF(Z355="",0,Z355),"0")+IFERROR(IF(Z356="",0,Z356),"0")</f>
        <v>0.13286000000000001</v>
      </c>
      <c r="AA357" s="636"/>
      <c r="AB357" s="636"/>
      <c r="AC357" s="636"/>
    </row>
    <row r="358" spans="1:68" x14ac:dyDescent="0.2">
      <c r="A358" s="640"/>
      <c r="B358" s="640"/>
      <c r="C358" s="640"/>
      <c r="D358" s="640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61"/>
      <c r="P358" s="641" t="s">
        <v>72</v>
      </c>
      <c r="Q358" s="642"/>
      <c r="R358" s="642"/>
      <c r="S358" s="642"/>
      <c r="T358" s="642"/>
      <c r="U358" s="642"/>
      <c r="V358" s="643"/>
      <c r="W358" s="37" t="s">
        <v>67</v>
      </c>
      <c r="X358" s="635">
        <f>IFERROR(SUM(X354:X356),"0")</f>
        <v>50</v>
      </c>
      <c r="Y358" s="635">
        <f>IFERROR(SUM(Y354:Y356),"0")</f>
        <v>54.6</v>
      </c>
      <c r="Z358" s="37"/>
      <c r="AA358" s="636"/>
      <c r="AB358" s="636"/>
      <c r="AC358" s="636"/>
    </row>
    <row r="359" spans="1:68" ht="16.5" hidden="1" customHeight="1" x14ac:dyDescent="0.25">
      <c r="A359" s="639" t="s">
        <v>587</v>
      </c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28"/>
      <c r="AB359" s="628"/>
      <c r="AC359" s="628"/>
    </row>
    <row r="360" spans="1:68" ht="14.25" hidden="1" customHeight="1" x14ac:dyDescent="0.25">
      <c r="A360" s="644" t="s">
        <v>111</v>
      </c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29"/>
      <c r="AB360" s="629"/>
      <c r="AC360" s="629"/>
    </row>
    <row r="361" spans="1:68" ht="27" hidden="1" customHeight="1" x14ac:dyDescent="0.25">
      <c r="A361" s="54" t="s">
        <v>588</v>
      </c>
      <c r="B361" s="54" t="s">
        <v>589</v>
      </c>
      <c r="C361" s="31">
        <v>4301012235</v>
      </c>
      <c r="D361" s="637">
        <v>4680115887190</v>
      </c>
      <c r="E361" s="638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591</v>
      </c>
      <c r="B362" s="54" t="s">
        <v>592</v>
      </c>
      <c r="C362" s="31">
        <v>4301012233</v>
      </c>
      <c r="D362" s="637">
        <v>4680115887138</v>
      </c>
      <c r="E362" s="638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594</v>
      </c>
      <c r="B363" s="54" t="s">
        <v>595</v>
      </c>
      <c r="C363" s="31">
        <v>4301012016</v>
      </c>
      <c r="D363" s="637">
        <v>4680115885554</v>
      </c>
      <c r="E363" s="638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597</v>
      </c>
      <c r="B364" s="54" t="s">
        <v>598</v>
      </c>
      <c r="C364" s="31">
        <v>4301012236</v>
      </c>
      <c r="D364" s="637">
        <v>4680115887220</v>
      </c>
      <c r="E364" s="638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4301011859</v>
      </c>
      <c r="D365" s="637">
        <v>4680115885608</v>
      </c>
      <c r="E365" s="638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60"/>
      <c r="B366" s="640"/>
      <c r="C366" s="640"/>
      <c r="D366" s="640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61"/>
      <c r="P366" s="641" t="s">
        <v>72</v>
      </c>
      <c r="Q366" s="642"/>
      <c r="R366" s="642"/>
      <c r="S366" s="642"/>
      <c r="T366" s="642"/>
      <c r="U366" s="642"/>
      <c r="V366" s="643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40"/>
      <c r="B367" s="640"/>
      <c r="C367" s="640"/>
      <c r="D367" s="640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61"/>
      <c r="P367" s="641" t="s">
        <v>72</v>
      </c>
      <c r="Q367" s="642"/>
      <c r="R367" s="642"/>
      <c r="S367" s="642"/>
      <c r="T367" s="642"/>
      <c r="U367" s="642"/>
      <c r="V367" s="643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44" t="s">
        <v>62</v>
      </c>
      <c r="B368" s="640"/>
      <c r="C368" s="640"/>
      <c r="D368" s="640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29"/>
      <c r="AB368" s="629"/>
      <c r="AC368" s="629"/>
    </row>
    <row r="369" spans="1:68" ht="27" hidden="1" customHeight="1" x14ac:dyDescent="0.25">
      <c r="A369" s="54" t="s">
        <v>602</v>
      </c>
      <c r="B369" s="54" t="s">
        <v>603</v>
      </c>
      <c r="C369" s="31">
        <v>4301030878</v>
      </c>
      <c r="D369" s="637">
        <v>4607091387193</v>
      </c>
      <c r="E369" s="638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hidden="1" customHeight="1" x14ac:dyDescent="0.25">
      <c r="A370" s="54" t="s">
        <v>605</v>
      </c>
      <c r="B370" s="54" t="s">
        <v>606</v>
      </c>
      <c r="C370" s="31">
        <v>4301031153</v>
      </c>
      <c r="D370" s="637">
        <v>4607091387230</v>
      </c>
      <c r="E370" s="638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hidden="1" customHeight="1" x14ac:dyDescent="0.25">
      <c r="A371" s="54" t="s">
        <v>608</v>
      </c>
      <c r="B371" s="54" t="s">
        <v>609</v>
      </c>
      <c r="C371" s="31">
        <v>4301031154</v>
      </c>
      <c r="D371" s="637">
        <v>4607091387292</v>
      </c>
      <c r="E371" s="638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4301031152</v>
      </c>
      <c r="D372" s="637">
        <v>4607091387285</v>
      </c>
      <c r="E372" s="638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4301031305</v>
      </c>
      <c r="D373" s="637">
        <v>4607091389845</v>
      </c>
      <c r="E373" s="638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9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4301031460</v>
      </c>
      <c r="D374" s="637">
        <v>4680115887442</v>
      </c>
      <c r="E374" s="638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4301031066</v>
      </c>
      <c r="D375" s="637">
        <v>4607091383836</v>
      </c>
      <c r="E375" s="638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hidden="1" x14ac:dyDescent="0.2">
      <c r="A376" s="660"/>
      <c r="B376" s="640"/>
      <c r="C376" s="640"/>
      <c r="D376" s="640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61"/>
      <c r="P376" s="641" t="s">
        <v>72</v>
      </c>
      <c r="Q376" s="642"/>
      <c r="R376" s="642"/>
      <c r="S376" s="642"/>
      <c r="T376" s="642"/>
      <c r="U376" s="642"/>
      <c r="V376" s="643"/>
      <c r="W376" s="37" t="s">
        <v>73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0"/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61"/>
      <c r="P377" s="641" t="s">
        <v>72</v>
      </c>
      <c r="Q377" s="642"/>
      <c r="R377" s="642"/>
      <c r="S377" s="642"/>
      <c r="T377" s="642"/>
      <c r="U377" s="642"/>
      <c r="V377" s="64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4" t="s">
        <v>74</v>
      </c>
      <c r="B378" s="640"/>
      <c r="C378" s="640"/>
      <c r="D378" s="640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29"/>
      <c r="AB378" s="629"/>
      <c r="AC378" s="629"/>
    </row>
    <row r="379" spans="1:68" ht="27" hidden="1" customHeight="1" x14ac:dyDescent="0.25">
      <c r="A379" s="54" t="s">
        <v>621</v>
      </c>
      <c r="B379" s="54" t="s">
        <v>622</v>
      </c>
      <c r="C379" s="31">
        <v>4301051100</v>
      </c>
      <c r="D379" s="637">
        <v>4607091387766</v>
      </c>
      <c r="E379" s="638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7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624</v>
      </c>
      <c r="B380" s="54" t="s">
        <v>625</v>
      </c>
      <c r="C380" s="31">
        <v>4301051818</v>
      </c>
      <c r="D380" s="637">
        <v>4607091387957</v>
      </c>
      <c r="E380" s="638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6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627</v>
      </c>
      <c r="B381" s="54" t="s">
        <v>628</v>
      </c>
      <c r="C381" s="31">
        <v>4301051819</v>
      </c>
      <c r="D381" s="637">
        <v>4607091387964</v>
      </c>
      <c r="E381" s="638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7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4301051734</v>
      </c>
      <c r="D382" s="637">
        <v>4680115884588</v>
      </c>
      <c r="E382" s="638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60"/>
      <c r="B383" s="640"/>
      <c r="C383" s="640"/>
      <c r="D383" s="640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61"/>
      <c r="P383" s="641" t="s">
        <v>72</v>
      </c>
      <c r="Q383" s="642"/>
      <c r="R383" s="642"/>
      <c r="S383" s="642"/>
      <c r="T383" s="642"/>
      <c r="U383" s="642"/>
      <c r="V383" s="643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40"/>
      <c r="B384" s="640"/>
      <c r="C384" s="640"/>
      <c r="D384" s="640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61"/>
      <c r="P384" s="641" t="s">
        <v>72</v>
      </c>
      <c r="Q384" s="642"/>
      <c r="R384" s="642"/>
      <c r="S384" s="642"/>
      <c r="T384" s="642"/>
      <c r="U384" s="642"/>
      <c r="V384" s="643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44" t="s">
        <v>164</v>
      </c>
      <c r="B385" s="640"/>
      <c r="C385" s="640"/>
      <c r="D385" s="640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29"/>
      <c r="AB385" s="629"/>
      <c r="AC385" s="629"/>
    </row>
    <row r="386" spans="1:68" ht="27" hidden="1" customHeight="1" x14ac:dyDescent="0.25">
      <c r="A386" s="54" t="s">
        <v>632</v>
      </c>
      <c r="B386" s="54" t="s">
        <v>633</v>
      </c>
      <c r="C386" s="31">
        <v>4301060387</v>
      </c>
      <c r="D386" s="637">
        <v>4607091380880</v>
      </c>
      <c r="E386" s="638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37">
        <v>4607091384482</v>
      </c>
      <c r="E387" s="638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67</v>
      </c>
      <c r="X387" s="633">
        <v>434</v>
      </c>
      <c r="Y387" s="634">
        <f>IFERROR(IF(X387="",0,CEILING((X387/$H387),1)*$H387),"")</f>
        <v>436.8</v>
      </c>
      <c r="Z387" s="36">
        <f>IFERROR(IF(Y387=0,"",ROUNDUP(Y387/H387,0)*0.01898),"")</f>
        <v>1.06288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461.48666666666668</v>
      </c>
      <c r="BN387" s="64">
        <f>IFERROR(Y387*I387/H387,"0")</f>
        <v>464.46400000000006</v>
      </c>
      <c r="BO387" s="64">
        <f>IFERROR(1/J387*(X387/H387),"0")</f>
        <v>0.86939102564102566</v>
      </c>
      <c r="BP387" s="64">
        <f>IFERROR(1/J387*(Y387/H387),"0")</f>
        <v>0.875</v>
      </c>
    </row>
    <row r="388" spans="1:68" ht="27" hidden="1" customHeight="1" x14ac:dyDescent="0.25">
      <c r="A388" s="54" t="s">
        <v>638</v>
      </c>
      <c r="B388" s="54" t="s">
        <v>639</v>
      </c>
      <c r="C388" s="31">
        <v>4301060484</v>
      </c>
      <c r="D388" s="637">
        <v>4607091380897</v>
      </c>
      <c r="E388" s="638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0"/>
      <c r="B389" s="640"/>
      <c r="C389" s="640"/>
      <c r="D389" s="640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61"/>
      <c r="P389" s="641" t="s">
        <v>72</v>
      </c>
      <c r="Q389" s="642"/>
      <c r="R389" s="642"/>
      <c r="S389" s="642"/>
      <c r="T389" s="642"/>
      <c r="U389" s="642"/>
      <c r="V389" s="643"/>
      <c r="W389" s="37" t="s">
        <v>73</v>
      </c>
      <c r="X389" s="635">
        <f>IFERROR(X386/H386,"0")+IFERROR(X387/H387,"0")+IFERROR(X388/H388,"0")</f>
        <v>55.641025641025642</v>
      </c>
      <c r="Y389" s="635">
        <f>IFERROR(Y386/H386,"0")+IFERROR(Y387/H387,"0")+IFERROR(Y388/H388,"0")</f>
        <v>56</v>
      </c>
      <c r="Z389" s="635">
        <f>IFERROR(IF(Z386="",0,Z386),"0")+IFERROR(IF(Z387="",0,Z387),"0")+IFERROR(IF(Z388="",0,Z388),"0")</f>
        <v>1.06288</v>
      </c>
      <c r="AA389" s="636"/>
      <c r="AB389" s="636"/>
      <c r="AC389" s="636"/>
    </row>
    <row r="390" spans="1:68" x14ac:dyDescent="0.2">
      <c r="A390" s="640"/>
      <c r="B390" s="640"/>
      <c r="C390" s="640"/>
      <c r="D390" s="640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61"/>
      <c r="P390" s="641" t="s">
        <v>72</v>
      </c>
      <c r="Q390" s="642"/>
      <c r="R390" s="642"/>
      <c r="S390" s="642"/>
      <c r="T390" s="642"/>
      <c r="U390" s="642"/>
      <c r="V390" s="643"/>
      <c r="W390" s="37" t="s">
        <v>67</v>
      </c>
      <c r="X390" s="635">
        <f>IFERROR(SUM(X386:X388),"0")</f>
        <v>434</v>
      </c>
      <c r="Y390" s="635">
        <f>IFERROR(SUM(Y386:Y388),"0")</f>
        <v>436.8</v>
      </c>
      <c r="Z390" s="37"/>
      <c r="AA390" s="636"/>
      <c r="AB390" s="636"/>
      <c r="AC390" s="636"/>
    </row>
    <row r="391" spans="1:68" ht="14.25" hidden="1" customHeight="1" x14ac:dyDescent="0.25">
      <c r="A391" s="644" t="s">
        <v>272</v>
      </c>
      <c r="B391" s="640"/>
      <c r="C391" s="640"/>
      <c r="D391" s="640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29"/>
      <c r="AB391" s="629"/>
      <c r="AC391" s="629"/>
    </row>
    <row r="392" spans="1:68" ht="27" hidden="1" customHeight="1" x14ac:dyDescent="0.25">
      <c r="A392" s="54" t="s">
        <v>641</v>
      </c>
      <c r="B392" s="54" t="s">
        <v>642</v>
      </c>
      <c r="C392" s="31">
        <v>4301030235</v>
      </c>
      <c r="D392" s="637">
        <v>4607091388381</v>
      </c>
      <c r="E392" s="638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644</v>
      </c>
      <c r="B393" s="54" t="s">
        <v>645</v>
      </c>
      <c r="C393" s="31">
        <v>4301030232</v>
      </c>
      <c r="D393" s="637">
        <v>4607091388374</v>
      </c>
      <c r="E393" s="638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646</v>
      </c>
      <c r="B394" s="54" t="s">
        <v>647</v>
      </c>
      <c r="C394" s="31">
        <v>4301032015</v>
      </c>
      <c r="D394" s="637">
        <v>4607091383102</v>
      </c>
      <c r="E394" s="638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648</v>
      </c>
      <c r="B395" s="54" t="s">
        <v>649</v>
      </c>
      <c r="C395" s="31">
        <v>4301030233</v>
      </c>
      <c r="D395" s="637">
        <v>4607091388404</v>
      </c>
      <c r="E395" s="638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idden="1" x14ac:dyDescent="0.2">
      <c r="A396" s="660"/>
      <c r="B396" s="640"/>
      <c r="C396" s="640"/>
      <c r="D396" s="640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61"/>
      <c r="P396" s="641" t="s">
        <v>72</v>
      </c>
      <c r="Q396" s="642"/>
      <c r="R396" s="642"/>
      <c r="S396" s="642"/>
      <c r="T396" s="642"/>
      <c r="U396" s="642"/>
      <c r="V396" s="643"/>
      <c r="W396" s="37" t="s">
        <v>73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hidden="1" x14ac:dyDescent="0.2">
      <c r="A397" s="640"/>
      <c r="B397" s="640"/>
      <c r="C397" s="640"/>
      <c r="D397" s="640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61"/>
      <c r="P397" s="641" t="s">
        <v>72</v>
      </c>
      <c r="Q397" s="642"/>
      <c r="R397" s="642"/>
      <c r="S397" s="642"/>
      <c r="T397" s="642"/>
      <c r="U397" s="642"/>
      <c r="V397" s="643"/>
      <c r="W397" s="37" t="s">
        <v>67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hidden="1" customHeight="1" x14ac:dyDescent="0.25">
      <c r="A398" s="644" t="s">
        <v>650</v>
      </c>
      <c r="B398" s="640"/>
      <c r="C398" s="640"/>
      <c r="D398" s="640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37">
        <v>4680115881808</v>
      </c>
      <c r="E399" s="638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8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67</v>
      </c>
      <c r="X399" s="633">
        <v>13</v>
      </c>
      <c r="Y399" s="634">
        <f>IFERROR(IF(X399="",0,CEILING((X399/$H399),1)*$H399),"")</f>
        <v>14</v>
      </c>
      <c r="Z399" s="36">
        <f>IFERROR(IF(Y399=0,"",ROUNDUP(Y399/H399,0)*0.00474),"")</f>
        <v>3.3180000000000001E-2</v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14.560000000000002</v>
      </c>
      <c r="BN399" s="64">
        <f>IFERROR(Y399*I399/H399,"0")</f>
        <v>15.680000000000001</v>
      </c>
      <c r="BO399" s="64">
        <f>IFERROR(1/J399*(X399/H399),"0")</f>
        <v>2.7310924369747899E-2</v>
      </c>
      <c r="BP399" s="64">
        <f>IFERROR(1/J399*(Y399/H399),"0")</f>
        <v>2.9411764705882353E-2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37">
        <v>4680115881822</v>
      </c>
      <c r="E400" s="638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67</v>
      </c>
      <c r="X400" s="633">
        <v>8</v>
      </c>
      <c r="Y400" s="634">
        <f>IFERROR(IF(X400="",0,CEILING((X400/$H400),1)*$H400),"")</f>
        <v>8</v>
      </c>
      <c r="Z400" s="36">
        <f>IFERROR(IF(Y400=0,"",ROUNDUP(Y400/H400,0)*0.00474),"")</f>
        <v>1.8960000000000001E-2</v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8.9600000000000009</v>
      </c>
      <c r="BN400" s="64">
        <f>IFERROR(Y400*I400/H400,"0")</f>
        <v>8.9600000000000009</v>
      </c>
      <c r="BO400" s="64">
        <f>IFERROR(1/J400*(X400/H400),"0")</f>
        <v>1.680672268907563E-2</v>
      </c>
      <c r="BP400" s="64">
        <f>IFERROR(1/J400*(Y400/H400),"0")</f>
        <v>1.680672268907563E-2</v>
      </c>
    </row>
    <row r="401" spans="1:68" ht="27" hidden="1" customHeight="1" x14ac:dyDescent="0.25">
      <c r="A401" s="54" t="s">
        <v>657</v>
      </c>
      <c r="B401" s="54" t="s">
        <v>658</v>
      </c>
      <c r="C401" s="31">
        <v>4301180001</v>
      </c>
      <c r="D401" s="637">
        <v>4680115880016</v>
      </c>
      <c r="E401" s="638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8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60"/>
      <c r="B402" s="640"/>
      <c r="C402" s="640"/>
      <c r="D402" s="640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61"/>
      <c r="P402" s="641" t="s">
        <v>72</v>
      </c>
      <c r="Q402" s="642"/>
      <c r="R402" s="642"/>
      <c r="S402" s="642"/>
      <c r="T402" s="642"/>
      <c r="U402" s="642"/>
      <c r="V402" s="643"/>
      <c r="W402" s="37" t="s">
        <v>73</v>
      </c>
      <c r="X402" s="635">
        <f>IFERROR(X399/H399,"0")+IFERROR(X400/H400,"0")+IFERROR(X401/H401,"0")</f>
        <v>10.5</v>
      </c>
      <c r="Y402" s="635">
        <f>IFERROR(Y399/H399,"0")+IFERROR(Y400/H400,"0")+IFERROR(Y401/H401,"0")</f>
        <v>11</v>
      </c>
      <c r="Z402" s="635">
        <f>IFERROR(IF(Z399="",0,Z399),"0")+IFERROR(IF(Z400="",0,Z400),"0")+IFERROR(IF(Z401="",0,Z401),"0")</f>
        <v>5.2140000000000006E-2</v>
      </c>
      <c r="AA402" s="636"/>
      <c r="AB402" s="636"/>
      <c r="AC402" s="636"/>
    </row>
    <row r="403" spans="1:68" x14ac:dyDescent="0.2">
      <c r="A403" s="640"/>
      <c r="B403" s="640"/>
      <c r="C403" s="640"/>
      <c r="D403" s="640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61"/>
      <c r="P403" s="641" t="s">
        <v>72</v>
      </c>
      <c r="Q403" s="642"/>
      <c r="R403" s="642"/>
      <c r="S403" s="642"/>
      <c r="T403" s="642"/>
      <c r="U403" s="642"/>
      <c r="V403" s="643"/>
      <c r="W403" s="37" t="s">
        <v>67</v>
      </c>
      <c r="X403" s="635">
        <f>IFERROR(SUM(X399:X401),"0")</f>
        <v>21</v>
      </c>
      <c r="Y403" s="635">
        <f>IFERROR(SUM(Y399:Y401),"0")</f>
        <v>22</v>
      </c>
      <c r="Z403" s="37"/>
      <c r="AA403" s="636"/>
      <c r="AB403" s="636"/>
      <c r="AC403" s="636"/>
    </row>
    <row r="404" spans="1:68" ht="14.25" hidden="1" customHeight="1" x14ac:dyDescent="0.25">
      <c r="A404" s="644" t="s">
        <v>659</v>
      </c>
      <c r="B404" s="640"/>
      <c r="C404" s="640"/>
      <c r="D404" s="640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37">
        <v>4680115888678</v>
      </c>
      <c r="E405" s="638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6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67</v>
      </c>
      <c r="X405" s="633">
        <v>14</v>
      </c>
      <c r="Y405" s="634">
        <f>IFERROR(IF(X405="",0,CEILING((X405/$H405),1)*$H405),"")</f>
        <v>15</v>
      </c>
      <c r="Z405" s="36">
        <f>IFERROR(IF(Y405=0,"",ROUNDUP(Y405/H405,0)*0.0045),"")</f>
        <v>2.2499999999999999E-2</v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15.026666666666669</v>
      </c>
      <c r="BN405" s="64">
        <f>IFERROR(Y405*I405/H405,"0")</f>
        <v>16.100000000000001</v>
      </c>
      <c r="BO405" s="64">
        <f>IFERROR(1/J405*(X405/H405),"0")</f>
        <v>2.0833333333333332E-2</v>
      </c>
      <c r="BP405" s="64">
        <f>IFERROR(1/J405*(Y405/H405),"0")</f>
        <v>2.2321428571428568E-2</v>
      </c>
    </row>
    <row r="406" spans="1:68" ht="27" hidden="1" customHeight="1" x14ac:dyDescent="0.25">
      <c r="A406" s="54" t="s">
        <v>663</v>
      </c>
      <c r="B406" s="54" t="s">
        <v>664</v>
      </c>
      <c r="C406" s="31">
        <v>4301220001</v>
      </c>
      <c r="D406" s="637">
        <v>4680115888654</v>
      </c>
      <c r="E406" s="638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9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37">
        <v>4680115888753</v>
      </c>
      <c r="E407" s="638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67</v>
      </c>
      <c r="X407" s="633">
        <v>8</v>
      </c>
      <c r="Y407" s="634">
        <f>IFERROR(IF(X407="",0,CEILING((X407/$H407),1)*$H407),"")</f>
        <v>9</v>
      </c>
      <c r="Z407" s="36">
        <f>IFERROR(IF(Y407=0,"",ROUNDUP(Y407/H407,0)*0.0045),"")</f>
        <v>1.3499999999999998E-2</v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8.5866666666666678</v>
      </c>
      <c r="BN407" s="64">
        <f>IFERROR(Y407*I407/H407,"0")</f>
        <v>9.66</v>
      </c>
      <c r="BO407" s="64">
        <f>IFERROR(1/J407*(X407/H407),"0")</f>
        <v>1.1904761904761904E-2</v>
      </c>
      <c r="BP407" s="64">
        <f>IFERROR(1/J407*(Y407/H407),"0")</f>
        <v>1.3392857142857142E-2</v>
      </c>
    </row>
    <row r="408" spans="1:68" x14ac:dyDescent="0.2">
      <c r="A408" s="660"/>
      <c r="B408" s="640"/>
      <c r="C408" s="640"/>
      <c r="D408" s="640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61"/>
      <c r="P408" s="641" t="s">
        <v>72</v>
      </c>
      <c r="Q408" s="642"/>
      <c r="R408" s="642"/>
      <c r="S408" s="642"/>
      <c r="T408" s="642"/>
      <c r="U408" s="642"/>
      <c r="V408" s="643"/>
      <c r="W408" s="37" t="s">
        <v>73</v>
      </c>
      <c r="X408" s="635">
        <f>IFERROR(X405/H405,"0")+IFERROR(X406/H406,"0")+IFERROR(X407/H407,"0")</f>
        <v>7.3333333333333339</v>
      </c>
      <c r="Y408" s="635">
        <f>IFERROR(Y405/H405,"0")+IFERROR(Y406/H406,"0")+IFERROR(Y407/H407,"0")</f>
        <v>8</v>
      </c>
      <c r="Z408" s="635">
        <f>IFERROR(IF(Z405="",0,Z405),"0")+IFERROR(IF(Z406="",0,Z406),"0")+IFERROR(IF(Z407="",0,Z407),"0")</f>
        <v>3.5999999999999997E-2</v>
      </c>
      <c r="AA408" s="636"/>
      <c r="AB408" s="636"/>
      <c r="AC408" s="636"/>
    </row>
    <row r="409" spans="1:68" x14ac:dyDescent="0.2">
      <c r="A409" s="640"/>
      <c r="B409" s="640"/>
      <c r="C409" s="640"/>
      <c r="D409" s="640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61"/>
      <c r="P409" s="641" t="s">
        <v>72</v>
      </c>
      <c r="Q409" s="642"/>
      <c r="R409" s="642"/>
      <c r="S409" s="642"/>
      <c r="T409" s="642"/>
      <c r="U409" s="642"/>
      <c r="V409" s="643"/>
      <c r="W409" s="37" t="s">
        <v>67</v>
      </c>
      <c r="X409" s="635">
        <f>IFERROR(SUM(X405:X407),"0")</f>
        <v>22</v>
      </c>
      <c r="Y409" s="635">
        <f>IFERROR(SUM(Y405:Y407),"0")</f>
        <v>24</v>
      </c>
      <c r="Z409" s="37"/>
      <c r="AA409" s="636"/>
      <c r="AB409" s="636"/>
      <c r="AC409" s="636"/>
    </row>
    <row r="410" spans="1:68" ht="16.5" hidden="1" customHeight="1" x14ac:dyDescent="0.25">
      <c r="A410" s="639" t="s">
        <v>668</v>
      </c>
      <c r="B410" s="640"/>
      <c r="C410" s="640"/>
      <c r="D410" s="640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28"/>
      <c r="AB410" s="628"/>
      <c r="AC410" s="628"/>
    </row>
    <row r="411" spans="1:68" ht="14.25" hidden="1" customHeight="1" x14ac:dyDescent="0.25">
      <c r="A411" s="644" t="s">
        <v>74</v>
      </c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29"/>
      <c r="AB411" s="629"/>
      <c r="AC411" s="629"/>
    </row>
    <row r="412" spans="1:68" ht="16.5" hidden="1" customHeight="1" x14ac:dyDescent="0.25">
      <c r="A412" s="54" t="s">
        <v>669</v>
      </c>
      <c r="B412" s="54" t="s">
        <v>670</v>
      </c>
      <c r="C412" s="31">
        <v>4301052235</v>
      </c>
      <c r="D412" s="637">
        <v>4680115889415</v>
      </c>
      <c r="E412" s="638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6" t="s">
        <v>671</v>
      </c>
      <c r="Q412" s="646"/>
      <c r="R412" s="646"/>
      <c r="S412" s="646"/>
      <c r="T412" s="647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674</v>
      </c>
      <c r="B413" s="54" t="s">
        <v>675</v>
      </c>
      <c r="C413" s="31">
        <v>4301052236</v>
      </c>
      <c r="D413" s="637">
        <v>4680115889422</v>
      </c>
      <c r="E413" s="638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46"/>
      <c r="R413" s="646"/>
      <c r="S413" s="646"/>
      <c r="T413" s="647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0"/>
      <c r="B414" s="640"/>
      <c r="C414" s="640"/>
      <c r="D414" s="640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61"/>
      <c r="P414" s="641" t="s">
        <v>72</v>
      </c>
      <c r="Q414" s="642"/>
      <c r="R414" s="642"/>
      <c r="S414" s="642"/>
      <c r="T414" s="642"/>
      <c r="U414" s="642"/>
      <c r="V414" s="643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40"/>
      <c r="B415" s="640"/>
      <c r="C415" s="640"/>
      <c r="D415" s="640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61"/>
      <c r="P415" s="641" t="s">
        <v>72</v>
      </c>
      <c r="Q415" s="642"/>
      <c r="R415" s="642"/>
      <c r="S415" s="642"/>
      <c r="T415" s="642"/>
      <c r="U415" s="642"/>
      <c r="V415" s="643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39" t="s">
        <v>678</v>
      </c>
      <c r="B416" s="640"/>
      <c r="C416" s="640"/>
      <c r="D416" s="640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28"/>
      <c r="AB416" s="628"/>
      <c r="AC416" s="628"/>
    </row>
    <row r="417" spans="1:68" ht="14.25" hidden="1" customHeight="1" x14ac:dyDescent="0.25">
      <c r="A417" s="644" t="s">
        <v>74</v>
      </c>
      <c r="B417" s="640"/>
      <c r="C417" s="640"/>
      <c r="D417" s="640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29"/>
      <c r="AB417" s="629"/>
      <c r="AC417" s="629"/>
    </row>
    <row r="418" spans="1:68" ht="27" hidden="1" customHeight="1" x14ac:dyDescent="0.25">
      <c r="A418" s="54" t="s">
        <v>679</v>
      </c>
      <c r="B418" s="54" t="s">
        <v>680</v>
      </c>
      <c r="C418" s="31">
        <v>4301051489</v>
      </c>
      <c r="D418" s="637">
        <v>4607091387919</v>
      </c>
      <c r="E418" s="638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37">
        <v>4680115883604</v>
      </c>
      <c r="E419" s="638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67</v>
      </c>
      <c r="X419" s="633">
        <v>136</v>
      </c>
      <c r="Y419" s="634">
        <f>IFERROR(IF(X419="",0,CEILING((X419/$H419),1)*$H419),"")</f>
        <v>136.5</v>
      </c>
      <c r="Z419" s="36">
        <f>IFERROR(IF(Y419=0,"",ROUNDUP(Y419/H419,0)*0.00651),"")</f>
        <v>0.42315000000000003</v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152.31999999999996</v>
      </c>
      <c r="BN419" s="64">
        <f>IFERROR(Y419*I419/H419,"0")</f>
        <v>152.88</v>
      </c>
      <c r="BO419" s="64">
        <f>IFERROR(1/J419*(X419/H419),"0")</f>
        <v>0.3558346415489273</v>
      </c>
      <c r="BP419" s="64">
        <f>IFERROR(1/J419*(Y419/H419),"0")</f>
        <v>0.35714285714285715</v>
      </c>
    </row>
    <row r="420" spans="1:68" ht="27" hidden="1" customHeight="1" x14ac:dyDescent="0.25">
      <c r="A420" s="54" t="s">
        <v>685</v>
      </c>
      <c r="B420" s="54" t="s">
        <v>686</v>
      </c>
      <c r="C420" s="31">
        <v>4301051864</v>
      </c>
      <c r="D420" s="637">
        <v>4680115883567</v>
      </c>
      <c r="E420" s="638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60"/>
      <c r="B421" s="640"/>
      <c r="C421" s="640"/>
      <c r="D421" s="640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61"/>
      <c r="P421" s="641" t="s">
        <v>72</v>
      </c>
      <c r="Q421" s="642"/>
      <c r="R421" s="642"/>
      <c r="S421" s="642"/>
      <c r="T421" s="642"/>
      <c r="U421" s="642"/>
      <c r="V421" s="643"/>
      <c r="W421" s="37" t="s">
        <v>73</v>
      </c>
      <c r="X421" s="635">
        <f>IFERROR(X418/H418,"0")+IFERROR(X419/H419,"0")+IFERROR(X420/H420,"0")</f>
        <v>64.761904761904759</v>
      </c>
      <c r="Y421" s="635">
        <f>IFERROR(Y418/H418,"0")+IFERROR(Y419/H419,"0")+IFERROR(Y420/H420,"0")</f>
        <v>65</v>
      </c>
      <c r="Z421" s="635">
        <f>IFERROR(IF(Z418="",0,Z418),"0")+IFERROR(IF(Z419="",0,Z419),"0")+IFERROR(IF(Z420="",0,Z420),"0")</f>
        <v>0.42315000000000003</v>
      </c>
      <c r="AA421" s="636"/>
      <c r="AB421" s="636"/>
      <c r="AC421" s="636"/>
    </row>
    <row r="422" spans="1:68" x14ac:dyDescent="0.2">
      <c r="A422" s="640"/>
      <c r="B422" s="640"/>
      <c r="C422" s="640"/>
      <c r="D422" s="640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61"/>
      <c r="P422" s="641" t="s">
        <v>72</v>
      </c>
      <c r="Q422" s="642"/>
      <c r="R422" s="642"/>
      <c r="S422" s="642"/>
      <c r="T422" s="642"/>
      <c r="U422" s="642"/>
      <c r="V422" s="643"/>
      <c r="W422" s="37" t="s">
        <v>67</v>
      </c>
      <c r="X422" s="635">
        <f>IFERROR(SUM(X418:X420),"0")</f>
        <v>136</v>
      </c>
      <c r="Y422" s="635">
        <f>IFERROR(SUM(Y418:Y420),"0")</f>
        <v>136.5</v>
      </c>
      <c r="Z422" s="37"/>
      <c r="AA422" s="636"/>
      <c r="AB422" s="636"/>
      <c r="AC422" s="636"/>
    </row>
    <row r="423" spans="1:68" ht="27.75" hidden="1" customHeight="1" x14ac:dyDescent="0.2">
      <c r="A423" s="718" t="s">
        <v>688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48"/>
      <c r="AB423" s="48"/>
      <c r="AC423" s="48"/>
    </row>
    <row r="424" spans="1:68" ht="16.5" hidden="1" customHeight="1" x14ac:dyDescent="0.25">
      <c r="A424" s="639" t="s">
        <v>689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28"/>
      <c r="AB424" s="628"/>
      <c r="AC424" s="628"/>
    </row>
    <row r="425" spans="1:68" ht="14.25" hidden="1" customHeight="1" x14ac:dyDescent="0.25">
      <c r="A425" s="644" t="s">
        <v>111</v>
      </c>
      <c r="B425" s="640"/>
      <c r="C425" s="640"/>
      <c r="D425" s="640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29"/>
      <c r="AB425" s="629"/>
      <c r="AC425" s="629"/>
    </row>
    <row r="426" spans="1:68" ht="27" hidden="1" customHeight="1" x14ac:dyDescent="0.25">
      <c r="A426" s="54" t="s">
        <v>690</v>
      </c>
      <c r="B426" s="54" t="s">
        <v>691</v>
      </c>
      <c r="C426" s="31">
        <v>4301012332</v>
      </c>
      <c r="D426" s="637">
        <v>4680115888401</v>
      </c>
      <c r="E426" s="638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5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hidden="1" customHeight="1" x14ac:dyDescent="0.25">
      <c r="A427" s="54" t="s">
        <v>693</v>
      </c>
      <c r="B427" s="54" t="s">
        <v>694</v>
      </c>
      <c r="C427" s="31">
        <v>4301011869</v>
      </c>
      <c r="D427" s="637">
        <v>4680115884847</v>
      </c>
      <c r="E427" s="638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37">
        <v>4680115884854</v>
      </c>
      <c r="E428" s="638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67</v>
      </c>
      <c r="X428" s="633">
        <v>363</v>
      </c>
      <c r="Y428" s="634">
        <f t="shared" si="53"/>
        <v>375</v>
      </c>
      <c r="Z428" s="36">
        <f>IFERROR(IF(Y428=0,"",ROUNDUP(Y428/H428,0)*0.02175),"")</f>
        <v>0.54374999999999996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374.37400000000002</v>
      </c>
      <c r="BN428" s="64">
        <f t="shared" si="55"/>
        <v>386.75</v>
      </c>
      <c r="BO428" s="64">
        <f t="shared" si="56"/>
        <v>0.50416666666666665</v>
      </c>
      <c r="BP428" s="64">
        <f t="shared" si="57"/>
        <v>0.52083333333333326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37">
        <v>4680115884830</v>
      </c>
      <c r="E429" s="638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67</v>
      </c>
      <c r="X429" s="633">
        <v>1186</v>
      </c>
      <c r="Y429" s="634">
        <f t="shared" si="53"/>
        <v>1200</v>
      </c>
      <c r="Z429" s="36">
        <f>IFERROR(IF(Y429=0,"",ROUNDUP(Y429/H429,0)*0.02175),"")</f>
        <v>1.7399999999999998</v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1223.1613333333335</v>
      </c>
      <c r="BN429" s="64">
        <f t="shared" si="55"/>
        <v>1237.5999999999999</v>
      </c>
      <c r="BO429" s="64">
        <f t="shared" si="56"/>
        <v>1.6472222222222221</v>
      </c>
      <c r="BP429" s="64">
        <f t="shared" si="57"/>
        <v>1.6666666666666665</v>
      </c>
    </row>
    <row r="430" spans="1:68" ht="27" hidden="1" customHeight="1" x14ac:dyDescent="0.25">
      <c r="A430" s="54" t="s">
        <v>702</v>
      </c>
      <c r="B430" s="54" t="s">
        <v>703</v>
      </c>
      <c r="C430" s="31">
        <v>4301012356</v>
      </c>
      <c r="D430" s="637">
        <v>4680115889231</v>
      </c>
      <c r="E430" s="638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705</v>
      </c>
      <c r="B431" s="54" t="s">
        <v>706</v>
      </c>
      <c r="C431" s="31">
        <v>4301011433</v>
      </c>
      <c r="D431" s="637">
        <v>4680115882638</v>
      </c>
      <c r="E431" s="638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708</v>
      </c>
      <c r="B432" s="54" t="s">
        <v>709</v>
      </c>
      <c r="C432" s="31">
        <v>4301011952</v>
      </c>
      <c r="D432" s="637">
        <v>4680115884922</v>
      </c>
      <c r="E432" s="638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711</v>
      </c>
      <c r="B433" s="54" t="s">
        <v>712</v>
      </c>
      <c r="C433" s="31">
        <v>4301011868</v>
      </c>
      <c r="D433" s="637">
        <v>4680115884861</v>
      </c>
      <c r="E433" s="638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0"/>
      <c r="B434" s="640"/>
      <c r="C434" s="640"/>
      <c r="D434" s="640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61"/>
      <c r="P434" s="641" t="s">
        <v>72</v>
      </c>
      <c r="Q434" s="642"/>
      <c r="R434" s="642"/>
      <c r="S434" s="642"/>
      <c r="T434" s="642"/>
      <c r="U434" s="642"/>
      <c r="V434" s="643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103.26666666666667</v>
      </c>
      <c r="Y434" s="635">
        <f>IFERROR(Y426/H426,"0")+IFERROR(Y427/H427,"0")+IFERROR(Y428/H428,"0")+IFERROR(Y429/H429,"0")+IFERROR(Y430/H430,"0")+IFERROR(Y431/H431,"0")+IFERROR(Y432/H432,"0")+IFERROR(Y433/H433,"0")</f>
        <v>105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2.2837499999999995</v>
      </c>
      <c r="AA434" s="636"/>
      <c r="AB434" s="636"/>
      <c r="AC434" s="636"/>
    </row>
    <row r="435" spans="1:68" x14ac:dyDescent="0.2">
      <c r="A435" s="640"/>
      <c r="B435" s="640"/>
      <c r="C435" s="640"/>
      <c r="D435" s="640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61"/>
      <c r="P435" s="641" t="s">
        <v>72</v>
      </c>
      <c r="Q435" s="642"/>
      <c r="R435" s="642"/>
      <c r="S435" s="642"/>
      <c r="T435" s="642"/>
      <c r="U435" s="642"/>
      <c r="V435" s="643"/>
      <c r="W435" s="37" t="s">
        <v>67</v>
      </c>
      <c r="X435" s="635">
        <f>IFERROR(SUM(X426:X433),"0")</f>
        <v>1549</v>
      </c>
      <c r="Y435" s="635">
        <f>IFERROR(SUM(Y426:Y433),"0")</f>
        <v>1575</v>
      </c>
      <c r="Z435" s="37"/>
      <c r="AA435" s="636"/>
      <c r="AB435" s="636"/>
      <c r="AC435" s="636"/>
    </row>
    <row r="436" spans="1:68" ht="14.25" hidden="1" customHeight="1" x14ac:dyDescent="0.25">
      <c r="A436" s="644" t="s">
        <v>147</v>
      </c>
      <c r="B436" s="640"/>
      <c r="C436" s="640"/>
      <c r="D436" s="640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37">
        <v>4607091383980</v>
      </c>
      <c r="E437" s="638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7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67</v>
      </c>
      <c r="X437" s="633">
        <v>903</v>
      </c>
      <c r="Y437" s="634">
        <f>IFERROR(IF(X437="",0,CEILING((X437/$H437),1)*$H437),"")</f>
        <v>915</v>
      </c>
      <c r="Z437" s="36">
        <f>IFERROR(IF(Y437=0,"",ROUNDUP(Y437/H437,0)*0.02175),"")</f>
        <v>1.3267499999999999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931.29399999999998</v>
      </c>
      <c r="BN437" s="64">
        <f>IFERROR(Y437*I437/H437,"0")</f>
        <v>943.67000000000007</v>
      </c>
      <c r="BO437" s="64">
        <f>IFERROR(1/J437*(X437/H437),"0")</f>
        <v>1.2541666666666667</v>
      </c>
      <c r="BP437" s="64">
        <f>IFERROR(1/J437*(Y437/H437),"0")</f>
        <v>1.2708333333333333</v>
      </c>
    </row>
    <row r="438" spans="1:68" ht="27" hidden="1" customHeight="1" x14ac:dyDescent="0.25">
      <c r="A438" s="54" t="s">
        <v>717</v>
      </c>
      <c r="B438" s="54" t="s">
        <v>718</v>
      </c>
      <c r="C438" s="31">
        <v>4301020355</v>
      </c>
      <c r="D438" s="637">
        <v>4680115888425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720</v>
      </c>
      <c r="B439" s="54" t="s">
        <v>721</v>
      </c>
      <c r="C439" s="31">
        <v>4301020179</v>
      </c>
      <c r="D439" s="637">
        <v>4607091384178</v>
      </c>
      <c r="E439" s="638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0"/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61"/>
      <c r="P440" s="641" t="s">
        <v>72</v>
      </c>
      <c r="Q440" s="642"/>
      <c r="R440" s="642"/>
      <c r="S440" s="642"/>
      <c r="T440" s="642"/>
      <c r="U440" s="642"/>
      <c r="V440" s="643"/>
      <c r="W440" s="37" t="s">
        <v>73</v>
      </c>
      <c r="X440" s="635">
        <f>IFERROR(X437/H437,"0")+IFERROR(X438/H438,"0")+IFERROR(X439/H439,"0")</f>
        <v>60.2</v>
      </c>
      <c r="Y440" s="635">
        <f>IFERROR(Y437/H437,"0")+IFERROR(Y438/H438,"0")+IFERROR(Y439/H439,"0")</f>
        <v>61</v>
      </c>
      <c r="Z440" s="635">
        <f>IFERROR(IF(Z437="",0,Z437),"0")+IFERROR(IF(Z438="",0,Z438),"0")+IFERROR(IF(Z439="",0,Z439),"0")</f>
        <v>1.3267499999999999</v>
      </c>
      <c r="AA440" s="636"/>
      <c r="AB440" s="636"/>
      <c r="AC440" s="636"/>
    </row>
    <row r="441" spans="1:68" x14ac:dyDescent="0.2">
      <c r="A441" s="640"/>
      <c r="B441" s="640"/>
      <c r="C441" s="640"/>
      <c r="D441" s="640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61"/>
      <c r="P441" s="641" t="s">
        <v>72</v>
      </c>
      <c r="Q441" s="642"/>
      <c r="R441" s="642"/>
      <c r="S441" s="642"/>
      <c r="T441" s="642"/>
      <c r="U441" s="642"/>
      <c r="V441" s="643"/>
      <c r="W441" s="37" t="s">
        <v>67</v>
      </c>
      <c r="X441" s="635">
        <f>IFERROR(SUM(X437:X439),"0")</f>
        <v>903</v>
      </c>
      <c r="Y441" s="635">
        <f>IFERROR(SUM(Y437:Y439),"0")</f>
        <v>915</v>
      </c>
      <c r="Z441" s="37"/>
      <c r="AA441" s="636"/>
      <c r="AB441" s="636"/>
      <c r="AC441" s="636"/>
    </row>
    <row r="442" spans="1:68" ht="14.25" hidden="1" customHeight="1" x14ac:dyDescent="0.25">
      <c r="A442" s="644" t="s">
        <v>74</v>
      </c>
      <c r="B442" s="640"/>
      <c r="C442" s="640"/>
      <c r="D442" s="640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29"/>
      <c r="AB442" s="629"/>
      <c r="AC442" s="629"/>
    </row>
    <row r="443" spans="1:68" ht="27" hidden="1" customHeight="1" x14ac:dyDescent="0.25">
      <c r="A443" s="54" t="s">
        <v>723</v>
      </c>
      <c r="B443" s="54" t="s">
        <v>724</v>
      </c>
      <c r="C443" s="31">
        <v>4301051903</v>
      </c>
      <c r="D443" s="637">
        <v>4607091383928</v>
      </c>
      <c r="E443" s="638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726</v>
      </c>
      <c r="B444" s="54" t="s">
        <v>727</v>
      </c>
      <c r="C444" s="31">
        <v>4301051897</v>
      </c>
      <c r="D444" s="637">
        <v>4607091384260</v>
      </c>
      <c r="E444" s="638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729</v>
      </c>
      <c r="B445" s="54" t="s">
        <v>730</v>
      </c>
      <c r="C445" s="31">
        <v>4301052220</v>
      </c>
      <c r="D445" s="637">
        <v>4680115889538</v>
      </c>
      <c r="E445" s="638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60"/>
      <c r="B446" s="640"/>
      <c r="C446" s="640"/>
      <c r="D446" s="640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61"/>
      <c r="P446" s="641" t="s">
        <v>72</v>
      </c>
      <c r="Q446" s="642"/>
      <c r="R446" s="642"/>
      <c r="S446" s="642"/>
      <c r="T446" s="642"/>
      <c r="U446" s="642"/>
      <c r="V446" s="643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hidden="1" x14ac:dyDescent="0.2">
      <c r="A447" s="640"/>
      <c r="B447" s="640"/>
      <c r="C447" s="640"/>
      <c r="D447" s="640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61"/>
      <c r="P447" s="641" t="s">
        <v>72</v>
      </c>
      <c r="Q447" s="642"/>
      <c r="R447" s="642"/>
      <c r="S447" s="642"/>
      <c r="T447" s="642"/>
      <c r="U447" s="642"/>
      <c r="V447" s="643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hidden="1" customHeight="1" x14ac:dyDescent="0.25">
      <c r="A448" s="644" t="s">
        <v>164</v>
      </c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29"/>
      <c r="AB448" s="629"/>
      <c r="AC448" s="629"/>
    </row>
    <row r="449" spans="1:68" ht="27" hidden="1" customHeight="1" x14ac:dyDescent="0.25">
      <c r="A449" s="54" t="s">
        <v>732</v>
      </c>
      <c r="B449" s="54" t="s">
        <v>733</v>
      </c>
      <c r="C449" s="31">
        <v>4301060537</v>
      </c>
      <c r="D449" s="637">
        <v>4680115889545</v>
      </c>
      <c r="E449" s="638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735</v>
      </c>
      <c r="B450" s="54" t="s">
        <v>736</v>
      </c>
      <c r="C450" s="31">
        <v>4301060524</v>
      </c>
      <c r="D450" s="637">
        <v>4607091384673</v>
      </c>
      <c r="E450" s="638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60"/>
      <c r="B451" s="640"/>
      <c r="C451" s="640"/>
      <c r="D451" s="640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61"/>
      <c r="P451" s="641" t="s">
        <v>72</v>
      </c>
      <c r="Q451" s="642"/>
      <c r="R451" s="642"/>
      <c r="S451" s="642"/>
      <c r="T451" s="642"/>
      <c r="U451" s="642"/>
      <c r="V451" s="643"/>
      <c r="W451" s="37" t="s">
        <v>73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hidden="1" x14ac:dyDescent="0.2">
      <c r="A452" s="640"/>
      <c r="B452" s="640"/>
      <c r="C452" s="640"/>
      <c r="D452" s="640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61"/>
      <c r="P452" s="641" t="s">
        <v>72</v>
      </c>
      <c r="Q452" s="642"/>
      <c r="R452" s="642"/>
      <c r="S452" s="642"/>
      <c r="T452" s="642"/>
      <c r="U452" s="642"/>
      <c r="V452" s="643"/>
      <c r="W452" s="37" t="s">
        <v>67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hidden="1" customHeight="1" x14ac:dyDescent="0.25">
      <c r="A453" s="639" t="s">
        <v>738</v>
      </c>
      <c r="B453" s="640"/>
      <c r="C453" s="640"/>
      <c r="D453" s="640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28"/>
      <c r="AB453" s="628"/>
      <c r="AC453" s="628"/>
    </row>
    <row r="454" spans="1:68" ht="14.25" hidden="1" customHeight="1" x14ac:dyDescent="0.25">
      <c r="A454" s="644" t="s">
        <v>111</v>
      </c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29"/>
      <c r="AB454" s="629"/>
      <c r="AC454" s="629"/>
    </row>
    <row r="455" spans="1:68" ht="27" hidden="1" customHeight="1" x14ac:dyDescent="0.25">
      <c r="A455" s="54" t="s">
        <v>739</v>
      </c>
      <c r="B455" s="54" t="s">
        <v>740</v>
      </c>
      <c r="C455" s="31">
        <v>4301011875</v>
      </c>
      <c r="D455" s="637">
        <v>4680115884885</v>
      </c>
      <c r="E455" s="638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742</v>
      </c>
      <c r="B456" s="54" t="s">
        <v>743</v>
      </c>
      <c r="C456" s="31">
        <v>4301011871</v>
      </c>
      <c r="D456" s="637">
        <v>4680115884908</v>
      </c>
      <c r="E456" s="638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60"/>
      <c r="B457" s="640"/>
      <c r="C457" s="640"/>
      <c r="D457" s="640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61"/>
      <c r="P457" s="641" t="s">
        <v>72</v>
      </c>
      <c r="Q457" s="642"/>
      <c r="R457" s="642"/>
      <c r="S457" s="642"/>
      <c r="T457" s="642"/>
      <c r="U457" s="642"/>
      <c r="V457" s="643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61"/>
      <c r="P458" s="641" t="s">
        <v>72</v>
      </c>
      <c r="Q458" s="642"/>
      <c r="R458" s="642"/>
      <c r="S458" s="642"/>
      <c r="T458" s="642"/>
      <c r="U458" s="642"/>
      <c r="V458" s="643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44" t="s">
        <v>62</v>
      </c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29"/>
      <c r="AB459" s="629"/>
      <c r="AC459" s="629"/>
    </row>
    <row r="460" spans="1:68" ht="27" hidden="1" customHeight="1" x14ac:dyDescent="0.25">
      <c r="A460" s="54" t="s">
        <v>744</v>
      </c>
      <c r="B460" s="54" t="s">
        <v>745</v>
      </c>
      <c r="C460" s="31">
        <v>4301031457</v>
      </c>
      <c r="D460" s="637">
        <v>4607091384802</v>
      </c>
      <c r="E460" s="638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60"/>
      <c r="B461" s="640"/>
      <c r="C461" s="640"/>
      <c r="D461" s="640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61"/>
      <c r="P461" s="641" t="s">
        <v>72</v>
      </c>
      <c r="Q461" s="642"/>
      <c r="R461" s="642"/>
      <c r="S461" s="642"/>
      <c r="T461" s="642"/>
      <c r="U461" s="642"/>
      <c r="V461" s="643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40"/>
      <c r="B462" s="640"/>
      <c r="C462" s="640"/>
      <c r="D462" s="640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61"/>
      <c r="P462" s="641" t="s">
        <v>72</v>
      </c>
      <c r="Q462" s="642"/>
      <c r="R462" s="642"/>
      <c r="S462" s="642"/>
      <c r="T462" s="642"/>
      <c r="U462" s="642"/>
      <c r="V462" s="643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44" t="s">
        <v>74</v>
      </c>
      <c r="B463" s="640"/>
      <c r="C463" s="640"/>
      <c r="D463" s="640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37">
        <v>4607091384246</v>
      </c>
      <c r="E464" s="638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67</v>
      </c>
      <c r="X464" s="633">
        <v>930</v>
      </c>
      <c r="Y464" s="634">
        <f>IFERROR(IF(X464="",0,CEILING((X464/$H464),1)*$H464),"")</f>
        <v>936</v>
      </c>
      <c r="Z464" s="36">
        <f>IFERROR(IF(Y464=0,"",ROUNDUP(Y464/H464,0)*0.01898),"")</f>
        <v>1.9739200000000001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981.04666666666662</v>
      </c>
      <c r="BN464" s="64">
        <f>IFERROR(Y464*I464/H464,"0")</f>
        <v>987.37599999999998</v>
      </c>
      <c r="BO464" s="64">
        <f>IFERROR(1/J464*(X464/H464),"0")</f>
        <v>1.6145833333333333</v>
      </c>
      <c r="BP464" s="64">
        <f>IFERROR(1/J464*(Y464/H464),"0")</f>
        <v>1.625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37">
        <v>4607091384253</v>
      </c>
      <c r="E465" s="638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67</v>
      </c>
      <c r="X465" s="633">
        <v>160</v>
      </c>
      <c r="Y465" s="634">
        <f>IFERROR(IF(X465="",0,CEILING((X465/$H465),1)*$H465),"")</f>
        <v>160.79999999999998</v>
      </c>
      <c r="Z465" s="36">
        <f>IFERROR(IF(Y465=0,"",ROUNDUP(Y465/H465,0)*0.00651),"")</f>
        <v>0.43617</v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177.60000000000002</v>
      </c>
      <c r="BN465" s="64">
        <f>IFERROR(Y465*I465/H465,"0")</f>
        <v>178.488</v>
      </c>
      <c r="BO465" s="64">
        <f>IFERROR(1/J465*(X465/H465),"0")</f>
        <v>0.36630036630036633</v>
      </c>
      <c r="BP465" s="64">
        <f>IFERROR(1/J465*(Y465/H465),"0")</f>
        <v>0.36813186813186816</v>
      </c>
    </row>
    <row r="466" spans="1:68" ht="27" hidden="1" customHeight="1" x14ac:dyDescent="0.25">
      <c r="A466" s="54" t="s">
        <v>750</v>
      </c>
      <c r="B466" s="54" t="s">
        <v>752</v>
      </c>
      <c r="C466" s="31">
        <v>4301052069</v>
      </c>
      <c r="D466" s="637">
        <v>4607091384253</v>
      </c>
      <c r="E466" s="638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0"/>
      <c r="B467" s="640"/>
      <c r="C467" s="640"/>
      <c r="D467" s="640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61"/>
      <c r="P467" s="641" t="s">
        <v>72</v>
      </c>
      <c r="Q467" s="642"/>
      <c r="R467" s="642"/>
      <c r="S467" s="642"/>
      <c r="T467" s="642"/>
      <c r="U467" s="642"/>
      <c r="V467" s="643"/>
      <c r="W467" s="37" t="s">
        <v>73</v>
      </c>
      <c r="X467" s="635">
        <f>IFERROR(X464/H464,"0")+IFERROR(X465/H465,"0")+IFERROR(X466/H466,"0")</f>
        <v>170</v>
      </c>
      <c r="Y467" s="635">
        <f>IFERROR(Y464/H464,"0")+IFERROR(Y465/H465,"0")+IFERROR(Y466/H466,"0")</f>
        <v>171</v>
      </c>
      <c r="Z467" s="635">
        <f>IFERROR(IF(Z464="",0,Z464),"0")+IFERROR(IF(Z465="",0,Z465),"0")+IFERROR(IF(Z466="",0,Z466),"0")</f>
        <v>2.4100900000000003</v>
      </c>
      <c r="AA467" s="636"/>
      <c r="AB467" s="636"/>
      <c r="AC467" s="636"/>
    </row>
    <row r="468" spans="1:68" x14ac:dyDescent="0.2">
      <c r="A468" s="640"/>
      <c r="B468" s="640"/>
      <c r="C468" s="640"/>
      <c r="D468" s="640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61"/>
      <c r="P468" s="641" t="s">
        <v>72</v>
      </c>
      <c r="Q468" s="642"/>
      <c r="R468" s="642"/>
      <c r="S468" s="642"/>
      <c r="T468" s="642"/>
      <c r="U468" s="642"/>
      <c r="V468" s="643"/>
      <c r="W468" s="37" t="s">
        <v>67</v>
      </c>
      <c r="X468" s="635">
        <f>IFERROR(SUM(X464:X466),"0")</f>
        <v>1090</v>
      </c>
      <c r="Y468" s="635">
        <f>IFERROR(SUM(Y464:Y466),"0")</f>
        <v>1096.8</v>
      </c>
      <c r="Z468" s="37"/>
      <c r="AA468" s="636"/>
      <c r="AB468" s="636"/>
      <c r="AC468" s="636"/>
    </row>
    <row r="469" spans="1:68" ht="27.75" hidden="1" customHeight="1" x14ac:dyDescent="0.2">
      <c r="A469" s="718" t="s">
        <v>754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48"/>
      <c r="AB469" s="48"/>
      <c r="AC469" s="48"/>
    </row>
    <row r="470" spans="1:68" ht="16.5" hidden="1" customHeight="1" x14ac:dyDescent="0.25">
      <c r="A470" s="639" t="s">
        <v>755</v>
      </c>
      <c r="B470" s="640"/>
      <c r="C470" s="640"/>
      <c r="D470" s="640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28"/>
      <c r="AB470" s="628"/>
      <c r="AC470" s="628"/>
    </row>
    <row r="471" spans="1:68" ht="14.25" hidden="1" customHeight="1" x14ac:dyDescent="0.25">
      <c r="A471" s="644" t="s">
        <v>62</v>
      </c>
      <c r="B471" s="640"/>
      <c r="C471" s="640"/>
      <c r="D471" s="640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29"/>
      <c r="AB471" s="629"/>
      <c r="AC471" s="629"/>
    </row>
    <row r="472" spans="1:68" ht="27" hidden="1" customHeight="1" x14ac:dyDescent="0.25">
      <c r="A472" s="54" t="s">
        <v>756</v>
      </c>
      <c r="B472" s="54" t="s">
        <v>757</v>
      </c>
      <c r="C472" s="31">
        <v>4301031405</v>
      </c>
      <c r="D472" s="637">
        <v>4680115886100</v>
      </c>
      <c r="E472" s="638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759</v>
      </c>
      <c r="B473" s="54" t="s">
        <v>760</v>
      </c>
      <c r="C473" s="31">
        <v>4301031402</v>
      </c>
      <c r="D473" s="637">
        <v>4680115886124</v>
      </c>
      <c r="E473" s="638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762</v>
      </c>
      <c r="B474" s="54" t="s">
        <v>763</v>
      </c>
      <c r="C474" s="31">
        <v>4301031362</v>
      </c>
      <c r="D474" s="637">
        <v>4607091384338</v>
      </c>
      <c r="E474" s="638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3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764</v>
      </c>
      <c r="B475" s="54" t="s">
        <v>765</v>
      </c>
      <c r="C475" s="31">
        <v>4301031364</v>
      </c>
      <c r="D475" s="637">
        <v>4680115883161</v>
      </c>
      <c r="E475" s="638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767</v>
      </c>
      <c r="B476" s="54" t="s">
        <v>768</v>
      </c>
      <c r="C476" s="31">
        <v>4301031358</v>
      </c>
      <c r="D476" s="637">
        <v>4607091389531</v>
      </c>
      <c r="E476" s="638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770</v>
      </c>
      <c r="B477" s="54" t="s">
        <v>771</v>
      </c>
      <c r="C477" s="31">
        <v>4301031360</v>
      </c>
      <c r="D477" s="637">
        <v>4607091384345</v>
      </c>
      <c r="E477" s="638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60"/>
      <c r="B478" s="640"/>
      <c r="C478" s="640"/>
      <c r="D478" s="640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61"/>
      <c r="P478" s="641" t="s">
        <v>72</v>
      </c>
      <c r="Q478" s="642"/>
      <c r="R478" s="642"/>
      <c r="S478" s="642"/>
      <c r="T478" s="642"/>
      <c r="U478" s="642"/>
      <c r="V478" s="643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40"/>
      <c r="B479" s="640"/>
      <c r="C479" s="640"/>
      <c r="D479" s="640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61"/>
      <c r="P479" s="641" t="s">
        <v>72</v>
      </c>
      <c r="Q479" s="642"/>
      <c r="R479" s="642"/>
      <c r="S479" s="642"/>
      <c r="T479" s="642"/>
      <c r="U479" s="642"/>
      <c r="V479" s="643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44" t="s">
        <v>74</v>
      </c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29"/>
      <c r="AB480" s="629"/>
      <c r="AC480" s="629"/>
    </row>
    <row r="481" spans="1:68" ht="27" hidden="1" customHeight="1" x14ac:dyDescent="0.25">
      <c r="A481" s="54" t="s">
        <v>772</v>
      </c>
      <c r="B481" s="54" t="s">
        <v>773</v>
      </c>
      <c r="C481" s="31">
        <v>4301051284</v>
      </c>
      <c r="D481" s="637">
        <v>4607091384352</v>
      </c>
      <c r="E481" s="638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775</v>
      </c>
      <c r="B482" s="54" t="s">
        <v>776</v>
      </c>
      <c r="C482" s="31">
        <v>4301051431</v>
      </c>
      <c r="D482" s="637">
        <v>4607091389654</v>
      </c>
      <c r="E482" s="638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60"/>
      <c r="B483" s="640"/>
      <c r="C483" s="640"/>
      <c r="D483" s="640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61"/>
      <c r="P483" s="641" t="s">
        <v>72</v>
      </c>
      <c r="Q483" s="642"/>
      <c r="R483" s="642"/>
      <c r="S483" s="642"/>
      <c r="T483" s="642"/>
      <c r="U483" s="642"/>
      <c r="V483" s="643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40"/>
      <c r="B484" s="640"/>
      <c r="C484" s="640"/>
      <c r="D484" s="640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61"/>
      <c r="P484" s="641" t="s">
        <v>72</v>
      </c>
      <c r="Q484" s="642"/>
      <c r="R484" s="642"/>
      <c r="S484" s="642"/>
      <c r="T484" s="642"/>
      <c r="U484" s="642"/>
      <c r="V484" s="643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39" t="s">
        <v>778</v>
      </c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28"/>
      <c r="AB485" s="628"/>
      <c r="AC485" s="628"/>
    </row>
    <row r="486" spans="1:68" ht="14.25" hidden="1" customHeight="1" x14ac:dyDescent="0.25">
      <c r="A486" s="644" t="s">
        <v>147</v>
      </c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29"/>
      <c r="AB486" s="629"/>
      <c r="AC486" s="629"/>
    </row>
    <row r="487" spans="1:68" ht="27" hidden="1" customHeight="1" x14ac:dyDescent="0.25">
      <c r="A487" s="54" t="s">
        <v>779</v>
      </c>
      <c r="B487" s="54" t="s">
        <v>780</v>
      </c>
      <c r="C487" s="31">
        <v>4301020416</v>
      </c>
      <c r="D487" s="637">
        <v>4680115885240</v>
      </c>
      <c r="E487" s="638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0"/>
      <c r="B488" s="640"/>
      <c r="C488" s="640"/>
      <c r="D488" s="640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61"/>
      <c r="P488" s="641" t="s">
        <v>72</v>
      </c>
      <c r="Q488" s="642"/>
      <c r="R488" s="642"/>
      <c r="S488" s="642"/>
      <c r="T488" s="642"/>
      <c r="U488" s="642"/>
      <c r="V488" s="643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40"/>
      <c r="B489" s="640"/>
      <c r="C489" s="640"/>
      <c r="D489" s="640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61"/>
      <c r="P489" s="641" t="s">
        <v>72</v>
      </c>
      <c r="Q489" s="642"/>
      <c r="R489" s="642"/>
      <c r="S489" s="642"/>
      <c r="T489" s="642"/>
      <c r="U489" s="642"/>
      <c r="V489" s="643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44" t="s">
        <v>62</v>
      </c>
      <c r="B490" s="640"/>
      <c r="C490" s="640"/>
      <c r="D490" s="640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29"/>
      <c r="AB490" s="629"/>
      <c r="AC490" s="629"/>
    </row>
    <row r="491" spans="1:68" ht="27" hidden="1" customHeight="1" x14ac:dyDescent="0.25">
      <c r="A491" s="54" t="s">
        <v>782</v>
      </c>
      <c r="B491" s="54" t="s">
        <v>783</v>
      </c>
      <c r="C491" s="31">
        <v>4301031407</v>
      </c>
      <c r="D491" s="637">
        <v>4680115886094</v>
      </c>
      <c r="E491" s="638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4301031373</v>
      </c>
      <c r="D492" s="637">
        <v>4680115880771</v>
      </c>
      <c r="E492" s="638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6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788</v>
      </c>
      <c r="B493" s="54" t="s">
        <v>789</v>
      </c>
      <c r="C493" s="31">
        <v>4301031359</v>
      </c>
      <c r="D493" s="637">
        <v>4607091389500</v>
      </c>
      <c r="E493" s="638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60"/>
      <c r="B494" s="640"/>
      <c r="C494" s="640"/>
      <c r="D494" s="640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61"/>
      <c r="P494" s="641" t="s">
        <v>72</v>
      </c>
      <c r="Q494" s="642"/>
      <c r="R494" s="642"/>
      <c r="S494" s="642"/>
      <c r="T494" s="642"/>
      <c r="U494" s="642"/>
      <c r="V494" s="643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40"/>
      <c r="B495" s="640"/>
      <c r="C495" s="640"/>
      <c r="D495" s="640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61"/>
      <c r="P495" s="641" t="s">
        <v>72</v>
      </c>
      <c r="Q495" s="642"/>
      <c r="R495" s="642"/>
      <c r="S495" s="642"/>
      <c r="T495" s="642"/>
      <c r="U495" s="642"/>
      <c r="V495" s="643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18" t="s">
        <v>790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48"/>
      <c r="AB496" s="48"/>
      <c r="AC496" s="48"/>
    </row>
    <row r="497" spans="1:68" ht="16.5" hidden="1" customHeight="1" x14ac:dyDescent="0.25">
      <c r="A497" s="639" t="s">
        <v>790</v>
      </c>
      <c r="B497" s="640"/>
      <c r="C497" s="640"/>
      <c r="D497" s="640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28"/>
      <c r="AB497" s="628"/>
      <c r="AC497" s="628"/>
    </row>
    <row r="498" spans="1:68" ht="14.25" hidden="1" customHeight="1" x14ac:dyDescent="0.25">
      <c r="A498" s="644" t="s">
        <v>111</v>
      </c>
      <c r="B498" s="640"/>
      <c r="C498" s="640"/>
      <c r="D498" s="640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29"/>
      <c r="AB498" s="629"/>
      <c r="AC498" s="629"/>
    </row>
    <row r="499" spans="1:68" ht="27" hidden="1" customHeight="1" x14ac:dyDescent="0.25">
      <c r="A499" s="54" t="s">
        <v>791</v>
      </c>
      <c r="B499" s="54" t="s">
        <v>792</v>
      </c>
      <c r="C499" s="31">
        <v>4301011769</v>
      </c>
      <c r="D499" s="637">
        <v>4607091389067</v>
      </c>
      <c r="E499" s="638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hidden="1" customHeight="1" x14ac:dyDescent="0.25">
      <c r="A500" s="54" t="s">
        <v>793</v>
      </c>
      <c r="B500" s="54" t="s">
        <v>794</v>
      </c>
      <c r="C500" s="31">
        <v>4301012380</v>
      </c>
      <c r="D500" s="637">
        <v>4680115889576</v>
      </c>
      <c r="E500" s="638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hidden="1" customHeight="1" x14ac:dyDescent="0.25">
      <c r="A501" s="54" t="s">
        <v>796</v>
      </c>
      <c r="B501" s="54" t="s">
        <v>797</v>
      </c>
      <c r="C501" s="31">
        <v>4301011961</v>
      </c>
      <c r="D501" s="637">
        <v>4680115885271</v>
      </c>
      <c r="E501" s="638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37">
        <v>4680115885226</v>
      </c>
      <c r="E502" s="638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67</v>
      </c>
      <c r="X502" s="633">
        <v>2598</v>
      </c>
      <c r="Y502" s="634">
        <f t="shared" si="63"/>
        <v>2603.04</v>
      </c>
      <c r="Z502" s="36">
        <f t="shared" si="64"/>
        <v>5.89628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2770.215909090909</v>
      </c>
      <c r="BN502" s="64">
        <f t="shared" si="66"/>
        <v>2775.5899999999997</v>
      </c>
      <c r="BO502" s="64">
        <f t="shared" si="67"/>
        <v>4.7312062937062933</v>
      </c>
      <c r="BP502" s="64">
        <f t="shared" si="68"/>
        <v>4.740384615384615</v>
      </c>
    </row>
    <row r="503" spans="1:68" ht="16.5" hidden="1" customHeight="1" x14ac:dyDescent="0.25">
      <c r="A503" s="54" t="s">
        <v>802</v>
      </c>
      <c r="B503" s="54" t="s">
        <v>803</v>
      </c>
      <c r="C503" s="31">
        <v>4301011797</v>
      </c>
      <c r="D503" s="637">
        <v>4680115884502</v>
      </c>
      <c r="E503" s="638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hidden="1" customHeight="1" x14ac:dyDescent="0.25">
      <c r="A504" s="54" t="s">
        <v>805</v>
      </c>
      <c r="B504" s="54" t="s">
        <v>806</v>
      </c>
      <c r="C504" s="31">
        <v>4301011771</v>
      </c>
      <c r="D504" s="637">
        <v>4607091389104</v>
      </c>
      <c r="E504" s="638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33">
        <v>0</v>
      </c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hidden="1" customHeight="1" x14ac:dyDescent="0.25">
      <c r="A505" s="54" t="s">
        <v>808</v>
      </c>
      <c r="B505" s="54" t="s">
        <v>809</v>
      </c>
      <c r="C505" s="31">
        <v>4301012125</v>
      </c>
      <c r="D505" s="637">
        <v>4680115886391</v>
      </c>
      <c r="E505" s="638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hidden="1" customHeight="1" x14ac:dyDescent="0.25">
      <c r="A506" s="54" t="s">
        <v>810</v>
      </c>
      <c r="B506" s="54" t="s">
        <v>811</v>
      </c>
      <c r="C506" s="31">
        <v>4301012048</v>
      </c>
      <c r="D506" s="637">
        <v>4680115880603</v>
      </c>
      <c r="E506" s="638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hidden="1" customHeight="1" x14ac:dyDescent="0.25">
      <c r="A507" s="54" t="s">
        <v>812</v>
      </c>
      <c r="B507" s="54" t="s">
        <v>813</v>
      </c>
      <c r="C507" s="31">
        <v>4301012034</v>
      </c>
      <c r="D507" s="637">
        <v>4607091389982</v>
      </c>
      <c r="E507" s="638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0"/>
      <c r="B508" s="640"/>
      <c r="C508" s="640"/>
      <c r="D508" s="640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61"/>
      <c r="P508" s="641" t="s">
        <v>72</v>
      </c>
      <c r="Q508" s="642"/>
      <c r="R508" s="642"/>
      <c r="S508" s="642"/>
      <c r="T508" s="642"/>
      <c r="U508" s="642"/>
      <c r="V508" s="643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492.0454545454545</v>
      </c>
      <c r="Y508" s="635">
        <f>IFERROR(Y499/H499,"0")+IFERROR(Y500/H500,"0")+IFERROR(Y501/H501,"0")+IFERROR(Y502/H502,"0")+IFERROR(Y503/H503,"0")+IFERROR(Y504/H504,"0")+IFERROR(Y505/H505,"0")+IFERROR(Y506/H506,"0")+IFERROR(Y507/H507,"0")</f>
        <v>492.99999999999994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5.89628</v>
      </c>
      <c r="AA508" s="636"/>
      <c r="AB508" s="636"/>
      <c r="AC508" s="636"/>
    </row>
    <row r="509" spans="1:68" x14ac:dyDescent="0.2">
      <c r="A509" s="640"/>
      <c r="B509" s="640"/>
      <c r="C509" s="640"/>
      <c r="D509" s="640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61"/>
      <c r="P509" s="641" t="s">
        <v>72</v>
      </c>
      <c r="Q509" s="642"/>
      <c r="R509" s="642"/>
      <c r="S509" s="642"/>
      <c r="T509" s="642"/>
      <c r="U509" s="642"/>
      <c r="V509" s="643"/>
      <c r="W509" s="37" t="s">
        <v>67</v>
      </c>
      <c r="X509" s="635">
        <f>IFERROR(SUM(X499:X507),"0")</f>
        <v>2598</v>
      </c>
      <c r="Y509" s="635">
        <f>IFERROR(SUM(Y499:Y507),"0")</f>
        <v>2603.04</v>
      </c>
      <c r="Z509" s="37"/>
      <c r="AA509" s="636"/>
      <c r="AB509" s="636"/>
      <c r="AC509" s="636"/>
    </row>
    <row r="510" spans="1:68" ht="14.25" hidden="1" customHeight="1" x14ac:dyDescent="0.25">
      <c r="A510" s="644" t="s">
        <v>147</v>
      </c>
      <c r="B510" s="640"/>
      <c r="C510" s="640"/>
      <c r="D510" s="640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37">
        <v>4607091388930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67</v>
      </c>
      <c r="X511" s="633">
        <v>1202</v>
      </c>
      <c r="Y511" s="634">
        <f>IFERROR(IF(X511="",0,CEILING((X511/$H511),1)*$H511),"")</f>
        <v>1203.8400000000001</v>
      </c>
      <c r="Z511" s="36">
        <f>IFERROR(IF(Y511=0,"",ROUNDUP(Y511/H511,0)*0.01196),"")</f>
        <v>2.72688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1281.6780303030303</v>
      </c>
      <c r="BN511" s="64">
        <f>IFERROR(Y511*I511/H511,"0")</f>
        <v>1283.6400000000001</v>
      </c>
      <c r="BO511" s="64">
        <f>IFERROR(1/J511*(X511/H511),"0")</f>
        <v>2.1889568764568765</v>
      </c>
      <c r="BP511" s="64">
        <f>IFERROR(1/J511*(Y511/H511),"0")</f>
        <v>2.1923076923076925</v>
      </c>
    </row>
    <row r="512" spans="1:68" ht="16.5" hidden="1" customHeight="1" x14ac:dyDescent="0.25">
      <c r="A512" s="54" t="s">
        <v>817</v>
      </c>
      <c r="B512" s="54" t="s">
        <v>818</v>
      </c>
      <c r="C512" s="31">
        <v>4301020374</v>
      </c>
      <c r="D512" s="637">
        <v>4680115886407</v>
      </c>
      <c r="E512" s="638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hidden="1" customHeight="1" x14ac:dyDescent="0.25">
      <c r="A513" s="54" t="s">
        <v>819</v>
      </c>
      <c r="B513" s="54" t="s">
        <v>820</v>
      </c>
      <c r="C513" s="31">
        <v>4301020385</v>
      </c>
      <c r="D513" s="637">
        <v>4680115880054</v>
      </c>
      <c r="E513" s="638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7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0"/>
      <c r="B514" s="640"/>
      <c r="C514" s="640"/>
      <c r="D514" s="640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61"/>
      <c r="P514" s="641" t="s">
        <v>72</v>
      </c>
      <c r="Q514" s="642"/>
      <c r="R514" s="642"/>
      <c r="S514" s="642"/>
      <c r="T514" s="642"/>
      <c r="U514" s="642"/>
      <c r="V514" s="643"/>
      <c r="W514" s="37" t="s">
        <v>73</v>
      </c>
      <c r="X514" s="635">
        <f>IFERROR(X511/H511,"0")+IFERROR(X512/H512,"0")+IFERROR(X513/H513,"0")</f>
        <v>227.65151515151513</v>
      </c>
      <c r="Y514" s="635">
        <f>IFERROR(Y511/H511,"0")+IFERROR(Y512/H512,"0")+IFERROR(Y513/H513,"0")</f>
        <v>228.00000000000003</v>
      </c>
      <c r="Z514" s="635">
        <f>IFERROR(IF(Z511="",0,Z511),"0")+IFERROR(IF(Z512="",0,Z512),"0")+IFERROR(IF(Z513="",0,Z513),"0")</f>
        <v>2.72688</v>
      </c>
      <c r="AA514" s="636"/>
      <c r="AB514" s="636"/>
      <c r="AC514" s="636"/>
    </row>
    <row r="515" spans="1:68" x14ac:dyDescent="0.2">
      <c r="A515" s="640"/>
      <c r="B515" s="640"/>
      <c r="C515" s="640"/>
      <c r="D515" s="640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61"/>
      <c r="P515" s="641" t="s">
        <v>72</v>
      </c>
      <c r="Q515" s="642"/>
      <c r="R515" s="642"/>
      <c r="S515" s="642"/>
      <c r="T515" s="642"/>
      <c r="U515" s="642"/>
      <c r="V515" s="643"/>
      <c r="W515" s="37" t="s">
        <v>67</v>
      </c>
      <c r="X515" s="635">
        <f>IFERROR(SUM(X511:X513),"0")</f>
        <v>1202</v>
      </c>
      <c r="Y515" s="635">
        <f>IFERROR(SUM(Y511:Y513),"0")</f>
        <v>1203.8400000000001</v>
      </c>
      <c r="Z515" s="37"/>
      <c r="AA515" s="636"/>
      <c r="AB515" s="636"/>
      <c r="AC515" s="636"/>
    </row>
    <row r="516" spans="1:68" ht="14.25" hidden="1" customHeight="1" x14ac:dyDescent="0.25">
      <c r="A516" s="644" t="s">
        <v>62</v>
      </c>
      <c r="B516" s="640"/>
      <c r="C516" s="640"/>
      <c r="D516" s="640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37">
        <v>4680115883116</v>
      </c>
      <c r="E517" s="638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67</v>
      </c>
      <c r="X517" s="633">
        <v>347</v>
      </c>
      <c r="Y517" s="634">
        <f t="shared" ref="Y517:Y523" si="69">IFERROR(IF(X517="",0,CEILING((X517/$H517),1)*$H517),"")</f>
        <v>348.48</v>
      </c>
      <c r="Z517" s="36">
        <f>IFERROR(IF(Y517=0,"",ROUNDUP(Y517/H517,0)*0.01196),"")</f>
        <v>0.78936000000000006</v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370.00189393939388</v>
      </c>
      <c r="BN517" s="64">
        <f t="shared" ref="BN517:BN523" si="71">IFERROR(Y517*I517/H517,"0")</f>
        <v>371.58</v>
      </c>
      <c r="BO517" s="64">
        <f t="shared" ref="BO517:BO523" si="72">IFERROR(1/J517*(X517/H517),"0")</f>
        <v>0.6319201631701632</v>
      </c>
      <c r="BP517" s="64">
        <f t="shared" ref="BP517:BP523" si="73">IFERROR(1/J517*(Y517/H517),"0")</f>
        <v>0.63461538461538469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37">
        <v>4680115883093</v>
      </c>
      <c r="E518" s="638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67</v>
      </c>
      <c r="X518" s="633">
        <v>320</v>
      </c>
      <c r="Y518" s="634">
        <f t="shared" si="69"/>
        <v>322.08000000000004</v>
      </c>
      <c r="Z518" s="36">
        <f>IFERROR(IF(Y518=0,"",ROUNDUP(Y518/H518,0)*0.01196),"")</f>
        <v>0.72955999999999999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341.21212121212119</v>
      </c>
      <c r="BN518" s="64">
        <f t="shared" si="71"/>
        <v>343.43000000000006</v>
      </c>
      <c r="BO518" s="64">
        <f t="shared" si="72"/>
        <v>0.58275058275058278</v>
      </c>
      <c r="BP518" s="64">
        <f t="shared" si="73"/>
        <v>0.58653846153846168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37">
        <v>4680115883109</v>
      </c>
      <c r="E519" s="638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7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67</v>
      </c>
      <c r="X519" s="633">
        <v>1635</v>
      </c>
      <c r="Y519" s="634">
        <f t="shared" si="69"/>
        <v>1636.8000000000002</v>
      </c>
      <c r="Z519" s="36">
        <f>IFERROR(IF(Y519=0,"",ROUNDUP(Y519/H519,0)*0.01196),"")</f>
        <v>3.7076000000000002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1743.3806818181815</v>
      </c>
      <c r="BN519" s="64">
        <f t="shared" si="71"/>
        <v>1745.3000000000002</v>
      </c>
      <c r="BO519" s="64">
        <f t="shared" si="72"/>
        <v>2.9774912587412588</v>
      </c>
      <c r="BP519" s="64">
        <f t="shared" si="73"/>
        <v>2.9807692307692308</v>
      </c>
    </row>
    <row r="520" spans="1:68" ht="27" hidden="1" customHeight="1" x14ac:dyDescent="0.25">
      <c r="A520" s="54" t="s">
        <v>830</v>
      </c>
      <c r="B520" s="54" t="s">
        <v>831</v>
      </c>
      <c r="C520" s="31">
        <v>4301031419</v>
      </c>
      <c r="D520" s="637">
        <v>4680115882072</v>
      </c>
      <c r="E520" s="638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832</v>
      </c>
      <c r="B521" s="54" t="s">
        <v>833</v>
      </c>
      <c r="C521" s="31">
        <v>4301031352</v>
      </c>
      <c r="D521" s="637">
        <v>4680115882102</v>
      </c>
      <c r="E521" s="638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832</v>
      </c>
      <c r="B522" s="54" t="s">
        <v>834</v>
      </c>
      <c r="C522" s="31">
        <v>4301031418</v>
      </c>
      <c r="D522" s="637">
        <v>4680115882102</v>
      </c>
      <c r="E522" s="638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835</v>
      </c>
      <c r="B523" s="54" t="s">
        <v>836</v>
      </c>
      <c r="C523" s="31">
        <v>4301031417</v>
      </c>
      <c r="D523" s="637">
        <v>4680115882096</v>
      </c>
      <c r="E523" s="638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0"/>
      <c r="B524" s="640"/>
      <c r="C524" s="640"/>
      <c r="D524" s="640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61"/>
      <c r="P524" s="641" t="s">
        <v>72</v>
      </c>
      <c r="Q524" s="642"/>
      <c r="R524" s="642"/>
      <c r="S524" s="642"/>
      <c r="T524" s="642"/>
      <c r="U524" s="642"/>
      <c r="V524" s="643"/>
      <c r="W524" s="37" t="s">
        <v>73</v>
      </c>
      <c r="X524" s="635">
        <f>IFERROR(X517/H517,"0")+IFERROR(X518/H518,"0")+IFERROR(X519/H519,"0")+IFERROR(X520/H520,"0")+IFERROR(X521/H521,"0")+IFERROR(X522/H522,"0")+IFERROR(X523/H523,"0")</f>
        <v>435.98484848484844</v>
      </c>
      <c r="Y524" s="635">
        <f>IFERROR(Y517/H517,"0")+IFERROR(Y518/H518,"0")+IFERROR(Y519/H519,"0")+IFERROR(Y520/H520,"0")+IFERROR(Y521/H521,"0")+IFERROR(Y522/H522,"0")+IFERROR(Y523/H523,"0")</f>
        <v>437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5.2265200000000007</v>
      </c>
      <c r="AA524" s="636"/>
      <c r="AB524" s="636"/>
      <c r="AC524" s="636"/>
    </row>
    <row r="525" spans="1:68" x14ac:dyDescent="0.2">
      <c r="A525" s="640"/>
      <c r="B525" s="640"/>
      <c r="C525" s="640"/>
      <c r="D525" s="640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61"/>
      <c r="P525" s="641" t="s">
        <v>72</v>
      </c>
      <c r="Q525" s="642"/>
      <c r="R525" s="642"/>
      <c r="S525" s="642"/>
      <c r="T525" s="642"/>
      <c r="U525" s="642"/>
      <c r="V525" s="643"/>
      <c r="W525" s="37" t="s">
        <v>67</v>
      </c>
      <c r="X525" s="635">
        <f>IFERROR(SUM(X517:X523),"0")</f>
        <v>2302</v>
      </c>
      <c r="Y525" s="635">
        <f>IFERROR(SUM(Y517:Y523),"0")</f>
        <v>2307.36</v>
      </c>
      <c r="Z525" s="37"/>
      <c r="AA525" s="636"/>
      <c r="AB525" s="636"/>
      <c r="AC525" s="636"/>
    </row>
    <row r="526" spans="1:68" ht="27.75" hidden="1" customHeight="1" x14ac:dyDescent="0.2">
      <c r="A526" s="718" t="s">
        <v>837</v>
      </c>
      <c r="B526" s="719"/>
      <c r="C526" s="719"/>
      <c r="D526" s="719"/>
      <c r="E526" s="719"/>
      <c r="F526" s="719"/>
      <c r="G526" s="719"/>
      <c r="H526" s="719"/>
      <c r="I526" s="719"/>
      <c r="J526" s="719"/>
      <c r="K526" s="719"/>
      <c r="L526" s="719"/>
      <c r="M526" s="719"/>
      <c r="N526" s="719"/>
      <c r="O526" s="719"/>
      <c r="P526" s="719"/>
      <c r="Q526" s="719"/>
      <c r="R526" s="719"/>
      <c r="S526" s="719"/>
      <c r="T526" s="719"/>
      <c r="U526" s="719"/>
      <c r="V526" s="719"/>
      <c r="W526" s="719"/>
      <c r="X526" s="719"/>
      <c r="Y526" s="719"/>
      <c r="Z526" s="719"/>
      <c r="AA526" s="48"/>
      <c r="AB526" s="48"/>
      <c r="AC526" s="48"/>
    </row>
    <row r="527" spans="1:68" ht="16.5" hidden="1" customHeight="1" x14ac:dyDescent="0.25">
      <c r="A527" s="639" t="s">
        <v>837</v>
      </c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28"/>
      <c r="AB527" s="628"/>
      <c r="AC527" s="628"/>
    </row>
    <row r="528" spans="1:68" ht="14.25" hidden="1" customHeight="1" x14ac:dyDescent="0.25">
      <c r="A528" s="644" t="s">
        <v>111</v>
      </c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29"/>
      <c r="AB528" s="629"/>
      <c r="AC528" s="629"/>
    </row>
    <row r="529" spans="1:68" ht="27" hidden="1" customHeight="1" x14ac:dyDescent="0.25">
      <c r="A529" s="54" t="s">
        <v>838</v>
      </c>
      <c r="B529" s="54" t="s">
        <v>839</v>
      </c>
      <c r="C529" s="31">
        <v>4301011584</v>
      </c>
      <c r="D529" s="637">
        <v>4640242180564</v>
      </c>
      <c r="E529" s="638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60"/>
      <c r="B530" s="640"/>
      <c r="C530" s="640"/>
      <c r="D530" s="640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61"/>
      <c r="P530" s="641" t="s">
        <v>72</v>
      </c>
      <c r="Q530" s="642"/>
      <c r="R530" s="642"/>
      <c r="S530" s="642"/>
      <c r="T530" s="642"/>
      <c r="U530" s="642"/>
      <c r="V530" s="643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61"/>
      <c r="P531" s="641" t="s">
        <v>72</v>
      </c>
      <c r="Q531" s="642"/>
      <c r="R531" s="642"/>
      <c r="S531" s="642"/>
      <c r="T531" s="642"/>
      <c r="U531" s="642"/>
      <c r="V531" s="643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44" t="s">
        <v>147</v>
      </c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29"/>
      <c r="AB532" s="629"/>
      <c r="AC532" s="629"/>
    </row>
    <row r="533" spans="1:68" ht="27" hidden="1" customHeight="1" x14ac:dyDescent="0.25">
      <c r="A533" s="54" t="s">
        <v>841</v>
      </c>
      <c r="B533" s="54" t="s">
        <v>842</v>
      </c>
      <c r="C533" s="31">
        <v>4301020400</v>
      </c>
      <c r="D533" s="637">
        <v>4640242180519</v>
      </c>
      <c r="E533" s="638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60"/>
      <c r="B534" s="640"/>
      <c r="C534" s="640"/>
      <c r="D534" s="640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61"/>
      <c r="P534" s="641" t="s">
        <v>72</v>
      </c>
      <c r="Q534" s="642"/>
      <c r="R534" s="642"/>
      <c r="S534" s="642"/>
      <c r="T534" s="642"/>
      <c r="U534" s="642"/>
      <c r="V534" s="643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61"/>
      <c r="P535" s="641" t="s">
        <v>72</v>
      </c>
      <c r="Q535" s="642"/>
      <c r="R535" s="642"/>
      <c r="S535" s="642"/>
      <c r="T535" s="642"/>
      <c r="U535" s="642"/>
      <c r="V535" s="643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44" t="s">
        <v>62</v>
      </c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29"/>
      <c r="AB536" s="629"/>
      <c r="AC536" s="629"/>
    </row>
    <row r="537" spans="1:68" ht="27" hidden="1" customHeight="1" x14ac:dyDescent="0.25">
      <c r="A537" s="54" t="s">
        <v>844</v>
      </c>
      <c r="B537" s="54" t="s">
        <v>845</v>
      </c>
      <c r="C537" s="31">
        <v>4301031500</v>
      </c>
      <c r="D537" s="637">
        <v>4640242180595</v>
      </c>
      <c r="E537" s="638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60"/>
      <c r="B538" s="640"/>
      <c r="C538" s="640"/>
      <c r="D538" s="640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61"/>
      <c r="P538" s="641" t="s">
        <v>72</v>
      </c>
      <c r="Q538" s="642"/>
      <c r="R538" s="642"/>
      <c r="S538" s="642"/>
      <c r="T538" s="642"/>
      <c r="U538" s="642"/>
      <c r="V538" s="643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61"/>
      <c r="P539" s="641" t="s">
        <v>72</v>
      </c>
      <c r="Q539" s="642"/>
      <c r="R539" s="642"/>
      <c r="S539" s="642"/>
      <c r="T539" s="642"/>
      <c r="U539" s="642"/>
      <c r="V539" s="643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44" t="s">
        <v>74</v>
      </c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29"/>
      <c r="AB540" s="629"/>
      <c r="AC540" s="629"/>
    </row>
    <row r="541" spans="1:68" ht="27" hidden="1" customHeight="1" x14ac:dyDescent="0.25">
      <c r="A541" s="54" t="s">
        <v>847</v>
      </c>
      <c r="B541" s="54" t="s">
        <v>848</v>
      </c>
      <c r="C541" s="31">
        <v>4301052043</v>
      </c>
      <c r="D541" s="637">
        <v>4640242180533</v>
      </c>
      <c r="E541" s="638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9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60"/>
      <c r="B542" s="640"/>
      <c r="C542" s="640"/>
      <c r="D542" s="640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61"/>
      <c r="P542" s="641" t="s">
        <v>72</v>
      </c>
      <c r="Q542" s="642"/>
      <c r="R542" s="642"/>
      <c r="S542" s="642"/>
      <c r="T542" s="642"/>
      <c r="U542" s="642"/>
      <c r="V542" s="643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hidden="1" x14ac:dyDescent="0.2">
      <c r="A543" s="640"/>
      <c r="B543" s="640"/>
      <c r="C543" s="640"/>
      <c r="D543" s="640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61"/>
      <c r="P543" s="641" t="s">
        <v>72</v>
      </c>
      <c r="Q543" s="642"/>
      <c r="R543" s="642"/>
      <c r="S543" s="642"/>
      <c r="T543" s="642"/>
      <c r="U543" s="642"/>
      <c r="V543" s="643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hidden="1" customHeight="1" x14ac:dyDescent="0.25">
      <c r="A544" s="644" t="s">
        <v>164</v>
      </c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29"/>
      <c r="AB544" s="629"/>
      <c r="AC544" s="629"/>
    </row>
    <row r="545" spans="1:68" ht="27" hidden="1" customHeight="1" x14ac:dyDescent="0.25">
      <c r="A545" s="54" t="s">
        <v>850</v>
      </c>
      <c r="B545" s="54" t="s">
        <v>851</v>
      </c>
      <c r="C545" s="31">
        <v>4301060535</v>
      </c>
      <c r="D545" s="637">
        <v>4640242180120</v>
      </c>
      <c r="E545" s="638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853</v>
      </c>
      <c r="B546" s="54" t="s">
        <v>854</v>
      </c>
      <c r="C546" s="31">
        <v>4301060536</v>
      </c>
      <c r="D546" s="637">
        <v>4640242180137</v>
      </c>
      <c r="E546" s="638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0"/>
      <c r="B547" s="640"/>
      <c r="C547" s="640"/>
      <c r="D547" s="640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61"/>
      <c r="P547" s="641" t="s">
        <v>72</v>
      </c>
      <c r="Q547" s="642"/>
      <c r="R547" s="642"/>
      <c r="S547" s="642"/>
      <c r="T547" s="642"/>
      <c r="U547" s="642"/>
      <c r="V547" s="643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40"/>
      <c r="B548" s="640"/>
      <c r="C548" s="640"/>
      <c r="D548" s="640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61"/>
      <c r="P548" s="641" t="s">
        <v>72</v>
      </c>
      <c r="Q548" s="642"/>
      <c r="R548" s="642"/>
      <c r="S548" s="642"/>
      <c r="T548" s="642"/>
      <c r="U548" s="642"/>
      <c r="V548" s="643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39" t="s">
        <v>856</v>
      </c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28"/>
      <c r="AB549" s="628"/>
      <c r="AC549" s="628"/>
    </row>
    <row r="550" spans="1:68" ht="14.25" hidden="1" customHeight="1" x14ac:dyDescent="0.25">
      <c r="A550" s="644" t="s">
        <v>147</v>
      </c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29"/>
      <c r="AB550" s="629"/>
      <c r="AC550" s="629"/>
    </row>
    <row r="551" spans="1:68" ht="27" hidden="1" customHeight="1" x14ac:dyDescent="0.25">
      <c r="A551" s="54" t="s">
        <v>857</v>
      </c>
      <c r="B551" s="54" t="s">
        <v>858</v>
      </c>
      <c r="C551" s="31">
        <v>4301020428</v>
      </c>
      <c r="D551" s="637">
        <v>4640242180090</v>
      </c>
      <c r="E551" s="638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2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61"/>
      <c r="P552" s="641" t="s">
        <v>72</v>
      </c>
      <c r="Q552" s="642"/>
      <c r="R552" s="642"/>
      <c r="S552" s="642"/>
      <c r="T552" s="642"/>
      <c r="U552" s="642"/>
      <c r="V552" s="643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61"/>
      <c r="P553" s="641" t="s">
        <v>72</v>
      </c>
      <c r="Q553" s="642"/>
      <c r="R553" s="642"/>
      <c r="S553" s="642"/>
      <c r="T553" s="642"/>
      <c r="U553" s="642"/>
      <c r="V553" s="64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24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725"/>
      <c r="P554" s="663" t="s">
        <v>860</v>
      </c>
      <c r="Q554" s="664"/>
      <c r="R554" s="664"/>
      <c r="S554" s="664"/>
      <c r="T554" s="664"/>
      <c r="U554" s="664"/>
      <c r="V554" s="665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17014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17161.580000000002</v>
      </c>
      <c r="Z554" s="37"/>
      <c r="AA554" s="636"/>
      <c r="AB554" s="636"/>
      <c r="AC554" s="636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725"/>
      <c r="P555" s="663" t="s">
        <v>861</v>
      </c>
      <c r="Q555" s="664"/>
      <c r="R555" s="664"/>
      <c r="S555" s="664"/>
      <c r="T555" s="664"/>
      <c r="U555" s="664"/>
      <c r="V555" s="665"/>
      <c r="W555" s="37" t="s">
        <v>67</v>
      </c>
      <c r="X555" s="635">
        <f>IFERROR(SUM(BM22:BM551),"0")</f>
        <v>18020.878277988948</v>
      </c>
      <c r="Y555" s="635">
        <f>IFERROR(SUM(BN22:BN551),"0")</f>
        <v>18175.933999999997</v>
      </c>
      <c r="Z555" s="37"/>
      <c r="AA555" s="636"/>
      <c r="AB555" s="636"/>
      <c r="AC555" s="636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725"/>
      <c r="P556" s="663" t="s">
        <v>862</v>
      </c>
      <c r="Q556" s="664"/>
      <c r="R556" s="664"/>
      <c r="S556" s="664"/>
      <c r="T556" s="664"/>
      <c r="U556" s="664"/>
      <c r="V556" s="665"/>
      <c r="W556" s="37" t="s">
        <v>863</v>
      </c>
      <c r="X556" s="38">
        <f>ROUNDUP(SUM(BO22:BO551),0)</f>
        <v>31</v>
      </c>
      <c r="Y556" s="38">
        <f>ROUNDUP(SUM(BP22:BP551),0)</f>
        <v>31</v>
      </c>
      <c r="Z556" s="37"/>
      <c r="AA556" s="636"/>
      <c r="AB556" s="636"/>
      <c r="AC556" s="636"/>
    </row>
    <row r="557" spans="1:68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725"/>
      <c r="P557" s="663" t="s">
        <v>864</v>
      </c>
      <c r="Q557" s="664"/>
      <c r="R557" s="664"/>
      <c r="S557" s="664"/>
      <c r="T557" s="664"/>
      <c r="U557" s="664"/>
      <c r="V557" s="665"/>
      <c r="W557" s="37" t="s">
        <v>67</v>
      </c>
      <c r="X557" s="635">
        <f>GrossWeightTotal+PalletQtyTotal*25</f>
        <v>18795.878277988948</v>
      </c>
      <c r="Y557" s="635">
        <f>GrossWeightTotalR+PalletQtyTotalR*25</f>
        <v>18950.933999999997</v>
      </c>
      <c r="Z557" s="37"/>
      <c r="AA557" s="636"/>
      <c r="AB557" s="636"/>
      <c r="AC557" s="636"/>
    </row>
    <row r="558" spans="1:68" x14ac:dyDescent="0.2">
      <c r="A558" s="640"/>
      <c r="B558" s="640"/>
      <c r="C558" s="640"/>
      <c r="D558" s="640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725"/>
      <c r="P558" s="663" t="s">
        <v>865</v>
      </c>
      <c r="Q558" s="664"/>
      <c r="R558" s="664"/>
      <c r="S558" s="664"/>
      <c r="T558" s="664"/>
      <c r="U558" s="664"/>
      <c r="V558" s="665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3046.8558493891828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3073</v>
      </c>
      <c r="Z558" s="37"/>
      <c r="AA558" s="636"/>
      <c r="AB558" s="636"/>
      <c r="AC558" s="636"/>
    </row>
    <row r="559" spans="1:68" ht="14.25" hidden="1" customHeight="1" x14ac:dyDescent="0.2">
      <c r="A559" s="640"/>
      <c r="B559" s="640"/>
      <c r="C559" s="640"/>
      <c r="D559" s="640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725"/>
      <c r="P559" s="663" t="s">
        <v>866</v>
      </c>
      <c r="Q559" s="664"/>
      <c r="R559" s="664"/>
      <c r="S559" s="664"/>
      <c r="T559" s="664"/>
      <c r="U559" s="664"/>
      <c r="V559" s="665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36.38794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700" t="s">
        <v>109</v>
      </c>
      <c r="E561" s="776"/>
      <c r="F561" s="776"/>
      <c r="G561" s="776"/>
      <c r="H561" s="776"/>
      <c r="I561" s="776"/>
      <c r="J561" s="726"/>
      <c r="K561" s="700" t="s">
        <v>342</v>
      </c>
      <c r="L561" s="776"/>
      <c r="M561" s="776"/>
      <c r="N561" s="776"/>
      <c r="O561" s="776"/>
      <c r="P561" s="776"/>
      <c r="Q561" s="776"/>
      <c r="R561" s="776"/>
      <c r="S561" s="776"/>
      <c r="T561" s="776"/>
      <c r="U561" s="776"/>
      <c r="V561" s="726"/>
      <c r="W561" s="700" t="s">
        <v>688</v>
      </c>
      <c r="X561" s="726"/>
      <c r="Y561" s="700" t="s">
        <v>754</v>
      </c>
      <c r="Z561" s="726"/>
      <c r="AA561" s="630" t="s">
        <v>790</v>
      </c>
      <c r="AB561" s="700" t="s">
        <v>837</v>
      </c>
      <c r="AC561" s="726"/>
      <c r="AF561" s="631"/>
    </row>
    <row r="562" spans="1:32" ht="14.25" customHeight="1" thickTop="1" x14ac:dyDescent="0.2">
      <c r="A562" s="715" t="s">
        <v>869</v>
      </c>
      <c r="B562" s="700" t="s">
        <v>61</v>
      </c>
      <c r="C562" s="700" t="s">
        <v>93</v>
      </c>
      <c r="D562" s="700" t="s">
        <v>110</v>
      </c>
      <c r="E562" s="700" t="s">
        <v>126</v>
      </c>
      <c r="F562" s="700" t="s">
        <v>171</v>
      </c>
      <c r="G562" s="700" t="s">
        <v>192</v>
      </c>
      <c r="H562" s="700" t="s">
        <v>232</v>
      </c>
      <c r="I562" s="700" t="s">
        <v>256</v>
      </c>
      <c r="J562" s="700" t="s">
        <v>109</v>
      </c>
      <c r="K562" s="700" t="s">
        <v>343</v>
      </c>
      <c r="L562" s="700" t="s">
        <v>364</v>
      </c>
      <c r="M562" s="700" t="s">
        <v>431</v>
      </c>
      <c r="N562" s="631"/>
      <c r="O562" s="700" t="s">
        <v>499</v>
      </c>
      <c r="P562" s="700" t="s">
        <v>532</v>
      </c>
      <c r="Q562" s="700" t="s">
        <v>548</v>
      </c>
      <c r="R562" s="700" t="s">
        <v>557</v>
      </c>
      <c r="S562" s="700" t="s">
        <v>578</v>
      </c>
      <c r="T562" s="700" t="s">
        <v>587</v>
      </c>
      <c r="U562" s="700" t="s">
        <v>668</v>
      </c>
      <c r="V562" s="700" t="s">
        <v>678</v>
      </c>
      <c r="W562" s="700" t="s">
        <v>689</v>
      </c>
      <c r="X562" s="700" t="s">
        <v>738</v>
      </c>
      <c r="Y562" s="700" t="s">
        <v>755</v>
      </c>
      <c r="Z562" s="700" t="s">
        <v>778</v>
      </c>
      <c r="AA562" s="700" t="s">
        <v>790</v>
      </c>
      <c r="AB562" s="700" t="s">
        <v>837</v>
      </c>
      <c r="AC562" s="700" t="s">
        <v>856</v>
      </c>
      <c r="AF562" s="631"/>
    </row>
    <row r="563" spans="1:32" ht="13.5" customHeight="1" thickBot="1" x14ac:dyDescent="0.25">
      <c r="A563" s="716"/>
      <c r="B563" s="701"/>
      <c r="C563" s="701"/>
      <c r="D563" s="701"/>
      <c r="E563" s="701"/>
      <c r="F563" s="701"/>
      <c r="G563" s="701"/>
      <c r="H563" s="701"/>
      <c r="I563" s="701"/>
      <c r="J563" s="701"/>
      <c r="K563" s="701"/>
      <c r="L563" s="701"/>
      <c r="M563" s="701"/>
      <c r="N563" s="63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  <c r="AA563" s="701"/>
      <c r="AB563" s="701"/>
      <c r="AC563" s="701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1167.9000000000001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527.80000000000007</v>
      </c>
      <c r="F564" s="46">
        <f>IFERROR(Y84*1,"0")+IFERROR(Y85*1,"0")+IFERROR(Y86*1,"0")+IFERROR(Y87*1,"0")+IFERROR(Y91*1,"0")+IFERROR(Y92*1,"0")+IFERROR(Y93*1,"0")+IFERROR(Y94*1,"0")</f>
        <v>1336.5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1880.94</v>
      </c>
      <c r="H564" s="46">
        <f>IFERROR(Y129*1,"0")+IFERROR(Y130*1,"0")+IFERROR(Y131*1,"0")+IFERROR(Y135*1,"0")+IFERROR(Y136*1,"0")+IFERROR(Y137*1,"0")+IFERROR(Y138*1,"0")+IFERROR(Y142*1,"0")+IFERROR(Y143*1,"0")+IFERROR(Y144*1,"0")</f>
        <v>5.6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274.89999999999998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46.800000000000004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1441.7999999999997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3.6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100.8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54.6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482.8</v>
      </c>
      <c r="U564" s="46">
        <f>IFERROR(Y412*1,"0")+IFERROR(Y413*1,"0")</f>
        <v>0</v>
      </c>
      <c r="V564" s="46">
        <f>IFERROR(Y418*1,"0")+IFERROR(Y419*1,"0")+IFERROR(Y420*1,"0")</f>
        <v>136.5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2490</v>
      </c>
      <c r="X564" s="46">
        <f>IFERROR(Y455*1,"0")+IFERROR(Y456*1,"0")+IFERROR(Y460*1,"0")+IFERROR(Y464*1,"0")+IFERROR(Y465*1,"0")+IFERROR(Y466*1,"0")</f>
        <v>1096.8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6114.2400000000007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0,00"/>
        <filter val="1 062,00"/>
        <filter val="1 090,00"/>
        <filter val="1 108,00"/>
        <filter val="1 162,00"/>
        <filter val="1 186,00"/>
        <filter val="1 202,00"/>
        <filter val="1 443,00"/>
        <filter val="1 549,00"/>
        <filter val="1 635,00"/>
        <filter val="1,20"/>
        <filter val="1,25"/>
        <filter val="1,67"/>
        <filter val="1,79"/>
        <filter val="10,50"/>
        <filter val="100,00"/>
        <filter val="101,00"/>
        <filter val="103,27"/>
        <filter val="106,00"/>
        <filter val="11,00"/>
        <filter val="117,19"/>
        <filter val="13,00"/>
        <filter val="136,00"/>
        <filter val="14,00"/>
        <filter val="144,77"/>
        <filter val="15,71"/>
        <filter val="160,00"/>
        <filter val="17 014,00"/>
        <filter val="17,00"/>
        <filter val="170,00"/>
        <filter val="173,00"/>
        <filter val="18 020,88"/>
        <filter val="18 795,88"/>
        <filter val="2 302,00"/>
        <filter val="2 598,00"/>
        <filter val="200,00"/>
        <filter val="21,00"/>
        <filter val="22,00"/>
        <filter val="22,73"/>
        <filter val="227,65"/>
        <filter val="23,00"/>
        <filter val="233,00"/>
        <filter val="268,00"/>
        <filter val="272,22"/>
        <filter val="28,00"/>
        <filter val="3 046,86"/>
        <filter val="3,00"/>
        <filter val="3,33"/>
        <filter val="31"/>
        <filter val="311,00"/>
        <filter val="320,00"/>
        <filter val="34,17"/>
        <filter val="343,00"/>
        <filter val="347,00"/>
        <filter val="354,00"/>
        <filter val="363,00"/>
        <filter val="369,00"/>
        <filter val="381,00"/>
        <filter val="397,00"/>
        <filter val="40,00"/>
        <filter val="41,67"/>
        <filter val="43,00"/>
        <filter val="434,00"/>
        <filter val="435,98"/>
        <filter val="44,00"/>
        <filter val="441,67"/>
        <filter val="45,00"/>
        <filter val="48,00"/>
        <filter val="484,00"/>
        <filter val="49,00"/>
        <filter val="492,05"/>
        <filter val="5,00"/>
        <filter val="50,00"/>
        <filter val="500,00"/>
        <filter val="54,00"/>
        <filter val="55,64"/>
        <filter val="6,41"/>
        <filter val="60,00"/>
        <filter val="60,20"/>
        <filter val="61,73"/>
        <filter val="64,76"/>
        <filter val="657,00"/>
        <filter val="67,32"/>
        <filter val="7,33"/>
        <filter val="75,93"/>
        <filter val="8,00"/>
        <filter val="830,00"/>
        <filter val="9,00"/>
        <filter val="9,44"/>
        <filter val="903,00"/>
        <filter val="930,00"/>
        <filter val="99,28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P102:T102"/>
    <mergeCell ref="D164:E164"/>
    <mergeCell ref="P344:T344"/>
    <mergeCell ref="D252:E252"/>
    <mergeCell ref="P358:V358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2026-08-07T12:11:06Z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