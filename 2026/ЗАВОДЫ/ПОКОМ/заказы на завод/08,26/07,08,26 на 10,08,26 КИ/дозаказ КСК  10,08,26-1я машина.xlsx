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FC633B1-183A-4127-A007-767A038248F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N373" i="2"/>
  <c r="BM373" i="2"/>
  <c r="Z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Z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Y55" i="2" s="1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Z167" i="2" l="1"/>
  <c r="BN28" i="2"/>
  <c r="BN155" i="2"/>
  <c r="BN231" i="2"/>
  <c r="BN284" i="2"/>
  <c r="BN304" i="2"/>
  <c r="BN30" i="2"/>
  <c r="Z90" i="2"/>
  <c r="BN115" i="2"/>
  <c r="BP202" i="2"/>
  <c r="BN214" i="2"/>
  <c r="Y262" i="2"/>
  <c r="BN288" i="2"/>
  <c r="BN402" i="2"/>
  <c r="Z428" i="2"/>
  <c r="BN446" i="2"/>
  <c r="BN472" i="2"/>
  <c r="BN498" i="2"/>
  <c r="Z182" i="2"/>
  <c r="Z192" i="2"/>
  <c r="BN82" i="2"/>
  <c r="BP127" i="2"/>
  <c r="Z173" i="2"/>
  <c r="BP264" i="2"/>
  <c r="Z280" i="2"/>
  <c r="BN290" i="2"/>
  <c r="Z320" i="2"/>
  <c r="Z328" i="2"/>
  <c r="BN364" i="2"/>
  <c r="BN396" i="2"/>
  <c r="BN416" i="2"/>
  <c r="BN463" i="2"/>
  <c r="BN515" i="2"/>
  <c r="Z35" i="2"/>
  <c r="Z36" i="2" s="1"/>
  <c r="BN61" i="2"/>
  <c r="BN186" i="2"/>
  <c r="BN259" i="2"/>
  <c r="Z264" i="2"/>
  <c r="BN389" i="2"/>
  <c r="BN457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Z174" i="2" s="1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Z359" i="2" s="1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Z448" i="2"/>
  <c r="BP446" i="2"/>
  <c r="Z452" i="2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266" i="2"/>
  <c r="Z454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Z32" i="2" s="1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22" i="2" s="1"/>
  <c r="Z330" i="2"/>
  <c r="BN344" i="2"/>
  <c r="Y347" i="2"/>
  <c r="Z366" i="2"/>
  <c r="Z369" i="2" s="1"/>
  <c r="Z376" i="2"/>
  <c r="BN398" i="2"/>
  <c r="Z408" i="2"/>
  <c r="BN423" i="2"/>
  <c r="Z478" i="2"/>
  <c r="Z480" i="2" s="1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05" i="2" s="1"/>
  <c r="Z462" i="2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BN350" i="2"/>
  <c r="Z372" i="2"/>
  <c r="Z382" i="2"/>
  <c r="Z386" i="2" s="1"/>
  <c r="BN404" i="2"/>
  <c r="Z415" i="2"/>
  <c r="Z418" i="2" s="1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136" i="2" l="1"/>
  <c r="Z544" i="2"/>
  <c r="Z338" i="2"/>
  <c r="Z464" i="2"/>
  <c r="Z150" i="2"/>
  <c r="Z411" i="2"/>
  <c r="Z245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<sst xmlns="http://schemas.openxmlformats.org/spreadsheetml/2006/main" count="4194" uniqueCount="891">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</sst>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4" sqref="AA42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66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67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2" t="s">
        <v>8</v>
      </c>
      <c r="B5" s="972"/>
      <c r="C5" s="972"/>
      <c r="D5" s="994"/>
      <c r="E5" s="994"/>
      <c r="F5" s="995" t="s">
        <v>14</v>
      </c>
      <c r="G5" s="995"/>
      <c r="H5" s="994" t="s">
        <v>890</v>
      </c>
      <c r="I5" s="994"/>
      <c r="J5" s="994"/>
      <c r="K5" s="994"/>
      <c r="L5" s="994"/>
      <c r="M5" s="994"/>
      <c r="N5" s="72"/>
      <c r="P5" s="27" t="s">
        <v>4</v>
      </c>
      <c r="Q5" s="996">
        <v>46244</v>
      </c>
      <c r="R5" s="996"/>
      <c r="T5" s="997" t="s">
        <v>3</v>
      </c>
      <c r="U5" s="998"/>
      <c r="V5" s="999" t="s">
        <v>870</v>
      </c>
      <c r="W5" s="1000"/>
      <c r="AB5" s="59"/>
      <c r="AC5" s="59"/>
      <c r="AD5" s="59"/>
      <c r="AE5" s="59"/>
    </row>
    <row r="6" spans="1:32" s="17" customFormat="1" ht="24" customHeight="1" x14ac:dyDescent="0.2">
      <c r="A6" s="972" t="s">
        <v>1</v>
      </c>
      <c r="B6" s="972"/>
      <c r="C6" s="972"/>
      <c r="D6" s="973" t="s">
        <v>871</v>
      </c>
      <c r="E6" s="973"/>
      <c r="F6" s="973"/>
      <c r="G6" s="973"/>
      <c r="H6" s="973"/>
      <c r="I6" s="973"/>
      <c r="J6" s="973"/>
      <c r="K6" s="973"/>
      <c r="L6" s="973"/>
      <c r="M6" s="973"/>
      <c r="N6" s="73"/>
      <c r="P6" s="27" t="s">
        <v>27</v>
      </c>
      <c r="Q6" s="974" t="str">
        <f>IF(Q5=0," ",CHOOSE(WEEKDAY(Q5,2),"Понедельник","Вторник","Среда","Четверг","Пятница","Суббота","Воскресенье"))</f>
        <v>Понедельник</v>
      </c>
      <c r="R6" s="974"/>
      <c r="T6" s="975" t="s">
        <v>5</v>
      </c>
      <c r="U6" s="976"/>
      <c r="V6" s="977" t="s">
        <v>69</v>
      </c>
      <c r="W6" s="97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3" t="str">
        <f>IFERROR(VLOOKUP(DeliveryAddress,Table,3,0),1)</f>
        <v>1</v>
      </c>
      <c r="E7" s="984"/>
      <c r="F7" s="984"/>
      <c r="G7" s="984"/>
      <c r="H7" s="984"/>
      <c r="I7" s="984"/>
      <c r="J7" s="984"/>
      <c r="K7" s="984"/>
      <c r="L7" s="984"/>
      <c r="M7" s="985"/>
      <c r="N7" s="74"/>
      <c r="P7" s="29"/>
      <c r="Q7" s="48"/>
      <c r="R7" s="48"/>
      <c r="T7" s="975"/>
      <c r="U7" s="976"/>
      <c r="V7" s="979"/>
      <c r="W7" s="980"/>
      <c r="AB7" s="59"/>
      <c r="AC7" s="59"/>
      <c r="AD7" s="59"/>
      <c r="AE7" s="59"/>
    </row>
    <row r="8" spans="1:32" s="17" customFormat="1" ht="25.5" customHeight="1" x14ac:dyDescent="0.2">
      <c r="A8" s="986" t="s">
        <v>57</v>
      </c>
      <c r="B8" s="986"/>
      <c r="C8" s="986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75"/>
      <c r="P8" s="27" t="s">
        <v>11</v>
      </c>
      <c r="Q8" s="970">
        <v>0.375</v>
      </c>
      <c r="R8" s="970"/>
      <c r="T8" s="975"/>
      <c r="U8" s="976"/>
      <c r="V8" s="979"/>
      <c r="W8" s="980"/>
      <c r="AB8" s="59"/>
      <c r="AC8" s="59"/>
      <c r="AD8" s="59"/>
      <c r="AE8" s="59"/>
    </row>
    <row r="9" spans="1:32" s="17" customFormat="1" ht="39.950000000000003" customHeight="1" x14ac:dyDescent="0.2">
      <c r="A9" s="9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2"/>
      <c r="C9" s="962"/>
      <c r="D9" s="963" t="s">
        <v>46</v>
      </c>
      <c r="E9" s="964"/>
      <c r="F9" s="9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2"/>
      <c r="H9" s="988" t="str">
        <f>IF(AND($A$9="Тип доверенности/получателя при получении в адресе перегруза:",$D$9="Разовая доверенность"),"Введите ФИО","")</f>
        <v/>
      </c>
      <c r="I9" s="988"/>
      <c r="J9" s="9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8"/>
      <c r="L9" s="988"/>
      <c r="M9" s="988"/>
      <c r="N9" s="70"/>
      <c r="P9" s="31" t="s">
        <v>15</v>
      </c>
      <c r="Q9" s="989"/>
      <c r="R9" s="989"/>
      <c r="T9" s="975"/>
      <c r="U9" s="976"/>
      <c r="V9" s="981"/>
      <c r="W9" s="98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2"/>
      <c r="C10" s="962"/>
      <c r="D10" s="963"/>
      <c r="E10" s="964"/>
      <c r="F10" s="9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2"/>
      <c r="H10" s="965" t="str">
        <f>IFERROR(VLOOKUP($D$10,Proxy,2,FALSE),"")</f>
        <v/>
      </c>
      <c r="I10" s="965"/>
      <c r="J10" s="965"/>
      <c r="K10" s="965"/>
      <c r="L10" s="965"/>
      <c r="M10" s="965"/>
      <c r="N10" s="71"/>
      <c r="P10" s="31" t="s">
        <v>32</v>
      </c>
      <c r="Q10" s="966"/>
      <c r="R10" s="966"/>
      <c r="U10" s="29" t="s">
        <v>12</v>
      </c>
      <c r="V10" s="967" t="s">
        <v>70</v>
      </c>
      <c r="W10" s="96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9"/>
      <c r="R11" s="969"/>
      <c r="U11" s="29" t="s">
        <v>28</v>
      </c>
      <c r="V11" s="948" t="s">
        <v>889</v>
      </c>
      <c r="W11" s="9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7" t="s">
        <v>71</v>
      </c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76"/>
      <c r="P12" s="27" t="s">
        <v>30</v>
      </c>
      <c r="Q12" s="970"/>
      <c r="R12" s="970"/>
      <c r="S12" s="28"/>
      <c r="T12"/>
      <c r="U12" s="29" t="s">
        <v>46</v>
      </c>
      <c r="V12" s="971"/>
      <c r="W12" s="971"/>
      <c r="X12"/>
      <c r="AB12" s="59"/>
      <c r="AC12" s="59"/>
      <c r="AD12" s="59"/>
      <c r="AE12" s="59"/>
    </row>
    <row r="13" spans="1:32" s="17" customFormat="1" ht="23.25" customHeight="1" x14ac:dyDescent="0.2">
      <c r="A13" s="947" t="s">
        <v>72</v>
      </c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76"/>
      <c r="O13" s="31"/>
      <c r="P13" s="31" t="s">
        <v>31</v>
      </c>
      <c r="Q13" s="948"/>
      <c r="R13" s="9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7" t="s">
        <v>73</v>
      </c>
      <c r="B14" s="947"/>
      <c r="C14" s="947"/>
      <c r="D14" s="947"/>
      <c r="E14" s="947"/>
      <c r="F14" s="947"/>
      <c r="G14" s="947"/>
      <c r="H14" s="947"/>
      <c r="I14" s="947"/>
      <c r="J14" s="947"/>
      <c r="K14" s="947"/>
      <c r="L14" s="947"/>
      <c r="M14" s="9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9" t="s">
        <v>74</v>
      </c>
      <c r="B15" s="949"/>
      <c r="C15" s="949"/>
      <c r="D15" s="949"/>
      <c r="E15" s="949"/>
      <c r="F15" s="949"/>
      <c r="G15" s="949"/>
      <c r="H15" s="949"/>
      <c r="I15" s="949"/>
      <c r="J15" s="949"/>
      <c r="K15" s="949"/>
      <c r="L15" s="949"/>
      <c r="M15" s="949"/>
      <c r="N15" s="77"/>
      <c r="O15"/>
      <c r="P15" s="950" t="s">
        <v>60</v>
      </c>
      <c r="Q15" s="950"/>
      <c r="R15" s="950"/>
      <c r="S15" s="950"/>
      <c r="T15" s="9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1"/>
      <c r="Q16" s="951"/>
      <c r="R16" s="951"/>
      <c r="S16" s="951"/>
      <c r="T16" s="9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3" t="s">
        <v>58</v>
      </c>
      <c r="B17" s="933" t="s">
        <v>49</v>
      </c>
      <c r="C17" s="954" t="s">
        <v>48</v>
      </c>
      <c r="D17" s="956" t="s">
        <v>50</v>
      </c>
      <c r="E17" s="957"/>
      <c r="F17" s="933" t="s">
        <v>21</v>
      </c>
      <c r="G17" s="933" t="s">
        <v>24</v>
      </c>
      <c r="H17" s="933" t="s">
        <v>22</v>
      </c>
      <c r="I17" s="933" t="s">
        <v>23</v>
      </c>
      <c r="J17" s="933" t="s">
        <v>16</v>
      </c>
      <c r="K17" s="933" t="s">
        <v>65</v>
      </c>
      <c r="L17" s="933" t="s">
        <v>63</v>
      </c>
      <c r="M17" s="933" t="s">
        <v>2</v>
      </c>
      <c r="N17" s="933" t="s">
        <v>62</v>
      </c>
      <c r="O17" s="933" t="s">
        <v>25</v>
      </c>
      <c r="P17" s="956" t="s">
        <v>17</v>
      </c>
      <c r="Q17" s="960"/>
      <c r="R17" s="960"/>
      <c r="S17" s="960"/>
      <c r="T17" s="957"/>
      <c r="U17" s="952" t="s">
        <v>55</v>
      </c>
      <c r="V17" s="953"/>
      <c r="W17" s="933" t="s">
        <v>6</v>
      </c>
      <c r="X17" s="933" t="s">
        <v>41</v>
      </c>
      <c r="Y17" s="935" t="s">
        <v>54</v>
      </c>
      <c r="Z17" s="937" t="s">
        <v>18</v>
      </c>
      <c r="AA17" s="939" t="s">
        <v>59</v>
      </c>
      <c r="AB17" s="939" t="s">
        <v>19</v>
      </c>
      <c r="AC17" s="939" t="s">
        <v>64</v>
      </c>
      <c r="AD17" s="941" t="s">
        <v>56</v>
      </c>
      <c r="AE17" s="942"/>
      <c r="AF17" s="943"/>
      <c r="AG17" s="82"/>
      <c r="BD17" s="81" t="s">
        <v>61</v>
      </c>
    </row>
    <row r="18" spans="1:68" ht="14.25" customHeight="1" x14ac:dyDescent="0.2">
      <c r="A18" s="934"/>
      <c r="B18" s="934"/>
      <c r="C18" s="955"/>
      <c r="D18" s="958"/>
      <c r="E18" s="959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58"/>
      <c r="Q18" s="961"/>
      <c r="R18" s="961"/>
      <c r="S18" s="961"/>
      <c r="T18" s="959"/>
      <c r="U18" s="83" t="s">
        <v>44</v>
      </c>
      <c r="V18" s="83" t="s">
        <v>43</v>
      </c>
      <c r="W18" s="934"/>
      <c r="X18" s="934"/>
      <c r="Y18" s="936"/>
      <c r="Z18" s="938"/>
      <c r="AA18" s="940"/>
      <c r="AB18" s="940"/>
      <c r="AC18" s="940"/>
      <c r="AD18" s="944"/>
      <c r="AE18" s="945"/>
      <c r="AF18" s="946"/>
      <c r="AG18" s="82"/>
      <c r="BD18" s="81"/>
    </row>
    <row r="19" spans="1:68" ht="27.75" hidden="1" customHeight="1" x14ac:dyDescent="0.2">
      <c r="A19" s="662" t="s">
        <v>75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54"/>
      <c r="AB19" s="54"/>
      <c r="AC19" s="54"/>
    </row>
    <row r="20" spans="1:68" ht="16.5" hidden="1" customHeight="1" x14ac:dyDescent="0.25">
      <c r="A20" s="655" t="s">
        <v>75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"/>
      <c r="AB20" s="65"/>
      <c r="AC20" s="79"/>
    </row>
    <row r="21" spans="1:68" ht="14.25" hidden="1" customHeight="1" x14ac:dyDescent="0.25">
      <c r="A21" s="656" t="s">
        <v>76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1">
        <v>4680115886643</v>
      </c>
      <c r="E22" s="65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1">
        <v>4680115889071</v>
      </c>
      <c r="E23" s="65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42" t="s">
        <v>40</v>
      </c>
      <c r="Q24" s="643"/>
      <c r="R24" s="643"/>
      <c r="S24" s="643"/>
      <c r="T24" s="643"/>
      <c r="U24" s="643"/>
      <c r="V24" s="64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5"/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6"/>
      <c r="P25" s="642" t="s">
        <v>40</v>
      </c>
      <c r="Q25" s="643"/>
      <c r="R25" s="643"/>
      <c r="S25" s="643"/>
      <c r="T25" s="643"/>
      <c r="U25" s="643"/>
      <c r="V25" s="64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6" t="s">
        <v>85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1">
        <v>4680115885912</v>
      </c>
      <c r="E27" s="65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2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1">
        <v>4607091388237</v>
      </c>
      <c r="E28" s="65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1">
        <v>4680115887350</v>
      </c>
      <c r="E29" s="65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2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1">
        <v>4680115885905</v>
      </c>
      <c r="E30" s="65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1">
        <v>4680115887619</v>
      </c>
      <c r="E31" s="65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42" t="s">
        <v>40</v>
      </c>
      <c r="Q32" s="643"/>
      <c r="R32" s="643"/>
      <c r="S32" s="643"/>
      <c r="T32" s="643"/>
      <c r="U32" s="643"/>
      <c r="V32" s="64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5"/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6"/>
      <c r="P33" s="642" t="s">
        <v>40</v>
      </c>
      <c r="Q33" s="643"/>
      <c r="R33" s="643"/>
      <c r="S33" s="643"/>
      <c r="T33" s="643"/>
      <c r="U33" s="643"/>
      <c r="V33" s="64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56" t="s">
        <v>103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651">
        <v>4607091388503</v>
      </c>
      <c r="E35" s="65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9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3"/>
      <c r="R35" s="653"/>
      <c r="S35" s="653"/>
      <c r="T35" s="65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5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42" t="s">
        <v>40</v>
      </c>
      <c r="Q36" s="643"/>
      <c r="R36" s="643"/>
      <c r="S36" s="643"/>
      <c r="T36" s="643"/>
      <c r="U36" s="643"/>
      <c r="V36" s="64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42" t="s">
        <v>40</v>
      </c>
      <c r="Q37" s="643"/>
      <c r="R37" s="643"/>
      <c r="S37" s="643"/>
      <c r="T37" s="643"/>
      <c r="U37" s="643"/>
      <c r="V37" s="64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62" t="s">
        <v>45</v>
      </c>
      <c r="B38" s="662"/>
      <c r="C38" s="662"/>
      <c r="D38" s="662"/>
      <c r="E38" s="662"/>
      <c r="F38" s="662"/>
      <c r="G38" s="662"/>
      <c r="H38" s="662"/>
      <c r="I38" s="662"/>
      <c r="J38" s="662"/>
      <c r="K38" s="662"/>
      <c r="L38" s="662"/>
      <c r="M38" s="662"/>
      <c r="N38" s="662"/>
      <c r="O38" s="662"/>
      <c r="P38" s="662"/>
      <c r="Q38" s="662"/>
      <c r="R38" s="662"/>
      <c r="S38" s="662"/>
      <c r="T38" s="662"/>
      <c r="U38" s="662"/>
      <c r="V38" s="662"/>
      <c r="W38" s="662"/>
      <c r="X38" s="662"/>
      <c r="Y38" s="662"/>
      <c r="Z38" s="662"/>
      <c r="AA38" s="54"/>
      <c r="AB38" s="54"/>
      <c r="AC38" s="54"/>
    </row>
    <row r="39" spans="1:68" ht="16.5" hidden="1" customHeight="1" x14ac:dyDescent="0.25">
      <c r="A39" s="655" t="s">
        <v>109</v>
      </c>
      <c r="B39" s="655"/>
      <c r="C39" s="655"/>
      <c r="D39" s="655"/>
      <c r="E39" s="655"/>
      <c r="F39" s="655"/>
      <c r="G39" s="655"/>
      <c r="H39" s="655"/>
      <c r="I39" s="655"/>
      <c r="J39" s="655"/>
      <c r="K39" s="655"/>
      <c r="L39" s="655"/>
      <c r="M39" s="655"/>
      <c r="N39" s="655"/>
      <c r="O39" s="655"/>
      <c r="P39" s="655"/>
      <c r="Q39" s="655"/>
      <c r="R39" s="655"/>
      <c r="S39" s="655"/>
      <c r="T39" s="655"/>
      <c r="U39" s="655"/>
      <c r="V39" s="655"/>
      <c r="W39" s="655"/>
      <c r="X39" s="655"/>
      <c r="Y39" s="655"/>
      <c r="Z39" s="655"/>
      <c r="AA39" s="65"/>
      <c r="AB39" s="65"/>
      <c r="AC39" s="79"/>
    </row>
    <row r="40" spans="1:68" ht="14.25" hidden="1" customHeight="1" x14ac:dyDescent="0.25">
      <c r="A40" s="656" t="s">
        <v>85</v>
      </c>
      <c r="B40" s="656"/>
      <c r="C40" s="656"/>
      <c r="D40" s="656"/>
      <c r="E40" s="656"/>
      <c r="F40" s="656"/>
      <c r="G40" s="656"/>
      <c r="H40" s="656"/>
      <c r="I40" s="656"/>
      <c r="J40" s="656"/>
      <c r="K40" s="656"/>
      <c r="L40" s="656"/>
      <c r="M40" s="656"/>
      <c r="N40" s="656"/>
      <c r="O40" s="656"/>
      <c r="P40" s="656"/>
      <c r="Q40" s="656"/>
      <c r="R40" s="656"/>
      <c r="S40" s="656"/>
      <c r="T40" s="656"/>
      <c r="U40" s="656"/>
      <c r="V40" s="656"/>
      <c r="W40" s="656"/>
      <c r="X40" s="656"/>
      <c r="Y40" s="656"/>
      <c r="Z40" s="656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651">
        <v>4680115889354</v>
      </c>
      <c r="E41" s="65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92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3"/>
      <c r="R41" s="653"/>
      <c r="S41" s="653"/>
      <c r="T41" s="65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651">
        <v>4680115888463</v>
      </c>
      <c r="E42" s="65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3"/>
      <c r="R42" s="653"/>
      <c r="S42" s="653"/>
      <c r="T42" s="65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651">
        <v>4680115888494</v>
      </c>
      <c r="E43" s="65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92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3"/>
      <c r="R43" s="653"/>
      <c r="S43" s="653"/>
      <c r="T43" s="65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651">
        <v>4680115888272</v>
      </c>
      <c r="E44" s="65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92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3"/>
      <c r="R44" s="653"/>
      <c r="S44" s="653"/>
      <c r="T44" s="65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651">
        <v>4680115888364</v>
      </c>
      <c r="E45" s="65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92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3"/>
      <c r="R45" s="653"/>
      <c r="S45" s="653"/>
      <c r="T45" s="65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5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42" t="s">
        <v>40</v>
      </c>
      <c r="Q46" s="643"/>
      <c r="R46" s="643"/>
      <c r="S46" s="643"/>
      <c r="T46" s="643"/>
      <c r="U46" s="643"/>
      <c r="V46" s="64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42" t="s">
        <v>40</v>
      </c>
      <c r="Q47" s="643"/>
      <c r="R47" s="643"/>
      <c r="S47" s="643"/>
      <c r="T47" s="643"/>
      <c r="U47" s="643"/>
      <c r="V47" s="64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2" t="s">
        <v>125</v>
      </c>
      <c r="B48" s="662"/>
      <c r="C48" s="662"/>
      <c r="D48" s="662"/>
      <c r="E48" s="662"/>
      <c r="F48" s="662"/>
      <c r="G48" s="662"/>
      <c r="H48" s="662"/>
      <c r="I48" s="662"/>
      <c r="J48" s="662"/>
      <c r="K48" s="662"/>
      <c r="L48" s="662"/>
      <c r="M48" s="662"/>
      <c r="N48" s="662"/>
      <c r="O48" s="662"/>
      <c r="P48" s="662"/>
      <c r="Q48" s="662"/>
      <c r="R48" s="662"/>
      <c r="S48" s="662"/>
      <c r="T48" s="662"/>
      <c r="U48" s="662"/>
      <c r="V48" s="662"/>
      <c r="W48" s="662"/>
      <c r="X48" s="662"/>
      <c r="Y48" s="662"/>
      <c r="Z48" s="662"/>
      <c r="AA48" s="54"/>
      <c r="AB48" s="54"/>
      <c r="AC48" s="54"/>
    </row>
    <row r="49" spans="1:68" ht="16.5" hidden="1" customHeight="1" x14ac:dyDescent="0.25">
      <c r="A49" s="655" t="s">
        <v>126</v>
      </c>
      <c r="B49" s="655"/>
      <c r="C49" s="655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5"/>
      <c r="Q49" s="655"/>
      <c r="R49" s="655"/>
      <c r="S49" s="655"/>
      <c r="T49" s="655"/>
      <c r="U49" s="655"/>
      <c r="V49" s="655"/>
      <c r="W49" s="655"/>
      <c r="X49" s="655"/>
      <c r="Y49" s="655"/>
      <c r="Z49" s="655"/>
      <c r="AA49" s="65"/>
      <c r="AB49" s="65"/>
      <c r="AC49" s="79"/>
    </row>
    <row r="50" spans="1:68" ht="14.25" hidden="1" customHeight="1" x14ac:dyDescent="0.25">
      <c r="A50" s="656" t="s">
        <v>127</v>
      </c>
      <c r="B50" s="656"/>
      <c r="C50" s="656"/>
      <c r="D50" s="656"/>
      <c r="E50" s="656"/>
      <c r="F50" s="656"/>
      <c r="G50" s="656"/>
      <c r="H50" s="656"/>
      <c r="I50" s="656"/>
      <c r="J50" s="656"/>
      <c r="K50" s="656"/>
      <c r="L50" s="656"/>
      <c r="M50" s="656"/>
      <c r="N50" s="656"/>
      <c r="O50" s="656"/>
      <c r="P50" s="656"/>
      <c r="Q50" s="656"/>
      <c r="R50" s="656"/>
      <c r="S50" s="656"/>
      <c r="T50" s="656"/>
      <c r="U50" s="656"/>
      <c r="V50" s="656"/>
      <c r="W50" s="656"/>
      <c r="X50" s="656"/>
      <c r="Y50" s="656"/>
      <c r="Z50" s="656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651">
        <v>4607091385670</v>
      </c>
      <c r="E51" s="65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9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3"/>
      <c r="R51" s="653"/>
      <c r="S51" s="653"/>
      <c r="T51" s="65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651">
        <v>4680115887725</v>
      </c>
      <c r="E52" s="65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9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3"/>
      <c r="R52" s="653"/>
      <c r="S52" s="653"/>
      <c r="T52" s="65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651">
        <v>4607091385687</v>
      </c>
      <c r="E53" s="65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9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3"/>
      <c r="R53" s="653"/>
      <c r="S53" s="653"/>
      <c r="T53" s="65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651">
        <v>4680115882539</v>
      </c>
      <c r="E54" s="65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9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3"/>
      <c r="R54" s="653"/>
      <c r="S54" s="653"/>
      <c r="T54" s="65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45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42" t="s">
        <v>40</v>
      </c>
      <c r="Q55" s="643"/>
      <c r="R55" s="643"/>
      <c r="S55" s="643"/>
      <c r="T55" s="643"/>
      <c r="U55" s="643"/>
      <c r="V55" s="64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42" t="s">
        <v>40</v>
      </c>
      <c r="Q56" s="643"/>
      <c r="R56" s="643"/>
      <c r="S56" s="643"/>
      <c r="T56" s="643"/>
      <c r="U56" s="643"/>
      <c r="V56" s="64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55" t="s">
        <v>142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5"/>
      <c r="AB57" s="65"/>
      <c r="AC57" s="79"/>
    </row>
    <row r="58" spans="1:68" ht="14.25" hidden="1" customHeight="1" x14ac:dyDescent="0.25">
      <c r="A58" s="656" t="s">
        <v>127</v>
      </c>
      <c r="B58" s="656"/>
      <c r="C58" s="656"/>
      <c r="D58" s="656"/>
      <c r="E58" s="656"/>
      <c r="F58" s="656"/>
      <c r="G58" s="656"/>
      <c r="H58" s="656"/>
      <c r="I58" s="656"/>
      <c r="J58" s="656"/>
      <c r="K58" s="656"/>
      <c r="L58" s="656"/>
      <c r="M58" s="656"/>
      <c r="N58" s="656"/>
      <c r="O58" s="656"/>
      <c r="P58" s="656"/>
      <c r="Q58" s="656"/>
      <c r="R58" s="656"/>
      <c r="S58" s="656"/>
      <c r="T58" s="656"/>
      <c r="U58" s="656"/>
      <c r="V58" s="656"/>
      <c r="W58" s="656"/>
      <c r="X58" s="656"/>
      <c r="Y58" s="656"/>
      <c r="Z58" s="656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651">
        <v>4680115885882</v>
      </c>
      <c r="E59" s="65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9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3"/>
      <c r="R59" s="653"/>
      <c r="S59" s="653"/>
      <c r="T59" s="65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651">
        <v>4680115885882</v>
      </c>
      <c r="E60" s="65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91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3"/>
      <c r="R60" s="653"/>
      <c r="S60" s="653"/>
      <c r="T60" s="65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651">
        <v>4680115881426</v>
      </c>
      <c r="E61" s="65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90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3"/>
      <c r="R61" s="653"/>
      <c r="S61" s="653"/>
      <c r="T61" s="65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651">
        <v>4680115880283</v>
      </c>
      <c r="E62" s="65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9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3"/>
      <c r="R62" s="653"/>
      <c r="S62" s="653"/>
      <c r="T62" s="65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651">
        <v>4680115880283</v>
      </c>
      <c r="E63" s="65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91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3"/>
      <c r="R63" s="653"/>
      <c r="S63" s="653"/>
      <c r="T63" s="65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651">
        <v>4680115881525</v>
      </c>
      <c r="E64" s="65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9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3"/>
      <c r="R64" s="653"/>
      <c r="S64" s="653"/>
      <c r="T64" s="65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651">
        <v>4680115885899</v>
      </c>
      <c r="E65" s="65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91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3"/>
      <c r="R65" s="653"/>
      <c r="S65" s="653"/>
      <c r="T65" s="65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651">
        <v>4680115881419</v>
      </c>
      <c r="E66" s="65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3"/>
      <c r="R66" s="653"/>
      <c r="S66" s="653"/>
      <c r="T66" s="65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45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42" t="s">
        <v>40</v>
      </c>
      <c r="Q67" s="643"/>
      <c r="R67" s="643"/>
      <c r="S67" s="643"/>
      <c r="T67" s="643"/>
      <c r="U67" s="643"/>
      <c r="V67" s="64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42" t="s">
        <v>40</v>
      </c>
      <c r="Q68" s="643"/>
      <c r="R68" s="643"/>
      <c r="S68" s="643"/>
      <c r="T68" s="643"/>
      <c r="U68" s="643"/>
      <c r="V68" s="64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56" t="s">
        <v>163</v>
      </c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6"/>
      <c r="P69" s="656"/>
      <c r="Q69" s="656"/>
      <c r="R69" s="656"/>
      <c r="S69" s="656"/>
      <c r="T69" s="656"/>
      <c r="U69" s="656"/>
      <c r="V69" s="656"/>
      <c r="W69" s="656"/>
      <c r="X69" s="656"/>
      <c r="Y69" s="656"/>
      <c r="Z69" s="656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651">
        <v>4680115881440</v>
      </c>
      <c r="E70" s="65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90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3"/>
      <c r="R70" s="653"/>
      <c r="S70" s="653"/>
      <c r="T70" s="65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651">
        <v>4680115885950</v>
      </c>
      <c r="E71" s="65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90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3"/>
      <c r="R71" s="653"/>
      <c r="S71" s="653"/>
      <c r="T71" s="65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651">
        <v>4680115887688</v>
      </c>
      <c r="E72" s="65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9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3"/>
      <c r="R72" s="653"/>
      <c r="S72" s="653"/>
      <c r="T72" s="65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651">
        <v>4680115881433</v>
      </c>
      <c r="E73" s="65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90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3"/>
      <c r="R73" s="653"/>
      <c r="S73" s="653"/>
      <c r="T73" s="65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5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42" t="s">
        <v>40</v>
      </c>
      <c r="Q74" s="643"/>
      <c r="R74" s="643"/>
      <c r="S74" s="643"/>
      <c r="T74" s="643"/>
      <c r="U74" s="643"/>
      <c r="V74" s="64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42" t="s">
        <v>40</v>
      </c>
      <c r="Q75" s="643"/>
      <c r="R75" s="643"/>
      <c r="S75" s="643"/>
      <c r="T75" s="643"/>
      <c r="U75" s="643"/>
      <c r="V75" s="64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56" t="s">
        <v>85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651">
        <v>4680115884311</v>
      </c>
      <c r="E77" s="65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90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3"/>
      <c r="R77" s="653"/>
      <c r="S77" s="653"/>
      <c r="T77" s="65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651">
        <v>4680115884403</v>
      </c>
      <c r="E78" s="65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9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3"/>
      <c r="R78" s="653"/>
      <c r="S78" s="653"/>
      <c r="T78" s="65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5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42" t="s">
        <v>40</v>
      </c>
      <c r="Q79" s="643"/>
      <c r="R79" s="643"/>
      <c r="S79" s="643"/>
      <c r="T79" s="643"/>
      <c r="U79" s="643"/>
      <c r="V79" s="64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42" t="s">
        <v>40</v>
      </c>
      <c r="Q80" s="643"/>
      <c r="R80" s="643"/>
      <c r="S80" s="643"/>
      <c r="T80" s="643"/>
      <c r="U80" s="643"/>
      <c r="V80" s="64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6" t="s">
        <v>180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6"/>
      <c r="P81" s="656"/>
      <c r="Q81" s="656"/>
      <c r="R81" s="656"/>
      <c r="S81" s="656"/>
      <c r="T81" s="656"/>
      <c r="U81" s="656"/>
      <c r="V81" s="656"/>
      <c r="W81" s="656"/>
      <c r="X81" s="656"/>
      <c r="Y81" s="656"/>
      <c r="Z81" s="656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651">
        <v>4680115881532</v>
      </c>
      <c r="E82" s="65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9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3"/>
      <c r="R82" s="653"/>
      <c r="S82" s="653"/>
      <c r="T82" s="65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651">
        <v>4680115881464</v>
      </c>
      <c r="E83" s="65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90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45"/>
      <c r="B84" s="645"/>
      <c r="C84" s="645"/>
      <c r="D84" s="645"/>
      <c r="E84" s="645"/>
      <c r="F84" s="645"/>
      <c r="G84" s="645"/>
      <c r="H84" s="645"/>
      <c r="I84" s="645"/>
      <c r="J84" s="645"/>
      <c r="K84" s="645"/>
      <c r="L84" s="645"/>
      <c r="M84" s="645"/>
      <c r="N84" s="645"/>
      <c r="O84" s="646"/>
      <c r="P84" s="642" t="s">
        <v>40</v>
      </c>
      <c r="Q84" s="643"/>
      <c r="R84" s="643"/>
      <c r="S84" s="643"/>
      <c r="T84" s="643"/>
      <c r="U84" s="643"/>
      <c r="V84" s="64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45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42" t="s">
        <v>40</v>
      </c>
      <c r="Q85" s="643"/>
      <c r="R85" s="643"/>
      <c r="S85" s="643"/>
      <c r="T85" s="643"/>
      <c r="U85" s="643"/>
      <c r="V85" s="64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55" t="s">
        <v>187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5"/>
      <c r="AB86" s="65"/>
      <c r="AC86" s="79"/>
    </row>
    <row r="87" spans="1:68" ht="14.25" hidden="1" customHeight="1" x14ac:dyDescent="0.25">
      <c r="A87" s="656" t="s">
        <v>127</v>
      </c>
      <c r="B87" s="656"/>
      <c r="C87" s="656"/>
      <c r="D87" s="656"/>
      <c r="E87" s="656"/>
      <c r="F87" s="656"/>
      <c r="G87" s="656"/>
      <c r="H87" s="656"/>
      <c r="I87" s="656"/>
      <c r="J87" s="656"/>
      <c r="K87" s="656"/>
      <c r="L87" s="656"/>
      <c r="M87" s="656"/>
      <c r="N87" s="656"/>
      <c r="O87" s="656"/>
      <c r="P87" s="656"/>
      <c r="Q87" s="656"/>
      <c r="R87" s="656"/>
      <c r="S87" s="656"/>
      <c r="T87" s="656"/>
      <c r="U87" s="656"/>
      <c r="V87" s="656"/>
      <c r="W87" s="656"/>
      <c r="X87" s="656"/>
      <c r="Y87" s="656"/>
      <c r="Z87" s="656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651">
        <v>4680115881327</v>
      </c>
      <c r="E88" s="65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89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651">
        <v>4680115887732</v>
      </c>
      <c r="E89" s="65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89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651">
        <v>4680115881518</v>
      </c>
      <c r="E90" s="65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89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651">
        <v>4680115881303</v>
      </c>
      <c r="E91" s="65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89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3"/>
      <c r="R91" s="653"/>
      <c r="S91" s="653"/>
      <c r="T91" s="65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45"/>
      <c r="B92" s="645"/>
      <c r="C92" s="645"/>
      <c r="D92" s="645"/>
      <c r="E92" s="645"/>
      <c r="F92" s="645"/>
      <c r="G92" s="645"/>
      <c r="H92" s="645"/>
      <c r="I92" s="645"/>
      <c r="J92" s="645"/>
      <c r="K92" s="645"/>
      <c r="L92" s="645"/>
      <c r="M92" s="645"/>
      <c r="N92" s="645"/>
      <c r="O92" s="646"/>
      <c r="P92" s="642" t="s">
        <v>40</v>
      </c>
      <c r="Q92" s="643"/>
      <c r="R92" s="643"/>
      <c r="S92" s="643"/>
      <c r="T92" s="643"/>
      <c r="U92" s="643"/>
      <c r="V92" s="64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45"/>
      <c r="B93" s="645"/>
      <c r="C93" s="645"/>
      <c r="D93" s="645"/>
      <c r="E93" s="645"/>
      <c r="F93" s="645"/>
      <c r="G93" s="645"/>
      <c r="H93" s="645"/>
      <c r="I93" s="645"/>
      <c r="J93" s="645"/>
      <c r="K93" s="645"/>
      <c r="L93" s="645"/>
      <c r="M93" s="645"/>
      <c r="N93" s="645"/>
      <c r="O93" s="646"/>
      <c r="P93" s="642" t="s">
        <v>40</v>
      </c>
      <c r="Q93" s="643"/>
      <c r="R93" s="643"/>
      <c r="S93" s="643"/>
      <c r="T93" s="643"/>
      <c r="U93" s="643"/>
      <c r="V93" s="64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56" t="s">
        <v>85</v>
      </c>
      <c r="B94" s="656"/>
      <c r="C94" s="656"/>
      <c r="D94" s="656"/>
      <c r="E94" s="656"/>
      <c r="F94" s="656"/>
      <c r="G94" s="656"/>
      <c r="H94" s="656"/>
      <c r="I94" s="656"/>
      <c r="J94" s="656"/>
      <c r="K94" s="656"/>
      <c r="L94" s="656"/>
      <c r="M94" s="656"/>
      <c r="N94" s="656"/>
      <c r="O94" s="656"/>
      <c r="P94" s="656"/>
      <c r="Q94" s="656"/>
      <c r="R94" s="656"/>
      <c r="S94" s="656"/>
      <c r="T94" s="656"/>
      <c r="U94" s="656"/>
      <c r="V94" s="656"/>
      <c r="W94" s="656"/>
      <c r="X94" s="656"/>
      <c r="Y94" s="656"/>
      <c r="Z94" s="656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651">
        <v>4607091386967</v>
      </c>
      <c r="E95" s="65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8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3"/>
      <c r="R95" s="653"/>
      <c r="S95" s="653"/>
      <c r="T95" s="65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651">
        <v>4680115884953</v>
      </c>
      <c r="E96" s="65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8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3"/>
      <c r="R96" s="653"/>
      <c r="S96" s="653"/>
      <c r="T96" s="65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651">
        <v>4607091385731</v>
      </c>
      <c r="E97" s="65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8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3"/>
      <c r="R97" s="653"/>
      <c r="S97" s="653"/>
      <c r="T97" s="65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51">
        <v>4680115880894</v>
      </c>
      <c r="E98" s="65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89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3"/>
      <c r="R98" s="653"/>
      <c r="S98" s="653"/>
      <c r="T98" s="65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45"/>
      <c r="B99" s="645"/>
      <c r="C99" s="645"/>
      <c r="D99" s="645"/>
      <c r="E99" s="645"/>
      <c r="F99" s="645"/>
      <c r="G99" s="645"/>
      <c r="H99" s="645"/>
      <c r="I99" s="645"/>
      <c r="J99" s="645"/>
      <c r="K99" s="645"/>
      <c r="L99" s="645"/>
      <c r="M99" s="645"/>
      <c r="N99" s="645"/>
      <c r="O99" s="646"/>
      <c r="P99" s="642" t="s">
        <v>40</v>
      </c>
      <c r="Q99" s="643"/>
      <c r="R99" s="643"/>
      <c r="S99" s="643"/>
      <c r="T99" s="643"/>
      <c r="U99" s="643"/>
      <c r="V99" s="64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45"/>
      <c r="B100" s="645"/>
      <c r="C100" s="645"/>
      <c r="D100" s="645"/>
      <c r="E100" s="645"/>
      <c r="F100" s="645"/>
      <c r="G100" s="645"/>
      <c r="H100" s="645"/>
      <c r="I100" s="645"/>
      <c r="J100" s="645"/>
      <c r="K100" s="645"/>
      <c r="L100" s="645"/>
      <c r="M100" s="645"/>
      <c r="N100" s="645"/>
      <c r="O100" s="646"/>
      <c r="P100" s="642" t="s">
        <v>40</v>
      </c>
      <c r="Q100" s="643"/>
      <c r="R100" s="643"/>
      <c r="S100" s="643"/>
      <c r="T100" s="643"/>
      <c r="U100" s="643"/>
      <c r="V100" s="64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55" t="s">
        <v>208</v>
      </c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5"/>
      <c r="AB101" s="65"/>
      <c r="AC101" s="79"/>
    </row>
    <row r="102" spans="1:68" ht="14.25" hidden="1" customHeight="1" x14ac:dyDescent="0.25">
      <c r="A102" s="656" t="s">
        <v>127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51">
        <v>4680115882133</v>
      </c>
      <c r="E103" s="65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8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3"/>
      <c r="R103" s="653"/>
      <c r="S103" s="653"/>
      <c r="T103" s="65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51">
        <v>4680115887718</v>
      </c>
      <c r="E104" s="65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88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3"/>
      <c r="R104" s="653"/>
      <c r="S104" s="653"/>
      <c r="T104" s="65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51">
        <v>4680115887718</v>
      </c>
      <c r="E105" s="65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89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3"/>
      <c r="R105" s="653"/>
      <c r="S105" s="653"/>
      <c r="T105" s="65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651">
        <v>4680115880269</v>
      </c>
      <c r="E106" s="65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8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3"/>
      <c r="R106" s="653"/>
      <c r="S106" s="653"/>
      <c r="T106" s="65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651">
        <v>4680115880429</v>
      </c>
      <c r="E107" s="65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88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3"/>
      <c r="R107" s="653"/>
      <c r="S107" s="653"/>
      <c r="T107" s="65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651">
        <v>4680115881457</v>
      </c>
      <c r="E108" s="65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8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3"/>
      <c r="R108" s="653"/>
      <c r="S108" s="653"/>
      <c r="T108" s="65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45"/>
      <c r="B109" s="645"/>
      <c r="C109" s="645"/>
      <c r="D109" s="645"/>
      <c r="E109" s="645"/>
      <c r="F109" s="645"/>
      <c r="G109" s="645"/>
      <c r="H109" s="645"/>
      <c r="I109" s="645"/>
      <c r="J109" s="645"/>
      <c r="K109" s="645"/>
      <c r="L109" s="645"/>
      <c r="M109" s="645"/>
      <c r="N109" s="645"/>
      <c r="O109" s="646"/>
      <c r="P109" s="642" t="s">
        <v>40</v>
      </c>
      <c r="Q109" s="643"/>
      <c r="R109" s="643"/>
      <c r="S109" s="643"/>
      <c r="T109" s="643"/>
      <c r="U109" s="643"/>
      <c r="V109" s="64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45"/>
      <c r="B110" s="645"/>
      <c r="C110" s="645"/>
      <c r="D110" s="645"/>
      <c r="E110" s="645"/>
      <c r="F110" s="645"/>
      <c r="G110" s="645"/>
      <c r="H110" s="645"/>
      <c r="I110" s="645"/>
      <c r="J110" s="645"/>
      <c r="K110" s="645"/>
      <c r="L110" s="645"/>
      <c r="M110" s="645"/>
      <c r="N110" s="645"/>
      <c r="O110" s="646"/>
      <c r="P110" s="642" t="s">
        <v>40</v>
      </c>
      <c r="Q110" s="643"/>
      <c r="R110" s="643"/>
      <c r="S110" s="643"/>
      <c r="T110" s="643"/>
      <c r="U110" s="643"/>
      <c r="V110" s="64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56" t="s">
        <v>163</v>
      </c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6"/>
      <c r="P111" s="656"/>
      <c r="Q111" s="656"/>
      <c r="R111" s="656"/>
      <c r="S111" s="656"/>
      <c r="T111" s="656"/>
      <c r="U111" s="656"/>
      <c r="V111" s="656"/>
      <c r="W111" s="656"/>
      <c r="X111" s="656"/>
      <c r="Y111" s="656"/>
      <c r="Z111" s="656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651">
        <v>4680115881488</v>
      </c>
      <c r="E112" s="65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3"/>
      <c r="R112" s="653"/>
      <c r="S112" s="653"/>
      <c r="T112" s="65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651">
        <v>4680115887664</v>
      </c>
      <c r="E113" s="65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8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3"/>
      <c r="R113" s="653"/>
      <c r="S113" s="653"/>
      <c r="T113" s="65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651">
        <v>4680115887664</v>
      </c>
      <c r="E114" s="65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8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3"/>
      <c r="R114" s="653"/>
      <c r="S114" s="653"/>
      <c r="T114" s="65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651">
        <v>4680115882775</v>
      </c>
      <c r="E115" s="65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8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3"/>
      <c r="R115" s="653"/>
      <c r="S115" s="653"/>
      <c r="T115" s="65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651">
        <v>4680115880658</v>
      </c>
      <c r="E116" s="65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8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3"/>
      <c r="R116" s="653"/>
      <c r="S116" s="653"/>
      <c r="T116" s="65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45"/>
      <c r="B117" s="645"/>
      <c r="C117" s="645"/>
      <c r="D117" s="645"/>
      <c r="E117" s="645"/>
      <c r="F117" s="645"/>
      <c r="G117" s="645"/>
      <c r="H117" s="645"/>
      <c r="I117" s="645"/>
      <c r="J117" s="645"/>
      <c r="K117" s="645"/>
      <c r="L117" s="645"/>
      <c r="M117" s="645"/>
      <c r="N117" s="645"/>
      <c r="O117" s="646"/>
      <c r="P117" s="642" t="s">
        <v>40</v>
      </c>
      <c r="Q117" s="643"/>
      <c r="R117" s="643"/>
      <c r="S117" s="643"/>
      <c r="T117" s="643"/>
      <c r="U117" s="643"/>
      <c r="V117" s="64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45"/>
      <c r="B118" s="645"/>
      <c r="C118" s="645"/>
      <c r="D118" s="645"/>
      <c r="E118" s="645"/>
      <c r="F118" s="645"/>
      <c r="G118" s="645"/>
      <c r="H118" s="645"/>
      <c r="I118" s="645"/>
      <c r="J118" s="645"/>
      <c r="K118" s="645"/>
      <c r="L118" s="645"/>
      <c r="M118" s="645"/>
      <c r="N118" s="645"/>
      <c r="O118" s="646"/>
      <c r="P118" s="642" t="s">
        <v>40</v>
      </c>
      <c r="Q118" s="643"/>
      <c r="R118" s="643"/>
      <c r="S118" s="643"/>
      <c r="T118" s="643"/>
      <c r="U118" s="643"/>
      <c r="V118" s="64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6" t="s">
        <v>85</v>
      </c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6"/>
      <c r="P119" s="656"/>
      <c r="Q119" s="656"/>
      <c r="R119" s="656"/>
      <c r="S119" s="656"/>
      <c r="T119" s="656"/>
      <c r="U119" s="656"/>
      <c r="V119" s="656"/>
      <c r="W119" s="656"/>
      <c r="X119" s="656"/>
      <c r="Y119" s="656"/>
      <c r="Z119" s="656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651">
        <v>4607091385168</v>
      </c>
      <c r="E120" s="65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8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3"/>
      <c r="R120" s="653"/>
      <c r="S120" s="653"/>
      <c r="T120" s="65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651">
        <v>4607091383256</v>
      </c>
      <c r="E121" s="65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87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3"/>
      <c r="R121" s="653"/>
      <c r="S121" s="653"/>
      <c r="T121" s="65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651">
        <v>4607091385748</v>
      </c>
      <c r="E122" s="65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8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3"/>
      <c r="R122" s="653"/>
      <c r="S122" s="653"/>
      <c r="T122" s="65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651">
        <v>4680115884533</v>
      </c>
      <c r="E123" s="65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8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3"/>
      <c r="R123" s="653"/>
      <c r="S123" s="653"/>
      <c r="T123" s="65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5"/>
      <c r="B124" s="645"/>
      <c r="C124" s="645"/>
      <c r="D124" s="645"/>
      <c r="E124" s="645"/>
      <c r="F124" s="645"/>
      <c r="G124" s="645"/>
      <c r="H124" s="645"/>
      <c r="I124" s="645"/>
      <c r="J124" s="645"/>
      <c r="K124" s="645"/>
      <c r="L124" s="645"/>
      <c r="M124" s="645"/>
      <c r="N124" s="645"/>
      <c r="O124" s="646"/>
      <c r="P124" s="642" t="s">
        <v>40</v>
      </c>
      <c r="Q124" s="643"/>
      <c r="R124" s="643"/>
      <c r="S124" s="643"/>
      <c r="T124" s="643"/>
      <c r="U124" s="643"/>
      <c r="V124" s="644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645"/>
      <c r="B125" s="645"/>
      <c r="C125" s="645"/>
      <c r="D125" s="645"/>
      <c r="E125" s="645"/>
      <c r="F125" s="645"/>
      <c r="G125" s="645"/>
      <c r="H125" s="645"/>
      <c r="I125" s="645"/>
      <c r="J125" s="645"/>
      <c r="K125" s="645"/>
      <c r="L125" s="645"/>
      <c r="M125" s="645"/>
      <c r="N125" s="645"/>
      <c r="O125" s="646"/>
      <c r="P125" s="642" t="s">
        <v>40</v>
      </c>
      <c r="Q125" s="643"/>
      <c r="R125" s="643"/>
      <c r="S125" s="643"/>
      <c r="T125" s="643"/>
      <c r="U125" s="643"/>
      <c r="V125" s="644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656" t="s">
        <v>180</v>
      </c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6"/>
      <c r="P126" s="656"/>
      <c r="Q126" s="656"/>
      <c r="R126" s="656"/>
      <c r="S126" s="656"/>
      <c r="T126" s="656"/>
      <c r="U126" s="656"/>
      <c r="V126" s="656"/>
      <c r="W126" s="656"/>
      <c r="X126" s="656"/>
      <c r="Y126" s="656"/>
      <c r="Z126" s="656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651">
        <v>4680115880238</v>
      </c>
      <c r="E127" s="65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8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3"/>
      <c r="R127" s="653"/>
      <c r="S127" s="653"/>
      <c r="T127" s="65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42" t="s">
        <v>40</v>
      </c>
      <c r="Q128" s="643"/>
      <c r="R128" s="643"/>
      <c r="S128" s="643"/>
      <c r="T128" s="643"/>
      <c r="U128" s="643"/>
      <c r="V128" s="64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45"/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6"/>
      <c r="P129" s="642" t="s">
        <v>40</v>
      </c>
      <c r="Q129" s="643"/>
      <c r="R129" s="643"/>
      <c r="S129" s="643"/>
      <c r="T129" s="643"/>
      <c r="U129" s="643"/>
      <c r="V129" s="64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5" t="s">
        <v>247</v>
      </c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  <c r="AA130" s="65"/>
      <c r="AB130" s="65"/>
      <c r="AC130" s="79"/>
    </row>
    <row r="131" spans="1:68" ht="14.25" hidden="1" customHeight="1" x14ac:dyDescent="0.25">
      <c r="A131" s="656" t="s">
        <v>127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651">
        <v>4680115888784</v>
      </c>
      <c r="E132" s="651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8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3"/>
      <c r="R132" s="653"/>
      <c r="S132" s="653"/>
      <c r="T132" s="65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651">
        <v>4680115888845</v>
      </c>
      <c r="E133" s="651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8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3"/>
      <c r="R133" s="653"/>
      <c r="S133" s="653"/>
      <c r="T133" s="65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651">
        <v>4680115882577</v>
      </c>
      <c r="E134" s="65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8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651">
        <v>4680115882577</v>
      </c>
      <c r="E135" s="65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45"/>
      <c r="B136" s="645"/>
      <c r="C136" s="645"/>
      <c r="D136" s="645"/>
      <c r="E136" s="645"/>
      <c r="F136" s="645"/>
      <c r="G136" s="645"/>
      <c r="H136" s="645"/>
      <c r="I136" s="645"/>
      <c r="J136" s="645"/>
      <c r="K136" s="645"/>
      <c r="L136" s="645"/>
      <c r="M136" s="645"/>
      <c r="N136" s="645"/>
      <c r="O136" s="646"/>
      <c r="P136" s="642" t="s">
        <v>40</v>
      </c>
      <c r="Q136" s="643"/>
      <c r="R136" s="643"/>
      <c r="S136" s="643"/>
      <c r="T136" s="643"/>
      <c r="U136" s="643"/>
      <c r="V136" s="64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645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42" t="s">
        <v>40</v>
      </c>
      <c r="Q137" s="643"/>
      <c r="R137" s="643"/>
      <c r="S137" s="643"/>
      <c r="T137" s="643"/>
      <c r="U137" s="643"/>
      <c r="V137" s="64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56" t="s">
        <v>76</v>
      </c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6"/>
      <c r="P138" s="656"/>
      <c r="Q138" s="656"/>
      <c r="R138" s="656"/>
      <c r="S138" s="656"/>
      <c r="T138" s="656"/>
      <c r="U138" s="656"/>
      <c r="V138" s="656"/>
      <c r="W138" s="656"/>
      <c r="X138" s="656"/>
      <c r="Y138" s="656"/>
      <c r="Z138" s="656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651">
        <v>4680115888913</v>
      </c>
      <c r="E139" s="651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869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3"/>
      <c r="R139" s="653"/>
      <c r="S139" s="653"/>
      <c r="T139" s="65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651">
        <v>4680115888920</v>
      </c>
      <c r="E140" s="651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87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3"/>
      <c r="R140" s="653"/>
      <c r="S140" s="653"/>
      <c r="T140" s="65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651">
        <v>4680115883444</v>
      </c>
      <c r="E141" s="65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3"/>
      <c r="R141" s="653"/>
      <c r="S141" s="653"/>
      <c r="T141" s="65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651">
        <v>4680115883444</v>
      </c>
      <c r="E142" s="651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8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3"/>
      <c r="R142" s="653"/>
      <c r="S142" s="653"/>
      <c r="T142" s="65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42" t="s">
        <v>40</v>
      </c>
      <c r="Q143" s="643"/>
      <c r="R143" s="643"/>
      <c r="S143" s="643"/>
      <c r="T143" s="643"/>
      <c r="U143" s="643"/>
      <c r="V143" s="64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645"/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6"/>
      <c r="P144" s="642" t="s">
        <v>40</v>
      </c>
      <c r="Q144" s="643"/>
      <c r="R144" s="643"/>
      <c r="S144" s="643"/>
      <c r="T144" s="643"/>
      <c r="U144" s="643"/>
      <c r="V144" s="64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656" t="s">
        <v>85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651">
        <v>4680115888937</v>
      </c>
      <c r="E146" s="651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86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3"/>
      <c r="R146" s="653"/>
      <c r="S146" s="653"/>
      <c r="T146" s="65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651">
        <v>4680115888944</v>
      </c>
      <c r="E147" s="651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86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3"/>
      <c r="R147" s="653"/>
      <c r="S147" s="653"/>
      <c r="T147" s="654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651">
        <v>4680115882584</v>
      </c>
      <c r="E148" s="651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3"/>
      <c r="R148" s="653"/>
      <c r="S148" s="653"/>
      <c r="T148" s="65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651">
        <v>4680115882584</v>
      </c>
      <c r="E149" s="651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8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3"/>
      <c r="R149" s="653"/>
      <c r="S149" s="653"/>
      <c r="T149" s="65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45"/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6"/>
      <c r="P150" s="642" t="s">
        <v>40</v>
      </c>
      <c r="Q150" s="643"/>
      <c r="R150" s="643"/>
      <c r="S150" s="643"/>
      <c r="T150" s="643"/>
      <c r="U150" s="643"/>
      <c r="V150" s="64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45"/>
      <c r="B151" s="645"/>
      <c r="C151" s="645"/>
      <c r="D151" s="645"/>
      <c r="E151" s="645"/>
      <c r="F151" s="645"/>
      <c r="G151" s="645"/>
      <c r="H151" s="645"/>
      <c r="I151" s="645"/>
      <c r="J151" s="645"/>
      <c r="K151" s="645"/>
      <c r="L151" s="645"/>
      <c r="M151" s="645"/>
      <c r="N151" s="645"/>
      <c r="O151" s="646"/>
      <c r="P151" s="642" t="s">
        <v>40</v>
      </c>
      <c r="Q151" s="643"/>
      <c r="R151" s="643"/>
      <c r="S151" s="643"/>
      <c r="T151" s="643"/>
      <c r="U151" s="643"/>
      <c r="V151" s="64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55" t="s">
        <v>275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5"/>
      <c r="AB152" s="65"/>
      <c r="AC152" s="79"/>
    </row>
    <row r="153" spans="1:68" ht="14.25" hidden="1" customHeight="1" x14ac:dyDescent="0.25">
      <c r="A153" s="656" t="s">
        <v>85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651">
        <v>4680115888203</v>
      </c>
      <c r="E154" s="65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3"/>
      <c r="R154" s="653"/>
      <c r="S154" s="653"/>
      <c r="T154" s="65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651">
        <v>4680115888180</v>
      </c>
      <c r="E155" s="651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3"/>
      <c r="R155" s="653"/>
      <c r="S155" s="653"/>
      <c r="T155" s="654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651">
        <v>4680115888197</v>
      </c>
      <c r="E156" s="651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3"/>
      <c r="R156" s="653"/>
      <c r="S156" s="653"/>
      <c r="T156" s="65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651">
        <v>4680115888210</v>
      </c>
      <c r="E157" s="65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3"/>
      <c r="R157" s="653"/>
      <c r="S157" s="653"/>
      <c r="T157" s="65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45"/>
      <c r="B158" s="645"/>
      <c r="C158" s="645"/>
      <c r="D158" s="645"/>
      <c r="E158" s="645"/>
      <c r="F158" s="645"/>
      <c r="G158" s="645"/>
      <c r="H158" s="645"/>
      <c r="I158" s="645"/>
      <c r="J158" s="645"/>
      <c r="K158" s="645"/>
      <c r="L158" s="645"/>
      <c r="M158" s="645"/>
      <c r="N158" s="645"/>
      <c r="O158" s="646"/>
      <c r="P158" s="642" t="s">
        <v>40</v>
      </c>
      <c r="Q158" s="643"/>
      <c r="R158" s="643"/>
      <c r="S158" s="643"/>
      <c r="T158" s="643"/>
      <c r="U158" s="643"/>
      <c r="V158" s="64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645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42" t="s">
        <v>40</v>
      </c>
      <c r="Q159" s="643"/>
      <c r="R159" s="643"/>
      <c r="S159" s="643"/>
      <c r="T159" s="643"/>
      <c r="U159" s="643"/>
      <c r="V159" s="64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656" t="s">
        <v>103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651">
        <v>4680115889132</v>
      </c>
      <c r="E161" s="651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85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3"/>
      <c r="R161" s="653"/>
      <c r="S161" s="653"/>
      <c r="T161" s="65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45"/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6"/>
      <c r="P162" s="642" t="s">
        <v>40</v>
      </c>
      <c r="Q162" s="643"/>
      <c r="R162" s="643"/>
      <c r="S162" s="643"/>
      <c r="T162" s="643"/>
      <c r="U162" s="643"/>
      <c r="V162" s="64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645"/>
      <c r="B163" s="645"/>
      <c r="C163" s="645"/>
      <c r="D163" s="645"/>
      <c r="E163" s="645"/>
      <c r="F163" s="645"/>
      <c r="G163" s="645"/>
      <c r="H163" s="645"/>
      <c r="I163" s="645"/>
      <c r="J163" s="645"/>
      <c r="K163" s="645"/>
      <c r="L163" s="645"/>
      <c r="M163" s="645"/>
      <c r="N163" s="645"/>
      <c r="O163" s="646"/>
      <c r="P163" s="642" t="s">
        <v>40</v>
      </c>
      <c r="Q163" s="643"/>
      <c r="R163" s="643"/>
      <c r="S163" s="643"/>
      <c r="T163" s="643"/>
      <c r="U163" s="643"/>
      <c r="V163" s="64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655" t="s">
        <v>125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5"/>
      <c r="AB164" s="65"/>
      <c r="AC164" s="79"/>
    </row>
    <row r="165" spans="1:68" ht="14.25" hidden="1" customHeight="1" x14ac:dyDescent="0.25">
      <c r="A165" s="656" t="s">
        <v>127</v>
      </c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6"/>
      <c r="P165" s="656"/>
      <c r="Q165" s="656"/>
      <c r="R165" s="656"/>
      <c r="S165" s="656"/>
      <c r="T165" s="656"/>
      <c r="U165" s="656"/>
      <c r="V165" s="656"/>
      <c r="W165" s="656"/>
      <c r="X165" s="656"/>
      <c r="Y165" s="656"/>
      <c r="Z165" s="656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651">
        <v>4680115888876</v>
      </c>
      <c r="E166" s="651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8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3"/>
      <c r="R166" s="653"/>
      <c r="S166" s="653"/>
      <c r="T166" s="65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651">
        <v>4680115887374</v>
      </c>
      <c r="E167" s="651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85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3"/>
      <c r="R167" s="653"/>
      <c r="S167" s="653"/>
      <c r="T167" s="65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651">
        <v>4607091384604</v>
      </c>
      <c r="E168" s="651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85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3"/>
      <c r="R168" s="653"/>
      <c r="S168" s="653"/>
      <c r="T168" s="65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45"/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6"/>
      <c r="P169" s="642" t="s">
        <v>40</v>
      </c>
      <c r="Q169" s="643"/>
      <c r="R169" s="643"/>
      <c r="S169" s="643"/>
      <c r="T169" s="643"/>
      <c r="U169" s="643"/>
      <c r="V169" s="64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645"/>
      <c r="B170" s="645"/>
      <c r="C170" s="645"/>
      <c r="D170" s="645"/>
      <c r="E170" s="645"/>
      <c r="F170" s="645"/>
      <c r="G170" s="645"/>
      <c r="H170" s="645"/>
      <c r="I170" s="645"/>
      <c r="J170" s="645"/>
      <c r="K170" s="645"/>
      <c r="L170" s="645"/>
      <c r="M170" s="645"/>
      <c r="N170" s="645"/>
      <c r="O170" s="646"/>
      <c r="P170" s="642" t="s">
        <v>40</v>
      </c>
      <c r="Q170" s="643"/>
      <c r="R170" s="643"/>
      <c r="S170" s="643"/>
      <c r="T170" s="643"/>
      <c r="U170" s="643"/>
      <c r="V170" s="64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56" t="s">
        <v>163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651">
        <v>4680115889491</v>
      </c>
      <c r="E172" s="651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857" t="s">
        <v>304</v>
      </c>
      <c r="Q172" s="653"/>
      <c r="R172" s="653"/>
      <c r="S172" s="653"/>
      <c r="T172" s="65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651">
        <v>4680115887695</v>
      </c>
      <c r="E173" s="651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3"/>
      <c r="R173" s="653"/>
      <c r="S173" s="653"/>
      <c r="T173" s="654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45"/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6"/>
      <c r="P174" s="642" t="s">
        <v>40</v>
      </c>
      <c r="Q174" s="643"/>
      <c r="R174" s="643"/>
      <c r="S174" s="643"/>
      <c r="T174" s="643"/>
      <c r="U174" s="643"/>
      <c r="V174" s="64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645"/>
      <c r="B175" s="645"/>
      <c r="C175" s="645"/>
      <c r="D175" s="645"/>
      <c r="E175" s="645"/>
      <c r="F175" s="645"/>
      <c r="G175" s="645"/>
      <c r="H175" s="645"/>
      <c r="I175" s="645"/>
      <c r="J175" s="645"/>
      <c r="K175" s="645"/>
      <c r="L175" s="645"/>
      <c r="M175" s="645"/>
      <c r="N175" s="645"/>
      <c r="O175" s="646"/>
      <c r="P175" s="642" t="s">
        <v>40</v>
      </c>
      <c r="Q175" s="643"/>
      <c r="R175" s="643"/>
      <c r="S175" s="643"/>
      <c r="T175" s="643"/>
      <c r="U175" s="643"/>
      <c r="V175" s="64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56" t="s">
        <v>76</v>
      </c>
      <c r="B176" s="656"/>
      <c r="C176" s="656"/>
      <c r="D176" s="656"/>
      <c r="E176" s="656"/>
      <c r="F176" s="656"/>
      <c r="G176" s="656"/>
      <c r="H176" s="656"/>
      <c r="I176" s="656"/>
      <c r="J176" s="656"/>
      <c r="K176" s="656"/>
      <c r="L176" s="656"/>
      <c r="M176" s="656"/>
      <c r="N176" s="656"/>
      <c r="O176" s="656"/>
      <c r="P176" s="656"/>
      <c r="Q176" s="656"/>
      <c r="R176" s="656"/>
      <c r="S176" s="656"/>
      <c r="T176" s="656"/>
      <c r="U176" s="656"/>
      <c r="V176" s="656"/>
      <c r="W176" s="656"/>
      <c r="X176" s="656"/>
      <c r="Y176" s="656"/>
      <c r="Z176" s="656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651">
        <v>4680115887428</v>
      </c>
      <c r="E177" s="65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85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3"/>
      <c r="R177" s="653"/>
      <c r="S177" s="653"/>
      <c r="T177" s="65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651">
        <v>4680115889170</v>
      </c>
      <c r="E178" s="651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85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3"/>
      <c r="R178" s="653"/>
      <c r="S178" s="653"/>
      <c r="T178" s="65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651">
        <v>4680115887398</v>
      </c>
      <c r="E179" s="651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8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3"/>
      <c r="R179" s="653"/>
      <c r="S179" s="653"/>
      <c r="T179" s="65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651">
        <v>4680115887336</v>
      </c>
      <c r="E180" s="651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84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3"/>
      <c r="R180" s="653"/>
      <c r="S180" s="653"/>
      <c r="T180" s="65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651">
        <v>4680115887787</v>
      </c>
      <c r="E181" s="651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651">
        <v>4680115887503</v>
      </c>
      <c r="E182" s="65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5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651">
        <v>4680115887763</v>
      </c>
      <c r="E183" s="651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651">
        <v>4680115887763</v>
      </c>
      <c r="E184" s="651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4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3"/>
      <c r="R184" s="653"/>
      <c r="S184" s="653"/>
      <c r="T184" s="65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651">
        <v>4680115887480</v>
      </c>
      <c r="E185" s="651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4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3"/>
      <c r="R185" s="653"/>
      <c r="S185" s="653"/>
      <c r="T185" s="654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651">
        <v>4680115888067</v>
      </c>
      <c r="E186" s="651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4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3"/>
      <c r="R186" s="653"/>
      <c r="S186" s="653"/>
      <c r="T186" s="65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651">
        <v>4680115887435</v>
      </c>
      <c r="E187" s="651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4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3"/>
      <c r="R187" s="653"/>
      <c r="S187" s="653"/>
      <c r="T187" s="654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645"/>
      <c r="B188" s="645"/>
      <c r="C188" s="645"/>
      <c r="D188" s="645"/>
      <c r="E188" s="645"/>
      <c r="F188" s="645"/>
      <c r="G188" s="645"/>
      <c r="H188" s="645"/>
      <c r="I188" s="645"/>
      <c r="J188" s="645"/>
      <c r="K188" s="645"/>
      <c r="L188" s="645"/>
      <c r="M188" s="645"/>
      <c r="N188" s="645"/>
      <c r="O188" s="646"/>
      <c r="P188" s="642" t="s">
        <v>40</v>
      </c>
      <c r="Q188" s="643"/>
      <c r="R188" s="643"/>
      <c r="S188" s="643"/>
      <c r="T188" s="643"/>
      <c r="U188" s="643"/>
      <c r="V188" s="64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645"/>
      <c r="B189" s="645"/>
      <c r="C189" s="645"/>
      <c r="D189" s="645"/>
      <c r="E189" s="645"/>
      <c r="F189" s="645"/>
      <c r="G189" s="645"/>
      <c r="H189" s="645"/>
      <c r="I189" s="645"/>
      <c r="J189" s="645"/>
      <c r="K189" s="645"/>
      <c r="L189" s="645"/>
      <c r="M189" s="645"/>
      <c r="N189" s="645"/>
      <c r="O189" s="646"/>
      <c r="P189" s="642" t="s">
        <v>40</v>
      </c>
      <c r="Q189" s="643"/>
      <c r="R189" s="643"/>
      <c r="S189" s="643"/>
      <c r="T189" s="643"/>
      <c r="U189" s="643"/>
      <c r="V189" s="64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656" t="s">
        <v>85</v>
      </c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6"/>
      <c r="P190" s="656"/>
      <c r="Q190" s="656"/>
      <c r="R190" s="656"/>
      <c r="S190" s="656"/>
      <c r="T190" s="656"/>
      <c r="U190" s="656"/>
      <c r="V190" s="656"/>
      <c r="W190" s="656"/>
      <c r="X190" s="656"/>
      <c r="Y190" s="656"/>
      <c r="Z190" s="656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651">
        <v>4680115888395</v>
      </c>
      <c r="E191" s="651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4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3"/>
      <c r="R191" s="653"/>
      <c r="S191" s="653"/>
      <c r="T191" s="654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651">
        <v>4680115888371</v>
      </c>
      <c r="E192" s="651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4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3"/>
      <c r="R192" s="653"/>
      <c r="S192" s="653"/>
      <c r="T192" s="65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651">
        <v>4680115887459</v>
      </c>
      <c r="E193" s="651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4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3"/>
      <c r="R193" s="653"/>
      <c r="S193" s="653"/>
      <c r="T193" s="65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5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42" t="s">
        <v>40</v>
      </c>
      <c r="Q194" s="643"/>
      <c r="R194" s="643"/>
      <c r="S194" s="643"/>
      <c r="T194" s="643"/>
      <c r="U194" s="643"/>
      <c r="V194" s="64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42" t="s">
        <v>40</v>
      </c>
      <c r="Q195" s="643"/>
      <c r="R195" s="643"/>
      <c r="S195" s="643"/>
      <c r="T195" s="643"/>
      <c r="U195" s="643"/>
      <c r="V195" s="64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6" t="s">
        <v>103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651">
        <v>4680115889026</v>
      </c>
      <c r="E197" s="651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3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3"/>
      <c r="R197" s="653"/>
      <c r="S197" s="653"/>
      <c r="T197" s="65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651">
        <v>4680115889088</v>
      </c>
      <c r="E198" s="651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3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3"/>
      <c r="R198" s="653"/>
      <c r="S198" s="653"/>
      <c r="T198" s="65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42" t="s">
        <v>40</v>
      </c>
      <c r="Q199" s="643"/>
      <c r="R199" s="643"/>
      <c r="S199" s="643"/>
      <c r="T199" s="643"/>
      <c r="U199" s="643"/>
      <c r="V199" s="64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645"/>
      <c r="B200" s="645"/>
      <c r="C200" s="645"/>
      <c r="D200" s="645"/>
      <c r="E200" s="645"/>
      <c r="F200" s="645"/>
      <c r="G200" s="645"/>
      <c r="H200" s="645"/>
      <c r="I200" s="645"/>
      <c r="J200" s="645"/>
      <c r="K200" s="645"/>
      <c r="L200" s="645"/>
      <c r="M200" s="645"/>
      <c r="N200" s="645"/>
      <c r="O200" s="646"/>
      <c r="P200" s="642" t="s">
        <v>40</v>
      </c>
      <c r="Q200" s="643"/>
      <c r="R200" s="643"/>
      <c r="S200" s="643"/>
      <c r="T200" s="643"/>
      <c r="U200" s="643"/>
      <c r="V200" s="64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656" t="s">
        <v>353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651">
        <v>4680115889033</v>
      </c>
      <c r="E202" s="651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3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3"/>
      <c r="R202" s="653"/>
      <c r="S202" s="653"/>
      <c r="T202" s="654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645"/>
      <c r="B203" s="645"/>
      <c r="C203" s="645"/>
      <c r="D203" s="645"/>
      <c r="E203" s="645"/>
      <c r="F203" s="645"/>
      <c r="G203" s="645"/>
      <c r="H203" s="645"/>
      <c r="I203" s="645"/>
      <c r="J203" s="645"/>
      <c r="K203" s="645"/>
      <c r="L203" s="645"/>
      <c r="M203" s="645"/>
      <c r="N203" s="645"/>
      <c r="O203" s="646"/>
      <c r="P203" s="642" t="s">
        <v>40</v>
      </c>
      <c r="Q203" s="643"/>
      <c r="R203" s="643"/>
      <c r="S203" s="643"/>
      <c r="T203" s="643"/>
      <c r="U203" s="643"/>
      <c r="V203" s="64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645"/>
      <c r="B204" s="645"/>
      <c r="C204" s="645"/>
      <c r="D204" s="645"/>
      <c r="E204" s="645"/>
      <c r="F204" s="645"/>
      <c r="G204" s="645"/>
      <c r="H204" s="645"/>
      <c r="I204" s="645"/>
      <c r="J204" s="645"/>
      <c r="K204" s="645"/>
      <c r="L204" s="645"/>
      <c r="M204" s="645"/>
      <c r="N204" s="645"/>
      <c r="O204" s="646"/>
      <c r="P204" s="642" t="s">
        <v>40</v>
      </c>
      <c r="Q204" s="643"/>
      <c r="R204" s="643"/>
      <c r="S204" s="643"/>
      <c r="T204" s="643"/>
      <c r="U204" s="643"/>
      <c r="V204" s="64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662" t="s">
        <v>357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54"/>
      <c r="AB205" s="54"/>
      <c r="AC205" s="54"/>
    </row>
    <row r="206" spans="1:68" ht="16.5" hidden="1" customHeight="1" x14ac:dyDescent="0.25">
      <c r="A206" s="655" t="s">
        <v>358</v>
      </c>
      <c r="B206" s="655"/>
      <c r="C206" s="655"/>
      <c r="D206" s="655"/>
      <c r="E206" s="655"/>
      <c r="F206" s="655"/>
      <c r="G206" s="655"/>
      <c r="H206" s="655"/>
      <c r="I206" s="655"/>
      <c r="J206" s="655"/>
      <c r="K206" s="655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  <c r="AA206" s="65"/>
      <c r="AB206" s="65"/>
      <c r="AC206" s="79"/>
    </row>
    <row r="207" spans="1:68" ht="14.25" hidden="1" customHeight="1" x14ac:dyDescent="0.25">
      <c r="A207" s="656" t="s">
        <v>127</v>
      </c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6"/>
      <c r="P207" s="656"/>
      <c r="Q207" s="656"/>
      <c r="R207" s="656"/>
      <c r="S207" s="656"/>
      <c r="T207" s="656"/>
      <c r="U207" s="656"/>
      <c r="V207" s="656"/>
      <c r="W207" s="656"/>
      <c r="X207" s="656"/>
      <c r="Y207" s="656"/>
      <c r="Z207" s="656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651">
        <v>4607091383423</v>
      </c>
      <c r="E208" s="651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3"/>
      <c r="R208" s="653"/>
      <c r="S208" s="653"/>
      <c r="T208" s="65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651">
        <v>4680115888760</v>
      </c>
      <c r="E209" s="651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3"/>
      <c r="R209" s="653"/>
      <c r="S209" s="653"/>
      <c r="T209" s="65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651">
        <v>4680115888807</v>
      </c>
      <c r="E210" s="651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3"/>
      <c r="R210" s="653"/>
      <c r="S210" s="653"/>
      <c r="T210" s="65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651">
        <v>4680115888852</v>
      </c>
      <c r="E211" s="651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3"/>
      <c r="R211" s="653"/>
      <c r="S211" s="653"/>
      <c r="T211" s="65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651">
        <v>4680115886957</v>
      </c>
      <c r="E212" s="651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3"/>
      <c r="R212" s="653"/>
      <c r="S212" s="653"/>
      <c r="T212" s="65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651">
        <v>4680115885660</v>
      </c>
      <c r="E213" s="651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3"/>
      <c r="R213" s="653"/>
      <c r="S213" s="653"/>
      <c r="T213" s="65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651">
        <v>4680115886773</v>
      </c>
      <c r="E214" s="651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3"/>
      <c r="R214" s="653"/>
      <c r="S214" s="653"/>
      <c r="T214" s="65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645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42" t="s">
        <v>40</v>
      </c>
      <c r="Q215" s="643"/>
      <c r="R215" s="643"/>
      <c r="S215" s="643"/>
      <c r="T215" s="643"/>
      <c r="U215" s="643"/>
      <c r="V215" s="64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42" t="s">
        <v>40</v>
      </c>
      <c r="Q216" s="643"/>
      <c r="R216" s="643"/>
      <c r="S216" s="643"/>
      <c r="T216" s="643"/>
      <c r="U216" s="643"/>
      <c r="V216" s="64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655" t="s">
        <v>379</v>
      </c>
      <c r="B217" s="655"/>
      <c r="C217" s="655"/>
      <c r="D217" s="655"/>
      <c r="E217" s="655"/>
      <c r="F217" s="655"/>
      <c r="G217" s="655"/>
      <c r="H217" s="655"/>
      <c r="I217" s="655"/>
      <c r="J217" s="655"/>
      <c r="K217" s="655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  <c r="AA217" s="65"/>
      <c r="AB217" s="65"/>
      <c r="AC217" s="79"/>
    </row>
    <row r="218" spans="1:68" ht="14.25" hidden="1" customHeight="1" x14ac:dyDescent="0.25">
      <c r="A218" s="656" t="s">
        <v>163</v>
      </c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6"/>
      <c r="P218" s="656"/>
      <c r="Q218" s="656"/>
      <c r="R218" s="656"/>
      <c r="S218" s="656"/>
      <c r="T218" s="656"/>
      <c r="U218" s="656"/>
      <c r="V218" s="656"/>
      <c r="W218" s="656"/>
      <c r="X218" s="656"/>
      <c r="Y218" s="656"/>
      <c r="Z218" s="656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651">
        <v>4680115886223</v>
      </c>
      <c r="E219" s="651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3"/>
      <c r="R219" s="653"/>
      <c r="S219" s="653"/>
      <c r="T219" s="654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645"/>
      <c r="B220" s="645"/>
      <c r="C220" s="645"/>
      <c r="D220" s="645"/>
      <c r="E220" s="645"/>
      <c r="F220" s="645"/>
      <c r="G220" s="645"/>
      <c r="H220" s="645"/>
      <c r="I220" s="645"/>
      <c r="J220" s="645"/>
      <c r="K220" s="645"/>
      <c r="L220" s="645"/>
      <c r="M220" s="645"/>
      <c r="N220" s="645"/>
      <c r="O220" s="646"/>
      <c r="P220" s="642" t="s">
        <v>40</v>
      </c>
      <c r="Q220" s="643"/>
      <c r="R220" s="643"/>
      <c r="S220" s="643"/>
      <c r="T220" s="643"/>
      <c r="U220" s="643"/>
      <c r="V220" s="64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645"/>
      <c r="B221" s="645"/>
      <c r="C221" s="645"/>
      <c r="D221" s="645"/>
      <c r="E221" s="645"/>
      <c r="F221" s="645"/>
      <c r="G221" s="645"/>
      <c r="H221" s="645"/>
      <c r="I221" s="645"/>
      <c r="J221" s="645"/>
      <c r="K221" s="645"/>
      <c r="L221" s="645"/>
      <c r="M221" s="645"/>
      <c r="N221" s="645"/>
      <c r="O221" s="646"/>
      <c r="P221" s="642" t="s">
        <v>40</v>
      </c>
      <c r="Q221" s="643"/>
      <c r="R221" s="643"/>
      <c r="S221" s="643"/>
      <c r="T221" s="643"/>
      <c r="U221" s="643"/>
      <c r="V221" s="64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656" t="s">
        <v>76</v>
      </c>
      <c r="B222" s="656"/>
      <c r="C222" s="656"/>
      <c r="D222" s="656"/>
      <c r="E222" s="656"/>
      <c r="F222" s="656"/>
      <c r="G222" s="656"/>
      <c r="H222" s="656"/>
      <c r="I222" s="656"/>
      <c r="J222" s="656"/>
      <c r="K222" s="656"/>
      <c r="L222" s="656"/>
      <c r="M222" s="656"/>
      <c r="N222" s="656"/>
      <c r="O222" s="656"/>
      <c r="P222" s="656"/>
      <c r="Q222" s="656"/>
      <c r="R222" s="656"/>
      <c r="S222" s="656"/>
      <c r="T222" s="656"/>
      <c r="U222" s="656"/>
      <c r="V222" s="656"/>
      <c r="W222" s="656"/>
      <c r="X222" s="656"/>
      <c r="Y222" s="656"/>
      <c r="Z222" s="656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651">
        <v>4680115880993</v>
      </c>
      <c r="E223" s="651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3"/>
      <c r="R223" s="653"/>
      <c r="S223" s="653"/>
      <c r="T223" s="65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651">
        <v>4680115881761</v>
      </c>
      <c r="E224" s="651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3"/>
      <c r="R224" s="653"/>
      <c r="S224" s="653"/>
      <c r="T224" s="65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651">
        <v>4680115881563</v>
      </c>
      <c r="E225" s="651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3"/>
      <c r="R225" s="653"/>
      <c r="S225" s="653"/>
      <c r="T225" s="65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651">
        <v>4680115887565</v>
      </c>
      <c r="E226" s="651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3"/>
      <c r="R226" s="653"/>
      <c r="S226" s="653"/>
      <c r="T226" s="65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651">
        <v>4680115880986</v>
      </c>
      <c r="E227" s="651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3"/>
      <c r="R227" s="653"/>
      <c r="S227" s="653"/>
      <c r="T227" s="65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651">
        <v>4680115887213</v>
      </c>
      <c r="E228" s="651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3"/>
      <c r="R228" s="653"/>
      <c r="S228" s="653"/>
      <c r="T228" s="65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651">
        <v>4680115881785</v>
      </c>
      <c r="E229" s="651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3"/>
      <c r="R229" s="653"/>
      <c r="S229" s="653"/>
      <c r="T229" s="65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651">
        <v>4680115888432</v>
      </c>
      <c r="E230" s="651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3"/>
      <c r="R230" s="653"/>
      <c r="S230" s="653"/>
      <c r="T230" s="65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651">
        <v>4680115888104</v>
      </c>
      <c r="E231" s="651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1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3"/>
      <c r="R231" s="653"/>
      <c r="S231" s="653"/>
      <c r="T231" s="65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651">
        <v>4680115886537</v>
      </c>
      <c r="E232" s="651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1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3"/>
      <c r="R232" s="653"/>
      <c r="S232" s="653"/>
      <c r="T232" s="65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651">
        <v>4680115887596</v>
      </c>
      <c r="E233" s="651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3"/>
      <c r="R233" s="653"/>
      <c r="S233" s="653"/>
      <c r="T233" s="65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651">
        <v>4680115881679</v>
      </c>
      <c r="E234" s="651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1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3"/>
      <c r="R234" s="653"/>
      <c r="S234" s="653"/>
      <c r="T234" s="654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651">
        <v>4680115880191</v>
      </c>
      <c r="E235" s="651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3"/>
      <c r="R235" s="653"/>
      <c r="S235" s="653"/>
      <c r="T235" s="65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651">
        <v>4680115883963</v>
      </c>
      <c r="E236" s="651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3"/>
      <c r="R236" s="653"/>
      <c r="S236" s="653"/>
      <c r="T236" s="65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645"/>
      <c r="B237" s="645"/>
      <c r="C237" s="645"/>
      <c r="D237" s="645"/>
      <c r="E237" s="645"/>
      <c r="F237" s="645"/>
      <c r="G237" s="645"/>
      <c r="H237" s="645"/>
      <c r="I237" s="645"/>
      <c r="J237" s="645"/>
      <c r="K237" s="645"/>
      <c r="L237" s="645"/>
      <c r="M237" s="645"/>
      <c r="N237" s="645"/>
      <c r="O237" s="646"/>
      <c r="P237" s="642" t="s">
        <v>40</v>
      </c>
      <c r="Q237" s="643"/>
      <c r="R237" s="643"/>
      <c r="S237" s="643"/>
      <c r="T237" s="643"/>
      <c r="U237" s="643"/>
      <c r="V237" s="64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645"/>
      <c r="B238" s="645"/>
      <c r="C238" s="645"/>
      <c r="D238" s="645"/>
      <c r="E238" s="645"/>
      <c r="F238" s="645"/>
      <c r="G238" s="645"/>
      <c r="H238" s="645"/>
      <c r="I238" s="645"/>
      <c r="J238" s="645"/>
      <c r="K238" s="645"/>
      <c r="L238" s="645"/>
      <c r="M238" s="645"/>
      <c r="N238" s="645"/>
      <c r="O238" s="646"/>
      <c r="P238" s="642" t="s">
        <v>40</v>
      </c>
      <c r="Q238" s="643"/>
      <c r="R238" s="643"/>
      <c r="S238" s="643"/>
      <c r="T238" s="643"/>
      <c r="U238" s="643"/>
      <c r="V238" s="644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656" t="s">
        <v>85</v>
      </c>
      <c r="B239" s="656"/>
      <c r="C239" s="656"/>
      <c r="D239" s="656"/>
      <c r="E239" s="656"/>
      <c r="F239" s="656"/>
      <c r="G239" s="656"/>
      <c r="H239" s="656"/>
      <c r="I239" s="656"/>
      <c r="J239" s="656"/>
      <c r="K239" s="656"/>
      <c r="L239" s="656"/>
      <c r="M239" s="656"/>
      <c r="N239" s="656"/>
      <c r="O239" s="656"/>
      <c r="P239" s="656"/>
      <c r="Q239" s="656"/>
      <c r="R239" s="656"/>
      <c r="S239" s="656"/>
      <c r="T239" s="656"/>
      <c r="U239" s="656"/>
      <c r="V239" s="656"/>
      <c r="W239" s="656"/>
      <c r="X239" s="656"/>
      <c r="Y239" s="656"/>
      <c r="Z239" s="656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651">
        <v>4680115888692</v>
      </c>
      <c r="E240" s="651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1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651">
        <v>4680115888722</v>
      </c>
      <c r="E241" s="651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1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651">
        <v>4680115888951</v>
      </c>
      <c r="E242" s="651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3"/>
      <c r="R242" s="653"/>
      <c r="S242" s="653"/>
      <c r="T242" s="654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651">
        <v>4680115888975</v>
      </c>
      <c r="E243" s="651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3"/>
      <c r="R243" s="653"/>
      <c r="S243" s="653"/>
      <c r="T243" s="654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651">
        <v>4680115888982</v>
      </c>
      <c r="E244" s="65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1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3"/>
      <c r="R244" s="653"/>
      <c r="S244" s="653"/>
      <c r="T244" s="65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45"/>
      <c r="B245" s="645"/>
      <c r="C245" s="645"/>
      <c r="D245" s="645"/>
      <c r="E245" s="645"/>
      <c r="F245" s="645"/>
      <c r="G245" s="645"/>
      <c r="H245" s="645"/>
      <c r="I245" s="645"/>
      <c r="J245" s="645"/>
      <c r="K245" s="645"/>
      <c r="L245" s="645"/>
      <c r="M245" s="645"/>
      <c r="N245" s="645"/>
      <c r="O245" s="646"/>
      <c r="P245" s="642" t="s">
        <v>40</v>
      </c>
      <c r="Q245" s="643"/>
      <c r="R245" s="643"/>
      <c r="S245" s="643"/>
      <c r="T245" s="643"/>
      <c r="U245" s="643"/>
      <c r="V245" s="64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645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42" t="s">
        <v>40</v>
      </c>
      <c r="Q246" s="643"/>
      <c r="R246" s="643"/>
      <c r="S246" s="643"/>
      <c r="T246" s="643"/>
      <c r="U246" s="643"/>
      <c r="V246" s="64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656" t="s">
        <v>103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651">
        <v>4680115886780</v>
      </c>
      <c r="E248" s="65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3"/>
      <c r="R248" s="653"/>
      <c r="S248" s="653"/>
      <c r="T248" s="65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651">
        <v>4680115886742</v>
      </c>
      <c r="E249" s="65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3"/>
      <c r="R249" s="653"/>
      <c r="S249" s="653"/>
      <c r="T249" s="65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651">
        <v>4680115886766</v>
      </c>
      <c r="E250" s="65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3"/>
      <c r="R250" s="653"/>
      <c r="S250" s="653"/>
      <c r="T250" s="65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42" t="s">
        <v>40</v>
      </c>
      <c r="Q251" s="643"/>
      <c r="R251" s="643"/>
      <c r="S251" s="643"/>
      <c r="T251" s="643"/>
      <c r="U251" s="643"/>
      <c r="V251" s="64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645"/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6"/>
      <c r="P252" s="642" t="s">
        <v>40</v>
      </c>
      <c r="Q252" s="643"/>
      <c r="R252" s="643"/>
      <c r="S252" s="643"/>
      <c r="T252" s="643"/>
      <c r="U252" s="643"/>
      <c r="V252" s="64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56" t="s">
        <v>443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651">
        <v>4680115886797</v>
      </c>
      <c r="E254" s="65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3"/>
      <c r="R254" s="653"/>
      <c r="S254" s="653"/>
      <c r="T254" s="65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45"/>
      <c r="B255" s="645"/>
      <c r="C255" s="645"/>
      <c r="D255" s="645"/>
      <c r="E255" s="645"/>
      <c r="F255" s="645"/>
      <c r="G255" s="645"/>
      <c r="H255" s="645"/>
      <c r="I255" s="645"/>
      <c r="J255" s="645"/>
      <c r="K255" s="645"/>
      <c r="L255" s="645"/>
      <c r="M255" s="645"/>
      <c r="N255" s="645"/>
      <c r="O255" s="646"/>
      <c r="P255" s="642" t="s">
        <v>40</v>
      </c>
      <c r="Q255" s="643"/>
      <c r="R255" s="643"/>
      <c r="S255" s="643"/>
      <c r="T255" s="643"/>
      <c r="U255" s="643"/>
      <c r="V255" s="64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645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42" t="s">
        <v>40</v>
      </c>
      <c r="Q256" s="643"/>
      <c r="R256" s="643"/>
      <c r="S256" s="643"/>
      <c r="T256" s="643"/>
      <c r="U256" s="643"/>
      <c r="V256" s="64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655" t="s">
        <v>446</v>
      </c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  <c r="AA257" s="65"/>
      <c r="AB257" s="65"/>
      <c r="AC257" s="79"/>
    </row>
    <row r="258" spans="1:68" ht="14.25" hidden="1" customHeight="1" x14ac:dyDescent="0.25">
      <c r="A258" s="656" t="s">
        <v>127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651">
        <v>4680115881402</v>
      </c>
      <c r="E259" s="65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3"/>
      <c r="R259" s="653"/>
      <c r="S259" s="653"/>
      <c r="T259" s="65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651">
        <v>4680115881396</v>
      </c>
      <c r="E260" s="65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3"/>
      <c r="R260" s="653"/>
      <c r="S260" s="653"/>
      <c r="T260" s="65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5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42" t="s">
        <v>40</v>
      </c>
      <c r="Q261" s="643"/>
      <c r="R261" s="643"/>
      <c r="S261" s="643"/>
      <c r="T261" s="643"/>
      <c r="U261" s="643"/>
      <c r="V261" s="64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42" t="s">
        <v>40</v>
      </c>
      <c r="Q262" s="643"/>
      <c r="R262" s="643"/>
      <c r="S262" s="643"/>
      <c r="T262" s="643"/>
      <c r="U262" s="643"/>
      <c r="V262" s="64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6" t="s">
        <v>163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651">
        <v>4680115882935</v>
      </c>
      <c r="E264" s="65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3"/>
      <c r="R264" s="653"/>
      <c r="S264" s="653"/>
      <c r="T264" s="65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651">
        <v>4680115880764</v>
      </c>
      <c r="E265" s="65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3"/>
      <c r="R265" s="653"/>
      <c r="S265" s="653"/>
      <c r="T265" s="65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45"/>
      <c r="B266" s="645"/>
      <c r="C266" s="645"/>
      <c r="D266" s="645"/>
      <c r="E266" s="645"/>
      <c r="F266" s="645"/>
      <c r="G266" s="645"/>
      <c r="H266" s="645"/>
      <c r="I266" s="645"/>
      <c r="J266" s="645"/>
      <c r="K266" s="645"/>
      <c r="L266" s="645"/>
      <c r="M266" s="645"/>
      <c r="N266" s="645"/>
      <c r="O266" s="646"/>
      <c r="P266" s="642" t="s">
        <v>40</v>
      </c>
      <c r="Q266" s="643"/>
      <c r="R266" s="643"/>
      <c r="S266" s="643"/>
      <c r="T266" s="643"/>
      <c r="U266" s="643"/>
      <c r="V266" s="64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45"/>
      <c r="B267" s="645"/>
      <c r="C267" s="645"/>
      <c r="D267" s="645"/>
      <c r="E267" s="645"/>
      <c r="F267" s="645"/>
      <c r="G267" s="645"/>
      <c r="H267" s="645"/>
      <c r="I267" s="645"/>
      <c r="J267" s="645"/>
      <c r="K267" s="645"/>
      <c r="L267" s="645"/>
      <c r="M267" s="645"/>
      <c r="N267" s="645"/>
      <c r="O267" s="646"/>
      <c r="P267" s="642" t="s">
        <v>40</v>
      </c>
      <c r="Q267" s="643"/>
      <c r="R267" s="643"/>
      <c r="S267" s="643"/>
      <c r="T267" s="643"/>
      <c r="U267" s="643"/>
      <c r="V267" s="64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56" t="s">
        <v>76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651">
        <v>4680115882683</v>
      </c>
      <c r="E269" s="65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7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3"/>
      <c r="R269" s="653"/>
      <c r="S269" s="653"/>
      <c r="T269" s="65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651">
        <v>4680115882690</v>
      </c>
      <c r="E270" s="65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3"/>
      <c r="R270" s="653"/>
      <c r="S270" s="653"/>
      <c r="T270" s="65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651">
        <v>4680115882669</v>
      </c>
      <c r="E271" s="65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3"/>
      <c r="R271" s="653"/>
      <c r="S271" s="653"/>
      <c r="T271" s="65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651">
        <v>4680115882676</v>
      </c>
      <c r="E272" s="65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3"/>
      <c r="R272" s="653"/>
      <c r="S272" s="653"/>
      <c r="T272" s="65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651">
        <v>4680115884014</v>
      </c>
      <c r="E273" s="65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79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3"/>
      <c r="R273" s="653"/>
      <c r="S273" s="653"/>
      <c r="T273" s="65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651">
        <v>4680115884007</v>
      </c>
      <c r="E274" s="65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3"/>
      <c r="R274" s="653"/>
      <c r="S274" s="653"/>
      <c r="T274" s="65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651">
        <v>4680115884038</v>
      </c>
      <c r="E275" s="65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3"/>
      <c r="R275" s="653"/>
      <c r="S275" s="653"/>
      <c r="T275" s="65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651">
        <v>4680115884021</v>
      </c>
      <c r="E276" s="65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3"/>
      <c r="R276" s="653"/>
      <c r="S276" s="653"/>
      <c r="T276" s="65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645"/>
      <c r="B277" s="645"/>
      <c r="C277" s="645"/>
      <c r="D277" s="645"/>
      <c r="E277" s="645"/>
      <c r="F277" s="645"/>
      <c r="G277" s="645"/>
      <c r="H277" s="645"/>
      <c r="I277" s="645"/>
      <c r="J277" s="645"/>
      <c r="K277" s="645"/>
      <c r="L277" s="645"/>
      <c r="M277" s="645"/>
      <c r="N277" s="645"/>
      <c r="O277" s="646"/>
      <c r="P277" s="642" t="s">
        <v>40</v>
      </c>
      <c r="Q277" s="643"/>
      <c r="R277" s="643"/>
      <c r="S277" s="643"/>
      <c r="T277" s="643"/>
      <c r="U277" s="643"/>
      <c r="V277" s="64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645"/>
      <c r="B278" s="645"/>
      <c r="C278" s="645"/>
      <c r="D278" s="645"/>
      <c r="E278" s="645"/>
      <c r="F278" s="645"/>
      <c r="G278" s="645"/>
      <c r="H278" s="645"/>
      <c r="I278" s="645"/>
      <c r="J278" s="645"/>
      <c r="K278" s="645"/>
      <c r="L278" s="645"/>
      <c r="M278" s="645"/>
      <c r="N278" s="645"/>
      <c r="O278" s="646"/>
      <c r="P278" s="642" t="s">
        <v>40</v>
      </c>
      <c r="Q278" s="643"/>
      <c r="R278" s="643"/>
      <c r="S278" s="643"/>
      <c r="T278" s="643"/>
      <c r="U278" s="643"/>
      <c r="V278" s="644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656" t="s">
        <v>85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651">
        <v>4680115881594</v>
      </c>
      <c r="E280" s="65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7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3"/>
      <c r="R280" s="653"/>
      <c r="S280" s="653"/>
      <c r="T280" s="65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651">
        <v>4680115881617</v>
      </c>
      <c r="E281" s="65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7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3"/>
      <c r="R281" s="653"/>
      <c r="S281" s="653"/>
      <c r="T281" s="65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651">
        <v>4680115880573</v>
      </c>
      <c r="E282" s="65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7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3"/>
      <c r="R282" s="653"/>
      <c r="S282" s="653"/>
      <c r="T282" s="65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651">
        <v>4680115882195</v>
      </c>
      <c r="E283" s="65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78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3"/>
      <c r="R283" s="653"/>
      <c r="S283" s="653"/>
      <c r="T283" s="65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651">
        <v>4680115882607</v>
      </c>
      <c r="E284" s="65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78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3"/>
      <c r="R284" s="653"/>
      <c r="S284" s="653"/>
      <c r="T284" s="65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651">
        <v>4680115882607</v>
      </c>
      <c r="E285" s="65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3"/>
      <c r="R285" s="653"/>
      <c r="S285" s="653"/>
      <c r="T285" s="65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651">
        <v>4680115880092</v>
      </c>
      <c r="E286" s="65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7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3"/>
      <c r="R286" s="653"/>
      <c r="S286" s="653"/>
      <c r="T286" s="65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651">
        <v>4680115889064</v>
      </c>
      <c r="E287" s="65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79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3"/>
      <c r="R287" s="653"/>
      <c r="S287" s="653"/>
      <c r="T287" s="65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651">
        <v>4680115880221</v>
      </c>
      <c r="E288" s="65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7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3"/>
      <c r="R288" s="653"/>
      <c r="S288" s="653"/>
      <c r="T288" s="65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651">
        <v>4680115880504</v>
      </c>
      <c r="E289" s="65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3"/>
      <c r="R289" s="653"/>
      <c r="S289" s="653"/>
      <c r="T289" s="65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651">
        <v>4680115882164</v>
      </c>
      <c r="E290" s="65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7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3"/>
      <c r="R290" s="653"/>
      <c r="S290" s="653"/>
      <c r="T290" s="65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651">
        <v>4680115888340</v>
      </c>
      <c r="E291" s="65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7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3"/>
      <c r="R291" s="653"/>
      <c r="S291" s="653"/>
      <c r="T291" s="65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42" t="s">
        <v>40</v>
      </c>
      <c r="Q292" s="643"/>
      <c r="R292" s="643"/>
      <c r="S292" s="643"/>
      <c r="T292" s="643"/>
      <c r="U292" s="643"/>
      <c r="V292" s="64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645"/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6"/>
      <c r="P293" s="642" t="s">
        <v>40</v>
      </c>
      <c r="Q293" s="643"/>
      <c r="R293" s="643"/>
      <c r="S293" s="643"/>
      <c r="T293" s="643"/>
      <c r="U293" s="643"/>
      <c r="V293" s="644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656" t="s">
        <v>180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651">
        <v>4680115880818</v>
      </c>
      <c r="E295" s="65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7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3"/>
      <c r="R295" s="653"/>
      <c r="S295" s="653"/>
      <c r="T295" s="65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651">
        <v>4680115880801</v>
      </c>
      <c r="E296" s="65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7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3"/>
      <c r="R296" s="653"/>
      <c r="S296" s="653"/>
      <c r="T296" s="65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645"/>
      <c r="B297" s="645"/>
      <c r="C297" s="645"/>
      <c r="D297" s="645"/>
      <c r="E297" s="645"/>
      <c r="F297" s="645"/>
      <c r="G297" s="645"/>
      <c r="H297" s="645"/>
      <c r="I297" s="645"/>
      <c r="J297" s="645"/>
      <c r="K297" s="645"/>
      <c r="L297" s="645"/>
      <c r="M297" s="645"/>
      <c r="N297" s="645"/>
      <c r="O297" s="646"/>
      <c r="P297" s="642" t="s">
        <v>40</v>
      </c>
      <c r="Q297" s="643"/>
      <c r="R297" s="643"/>
      <c r="S297" s="643"/>
      <c r="T297" s="643"/>
      <c r="U297" s="643"/>
      <c r="V297" s="64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645"/>
      <c r="B298" s="645"/>
      <c r="C298" s="645"/>
      <c r="D298" s="645"/>
      <c r="E298" s="645"/>
      <c r="F298" s="645"/>
      <c r="G298" s="645"/>
      <c r="H298" s="645"/>
      <c r="I298" s="645"/>
      <c r="J298" s="645"/>
      <c r="K298" s="645"/>
      <c r="L298" s="645"/>
      <c r="M298" s="645"/>
      <c r="N298" s="645"/>
      <c r="O298" s="646"/>
      <c r="P298" s="642" t="s">
        <v>40</v>
      </c>
      <c r="Q298" s="643"/>
      <c r="R298" s="643"/>
      <c r="S298" s="643"/>
      <c r="T298" s="643"/>
      <c r="U298" s="643"/>
      <c r="V298" s="64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655" t="s">
        <v>514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5"/>
      <c r="AB299" s="65"/>
      <c r="AC299" s="79"/>
    </row>
    <row r="300" spans="1:68" ht="14.25" hidden="1" customHeight="1" x14ac:dyDescent="0.25">
      <c r="A300" s="656" t="s">
        <v>127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651">
        <v>4680115884137</v>
      </c>
      <c r="E301" s="65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77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3"/>
      <c r="R301" s="653"/>
      <c r="S301" s="653"/>
      <c r="T301" s="65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651">
        <v>4680115884236</v>
      </c>
      <c r="E302" s="65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77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3"/>
      <c r="R302" s="653"/>
      <c r="S302" s="653"/>
      <c r="T302" s="65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651">
        <v>4680115884175</v>
      </c>
      <c r="E303" s="65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3"/>
      <c r="R303" s="653"/>
      <c r="S303" s="653"/>
      <c r="T303" s="65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651">
        <v>4680115884144</v>
      </c>
      <c r="E304" s="65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3"/>
      <c r="R304" s="653"/>
      <c r="S304" s="653"/>
      <c r="T304" s="65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651">
        <v>4680115886551</v>
      </c>
      <c r="E305" s="65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7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3"/>
      <c r="R305" s="653"/>
      <c r="S305" s="653"/>
      <c r="T305" s="65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651">
        <v>4680115887282</v>
      </c>
      <c r="E306" s="65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7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3"/>
      <c r="R306" s="653"/>
      <c r="S306" s="653"/>
      <c r="T306" s="65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651">
        <v>4680115884205</v>
      </c>
      <c r="E307" s="65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7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3"/>
      <c r="R307" s="653"/>
      <c r="S307" s="653"/>
      <c r="T307" s="65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645"/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6"/>
      <c r="P308" s="642" t="s">
        <v>40</v>
      </c>
      <c r="Q308" s="643"/>
      <c r="R308" s="643"/>
      <c r="S308" s="643"/>
      <c r="T308" s="643"/>
      <c r="U308" s="643"/>
      <c r="V308" s="64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645"/>
      <c r="B309" s="645"/>
      <c r="C309" s="645"/>
      <c r="D309" s="645"/>
      <c r="E309" s="645"/>
      <c r="F309" s="645"/>
      <c r="G309" s="645"/>
      <c r="H309" s="645"/>
      <c r="I309" s="645"/>
      <c r="J309" s="645"/>
      <c r="K309" s="645"/>
      <c r="L309" s="645"/>
      <c r="M309" s="645"/>
      <c r="N309" s="645"/>
      <c r="O309" s="646"/>
      <c r="P309" s="642" t="s">
        <v>40</v>
      </c>
      <c r="Q309" s="643"/>
      <c r="R309" s="643"/>
      <c r="S309" s="643"/>
      <c r="T309" s="643"/>
      <c r="U309" s="643"/>
      <c r="V309" s="64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6" t="s">
        <v>163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651">
        <v>4680115885981</v>
      </c>
      <c r="E311" s="65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7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3"/>
      <c r="R311" s="653"/>
      <c r="S311" s="653"/>
      <c r="T311" s="65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5"/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6"/>
      <c r="P312" s="642" t="s">
        <v>40</v>
      </c>
      <c r="Q312" s="643"/>
      <c r="R312" s="643"/>
      <c r="S312" s="643"/>
      <c r="T312" s="643"/>
      <c r="U312" s="643"/>
      <c r="V312" s="64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5"/>
      <c r="B313" s="645"/>
      <c r="C313" s="645"/>
      <c r="D313" s="645"/>
      <c r="E313" s="645"/>
      <c r="F313" s="645"/>
      <c r="G313" s="645"/>
      <c r="H313" s="645"/>
      <c r="I313" s="645"/>
      <c r="J313" s="645"/>
      <c r="K313" s="645"/>
      <c r="L313" s="645"/>
      <c r="M313" s="645"/>
      <c r="N313" s="645"/>
      <c r="O313" s="646"/>
      <c r="P313" s="642" t="s">
        <v>40</v>
      </c>
      <c r="Q313" s="643"/>
      <c r="R313" s="643"/>
      <c r="S313" s="643"/>
      <c r="T313" s="643"/>
      <c r="U313" s="643"/>
      <c r="V313" s="64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6" t="s">
        <v>536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651">
        <v>4680115886803</v>
      </c>
      <c r="E315" s="65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7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3"/>
      <c r="R315" s="653"/>
      <c r="S315" s="653"/>
      <c r="T315" s="65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45"/>
      <c r="B316" s="645"/>
      <c r="C316" s="645"/>
      <c r="D316" s="645"/>
      <c r="E316" s="645"/>
      <c r="F316" s="645"/>
      <c r="G316" s="645"/>
      <c r="H316" s="645"/>
      <c r="I316" s="645"/>
      <c r="J316" s="645"/>
      <c r="K316" s="645"/>
      <c r="L316" s="645"/>
      <c r="M316" s="645"/>
      <c r="N316" s="645"/>
      <c r="O316" s="646"/>
      <c r="P316" s="642" t="s">
        <v>40</v>
      </c>
      <c r="Q316" s="643"/>
      <c r="R316" s="643"/>
      <c r="S316" s="643"/>
      <c r="T316" s="643"/>
      <c r="U316" s="643"/>
      <c r="V316" s="64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45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42" t="s">
        <v>40</v>
      </c>
      <c r="Q317" s="643"/>
      <c r="R317" s="643"/>
      <c r="S317" s="643"/>
      <c r="T317" s="643"/>
      <c r="U317" s="643"/>
      <c r="V317" s="64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56" t="s">
        <v>353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651">
        <v>4680115886704</v>
      </c>
      <c r="E319" s="65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76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3"/>
      <c r="R319" s="653"/>
      <c r="S319" s="653"/>
      <c r="T319" s="65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651">
        <v>4680115886681</v>
      </c>
      <c r="E320" s="65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76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3"/>
      <c r="R320" s="653"/>
      <c r="S320" s="653"/>
      <c r="T320" s="65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651">
        <v>4680115886735</v>
      </c>
      <c r="E321" s="65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77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3"/>
      <c r="R321" s="653"/>
      <c r="S321" s="653"/>
      <c r="T321" s="65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45"/>
      <c r="B322" s="645"/>
      <c r="C322" s="645"/>
      <c r="D322" s="645"/>
      <c r="E322" s="645"/>
      <c r="F322" s="645"/>
      <c r="G322" s="645"/>
      <c r="H322" s="645"/>
      <c r="I322" s="645"/>
      <c r="J322" s="645"/>
      <c r="K322" s="645"/>
      <c r="L322" s="645"/>
      <c r="M322" s="645"/>
      <c r="N322" s="645"/>
      <c r="O322" s="646"/>
      <c r="P322" s="642" t="s">
        <v>40</v>
      </c>
      <c r="Q322" s="643"/>
      <c r="R322" s="643"/>
      <c r="S322" s="643"/>
      <c r="T322" s="643"/>
      <c r="U322" s="643"/>
      <c r="V322" s="64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645"/>
      <c r="B323" s="645"/>
      <c r="C323" s="645"/>
      <c r="D323" s="645"/>
      <c r="E323" s="645"/>
      <c r="F323" s="645"/>
      <c r="G323" s="645"/>
      <c r="H323" s="645"/>
      <c r="I323" s="645"/>
      <c r="J323" s="645"/>
      <c r="K323" s="645"/>
      <c r="L323" s="645"/>
      <c r="M323" s="645"/>
      <c r="N323" s="645"/>
      <c r="O323" s="646"/>
      <c r="P323" s="642" t="s">
        <v>40</v>
      </c>
      <c r="Q323" s="643"/>
      <c r="R323" s="643"/>
      <c r="S323" s="643"/>
      <c r="T323" s="643"/>
      <c r="U323" s="643"/>
      <c r="V323" s="64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55" t="s">
        <v>547</v>
      </c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5"/>
      <c r="AB324" s="65"/>
      <c r="AC324" s="79"/>
    </row>
    <row r="325" spans="1:68" ht="14.25" hidden="1" customHeight="1" x14ac:dyDescent="0.25">
      <c r="A325" s="656" t="s">
        <v>127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651">
        <v>4680115885837</v>
      </c>
      <c r="E326" s="65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7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3"/>
      <c r="R326" s="653"/>
      <c r="S326" s="653"/>
      <c r="T326" s="65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651">
        <v>4680115887237</v>
      </c>
      <c r="E327" s="65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7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3"/>
      <c r="R327" s="653"/>
      <c r="S327" s="653"/>
      <c r="T327" s="65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651">
        <v>4680115885806</v>
      </c>
      <c r="E328" s="65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3"/>
      <c r="R328" s="653"/>
      <c r="S328" s="653"/>
      <c r="T328" s="65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651">
        <v>4680115885844</v>
      </c>
      <c r="E329" s="65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3"/>
      <c r="R329" s="653"/>
      <c r="S329" s="653"/>
      <c r="T329" s="65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651">
        <v>4680115885820</v>
      </c>
      <c r="E330" s="65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7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3"/>
      <c r="R330" s="653"/>
      <c r="S330" s="653"/>
      <c r="T330" s="65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645"/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6"/>
      <c r="P331" s="642" t="s">
        <v>40</v>
      </c>
      <c r="Q331" s="643"/>
      <c r="R331" s="643"/>
      <c r="S331" s="643"/>
      <c r="T331" s="643"/>
      <c r="U331" s="643"/>
      <c r="V331" s="64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645"/>
      <c r="B332" s="645"/>
      <c r="C332" s="645"/>
      <c r="D332" s="645"/>
      <c r="E332" s="645"/>
      <c r="F332" s="645"/>
      <c r="G332" s="645"/>
      <c r="H332" s="645"/>
      <c r="I332" s="645"/>
      <c r="J332" s="645"/>
      <c r="K332" s="645"/>
      <c r="L332" s="645"/>
      <c r="M332" s="645"/>
      <c r="N332" s="645"/>
      <c r="O332" s="646"/>
      <c r="P332" s="642" t="s">
        <v>40</v>
      </c>
      <c r="Q332" s="643"/>
      <c r="R332" s="643"/>
      <c r="S332" s="643"/>
      <c r="T332" s="643"/>
      <c r="U332" s="643"/>
      <c r="V332" s="64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655" t="s">
        <v>563</v>
      </c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  <c r="AA333" s="65"/>
      <c r="AB333" s="65"/>
      <c r="AC333" s="79"/>
    </row>
    <row r="334" spans="1:68" ht="14.25" hidden="1" customHeight="1" x14ac:dyDescent="0.25">
      <c r="A334" s="656" t="s">
        <v>85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651">
        <v>4680115886186</v>
      </c>
      <c r="E335" s="65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3"/>
      <c r="R335" s="653"/>
      <c r="S335" s="653"/>
      <c r="T335" s="65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651">
        <v>4680115881228</v>
      </c>
      <c r="E336" s="65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3"/>
      <c r="R336" s="653"/>
      <c r="S336" s="653"/>
      <c r="T336" s="65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651">
        <v>4680115881211</v>
      </c>
      <c r="E337" s="65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3"/>
      <c r="R337" s="653"/>
      <c r="S337" s="653"/>
      <c r="T337" s="65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45"/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6"/>
      <c r="P338" s="642" t="s">
        <v>40</v>
      </c>
      <c r="Q338" s="643"/>
      <c r="R338" s="643"/>
      <c r="S338" s="643"/>
      <c r="T338" s="643"/>
      <c r="U338" s="643"/>
      <c r="V338" s="64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45"/>
      <c r="B339" s="645"/>
      <c r="C339" s="645"/>
      <c r="D339" s="645"/>
      <c r="E339" s="645"/>
      <c r="F339" s="645"/>
      <c r="G339" s="645"/>
      <c r="H339" s="645"/>
      <c r="I339" s="645"/>
      <c r="J339" s="645"/>
      <c r="K339" s="645"/>
      <c r="L339" s="645"/>
      <c r="M339" s="645"/>
      <c r="N339" s="645"/>
      <c r="O339" s="646"/>
      <c r="P339" s="642" t="s">
        <v>40</v>
      </c>
      <c r="Q339" s="643"/>
      <c r="R339" s="643"/>
      <c r="S339" s="643"/>
      <c r="T339" s="643"/>
      <c r="U339" s="643"/>
      <c r="V339" s="64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55" t="s">
        <v>572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"/>
      <c r="AB340" s="65"/>
      <c r="AC340" s="79"/>
    </row>
    <row r="341" spans="1:68" ht="14.25" hidden="1" customHeight="1" x14ac:dyDescent="0.25">
      <c r="A341" s="656" t="s">
        <v>76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651">
        <v>4680115888319</v>
      </c>
      <c r="E342" s="65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75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3"/>
      <c r="R342" s="653"/>
      <c r="S342" s="653"/>
      <c r="T342" s="65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651">
        <v>4680115884700</v>
      </c>
      <c r="E343" s="65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75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3"/>
      <c r="R343" s="653"/>
      <c r="S343" s="653"/>
      <c r="T343" s="65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651">
        <v>4680115880344</v>
      </c>
      <c r="E344" s="65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3"/>
      <c r="R344" s="653"/>
      <c r="S344" s="653"/>
      <c r="T344" s="65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651">
        <v>4680115886919</v>
      </c>
      <c r="E345" s="65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7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3"/>
      <c r="R345" s="653"/>
      <c r="S345" s="653"/>
      <c r="T345" s="65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651">
        <v>4680115883970</v>
      </c>
      <c r="E346" s="65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3"/>
      <c r="R346" s="653"/>
      <c r="S346" s="653"/>
      <c r="T346" s="65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45"/>
      <c r="B347" s="645"/>
      <c r="C347" s="645"/>
      <c r="D347" s="645"/>
      <c r="E347" s="645"/>
      <c r="F347" s="645"/>
      <c r="G347" s="645"/>
      <c r="H347" s="645"/>
      <c r="I347" s="645"/>
      <c r="J347" s="645"/>
      <c r="K347" s="645"/>
      <c r="L347" s="645"/>
      <c r="M347" s="645"/>
      <c r="N347" s="645"/>
      <c r="O347" s="646"/>
      <c r="P347" s="642" t="s">
        <v>40</v>
      </c>
      <c r="Q347" s="643"/>
      <c r="R347" s="643"/>
      <c r="S347" s="643"/>
      <c r="T347" s="643"/>
      <c r="U347" s="643"/>
      <c r="V347" s="64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45"/>
      <c r="B348" s="645"/>
      <c r="C348" s="645"/>
      <c r="D348" s="645"/>
      <c r="E348" s="645"/>
      <c r="F348" s="645"/>
      <c r="G348" s="645"/>
      <c r="H348" s="645"/>
      <c r="I348" s="645"/>
      <c r="J348" s="645"/>
      <c r="K348" s="645"/>
      <c r="L348" s="645"/>
      <c r="M348" s="645"/>
      <c r="N348" s="645"/>
      <c r="O348" s="646"/>
      <c r="P348" s="642" t="s">
        <v>40</v>
      </c>
      <c r="Q348" s="643"/>
      <c r="R348" s="643"/>
      <c r="S348" s="643"/>
      <c r="T348" s="643"/>
      <c r="U348" s="643"/>
      <c r="V348" s="64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56" t="s">
        <v>85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651">
        <v>4680115884618</v>
      </c>
      <c r="E350" s="65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3"/>
      <c r="R350" s="653"/>
      <c r="S350" s="653"/>
      <c r="T350" s="65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651">
        <v>4680115887114</v>
      </c>
      <c r="E351" s="65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7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3"/>
      <c r="R351" s="653"/>
      <c r="S351" s="653"/>
      <c r="T351" s="65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45"/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6"/>
      <c r="P352" s="642" t="s">
        <v>40</v>
      </c>
      <c r="Q352" s="643"/>
      <c r="R352" s="643"/>
      <c r="S352" s="643"/>
      <c r="T352" s="643"/>
      <c r="U352" s="643"/>
      <c r="V352" s="64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45"/>
      <c r="B353" s="645"/>
      <c r="C353" s="645"/>
      <c r="D353" s="645"/>
      <c r="E353" s="645"/>
      <c r="F353" s="645"/>
      <c r="G353" s="645"/>
      <c r="H353" s="645"/>
      <c r="I353" s="645"/>
      <c r="J353" s="645"/>
      <c r="K353" s="645"/>
      <c r="L353" s="645"/>
      <c r="M353" s="645"/>
      <c r="N353" s="645"/>
      <c r="O353" s="646"/>
      <c r="P353" s="642" t="s">
        <v>40</v>
      </c>
      <c r="Q353" s="643"/>
      <c r="R353" s="643"/>
      <c r="S353" s="643"/>
      <c r="T353" s="643"/>
      <c r="U353" s="643"/>
      <c r="V353" s="64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55" t="s">
        <v>593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5"/>
      <c r="AB354" s="65"/>
      <c r="AC354" s="79"/>
    </row>
    <row r="355" spans="1:68" ht="14.25" hidden="1" customHeight="1" x14ac:dyDescent="0.25">
      <c r="A355" s="656" t="s">
        <v>127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651">
        <v>4680115887947</v>
      </c>
      <c r="E356" s="65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75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3"/>
      <c r="R356" s="653"/>
      <c r="S356" s="653"/>
      <c r="T356" s="65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651">
        <v>4680115887978</v>
      </c>
      <c r="E357" s="65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75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3"/>
      <c r="R357" s="653"/>
      <c r="S357" s="653"/>
      <c r="T357" s="65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651">
        <v>4680115887992</v>
      </c>
      <c r="E358" s="65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74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3"/>
      <c r="R358" s="653"/>
      <c r="S358" s="653"/>
      <c r="T358" s="65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42" t="s">
        <v>40</v>
      </c>
      <c r="Q359" s="643"/>
      <c r="R359" s="643"/>
      <c r="S359" s="643"/>
      <c r="T359" s="643"/>
      <c r="U359" s="643"/>
      <c r="V359" s="64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45"/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6"/>
      <c r="P360" s="642" t="s">
        <v>40</v>
      </c>
      <c r="Q360" s="643"/>
      <c r="R360" s="643"/>
      <c r="S360" s="643"/>
      <c r="T360" s="643"/>
      <c r="U360" s="643"/>
      <c r="V360" s="64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55" t="s">
        <v>602</v>
      </c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5"/>
      <c r="AB361" s="65"/>
      <c r="AC361" s="79"/>
    </row>
    <row r="362" spans="1:68" ht="14.25" hidden="1" customHeight="1" x14ac:dyDescent="0.25">
      <c r="A362" s="656" t="s">
        <v>127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651">
        <v>4607091386004</v>
      </c>
      <c r="E363" s="65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7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53"/>
      <c r="R363" s="653"/>
      <c r="S363" s="653"/>
      <c r="T363" s="65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651">
        <v>4680115887190</v>
      </c>
      <c r="E364" s="65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74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3"/>
      <c r="R364" s="653"/>
      <c r="S364" s="653"/>
      <c r="T364" s="65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651">
        <v>4680115887138</v>
      </c>
      <c r="E365" s="65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74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3"/>
      <c r="R365" s="653"/>
      <c r="S365" s="653"/>
      <c r="T365" s="65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651">
        <v>4680115885554</v>
      </c>
      <c r="E366" s="65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3"/>
      <c r="R366" s="653"/>
      <c r="S366" s="653"/>
      <c r="T366" s="65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651">
        <v>4680115887220</v>
      </c>
      <c r="E367" s="65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3"/>
      <c r="R367" s="653"/>
      <c r="S367" s="653"/>
      <c r="T367" s="65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651">
        <v>4680115885608</v>
      </c>
      <c r="E368" s="65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3"/>
      <c r="R368" s="653"/>
      <c r="S368" s="653"/>
      <c r="T368" s="65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645"/>
      <c r="B369" s="645"/>
      <c r="C369" s="645"/>
      <c r="D369" s="645"/>
      <c r="E369" s="645"/>
      <c r="F369" s="645"/>
      <c r="G369" s="645"/>
      <c r="H369" s="645"/>
      <c r="I369" s="645"/>
      <c r="J369" s="645"/>
      <c r="K369" s="645"/>
      <c r="L369" s="645"/>
      <c r="M369" s="645"/>
      <c r="N369" s="645"/>
      <c r="O369" s="646"/>
      <c r="P369" s="642" t="s">
        <v>40</v>
      </c>
      <c r="Q369" s="643"/>
      <c r="R369" s="643"/>
      <c r="S369" s="643"/>
      <c r="T369" s="643"/>
      <c r="U369" s="643"/>
      <c r="V369" s="644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45"/>
      <c r="B370" s="645"/>
      <c r="C370" s="645"/>
      <c r="D370" s="645"/>
      <c r="E370" s="645"/>
      <c r="F370" s="645"/>
      <c r="G370" s="645"/>
      <c r="H370" s="645"/>
      <c r="I370" s="645"/>
      <c r="J370" s="645"/>
      <c r="K370" s="645"/>
      <c r="L370" s="645"/>
      <c r="M370" s="645"/>
      <c r="N370" s="645"/>
      <c r="O370" s="646"/>
      <c r="P370" s="642" t="s">
        <v>40</v>
      </c>
      <c r="Q370" s="643"/>
      <c r="R370" s="643"/>
      <c r="S370" s="643"/>
      <c r="T370" s="643"/>
      <c r="U370" s="643"/>
      <c r="V370" s="644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56" t="s">
        <v>76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651">
        <v>4607091387193</v>
      </c>
      <c r="E372" s="65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7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3"/>
      <c r="R372" s="653"/>
      <c r="S372" s="653"/>
      <c r="T372" s="65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651">
        <v>4607091387230</v>
      </c>
      <c r="E373" s="65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3"/>
      <c r="R373" s="653"/>
      <c r="S373" s="653"/>
      <c r="T373" s="65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651">
        <v>4607091387292</v>
      </c>
      <c r="E374" s="65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3"/>
      <c r="R374" s="653"/>
      <c r="S374" s="653"/>
      <c r="T374" s="65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651">
        <v>4607091387285</v>
      </c>
      <c r="E375" s="65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7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3"/>
      <c r="R375" s="653"/>
      <c r="S375" s="653"/>
      <c r="T375" s="65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651">
        <v>4607091389845</v>
      </c>
      <c r="E376" s="65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73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3"/>
      <c r="R376" s="653"/>
      <c r="S376" s="653"/>
      <c r="T376" s="65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651">
        <v>4680115887442</v>
      </c>
      <c r="E377" s="65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73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3"/>
      <c r="R377" s="653"/>
      <c r="S377" s="653"/>
      <c r="T377" s="65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651">
        <v>4607091383836</v>
      </c>
      <c r="E378" s="65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74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3"/>
      <c r="R378" s="653"/>
      <c r="S378" s="653"/>
      <c r="T378" s="65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645"/>
      <c r="B379" s="645"/>
      <c r="C379" s="645"/>
      <c r="D379" s="645"/>
      <c r="E379" s="645"/>
      <c r="F379" s="645"/>
      <c r="G379" s="645"/>
      <c r="H379" s="645"/>
      <c r="I379" s="645"/>
      <c r="J379" s="645"/>
      <c r="K379" s="645"/>
      <c r="L379" s="645"/>
      <c r="M379" s="645"/>
      <c r="N379" s="645"/>
      <c r="O379" s="646"/>
      <c r="P379" s="642" t="s">
        <v>40</v>
      </c>
      <c r="Q379" s="643"/>
      <c r="R379" s="643"/>
      <c r="S379" s="643"/>
      <c r="T379" s="643"/>
      <c r="U379" s="643"/>
      <c r="V379" s="644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645"/>
      <c r="B380" s="645"/>
      <c r="C380" s="645"/>
      <c r="D380" s="645"/>
      <c r="E380" s="645"/>
      <c r="F380" s="645"/>
      <c r="G380" s="645"/>
      <c r="H380" s="645"/>
      <c r="I380" s="645"/>
      <c r="J380" s="645"/>
      <c r="K380" s="645"/>
      <c r="L380" s="645"/>
      <c r="M380" s="645"/>
      <c r="N380" s="645"/>
      <c r="O380" s="646"/>
      <c r="P380" s="642" t="s">
        <v>40</v>
      </c>
      <c r="Q380" s="643"/>
      <c r="R380" s="643"/>
      <c r="S380" s="643"/>
      <c r="T380" s="643"/>
      <c r="U380" s="643"/>
      <c r="V380" s="644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656" t="s">
        <v>85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6"/>
      <c r="AB381" s="66"/>
      <c r="AC381" s="80"/>
    </row>
    <row r="382" spans="1:68" ht="27" hidden="1" customHeight="1" x14ac:dyDescent="0.25">
      <c r="A382" s="63" t="s">
        <v>639</v>
      </c>
      <c r="B382" s="63" t="s">
        <v>640</v>
      </c>
      <c r="C382" s="36">
        <v>4301051100</v>
      </c>
      <c r="D382" s="651">
        <v>4607091387766</v>
      </c>
      <c r="E382" s="65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3"/>
      <c r="R382" s="653"/>
      <c r="S382" s="653"/>
      <c r="T382" s="65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651">
        <v>4607091387957</v>
      </c>
      <c r="E383" s="65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3"/>
      <c r="R383" s="653"/>
      <c r="S383" s="653"/>
      <c r="T383" s="65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651">
        <v>4607091387964</v>
      </c>
      <c r="E384" s="65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3"/>
      <c r="R384" s="653"/>
      <c r="S384" s="653"/>
      <c r="T384" s="65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651">
        <v>4680115884588</v>
      </c>
      <c r="E385" s="65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7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3"/>
      <c r="R385" s="653"/>
      <c r="S385" s="653"/>
      <c r="T385" s="65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645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42" t="s">
        <v>40</v>
      </c>
      <c r="Q386" s="643"/>
      <c r="R386" s="643"/>
      <c r="S386" s="643"/>
      <c r="T386" s="643"/>
      <c r="U386" s="643"/>
      <c r="V386" s="644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42" t="s">
        <v>40</v>
      </c>
      <c r="Q387" s="643"/>
      <c r="R387" s="643"/>
      <c r="S387" s="643"/>
      <c r="T387" s="643"/>
      <c r="U387" s="643"/>
      <c r="V387" s="644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56" t="s">
        <v>180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651">
        <v>4607091380880</v>
      </c>
      <c r="E389" s="65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7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3"/>
      <c r="R389" s="653"/>
      <c r="S389" s="653"/>
      <c r="T389" s="65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651">
        <v>4607091384482</v>
      </c>
      <c r="E390" s="65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7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3"/>
      <c r="R390" s="653"/>
      <c r="S390" s="653"/>
      <c r="T390" s="65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651">
        <v>4607091380897</v>
      </c>
      <c r="E391" s="65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3"/>
      <c r="R391" s="653"/>
      <c r="S391" s="653"/>
      <c r="T391" s="65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645"/>
      <c r="B392" s="645"/>
      <c r="C392" s="645"/>
      <c r="D392" s="645"/>
      <c r="E392" s="645"/>
      <c r="F392" s="645"/>
      <c r="G392" s="645"/>
      <c r="H392" s="645"/>
      <c r="I392" s="645"/>
      <c r="J392" s="645"/>
      <c r="K392" s="645"/>
      <c r="L392" s="645"/>
      <c r="M392" s="645"/>
      <c r="N392" s="645"/>
      <c r="O392" s="646"/>
      <c r="P392" s="642" t="s">
        <v>40</v>
      </c>
      <c r="Q392" s="643"/>
      <c r="R392" s="643"/>
      <c r="S392" s="643"/>
      <c r="T392" s="643"/>
      <c r="U392" s="643"/>
      <c r="V392" s="644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645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42" t="s">
        <v>40</v>
      </c>
      <c r="Q393" s="643"/>
      <c r="R393" s="643"/>
      <c r="S393" s="643"/>
      <c r="T393" s="643"/>
      <c r="U393" s="643"/>
      <c r="V393" s="644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656" t="s">
        <v>103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651">
        <v>4607091388381</v>
      </c>
      <c r="E395" s="65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7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3"/>
      <c r="R395" s="653"/>
      <c r="S395" s="653"/>
      <c r="T395" s="65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651">
        <v>4607091388374</v>
      </c>
      <c r="E396" s="65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7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3"/>
      <c r="R396" s="653"/>
      <c r="S396" s="653"/>
      <c r="T396" s="65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651">
        <v>4607091383102</v>
      </c>
      <c r="E397" s="65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3"/>
      <c r="R397" s="653"/>
      <c r="S397" s="653"/>
      <c r="T397" s="65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651">
        <v>4607091388404</v>
      </c>
      <c r="E398" s="65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7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3"/>
      <c r="R398" s="653"/>
      <c r="S398" s="653"/>
      <c r="T398" s="65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45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42" t="s">
        <v>40</v>
      </c>
      <c r="Q399" s="643"/>
      <c r="R399" s="643"/>
      <c r="S399" s="643"/>
      <c r="T399" s="643"/>
      <c r="U399" s="643"/>
      <c r="V399" s="644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42" t="s">
        <v>40</v>
      </c>
      <c r="Q400" s="643"/>
      <c r="R400" s="643"/>
      <c r="S400" s="643"/>
      <c r="T400" s="643"/>
      <c r="U400" s="643"/>
      <c r="V400" s="644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56" t="s">
        <v>668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651">
        <v>4680115881808</v>
      </c>
      <c r="E402" s="65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3"/>
      <c r="R402" s="653"/>
      <c r="S402" s="653"/>
      <c r="T402" s="65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651">
        <v>4680115881822</v>
      </c>
      <c r="E403" s="65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3"/>
      <c r="R403" s="653"/>
      <c r="S403" s="653"/>
      <c r="T403" s="65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651">
        <v>4680115880016</v>
      </c>
      <c r="E404" s="65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7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3"/>
      <c r="R404" s="653"/>
      <c r="S404" s="653"/>
      <c r="T404" s="65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45"/>
      <c r="B405" s="645"/>
      <c r="C405" s="645"/>
      <c r="D405" s="645"/>
      <c r="E405" s="645"/>
      <c r="F405" s="645"/>
      <c r="G405" s="645"/>
      <c r="H405" s="645"/>
      <c r="I405" s="645"/>
      <c r="J405" s="645"/>
      <c r="K405" s="645"/>
      <c r="L405" s="645"/>
      <c r="M405" s="645"/>
      <c r="N405" s="645"/>
      <c r="O405" s="646"/>
      <c r="P405" s="642" t="s">
        <v>40</v>
      </c>
      <c r="Q405" s="643"/>
      <c r="R405" s="643"/>
      <c r="S405" s="643"/>
      <c r="T405" s="643"/>
      <c r="U405" s="643"/>
      <c r="V405" s="644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45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42" t="s">
        <v>40</v>
      </c>
      <c r="Q406" s="643"/>
      <c r="R406" s="643"/>
      <c r="S406" s="643"/>
      <c r="T406" s="643"/>
      <c r="U406" s="643"/>
      <c r="V406" s="644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56" t="s">
        <v>677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651">
        <v>4680115888678</v>
      </c>
      <c r="E408" s="65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7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3"/>
      <c r="R408" s="653"/>
      <c r="S408" s="653"/>
      <c r="T408" s="65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651">
        <v>4680115888654</v>
      </c>
      <c r="E409" s="65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7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3"/>
      <c r="R409" s="653"/>
      <c r="S409" s="653"/>
      <c r="T409" s="65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651">
        <v>4680115888753</v>
      </c>
      <c r="E410" s="65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3"/>
      <c r="R410" s="653"/>
      <c r="S410" s="653"/>
      <c r="T410" s="65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45"/>
      <c r="B411" s="645"/>
      <c r="C411" s="645"/>
      <c r="D411" s="645"/>
      <c r="E411" s="645"/>
      <c r="F411" s="645"/>
      <c r="G411" s="645"/>
      <c r="H411" s="645"/>
      <c r="I411" s="645"/>
      <c r="J411" s="645"/>
      <c r="K411" s="645"/>
      <c r="L411" s="645"/>
      <c r="M411" s="645"/>
      <c r="N411" s="645"/>
      <c r="O411" s="646"/>
      <c r="P411" s="642" t="s">
        <v>40</v>
      </c>
      <c r="Q411" s="643"/>
      <c r="R411" s="643"/>
      <c r="S411" s="643"/>
      <c r="T411" s="643"/>
      <c r="U411" s="643"/>
      <c r="V411" s="644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45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42" t="s">
        <v>40</v>
      </c>
      <c r="Q412" s="643"/>
      <c r="R412" s="643"/>
      <c r="S412" s="643"/>
      <c r="T412" s="643"/>
      <c r="U412" s="643"/>
      <c r="V412" s="644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655" t="s">
        <v>686</v>
      </c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  <c r="AA413" s="65"/>
      <c r="AB413" s="65"/>
      <c r="AC413" s="79"/>
    </row>
    <row r="414" spans="1:68" ht="14.25" hidden="1" customHeight="1" x14ac:dyDescent="0.25">
      <c r="A414" s="656" t="s">
        <v>85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651">
        <v>4607091387919</v>
      </c>
      <c r="E415" s="651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53"/>
      <c r="R415" s="653"/>
      <c r="S415" s="653"/>
      <c r="T415" s="65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651">
        <v>4680115883604</v>
      </c>
      <c r="E416" s="651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53"/>
      <c r="R416" s="653"/>
      <c r="S416" s="653"/>
      <c r="T416" s="65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651">
        <v>4680115883567</v>
      </c>
      <c r="E417" s="651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53"/>
      <c r="R417" s="653"/>
      <c r="S417" s="653"/>
      <c r="T417" s="65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45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42" t="s">
        <v>40</v>
      </c>
      <c r="Q418" s="643"/>
      <c r="R418" s="643"/>
      <c r="S418" s="643"/>
      <c r="T418" s="643"/>
      <c r="U418" s="643"/>
      <c r="V418" s="644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42" t="s">
        <v>40</v>
      </c>
      <c r="Q419" s="643"/>
      <c r="R419" s="643"/>
      <c r="S419" s="643"/>
      <c r="T419" s="643"/>
      <c r="U419" s="643"/>
      <c r="V419" s="644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662" t="s">
        <v>696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54"/>
      <c r="AB420" s="54"/>
      <c r="AC420" s="54"/>
    </row>
    <row r="421" spans="1:68" ht="16.5" hidden="1" customHeight="1" x14ac:dyDescent="0.25">
      <c r="A421" s="655" t="s">
        <v>697</v>
      </c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5"/>
      <c r="AB421" s="65"/>
      <c r="AC421" s="79"/>
    </row>
    <row r="422" spans="1:68" ht="14.25" hidden="1" customHeight="1" x14ac:dyDescent="0.25">
      <c r="A422" s="656" t="s">
        <v>127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651">
        <v>4680115888401</v>
      </c>
      <c r="E423" s="651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53"/>
      <c r="R423" s="653"/>
      <c r="S423" s="653"/>
      <c r="T423" s="654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701</v>
      </c>
      <c r="B424" s="63" t="s">
        <v>702</v>
      </c>
      <c r="C424" s="36">
        <v>4301011869</v>
      </c>
      <c r="D424" s="651">
        <v>4680115884847</v>
      </c>
      <c r="E424" s="65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53"/>
      <c r="R424" s="653"/>
      <c r="S424" s="653"/>
      <c r="T424" s="654"/>
      <c r="U424" s="39" t="s">
        <v>46</v>
      </c>
      <c r="V424" s="39" t="s">
        <v>46</v>
      </c>
      <c r="W424" s="40" t="s">
        <v>0</v>
      </c>
      <c r="X424" s="58">
        <v>1380</v>
      </c>
      <c r="Y424" s="55">
        <f t="shared" si="52"/>
        <v>1380</v>
      </c>
      <c r="Z424" s="41">
        <f>IFERROR(IF(Y424=0,"",ROUNDUP(Y424/H424,0)*0.02175),"")</f>
        <v>2.0009999999999999</v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1423.2400000000002</v>
      </c>
      <c r="BN424" s="78">
        <f t="shared" si="54"/>
        <v>1423.2400000000002</v>
      </c>
      <c r="BO424" s="78">
        <f t="shared" si="55"/>
        <v>1.9166666666666665</v>
      </c>
      <c r="BP424" s="78">
        <f t="shared" si="56"/>
        <v>1.9166666666666665</v>
      </c>
    </row>
    <row r="425" spans="1:68" ht="27" customHeight="1" x14ac:dyDescent="0.25">
      <c r="A425" s="63" t="s">
        <v>704</v>
      </c>
      <c r="B425" s="63" t="s">
        <v>705</v>
      </c>
      <c r="C425" s="36">
        <v>4301012083</v>
      </c>
      <c r="D425" s="651">
        <v>4680115884854</v>
      </c>
      <c r="E425" s="65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53"/>
      <c r="R425" s="653"/>
      <c r="S425" s="653"/>
      <c r="T425" s="654"/>
      <c r="U425" s="39" t="s">
        <v>46</v>
      </c>
      <c r="V425" s="39" t="s">
        <v>46</v>
      </c>
      <c r="W425" s="40" t="s">
        <v>0</v>
      </c>
      <c r="X425" s="58">
        <v>1100</v>
      </c>
      <c r="Y425" s="55">
        <f t="shared" si="52"/>
        <v>1110</v>
      </c>
      <c r="Z425" s="41">
        <f>IFERROR(IF(Y425=0,"",ROUNDUP(Y425/H425,0)*0.02175),"")</f>
        <v>1.6094999999999999</v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1134.4666666666667</v>
      </c>
      <c r="BN425" s="78">
        <f t="shared" si="54"/>
        <v>1144.78</v>
      </c>
      <c r="BO425" s="78">
        <f t="shared" si="55"/>
        <v>1.5277777777777777</v>
      </c>
      <c r="BP425" s="78">
        <f t="shared" si="56"/>
        <v>1.5416666666666665</v>
      </c>
    </row>
    <row r="426" spans="1:68" ht="27" customHeight="1" x14ac:dyDescent="0.25">
      <c r="A426" s="63" t="s">
        <v>707</v>
      </c>
      <c r="B426" s="63" t="s">
        <v>708</v>
      </c>
      <c r="C426" s="36">
        <v>4301011867</v>
      </c>
      <c r="D426" s="651">
        <v>4680115884830</v>
      </c>
      <c r="E426" s="65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53"/>
      <c r="R426" s="653"/>
      <c r="S426" s="653"/>
      <c r="T426" s="654"/>
      <c r="U426" s="39" t="s">
        <v>46</v>
      </c>
      <c r="V426" s="39" t="s">
        <v>46</v>
      </c>
      <c r="W426" s="40" t="s">
        <v>0</v>
      </c>
      <c r="X426" s="58">
        <v>1370</v>
      </c>
      <c r="Y426" s="55">
        <f t="shared" si="52"/>
        <v>1380</v>
      </c>
      <c r="Z426" s="41">
        <f>IFERROR(IF(Y426=0,"",ROUNDUP(Y426/H426,0)*0.02175),"")</f>
        <v>2.0009999999999999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1412.9266666666667</v>
      </c>
      <c r="BN426" s="78">
        <f t="shared" si="54"/>
        <v>1423.2400000000002</v>
      </c>
      <c r="BO426" s="78">
        <f t="shared" si="55"/>
        <v>1.9027777777777777</v>
      </c>
      <c r="BP426" s="78">
        <f t="shared" si="56"/>
        <v>1.9166666666666665</v>
      </c>
    </row>
    <row r="427" spans="1:68" ht="27" hidden="1" customHeight="1" x14ac:dyDescent="0.25">
      <c r="A427" s="63" t="s">
        <v>710</v>
      </c>
      <c r="B427" s="63" t="s">
        <v>711</v>
      </c>
      <c r="C427" s="36">
        <v>4301012356</v>
      </c>
      <c r="D427" s="651">
        <v>4680115889231</v>
      </c>
      <c r="E427" s="65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70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53"/>
      <c r="R427" s="653"/>
      <c r="S427" s="653"/>
      <c r="T427" s="65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651">
        <v>4680115882638</v>
      </c>
      <c r="E428" s="651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53"/>
      <c r="R428" s="653"/>
      <c r="S428" s="653"/>
      <c r="T428" s="65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651">
        <v>4680115884922</v>
      </c>
      <c r="E429" s="651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7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53"/>
      <c r="R429" s="653"/>
      <c r="S429" s="653"/>
      <c r="T429" s="65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651">
        <v>4680115884861</v>
      </c>
      <c r="E430" s="651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7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53"/>
      <c r="R430" s="653"/>
      <c r="S430" s="653"/>
      <c r="T430" s="65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645"/>
      <c r="B431" s="645"/>
      <c r="C431" s="645"/>
      <c r="D431" s="645"/>
      <c r="E431" s="645"/>
      <c r="F431" s="645"/>
      <c r="G431" s="645"/>
      <c r="H431" s="645"/>
      <c r="I431" s="645"/>
      <c r="J431" s="645"/>
      <c r="K431" s="645"/>
      <c r="L431" s="645"/>
      <c r="M431" s="645"/>
      <c r="N431" s="645"/>
      <c r="O431" s="646"/>
      <c r="P431" s="642" t="s">
        <v>40</v>
      </c>
      <c r="Q431" s="643"/>
      <c r="R431" s="643"/>
      <c r="S431" s="643"/>
      <c r="T431" s="643"/>
      <c r="U431" s="643"/>
      <c r="V431" s="644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256.66666666666663</v>
      </c>
      <c r="Y431" s="43">
        <f>IFERROR(Y423/H423,"0")+IFERROR(Y424/H424,"0")+IFERROR(Y425/H425,"0")+IFERROR(Y426/H426,"0")+IFERROR(Y427/H427,"0")+IFERROR(Y428/H428,"0")+IFERROR(Y429/H429,"0")+IFERROR(Y430/H430,"0")</f>
        <v>258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5.6114999999999995</v>
      </c>
      <c r="AA431" s="67"/>
      <c r="AB431" s="67"/>
      <c r="AC431" s="67"/>
    </row>
    <row r="432" spans="1:68" x14ac:dyDescent="0.2">
      <c r="A432" s="645"/>
      <c r="B432" s="645"/>
      <c r="C432" s="645"/>
      <c r="D432" s="645"/>
      <c r="E432" s="645"/>
      <c r="F432" s="645"/>
      <c r="G432" s="645"/>
      <c r="H432" s="645"/>
      <c r="I432" s="645"/>
      <c r="J432" s="645"/>
      <c r="K432" s="645"/>
      <c r="L432" s="645"/>
      <c r="M432" s="645"/>
      <c r="N432" s="645"/>
      <c r="O432" s="646"/>
      <c r="P432" s="642" t="s">
        <v>40</v>
      </c>
      <c r="Q432" s="643"/>
      <c r="R432" s="643"/>
      <c r="S432" s="643"/>
      <c r="T432" s="643"/>
      <c r="U432" s="643"/>
      <c r="V432" s="644"/>
      <c r="W432" s="42" t="s">
        <v>0</v>
      </c>
      <c r="X432" s="43">
        <f>IFERROR(SUM(X423:X430),"0")</f>
        <v>3850</v>
      </c>
      <c r="Y432" s="43">
        <f>IFERROR(SUM(Y423:Y430),"0")</f>
        <v>3870</v>
      </c>
      <c r="Z432" s="42"/>
      <c r="AA432" s="67"/>
      <c r="AB432" s="67"/>
      <c r="AC432" s="67"/>
    </row>
    <row r="433" spans="1:68" ht="14.25" hidden="1" customHeight="1" x14ac:dyDescent="0.25">
      <c r="A433" s="656" t="s">
        <v>163</v>
      </c>
      <c r="B433" s="656"/>
      <c r="C433" s="656"/>
      <c r="D433" s="656"/>
      <c r="E433" s="656"/>
      <c r="F433" s="656"/>
      <c r="G433" s="656"/>
      <c r="H433" s="656"/>
      <c r="I433" s="656"/>
      <c r="J433" s="656"/>
      <c r="K433" s="656"/>
      <c r="L433" s="656"/>
      <c r="M433" s="656"/>
      <c r="N433" s="656"/>
      <c r="O433" s="656"/>
      <c r="P433" s="656"/>
      <c r="Q433" s="656"/>
      <c r="R433" s="656"/>
      <c r="S433" s="656"/>
      <c r="T433" s="656"/>
      <c r="U433" s="656"/>
      <c r="V433" s="656"/>
      <c r="W433" s="656"/>
      <c r="X433" s="656"/>
      <c r="Y433" s="656"/>
      <c r="Z433" s="656"/>
      <c r="AA433" s="66"/>
      <c r="AB433" s="66"/>
      <c r="AC433" s="80"/>
    </row>
    <row r="434" spans="1:68" ht="27" hidden="1" customHeight="1" x14ac:dyDescent="0.25">
      <c r="A434" s="63" t="s">
        <v>722</v>
      </c>
      <c r="B434" s="63" t="s">
        <v>723</v>
      </c>
      <c r="C434" s="36">
        <v>4301020178</v>
      </c>
      <c r="D434" s="651">
        <v>4607091383980</v>
      </c>
      <c r="E434" s="651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53"/>
      <c r="R434" s="653"/>
      <c r="S434" s="653"/>
      <c r="T434" s="65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651">
        <v>4680115888425</v>
      </c>
      <c r="E435" s="65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53"/>
      <c r="R435" s="653"/>
      <c r="S435" s="653"/>
      <c r="T435" s="65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651">
        <v>4607091384178</v>
      </c>
      <c r="E436" s="651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53"/>
      <c r="R436" s="653"/>
      <c r="S436" s="653"/>
      <c r="T436" s="65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645"/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6"/>
      <c r="P437" s="642" t="s">
        <v>40</v>
      </c>
      <c r="Q437" s="643"/>
      <c r="R437" s="643"/>
      <c r="S437" s="643"/>
      <c r="T437" s="643"/>
      <c r="U437" s="643"/>
      <c r="V437" s="644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645"/>
      <c r="B438" s="645"/>
      <c r="C438" s="645"/>
      <c r="D438" s="645"/>
      <c r="E438" s="645"/>
      <c r="F438" s="645"/>
      <c r="G438" s="645"/>
      <c r="H438" s="645"/>
      <c r="I438" s="645"/>
      <c r="J438" s="645"/>
      <c r="K438" s="645"/>
      <c r="L438" s="645"/>
      <c r="M438" s="645"/>
      <c r="N438" s="645"/>
      <c r="O438" s="646"/>
      <c r="P438" s="642" t="s">
        <v>40</v>
      </c>
      <c r="Q438" s="643"/>
      <c r="R438" s="643"/>
      <c r="S438" s="643"/>
      <c r="T438" s="643"/>
      <c r="U438" s="643"/>
      <c r="V438" s="644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656" t="s">
        <v>85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651">
        <v>4607091383928</v>
      </c>
      <c r="E440" s="651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53"/>
      <c r="R440" s="653"/>
      <c r="S440" s="653"/>
      <c r="T440" s="654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651">
        <v>4607091384260</v>
      </c>
      <c r="E441" s="651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7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53"/>
      <c r="R441" s="653"/>
      <c r="S441" s="653"/>
      <c r="T441" s="65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651">
        <v>4680115889538</v>
      </c>
      <c r="E442" s="651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7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53"/>
      <c r="R442" s="653"/>
      <c r="S442" s="653"/>
      <c r="T442" s="65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645"/>
      <c r="B443" s="645"/>
      <c r="C443" s="645"/>
      <c r="D443" s="645"/>
      <c r="E443" s="645"/>
      <c r="F443" s="645"/>
      <c r="G443" s="645"/>
      <c r="H443" s="645"/>
      <c r="I443" s="645"/>
      <c r="J443" s="645"/>
      <c r="K443" s="645"/>
      <c r="L443" s="645"/>
      <c r="M443" s="645"/>
      <c r="N443" s="645"/>
      <c r="O443" s="646"/>
      <c r="P443" s="642" t="s">
        <v>40</v>
      </c>
      <c r="Q443" s="643"/>
      <c r="R443" s="643"/>
      <c r="S443" s="643"/>
      <c r="T443" s="643"/>
      <c r="U443" s="643"/>
      <c r="V443" s="644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645"/>
      <c r="B444" s="645"/>
      <c r="C444" s="645"/>
      <c r="D444" s="645"/>
      <c r="E444" s="645"/>
      <c r="F444" s="645"/>
      <c r="G444" s="645"/>
      <c r="H444" s="645"/>
      <c r="I444" s="645"/>
      <c r="J444" s="645"/>
      <c r="K444" s="645"/>
      <c r="L444" s="645"/>
      <c r="M444" s="645"/>
      <c r="N444" s="645"/>
      <c r="O444" s="646"/>
      <c r="P444" s="642" t="s">
        <v>40</v>
      </c>
      <c r="Q444" s="643"/>
      <c r="R444" s="643"/>
      <c r="S444" s="643"/>
      <c r="T444" s="643"/>
      <c r="U444" s="643"/>
      <c r="V444" s="644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656" t="s">
        <v>180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651">
        <v>4680115889545</v>
      </c>
      <c r="E446" s="651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70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53"/>
      <c r="R446" s="653"/>
      <c r="S446" s="653"/>
      <c r="T446" s="65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651">
        <v>4607091384673</v>
      </c>
      <c r="E447" s="65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7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53"/>
      <c r="R447" s="653"/>
      <c r="S447" s="653"/>
      <c r="T447" s="65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645"/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6"/>
      <c r="P448" s="642" t="s">
        <v>40</v>
      </c>
      <c r="Q448" s="643"/>
      <c r="R448" s="643"/>
      <c r="S448" s="643"/>
      <c r="T448" s="643"/>
      <c r="U448" s="643"/>
      <c r="V448" s="644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645"/>
      <c r="B449" s="645"/>
      <c r="C449" s="645"/>
      <c r="D449" s="645"/>
      <c r="E449" s="645"/>
      <c r="F449" s="645"/>
      <c r="G449" s="645"/>
      <c r="H449" s="645"/>
      <c r="I449" s="645"/>
      <c r="J449" s="645"/>
      <c r="K449" s="645"/>
      <c r="L449" s="645"/>
      <c r="M449" s="645"/>
      <c r="N449" s="645"/>
      <c r="O449" s="646"/>
      <c r="P449" s="642" t="s">
        <v>40</v>
      </c>
      <c r="Q449" s="643"/>
      <c r="R449" s="643"/>
      <c r="S449" s="643"/>
      <c r="T449" s="643"/>
      <c r="U449" s="643"/>
      <c r="V449" s="644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655" t="s">
        <v>746</v>
      </c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  <c r="AA450" s="65"/>
      <c r="AB450" s="65"/>
      <c r="AC450" s="79"/>
    </row>
    <row r="451" spans="1:68" ht="14.25" hidden="1" customHeight="1" x14ac:dyDescent="0.25">
      <c r="A451" s="656" t="s">
        <v>127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651">
        <v>4680115884885</v>
      </c>
      <c r="E452" s="651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6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53"/>
      <c r="R452" s="653"/>
      <c r="S452" s="653"/>
      <c r="T452" s="65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651">
        <v>4680115884908</v>
      </c>
      <c r="E453" s="651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7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53"/>
      <c r="R453" s="653"/>
      <c r="S453" s="653"/>
      <c r="T453" s="65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45"/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6"/>
      <c r="P454" s="642" t="s">
        <v>40</v>
      </c>
      <c r="Q454" s="643"/>
      <c r="R454" s="643"/>
      <c r="S454" s="643"/>
      <c r="T454" s="643"/>
      <c r="U454" s="643"/>
      <c r="V454" s="644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645"/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6"/>
      <c r="P455" s="642" t="s">
        <v>40</v>
      </c>
      <c r="Q455" s="643"/>
      <c r="R455" s="643"/>
      <c r="S455" s="643"/>
      <c r="T455" s="643"/>
      <c r="U455" s="643"/>
      <c r="V455" s="644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656" t="s">
        <v>76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651">
        <v>4607091384802</v>
      </c>
      <c r="E457" s="651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53"/>
      <c r="R457" s="653"/>
      <c r="S457" s="653"/>
      <c r="T457" s="654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5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42" t="s">
        <v>40</v>
      </c>
      <c r="Q458" s="643"/>
      <c r="R458" s="643"/>
      <c r="S458" s="643"/>
      <c r="T458" s="643"/>
      <c r="U458" s="643"/>
      <c r="V458" s="644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42" t="s">
        <v>40</v>
      </c>
      <c r="Q459" s="643"/>
      <c r="R459" s="643"/>
      <c r="S459" s="643"/>
      <c r="T459" s="643"/>
      <c r="U459" s="643"/>
      <c r="V459" s="644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6" t="s">
        <v>85</v>
      </c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6"/>
      <c r="P460" s="656"/>
      <c r="Q460" s="656"/>
      <c r="R460" s="656"/>
      <c r="S460" s="656"/>
      <c r="T460" s="656"/>
      <c r="U460" s="656"/>
      <c r="V460" s="656"/>
      <c r="W460" s="656"/>
      <c r="X460" s="656"/>
      <c r="Y460" s="656"/>
      <c r="Z460" s="656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651">
        <v>4607091384246</v>
      </c>
      <c r="E461" s="651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53"/>
      <c r="R461" s="653"/>
      <c r="S461" s="653"/>
      <c r="T461" s="65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651">
        <v>4607091384253</v>
      </c>
      <c r="E462" s="651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53"/>
      <c r="R462" s="653"/>
      <c r="S462" s="653"/>
      <c r="T462" s="65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651">
        <v>4607091384253</v>
      </c>
      <c r="E463" s="651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6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53"/>
      <c r="R463" s="653"/>
      <c r="S463" s="653"/>
      <c r="T463" s="65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42" t="s">
        <v>40</v>
      </c>
      <c r="Q464" s="643"/>
      <c r="R464" s="643"/>
      <c r="S464" s="643"/>
      <c r="T464" s="643"/>
      <c r="U464" s="643"/>
      <c r="V464" s="644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645"/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6"/>
      <c r="P465" s="642" t="s">
        <v>40</v>
      </c>
      <c r="Q465" s="643"/>
      <c r="R465" s="643"/>
      <c r="S465" s="643"/>
      <c r="T465" s="643"/>
      <c r="U465" s="643"/>
      <c r="V465" s="644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662" t="s">
        <v>762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54"/>
      <c r="AB466" s="54"/>
      <c r="AC466" s="54"/>
    </row>
    <row r="467" spans="1:68" ht="16.5" hidden="1" customHeight="1" x14ac:dyDescent="0.25">
      <c r="A467" s="655" t="s">
        <v>763</v>
      </c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  <c r="AA467" s="65"/>
      <c r="AB467" s="65"/>
      <c r="AC467" s="79"/>
    </row>
    <row r="468" spans="1:68" ht="14.25" hidden="1" customHeight="1" x14ac:dyDescent="0.25">
      <c r="A468" s="656" t="s">
        <v>76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651">
        <v>4680115886100</v>
      </c>
      <c r="E469" s="651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6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53"/>
      <c r="R469" s="653"/>
      <c r="S469" s="653"/>
      <c r="T469" s="654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651">
        <v>4680115886124</v>
      </c>
      <c r="E470" s="65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6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53"/>
      <c r="R470" s="653"/>
      <c r="S470" s="653"/>
      <c r="T470" s="65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651">
        <v>4607091384338</v>
      </c>
      <c r="E471" s="651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53"/>
      <c r="R471" s="653"/>
      <c r="S471" s="653"/>
      <c r="T471" s="65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651">
        <v>4680115883161</v>
      </c>
      <c r="E472" s="651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53"/>
      <c r="R472" s="653"/>
      <c r="S472" s="653"/>
      <c r="T472" s="65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651">
        <v>4607091389531</v>
      </c>
      <c r="E473" s="65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53"/>
      <c r="R473" s="653"/>
      <c r="S473" s="653"/>
      <c r="T473" s="65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651">
        <v>4607091384345</v>
      </c>
      <c r="E474" s="651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53"/>
      <c r="R474" s="653"/>
      <c r="S474" s="653"/>
      <c r="T474" s="65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645"/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6"/>
      <c r="P475" s="642" t="s">
        <v>40</v>
      </c>
      <c r="Q475" s="643"/>
      <c r="R475" s="643"/>
      <c r="S475" s="643"/>
      <c r="T475" s="643"/>
      <c r="U475" s="643"/>
      <c r="V475" s="644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645"/>
      <c r="B476" s="645"/>
      <c r="C476" s="645"/>
      <c r="D476" s="645"/>
      <c r="E476" s="645"/>
      <c r="F476" s="645"/>
      <c r="G476" s="645"/>
      <c r="H476" s="645"/>
      <c r="I476" s="645"/>
      <c r="J476" s="645"/>
      <c r="K476" s="645"/>
      <c r="L476" s="645"/>
      <c r="M476" s="645"/>
      <c r="N476" s="645"/>
      <c r="O476" s="646"/>
      <c r="P476" s="642" t="s">
        <v>40</v>
      </c>
      <c r="Q476" s="643"/>
      <c r="R476" s="643"/>
      <c r="S476" s="643"/>
      <c r="T476" s="643"/>
      <c r="U476" s="643"/>
      <c r="V476" s="644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56" t="s">
        <v>85</v>
      </c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6"/>
      <c r="P477" s="656"/>
      <c r="Q477" s="656"/>
      <c r="R477" s="656"/>
      <c r="S477" s="656"/>
      <c r="T477" s="656"/>
      <c r="U477" s="656"/>
      <c r="V477" s="656"/>
      <c r="W477" s="656"/>
      <c r="X477" s="656"/>
      <c r="Y477" s="656"/>
      <c r="Z477" s="656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651">
        <v>4607091384352</v>
      </c>
      <c r="E478" s="651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53"/>
      <c r="R478" s="653"/>
      <c r="S478" s="653"/>
      <c r="T478" s="65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651">
        <v>4607091389654</v>
      </c>
      <c r="E479" s="651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6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53"/>
      <c r="R479" s="653"/>
      <c r="S479" s="653"/>
      <c r="T479" s="65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42" t="s">
        <v>40</v>
      </c>
      <c r="Q480" s="643"/>
      <c r="R480" s="643"/>
      <c r="S480" s="643"/>
      <c r="T480" s="643"/>
      <c r="U480" s="643"/>
      <c r="V480" s="644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645"/>
      <c r="B481" s="645"/>
      <c r="C481" s="645"/>
      <c r="D481" s="645"/>
      <c r="E481" s="645"/>
      <c r="F481" s="645"/>
      <c r="G481" s="645"/>
      <c r="H481" s="645"/>
      <c r="I481" s="645"/>
      <c r="J481" s="645"/>
      <c r="K481" s="645"/>
      <c r="L481" s="645"/>
      <c r="M481" s="645"/>
      <c r="N481" s="645"/>
      <c r="O481" s="646"/>
      <c r="P481" s="642" t="s">
        <v>40</v>
      </c>
      <c r="Q481" s="643"/>
      <c r="R481" s="643"/>
      <c r="S481" s="643"/>
      <c r="T481" s="643"/>
      <c r="U481" s="643"/>
      <c r="V481" s="644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655" t="s">
        <v>786</v>
      </c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  <c r="AA482" s="65"/>
      <c r="AB482" s="65"/>
      <c r="AC482" s="79"/>
    </row>
    <row r="483" spans="1:68" ht="14.25" hidden="1" customHeight="1" x14ac:dyDescent="0.25">
      <c r="A483" s="656" t="s">
        <v>163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651">
        <v>4680115885240</v>
      </c>
      <c r="E484" s="651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53"/>
      <c r="R484" s="653"/>
      <c r="S484" s="653"/>
      <c r="T484" s="65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645"/>
      <c r="B485" s="645"/>
      <c r="C485" s="645"/>
      <c r="D485" s="645"/>
      <c r="E485" s="645"/>
      <c r="F485" s="645"/>
      <c r="G485" s="645"/>
      <c r="H485" s="645"/>
      <c r="I485" s="645"/>
      <c r="J485" s="645"/>
      <c r="K485" s="645"/>
      <c r="L485" s="645"/>
      <c r="M485" s="645"/>
      <c r="N485" s="645"/>
      <c r="O485" s="646"/>
      <c r="P485" s="642" t="s">
        <v>40</v>
      </c>
      <c r="Q485" s="643"/>
      <c r="R485" s="643"/>
      <c r="S485" s="643"/>
      <c r="T485" s="643"/>
      <c r="U485" s="643"/>
      <c r="V485" s="644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645"/>
      <c r="B486" s="645"/>
      <c r="C486" s="645"/>
      <c r="D486" s="645"/>
      <c r="E486" s="645"/>
      <c r="F486" s="645"/>
      <c r="G486" s="645"/>
      <c r="H486" s="645"/>
      <c r="I486" s="645"/>
      <c r="J486" s="645"/>
      <c r="K486" s="645"/>
      <c r="L486" s="645"/>
      <c r="M486" s="645"/>
      <c r="N486" s="645"/>
      <c r="O486" s="646"/>
      <c r="P486" s="642" t="s">
        <v>40</v>
      </c>
      <c r="Q486" s="643"/>
      <c r="R486" s="643"/>
      <c r="S486" s="643"/>
      <c r="T486" s="643"/>
      <c r="U486" s="643"/>
      <c r="V486" s="644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56" t="s">
        <v>76</v>
      </c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6"/>
      <c r="P487" s="656"/>
      <c r="Q487" s="656"/>
      <c r="R487" s="656"/>
      <c r="S487" s="656"/>
      <c r="T487" s="656"/>
      <c r="U487" s="656"/>
      <c r="V487" s="656"/>
      <c r="W487" s="656"/>
      <c r="X487" s="656"/>
      <c r="Y487" s="656"/>
      <c r="Z487" s="656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651">
        <v>4680115886094</v>
      </c>
      <c r="E488" s="651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6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53"/>
      <c r="R488" s="653"/>
      <c r="S488" s="653"/>
      <c r="T488" s="654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651">
        <v>4680115880771</v>
      </c>
      <c r="E489" s="651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6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53"/>
      <c r="R489" s="653"/>
      <c r="S489" s="653"/>
      <c r="T489" s="65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651">
        <v>4607091389500</v>
      </c>
      <c r="E490" s="651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53"/>
      <c r="R490" s="653"/>
      <c r="S490" s="653"/>
      <c r="T490" s="65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42" t="s">
        <v>40</v>
      </c>
      <c r="Q491" s="643"/>
      <c r="R491" s="643"/>
      <c r="S491" s="643"/>
      <c r="T491" s="643"/>
      <c r="U491" s="643"/>
      <c r="V491" s="644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645"/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6"/>
      <c r="P492" s="642" t="s">
        <v>40</v>
      </c>
      <c r="Q492" s="643"/>
      <c r="R492" s="643"/>
      <c r="S492" s="643"/>
      <c r="T492" s="643"/>
      <c r="U492" s="643"/>
      <c r="V492" s="644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662" t="s">
        <v>798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54"/>
      <c r="AB493" s="54"/>
      <c r="AC493" s="54"/>
    </row>
    <row r="494" spans="1:68" ht="16.5" hidden="1" customHeight="1" x14ac:dyDescent="0.25">
      <c r="A494" s="655" t="s">
        <v>798</v>
      </c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  <c r="AA494" s="65"/>
      <c r="AB494" s="65"/>
      <c r="AC494" s="79"/>
    </row>
    <row r="495" spans="1:68" ht="14.25" hidden="1" customHeight="1" x14ac:dyDescent="0.25">
      <c r="A495" s="656" t="s">
        <v>127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651">
        <v>4607091389067</v>
      </c>
      <c r="E496" s="65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53"/>
      <c r="R496" s="653"/>
      <c r="S496" s="653"/>
      <c r="T496" s="65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651">
        <v>4680115889576</v>
      </c>
      <c r="E497" s="65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6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53"/>
      <c r="R497" s="653"/>
      <c r="S497" s="653"/>
      <c r="T497" s="65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651">
        <v>4680115885271</v>
      </c>
      <c r="E498" s="65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53"/>
      <c r="R498" s="653"/>
      <c r="S498" s="653"/>
      <c r="T498" s="65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651">
        <v>4680115885226</v>
      </c>
      <c r="E499" s="65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53"/>
      <c r="R499" s="653"/>
      <c r="S499" s="653"/>
      <c r="T499" s="65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651">
        <v>4680115884502</v>
      </c>
      <c r="E500" s="65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6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53"/>
      <c r="R500" s="653"/>
      <c r="S500" s="653"/>
      <c r="T500" s="65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651">
        <v>4607091389104</v>
      </c>
      <c r="E501" s="65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53"/>
      <c r="R501" s="653"/>
      <c r="S501" s="653"/>
      <c r="T501" s="65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651">
        <v>4680115886391</v>
      </c>
      <c r="E502" s="651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6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53"/>
      <c r="R502" s="653"/>
      <c r="S502" s="653"/>
      <c r="T502" s="65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651">
        <v>4680115880603</v>
      </c>
      <c r="E503" s="651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6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53"/>
      <c r="R503" s="653"/>
      <c r="S503" s="653"/>
      <c r="T503" s="65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651">
        <v>4607091389982</v>
      </c>
      <c r="E504" s="651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53"/>
      <c r="R504" s="653"/>
      <c r="S504" s="653"/>
      <c r="T504" s="65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645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42" t="s">
        <v>40</v>
      </c>
      <c r="Q505" s="643"/>
      <c r="R505" s="643"/>
      <c r="S505" s="643"/>
      <c r="T505" s="643"/>
      <c r="U505" s="643"/>
      <c r="V505" s="644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42" t="s">
        <v>40</v>
      </c>
      <c r="Q506" s="643"/>
      <c r="R506" s="643"/>
      <c r="S506" s="643"/>
      <c r="T506" s="643"/>
      <c r="U506" s="643"/>
      <c r="V506" s="644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656" t="s">
        <v>163</v>
      </c>
      <c r="B507" s="656"/>
      <c r="C507" s="656"/>
      <c r="D507" s="656"/>
      <c r="E507" s="656"/>
      <c r="F507" s="656"/>
      <c r="G507" s="656"/>
      <c r="H507" s="656"/>
      <c r="I507" s="656"/>
      <c r="J507" s="656"/>
      <c r="K507" s="656"/>
      <c r="L507" s="656"/>
      <c r="M507" s="656"/>
      <c r="N507" s="656"/>
      <c r="O507" s="656"/>
      <c r="P507" s="656"/>
      <c r="Q507" s="656"/>
      <c r="R507" s="656"/>
      <c r="S507" s="656"/>
      <c r="T507" s="656"/>
      <c r="U507" s="656"/>
      <c r="V507" s="656"/>
      <c r="W507" s="656"/>
      <c r="X507" s="656"/>
      <c r="Y507" s="656"/>
      <c r="Z507" s="656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651">
        <v>4607091388930</v>
      </c>
      <c r="E508" s="65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6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53"/>
      <c r="R508" s="653"/>
      <c r="S508" s="653"/>
      <c r="T508" s="65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651">
        <v>4680115886407</v>
      </c>
      <c r="E509" s="651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53"/>
      <c r="R509" s="653"/>
      <c r="S509" s="653"/>
      <c r="T509" s="65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651">
        <v>4680115880054</v>
      </c>
      <c r="E510" s="65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6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53"/>
      <c r="R510" s="653"/>
      <c r="S510" s="653"/>
      <c r="T510" s="65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645"/>
      <c r="B511" s="645"/>
      <c r="C511" s="645"/>
      <c r="D511" s="645"/>
      <c r="E511" s="645"/>
      <c r="F511" s="645"/>
      <c r="G511" s="645"/>
      <c r="H511" s="645"/>
      <c r="I511" s="645"/>
      <c r="J511" s="645"/>
      <c r="K511" s="645"/>
      <c r="L511" s="645"/>
      <c r="M511" s="645"/>
      <c r="N511" s="645"/>
      <c r="O511" s="646"/>
      <c r="P511" s="642" t="s">
        <v>40</v>
      </c>
      <c r="Q511" s="643"/>
      <c r="R511" s="643"/>
      <c r="S511" s="643"/>
      <c r="T511" s="643"/>
      <c r="U511" s="643"/>
      <c r="V511" s="644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645"/>
      <c r="B512" s="645"/>
      <c r="C512" s="645"/>
      <c r="D512" s="645"/>
      <c r="E512" s="645"/>
      <c r="F512" s="645"/>
      <c r="G512" s="645"/>
      <c r="H512" s="645"/>
      <c r="I512" s="645"/>
      <c r="J512" s="645"/>
      <c r="K512" s="645"/>
      <c r="L512" s="645"/>
      <c r="M512" s="645"/>
      <c r="N512" s="645"/>
      <c r="O512" s="646"/>
      <c r="P512" s="642" t="s">
        <v>40</v>
      </c>
      <c r="Q512" s="643"/>
      <c r="R512" s="643"/>
      <c r="S512" s="643"/>
      <c r="T512" s="643"/>
      <c r="U512" s="643"/>
      <c r="V512" s="644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656" t="s">
        <v>76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651">
        <v>4680115883116</v>
      </c>
      <c r="E514" s="65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6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53"/>
      <c r="R514" s="653"/>
      <c r="S514" s="653"/>
      <c r="T514" s="654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651">
        <v>4680115883093</v>
      </c>
      <c r="E515" s="651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53"/>
      <c r="R515" s="653"/>
      <c r="S515" s="653"/>
      <c r="T515" s="654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651">
        <v>4680115883109</v>
      </c>
      <c r="E516" s="65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53"/>
      <c r="R516" s="653"/>
      <c r="S516" s="653"/>
      <c r="T516" s="65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651">
        <v>4680115882072</v>
      </c>
      <c r="E517" s="651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6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53"/>
      <c r="R517" s="653"/>
      <c r="S517" s="653"/>
      <c r="T517" s="65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651">
        <v>4680115882102</v>
      </c>
      <c r="E518" s="651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6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53"/>
      <c r="R518" s="653"/>
      <c r="S518" s="653"/>
      <c r="T518" s="65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651">
        <v>4680115882102</v>
      </c>
      <c r="E519" s="651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53"/>
      <c r="R519" s="653"/>
      <c r="S519" s="653"/>
      <c r="T519" s="65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651">
        <v>4680115882096</v>
      </c>
      <c r="E520" s="651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53"/>
      <c r="R520" s="653"/>
      <c r="S520" s="653"/>
      <c r="T520" s="65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645"/>
      <c r="B521" s="645"/>
      <c r="C521" s="645"/>
      <c r="D521" s="645"/>
      <c r="E521" s="645"/>
      <c r="F521" s="645"/>
      <c r="G521" s="645"/>
      <c r="H521" s="645"/>
      <c r="I521" s="645"/>
      <c r="J521" s="645"/>
      <c r="K521" s="645"/>
      <c r="L521" s="645"/>
      <c r="M521" s="645"/>
      <c r="N521" s="645"/>
      <c r="O521" s="646"/>
      <c r="P521" s="642" t="s">
        <v>40</v>
      </c>
      <c r="Q521" s="643"/>
      <c r="R521" s="643"/>
      <c r="S521" s="643"/>
      <c r="T521" s="643"/>
      <c r="U521" s="643"/>
      <c r="V521" s="644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645"/>
      <c r="B522" s="645"/>
      <c r="C522" s="645"/>
      <c r="D522" s="645"/>
      <c r="E522" s="645"/>
      <c r="F522" s="645"/>
      <c r="G522" s="645"/>
      <c r="H522" s="645"/>
      <c r="I522" s="645"/>
      <c r="J522" s="645"/>
      <c r="K522" s="645"/>
      <c r="L522" s="645"/>
      <c r="M522" s="645"/>
      <c r="N522" s="645"/>
      <c r="O522" s="646"/>
      <c r="P522" s="642" t="s">
        <v>40</v>
      </c>
      <c r="Q522" s="643"/>
      <c r="R522" s="643"/>
      <c r="S522" s="643"/>
      <c r="T522" s="643"/>
      <c r="U522" s="643"/>
      <c r="V522" s="644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662" t="s">
        <v>845</v>
      </c>
      <c r="B523" s="662"/>
      <c r="C523" s="662"/>
      <c r="D523" s="662"/>
      <c r="E523" s="662"/>
      <c r="F523" s="662"/>
      <c r="G523" s="662"/>
      <c r="H523" s="662"/>
      <c r="I523" s="662"/>
      <c r="J523" s="662"/>
      <c r="K523" s="662"/>
      <c r="L523" s="662"/>
      <c r="M523" s="662"/>
      <c r="N523" s="662"/>
      <c r="O523" s="662"/>
      <c r="P523" s="662"/>
      <c r="Q523" s="662"/>
      <c r="R523" s="662"/>
      <c r="S523" s="662"/>
      <c r="T523" s="662"/>
      <c r="U523" s="662"/>
      <c r="V523" s="662"/>
      <c r="W523" s="662"/>
      <c r="X523" s="662"/>
      <c r="Y523" s="662"/>
      <c r="Z523" s="662"/>
      <c r="AA523" s="54"/>
      <c r="AB523" s="54"/>
      <c r="AC523" s="54"/>
    </row>
    <row r="524" spans="1:68" ht="16.5" hidden="1" customHeight="1" x14ac:dyDescent="0.25">
      <c r="A524" s="655" t="s">
        <v>845</v>
      </c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  <c r="AA524" s="65"/>
      <c r="AB524" s="65"/>
      <c r="AC524" s="79"/>
    </row>
    <row r="525" spans="1:68" ht="14.25" hidden="1" customHeight="1" x14ac:dyDescent="0.25">
      <c r="A525" s="656" t="s">
        <v>127</v>
      </c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6"/>
      <c r="P525" s="656"/>
      <c r="Q525" s="656"/>
      <c r="R525" s="656"/>
      <c r="S525" s="656"/>
      <c r="T525" s="656"/>
      <c r="U525" s="656"/>
      <c r="V525" s="656"/>
      <c r="W525" s="656"/>
      <c r="X525" s="656"/>
      <c r="Y525" s="656"/>
      <c r="Z525" s="656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651">
        <v>4640242180564</v>
      </c>
      <c r="E526" s="651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53"/>
      <c r="R526" s="653"/>
      <c r="S526" s="653"/>
      <c r="T526" s="65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45"/>
      <c r="B527" s="645"/>
      <c r="C527" s="645"/>
      <c r="D527" s="645"/>
      <c r="E527" s="645"/>
      <c r="F527" s="645"/>
      <c r="G527" s="645"/>
      <c r="H527" s="645"/>
      <c r="I527" s="645"/>
      <c r="J527" s="645"/>
      <c r="K527" s="645"/>
      <c r="L527" s="645"/>
      <c r="M527" s="645"/>
      <c r="N527" s="645"/>
      <c r="O527" s="646"/>
      <c r="P527" s="642" t="s">
        <v>40</v>
      </c>
      <c r="Q527" s="643"/>
      <c r="R527" s="643"/>
      <c r="S527" s="643"/>
      <c r="T527" s="643"/>
      <c r="U527" s="643"/>
      <c r="V527" s="644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645"/>
      <c r="B528" s="645"/>
      <c r="C528" s="645"/>
      <c r="D528" s="645"/>
      <c r="E528" s="645"/>
      <c r="F528" s="645"/>
      <c r="G528" s="645"/>
      <c r="H528" s="645"/>
      <c r="I528" s="645"/>
      <c r="J528" s="645"/>
      <c r="K528" s="645"/>
      <c r="L528" s="645"/>
      <c r="M528" s="645"/>
      <c r="N528" s="645"/>
      <c r="O528" s="646"/>
      <c r="P528" s="642" t="s">
        <v>40</v>
      </c>
      <c r="Q528" s="643"/>
      <c r="R528" s="643"/>
      <c r="S528" s="643"/>
      <c r="T528" s="643"/>
      <c r="U528" s="643"/>
      <c r="V528" s="644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656" t="s">
        <v>163</v>
      </c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6"/>
      <c r="P529" s="656"/>
      <c r="Q529" s="656"/>
      <c r="R529" s="656"/>
      <c r="S529" s="656"/>
      <c r="T529" s="656"/>
      <c r="U529" s="656"/>
      <c r="V529" s="656"/>
      <c r="W529" s="656"/>
      <c r="X529" s="656"/>
      <c r="Y529" s="656"/>
      <c r="Z529" s="656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651">
        <v>4640242180519</v>
      </c>
      <c r="E530" s="651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66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53"/>
      <c r="R530" s="653"/>
      <c r="S530" s="653"/>
      <c r="T530" s="654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45"/>
      <c r="B531" s="645"/>
      <c r="C531" s="645"/>
      <c r="D531" s="645"/>
      <c r="E531" s="645"/>
      <c r="F531" s="645"/>
      <c r="G531" s="645"/>
      <c r="H531" s="645"/>
      <c r="I531" s="645"/>
      <c r="J531" s="645"/>
      <c r="K531" s="645"/>
      <c r="L531" s="645"/>
      <c r="M531" s="645"/>
      <c r="N531" s="645"/>
      <c r="O531" s="646"/>
      <c r="P531" s="642" t="s">
        <v>40</v>
      </c>
      <c r="Q531" s="643"/>
      <c r="R531" s="643"/>
      <c r="S531" s="643"/>
      <c r="T531" s="643"/>
      <c r="U531" s="643"/>
      <c r="V531" s="644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45"/>
      <c r="B532" s="645"/>
      <c r="C532" s="645"/>
      <c r="D532" s="645"/>
      <c r="E532" s="645"/>
      <c r="F532" s="645"/>
      <c r="G532" s="645"/>
      <c r="H532" s="645"/>
      <c r="I532" s="645"/>
      <c r="J532" s="645"/>
      <c r="K532" s="645"/>
      <c r="L532" s="645"/>
      <c r="M532" s="645"/>
      <c r="N532" s="645"/>
      <c r="O532" s="646"/>
      <c r="P532" s="642" t="s">
        <v>40</v>
      </c>
      <c r="Q532" s="643"/>
      <c r="R532" s="643"/>
      <c r="S532" s="643"/>
      <c r="T532" s="643"/>
      <c r="U532" s="643"/>
      <c r="V532" s="644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56" t="s">
        <v>76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651">
        <v>4640242180595</v>
      </c>
      <c r="E534" s="651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6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53"/>
      <c r="R534" s="653"/>
      <c r="S534" s="653"/>
      <c r="T534" s="65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42" t="s">
        <v>40</v>
      </c>
      <c r="Q535" s="643"/>
      <c r="R535" s="643"/>
      <c r="S535" s="643"/>
      <c r="T535" s="643"/>
      <c r="U535" s="643"/>
      <c r="V535" s="644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45"/>
      <c r="B536" s="645"/>
      <c r="C536" s="645"/>
      <c r="D536" s="645"/>
      <c r="E536" s="645"/>
      <c r="F536" s="645"/>
      <c r="G536" s="645"/>
      <c r="H536" s="645"/>
      <c r="I536" s="645"/>
      <c r="J536" s="645"/>
      <c r="K536" s="645"/>
      <c r="L536" s="645"/>
      <c r="M536" s="645"/>
      <c r="N536" s="645"/>
      <c r="O536" s="646"/>
      <c r="P536" s="642" t="s">
        <v>40</v>
      </c>
      <c r="Q536" s="643"/>
      <c r="R536" s="643"/>
      <c r="S536" s="643"/>
      <c r="T536" s="643"/>
      <c r="U536" s="643"/>
      <c r="V536" s="644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56" t="s">
        <v>85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651">
        <v>4640242180533</v>
      </c>
      <c r="E538" s="651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53"/>
      <c r="R538" s="653"/>
      <c r="S538" s="653"/>
      <c r="T538" s="654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45"/>
      <c r="B539" s="645"/>
      <c r="C539" s="645"/>
      <c r="D539" s="645"/>
      <c r="E539" s="645"/>
      <c r="F539" s="645"/>
      <c r="G539" s="645"/>
      <c r="H539" s="645"/>
      <c r="I539" s="645"/>
      <c r="J539" s="645"/>
      <c r="K539" s="645"/>
      <c r="L539" s="645"/>
      <c r="M539" s="645"/>
      <c r="N539" s="645"/>
      <c r="O539" s="646"/>
      <c r="P539" s="642" t="s">
        <v>40</v>
      </c>
      <c r="Q539" s="643"/>
      <c r="R539" s="643"/>
      <c r="S539" s="643"/>
      <c r="T539" s="643"/>
      <c r="U539" s="643"/>
      <c r="V539" s="644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45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42" t="s">
        <v>40</v>
      </c>
      <c r="Q540" s="643"/>
      <c r="R540" s="643"/>
      <c r="S540" s="643"/>
      <c r="T540" s="643"/>
      <c r="U540" s="643"/>
      <c r="V540" s="644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56" t="s">
        <v>180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651">
        <v>4640242180120</v>
      </c>
      <c r="E542" s="651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6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53"/>
      <c r="R542" s="653"/>
      <c r="S542" s="653"/>
      <c r="T542" s="654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651">
        <v>4640242180137</v>
      </c>
      <c r="E543" s="651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6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53"/>
      <c r="R543" s="653"/>
      <c r="S543" s="653"/>
      <c r="T543" s="654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5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42" t="s">
        <v>40</v>
      </c>
      <c r="Q544" s="643"/>
      <c r="R544" s="643"/>
      <c r="S544" s="643"/>
      <c r="T544" s="643"/>
      <c r="U544" s="643"/>
      <c r="V544" s="644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42" t="s">
        <v>40</v>
      </c>
      <c r="Q545" s="643"/>
      <c r="R545" s="643"/>
      <c r="S545" s="643"/>
      <c r="T545" s="643"/>
      <c r="U545" s="643"/>
      <c r="V545" s="644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655" t="s">
        <v>864</v>
      </c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5"/>
      <c r="AB546" s="65"/>
      <c r="AC546" s="79"/>
    </row>
    <row r="547" spans="1:68" ht="14.25" hidden="1" customHeight="1" x14ac:dyDescent="0.25">
      <c r="A547" s="656" t="s">
        <v>163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651">
        <v>4640242180090</v>
      </c>
      <c r="E548" s="651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6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53"/>
      <c r="R548" s="653"/>
      <c r="S548" s="653"/>
      <c r="T548" s="65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42" t="s">
        <v>40</v>
      </c>
      <c r="Q549" s="643"/>
      <c r="R549" s="643"/>
      <c r="S549" s="643"/>
      <c r="T549" s="643"/>
      <c r="U549" s="643"/>
      <c r="V549" s="64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5"/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6"/>
      <c r="P550" s="642" t="s">
        <v>40</v>
      </c>
      <c r="Q550" s="643"/>
      <c r="R550" s="643"/>
      <c r="S550" s="643"/>
      <c r="T550" s="643"/>
      <c r="U550" s="643"/>
      <c r="V550" s="64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645"/>
      <c r="B551" s="645"/>
      <c r="C551" s="645"/>
      <c r="D551" s="645"/>
      <c r="E551" s="645"/>
      <c r="F551" s="645"/>
      <c r="G551" s="645"/>
      <c r="H551" s="645"/>
      <c r="I551" s="645"/>
      <c r="J551" s="645"/>
      <c r="K551" s="645"/>
      <c r="L551" s="645"/>
      <c r="M551" s="645"/>
      <c r="N551" s="645"/>
      <c r="O551" s="650"/>
      <c r="P551" s="647" t="s">
        <v>33</v>
      </c>
      <c r="Q551" s="648"/>
      <c r="R551" s="648"/>
      <c r="S551" s="648"/>
      <c r="T551" s="648"/>
      <c r="U551" s="648"/>
      <c r="V551" s="649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3850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3870</v>
      </c>
      <c r="Z551" s="42"/>
      <c r="AA551" s="67"/>
      <c r="AB551" s="67"/>
      <c r="AC551" s="67"/>
    </row>
    <row r="552" spans="1:68" x14ac:dyDescent="0.2">
      <c r="A552" s="645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50"/>
      <c r="P552" s="647" t="s">
        <v>34</v>
      </c>
      <c r="Q552" s="648"/>
      <c r="R552" s="648"/>
      <c r="S552" s="648"/>
      <c r="T552" s="648"/>
      <c r="U552" s="648"/>
      <c r="V552" s="649"/>
      <c r="W552" s="42" t="s">
        <v>0</v>
      </c>
      <c r="X552" s="43">
        <f>IFERROR(SUM(BM22:BM548),"0")</f>
        <v>3970.6333333333337</v>
      </c>
      <c r="Y552" s="43">
        <f>IFERROR(SUM(BN22:BN548),"0")</f>
        <v>3991.2600000000007</v>
      </c>
      <c r="Z552" s="42"/>
      <c r="AA552" s="67"/>
      <c r="AB552" s="67"/>
      <c r="AC552" s="67"/>
    </row>
    <row r="553" spans="1:68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50"/>
      <c r="P553" s="647" t="s">
        <v>35</v>
      </c>
      <c r="Q553" s="648"/>
      <c r="R553" s="648"/>
      <c r="S553" s="648"/>
      <c r="T553" s="648"/>
      <c r="U553" s="648"/>
      <c r="V553" s="649"/>
      <c r="W553" s="42" t="s">
        <v>20</v>
      </c>
      <c r="X553" s="44">
        <f>ROUNDUP(SUM(BO22:BO548),0)</f>
        <v>6</v>
      </c>
      <c r="Y553" s="44">
        <f>ROUNDUP(SUM(BP22:BP548),0)</f>
        <v>6</v>
      </c>
      <c r="Z553" s="42"/>
      <c r="AA553" s="67"/>
      <c r="AB553" s="67"/>
      <c r="AC553" s="67"/>
    </row>
    <row r="554" spans="1:68" x14ac:dyDescent="0.2">
      <c r="A554" s="645"/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50"/>
      <c r="P554" s="647" t="s">
        <v>36</v>
      </c>
      <c r="Q554" s="648"/>
      <c r="R554" s="648"/>
      <c r="S554" s="648"/>
      <c r="T554" s="648"/>
      <c r="U554" s="648"/>
      <c r="V554" s="649"/>
      <c r="W554" s="42" t="s">
        <v>0</v>
      </c>
      <c r="X554" s="43">
        <f>GrossWeightTotal+PalletQtyTotal*25</f>
        <v>4120.6333333333332</v>
      </c>
      <c r="Y554" s="43">
        <f>GrossWeightTotalR+PalletQtyTotalR*25</f>
        <v>4141.26</v>
      </c>
      <c r="Z554" s="42"/>
      <c r="AA554" s="67"/>
      <c r="AB554" s="67"/>
      <c r="AC554" s="67"/>
    </row>
    <row r="555" spans="1:68" x14ac:dyDescent="0.2">
      <c r="A555" s="645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45"/>
      <c r="O555" s="650"/>
      <c r="P555" s="647" t="s">
        <v>37</v>
      </c>
      <c r="Q555" s="648"/>
      <c r="R555" s="648"/>
      <c r="S555" s="648"/>
      <c r="T555" s="648"/>
      <c r="U555" s="648"/>
      <c r="V555" s="649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256.66666666666663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258</v>
      </c>
      <c r="Z555" s="42"/>
      <c r="AA555" s="67"/>
      <c r="AB555" s="67"/>
      <c r="AC555" s="67"/>
    </row>
    <row r="556" spans="1:68" ht="14.25" hidden="1" x14ac:dyDescent="0.2">
      <c r="A556" s="645"/>
      <c r="B556" s="645"/>
      <c r="C556" s="645"/>
      <c r="D556" s="645"/>
      <c r="E556" s="645"/>
      <c r="F556" s="645"/>
      <c r="G556" s="645"/>
      <c r="H556" s="645"/>
      <c r="I556" s="645"/>
      <c r="J556" s="645"/>
      <c r="K556" s="645"/>
      <c r="L556" s="645"/>
      <c r="M556" s="645"/>
      <c r="N556" s="645"/>
      <c r="O556" s="650"/>
      <c r="P556" s="647" t="s">
        <v>38</v>
      </c>
      <c r="Q556" s="648"/>
      <c r="R556" s="648"/>
      <c r="S556" s="648"/>
      <c r="T556" s="648"/>
      <c r="U556" s="648"/>
      <c r="V556" s="649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5.6114999999999995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638" t="s">
        <v>125</v>
      </c>
      <c r="E558" s="638" t="s">
        <v>125</v>
      </c>
      <c r="F558" s="638" t="s">
        <v>125</v>
      </c>
      <c r="G558" s="638" t="s">
        <v>125</v>
      </c>
      <c r="H558" s="638" t="s">
        <v>125</v>
      </c>
      <c r="I558" s="638" t="s">
        <v>125</v>
      </c>
      <c r="J558" s="638" t="s">
        <v>125</v>
      </c>
      <c r="K558" s="638" t="s">
        <v>357</v>
      </c>
      <c r="L558" s="638" t="s">
        <v>357</v>
      </c>
      <c r="M558" s="638" t="s">
        <v>357</v>
      </c>
      <c r="N558" s="639"/>
      <c r="O558" s="638" t="s">
        <v>357</v>
      </c>
      <c r="P558" s="638" t="s">
        <v>357</v>
      </c>
      <c r="Q558" s="638" t="s">
        <v>357</v>
      </c>
      <c r="R558" s="638" t="s">
        <v>357</v>
      </c>
      <c r="S558" s="638" t="s">
        <v>357</v>
      </c>
      <c r="T558" s="638" t="s">
        <v>357</v>
      </c>
      <c r="U558" s="638" t="s">
        <v>357</v>
      </c>
      <c r="V558" s="638" t="s">
        <v>696</v>
      </c>
      <c r="W558" s="638" t="s">
        <v>696</v>
      </c>
      <c r="X558" s="638" t="s">
        <v>762</v>
      </c>
      <c r="Y558" s="638" t="s">
        <v>762</v>
      </c>
      <c r="Z558" s="85" t="s">
        <v>798</v>
      </c>
      <c r="AA558" s="638" t="s">
        <v>845</v>
      </c>
      <c r="AB558" s="638" t="s">
        <v>845</v>
      </c>
      <c r="AC558" s="60"/>
      <c r="AF558" s="1"/>
    </row>
    <row r="559" spans="1:68" ht="14.25" customHeight="1" thickTop="1" x14ac:dyDescent="0.2">
      <c r="A559" s="640" t="s">
        <v>10</v>
      </c>
      <c r="B559" s="638" t="s">
        <v>75</v>
      </c>
      <c r="C559" s="638" t="s">
        <v>109</v>
      </c>
      <c r="D559" s="638" t="s">
        <v>126</v>
      </c>
      <c r="E559" s="638" t="s">
        <v>142</v>
      </c>
      <c r="F559" s="638" t="s">
        <v>187</v>
      </c>
      <c r="G559" s="638" t="s">
        <v>208</v>
      </c>
      <c r="H559" s="638" t="s">
        <v>247</v>
      </c>
      <c r="I559" s="638" t="s">
        <v>275</v>
      </c>
      <c r="J559" s="638" t="s">
        <v>125</v>
      </c>
      <c r="K559" s="638" t="s">
        <v>358</v>
      </c>
      <c r="L559" s="638" t="s">
        <v>379</v>
      </c>
      <c r="M559" s="638" t="s">
        <v>446</v>
      </c>
      <c r="N559" s="1"/>
      <c r="O559" s="638" t="s">
        <v>514</v>
      </c>
      <c r="P559" s="638" t="s">
        <v>547</v>
      </c>
      <c r="Q559" s="638" t="s">
        <v>563</v>
      </c>
      <c r="R559" s="638" t="s">
        <v>572</v>
      </c>
      <c r="S559" s="638" t="s">
        <v>593</v>
      </c>
      <c r="T559" s="638" t="s">
        <v>602</v>
      </c>
      <c r="U559" s="638" t="s">
        <v>686</v>
      </c>
      <c r="V559" s="638" t="s">
        <v>697</v>
      </c>
      <c r="W559" s="638" t="s">
        <v>746</v>
      </c>
      <c r="X559" s="638" t="s">
        <v>763</v>
      </c>
      <c r="Y559" s="638" t="s">
        <v>786</v>
      </c>
      <c r="Z559" s="638" t="s">
        <v>798</v>
      </c>
      <c r="AA559" s="638" t="s">
        <v>845</v>
      </c>
      <c r="AB559" s="638" t="s">
        <v>864</v>
      </c>
      <c r="AC559" s="60"/>
      <c r="AF559" s="1"/>
    </row>
    <row r="560" spans="1:68" ht="13.5" thickBot="1" x14ac:dyDescent="0.25">
      <c r="A560" s="641"/>
      <c r="B560" s="638"/>
      <c r="C560" s="638"/>
      <c r="D560" s="638"/>
      <c r="E560" s="638"/>
      <c r="F560" s="638"/>
      <c r="G560" s="638"/>
      <c r="H560" s="638"/>
      <c r="I560" s="638"/>
      <c r="J560" s="638"/>
      <c r="K560" s="638"/>
      <c r="L560" s="638"/>
      <c r="M560" s="638"/>
      <c r="N560" s="1"/>
      <c r="O560" s="638"/>
      <c r="P560" s="638"/>
      <c r="Q560" s="638"/>
      <c r="R560" s="638"/>
      <c r="S560" s="638"/>
      <c r="T560" s="638"/>
      <c r="U560" s="638"/>
      <c r="V560" s="638"/>
      <c r="W560" s="638"/>
      <c r="X560" s="638"/>
      <c r="Y560" s="638"/>
      <c r="Z560" s="638"/>
      <c r="AA560" s="638"/>
      <c r="AB560" s="638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3870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370,00"/>
        <filter val="1 380,00"/>
        <filter val="256,67"/>
        <filter val="3 850,00"/>
        <filter val="3 970,63"/>
        <filter val="4 120,63"/>
        <filter val="6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9" spans="2:8" x14ac:dyDescent="0.2">
      <c r="B9" s="53" t="s">
        <v>877</v>
      </c>
      <c r="C9" s="53" t="s">
        <v>872</v>
      </c>
      <c r="D9" s="53" t="s">
        <v>46</v>
      </c>
      <c r="E9" s="53" t="s">
        <v>46</v>
      </c>
    </row>
    <row r="11" spans="2:8" x14ac:dyDescent="0.2">
      <c r="B11" s="53" t="s">
        <v>877</v>
      </c>
      <c r="C11" s="53" t="s">
        <v>875</v>
      </c>
      <c r="D11" s="53" t="s">
        <v>46</v>
      </c>
      <c r="E11" s="53" t="s">
        <v>46</v>
      </c>
    </row>
    <row r="13" spans="2:8" x14ac:dyDescent="0.2">
      <c r="B13" s="53" t="s">
        <v>878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888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2026-08-10T06:26:24Z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