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C5FC22-4FAC-444E-8261-6FC81306C0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P551" i="1"/>
  <c r="BO551" i="1"/>
  <c r="BM551" i="1"/>
  <c r="Y551" i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BP521" i="1" s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Y524" i="1" s="1"/>
  <c r="P517" i="1"/>
  <c r="X515" i="1"/>
  <c r="X514" i="1"/>
  <c r="BO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BP505" i="1" s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BP501" i="1" s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BN491" i="1" s="1"/>
  <c r="P491" i="1"/>
  <c r="Y489" i="1"/>
  <c r="X489" i="1"/>
  <c r="Y488" i="1"/>
  <c r="X488" i="1"/>
  <c r="BO487" i="1"/>
  <c r="BM487" i="1"/>
  <c r="Y487" i="1"/>
  <c r="BP487" i="1" s="1"/>
  <c r="P487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Y484" i="1" s="1"/>
  <c r="P481" i="1"/>
  <c r="X479" i="1"/>
  <c r="X478" i="1"/>
  <c r="BO477" i="1"/>
  <c r="BM477" i="1"/>
  <c r="Y477" i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BP474" i="1" s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BN464" i="1" s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BP456" i="1" s="1"/>
  <c r="P456" i="1"/>
  <c r="BO455" i="1"/>
  <c r="BM455" i="1"/>
  <c r="Y455" i="1"/>
  <c r="P455" i="1"/>
  <c r="Y452" i="1"/>
  <c r="X452" i="1"/>
  <c r="X451" i="1"/>
  <c r="BO450" i="1"/>
  <c r="BM450" i="1"/>
  <c r="Y450" i="1"/>
  <c r="P450" i="1"/>
  <c r="BO449" i="1"/>
  <c r="BM449" i="1"/>
  <c r="Z449" i="1"/>
  <c r="Y449" i="1"/>
  <c r="P449" i="1"/>
  <c r="X447" i="1"/>
  <c r="X446" i="1"/>
  <c r="BO445" i="1"/>
  <c r="BM445" i="1"/>
  <c r="Y445" i="1"/>
  <c r="BN445" i="1" s="1"/>
  <c r="P445" i="1"/>
  <c r="BO444" i="1"/>
  <c r="BM444" i="1"/>
  <c r="Y444" i="1"/>
  <c r="P444" i="1"/>
  <c r="BO443" i="1"/>
  <c r="BM443" i="1"/>
  <c r="Y443" i="1"/>
  <c r="BN443" i="1" s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BN437" i="1" s="1"/>
  <c r="P437" i="1"/>
  <c r="X435" i="1"/>
  <c r="X434" i="1"/>
  <c r="BO433" i="1"/>
  <c r="BM433" i="1"/>
  <c r="Y433" i="1"/>
  <c r="BN433" i="1" s="1"/>
  <c r="P433" i="1"/>
  <c r="BO432" i="1"/>
  <c r="BM432" i="1"/>
  <c r="Y432" i="1"/>
  <c r="BN432" i="1" s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X422" i="1"/>
  <c r="X421" i="1"/>
  <c r="BO420" i="1"/>
  <c r="BM420" i="1"/>
  <c r="Y420" i="1"/>
  <c r="P420" i="1"/>
  <c r="BO419" i="1"/>
  <c r="BM419" i="1"/>
  <c r="Y419" i="1"/>
  <c r="BN419" i="1" s="1"/>
  <c r="P419" i="1"/>
  <c r="BO418" i="1"/>
  <c r="BM418" i="1"/>
  <c r="Y418" i="1"/>
  <c r="P418" i="1"/>
  <c r="X415" i="1"/>
  <c r="Y414" i="1"/>
  <c r="X414" i="1"/>
  <c r="BO413" i="1"/>
  <c r="BM413" i="1"/>
  <c r="Y413" i="1"/>
  <c r="BN413" i="1" s="1"/>
  <c r="BP412" i="1"/>
  <c r="BO412" i="1"/>
  <c r="BN412" i="1"/>
  <c r="BM412" i="1"/>
  <c r="Z412" i="1"/>
  <c r="Y412" i="1"/>
  <c r="U564" i="1" s="1"/>
  <c r="X409" i="1"/>
  <c r="X408" i="1"/>
  <c r="BO407" i="1"/>
  <c r="BM407" i="1"/>
  <c r="Y407" i="1"/>
  <c r="BN407" i="1" s="1"/>
  <c r="P407" i="1"/>
  <c r="BO406" i="1"/>
  <c r="BM406" i="1"/>
  <c r="Y406" i="1"/>
  <c r="BN406" i="1" s="1"/>
  <c r="P406" i="1"/>
  <c r="BO405" i="1"/>
  <c r="BM405" i="1"/>
  <c r="Y405" i="1"/>
  <c r="BN405" i="1" s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Z394" i="1"/>
  <c r="Y394" i="1"/>
  <c r="BN394" i="1" s="1"/>
  <c r="P394" i="1"/>
  <c r="BO393" i="1"/>
  <c r="BM393" i="1"/>
  <c r="Y393" i="1"/>
  <c r="BN393" i="1" s="1"/>
  <c r="P393" i="1"/>
  <c r="BO392" i="1"/>
  <c r="BM392" i="1"/>
  <c r="Y392" i="1"/>
  <c r="BP392" i="1" s="1"/>
  <c r="P392" i="1"/>
  <c r="X390" i="1"/>
  <c r="X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Z386" i="1"/>
  <c r="Y386" i="1"/>
  <c r="P386" i="1"/>
  <c r="X384" i="1"/>
  <c r="X383" i="1"/>
  <c r="BO382" i="1"/>
  <c r="BM382" i="1"/>
  <c r="Z382" i="1"/>
  <c r="Y382" i="1"/>
  <c r="BN382" i="1" s="1"/>
  <c r="P382" i="1"/>
  <c r="BO381" i="1"/>
  <c r="BM381" i="1"/>
  <c r="Y381" i="1"/>
  <c r="BN381" i="1" s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BP372" i="1" s="1"/>
  <c r="P372" i="1"/>
  <c r="BO371" i="1"/>
  <c r="BM371" i="1"/>
  <c r="Y371" i="1"/>
  <c r="P371" i="1"/>
  <c r="BP370" i="1"/>
  <c r="BO370" i="1"/>
  <c r="BM370" i="1"/>
  <c r="Y370" i="1"/>
  <c r="P370" i="1"/>
  <c r="BO369" i="1"/>
  <c r="BM369" i="1"/>
  <c r="Y369" i="1"/>
  <c r="BN369" i="1" s="1"/>
  <c r="P369" i="1"/>
  <c r="X367" i="1"/>
  <c r="X366" i="1"/>
  <c r="BO365" i="1"/>
  <c r="BM365" i="1"/>
  <c r="Y365" i="1"/>
  <c r="BN365" i="1" s="1"/>
  <c r="P365" i="1"/>
  <c r="BO364" i="1"/>
  <c r="BM364" i="1"/>
  <c r="Y364" i="1"/>
  <c r="BP364" i="1" s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BN355" i="1" s="1"/>
  <c r="P355" i="1"/>
  <c r="BO354" i="1"/>
  <c r="BM354" i="1"/>
  <c r="Y354" i="1"/>
  <c r="P354" i="1"/>
  <c r="Y351" i="1"/>
  <c r="X351" i="1"/>
  <c r="Y350" i="1"/>
  <c r="X350" i="1"/>
  <c r="BP349" i="1"/>
  <c r="BO349" i="1"/>
  <c r="BN349" i="1"/>
  <c r="BM349" i="1"/>
  <c r="Z349" i="1"/>
  <c r="Y349" i="1"/>
  <c r="P349" i="1"/>
  <c r="BO348" i="1"/>
  <c r="BM348" i="1"/>
  <c r="Z348" i="1"/>
  <c r="Y348" i="1"/>
  <c r="BN348" i="1" s="1"/>
  <c r="P348" i="1"/>
  <c r="X346" i="1"/>
  <c r="X345" i="1"/>
  <c r="BO344" i="1"/>
  <c r="BM344" i="1"/>
  <c r="Z344" i="1"/>
  <c r="Y344" i="1"/>
  <c r="BN344" i="1" s="1"/>
  <c r="P344" i="1"/>
  <c r="BO343" i="1"/>
  <c r="BM343" i="1"/>
  <c r="Y343" i="1"/>
  <c r="P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Z340" i="1"/>
  <c r="Y340" i="1"/>
  <c r="BP340" i="1" s="1"/>
  <c r="P340" i="1"/>
  <c r="X337" i="1"/>
  <c r="X336" i="1"/>
  <c r="BO335" i="1"/>
  <c r="BM335" i="1"/>
  <c r="Z335" i="1"/>
  <c r="Y335" i="1"/>
  <c r="BN335" i="1" s="1"/>
  <c r="P335" i="1"/>
  <c r="BO334" i="1"/>
  <c r="BM334" i="1"/>
  <c r="Y334" i="1"/>
  <c r="P334" i="1"/>
  <c r="BO333" i="1"/>
  <c r="BM333" i="1"/>
  <c r="Y333" i="1"/>
  <c r="BN333" i="1" s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M326" i="1"/>
  <c r="Y326" i="1"/>
  <c r="P326" i="1"/>
  <c r="BO325" i="1"/>
  <c r="BM325" i="1"/>
  <c r="Y325" i="1"/>
  <c r="P325" i="1"/>
  <c r="BO324" i="1"/>
  <c r="BM324" i="1"/>
  <c r="Y324" i="1"/>
  <c r="BN324" i="1" s="1"/>
  <c r="P324" i="1"/>
  <c r="X321" i="1"/>
  <c r="X320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P317" i="1"/>
  <c r="Y315" i="1"/>
  <c r="X315" i="1"/>
  <c r="X314" i="1"/>
  <c r="BO313" i="1"/>
  <c r="BM313" i="1"/>
  <c r="Z313" i="1"/>
  <c r="Z314" i="1" s="1"/>
  <c r="Y313" i="1"/>
  <c r="Y314" i="1" s="1"/>
  <c r="P313" i="1"/>
  <c r="X311" i="1"/>
  <c r="X310" i="1"/>
  <c r="BP309" i="1"/>
  <c r="BO309" i="1"/>
  <c r="BM309" i="1"/>
  <c r="Y309" i="1"/>
  <c r="P309" i="1"/>
  <c r="X307" i="1"/>
  <c r="X306" i="1"/>
  <c r="BO305" i="1"/>
  <c r="BM305" i="1"/>
  <c r="Y305" i="1"/>
  <c r="P305" i="1"/>
  <c r="BO304" i="1"/>
  <c r="BM304" i="1"/>
  <c r="Y304" i="1"/>
  <c r="BN304" i="1" s="1"/>
  <c r="P304" i="1"/>
  <c r="BO303" i="1"/>
  <c r="BM303" i="1"/>
  <c r="Y303" i="1"/>
  <c r="BN303" i="1" s="1"/>
  <c r="P303" i="1"/>
  <c r="BP302" i="1"/>
  <c r="BO302" i="1"/>
  <c r="BN302" i="1"/>
  <c r="BM302" i="1"/>
  <c r="Z302" i="1"/>
  <c r="Y302" i="1"/>
  <c r="P302" i="1"/>
  <c r="BO301" i="1"/>
  <c r="BM301" i="1"/>
  <c r="Z301" i="1"/>
  <c r="Y301" i="1"/>
  <c r="BN301" i="1" s="1"/>
  <c r="P301" i="1"/>
  <c r="BO300" i="1"/>
  <c r="BM300" i="1"/>
  <c r="Y300" i="1"/>
  <c r="BN300" i="1" s="1"/>
  <c r="P300" i="1"/>
  <c r="BO299" i="1"/>
  <c r="BM299" i="1"/>
  <c r="Y299" i="1"/>
  <c r="P299" i="1"/>
  <c r="X296" i="1"/>
  <c r="X295" i="1"/>
  <c r="BO294" i="1"/>
  <c r="BM294" i="1"/>
  <c r="Y294" i="1"/>
  <c r="BN294" i="1" s="1"/>
  <c r="P294" i="1"/>
  <c r="BO293" i="1"/>
  <c r="BM293" i="1"/>
  <c r="Y293" i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BN288" i="1" s="1"/>
  <c r="P288" i="1"/>
  <c r="BO287" i="1"/>
  <c r="BM287" i="1"/>
  <c r="Z287" i="1"/>
  <c r="Y287" i="1"/>
  <c r="BN287" i="1" s="1"/>
  <c r="P287" i="1"/>
  <c r="BO286" i="1"/>
  <c r="BM286" i="1"/>
  <c r="Y286" i="1"/>
  <c r="BN286" i="1" s="1"/>
  <c r="P286" i="1"/>
  <c r="BP285" i="1"/>
  <c r="BO285" i="1"/>
  <c r="BN285" i="1"/>
  <c r="BM285" i="1"/>
  <c r="Z285" i="1"/>
  <c r="Y285" i="1"/>
  <c r="P285" i="1"/>
  <c r="BO284" i="1"/>
  <c r="BM284" i="1"/>
  <c r="Y284" i="1"/>
  <c r="BN284" i="1" s="1"/>
  <c r="P284" i="1"/>
  <c r="BO283" i="1"/>
  <c r="BM283" i="1"/>
  <c r="Y283" i="1"/>
  <c r="BP283" i="1" s="1"/>
  <c r="P283" i="1"/>
  <c r="BO282" i="1"/>
  <c r="BM282" i="1"/>
  <c r="Y282" i="1"/>
  <c r="BN282" i="1" s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N270" i="1" s="1"/>
  <c r="P270" i="1"/>
  <c r="BO269" i="1"/>
  <c r="BM269" i="1"/>
  <c r="Y269" i="1"/>
  <c r="BP269" i="1" s="1"/>
  <c r="P269" i="1"/>
  <c r="BO268" i="1"/>
  <c r="BM268" i="1"/>
  <c r="Y268" i="1"/>
  <c r="P268" i="1"/>
  <c r="BP267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Y262" i="1"/>
  <c r="BN262" i="1" s="1"/>
  <c r="P262" i="1"/>
  <c r="X260" i="1"/>
  <c r="X259" i="1"/>
  <c r="BO258" i="1"/>
  <c r="BM258" i="1"/>
  <c r="Y258" i="1"/>
  <c r="Y259" i="1" s="1"/>
  <c r="P258" i="1"/>
  <c r="BO257" i="1"/>
  <c r="BM257" i="1"/>
  <c r="Y257" i="1"/>
  <c r="BN257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X244" i="1"/>
  <c r="X243" i="1"/>
  <c r="BO242" i="1"/>
  <c r="BM242" i="1"/>
  <c r="Z242" i="1"/>
  <c r="Y242" i="1"/>
  <c r="BN242" i="1" s="1"/>
  <c r="P242" i="1"/>
  <c r="BO241" i="1"/>
  <c r="BM241" i="1"/>
  <c r="Y241" i="1"/>
  <c r="BN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X236" i="1"/>
  <c r="X235" i="1"/>
  <c r="BO234" i="1"/>
  <c r="BM234" i="1"/>
  <c r="Z234" i="1"/>
  <c r="Y234" i="1"/>
  <c r="BN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Z230" i="1"/>
  <c r="Y230" i="1"/>
  <c r="BN230" i="1" s="1"/>
  <c r="P230" i="1"/>
  <c r="BO229" i="1"/>
  <c r="BM229" i="1"/>
  <c r="Y229" i="1"/>
  <c r="BN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N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N222" i="1" s="1"/>
  <c r="P222" i="1"/>
  <c r="BO221" i="1"/>
  <c r="BM221" i="1"/>
  <c r="Y221" i="1"/>
  <c r="BN221" i="1" s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M209" i="1"/>
  <c r="Y209" i="1"/>
  <c r="P209" i="1"/>
  <c r="BO208" i="1"/>
  <c r="BM208" i="1"/>
  <c r="Y208" i="1"/>
  <c r="BN208" i="1" s="1"/>
  <c r="P208" i="1"/>
  <c r="BP207" i="1"/>
  <c r="BO207" i="1"/>
  <c r="BN207" i="1"/>
  <c r="BM207" i="1"/>
  <c r="Z207" i="1"/>
  <c r="Y207" i="1"/>
  <c r="P207" i="1"/>
  <c r="BO206" i="1"/>
  <c r="BM206" i="1"/>
  <c r="Z206" i="1"/>
  <c r="Y206" i="1"/>
  <c r="BN206" i="1" s="1"/>
  <c r="P206" i="1"/>
  <c r="X202" i="1"/>
  <c r="X201" i="1"/>
  <c r="BO200" i="1"/>
  <c r="BM200" i="1"/>
  <c r="Y200" i="1"/>
  <c r="P200" i="1"/>
  <c r="Y198" i="1"/>
  <c r="X198" i="1"/>
  <c r="X197" i="1"/>
  <c r="BO196" i="1"/>
  <c r="BM196" i="1"/>
  <c r="Z196" i="1"/>
  <c r="Y196" i="1"/>
  <c r="BN196" i="1" s="1"/>
  <c r="P196" i="1"/>
  <c r="BO195" i="1"/>
  <c r="BM195" i="1"/>
  <c r="Z195" i="1"/>
  <c r="Z197" i="1" s="1"/>
  <c r="Y195" i="1"/>
  <c r="BN195" i="1" s="1"/>
  <c r="P195" i="1"/>
  <c r="X193" i="1"/>
  <c r="X192" i="1"/>
  <c r="BO191" i="1"/>
  <c r="BM191" i="1"/>
  <c r="Z191" i="1"/>
  <c r="Y191" i="1"/>
  <c r="BN191" i="1" s="1"/>
  <c r="P191" i="1"/>
  <c r="BO190" i="1"/>
  <c r="BM190" i="1"/>
  <c r="Y190" i="1"/>
  <c r="BN190" i="1" s="1"/>
  <c r="P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Z184" i="1"/>
  <c r="Y184" i="1"/>
  <c r="BN184" i="1" s="1"/>
  <c r="P184" i="1"/>
  <c r="BO183" i="1"/>
  <c r="BM183" i="1"/>
  <c r="Z183" i="1"/>
  <c r="Y183" i="1"/>
  <c r="BN183" i="1" s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P180" i="1"/>
  <c r="BP179" i="1"/>
  <c r="BO179" i="1"/>
  <c r="BM179" i="1"/>
  <c r="Y179" i="1"/>
  <c r="P179" i="1"/>
  <c r="BO178" i="1"/>
  <c r="BM178" i="1"/>
  <c r="Y178" i="1"/>
  <c r="BN178" i="1" s="1"/>
  <c r="P178" i="1"/>
  <c r="BP177" i="1"/>
  <c r="BO177" i="1"/>
  <c r="BN177" i="1"/>
  <c r="BM177" i="1"/>
  <c r="Z177" i="1"/>
  <c r="Y177" i="1"/>
  <c r="P177" i="1"/>
  <c r="BO176" i="1"/>
  <c r="BM176" i="1"/>
  <c r="Z176" i="1"/>
  <c r="Y176" i="1"/>
  <c r="BN176" i="1" s="1"/>
  <c r="P176" i="1"/>
  <c r="BO175" i="1"/>
  <c r="BM175" i="1"/>
  <c r="Z175" i="1"/>
  <c r="Y175" i="1"/>
  <c r="P175" i="1"/>
  <c r="X173" i="1"/>
  <c r="X172" i="1"/>
  <c r="BO171" i="1"/>
  <c r="BM171" i="1"/>
  <c r="Z171" i="1"/>
  <c r="Y171" i="1"/>
  <c r="BN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P166" i="1"/>
  <c r="BO165" i="1"/>
  <c r="BN165" i="1"/>
  <c r="BM165" i="1"/>
  <c r="Z165" i="1"/>
  <c r="Y165" i="1"/>
  <c r="BP165" i="1" s="1"/>
  <c r="P165" i="1"/>
  <c r="BO164" i="1"/>
  <c r="BM164" i="1"/>
  <c r="Z164" i="1"/>
  <c r="Y164" i="1"/>
  <c r="BN164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N155" i="1" s="1"/>
  <c r="P155" i="1"/>
  <c r="BO154" i="1"/>
  <c r="BM154" i="1"/>
  <c r="Y154" i="1"/>
  <c r="BN154" i="1" s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Z151" i="1"/>
  <c r="Y151" i="1"/>
  <c r="BN151" i="1" s="1"/>
  <c r="P151" i="1"/>
  <c r="BO150" i="1"/>
  <c r="BM150" i="1"/>
  <c r="Z150" i="1"/>
  <c r="Y150" i="1"/>
  <c r="BN150" i="1" s="1"/>
  <c r="P150" i="1"/>
  <c r="BO149" i="1"/>
  <c r="BM149" i="1"/>
  <c r="Y149" i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BO142" i="1"/>
  <c r="BM142" i="1"/>
  <c r="Z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BN137" i="1" s="1"/>
  <c r="P137" i="1"/>
  <c r="BO136" i="1"/>
  <c r="BM136" i="1"/>
  <c r="Y136" i="1"/>
  <c r="BN136" i="1" s="1"/>
  <c r="P136" i="1"/>
  <c r="BO135" i="1"/>
  <c r="BM135" i="1"/>
  <c r="Z135" i="1"/>
  <c r="Y135" i="1"/>
  <c r="P135" i="1"/>
  <c r="X133" i="1"/>
  <c r="X132" i="1"/>
  <c r="BO131" i="1"/>
  <c r="BM131" i="1"/>
  <c r="Z131" i="1"/>
  <c r="Y131" i="1"/>
  <c r="BN131" i="1" s="1"/>
  <c r="P131" i="1"/>
  <c r="BO130" i="1"/>
  <c r="BM130" i="1"/>
  <c r="Z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N120" i="1" s="1"/>
  <c r="P120" i="1"/>
  <c r="BO119" i="1"/>
  <c r="BM119" i="1"/>
  <c r="Y119" i="1"/>
  <c r="BP119" i="1" s="1"/>
  <c r="P119" i="1"/>
  <c r="BO118" i="1"/>
  <c r="BM118" i="1"/>
  <c r="Y118" i="1"/>
  <c r="BN118" i="1" s="1"/>
  <c r="P118" i="1"/>
  <c r="BO117" i="1"/>
  <c r="BM117" i="1"/>
  <c r="Y117" i="1"/>
  <c r="Y121" i="1" s="1"/>
  <c r="P117" i="1"/>
  <c r="X115" i="1"/>
  <c r="X114" i="1"/>
  <c r="BO113" i="1"/>
  <c r="BM113" i="1"/>
  <c r="Y113" i="1"/>
  <c r="BN113" i="1" s="1"/>
  <c r="P113" i="1"/>
  <c r="BO112" i="1"/>
  <c r="BM112" i="1"/>
  <c r="Y112" i="1"/>
  <c r="BN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N110" i="1" s="1"/>
  <c r="P110" i="1"/>
  <c r="BO109" i="1"/>
  <c r="BM109" i="1"/>
  <c r="Z109" i="1"/>
  <c r="Y109" i="1"/>
  <c r="P109" i="1"/>
  <c r="X107" i="1"/>
  <c r="X106" i="1"/>
  <c r="BO105" i="1"/>
  <c r="BM105" i="1"/>
  <c r="Z105" i="1"/>
  <c r="Y105" i="1"/>
  <c r="BN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BN102" i="1" s="1"/>
  <c r="P102" i="1"/>
  <c r="BO101" i="1"/>
  <c r="BM101" i="1"/>
  <c r="Y101" i="1"/>
  <c r="BN101" i="1" s="1"/>
  <c r="P101" i="1"/>
  <c r="BO100" i="1"/>
  <c r="BM100" i="1"/>
  <c r="Y100" i="1"/>
  <c r="BN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N93" i="1" s="1"/>
  <c r="P93" i="1"/>
  <c r="BO92" i="1"/>
  <c r="BM92" i="1"/>
  <c r="Y92" i="1"/>
  <c r="BN92" i="1" s="1"/>
  <c r="P92" i="1"/>
  <c r="BO91" i="1"/>
  <c r="BM91" i="1"/>
  <c r="Y91" i="1"/>
  <c r="Y96" i="1" s="1"/>
  <c r="P91" i="1"/>
  <c r="X89" i="1"/>
  <c r="X88" i="1"/>
  <c r="BO87" i="1"/>
  <c r="BM87" i="1"/>
  <c r="Y87" i="1"/>
  <c r="BN87" i="1" s="1"/>
  <c r="P87" i="1"/>
  <c r="BP86" i="1"/>
  <c r="BO86" i="1"/>
  <c r="BN86" i="1"/>
  <c r="BM86" i="1"/>
  <c r="Z86" i="1"/>
  <c r="Y86" i="1"/>
  <c r="P86" i="1"/>
  <c r="BO85" i="1"/>
  <c r="BM85" i="1"/>
  <c r="Z85" i="1"/>
  <c r="Y85" i="1"/>
  <c r="BN85" i="1" s="1"/>
  <c r="P85" i="1"/>
  <c r="BO84" i="1"/>
  <c r="BM84" i="1"/>
  <c r="Z84" i="1"/>
  <c r="Y84" i="1"/>
  <c r="P84" i="1"/>
  <c r="X81" i="1"/>
  <c r="X80" i="1"/>
  <c r="BO79" i="1"/>
  <c r="BM79" i="1"/>
  <c r="Z79" i="1"/>
  <c r="Y79" i="1"/>
  <c r="BN79" i="1" s="1"/>
  <c r="P79" i="1"/>
  <c r="BO78" i="1"/>
  <c r="BM78" i="1"/>
  <c r="Y78" i="1"/>
  <c r="BN78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BN68" i="1" s="1"/>
  <c r="P68" i="1"/>
  <c r="BO67" i="1"/>
  <c r="BM67" i="1"/>
  <c r="Z67" i="1"/>
  <c r="Y67" i="1"/>
  <c r="BN67" i="1" s="1"/>
  <c r="P67" i="1"/>
  <c r="BO66" i="1"/>
  <c r="BM66" i="1"/>
  <c r="Y66" i="1"/>
  <c r="Y71" i="1" s="1"/>
  <c r="P66" i="1"/>
  <c r="X64" i="1"/>
  <c r="X63" i="1"/>
  <c r="BO62" i="1"/>
  <c r="BM62" i="1"/>
  <c r="Y62" i="1"/>
  <c r="BN62" i="1" s="1"/>
  <c r="P62" i="1"/>
  <c r="BO61" i="1"/>
  <c r="BN61" i="1"/>
  <c r="BM61" i="1"/>
  <c r="Z61" i="1"/>
  <c r="Y61" i="1"/>
  <c r="BP61" i="1" s="1"/>
  <c r="P61" i="1"/>
  <c r="BO60" i="1"/>
  <c r="BM60" i="1"/>
  <c r="Z60" i="1"/>
  <c r="Y60" i="1"/>
  <c r="BN60" i="1" s="1"/>
  <c r="P60" i="1"/>
  <c r="BO59" i="1"/>
  <c r="BM59" i="1"/>
  <c r="Z59" i="1"/>
  <c r="Y59" i="1"/>
  <c r="BN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Y64" i="1" s="1"/>
  <c r="P55" i="1"/>
  <c r="X52" i="1"/>
  <c r="X51" i="1"/>
  <c r="BO50" i="1"/>
  <c r="BM50" i="1"/>
  <c r="Y50" i="1"/>
  <c r="BN50" i="1" s="1"/>
  <c r="P50" i="1"/>
  <c r="BO49" i="1"/>
  <c r="BM49" i="1"/>
  <c r="Y49" i="1"/>
  <c r="BN49" i="1" s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X43" i="1"/>
  <c r="X42" i="1"/>
  <c r="BO41" i="1"/>
  <c r="BM41" i="1"/>
  <c r="Z41" i="1"/>
  <c r="Y41" i="1"/>
  <c r="BN41" i="1" s="1"/>
  <c r="P41" i="1"/>
  <c r="BO40" i="1"/>
  <c r="BM40" i="1"/>
  <c r="Z40" i="1"/>
  <c r="Y40" i="1"/>
  <c r="BN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Y42" i="1" s="1"/>
  <c r="P37" i="1"/>
  <c r="X33" i="1"/>
  <c r="X32" i="1"/>
  <c r="BO31" i="1"/>
  <c r="BM31" i="1"/>
  <c r="Y31" i="1"/>
  <c r="BN31" i="1" s="1"/>
  <c r="P31" i="1"/>
  <c r="BO30" i="1"/>
  <c r="BM30" i="1"/>
  <c r="Y30" i="1"/>
  <c r="BN30" i="1" s="1"/>
  <c r="P30" i="1"/>
  <c r="BO29" i="1"/>
  <c r="BM29" i="1"/>
  <c r="Y29" i="1"/>
  <c r="BN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P22" i="1" l="1"/>
  <c r="BP23" i="1"/>
  <c r="BP30" i="1"/>
  <c r="BP31" i="1"/>
  <c r="BP37" i="1"/>
  <c r="BP50" i="1"/>
  <c r="BP55" i="1"/>
  <c r="BP56" i="1"/>
  <c r="BP92" i="1"/>
  <c r="BP93" i="1"/>
  <c r="BP101" i="1"/>
  <c r="BP102" i="1"/>
  <c r="BP113" i="1"/>
  <c r="BP117" i="1"/>
  <c r="BP118" i="1"/>
  <c r="BP137" i="1"/>
  <c r="BP154" i="1"/>
  <c r="BP155" i="1"/>
  <c r="BP159" i="1"/>
  <c r="BN180" i="1"/>
  <c r="Z180" i="1"/>
  <c r="Y192" i="1"/>
  <c r="BP189" i="1"/>
  <c r="BN189" i="1"/>
  <c r="Z189" i="1"/>
  <c r="Y201" i="1"/>
  <c r="Y202" i="1"/>
  <c r="Z200" i="1"/>
  <c r="Z201" i="1" s="1"/>
  <c r="BN210" i="1"/>
  <c r="Z210" i="1"/>
  <c r="BN224" i="1"/>
  <c r="BN232" i="1"/>
  <c r="BN240" i="1"/>
  <c r="BN248" i="1"/>
  <c r="BN263" i="1"/>
  <c r="Z263" i="1"/>
  <c r="BP268" i="1"/>
  <c r="BN268" i="1"/>
  <c r="Z268" i="1"/>
  <c r="BN271" i="1"/>
  <c r="Z271" i="1"/>
  <c r="BP280" i="1"/>
  <c r="BN280" i="1"/>
  <c r="Z280" i="1"/>
  <c r="BN283" i="1"/>
  <c r="BN305" i="1"/>
  <c r="Z305" i="1"/>
  <c r="Y321" i="1"/>
  <c r="Z317" i="1"/>
  <c r="BP371" i="1"/>
  <c r="BN371" i="1"/>
  <c r="Z371" i="1"/>
  <c r="BN374" i="1"/>
  <c r="Z374" i="1"/>
  <c r="BP374" i="1"/>
  <c r="BP399" i="1"/>
  <c r="BN399" i="1"/>
  <c r="Z399" i="1"/>
  <c r="BN427" i="1"/>
  <c r="BN431" i="1"/>
  <c r="BP512" i="1"/>
  <c r="BN512" i="1"/>
  <c r="Z512" i="1"/>
  <c r="BN517" i="1"/>
  <c r="Z22" i="1"/>
  <c r="Z23" i="1"/>
  <c r="X558" i="1"/>
  <c r="Y25" i="1"/>
  <c r="Y32" i="1"/>
  <c r="BP27" i="1"/>
  <c r="Z30" i="1"/>
  <c r="Z31" i="1"/>
  <c r="Z37" i="1"/>
  <c r="Z38" i="1"/>
  <c r="BN38" i="1"/>
  <c r="BP40" i="1"/>
  <c r="BP41" i="1"/>
  <c r="Y52" i="1"/>
  <c r="BP47" i="1"/>
  <c r="Z50" i="1"/>
  <c r="Z55" i="1"/>
  <c r="Z56" i="1"/>
  <c r="Z57" i="1"/>
  <c r="BN57" i="1"/>
  <c r="BP59" i="1"/>
  <c r="BP60" i="1"/>
  <c r="BP67" i="1"/>
  <c r="BP68" i="1"/>
  <c r="Z73" i="1"/>
  <c r="BN73" i="1"/>
  <c r="Y75" i="1"/>
  <c r="BP79" i="1"/>
  <c r="Y89" i="1"/>
  <c r="BP84" i="1"/>
  <c r="BP85" i="1"/>
  <c r="Z92" i="1"/>
  <c r="Z93" i="1"/>
  <c r="Z94" i="1"/>
  <c r="BN94" i="1"/>
  <c r="Z101" i="1"/>
  <c r="Z102" i="1"/>
  <c r="Z103" i="1"/>
  <c r="BN103" i="1"/>
  <c r="BP105" i="1"/>
  <c r="Y114" i="1"/>
  <c r="BP109" i="1"/>
  <c r="BP110" i="1"/>
  <c r="Z113" i="1"/>
  <c r="Z117" i="1"/>
  <c r="Z118" i="1"/>
  <c r="Z119" i="1"/>
  <c r="BN119" i="1"/>
  <c r="H564" i="1"/>
  <c r="BP130" i="1"/>
  <c r="BP131" i="1"/>
  <c r="Y139" i="1"/>
  <c r="BP135" i="1"/>
  <c r="Z137" i="1"/>
  <c r="Z138" i="1"/>
  <c r="Y145" i="1"/>
  <c r="Z143" i="1"/>
  <c r="BN143" i="1"/>
  <c r="BP150" i="1"/>
  <c r="BP151" i="1"/>
  <c r="Z154" i="1"/>
  <c r="Z155" i="1"/>
  <c r="Z159" i="1"/>
  <c r="Z160" i="1" s="1"/>
  <c r="Y161" i="1"/>
  <c r="BP164" i="1"/>
  <c r="BN179" i="1"/>
  <c r="Z179" i="1"/>
  <c r="BP180" i="1"/>
  <c r="BP181" i="1"/>
  <c r="BN181" i="1"/>
  <c r="Z181" i="1"/>
  <c r="BP200" i="1"/>
  <c r="BN209" i="1"/>
  <c r="Z209" i="1"/>
  <c r="BP210" i="1"/>
  <c r="BN211" i="1"/>
  <c r="BN228" i="1"/>
  <c r="BP252" i="1"/>
  <c r="Y254" i="1"/>
  <c r="Y253" i="1"/>
  <c r="BN252" i="1"/>
  <c r="BP263" i="1"/>
  <c r="Y275" i="1"/>
  <c r="Z267" i="1"/>
  <c r="BP271" i="1"/>
  <c r="BP272" i="1"/>
  <c r="BN272" i="1"/>
  <c r="Z272" i="1"/>
  <c r="Y291" i="1"/>
  <c r="BN279" i="1"/>
  <c r="Z279" i="1"/>
  <c r="BP293" i="1"/>
  <c r="BN293" i="1"/>
  <c r="Z293" i="1"/>
  <c r="Y295" i="1"/>
  <c r="BP305" i="1"/>
  <c r="Y310" i="1"/>
  <c r="Y311" i="1"/>
  <c r="Z309" i="1"/>
  <c r="Z310" i="1" s="1"/>
  <c r="BP317" i="1"/>
  <c r="BP318" i="1"/>
  <c r="BN318" i="1"/>
  <c r="Z318" i="1"/>
  <c r="Y320" i="1"/>
  <c r="BP327" i="1"/>
  <c r="BN327" i="1"/>
  <c r="Z327" i="1"/>
  <c r="BN342" i="1"/>
  <c r="BP354" i="1"/>
  <c r="BN354" i="1"/>
  <c r="Z354" i="1"/>
  <c r="BN362" i="1"/>
  <c r="Z362" i="1"/>
  <c r="BP362" i="1"/>
  <c r="BN380" i="1"/>
  <c r="BN388" i="1"/>
  <c r="BP455" i="1"/>
  <c r="BN455" i="1"/>
  <c r="Z455" i="1"/>
  <c r="Y457" i="1"/>
  <c r="Y458" i="1"/>
  <c r="BP460" i="1"/>
  <c r="Y462" i="1"/>
  <c r="Y461" i="1"/>
  <c r="BN460" i="1"/>
  <c r="BP477" i="1"/>
  <c r="BN477" i="1"/>
  <c r="Z477" i="1"/>
  <c r="Y167" i="1"/>
  <c r="BP171" i="1"/>
  <c r="Y186" i="1"/>
  <c r="BP175" i="1"/>
  <c r="BP176" i="1"/>
  <c r="BP183" i="1"/>
  <c r="BP184" i="1"/>
  <c r="BP191" i="1"/>
  <c r="BP195" i="1"/>
  <c r="BP196" i="1"/>
  <c r="BP206" i="1"/>
  <c r="L564" i="1"/>
  <c r="BP222" i="1"/>
  <c r="BP226" i="1"/>
  <c r="BP230" i="1"/>
  <c r="BP234" i="1"/>
  <c r="Y243" i="1"/>
  <c r="BP238" i="1"/>
  <c r="BP242" i="1"/>
  <c r="Y250" i="1"/>
  <c r="BP246" i="1"/>
  <c r="Y249" i="1"/>
  <c r="BN269" i="1"/>
  <c r="BN273" i="1"/>
  <c r="BN281" i="1"/>
  <c r="BP287" i="1"/>
  <c r="Y307" i="1"/>
  <c r="BP301" i="1"/>
  <c r="BP313" i="1"/>
  <c r="Y329" i="1"/>
  <c r="BN326" i="1"/>
  <c r="Z326" i="1"/>
  <c r="Z350" i="1"/>
  <c r="BP363" i="1"/>
  <c r="BN363" i="1"/>
  <c r="Z363" i="1"/>
  <c r="BN370" i="1"/>
  <c r="Z370" i="1"/>
  <c r="BP375" i="1"/>
  <c r="BN375" i="1"/>
  <c r="Z375" i="1"/>
  <c r="BN392" i="1"/>
  <c r="BP420" i="1"/>
  <c r="BN420" i="1"/>
  <c r="Z420" i="1"/>
  <c r="BP438" i="1"/>
  <c r="BN438" i="1"/>
  <c r="Z438" i="1"/>
  <c r="BP450" i="1"/>
  <c r="BN450" i="1"/>
  <c r="Z450" i="1"/>
  <c r="BN465" i="1"/>
  <c r="BN474" i="1"/>
  <c r="BN482" i="1"/>
  <c r="BP500" i="1"/>
  <c r="BN500" i="1"/>
  <c r="Z500" i="1"/>
  <c r="BN502" i="1"/>
  <c r="BN505" i="1"/>
  <c r="BP520" i="1"/>
  <c r="BN520" i="1"/>
  <c r="Z520" i="1"/>
  <c r="BN522" i="1"/>
  <c r="AC564" i="1"/>
  <c r="Y553" i="1"/>
  <c r="Z551" i="1"/>
  <c r="Z552" i="1" s="1"/>
  <c r="BN328" i="1"/>
  <c r="BP335" i="1"/>
  <c r="BP344" i="1"/>
  <c r="BP348" i="1"/>
  <c r="BN364" i="1"/>
  <c r="BN372" i="1"/>
  <c r="Y383" i="1"/>
  <c r="BP382" i="1"/>
  <c r="Y390" i="1"/>
  <c r="BP386" i="1"/>
  <c r="Y389" i="1"/>
  <c r="BP394" i="1"/>
  <c r="BN400" i="1"/>
  <c r="V564" i="1"/>
  <c r="BN418" i="1"/>
  <c r="Y434" i="1"/>
  <c r="BN439" i="1"/>
  <c r="BN456" i="1"/>
  <c r="BN475" i="1"/>
  <c r="Y483" i="1"/>
  <c r="BN487" i="1"/>
  <c r="BN492" i="1"/>
  <c r="BN501" i="1"/>
  <c r="BN506" i="1"/>
  <c r="BN513" i="1"/>
  <c r="BN518" i="1"/>
  <c r="BN521" i="1"/>
  <c r="Y43" i="1"/>
  <c r="Y70" i="1"/>
  <c r="Y95" i="1"/>
  <c r="Y133" i="1"/>
  <c r="BP144" i="1"/>
  <c r="Z144" i="1"/>
  <c r="Z145" i="1" s="1"/>
  <c r="BN153" i="1"/>
  <c r="BP153" i="1"/>
  <c r="Z153" i="1"/>
  <c r="X555" i="1"/>
  <c r="Y24" i="1"/>
  <c r="BN27" i="1"/>
  <c r="Z29" i="1"/>
  <c r="Z32" i="1" s="1"/>
  <c r="BP29" i="1"/>
  <c r="BN37" i="1"/>
  <c r="Z39" i="1"/>
  <c r="BP39" i="1"/>
  <c r="BN47" i="1"/>
  <c r="Z49" i="1"/>
  <c r="Z51" i="1" s="1"/>
  <c r="BP49" i="1"/>
  <c r="Z58" i="1"/>
  <c r="BP58" i="1"/>
  <c r="Z62" i="1"/>
  <c r="BP62" i="1"/>
  <c r="Z66" i="1"/>
  <c r="Z70" i="1" s="1"/>
  <c r="BP66" i="1"/>
  <c r="Z74" i="1"/>
  <c r="Z75" i="1" s="1"/>
  <c r="BP74" i="1"/>
  <c r="Z78" i="1"/>
  <c r="Z80" i="1" s="1"/>
  <c r="BP78" i="1"/>
  <c r="Y81" i="1"/>
  <c r="Z87" i="1"/>
  <c r="Z88" i="1" s="1"/>
  <c r="BP87" i="1"/>
  <c r="Z91" i="1"/>
  <c r="BP91" i="1"/>
  <c r="G564" i="1"/>
  <c r="Z100" i="1"/>
  <c r="Z106" i="1" s="1"/>
  <c r="BP100" i="1"/>
  <c r="Z104" i="1"/>
  <c r="BP104" i="1"/>
  <c r="Y107" i="1"/>
  <c r="Z112" i="1"/>
  <c r="BP112" i="1"/>
  <c r="Y115" i="1"/>
  <c r="Z120" i="1"/>
  <c r="Z121" i="1" s="1"/>
  <c r="BP120" i="1"/>
  <c r="Z124" i="1"/>
  <c r="Z125" i="1" s="1"/>
  <c r="BP124" i="1"/>
  <c r="Z129" i="1"/>
  <c r="Z132" i="1" s="1"/>
  <c r="BP129" i="1"/>
  <c r="Y132" i="1"/>
  <c r="BN135" i="1"/>
  <c r="BP136" i="1"/>
  <c r="Z136" i="1"/>
  <c r="BP138" i="1"/>
  <c r="Y140" i="1"/>
  <c r="I564" i="1"/>
  <c r="BN149" i="1"/>
  <c r="Y156" i="1"/>
  <c r="BP149" i="1"/>
  <c r="Z149" i="1"/>
  <c r="Y157" i="1"/>
  <c r="F9" i="1"/>
  <c r="F10" i="1"/>
  <c r="Y33" i="1"/>
  <c r="H9" i="1"/>
  <c r="J9" i="1"/>
  <c r="C564" i="1"/>
  <c r="D564" i="1"/>
  <c r="Y51" i="1"/>
  <c r="BN55" i="1"/>
  <c r="Y76" i="1"/>
  <c r="Y80" i="1"/>
  <c r="BN84" i="1"/>
  <c r="Y106" i="1"/>
  <c r="BN109" i="1"/>
  <c r="BN117" i="1"/>
  <c r="Y122" i="1"/>
  <c r="Y126" i="1"/>
  <c r="BN144" i="1"/>
  <c r="B564" i="1"/>
  <c r="X556" i="1"/>
  <c r="X554" i="1"/>
  <c r="E564" i="1"/>
  <c r="Y63" i="1"/>
  <c r="BN66" i="1"/>
  <c r="BN74" i="1"/>
  <c r="F564" i="1"/>
  <c r="Y88" i="1"/>
  <c r="BN91" i="1"/>
  <c r="BN124" i="1"/>
  <c r="BN129" i="1"/>
  <c r="Y146" i="1"/>
  <c r="BN142" i="1"/>
  <c r="BP142" i="1"/>
  <c r="BN159" i="1"/>
  <c r="Z166" i="1"/>
  <c r="Z167" i="1" s="1"/>
  <c r="BP166" i="1"/>
  <c r="Z170" i="1"/>
  <c r="Z172" i="1" s="1"/>
  <c r="BP170" i="1"/>
  <c r="Y173" i="1"/>
  <c r="Z178" i="1"/>
  <c r="BP178" i="1"/>
  <c r="Z182" i="1"/>
  <c r="BP182" i="1"/>
  <c r="Z190" i="1"/>
  <c r="Z192" i="1" s="1"/>
  <c r="BP190" i="1"/>
  <c r="Y193" i="1"/>
  <c r="Y197" i="1"/>
  <c r="BN200" i="1"/>
  <c r="Z208" i="1"/>
  <c r="BP208" i="1"/>
  <c r="Z212" i="1"/>
  <c r="BP212" i="1"/>
  <c r="Z217" i="1"/>
  <c r="Z218" i="1" s="1"/>
  <c r="BP217" i="1"/>
  <c r="Z221" i="1"/>
  <c r="BP221" i="1"/>
  <c r="Z225" i="1"/>
  <c r="BP225" i="1"/>
  <c r="Z229" i="1"/>
  <c r="BP229" i="1"/>
  <c r="Z233" i="1"/>
  <c r="BP233" i="1"/>
  <c r="Y236" i="1"/>
  <c r="Z241" i="1"/>
  <c r="BP241" i="1"/>
  <c r="Y244" i="1"/>
  <c r="M564" i="1"/>
  <c r="Z258" i="1"/>
  <c r="BP258" i="1"/>
  <c r="Z262" i="1"/>
  <c r="BP262" i="1"/>
  <c r="Y265" i="1"/>
  <c r="Z270" i="1"/>
  <c r="BP270" i="1"/>
  <c r="Z274" i="1"/>
  <c r="BP274" i="1"/>
  <c r="Z278" i="1"/>
  <c r="BP278" i="1"/>
  <c r="Z284" i="1"/>
  <c r="BP286" i="1"/>
  <c r="Z286" i="1"/>
  <c r="BP288" i="1"/>
  <c r="BP294" i="1"/>
  <c r="Z294" i="1"/>
  <c r="Y296" i="1"/>
  <c r="BN299" i="1"/>
  <c r="Z300" i="1"/>
  <c r="Z304" i="1"/>
  <c r="BN334" i="1"/>
  <c r="BP334" i="1"/>
  <c r="Z334" i="1"/>
  <c r="Y345" i="1"/>
  <c r="J564" i="1"/>
  <c r="Y168" i="1"/>
  <c r="Y172" i="1"/>
  <c r="BN175" i="1"/>
  <c r="K564" i="1"/>
  <c r="Z211" i="1"/>
  <c r="Y214" i="1"/>
  <c r="Y219" i="1"/>
  <c r="Z224" i="1"/>
  <c r="Z228" i="1"/>
  <c r="Z232" i="1"/>
  <c r="Y235" i="1"/>
  <c r="BN238" i="1"/>
  <c r="Z240" i="1"/>
  <c r="Z243" i="1" s="1"/>
  <c r="BN246" i="1"/>
  <c r="Z248" i="1"/>
  <c r="Z249" i="1" s="1"/>
  <c r="Z252" i="1"/>
  <c r="Z253" i="1" s="1"/>
  <c r="Z257" i="1"/>
  <c r="Z259" i="1" s="1"/>
  <c r="BP257" i="1"/>
  <c r="Y260" i="1"/>
  <c r="Y264" i="1"/>
  <c r="BN267" i="1"/>
  <c r="Z269" i="1"/>
  <c r="Z275" i="1" s="1"/>
  <c r="Z273" i="1"/>
  <c r="Y276" i="1"/>
  <c r="Z281" i="1"/>
  <c r="Z283" i="1"/>
  <c r="Z288" i="1"/>
  <c r="Y290" i="1"/>
  <c r="BP319" i="1"/>
  <c r="Z319" i="1"/>
  <c r="Z320" i="1" s="1"/>
  <c r="BN166" i="1"/>
  <c r="Y187" i="1"/>
  <c r="Y213" i="1"/>
  <c r="BN217" i="1"/>
  <c r="Y218" i="1"/>
  <c r="BN258" i="1"/>
  <c r="BN278" i="1"/>
  <c r="O564" i="1"/>
  <c r="Y306" i="1"/>
  <c r="BP299" i="1"/>
  <c r="Z299" i="1"/>
  <c r="BP303" i="1"/>
  <c r="Z303" i="1"/>
  <c r="BN325" i="1"/>
  <c r="BP325" i="1"/>
  <c r="Z325" i="1"/>
  <c r="BN343" i="1"/>
  <c r="BP343" i="1"/>
  <c r="Z343" i="1"/>
  <c r="Y357" i="1"/>
  <c r="T564" i="1"/>
  <c r="Y366" i="1"/>
  <c r="BN361" i="1"/>
  <c r="Y367" i="1"/>
  <c r="BP361" i="1"/>
  <c r="Z361" i="1"/>
  <c r="BP282" i="1"/>
  <c r="Z282" i="1"/>
  <c r="BP284" i="1"/>
  <c r="BP300" i="1"/>
  <c r="BP304" i="1"/>
  <c r="BN356" i="1"/>
  <c r="BP356" i="1"/>
  <c r="Z356" i="1"/>
  <c r="Y377" i="1"/>
  <c r="Y397" i="1"/>
  <c r="BP401" i="1"/>
  <c r="Z401" i="1"/>
  <c r="Y403" i="1"/>
  <c r="BP407" i="1"/>
  <c r="BP419" i="1"/>
  <c r="BP428" i="1"/>
  <c r="Z428" i="1"/>
  <c r="BP433" i="1"/>
  <c r="BP444" i="1"/>
  <c r="Z444" i="1"/>
  <c r="Y564" i="1"/>
  <c r="BN472" i="1"/>
  <c r="Y478" i="1"/>
  <c r="Y479" i="1"/>
  <c r="BP472" i="1"/>
  <c r="Z472" i="1"/>
  <c r="Y508" i="1"/>
  <c r="BN499" i="1"/>
  <c r="Y509" i="1"/>
  <c r="AA564" i="1"/>
  <c r="BP499" i="1"/>
  <c r="Z499" i="1"/>
  <c r="Y538" i="1"/>
  <c r="BN537" i="1"/>
  <c r="Y539" i="1"/>
  <c r="BP537" i="1"/>
  <c r="Z537" i="1"/>
  <c r="Z538" i="1" s="1"/>
  <c r="P564" i="1"/>
  <c r="Q564" i="1"/>
  <c r="Y337" i="1"/>
  <c r="Y346" i="1"/>
  <c r="Z365" i="1"/>
  <c r="BP365" i="1"/>
  <c r="Z369" i="1"/>
  <c r="BP369" i="1"/>
  <c r="Z373" i="1"/>
  <c r="BP373" i="1"/>
  <c r="Y376" i="1"/>
  <c r="Z381" i="1"/>
  <c r="BP381" i="1"/>
  <c r="Y384" i="1"/>
  <c r="Z393" i="1"/>
  <c r="BP393" i="1"/>
  <c r="Y396" i="1"/>
  <c r="Y402" i="1"/>
  <c r="Z407" i="1"/>
  <c r="Z419" i="1"/>
  <c r="BP429" i="1"/>
  <c r="Z433" i="1"/>
  <c r="BP437" i="1"/>
  <c r="Y441" i="1"/>
  <c r="BP445" i="1"/>
  <c r="BN466" i="1"/>
  <c r="BP466" i="1"/>
  <c r="Z466" i="1"/>
  <c r="BN476" i="1"/>
  <c r="BP476" i="1"/>
  <c r="Z476" i="1"/>
  <c r="BN493" i="1"/>
  <c r="BP493" i="1"/>
  <c r="Z493" i="1"/>
  <c r="BN503" i="1"/>
  <c r="BP503" i="1"/>
  <c r="Z503" i="1"/>
  <c r="BN511" i="1"/>
  <c r="Y514" i="1"/>
  <c r="BP511" i="1"/>
  <c r="Z511" i="1"/>
  <c r="Y534" i="1"/>
  <c r="BN533" i="1"/>
  <c r="Y535" i="1"/>
  <c r="BP533" i="1"/>
  <c r="Z533" i="1"/>
  <c r="Z534" i="1" s="1"/>
  <c r="R564" i="1"/>
  <c r="BN309" i="1"/>
  <c r="BN313" i="1"/>
  <c r="BN317" i="1"/>
  <c r="Z324" i="1"/>
  <c r="BP324" i="1"/>
  <c r="Z328" i="1"/>
  <c r="Z333" i="1"/>
  <c r="Z336" i="1" s="1"/>
  <c r="BP333" i="1"/>
  <c r="Y336" i="1"/>
  <c r="BN340" i="1"/>
  <c r="Z342" i="1"/>
  <c r="Z345" i="1" s="1"/>
  <c r="S564" i="1"/>
  <c r="Z355" i="1"/>
  <c r="Z357" i="1" s="1"/>
  <c r="BP355" i="1"/>
  <c r="Y358" i="1"/>
  <c r="Z364" i="1"/>
  <c r="Z372" i="1"/>
  <c r="Z380" i="1"/>
  <c r="BN386" i="1"/>
  <c r="Z388" i="1"/>
  <c r="Z389" i="1" s="1"/>
  <c r="Z392" i="1"/>
  <c r="Z396" i="1" s="1"/>
  <c r="Z400" i="1"/>
  <c r="BN401" i="1"/>
  <c r="Y408" i="1"/>
  <c r="BP413" i="1"/>
  <c r="Z413" i="1"/>
  <c r="Z414" i="1" s="1"/>
  <c r="Y422" i="1"/>
  <c r="BN428" i="1"/>
  <c r="Z429" i="1"/>
  <c r="Z437" i="1"/>
  <c r="BN444" i="1"/>
  <c r="Z445" i="1"/>
  <c r="BN449" i="1"/>
  <c r="Y451" i="1"/>
  <c r="BP449" i="1"/>
  <c r="X564" i="1"/>
  <c r="BN507" i="1"/>
  <c r="BP507" i="1"/>
  <c r="Z507" i="1"/>
  <c r="Y515" i="1"/>
  <c r="BN519" i="1"/>
  <c r="BP519" i="1"/>
  <c r="Z519" i="1"/>
  <c r="Y530" i="1"/>
  <c r="BN529" i="1"/>
  <c r="AB564" i="1"/>
  <c r="Y531" i="1"/>
  <c r="BP529" i="1"/>
  <c r="Z529" i="1"/>
  <c r="Z530" i="1" s="1"/>
  <c r="BN545" i="1"/>
  <c r="Y547" i="1"/>
  <c r="Y548" i="1"/>
  <c r="BP545" i="1"/>
  <c r="Z545" i="1"/>
  <c r="Z547" i="1" s="1"/>
  <c r="Y330" i="1"/>
  <c r="BP406" i="1"/>
  <c r="Z406" i="1"/>
  <c r="Y421" i="1"/>
  <c r="BP418" i="1"/>
  <c r="Z418" i="1"/>
  <c r="BP432" i="1"/>
  <c r="Z432" i="1"/>
  <c r="Y440" i="1"/>
  <c r="Y446" i="1"/>
  <c r="Z451" i="1"/>
  <c r="Y467" i="1"/>
  <c r="Y494" i="1"/>
  <c r="BN523" i="1"/>
  <c r="BP523" i="1"/>
  <c r="Z523" i="1"/>
  <c r="Y542" i="1"/>
  <c r="BN541" i="1"/>
  <c r="Y543" i="1"/>
  <c r="BP541" i="1"/>
  <c r="Z541" i="1"/>
  <c r="Z542" i="1" s="1"/>
  <c r="Z564" i="1"/>
  <c r="W564" i="1"/>
  <c r="Y409" i="1"/>
  <c r="Y435" i="1"/>
  <c r="Y447" i="1"/>
  <c r="Z465" i="1"/>
  <c r="Y468" i="1"/>
  <c r="Z475" i="1"/>
  <c r="Z492" i="1"/>
  <c r="Y495" i="1"/>
  <c r="Z502" i="1"/>
  <c r="Z506" i="1"/>
  <c r="Z518" i="1"/>
  <c r="Z522" i="1"/>
  <c r="Y525" i="1"/>
  <c r="BN551" i="1"/>
  <c r="Y552" i="1"/>
  <c r="Z405" i="1"/>
  <c r="Z408" i="1" s="1"/>
  <c r="BP405" i="1"/>
  <c r="Y415" i="1"/>
  <c r="Z427" i="1"/>
  <c r="Z431" i="1"/>
  <c r="Z439" i="1"/>
  <c r="Z443" i="1"/>
  <c r="Z446" i="1" s="1"/>
  <c r="BP443" i="1"/>
  <c r="Z456" i="1"/>
  <c r="Z457" i="1" s="1"/>
  <c r="Z460" i="1"/>
  <c r="Z461" i="1" s="1"/>
  <c r="Z464" i="1"/>
  <c r="Z467" i="1" s="1"/>
  <c r="BP464" i="1"/>
  <c r="Z474" i="1"/>
  <c r="Z482" i="1"/>
  <c r="Z483" i="1" s="1"/>
  <c r="Z487" i="1"/>
  <c r="Z488" i="1" s="1"/>
  <c r="Z491" i="1"/>
  <c r="BP491" i="1"/>
  <c r="Z501" i="1"/>
  <c r="Z505" i="1"/>
  <c r="Z513" i="1"/>
  <c r="Z517" i="1"/>
  <c r="BP517" i="1"/>
  <c r="Z521" i="1"/>
  <c r="Y554" i="1" l="1"/>
  <c r="Z63" i="1"/>
  <c r="Z494" i="1"/>
  <c r="Z434" i="1"/>
  <c r="Z402" i="1"/>
  <c r="Z383" i="1"/>
  <c r="Z295" i="1"/>
  <c r="Z264" i="1"/>
  <c r="Z186" i="1"/>
  <c r="Z139" i="1"/>
  <c r="Z114" i="1"/>
  <c r="Z95" i="1"/>
  <c r="Z42" i="1"/>
  <c r="Y556" i="1"/>
  <c r="Y555" i="1"/>
  <c r="Z24" i="1"/>
  <c r="Z524" i="1"/>
  <c r="Z366" i="1"/>
  <c r="Z440" i="1"/>
  <c r="Z514" i="1"/>
  <c r="Z478" i="1"/>
  <c r="Z290" i="1"/>
  <c r="Z213" i="1"/>
  <c r="Y558" i="1"/>
  <c r="X557" i="1"/>
  <c r="Z421" i="1"/>
  <c r="Z329" i="1"/>
  <c r="Z376" i="1"/>
  <c r="Z508" i="1"/>
  <c r="Z306" i="1"/>
  <c r="Z235" i="1"/>
  <c r="Z156" i="1"/>
  <c r="Z559" i="1" s="1"/>
  <c r="Y557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<sst xmlns="http://schemas.openxmlformats.org/spreadsheetml/2006/main" count="2517" uniqueCount="913">
  <si>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</si>
  <si>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</si>
  <si>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</si>
  <si>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</si>
  <si>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</si>
  <si>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</si>
  <si>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</si>
  <si>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</si>
  <si>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</si>
  <si>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</si>
  <si>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</si>
  <si>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</si>
  <si>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</si>
  <si>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</si>
  <si>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</si>
  <si>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</si>
  <si>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</si>
  <si>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</si>
  <si>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</si>
  <si>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</si>
  <si>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</si>
  <si>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</si>
  <si>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</si>
  <si>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</si>
  <si>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</si>
  <si>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</si>
  <si>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</si>
  <si>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</si>
  <si>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</si>
  <si>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</si>
  <si>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</si>
  <si>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</si>
  <si>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</si>
  <si>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</si>
  <si>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</si>
  <si>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</si>
  <si>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</si>
  <si>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</si>
  <si>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</si>
  <si>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</si>
  <si>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</si>
  <si>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</si>
  <si>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</si>
  <si>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</si>
  <si>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</si>
  <si>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</si>
  <si>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</si>
  <si>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</si>
  <si>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</si>
  <si>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</si>
  <si>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</si>
  <si>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</si>
  <si>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</si>
  <si>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</si>
  <si>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</si>
  <si>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</si>
  <si>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</si>
  <si>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</si>
  <si>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</si>
  <si>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</si>
  <si>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</si>
  <si>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</si>
  <si>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</si>
  <si>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</si>
  <si>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</si>
  <si>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</si>
  <si>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</si>
  <si>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</si>
  <si>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</si>
  <si>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</si>
  <si>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</si>
  <si>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</si>
  <si>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</si>
  <si>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</si>
  <si>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</si>
  <si>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</si>
  <si>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</si>
  <si>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</si>
  <si>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</si>
  <si>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</si>
  <si>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</si>
  <si>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</si>
  <si>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</si>
  <si>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</si>
  <si>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</si>
  <si>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</si>
  <si>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</si>
  <si>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</si>
  <si>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</si>
  <si>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</si>
  <si>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</si>
  <si>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</si>
  <si>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</si>
  <si>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</si>
  <si>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</si>
  <si>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</si>
  <si>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</si>
  <si>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</si>
  <si>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</si>
  <si>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</si>
  <si>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</si>
  <si>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</si>
  <si>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</si>
  <si>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</si>
  <si>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</si>
  <si>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</si>
  <si>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</si>
  <si>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</si>
  <si>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</si>
  <si>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</si>
  <si>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</si>
  <si>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</si>
  <si>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</si>
  <si>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</si>
  <si>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</si>
  <si>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</si>
  <si>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</si>
  <si>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</si>
  <si>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</si>
  <si>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</si>
  <si>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</si>
  <si>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</si>
  <si>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</si>
  <si>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</si>
  <si>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</si>
  <si>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</si>
  <si>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</si>
  <si>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</si>
  <si>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</si>
  <si>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</si>
  <si>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</si>
  <si>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</si>
  <si>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</si>
  <si>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</si>
  <si>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</si>
  <si>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</si>
  <si>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</si>
  <si>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</si>
  <si>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</si>
  <si>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</si>
  <si>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</si>
  <si>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</si>
  <si>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</si>
  <si>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</si>
  <si>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</si>
  <si>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</si>
  <si>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</si>
  <si>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</si>
  <si>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</si>
  <si>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</si>
  <si>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</si>
  <si>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</si>
  <si>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</si>
  <si>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</si>
  <si>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</si>
  <si>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</si>
  <si>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</si>
  <si>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</si>
  <si>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</si>
  <si>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</si>
  <si>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</si>
  <si>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</si>
  <si>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</si>
  <si>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</si>
  <si>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</si>
  <si>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</si>
  <si>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</si>
  <si>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</si>
  <si>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</si>
  <si>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</si>
  <si>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</si>
  <si>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</si>
  <si>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</si>
  <si>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</si>
  <si>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</si>
  <si>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</si>
  <si>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</si>
  <si>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</si>
  <si>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</si>
  <si>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</si>
  <si>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</si>
  <si>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</si>
  <si>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</si>
  <si>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</si>
  <si>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</si>
  <si>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</si>
  <si>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</si>
  <si>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</si>
  <si>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</si>
  <si>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</si>
  <si>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</si>
  <si>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</si>
  <si>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</si>
  <si>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</si>
  <si>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</si>
  <si>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</si>
  <si>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</si>
  <si>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</si>
  <si>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</si>
  <si>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</si>
  <si>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</si>
  <si>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</si>
  <si>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</si>
  <si>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</si>
  <si>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</si>
  <si>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</si>
  <si>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</si>
  <si>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</si>
  <si>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</si>
  <si>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</si>
  <si>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</si>
  <si>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</si>
  <si>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</si>
  <si>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</si>
  <si>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</si>
  <si>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</si>
  <si>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</si>
  <si>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</si>
  <si>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</si>
  <si>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</si>
  <si>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</si>
  <si>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</si>
  <si>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</si>
  <si>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</si>
  <si>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</si>
  <si>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</si>
  <si>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</si>
  <si>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</si>
  <si>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</si>
  <si>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</si>
  <si>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</si>
  <si>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</si>
  <si>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</si>
  <si>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</si>
  <si>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</si>
  <si>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</si>
  <si>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</si>
  <si>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</si>
  <si>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</si>
  <si>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</si>
  <si>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</si>
  <si>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</si>
  <si>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</si>
  <si>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</si>
  <si>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</si>
  <si>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</si>
  <si>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</si>
  <si>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</si>
  <si>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</si>
  <si>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</si>
  <si>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</si>
  <si>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</si>
  <si>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</si>
  <si>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</si>
  <si>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</si>
  <si>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</si>
  <si>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</si>
  <si>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</si>
  <si>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</si>
  <si>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</si>
  <si>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</si>
  <si>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</si>
  <si>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</si>
  <si>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</si>
  <si>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</si>
  <si>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</si>
  <si>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</si>
  <si>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</si>
  <si>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</si>
  <si>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</si>
  <si>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</si>
  <si>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</si>
  <si>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</si>
  <si>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</si>
  <si>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</si>
  <si>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</si>
  <si>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</si>
  <si>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</si>
  <si>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</si>
  <si>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</si>
  <si>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</si>
  <si>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</si>
  <si>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</si>
  <si>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</si>
  <si>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</si>
  <si>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</si>
  <si>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</si>
  <si>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</si>
  <si>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</si>
  <si>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</si>
  <si>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</si>
  <si>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</si>
  <si>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</si>
  <si>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</si>
  <si>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</si>
  <si>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</si>
  <si>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</si>
  <si>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</si>
  <si>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</si>
  <si>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</si>
  <si>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</si>
  <si>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</si>
  <si>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</si>
  <si>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</si>
  <si>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</si>
  <si>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</si>
  <si>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</si>
  <si>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</si>
  <si>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</si>
  <si>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</si>
  <si>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</si>
  <si>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</si>
  <si>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</si>
  <si>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</si>
  <si>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</si>
  <si>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</si>
  <si>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</si>
  <si>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</si>
  <si>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</si>
  <si>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</si>
  <si>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</si>
  <si>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</si>
  <si>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</si>
  <si>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</si>
  <si>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</si>
  <si>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</si>
  <si>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</si>
  <si>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</si>
  <si>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</si>
  <si>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</si>
  <si>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</si>
  <si>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</si>
  <si>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</si>
  <si>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</si>
  <si>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</si>
  <si>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</si>
  <si>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</si>
  <si>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</si>
  <si>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</si>
  <si>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</si>
  <si>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</si>
  <si>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</si>
  <si>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</si>
  <si>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</si>
  <si>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</si>
  <si>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</si>
  <si>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</si>
  <si>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</si>
  <si>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</si>
  <si>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</si>
  <si>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</si>
  <si>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</si>
  <si>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</si>
  <si>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</si>
  <si>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</si>
  <si>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</si>
  <si>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</si>
  <si>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</si>
  <si>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</si>
  <si>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</si>
  <si>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</si>
  <si>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</si>
  <si>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</si>
  <si>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</si>
  <si>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</si>
  <si>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</si>
  <si>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</si>
  <si>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</si>
  <si>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</si>
  <si>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</si>
  <si>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</si>
  <si>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</si>
  <si>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</si>
  <si>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</si>
  <si>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</si>
  <si>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</si>
  <si>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</si>
  <si>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</si>
  <si>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</si>
  <si>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</si>
  <si>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</si>
  <si>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</si>
  <si>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</si>
  <si>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</si>
  <si>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</si>
  <si>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</si>
  <si>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</si>
  <si>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</si>
  <si>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</si>
  <si>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</si>
  <si>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</si>
  <si>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</si>
  <si>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</si>
  <si>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</si>
  <si>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</si>
  <si>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</si>
  <si>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</si>
  <si>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</si>
  <si>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</si>
  <si>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</si>
  <si>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</si>
  <si>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</si>
  <si>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</si>
  <si>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</si>
  <si>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</si>
  <si>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</si>
  <si>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</si>
  <si>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</si>
  <si>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</si>
  <si>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</si>
  <si>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</si>
  <si>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</si>
  <si>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</si>
  <si>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</si>
  <si>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</si>
  <si>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</si>
  <si>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</si>
  <si>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</si>
  <si>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</si>
  <si>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</si>
  <si>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</si>
  <si>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</si>
  <si>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</si>
  <si>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</si>
  <si>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</si>
  <si>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</si>
  <si>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</si>
  <si>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</si>
  <si>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</si>
  <si>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</si>
  <si>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</si>
  <si>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</si>
  <si>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</si>
  <si>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</si>
  <si>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</si>
  <si>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</si>
  <si>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</si>
  <si>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</si>
  <si>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</si>
  <si>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</si>
  <si>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</si>
  <si>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</si>
  <si>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</si>
  <si>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</si>
  <si>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</si>
  <si>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</si>
  <si>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</si>
  <si>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</si>
  <si>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</si>
  <si>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</si>
  <si>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</si>
  <si>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</si>
  <si>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</si>
  <si>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</si>
  <si>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</si>
  <si>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</si>
  <si>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</si>
  <si>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</si>
  <si>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</si>
  <si>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</si>
  <si>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</si>
  <si>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</si>
  <si>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</si>
  <si>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</si>
  <si>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</si>
  <si>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</si>
  <si>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</si>
  <si>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</si>
  <si>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</si>
  <si>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</si>
  <si>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</si>
  <si>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</si>
  <si>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</si>
  <si>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</si>
  <si>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</si>
  <si>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</si>
  <si>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</si>
  <si>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</si>
  <si>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</si>
  <si>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</si>
  <si>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</si>
  <si>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</si>
  <si>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</si>
  <si>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</si>
  <si>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</si>
  <si>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</si>
  <si>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</si>
  <si>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</si>
  <si>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</si>
  <si>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</si>
  <si>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</si>
  <si>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</si>
  <si>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</si>
  <si>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</si>
  <si>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</si>
  <si>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</si>
  <si>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</si>
  <si>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</si>
  <si>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</si>
  <si>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</si>
  <si>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</si>
  <si>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</si>
  <si>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</si>
  <si>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</si>
  <si>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</si>
  <si>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</si>
  <si>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</si>
  <si>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</si>
  <si>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</si>
  <si>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</si>
  <si>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</si>
  <si>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</si>
  <si>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</si>
  <si>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</si>
  <si>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</si>
  <si>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</si>
  <si>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</si>
  <si>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</si>
  <si>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</si>
  <si>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</si>
  <si>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</si>
  <si>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</si>
  <si>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</si>
  <si>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</si>
  <si>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</si>
  <si>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</si>
  <si>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</si>
  <si>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</si>
  <si>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</si>
  <si>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</si>
  <si>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</si>
  <si>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</si>
  <si>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</si>
  <si>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</si>
  <si>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</si>
  <si>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</si>
  <si>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</si>
  <si>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</si>
  <si>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</si>
  <si>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</si>
  <si>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</si>
  <si>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</si>
  <si>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</si>
  <si>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</si>
  <si>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</si>
  <si>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</si>
  <si>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</si>
  <si>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</si>
  <si>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</si>
  <si>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</si>
  <si>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</si>
  <si>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</si>
  <si>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</si>
  <si>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</si>
  <si>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</si>
  <si>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</si>
  <si>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</si>
  <si>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</si>
  <si>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</si>
  <si>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</si>
  <si>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</si>
  <si>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</si>
  <si>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</si>
  <si>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</si>
  <si>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</si>
  <si>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</si>
  <si>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</si>
  <si>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</si>
  <si>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</si>
  <si>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</si>
  <si>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</si>
  <si>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</si>
  <si>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</si>
  <si>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</si>
  <si>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</si>
  <si>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</si>
  <si>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</si>
  <si>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</si>
  <si>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</si>
  <si>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</si>
  <si>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</si>
  <si>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</si>
  <si>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</si>
  <si>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</si>
  <si>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</si>
  <si>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</si>
  <si>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</si>
  <si>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</si>
  <si>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</si>
  <si>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</si>
  <si>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</si>
  <si>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</si>
  <si>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</si>
  <si>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</si>
  <si>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</si>
  <si>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</si>
  <si>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</si>
  <si>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</si>
  <si>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</si>
  <si>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</si>
  <si>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</si>
  <si>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</si>
  <si>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</si>
  <si>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</si>
  <si>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</si>
  <si>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</si>
  <si>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</si>
  <si>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</si>
  <si>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</si>
  <si>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</si>
  <si>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</si>
  <si>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</si>
  <si>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</si>
  <si>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</si>
  <si>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</si>
  <si>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</si>
  <si>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</si>
  <si>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</si>
  <si>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</si>
  <si>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</si>
  <si>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</si>
  <si>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</si>
  <si>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</si>
  <si>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</si>
  <si>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</si>
  <si>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</si>
  <si>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</si>
  <si>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</si>
  <si>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</si>
  <si>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</si>
  <si>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</si>
  <si>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</si>
  <si>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</si>
  <si>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</si>
  <si>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</si>
  <si>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</si>
  <si>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</si>
  <si>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</si>
  <si>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</si>
  <si>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</si>
  <si>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</si>
  <si>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</si>
  <si>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</si>
  <si>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</si>
  <si>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</si>
  <si>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</si>
  <si>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</si>
  <si>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</si>
  <si>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</si>
  <si>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</si>
  <si>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</si>
  <si>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</si>
  <si>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</si>
  <si>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</si>
  <si>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</si>
  <si>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</si>
  <si>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</si>
  <si>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</si>
  <si>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</si>
  <si>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</si>
  <si>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</si>
  <si>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</si>
  <si>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</si>
  <si>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</si>
  <si>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</si>
  <si>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</si>
  <si>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</si>
  <si>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</si>
  <si>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</si>
  <si>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</si>
  <si>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</si>
  <si>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</si>
  <si>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</si>
  <si>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</si>
  <si>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</si>
  <si>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</si>
  <si>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</si>
  <si>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</si>
  <si>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</si>
  <si>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</si>
  <si>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</si>
  <si>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</si>
  <si>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</si>
  <si>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</si>
  <si>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</si>
  <si>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</si>
  <si>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</si>
  <si>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</si>
  <si>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</si>
  <si>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</si>
  <si>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</si>
  <si>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</si>
  <si>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</si>
  <si>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</si>
  <si>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</si>
  <si>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</si>
  <si>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</si>
  <si>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</si>
  <si>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</si>
  <si>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</si>
  <si>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</si>
  <si>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</si>
  <si>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</si>
  <si>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</si>
  <si>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</si>
  <si>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</si>
  <si>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</si>
  <si>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</si>
  <si>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</si>
  <si>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</si>
  <si>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</si>
  <si>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</si>
  <si>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</si>
  <si>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</si>
  <si>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</si>
  <si>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</si>
  <si>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</si>
  <si>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</si>
  <si>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</si>
  <si>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</si>
  <si>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</si>
  <si>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</si>
  <si>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</si>
  <si>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</si>
  <si>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</si>
  <si>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</si>
  <si>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</si>
  <si>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</si>
  <si>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</si>
  <si>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</si>
  <si>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</si>
  <si>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</si>
  <si>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</si>
  <si>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</si>
  <si>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</si>
  <si>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</si>
  <si>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</si>
  <si>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</si>
  <si>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</si>
  <si>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</si>
  <si>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</si>
  <si>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</si>
  <si>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</si>
  <si>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</si>
  <si>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</si>
  <si>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</si>
  <si>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</si>
  <si>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</si>
  <si>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</si>
  <si>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</si>
  <si>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</si>
  <si>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</si>
  <si>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</si>
  <si>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</si>
  <si>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</si>
  <si>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</si>
  <si>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</si>
  <si>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</si>
  <si>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</si>
  <si>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</si>
  <si>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</si>
  <si>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</si>
  <si>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</si>
  <si>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</si>
  <si>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</si>
  <si>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</si>
  <si>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</si>
  <si>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</si>
  <si>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</si>
  <si>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</si>
  <si>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</si>
  <si>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</si>
  <si>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</si>
  <si>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</si>
  <si>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</si>
  <si>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</si>
  <si>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</si>
  <si>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</si>
  <si>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</si>
  <si>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</si>
  <si>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</si>
  <si>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</si>
  <si>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</si>
  <si>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</si>
  <si>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</si>
  <si>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</si>
  <si>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</si>
  <si>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</si>
  <si>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</si>
  <si>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</si>
  <si>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</si>
  <si>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</si>
  <si>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</si>
  <si>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</si>
  <si>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</si>
  <si>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</si>
  <si>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</si>
  <si>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</si>
  <si>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</si>
  <si>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</si>
  <si>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</si>
  <si>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</si>
  <si>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</si>
  <si>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</si>
  <si>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</si>
  <si>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</si>
  <si>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</si>
  <si>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</si>
  <si>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</si>
  <si>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</si>
  <si>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</si>
  <si>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</si>
  <si>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</si>
  <si>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</si>
  <si>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</si>
  <si>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</si>
  <si>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</si>
  <si>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</si>
  <si>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</si>
  <si>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</si>
  <si>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</si>
  <si>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</si>
  <si>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</si>
  <si>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</si>
  <si>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</si>
  <si>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</si>
  <si>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</si>
  <si>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</si>
  <si>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</si>
  <si>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</si>
  <si>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</si>
  <si>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</si>
  <si>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</si>
  <si>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</si>
  <si>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</si>
  <si>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</si>
  <si>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</si>
  <si>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</si>
  <si>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</si>
  <si>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</si>
  <si>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</si>
  <si>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</si>
  <si>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</si>
  <si>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</si>
  <si>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</si>
  <si>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</si>
  <si>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</si>
  <si>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</si>
  <si>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</si>
  <si>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</si>
  <si>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</si>
  <si>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</si>
  <si>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</si>
  <si>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</si>
  <si>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</si>
  <si>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</si>
  <si>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</si>
  <si>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</si>
  <si>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</si>
  <si>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</si>
  <si>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</si>
  <si>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</si>
  <si>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</si>
  <si>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</si>
  <si>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</si>
  <si>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</si>
  <si>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</si>
  <si>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</si>
  <si>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</si>
  <si>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</si>
  <si>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</si>
  <si>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</si>
  <si>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</si>
  <si>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</si>
  <si>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</si>
  <si>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</si>
  <si>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</si>
  <si>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</si>
  <si>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</si>
  <si>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</si>
  <si>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</si>
  <si>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</si>
  <si>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</si>
  <si>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</si>
  <si>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</si>
  <si>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</si>
  <si>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</si>
  <si>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</si>
  <si>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</si>
  <si>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</si>
  <si>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</si>
  <si>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</si>
  <si>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</si>
  <si>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</si>
  <si>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</si>
  <si>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</si>
  <si>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</si>
  <si>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</si>
  <si>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</si>
  <si>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</si>
  <si>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</si>
  <si>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</si>
  <si>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</si>
  <si>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</si>
  <si>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</si>
  <si>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</si>
  <si>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</si>
  <si>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</si>
  <si>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</si>
  <si>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</si>
  <si>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</si>
  <si>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TSO001081814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</si>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</sst>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87" sqref="AA38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8" t="s">
        <v>0</v>
      </c>
      <c r="E1" s="668"/>
      <c r="F1" s="668"/>
      <c r="G1" s="12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 t="s">
        <v>911</v>
      </c>
      <c r="I5" s="757"/>
      <c r="J5" s="757"/>
      <c r="K5" s="757"/>
      <c r="L5" s="757"/>
      <c r="M5" s="758"/>
      <c r="N5" s="58"/>
      <c r="P5" s="24" t="s">
        <v>10</v>
      </c>
      <c r="Q5" s="670">
        <v>46244</v>
      </c>
      <c r="R5" s="671"/>
      <c r="T5" s="839" t="s">
        <v>11</v>
      </c>
      <c r="U5" s="833"/>
      <c r="V5" s="841" t="s">
        <v>12</v>
      </c>
      <c r="W5" s="671"/>
      <c r="AB5" s="51"/>
      <c r="AC5" s="51"/>
      <c r="AD5" s="51"/>
      <c r="AE5" s="51"/>
    </row>
    <row r="6" spans="1:32" s="627" customFormat="1" ht="24" customHeight="1" x14ac:dyDescent="0.2">
      <c r="A6" s="876" t="s">
        <v>13</v>
      </c>
      <c r="B6" s="737"/>
      <c r="C6" s="683"/>
      <c r="D6" s="760" t="s">
        <v>884</v>
      </c>
      <c r="E6" s="761"/>
      <c r="F6" s="761"/>
      <c r="G6" s="761"/>
      <c r="H6" s="761"/>
      <c r="I6" s="761"/>
      <c r="J6" s="761"/>
      <c r="K6" s="761"/>
      <c r="L6" s="761"/>
      <c r="M6" s="671"/>
      <c r="N6" s="59"/>
      <c r="P6" s="24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8" t="str">
        <f>IFERROR(VLOOKUP(DeliveryAddress,Table,3,0),1)</f>
        <v>5</v>
      </c>
      <c r="E7" s="979"/>
      <c r="F7" s="979"/>
      <c r="G7" s="979"/>
      <c r="H7" s="979"/>
      <c r="I7" s="979"/>
      <c r="J7" s="979"/>
      <c r="K7" s="979"/>
      <c r="L7" s="979"/>
      <c r="M7" s="844"/>
      <c r="N7" s="60"/>
      <c r="P7" s="24"/>
      <c r="Q7" s="42"/>
      <c r="R7" s="42"/>
      <c r="T7" s="655"/>
      <c r="U7" s="833"/>
      <c r="V7" s="771"/>
      <c r="W7" s="772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61"/>
      <c r="P8" s="24" t="s">
        <v>18</v>
      </c>
      <c r="Q8" s="843">
        <v>0.66666666666666663</v>
      </c>
      <c r="R8" s="844"/>
      <c r="T8" s="655"/>
      <c r="U8" s="833"/>
      <c r="V8" s="771"/>
      <c r="W8" s="772"/>
      <c r="AB8" s="51"/>
      <c r="AC8" s="51"/>
      <c r="AD8" s="51"/>
      <c r="AE8" s="51"/>
    </row>
    <row r="9" spans="1:32" s="62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884"/>
      <c r="R9" s="704"/>
      <c r="T9" s="655"/>
      <c r="U9" s="833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26"/>
      <c r="P10" s="26" t="s">
        <v>20</v>
      </c>
      <c r="Q10" s="834"/>
      <c r="R10" s="835"/>
      <c r="U10" s="24" t="s">
        <v>21</v>
      </c>
      <c r="V10" s="992" t="s">
        <v>22</v>
      </c>
      <c r="W10" s="770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1"/>
      <c r="U11" s="24" t="s">
        <v>25</v>
      </c>
      <c r="V11" s="703" t="s">
        <v>912</v>
      </c>
      <c r="W11" s="704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4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62"/>
      <c r="P12" s="24" t="s">
        <v>27</v>
      </c>
      <c r="Q12" s="843"/>
      <c r="R12" s="844"/>
      <c r="S12" s="23"/>
      <c r="U12" s="24"/>
      <c r="V12" s="668"/>
      <c r="W12" s="655"/>
      <c r="AB12" s="51"/>
      <c r="AC12" s="51"/>
      <c r="AD12" s="51"/>
      <c r="AE12" s="51"/>
    </row>
    <row r="13" spans="1:32" s="627" customFormat="1" ht="23.25" customHeight="1" x14ac:dyDescent="0.2">
      <c r="A13" s="824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62"/>
      <c r="O13" s="26"/>
      <c r="P13" s="26" t="s">
        <v>29</v>
      </c>
      <c r="Q13" s="703"/>
      <c r="R13" s="70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4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5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63"/>
      <c r="P15" s="862" t="s">
        <v>32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3"/>
      <c r="Q16" s="863"/>
      <c r="R16" s="863"/>
      <c r="S16" s="863"/>
      <c r="T16" s="8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33</v>
      </c>
      <c r="B17" s="637" t="s">
        <v>34</v>
      </c>
      <c r="C17" s="883" t="s">
        <v>35</v>
      </c>
      <c r="D17" s="637" t="s">
        <v>36</v>
      </c>
      <c r="E17" s="687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21"/>
      <c r="R17" s="921"/>
      <c r="S17" s="921"/>
      <c r="T17" s="687"/>
      <c r="U17" s="682" t="s">
        <v>48</v>
      </c>
      <c r="V17" s="683"/>
      <c r="W17" s="637" t="s">
        <v>49</v>
      </c>
      <c r="X17" s="637" t="s">
        <v>50</v>
      </c>
      <c r="Y17" s="684" t="s">
        <v>51</v>
      </c>
      <c r="Z17" s="784" t="s">
        <v>52</v>
      </c>
      <c r="AA17" s="695" t="s">
        <v>53</v>
      </c>
      <c r="AB17" s="695" t="s">
        <v>54</v>
      </c>
      <c r="AC17" s="695" t="s">
        <v>55</v>
      </c>
      <c r="AD17" s="695" t="s">
        <v>56</v>
      </c>
      <c r="AE17" s="696"/>
      <c r="AF17" s="697"/>
      <c r="AG17" s="66"/>
      <c r="BD17" s="65" t="s">
        <v>57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67" t="s">
        <v>58</v>
      </c>
      <c r="V18" s="67" t="s">
        <v>59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66"/>
      <c r="BD18" s="65"/>
    </row>
    <row r="19" spans="1:68" ht="27.75" hidden="1" customHeight="1" x14ac:dyDescent="0.2">
      <c r="A19" s="734" t="s">
        <v>60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48"/>
      <c r="AB19" s="48"/>
      <c r="AC19" s="48"/>
    </row>
    <row r="20" spans="1:68" ht="16.5" hidden="1" customHeight="1" x14ac:dyDescent="0.25">
      <c r="A20" s="657" t="s">
        <v>60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8"/>
      <c r="AB20" s="628"/>
      <c r="AC20" s="628"/>
    </row>
    <row r="21" spans="1:68" ht="14.25" hidden="1" customHeight="1" x14ac:dyDescent="0.25">
      <c r="A21" s="658" t="s">
        <v>61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58" t="s">
        <v>73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34" t="s">
        <v>91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48"/>
      <c r="AB34" s="48"/>
      <c r="AC34" s="48"/>
    </row>
    <row r="35" spans="1:68" ht="16.5" hidden="1" customHeight="1" x14ac:dyDescent="0.25">
      <c r="A35" s="657" t="s">
        <v>92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8"/>
      <c r="AB35" s="628"/>
      <c r="AC35" s="628"/>
    </row>
    <row r="36" spans="1:68" ht="14.25" hidden="1" customHeight="1" x14ac:dyDescent="0.25">
      <c r="A36" s="658" t="s">
        <v>73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71</v>
      </c>
      <c r="Q42" s="647"/>
      <c r="R42" s="647"/>
      <c r="S42" s="647"/>
      <c r="T42" s="647"/>
      <c r="U42" s="647"/>
      <c r="V42" s="648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71</v>
      </c>
      <c r="Q43" s="647"/>
      <c r="R43" s="647"/>
      <c r="S43" s="647"/>
      <c r="T43" s="647"/>
      <c r="U43" s="647"/>
      <c r="V43" s="648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34" t="s">
        <v>108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48"/>
      <c r="AB44" s="48"/>
      <c r="AC44" s="48"/>
    </row>
    <row r="45" spans="1:68" ht="16.5" hidden="1" customHeight="1" x14ac:dyDescent="0.25">
      <c r="A45" s="657" t="s">
        <v>109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8"/>
      <c r="AB45" s="628"/>
      <c r="AC45" s="628"/>
    </row>
    <row r="46" spans="1:68" ht="14.25" hidden="1" customHeight="1" x14ac:dyDescent="0.25">
      <c r="A46" s="658" t="s">
        <v>110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29"/>
      <c r="AB46" s="629"/>
      <c r="AC46" s="629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66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71</v>
      </c>
      <c r="Q51" s="647"/>
      <c r="R51" s="647"/>
      <c r="S51" s="647"/>
      <c r="T51" s="647"/>
      <c r="U51" s="647"/>
      <c r="V51" s="648"/>
      <c r="W51" s="37" t="s">
        <v>72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71</v>
      </c>
      <c r="Q52" s="647"/>
      <c r="R52" s="647"/>
      <c r="S52" s="647"/>
      <c r="T52" s="647"/>
      <c r="U52" s="647"/>
      <c r="V52" s="648"/>
      <c r="W52" s="37" t="s">
        <v>66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57" t="s">
        <v>125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8"/>
      <c r="AB53" s="628"/>
      <c r="AC53" s="628"/>
    </row>
    <row r="54" spans="1:68" ht="14.25" hidden="1" customHeight="1" x14ac:dyDescent="0.25">
      <c r="A54" s="658" t="s">
        <v>110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71</v>
      </c>
      <c r="Q63" s="647"/>
      <c r="R63" s="647"/>
      <c r="S63" s="647"/>
      <c r="T63" s="647"/>
      <c r="U63" s="647"/>
      <c r="V63" s="648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71</v>
      </c>
      <c r="Q64" s="647"/>
      <c r="R64" s="647"/>
      <c r="S64" s="647"/>
      <c r="T64" s="647"/>
      <c r="U64" s="647"/>
      <c r="V64" s="648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58" t="s">
        <v>146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71</v>
      </c>
      <c r="Q70" s="647"/>
      <c r="R70" s="647"/>
      <c r="S70" s="647"/>
      <c r="T70" s="647"/>
      <c r="U70" s="647"/>
      <c r="V70" s="648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71</v>
      </c>
      <c r="Q71" s="647"/>
      <c r="R71" s="647"/>
      <c r="S71" s="647"/>
      <c r="T71" s="647"/>
      <c r="U71" s="647"/>
      <c r="V71" s="648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58" t="s">
        <v>73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71</v>
      </c>
      <c r="Q75" s="647"/>
      <c r="R75" s="647"/>
      <c r="S75" s="647"/>
      <c r="T75" s="647"/>
      <c r="U75" s="647"/>
      <c r="V75" s="648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71</v>
      </c>
      <c r="Q76" s="647"/>
      <c r="R76" s="647"/>
      <c r="S76" s="647"/>
      <c r="T76" s="647"/>
      <c r="U76" s="647"/>
      <c r="V76" s="648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58" t="s">
        <v>163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71</v>
      </c>
      <c r="Q80" s="647"/>
      <c r="R80" s="647"/>
      <c r="S80" s="647"/>
      <c r="T80" s="647"/>
      <c r="U80" s="647"/>
      <c r="V80" s="648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71</v>
      </c>
      <c r="Q81" s="647"/>
      <c r="R81" s="647"/>
      <c r="S81" s="647"/>
      <c r="T81" s="647"/>
      <c r="U81" s="647"/>
      <c r="V81" s="648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57" t="s">
        <v>170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8"/>
      <c r="AB82" s="628"/>
      <c r="AC82" s="628"/>
    </row>
    <row r="83" spans="1:68" ht="14.25" hidden="1" customHeight="1" x14ac:dyDescent="0.25">
      <c r="A83" s="658" t="s">
        <v>110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71</v>
      </c>
      <c r="Q88" s="647"/>
      <c r="R88" s="647"/>
      <c r="S88" s="647"/>
      <c r="T88" s="647"/>
      <c r="U88" s="647"/>
      <c r="V88" s="648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71</v>
      </c>
      <c r="Q89" s="647"/>
      <c r="R89" s="647"/>
      <c r="S89" s="647"/>
      <c r="T89" s="647"/>
      <c r="U89" s="647"/>
      <c r="V89" s="648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58" t="s">
        <v>73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71</v>
      </c>
      <c r="Q95" s="647"/>
      <c r="R95" s="647"/>
      <c r="S95" s="647"/>
      <c r="T95" s="647"/>
      <c r="U95" s="647"/>
      <c r="V95" s="648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71</v>
      </c>
      <c r="Q96" s="647"/>
      <c r="R96" s="647"/>
      <c r="S96" s="647"/>
      <c r="T96" s="647"/>
      <c r="U96" s="647"/>
      <c r="V96" s="648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57" t="s">
        <v>191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8"/>
      <c r="AB97" s="628"/>
      <c r="AC97" s="628"/>
    </row>
    <row r="98" spans="1:68" ht="14.25" hidden="1" customHeight="1" x14ac:dyDescent="0.25">
      <c r="A98" s="658" t="s">
        <v>110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71</v>
      </c>
      <c r="Q106" s="647"/>
      <c r="R106" s="647"/>
      <c r="S106" s="647"/>
      <c r="T106" s="647"/>
      <c r="U106" s="647"/>
      <c r="V106" s="648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71</v>
      </c>
      <c r="Q107" s="647"/>
      <c r="R107" s="647"/>
      <c r="S107" s="647"/>
      <c r="T107" s="647"/>
      <c r="U107" s="647"/>
      <c r="V107" s="648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58" t="s">
        <v>146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71</v>
      </c>
      <c r="Q114" s="647"/>
      <c r="R114" s="647"/>
      <c r="S114" s="647"/>
      <c r="T114" s="647"/>
      <c r="U114" s="647"/>
      <c r="V114" s="648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71</v>
      </c>
      <c r="Q115" s="647"/>
      <c r="R115" s="647"/>
      <c r="S115" s="647"/>
      <c r="T115" s="647"/>
      <c r="U115" s="647"/>
      <c r="V115" s="648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58" t="s">
        <v>73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71</v>
      </c>
      <c r="Q121" s="647"/>
      <c r="R121" s="647"/>
      <c r="S121" s="647"/>
      <c r="T121" s="647"/>
      <c r="U121" s="647"/>
      <c r="V121" s="648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71</v>
      </c>
      <c r="Q122" s="647"/>
      <c r="R122" s="647"/>
      <c r="S122" s="647"/>
      <c r="T122" s="647"/>
      <c r="U122" s="647"/>
      <c r="V122" s="648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58" t="s">
        <v>163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71</v>
      </c>
      <c r="Q125" s="647"/>
      <c r="R125" s="647"/>
      <c r="S125" s="647"/>
      <c r="T125" s="647"/>
      <c r="U125" s="647"/>
      <c r="V125" s="648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71</v>
      </c>
      <c r="Q126" s="647"/>
      <c r="R126" s="647"/>
      <c r="S126" s="647"/>
      <c r="T126" s="647"/>
      <c r="U126" s="647"/>
      <c r="V126" s="648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57" t="s">
        <v>231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8"/>
      <c r="AB127" s="628"/>
      <c r="AC127" s="628"/>
    </row>
    <row r="128" spans="1:68" ht="14.25" hidden="1" customHeight="1" x14ac:dyDescent="0.25">
      <c r="A128" s="658" t="s">
        <v>110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71</v>
      </c>
      <c r="Q132" s="647"/>
      <c r="R132" s="647"/>
      <c r="S132" s="647"/>
      <c r="T132" s="647"/>
      <c r="U132" s="647"/>
      <c r="V132" s="648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71</v>
      </c>
      <c r="Q133" s="647"/>
      <c r="R133" s="647"/>
      <c r="S133" s="647"/>
      <c r="T133" s="647"/>
      <c r="U133" s="647"/>
      <c r="V133" s="648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58" t="s">
        <v>61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71</v>
      </c>
      <c r="Q139" s="647"/>
      <c r="R139" s="647"/>
      <c r="S139" s="647"/>
      <c r="T139" s="647"/>
      <c r="U139" s="647"/>
      <c r="V139" s="648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71</v>
      </c>
      <c r="Q140" s="647"/>
      <c r="R140" s="647"/>
      <c r="S140" s="647"/>
      <c r="T140" s="647"/>
      <c r="U140" s="647"/>
      <c r="V140" s="648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58" t="s">
        <v>73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71</v>
      </c>
      <c r="Q145" s="647"/>
      <c r="R145" s="647"/>
      <c r="S145" s="647"/>
      <c r="T145" s="647"/>
      <c r="U145" s="647"/>
      <c r="V145" s="648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71</v>
      </c>
      <c r="Q146" s="647"/>
      <c r="R146" s="647"/>
      <c r="S146" s="647"/>
      <c r="T146" s="647"/>
      <c r="U146" s="647"/>
      <c r="V146" s="648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57" t="s">
        <v>255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8"/>
      <c r="AB147" s="628"/>
      <c r="AC147" s="628"/>
    </row>
    <row r="148" spans="1:68" ht="14.25" hidden="1" customHeight="1" x14ac:dyDescent="0.25">
      <c r="A148" s="658" t="s">
        <v>73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71</v>
      </c>
      <c r="Q156" s="647"/>
      <c r="R156" s="647"/>
      <c r="S156" s="647"/>
      <c r="T156" s="647"/>
      <c r="U156" s="647"/>
      <c r="V156" s="648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71</v>
      </c>
      <c r="Q157" s="647"/>
      <c r="R157" s="647"/>
      <c r="S157" s="647"/>
      <c r="T157" s="647"/>
      <c r="U157" s="647"/>
      <c r="V157" s="648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58" t="s">
        <v>271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71</v>
      </c>
      <c r="Q160" s="647"/>
      <c r="R160" s="647"/>
      <c r="S160" s="647"/>
      <c r="T160" s="647"/>
      <c r="U160" s="647"/>
      <c r="V160" s="648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71</v>
      </c>
      <c r="Q161" s="647"/>
      <c r="R161" s="647"/>
      <c r="S161" s="647"/>
      <c r="T161" s="647"/>
      <c r="U161" s="647"/>
      <c r="V161" s="648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57" t="s">
        <v>108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8"/>
      <c r="AB162" s="628"/>
      <c r="AC162" s="628"/>
    </row>
    <row r="163" spans="1:68" ht="14.25" hidden="1" customHeight="1" x14ac:dyDescent="0.25">
      <c r="A163" s="658" t="s">
        <v>110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71</v>
      </c>
      <c r="Q167" s="647"/>
      <c r="R167" s="647"/>
      <c r="S167" s="647"/>
      <c r="T167" s="647"/>
      <c r="U167" s="647"/>
      <c r="V167" s="648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71</v>
      </c>
      <c r="Q168" s="647"/>
      <c r="R168" s="647"/>
      <c r="S168" s="647"/>
      <c r="T168" s="647"/>
      <c r="U168" s="647"/>
      <c r="V168" s="648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58" t="s">
        <v>146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71</v>
      </c>
      <c r="Q172" s="647"/>
      <c r="R172" s="647"/>
      <c r="S172" s="647"/>
      <c r="T172" s="647"/>
      <c r="U172" s="647"/>
      <c r="V172" s="648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71</v>
      </c>
      <c r="Q173" s="647"/>
      <c r="R173" s="647"/>
      <c r="S173" s="647"/>
      <c r="T173" s="647"/>
      <c r="U173" s="647"/>
      <c r="V173" s="648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8" t="s">
        <v>61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71</v>
      </c>
      <c r="Q186" s="647"/>
      <c r="R186" s="647"/>
      <c r="S186" s="647"/>
      <c r="T186" s="647"/>
      <c r="U186" s="647"/>
      <c r="V186" s="648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71</v>
      </c>
      <c r="Q187" s="647"/>
      <c r="R187" s="647"/>
      <c r="S187" s="647"/>
      <c r="T187" s="647"/>
      <c r="U187" s="647"/>
      <c r="V187" s="648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58" t="s">
        <v>73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71</v>
      </c>
      <c r="Q192" s="647"/>
      <c r="R192" s="647"/>
      <c r="S192" s="647"/>
      <c r="T192" s="647"/>
      <c r="U192" s="647"/>
      <c r="V192" s="648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71</v>
      </c>
      <c r="Q193" s="647"/>
      <c r="R193" s="647"/>
      <c r="S193" s="647"/>
      <c r="T193" s="647"/>
      <c r="U193" s="647"/>
      <c r="V193" s="648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58" t="s">
        <v>271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71</v>
      </c>
      <c r="Q197" s="647"/>
      <c r="R197" s="647"/>
      <c r="S197" s="647"/>
      <c r="T197" s="647"/>
      <c r="U197" s="647"/>
      <c r="V197" s="648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71</v>
      </c>
      <c r="Q198" s="647"/>
      <c r="R198" s="647"/>
      <c r="S198" s="647"/>
      <c r="T198" s="647"/>
      <c r="U198" s="647"/>
      <c r="V198" s="648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58" t="s">
        <v>337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71</v>
      </c>
      <c r="Q201" s="647"/>
      <c r="R201" s="647"/>
      <c r="S201" s="647"/>
      <c r="T201" s="647"/>
      <c r="U201" s="647"/>
      <c r="V201" s="648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71</v>
      </c>
      <c r="Q202" s="647"/>
      <c r="R202" s="647"/>
      <c r="S202" s="647"/>
      <c r="T202" s="647"/>
      <c r="U202" s="647"/>
      <c r="V202" s="648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34" t="s">
        <v>341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48"/>
      <c r="AB203" s="48"/>
      <c r="AC203" s="48"/>
    </row>
    <row r="204" spans="1:68" ht="16.5" hidden="1" customHeight="1" x14ac:dyDescent="0.25">
      <c r="A204" s="657" t="s">
        <v>342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8"/>
      <c r="AB204" s="628"/>
      <c r="AC204" s="628"/>
    </row>
    <row r="205" spans="1:68" ht="14.25" hidden="1" customHeight="1" x14ac:dyDescent="0.25">
      <c r="A205" s="658" t="s">
        <v>110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71</v>
      </c>
      <c r="Q213" s="647"/>
      <c r="R213" s="647"/>
      <c r="S213" s="647"/>
      <c r="T213" s="647"/>
      <c r="U213" s="647"/>
      <c r="V213" s="648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71</v>
      </c>
      <c r="Q214" s="647"/>
      <c r="R214" s="647"/>
      <c r="S214" s="647"/>
      <c r="T214" s="647"/>
      <c r="U214" s="647"/>
      <c r="V214" s="648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57" t="s">
        <v>363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8"/>
      <c r="AB215" s="628"/>
      <c r="AC215" s="628"/>
    </row>
    <row r="216" spans="1:68" ht="14.25" hidden="1" customHeight="1" x14ac:dyDescent="0.25">
      <c r="A216" s="658" t="s">
        <v>146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71</v>
      </c>
      <c r="Q218" s="647"/>
      <c r="R218" s="647"/>
      <c r="S218" s="647"/>
      <c r="T218" s="647"/>
      <c r="U218" s="647"/>
      <c r="V218" s="648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71</v>
      </c>
      <c r="Q219" s="647"/>
      <c r="R219" s="647"/>
      <c r="S219" s="647"/>
      <c r="T219" s="647"/>
      <c r="U219" s="647"/>
      <c r="V219" s="648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58" t="s">
        <v>61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71</v>
      </c>
      <c r="Q235" s="647"/>
      <c r="R235" s="647"/>
      <c r="S235" s="647"/>
      <c r="T235" s="647"/>
      <c r="U235" s="647"/>
      <c r="V235" s="648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71</v>
      </c>
      <c r="Q236" s="647"/>
      <c r="R236" s="647"/>
      <c r="S236" s="647"/>
      <c r="T236" s="647"/>
      <c r="U236" s="647"/>
      <c r="V236" s="648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58" t="s">
        <v>73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71</v>
      </c>
      <c r="Q243" s="647"/>
      <c r="R243" s="647"/>
      <c r="S243" s="647"/>
      <c r="T243" s="647"/>
      <c r="U243" s="647"/>
      <c r="V243" s="648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71</v>
      </c>
      <c r="Q244" s="647"/>
      <c r="R244" s="647"/>
      <c r="S244" s="647"/>
      <c r="T244" s="647"/>
      <c r="U244" s="647"/>
      <c r="V244" s="648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58" t="s">
        <v>271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71</v>
      </c>
      <c r="Q249" s="647"/>
      <c r="R249" s="647"/>
      <c r="S249" s="647"/>
      <c r="T249" s="647"/>
      <c r="U249" s="647"/>
      <c r="V249" s="648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71</v>
      </c>
      <c r="Q250" s="647"/>
      <c r="R250" s="647"/>
      <c r="S250" s="647"/>
      <c r="T250" s="647"/>
      <c r="U250" s="647"/>
      <c r="V250" s="648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58" t="s">
        <v>427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71</v>
      </c>
      <c r="Q253" s="647"/>
      <c r="R253" s="647"/>
      <c r="S253" s="647"/>
      <c r="T253" s="647"/>
      <c r="U253" s="647"/>
      <c r="V253" s="648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71</v>
      </c>
      <c r="Q254" s="647"/>
      <c r="R254" s="647"/>
      <c r="S254" s="647"/>
      <c r="T254" s="647"/>
      <c r="U254" s="647"/>
      <c r="V254" s="648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57" t="s">
        <v>430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8"/>
      <c r="AB255" s="628"/>
      <c r="AC255" s="628"/>
    </row>
    <row r="256" spans="1:68" ht="14.25" hidden="1" customHeight="1" x14ac:dyDescent="0.25">
      <c r="A256" s="658" t="s">
        <v>110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71</v>
      </c>
      <c r="Q259" s="647"/>
      <c r="R259" s="647"/>
      <c r="S259" s="647"/>
      <c r="T259" s="647"/>
      <c r="U259" s="647"/>
      <c r="V259" s="648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71</v>
      </c>
      <c r="Q260" s="647"/>
      <c r="R260" s="647"/>
      <c r="S260" s="647"/>
      <c r="T260" s="647"/>
      <c r="U260" s="647"/>
      <c r="V260" s="648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58" t="s">
        <v>146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71</v>
      </c>
      <c r="Q264" s="647"/>
      <c r="R264" s="647"/>
      <c r="S264" s="647"/>
      <c r="T264" s="647"/>
      <c r="U264" s="647"/>
      <c r="V264" s="648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71</v>
      </c>
      <c r="Q265" s="647"/>
      <c r="R265" s="647"/>
      <c r="S265" s="647"/>
      <c r="T265" s="647"/>
      <c r="U265" s="647"/>
      <c r="V265" s="648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58" t="s">
        <v>61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71</v>
      </c>
      <c r="Q275" s="647"/>
      <c r="R275" s="647"/>
      <c r="S275" s="647"/>
      <c r="T275" s="647"/>
      <c r="U275" s="647"/>
      <c r="V275" s="648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71</v>
      </c>
      <c r="Q276" s="647"/>
      <c r="R276" s="647"/>
      <c r="S276" s="647"/>
      <c r="T276" s="647"/>
      <c r="U276" s="647"/>
      <c r="V276" s="648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58" t="s">
        <v>73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71</v>
      </c>
      <c r="Q290" s="647"/>
      <c r="R290" s="647"/>
      <c r="S290" s="647"/>
      <c r="T290" s="647"/>
      <c r="U290" s="647"/>
      <c r="V290" s="648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71</v>
      </c>
      <c r="Q291" s="647"/>
      <c r="R291" s="647"/>
      <c r="S291" s="647"/>
      <c r="T291" s="647"/>
      <c r="U291" s="647"/>
      <c r="V291" s="648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58" t="s">
        <v>163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71</v>
      </c>
      <c r="Q295" s="647"/>
      <c r="R295" s="647"/>
      <c r="S295" s="647"/>
      <c r="T295" s="647"/>
      <c r="U295" s="647"/>
      <c r="V295" s="648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71</v>
      </c>
      <c r="Q296" s="647"/>
      <c r="R296" s="647"/>
      <c r="S296" s="647"/>
      <c r="T296" s="647"/>
      <c r="U296" s="647"/>
      <c r="V296" s="648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57" t="s">
        <v>498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8"/>
      <c r="AB297" s="628"/>
      <c r="AC297" s="628"/>
    </row>
    <row r="298" spans="1:68" ht="14.25" hidden="1" customHeight="1" x14ac:dyDescent="0.25">
      <c r="A298" s="658" t="s">
        <v>110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71</v>
      </c>
      <c r="Q306" s="647"/>
      <c r="R306" s="647"/>
      <c r="S306" s="647"/>
      <c r="T306" s="647"/>
      <c r="U306" s="647"/>
      <c r="V306" s="648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71</v>
      </c>
      <c r="Q307" s="647"/>
      <c r="R307" s="647"/>
      <c r="S307" s="647"/>
      <c r="T307" s="647"/>
      <c r="U307" s="647"/>
      <c r="V307" s="648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58" t="s">
        <v>146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71</v>
      </c>
      <c r="Q310" s="647"/>
      <c r="R310" s="647"/>
      <c r="S310" s="647"/>
      <c r="T310" s="647"/>
      <c r="U310" s="647"/>
      <c r="V310" s="648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71</v>
      </c>
      <c r="Q311" s="647"/>
      <c r="R311" s="647"/>
      <c r="S311" s="647"/>
      <c r="T311" s="647"/>
      <c r="U311" s="647"/>
      <c r="V311" s="648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58" t="s">
        <v>520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71</v>
      </c>
      <c r="Q314" s="647"/>
      <c r="R314" s="647"/>
      <c r="S314" s="647"/>
      <c r="T314" s="647"/>
      <c r="U314" s="647"/>
      <c r="V314" s="648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71</v>
      </c>
      <c r="Q315" s="647"/>
      <c r="R315" s="647"/>
      <c r="S315" s="647"/>
      <c r="T315" s="647"/>
      <c r="U315" s="647"/>
      <c r="V315" s="648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58" t="s">
        <v>337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71</v>
      </c>
      <c r="Q320" s="647"/>
      <c r="R320" s="647"/>
      <c r="S320" s="647"/>
      <c r="T320" s="647"/>
      <c r="U320" s="647"/>
      <c r="V320" s="648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71</v>
      </c>
      <c r="Q321" s="647"/>
      <c r="R321" s="647"/>
      <c r="S321" s="647"/>
      <c r="T321" s="647"/>
      <c r="U321" s="647"/>
      <c r="V321" s="648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57" t="s">
        <v>531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8"/>
      <c r="AB322" s="628"/>
      <c r="AC322" s="628"/>
    </row>
    <row r="323" spans="1:68" ht="14.25" hidden="1" customHeight="1" x14ac:dyDescent="0.25">
      <c r="A323" s="658" t="s">
        <v>110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71</v>
      </c>
      <c r="Q329" s="647"/>
      <c r="R329" s="647"/>
      <c r="S329" s="647"/>
      <c r="T329" s="647"/>
      <c r="U329" s="647"/>
      <c r="V329" s="648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71</v>
      </c>
      <c r="Q330" s="647"/>
      <c r="R330" s="647"/>
      <c r="S330" s="647"/>
      <c r="T330" s="647"/>
      <c r="U330" s="647"/>
      <c r="V330" s="648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57" t="s">
        <v>547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8"/>
      <c r="AB331" s="628"/>
      <c r="AC331" s="628"/>
    </row>
    <row r="332" spans="1:68" ht="14.25" hidden="1" customHeight="1" x14ac:dyDescent="0.25">
      <c r="A332" s="658" t="s">
        <v>73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71</v>
      </c>
      <c r="Q336" s="647"/>
      <c r="R336" s="647"/>
      <c r="S336" s="647"/>
      <c r="T336" s="647"/>
      <c r="U336" s="647"/>
      <c r="V336" s="648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71</v>
      </c>
      <c r="Q337" s="647"/>
      <c r="R337" s="647"/>
      <c r="S337" s="647"/>
      <c r="T337" s="647"/>
      <c r="U337" s="647"/>
      <c r="V337" s="648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57" t="s">
        <v>556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8"/>
      <c r="AB338" s="628"/>
      <c r="AC338" s="628"/>
    </row>
    <row r="339" spans="1:68" ht="14.25" hidden="1" customHeight="1" x14ac:dyDescent="0.25">
      <c r="A339" s="658" t="s">
        <v>61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71</v>
      </c>
      <c r="Q345" s="647"/>
      <c r="R345" s="647"/>
      <c r="S345" s="647"/>
      <c r="T345" s="647"/>
      <c r="U345" s="647"/>
      <c r="V345" s="648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71</v>
      </c>
      <c r="Q346" s="647"/>
      <c r="R346" s="647"/>
      <c r="S346" s="647"/>
      <c r="T346" s="647"/>
      <c r="U346" s="647"/>
      <c r="V346" s="648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58" t="s">
        <v>73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71</v>
      </c>
      <c r="Q350" s="647"/>
      <c r="R350" s="647"/>
      <c r="S350" s="647"/>
      <c r="T350" s="647"/>
      <c r="U350" s="647"/>
      <c r="V350" s="648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71</v>
      </c>
      <c r="Q351" s="647"/>
      <c r="R351" s="647"/>
      <c r="S351" s="647"/>
      <c r="T351" s="647"/>
      <c r="U351" s="647"/>
      <c r="V351" s="648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57" t="s">
        <v>577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8"/>
      <c r="AB352" s="628"/>
      <c r="AC352" s="628"/>
    </row>
    <row r="353" spans="1:68" ht="14.25" hidden="1" customHeight="1" x14ac:dyDescent="0.25">
      <c r="A353" s="658" t="s">
        <v>110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71</v>
      </c>
      <c r="Q357" s="647"/>
      <c r="R357" s="647"/>
      <c r="S357" s="647"/>
      <c r="T357" s="647"/>
      <c r="U357" s="647"/>
      <c r="V357" s="648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71</v>
      </c>
      <c r="Q358" s="647"/>
      <c r="R358" s="647"/>
      <c r="S358" s="647"/>
      <c r="T358" s="647"/>
      <c r="U358" s="647"/>
      <c r="V358" s="648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57" t="s">
        <v>586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8"/>
      <c r="AB359" s="628"/>
      <c r="AC359" s="628"/>
    </row>
    <row r="360" spans="1:68" ht="14.25" hidden="1" customHeight="1" x14ac:dyDescent="0.25">
      <c r="A360" s="658" t="s">
        <v>110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71</v>
      </c>
      <c r="Q366" s="647"/>
      <c r="R366" s="647"/>
      <c r="S366" s="647"/>
      <c r="T366" s="647"/>
      <c r="U366" s="647"/>
      <c r="V366" s="648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71</v>
      </c>
      <c r="Q367" s="647"/>
      <c r="R367" s="647"/>
      <c r="S367" s="647"/>
      <c r="T367" s="647"/>
      <c r="U367" s="647"/>
      <c r="V367" s="648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58" t="s">
        <v>61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71</v>
      </c>
      <c r="Q376" s="647"/>
      <c r="R376" s="647"/>
      <c r="S376" s="647"/>
      <c r="T376" s="647"/>
      <c r="U376" s="647"/>
      <c r="V376" s="648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71</v>
      </c>
      <c r="Q377" s="647"/>
      <c r="R377" s="647"/>
      <c r="S377" s="647"/>
      <c r="T377" s="647"/>
      <c r="U377" s="647"/>
      <c r="V377" s="648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58" t="s">
        <v>73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71</v>
      </c>
      <c r="Q383" s="647"/>
      <c r="R383" s="647"/>
      <c r="S383" s="647"/>
      <c r="T383" s="647"/>
      <c r="U383" s="647"/>
      <c r="V383" s="648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71</v>
      </c>
      <c r="Q384" s="647"/>
      <c r="R384" s="647"/>
      <c r="S384" s="647"/>
      <c r="T384" s="647"/>
      <c r="U384" s="647"/>
      <c r="V384" s="648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58" t="s">
        <v>163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634</v>
      </c>
      <c r="B387" s="54" t="s">
        <v>635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66</v>
      </c>
      <c r="X387" s="633">
        <v>500</v>
      </c>
      <c r="Y387" s="634">
        <f>IFERROR(IF(X387="",0,CEILING((X387/$H387),1)*$H387),"")</f>
        <v>507</v>
      </c>
      <c r="Z387" s="36">
        <f>IFERROR(IF(Y387=0,"",ROUNDUP(Y387/H387,0)*0.01898),"")</f>
        <v>1.2337</v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531.66666666666663</v>
      </c>
      <c r="BN387" s="64">
        <f>IFERROR(Y387*I387/H387,"0")</f>
        <v>539.11</v>
      </c>
      <c r="BO387" s="64">
        <f>IFERROR(1/J387*(X387/H387),"0")</f>
        <v>1.0016025641025641</v>
      </c>
      <c r="BP387" s="64">
        <f>IFERROR(1/J387*(Y387/H387),"0")</f>
        <v>1.015625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71</v>
      </c>
      <c r="Q389" s="647"/>
      <c r="R389" s="647"/>
      <c r="S389" s="647"/>
      <c r="T389" s="647"/>
      <c r="U389" s="647"/>
      <c r="V389" s="648"/>
      <c r="W389" s="37" t="s">
        <v>72</v>
      </c>
      <c r="X389" s="635">
        <f>IFERROR(X386/H386,"0")+IFERROR(X387/H387,"0")+IFERROR(X388/H388,"0")</f>
        <v>64.102564102564102</v>
      </c>
      <c r="Y389" s="635">
        <f>IFERROR(Y386/H386,"0")+IFERROR(Y387/H387,"0")+IFERROR(Y388/H388,"0")</f>
        <v>65</v>
      </c>
      <c r="Z389" s="635">
        <f>IFERROR(IF(Z386="",0,Z386),"0")+IFERROR(IF(Z387="",0,Z387),"0")+IFERROR(IF(Z388="",0,Z388),"0")</f>
        <v>1.2337</v>
      </c>
      <c r="AA389" s="636"/>
      <c r="AB389" s="636"/>
      <c r="AC389" s="636"/>
    </row>
    <row r="390" spans="1:68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71</v>
      </c>
      <c r="Q390" s="647"/>
      <c r="R390" s="647"/>
      <c r="S390" s="647"/>
      <c r="T390" s="647"/>
      <c r="U390" s="647"/>
      <c r="V390" s="648"/>
      <c r="W390" s="37" t="s">
        <v>66</v>
      </c>
      <c r="X390" s="635">
        <f>IFERROR(SUM(X386:X388),"0")</f>
        <v>500</v>
      </c>
      <c r="Y390" s="635">
        <f>IFERROR(SUM(Y386:Y388),"0")</f>
        <v>507</v>
      </c>
      <c r="Z390" s="37"/>
      <c r="AA390" s="636"/>
      <c r="AB390" s="636"/>
      <c r="AC390" s="636"/>
    </row>
    <row r="391" spans="1:68" ht="14.25" hidden="1" customHeight="1" x14ac:dyDescent="0.25">
      <c r="A391" s="658" t="s">
        <v>271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71</v>
      </c>
      <c r="Q396" s="647"/>
      <c r="R396" s="647"/>
      <c r="S396" s="647"/>
      <c r="T396" s="647"/>
      <c r="U396" s="647"/>
      <c r="V396" s="648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71</v>
      </c>
      <c r="Q397" s="647"/>
      <c r="R397" s="647"/>
      <c r="S397" s="647"/>
      <c r="T397" s="647"/>
      <c r="U397" s="647"/>
      <c r="V397" s="648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58" t="s">
        <v>649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71</v>
      </c>
      <c r="Q402" s="647"/>
      <c r="R402" s="647"/>
      <c r="S402" s="647"/>
      <c r="T402" s="647"/>
      <c r="U402" s="647"/>
      <c r="V402" s="648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71</v>
      </c>
      <c r="Q403" s="647"/>
      <c r="R403" s="647"/>
      <c r="S403" s="647"/>
      <c r="T403" s="647"/>
      <c r="U403" s="647"/>
      <c r="V403" s="648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58" t="s">
        <v>658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71</v>
      </c>
      <c r="Q408" s="647"/>
      <c r="R408" s="647"/>
      <c r="S408" s="647"/>
      <c r="T408" s="647"/>
      <c r="U408" s="647"/>
      <c r="V408" s="648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71</v>
      </c>
      <c r="Q409" s="647"/>
      <c r="R409" s="647"/>
      <c r="S409" s="647"/>
      <c r="T409" s="647"/>
      <c r="U409" s="647"/>
      <c r="V409" s="648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57" t="s">
        <v>667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8"/>
      <c r="AB410" s="628"/>
      <c r="AC410" s="628"/>
    </row>
    <row r="411" spans="1:68" ht="14.25" hidden="1" customHeight="1" x14ac:dyDescent="0.25">
      <c r="A411" s="658" t="s">
        <v>73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711" t="s">
        <v>670</v>
      </c>
      <c r="Q412" s="640"/>
      <c r="R412" s="640"/>
      <c r="S412" s="640"/>
      <c r="T412" s="641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946" t="s">
        <v>675</v>
      </c>
      <c r="Q413" s="640"/>
      <c r="R413" s="640"/>
      <c r="S413" s="640"/>
      <c r="T413" s="641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71</v>
      </c>
      <c r="Q414" s="647"/>
      <c r="R414" s="647"/>
      <c r="S414" s="647"/>
      <c r="T414" s="647"/>
      <c r="U414" s="647"/>
      <c r="V414" s="648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71</v>
      </c>
      <c r="Q415" s="647"/>
      <c r="R415" s="647"/>
      <c r="S415" s="647"/>
      <c r="T415" s="647"/>
      <c r="U415" s="647"/>
      <c r="V415" s="648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57" t="s">
        <v>677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8"/>
      <c r="AB416" s="628"/>
      <c r="AC416" s="628"/>
    </row>
    <row r="417" spans="1:68" ht="14.25" hidden="1" customHeight="1" x14ac:dyDescent="0.25">
      <c r="A417" s="658" t="s">
        <v>73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71</v>
      </c>
      <c r="Q421" s="647"/>
      <c r="R421" s="647"/>
      <c r="S421" s="647"/>
      <c r="T421" s="647"/>
      <c r="U421" s="647"/>
      <c r="V421" s="648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71</v>
      </c>
      <c r="Q422" s="647"/>
      <c r="R422" s="647"/>
      <c r="S422" s="647"/>
      <c r="T422" s="647"/>
      <c r="U422" s="647"/>
      <c r="V422" s="648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34" t="s">
        <v>687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48"/>
      <c r="AB423" s="48"/>
      <c r="AC423" s="48"/>
    </row>
    <row r="424" spans="1:68" ht="16.5" hidden="1" customHeight="1" x14ac:dyDescent="0.25">
      <c r="A424" s="657" t="s">
        <v>688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8"/>
      <c r="AB424" s="628"/>
      <c r="AC424" s="628"/>
    </row>
    <row r="425" spans="1:68" ht="14.25" hidden="1" customHeight="1" x14ac:dyDescent="0.25">
      <c r="A425" s="658" t="s">
        <v>110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692</v>
      </c>
      <c r="B427" s="54" t="s">
        <v>693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66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66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idden="1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71</v>
      </c>
      <c r="Q434" s="647"/>
      <c r="R434" s="647"/>
      <c r="S434" s="647"/>
      <c r="T434" s="647"/>
      <c r="U434" s="647"/>
      <c r="V434" s="648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hidden="1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71</v>
      </c>
      <c r="Q435" s="647"/>
      <c r="R435" s="647"/>
      <c r="S435" s="647"/>
      <c r="T435" s="647"/>
      <c r="U435" s="647"/>
      <c r="V435" s="648"/>
      <c r="W435" s="37" t="s">
        <v>66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hidden="1" customHeight="1" x14ac:dyDescent="0.25">
      <c r="A436" s="658" t="s">
        <v>146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29"/>
      <c r="AB436" s="629"/>
      <c r="AC436" s="629"/>
    </row>
    <row r="437" spans="1:68" ht="27" customHeight="1" x14ac:dyDescent="0.25">
      <c r="A437" s="54" t="s">
        <v>713</v>
      </c>
      <c r="B437" s="54" t="s">
        <v>714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66</v>
      </c>
      <c r="X437" s="633">
        <v>580</v>
      </c>
      <c r="Y437" s="634">
        <f>IFERROR(IF(X437="",0,CEILING((X437/$H437),1)*$H437),"")</f>
        <v>585</v>
      </c>
      <c r="Z437" s="36">
        <f>IFERROR(IF(Y437=0,"",ROUNDUP(Y437/H437,0)*0.02175),"")</f>
        <v>0.84824999999999995</v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598.1733333333334</v>
      </c>
      <c r="BN437" s="64">
        <f>IFERROR(Y437*I437/H437,"0")</f>
        <v>603.33000000000004</v>
      </c>
      <c r="BO437" s="64">
        <f>IFERROR(1/J437*(X437/H437),"0")</f>
        <v>0.80555555555555547</v>
      </c>
      <c r="BP437" s="64">
        <f>IFERROR(1/J437*(Y437/H437),"0")</f>
        <v>0.8125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71</v>
      </c>
      <c r="Q440" s="647"/>
      <c r="R440" s="647"/>
      <c r="S440" s="647"/>
      <c r="T440" s="647"/>
      <c r="U440" s="647"/>
      <c r="V440" s="648"/>
      <c r="W440" s="37" t="s">
        <v>72</v>
      </c>
      <c r="X440" s="635">
        <f>IFERROR(X437/H437,"0")+IFERROR(X438/H438,"0")+IFERROR(X439/H439,"0")</f>
        <v>38.666666666666664</v>
      </c>
      <c r="Y440" s="635">
        <f>IFERROR(Y437/H437,"0")+IFERROR(Y438/H438,"0")+IFERROR(Y439/H439,"0")</f>
        <v>39</v>
      </c>
      <c r="Z440" s="635">
        <f>IFERROR(IF(Z437="",0,Z437),"0")+IFERROR(IF(Z438="",0,Z438),"0")+IFERROR(IF(Z439="",0,Z439),"0")</f>
        <v>0.84824999999999995</v>
      </c>
      <c r="AA440" s="636"/>
      <c r="AB440" s="636"/>
      <c r="AC440" s="636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71</v>
      </c>
      <c r="Q441" s="647"/>
      <c r="R441" s="647"/>
      <c r="S441" s="647"/>
      <c r="T441" s="647"/>
      <c r="U441" s="647"/>
      <c r="V441" s="648"/>
      <c r="W441" s="37" t="s">
        <v>66</v>
      </c>
      <c r="X441" s="635">
        <f>IFERROR(SUM(X437:X439),"0")</f>
        <v>580</v>
      </c>
      <c r="Y441" s="635">
        <f>IFERROR(SUM(Y437:Y439),"0")</f>
        <v>585</v>
      </c>
      <c r="Z441" s="37"/>
      <c r="AA441" s="636"/>
      <c r="AB441" s="636"/>
      <c r="AC441" s="636"/>
    </row>
    <row r="442" spans="1:68" ht="14.25" hidden="1" customHeight="1" x14ac:dyDescent="0.25">
      <c r="A442" s="658" t="s">
        <v>73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71</v>
      </c>
      <c r="Q446" s="647"/>
      <c r="R446" s="647"/>
      <c r="S446" s="647"/>
      <c r="T446" s="647"/>
      <c r="U446" s="647"/>
      <c r="V446" s="648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71</v>
      </c>
      <c r="Q447" s="647"/>
      <c r="R447" s="647"/>
      <c r="S447" s="647"/>
      <c r="T447" s="647"/>
      <c r="U447" s="647"/>
      <c r="V447" s="648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58" t="s">
        <v>163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71</v>
      </c>
      <c r="Q451" s="647"/>
      <c r="R451" s="647"/>
      <c r="S451" s="647"/>
      <c r="T451" s="647"/>
      <c r="U451" s="647"/>
      <c r="V451" s="648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71</v>
      </c>
      <c r="Q452" s="647"/>
      <c r="R452" s="647"/>
      <c r="S452" s="647"/>
      <c r="T452" s="647"/>
      <c r="U452" s="647"/>
      <c r="V452" s="648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57" t="s">
        <v>737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8"/>
      <c r="AB453" s="628"/>
      <c r="AC453" s="628"/>
    </row>
    <row r="454" spans="1:68" ht="14.25" hidden="1" customHeight="1" x14ac:dyDescent="0.25">
      <c r="A454" s="658" t="s">
        <v>110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71</v>
      </c>
      <c r="Q457" s="647"/>
      <c r="R457" s="647"/>
      <c r="S457" s="647"/>
      <c r="T457" s="647"/>
      <c r="U457" s="647"/>
      <c r="V457" s="648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71</v>
      </c>
      <c r="Q458" s="647"/>
      <c r="R458" s="647"/>
      <c r="S458" s="647"/>
      <c r="T458" s="647"/>
      <c r="U458" s="647"/>
      <c r="V458" s="648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58" t="s">
        <v>61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71</v>
      </c>
      <c r="Q461" s="647"/>
      <c r="R461" s="647"/>
      <c r="S461" s="647"/>
      <c r="T461" s="647"/>
      <c r="U461" s="647"/>
      <c r="V461" s="648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71</v>
      </c>
      <c r="Q462" s="647"/>
      <c r="R462" s="647"/>
      <c r="S462" s="647"/>
      <c r="T462" s="647"/>
      <c r="U462" s="647"/>
      <c r="V462" s="648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58" t="s">
        <v>73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29"/>
      <c r="AB463" s="629"/>
      <c r="AC463" s="629"/>
    </row>
    <row r="464" spans="1:68" ht="27" customHeight="1" x14ac:dyDescent="0.25">
      <c r="A464" s="54" t="s">
        <v>746</v>
      </c>
      <c r="B464" s="54" t="s">
        <v>747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66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71</v>
      </c>
      <c r="Q467" s="647"/>
      <c r="R467" s="647"/>
      <c r="S467" s="647"/>
      <c r="T467" s="647"/>
      <c r="U467" s="647"/>
      <c r="V467" s="648"/>
      <c r="W467" s="37" t="s">
        <v>72</v>
      </c>
      <c r="X467" s="635">
        <f>IFERROR(X464/H464,"0")+IFERROR(X465/H465,"0")+IFERROR(X466/H466,"0")</f>
        <v>111.11111111111111</v>
      </c>
      <c r="Y467" s="635">
        <f>IFERROR(Y464/H464,"0")+IFERROR(Y465/H465,"0")+IFERROR(Y466/H466,"0")</f>
        <v>112</v>
      </c>
      <c r="Z467" s="635">
        <f>IFERROR(IF(Z464="",0,Z464),"0")+IFERROR(IF(Z465="",0,Z465),"0")+IFERROR(IF(Z466="",0,Z466),"0")</f>
        <v>2.1257600000000001</v>
      </c>
      <c r="AA467" s="636"/>
      <c r="AB467" s="636"/>
      <c r="AC467" s="636"/>
    </row>
    <row r="468" spans="1:68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71</v>
      </c>
      <c r="Q468" s="647"/>
      <c r="R468" s="647"/>
      <c r="S468" s="647"/>
      <c r="T468" s="647"/>
      <c r="U468" s="647"/>
      <c r="V468" s="648"/>
      <c r="W468" s="37" t="s">
        <v>66</v>
      </c>
      <c r="X468" s="635">
        <f>IFERROR(SUM(X464:X466),"0")</f>
        <v>1000</v>
      </c>
      <c r="Y468" s="635">
        <f>IFERROR(SUM(Y464:Y466),"0")</f>
        <v>1008</v>
      </c>
      <c r="Z468" s="37"/>
      <c r="AA468" s="636"/>
      <c r="AB468" s="636"/>
      <c r="AC468" s="636"/>
    </row>
    <row r="469" spans="1:68" ht="27.75" hidden="1" customHeight="1" x14ac:dyDescent="0.2">
      <c r="A469" s="734" t="s">
        <v>753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48"/>
      <c r="AB469" s="48"/>
      <c r="AC469" s="48"/>
    </row>
    <row r="470" spans="1:68" ht="16.5" hidden="1" customHeight="1" x14ac:dyDescent="0.25">
      <c r="A470" s="657" t="s">
        <v>754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8"/>
      <c r="AB470" s="628"/>
      <c r="AC470" s="628"/>
    </row>
    <row r="471" spans="1:68" ht="14.25" hidden="1" customHeight="1" x14ac:dyDescent="0.25">
      <c r="A471" s="658" t="s">
        <v>61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71</v>
      </c>
      <c r="Q478" s="647"/>
      <c r="R478" s="647"/>
      <c r="S478" s="647"/>
      <c r="T478" s="647"/>
      <c r="U478" s="647"/>
      <c r="V478" s="648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71</v>
      </c>
      <c r="Q479" s="647"/>
      <c r="R479" s="647"/>
      <c r="S479" s="647"/>
      <c r="T479" s="647"/>
      <c r="U479" s="647"/>
      <c r="V479" s="648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58" t="s">
        <v>73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71</v>
      </c>
      <c r="Q483" s="647"/>
      <c r="R483" s="647"/>
      <c r="S483" s="647"/>
      <c r="T483" s="647"/>
      <c r="U483" s="647"/>
      <c r="V483" s="648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71</v>
      </c>
      <c r="Q484" s="647"/>
      <c r="R484" s="647"/>
      <c r="S484" s="647"/>
      <c r="T484" s="647"/>
      <c r="U484" s="647"/>
      <c r="V484" s="648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57" t="s">
        <v>777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8"/>
      <c r="AB485" s="628"/>
      <c r="AC485" s="628"/>
    </row>
    <row r="486" spans="1:68" ht="14.25" hidden="1" customHeight="1" x14ac:dyDescent="0.25">
      <c r="A486" s="658" t="s">
        <v>146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71</v>
      </c>
      <c r="Q488" s="647"/>
      <c r="R488" s="647"/>
      <c r="S488" s="647"/>
      <c r="T488" s="647"/>
      <c r="U488" s="647"/>
      <c r="V488" s="648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71</v>
      </c>
      <c r="Q489" s="647"/>
      <c r="R489" s="647"/>
      <c r="S489" s="647"/>
      <c r="T489" s="647"/>
      <c r="U489" s="647"/>
      <c r="V489" s="648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58" t="s">
        <v>61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71</v>
      </c>
      <c r="Q494" s="647"/>
      <c r="R494" s="647"/>
      <c r="S494" s="647"/>
      <c r="T494" s="647"/>
      <c r="U494" s="647"/>
      <c r="V494" s="648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71</v>
      </c>
      <c r="Q495" s="647"/>
      <c r="R495" s="647"/>
      <c r="S495" s="647"/>
      <c r="T495" s="647"/>
      <c r="U495" s="647"/>
      <c r="V495" s="648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34" t="s">
        <v>789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48"/>
      <c r="AB496" s="48"/>
      <c r="AC496" s="48"/>
    </row>
    <row r="497" spans="1:68" ht="16.5" hidden="1" customHeight="1" x14ac:dyDescent="0.25">
      <c r="A497" s="657" t="s">
        <v>789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8"/>
      <c r="AB497" s="628"/>
      <c r="AC497" s="628"/>
    </row>
    <row r="498" spans="1:68" ht="14.25" hidden="1" customHeight="1" x14ac:dyDescent="0.25">
      <c r="A498" s="658" t="s">
        <v>110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71</v>
      </c>
      <c r="Q508" s="647"/>
      <c r="R508" s="647"/>
      <c r="S508" s="647"/>
      <c r="T508" s="647"/>
      <c r="U508" s="647"/>
      <c r="V508" s="648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71</v>
      </c>
      <c r="Q509" s="647"/>
      <c r="R509" s="647"/>
      <c r="S509" s="647"/>
      <c r="T509" s="647"/>
      <c r="U509" s="647"/>
      <c r="V509" s="648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58" t="s">
        <v>146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29"/>
      <c r="AB510" s="629"/>
      <c r="AC510" s="629"/>
    </row>
    <row r="511" spans="1:68" ht="16.5" hidden="1" customHeight="1" x14ac:dyDescent="0.25">
      <c r="A511" s="54" t="s">
        <v>813</v>
      </c>
      <c r="B511" s="54" t="s">
        <v>814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66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71</v>
      </c>
      <c r="Q514" s="647"/>
      <c r="R514" s="647"/>
      <c r="S514" s="647"/>
      <c r="T514" s="647"/>
      <c r="U514" s="647"/>
      <c r="V514" s="648"/>
      <c r="W514" s="37" t="s">
        <v>72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71</v>
      </c>
      <c r="Q515" s="647"/>
      <c r="R515" s="647"/>
      <c r="S515" s="647"/>
      <c r="T515" s="647"/>
      <c r="U515" s="647"/>
      <c r="V515" s="648"/>
      <c r="W515" s="37" t="s">
        <v>66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58" t="s">
        <v>61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71</v>
      </c>
      <c r="Q524" s="647"/>
      <c r="R524" s="647"/>
      <c r="S524" s="647"/>
      <c r="T524" s="647"/>
      <c r="U524" s="647"/>
      <c r="V524" s="648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71</v>
      </c>
      <c r="Q525" s="647"/>
      <c r="R525" s="647"/>
      <c r="S525" s="647"/>
      <c r="T525" s="647"/>
      <c r="U525" s="647"/>
      <c r="V525" s="648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34" t="s">
        <v>836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48"/>
      <c r="AB526" s="48"/>
      <c r="AC526" s="48"/>
    </row>
    <row r="527" spans="1:68" ht="16.5" hidden="1" customHeight="1" x14ac:dyDescent="0.25">
      <c r="A527" s="657" t="s">
        <v>836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8"/>
      <c r="AB527" s="628"/>
      <c r="AC527" s="628"/>
    </row>
    <row r="528" spans="1:68" ht="14.25" hidden="1" customHeight="1" x14ac:dyDescent="0.25">
      <c r="A528" s="658" t="s">
        <v>110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71</v>
      </c>
      <c r="Q530" s="647"/>
      <c r="R530" s="647"/>
      <c r="S530" s="647"/>
      <c r="T530" s="647"/>
      <c r="U530" s="647"/>
      <c r="V530" s="648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71</v>
      </c>
      <c r="Q531" s="647"/>
      <c r="R531" s="647"/>
      <c r="S531" s="647"/>
      <c r="T531" s="647"/>
      <c r="U531" s="647"/>
      <c r="V531" s="648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58" t="s">
        <v>146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71</v>
      </c>
      <c r="Q534" s="647"/>
      <c r="R534" s="647"/>
      <c r="S534" s="647"/>
      <c r="T534" s="647"/>
      <c r="U534" s="647"/>
      <c r="V534" s="648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71</v>
      </c>
      <c r="Q535" s="647"/>
      <c r="R535" s="647"/>
      <c r="S535" s="647"/>
      <c r="T535" s="647"/>
      <c r="U535" s="647"/>
      <c r="V535" s="648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58" t="s">
        <v>61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71</v>
      </c>
      <c r="Q538" s="647"/>
      <c r="R538" s="647"/>
      <c r="S538" s="647"/>
      <c r="T538" s="647"/>
      <c r="U538" s="647"/>
      <c r="V538" s="648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71</v>
      </c>
      <c r="Q539" s="647"/>
      <c r="R539" s="647"/>
      <c r="S539" s="647"/>
      <c r="T539" s="647"/>
      <c r="U539" s="647"/>
      <c r="V539" s="648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58" t="s">
        <v>73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71</v>
      </c>
      <c r="Q542" s="647"/>
      <c r="R542" s="647"/>
      <c r="S542" s="647"/>
      <c r="T542" s="647"/>
      <c r="U542" s="647"/>
      <c r="V542" s="648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71</v>
      </c>
      <c r="Q543" s="647"/>
      <c r="R543" s="647"/>
      <c r="S543" s="647"/>
      <c r="T543" s="647"/>
      <c r="U543" s="647"/>
      <c r="V543" s="648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58" t="s">
        <v>163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71</v>
      </c>
      <c r="Q547" s="647"/>
      <c r="R547" s="647"/>
      <c r="S547" s="647"/>
      <c r="T547" s="647"/>
      <c r="U547" s="647"/>
      <c r="V547" s="648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71</v>
      </c>
      <c r="Q548" s="647"/>
      <c r="R548" s="647"/>
      <c r="S548" s="647"/>
      <c r="T548" s="647"/>
      <c r="U548" s="647"/>
      <c r="V548" s="648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57" t="s">
        <v>855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8"/>
      <c r="AB549" s="628"/>
      <c r="AC549" s="628"/>
    </row>
    <row r="550" spans="1:68" ht="14.25" hidden="1" customHeight="1" x14ac:dyDescent="0.25">
      <c r="A550" s="658" t="s">
        <v>146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71</v>
      </c>
      <c r="Q552" s="647"/>
      <c r="R552" s="647"/>
      <c r="S552" s="647"/>
      <c r="T552" s="647"/>
      <c r="U552" s="647"/>
      <c r="V552" s="648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71</v>
      </c>
      <c r="Q553" s="647"/>
      <c r="R553" s="647"/>
      <c r="S553" s="647"/>
      <c r="T553" s="647"/>
      <c r="U553" s="647"/>
      <c r="V553" s="648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859</v>
      </c>
      <c r="Q554" s="737"/>
      <c r="R554" s="737"/>
      <c r="S554" s="737"/>
      <c r="T554" s="737"/>
      <c r="U554" s="737"/>
      <c r="V554" s="683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2080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2100</v>
      </c>
      <c r="Z554" s="37"/>
      <c r="AA554" s="636"/>
      <c r="AB554" s="636"/>
      <c r="AC554" s="636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860</v>
      </c>
      <c r="Q555" s="737"/>
      <c r="R555" s="737"/>
      <c r="S555" s="737"/>
      <c r="T555" s="737"/>
      <c r="U555" s="737"/>
      <c r="V555" s="683"/>
      <c r="W555" s="37" t="s">
        <v>66</v>
      </c>
      <c r="X555" s="635">
        <f>IFERROR(SUM(BM22:BM551),"0")</f>
        <v>2184.7288888888888</v>
      </c>
      <c r="Y555" s="635">
        <f>IFERROR(SUM(BN22:BN551),"0")</f>
        <v>2205.768</v>
      </c>
      <c r="Z555" s="37"/>
      <c r="AA555" s="636"/>
      <c r="AB555" s="636"/>
      <c r="AC555" s="636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861</v>
      </c>
      <c r="Q556" s="737"/>
      <c r="R556" s="737"/>
      <c r="S556" s="737"/>
      <c r="T556" s="737"/>
      <c r="U556" s="737"/>
      <c r="V556" s="683"/>
      <c r="W556" s="37" t="s">
        <v>862</v>
      </c>
      <c r="X556" s="38">
        <f>ROUNDUP(SUM(BO22:BO551),0)</f>
        <v>4</v>
      </c>
      <c r="Y556" s="38">
        <f>ROUNDUP(SUM(BP22:BP551),0)</f>
        <v>4</v>
      </c>
      <c r="Z556" s="37"/>
      <c r="AA556" s="636"/>
      <c r="AB556" s="636"/>
      <c r="AC556" s="636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863</v>
      </c>
      <c r="Q557" s="737"/>
      <c r="R557" s="737"/>
      <c r="S557" s="737"/>
      <c r="T557" s="737"/>
      <c r="U557" s="737"/>
      <c r="V557" s="683"/>
      <c r="W557" s="37" t="s">
        <v>66</v>
      </c>
      <c r="X557" s="635">
        <f>GrossWeightTotal+PalletQtyTotal*25</f>
        <v>2284.7288888888888</v>
      </c>
      <c r="Y557" s="635">
        <f>GrossWeightTotalR+PalletQtyTotalR*25</f>
        <v>2305.768</v>
      </c>
      <c r="Z557" s="37"/>
      <c r="AA557" s="636"/>
      <c r="AB557" s="636"/>
      <c r="AC557" s="636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864</v>
      </c>
      <c r="Q558" s="737"/>
      <c r="R558" s="737"/>
      <c r="S558" s="737"/>
      <c r="T558" s="737"/>
      <c r="U558" s="737"/>
      <c r="V558" s="683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213.88034188034189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216</v>
      </c>
      <c r="Z558" s="37"/>
      <c r="AA558" s="636"/>
      <c r="AB558" s="636"/>
      <c r="AC558" s="636"/>
    </row>
    <row r="559" spans="1:68" ht="14.25" hidden="1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865</v>
      </c>
      <c r="Q559" s="737"/>
      <c r="R559" s="737"/>
      <c r="S559" s="737"/>
      <c r="T559" s="737"/>
      <c r="U559" s="737"/>
      <c r="V559" s="683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4.2077100000000005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651" t="s">
        <v>108</v>
      </c>
      <c r="E561" s="826"/>
      <c r="F561" s="826"/>
      <c r="G561" s="826"/>
      <c r="H561" s="826"/>
      <c r="I561" s="826"/>
      <c r="J561" s="663"/>
      <c r="K561" s="651" t="s">
        <v>341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687</v>
      </c>
      <c r="X561" s="663"/>
      <c r="Y561" s="651" t="s">
        <v>753</v>
      </c>
      <c r="Z561" s="663"/>
      <c r="AA561" s="630" t="s">
        <v>789</v>
      </c>
      <c r="AB561" s="651" t="s">
        <v>836</v>
      </c>
      <c r="AC561" s="663"/>
      <c r="AF561" s="631"/>
    </row>
    <row r="562" spans="1:32" ht="14.25" customHeight="1" thickTop="1" x14ac:dyDescent="0.2">
      <c r="A562" s="941" t="s">
        <v>868</v>
      </c>
      <c r="B562" s="651" t="s">
        <v>60</v>
      </c>
      <c r="C562" s="651" t="s">
        <v>92</v>
      </c>
      <c r="D562" s="651" t="s">
        <v>109</v>
      </c>
      <c r="E562" s="651" t="s">
        <v>125</v>
      </c>
      <c r="F562" s="651" t="s">
        <v>170</v>
      </c>
      <c r="G562" s="651" t="s">
        <v>191</v>
      </c>
      <c r="H562" s="651" t="s">
        <v>231</v>
      </c>
      <c r="I562" s="651" t="s">
        <v>255</v>
      </c>
      <c r="J562" s="651" t="s">
        <v>108</v>
      </c>
      <c r="K562" s="651" t="s">
        <v>342</v>
      </c>
      <c r="L562" s="651" t="s">
        <v>363</v>
      </c>
      <c r="M562" s="651" t="s">
        <v>430</v>
      </c>
      <c r="N562" s="631"/>
      <c r="O562" s="651" t="s">
        <v>498</v>
      </c>
      <c r="P562" s="651" t="s">
        <v>531</v>
      </c>
      <c r="Q562" s="651" t="s">
        <v>547</v>
      </c>
      <c r="R562" s="651" t="s">
        <v>556</v>
      </c>
      <c r="S562" s="651" t="s">
        <v>577</v>
      </c>
      <c r="T562" s="651" t="s">
        <v>586</v>
      </c>
      <c r="U562" s="651" t="s">
        <v>667</v>
      </c>
      <c r="V562" s="651" t="s">
        <v>677</v>
      </c>
      <c r="W562" s="651" t="s">
        <v>688</v>
      </c>
      <c r="X562" s="651" t="s">
        <v>737</v>
      </c>
      <c r="Y562" s="651" t="s">
        <v>754</v>
      </c>
      <c r="Z562" s="651" t="s">
        <v>777</v>
      </c>
      <c r="AA562" s="651" t="s">
        <v>789</v>
      </c>
      <c r="AB562" s="651" t="s">
        <v>836</v>
      </c>
      <c r="AC562" s="651" t="s">
        <v>855</v>
      </c>
      <c r="AF562" s="63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63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507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585</v>
      </c>
      <c r="X564" s="46">
        <f>IFERROR(Y455*1,"0")+IFERROR(Y456*1,"0")+IFERROR(Y460*1,"0")+IFERROR(Y464*1,"0")+IFERROR(Y465*1,"0")+IFERROR(Y466*1,"0")</f>
        <v>1008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11,11"/>
        <filter val="2 080,00"/>
        <filter val="2 184,73"/>
        <filter val="2 284,73"/>
        <filter val="213,88"/>
        <filter val="38,67"/>
        <filter val="4"/>
        <filter val="500,00"/>
        <filter val="580,00"/>
        <filter val="64,10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2026-08-10T11:40:05Z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