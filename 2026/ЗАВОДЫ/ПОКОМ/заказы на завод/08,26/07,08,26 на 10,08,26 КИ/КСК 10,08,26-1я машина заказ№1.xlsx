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744915-926B-4237-BEE1-7E71E8DE205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Y479" i="2" s="1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7" i="2" s="1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Z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P136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68" i="2" l="1"/>
  <c r="BN112" i="2"/>
  <c r="BN144" i="2"/>
  <c r="BN200" i="2"/>
  <c r="BN286" i="2"/>
  <c r="BN431" i="2"/>
  <c r="Z27" i="2"/>
  <c r="BN30" i="2"/>
  <c r="BN118" i="2"/>
  <c r="Z135" i="2"/>
  <c r="Z176" i="2"/>
  <c r="BN212" i="2"/>
  <c r="BN224" i="2"/>
  <c r="Z231" i="2"/>
  <c r="BN270" i="2"/>
  <c r="BN294" i="2"/>
  <c r="BN324" i="2"/>
  <c r="Z328" i="2"/>
  <c r="BN328" i="2"/>
  <c r="BN387" i="2"/>
  <c r="BN406" i="2"/>
  <c r="Z450" i="2"/>
  <c r="Y452" i="2"/>
  <c r="BN178" i="2"/>
  <c r="BN274" i="2"/>
  <c r="Z429" i="2"/>
  <c r="Z120" i="2"/>
  <c r="Y423" i="2"/>
  <c r="Y296" i="2"/>
  <c r="Z294" i="2"/>
  <c r="BN227" i="2"/>
  <c r="Z223" i="2"/>
  <c r="BN280" i="2"/>
  <c r="Z546" i="2"/>
  <c r="Z534" i="2"/>
  <c r="Z535" i="2" s="1"/>
  <c r="Y535" i="2"/>
  <c r="BP522" i="2"/>
  <c r="Z522" i="2"/>
  <c r="BN521" i="2"/>
  <c r="Z520" i="2"/>
  <c r="Z512" i="2"/>
  <c r="BP512" i="2"/>
  <c r="BN507" i="2"/>
  <c r="BN503" i="2"/>
  <c r="BN502" i="2"/>
  <c r="BN478" i="2"/>
  <c r="BP477" i="2"/>
  <c r="Z477" i="2"/>
  <c r="BN476" i="2"/>
  <c r="Z475" i="2"/>
  <c r="BN466" i="2"/>
  <c r="BN465" i="2"/>
  <c r="BN451" i="2"/>
  <c r="Y453" i="2"/>
  <c r="BN446" i="2"/>
  <c r="BP444" i="2"/>
  <c r="BN440" i="2"/>
  <c r="BN420" i="2"/>
  <c r="Z420" i="2"/>
  <c r="Y403" i="2"/>
  <c r="Z396" i="2"/>
  <c r="BP396" i="2"/>
  <c r="BN395" i="2"/>
  <c r="Y397" i="2"/>
  <c r="Z387" i="2"/>
  <c r="Z383" i="2"/>
  <c r="BP376" i="2"/>
  <c r="Z376" i="2"/>
  <c r="Z374" i="2"/>
  <c r="BN374" i="2"/>
  <c r="Z371" i="2"/>
  <c r="BP371" i="2"/>
  <c r="Y378" i="2"/>
  <c r="BN370" i="2"/>
  <c r="Z370" i="2"/>
  <c r="Z363" i="2"/>
  <c r="BN349" i="2"/>
  <c r="BN343" i="2"/>
  <c r="Z343" i="2"/>
  <c r="BP334" i="2"/>
  <c r="Z325" i="2"/>
  <c r="BP325" i="2"/>
  <c r="Z324" i="2"/>
  <c r="BN318" i="2"/>
  <c r="Z304" i="2"/>
  <c r="Z286" i="2"/>
  <c r="Z284" i="2"/>
  <c r="BN284" i="2"/>
  <c r="BP278" i="2"/>
  <c r="Z274" i="2"/>
  <c r="BP268" i="2"/>
  <c r="BN252" i="2"/>
  <c r="BN248" i="2"/>
  <c r="Y250" i="2"/>
  <c r="Z247" i="2"/>
  <c r="BN247" i="2"/>
  <c r="BN242" i="2"/>
  <c r="Z238" i="2"/>
  <c r="BN233" i="2"/>
  <c r="BN231" i="2"/>
  <c r="Z227" i="2"/>
  <c r="BP225" i="2"/>
  <c r="BP223" i="2"/>
  <c r="Z210" i="2"/>
  <c r="BN210" i="2"/>
  <c r="BN206" i="2"/>
  <c r="Y202" i="2"/>
  <c r="Y201" i="2"/>
  <c r="Z196" i="2"/>
  <c r="BN195" i="2"/>
  <c r="Z183" i="2"/>
  <c r="BP170" i="2"/>
  <c r="Z152" i="2"/>
  <c r="BP152" i="2"/>
  <c r="Z138" i="2"/>
  <c r="BP135" i="2"/>
  <c r="BP113" i="2"/>
  <c r="BP111" i="2"/>
  <c r="Z111" i="2"/>
  <c r="BN101" i="2"/>
  <c r="Y107" i="2"/>
  <c r="Z94" i="2"/>
  <c r="BN94" i="2"/>
  <c r="BP92" i="2"/>
  <c r="BP91" i="2"/>
  <c r="Z91" i="2"/>
  <c r="BN84" i="2"/>
  <c r="BP79" i="2"/>
  <c r="Z79" i="2"/>
  <c r="Y81" i="2"/>
  <c r="Z67" i="2"/>
  <c r="BN67" i="2"/>
  <c r="BN62" i="2"/>
  <c r="Z61" i="2"/>
  <c r="Z58" i="2"/>
  <c r="BP58" i="2"/>
  <c r="Z56" i="2"/>
  <c r="BN50" i="2"/>
  <c r="BP40" i="2"/>
  <c r="BN39" i="2"/>
  <c r="Z39" i="2"/>
  <c r="BN38" i="2"/>
  <c r="X559" i="2"/>
  <c r="Z30" i="2"/>
  <c r="BP28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Z397" i="2" s="1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Z447" i="2" s="1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41" i="2" s="1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156" i="2" s="1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15" i="2" l="1"/>
  <c r="Z548" i="2"/>
  <c r="Z75" i="2"/>
  <c r="Z132" i="2"/>
  <c r="Z32" i="2"/>
  <c r="Z249" i="2"/>
  <c r="Z95" i="2"/>
  <c r="Z452" i="2"/>
  <c r="Z357" i="2"/>
  <c r="Z295" i="2"/>
  <c r="Z336" i="2"/>
  <c r="Z525" i="2"/>
  <c r="Z509" i="2"/>
  <c r="Z468" i="2"/>
  <c r="Z422" i="2"/>
  <c r="Z409" i="2"/>
  <c r="Z377" i="2"/>
  <c r="Z345" i="2"/>
  <c r="Z329" i="2"/>
  <c r="Z243" i="2"/>
  <c r="Z213" i="2"/>
  <c r="Z145" i="2"/>
  <c r="Z121" i="2"/>
  <c r="X558" i="2"/>
  <c r="Z63" i="2"/>
  <c r="Z51" i="2"/>
  <c r="Y556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<sst xmlns="http://schemas.openxmlformats.org/spreadsheetml/2006/main" count="4237" uniqueCount="896">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</sst>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895</v>
      </c>
      <c r="I5" s="1003"/>
      <c r="J5" s="1003"/>
      <c r="K5" s="1003"/>
      <c r="L5" s="1003"/>
      <c r="M5" s="1003"/>
      <c r="N5" s="72"/>
      <c r="P5" s="27" t="s">
        <v>4</v>
      </c>
      <c r="Q5" s="1005">
        <v>46244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Понедельник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150</v>
      </c>
      <c r="Y47" s="55">
        <f>IFERROR(IF(X47="",0,CEILING((X47/$H47),1)*$H47),"")</f>
        <v>151.20000000000002</v>
      </c>
      <c r="Z47" s="41">
        <f>IFERROR(IF(Y47=0,"",ROUNDUP(Y47/H47,0)*0.01898),"")</f>
        <v>0.26572000000000001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155.69444444444446</v>
      </c>
      <c r="BN47" s="78">
        <f>IFERROR(Y47*I47/H47,"0")</f>
        <v>156.94</v>
      </c>
      <c r="BO47" s="78">
        <f>IFERROR(1/J47*(X47/H47),"0")</f>
        <v>0.21701388888888887</v>
      </c>
      <c r="BP47" s="78">
        <f>IFERROR(1/J47*(Y47/H47),"0")</f>
        <v>0.21875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400</v>
      </c>
      <c r="Y49" s="55">
        <f>IFERROR(IF(X49="",0,CEILING((X49/$H49),1)*$H49),"")</f>
        <v>400</v>
      </c>
      <c r="Z49" s="41">
        <f>IFERROR(IF(Y49=0,"",ROUNDUP(Y49/H49,0)*0.00902),"")</f>
        <v>0.90200000000000002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419.00000000000006</v>
      </c>
      <c r="BN49" s="78">
        <f>IFERROR(Y49*I49/H49,"0")</f>
        <v>419.00000000000006</v>
      </c>
      <c r="BO49" s="78">
        <f>IFERROR(1/J49*(X49/H49),"0")</f>
        <v>0.75757575757575757</v>
      </c>
      <c r="BP49" s="78">
        <f>IFERROR(1/J49*(Y49/H49),"0")</f>
        <v>0.75757575757575757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113.88888888888889</v>
      </c>
      <c r="Y51" s="43">
        <f>IFERROR(Y47/H47,"0")+IFERROR(Y48/H48,"0")+IFERROR(Y49/H49,"0")+IFERROR(Y50/H50,"0")</f>
        <v>114</v>
      </c>
      <c r="Z51" s="43">
        <f>IFERROR(IF(Z47="",0,Z47),"0")+IFERROR(IF(Z48="",0,Z48),"0")+IFERROR(IF(Z49="",0,Z49),"0")+IFERROR(IF(Z50="",0,Z50),"0")</f>
        <v>1.1677200000000001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550</v>
      </c>
      <c r="Y52" s="43">
        <f>IFERROR(SUM(Y47:Y50),"0")</f>
        <v>551.20000000000005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540</v>
      </c>
      <c r="Y62" s="55">
        <f t="shared" si="0"/>
        <v>540</v>
      </c>
      <c r="Z62" s="41">
        <f>IFERROR(IF(Y62=0,"",ROUNDUP(Y62/H62,0)*0.00902),"")</f>
        <v>1.0824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562.80000000000007</v>
      </c>
      <c r="BN62" s="78">
        <f t="shared" si="2"/>
        <v>562.80000000000007</v>
      </c>
      <c r="BO62" s="78">
        <f t="shared" si="3"/>
        <v>0.90909090909090917</v>
      </c>
      <c r="BP62" s="78">
        <f t="shared" si="4"/>
        <v>0.90909090909090917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120</v>
      </c>
      <c r="Y63" s="43">
        <f>IFERROR(Y55/H55,"0")+IFERROR(Y56/H56,"0")+IFERROR(Y57/H57,"0")+IFERROR(Y58/H58,"0")+IFERROR(Y59/H59,"0")+IFERROR(Y60/H60,"0")+IFERROR(Y61/H61,"0")+IFERROR(Y62/H62,"0")</f>
        <v>120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1.0824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540</v>
      </c>
      <c r="Y64" s="43">
        <f>IFERROR(SUM(Y55:Y62),"0")</f>
        <v>540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60</v>
      </c>
      <c r="Y66" s="55">
        <f>IFERROR(IF(X66="",0,CEILING((X66/$H66),1)*$H66),"")</f>
        <v>64.800000000000011</v>
      </c>
      <c r="Z66" s="41">
        <f>IFERROR(IF(Y66=0,"",ROUNDUP(Y66/H66,0)*0.01898),"")</f>
        <v>0.11388000000000001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62.277777777777779</v>
      </c>
      <c r="BN66" s="78">
        <f>IFERROR(Y66*I66/H66,"0")</f>
        <v>67.260000000000005</v>
      </c>
      <c r="BO66" s="78">
        <f>IFERROR(1/J66*(X66/H66),"0")</f>
        <v>8.6805555555555552E-2</v>
      </c>
      <c r="BP66" s="78">
        <f>IFERROR(1/J66*(Y66/H66),"0")</f>
        <v>9.3750000000000014E-2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157.5</v>
      </c>
      <c r="Y69" s="55">
        <f>IFERROR(IF(X69="",0,CEILING((X69/$H69),1)*$H69),"")</f>
        <v>159.30000000000001</v>
      </c>
      <c r="Z69" s="41">
        <f>IFERROR(IF(Y69=0,"",ROUNDUP(Y69/H69,0)*0.00651),"")</f>
        <v>0.38408999999999999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167.99999999999997</v>
      </c>
      <c r="BN69" s="78">
        <f>IFERROR(Y69*I69/H69,"0")</f>
        <v>169.92</v>
      </c>
      <c r="BO69" s="78">
        <f>IFERROR(1/J69*(X69/H69),"0")</f>
        <v>0.32051282051282048</v>
      </c>
      <c r="BP69" s="78">
        <f>IFERROR(1/J69*(Y69/H69),"0")</f>
        <v>0.32417582417582419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63.888888888888886</v>
      </c>
      <c r="Y70" s="43">
        <f>IFERROR(Y66/H66,"0")+IFERROR(Y67/H67,"0")+IFERROR(Y68/H68,"0")+IFERROR(Y69/H69,"0")</f>
        <v>65</v>
      </c>
      <c r="Z70" s="43">
        <f>IFERROR(IF(Z66="",0,Z66),"0")+IFERROR(IF(Z67="",0,Z67),"0")+IFERROR(IF(Z68="",0,Z68),"0")+IFERROR(IF(Z69="",0,Z69),"0")</f>
        <v>0.49797000000000002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217.5</v>
      </c>
      <c r="Y71" s="43">
        <f>IFERROR(SUM(Y66:Y69),"0")</f>
        <v>224.10000000000002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630</v>
      </c>
      <c r="Y87" s="55">
        <f>IFERROR(IF(X87="",0,CEILING((X87/$H87),1)*$H87),"")</f>
        <v>630</v>
      </c>
      <c r="Z87" s="41">
        <f>IFERROR(IF(Y87=0,"",ROUNDUP(Y87/H87,0)*0.00902),"")</f>
        <v>1.2627999999999999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656.6</v>
      </c>
      <c r="BN87" s="78">
        <f>IFERROR(Y87*I87/H87,"0")</f>
        <v>656.6</v>
      </c>
      <c r="BO87" s="78">
        <f>IFERROR(1/J87*(X87/H87),"0")</f>
        <v>1.0606060606060606</v>
      </c>
      <c r="BP87" s="78">
        <f>IFERROR(1/J87*(Y87/H87),"0")</f>
        <v>1.0606060606060606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140</v>
      </c>
      <c r="Y88" s="43">
        <f>IFERROR(Y84/H84,"0")+IFERROR(Y85/H85,"0")+IFERROR(Y86/H86,"0")+IFERROR(Y87/H87,"0")</f>
        <v>140</v>
      </c>
      <c r="Z88" s="43">
        <f>IFERROR(IF(Z84="",0,Z84),"0")+IFERROR(IF(Z85="",0,Z85),"0")+IFERROR(IF(Z86="",0,Z86),"0")+IFERROR(IF(Z87="",0,Z87),"0")</f>
        <v>1.2627999999999999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630</v>
      </c>
      <c r="Y89" s="43">
        <f>IFERROR(SUM(Y84:Y87),"0")</f>
        <v>630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350</v>
      </c>
      <c r="Y91" s="55">
        <f>IFERROR(IF(X91="",0,CEILING((X91/$H91),1)*$H91),"")</f>
        <v>356.4</v>
      </c>
      <c r="Z91" s="41">
        <f>IFERROR(IF(Y91=0,"",ROUNDUP(Y91/H91,0)*0.01898),"")</f>
        <v>0.83511999999999997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371.34567901234567</v>
      </c>
      <c r="BN91" s="78">
        <f>IFERROR(Y91*I91/H91,"0")</f>
        <v>378.13599999999997</v>
      </c>
      <c r="BO91" s="78">
        <f>IFERROR(1/J91*(X91/H91),"0")</f>
        <v>0.67515432098765438</v>
      </c>
      <c r="BP91" s="78">
        <f>IFERROR(1/J91*(Y91/H91),"0")</f>
        <v>0.6875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720</v>
      </c>
      <c r="Y93" s="55">
        <f>IFERROR(IF(X93="",0,CEILING((X93/$H93),1)*$H93),"")</f>
        <v>720.90000000000009</v>
      </c>
      <c r="Z93" s="41">
        <f>IFERROR(IF(Y93=0,"",ROUNDUP(Y93/H93,0)*0.00651),"")</f>
        <v>1.73817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787.19999999999993</v>
      </c>
      <c r="BN93" s="78">
        <f>IFERROR(Y93*I93/H93,"0")</f>
        <v>788.18400000000008</v>
      </c>
      <c r="BO93" s="78">
        <f>IFERROR(1/J93*(X93/H93),"0")</f>
        <v>1.4652014652014651</v>
      </c>
      <c r="BP93" s="78">
        <f>IFERROR(1/J93*(Y93/H93),"0")</f>
        <v>1.4670329670329672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309.8765432098765</v>
      </c>
      <c r="Y95" s="43">
        <f>IFERROR(Y91/H91,"0")+IFERROR(Y92/H92,"0")+IFERROR(Y93/H93,"0")+IFERROR(Y94/H94,"0")</f>
        <v>311</v>
      </c>
      <c r="Z95" s="43">
        <f>IFERROR(IF(Z91="",0,Z91),"0")+IFERROR(IF(Z92="",0,Z92),"0")+IFERROR(IF(Z93="",0,Z93),"0")+IFERROR(IF(Z94="",0,Z94),"0")</f>
        <v>2.5732900000000001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1070</v>
      </c>
      <c r="Y96" s="43">
        <f>IFERROR(SUM(Y91:Y94),"0")</f>
        <v>1077.3000000000002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30</v>
      </c>
      <c r="Y99" s="55">
        <f t="shared" ref="Y99:Y105" si="5">IFERROR(IF(X99="",0,CEILING((X99/$H99),1)*$H99),"")</f>
        <v>32.400000000000006</v>
      </c>
      <c r="Z99" s="41">
        <f>IFERROR(IF(Y99=0,"",ROUNDUP(Y99/H99,0)*0.01898),"")</f>
        <v>5.6940000000000004E-2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31.138888888888889</v>
      </c>
      <c r="BN99" s="78">
        <f t="shared" ref="BN99:BN105" si="7">IFERROR(Y99*I99/H99,"0")</f>
        <v>33.630000000000003</v>
      </c>
      <c r="BO99" s="78">
        <f t="shared" ref="BO99:BO105" si="8">IFERROR(1/J99*(X99/H99),"0")</f>
        <v>4.3402777777777776E-2</v>
      </c>
      <c r="BP99" s="78">
        <f t="shared" ref="BP99:BP105" si="9">IFERROR(1/J99*(Y99/H99),"0")</f>
        <v>4.6875000000000007E-2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585</v>
      </c>
      <c r="Y104" s="55">
        <f t="shared" si="5"/>
        <v>585</v>
      </c>
      <c r="Z104" s="41">
        <f>IFERROR(IF(Y104=0,"",ROUNDUP(Y104/H104,0)*0.00902),"")</f>
        <v>1.1726000000000001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609.70000000000005</v>
      </c>
      <c r="BN104" s="78">
        <f t="shared" si="7"/>
        <v>609.70000000000005</v>
      </c>
      <c r="BO104" s="78">
        <f t="shared" si="8"/>
        <v>0.98484848484848486</v>
      </c>
      <c r="BP104" s="78">
        <f t="shared" si="9"/>
        <v>0.98484848484848486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132.77777777777777</v>
      </c>
      <c r="Y106" s="43">
        <f>IFERROR(Y99/H99,"0")+IFERROR(Y100/H100,"0")+IFERROR(Y101/H101,"0")+IFERROR(Y102/H102,"0")+IFERROR(Y103/H103,"0")+IFERROR(Y104/H104,"0")+IFERROR(Y105/H105,"0")</f>
        <v>133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1.2295400000000001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615</v>
      </c>
      <c r="Y107" s="43">
        <f>IFERROR(SUM(Y99:Y105),"0")</f>
        <v>617.4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400</v>
      </c>
      <c r="Y117" s="55">
        <f>IFERROR(IF(X117="",0,CEILING((X117/$H117),1)*$H117),"")</f>
        <v>405</v>
      </c>
      <c r="Z117" s="41">
        <f>IFERROR(IF(Y117=0,"",ROUNDUP(Y117/H117,0)*0.01898),"")</f>
        <v>0.94900000000000007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424.09876543209879</v>
      </c>
      <c r="BN117" s="78">
        <f>IFERROR(Y117*I117/H117,"0")</f>
        <v>429.4</v>
      </c>
      <c r="BO117" s="78">
        <f>IFERROR(1/J117*(X117/H117),"0")</f>
        <v>0.77160493827160492</v>
      </c>
      <c r="BP117" s="78">
        <f>IFERROR(1/J117*(Y117/H117),"0")</f>
        <v>0.78125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900</v>
      </c>
      <c r="Y119" s="55">
        <f>IFERROR(IF(X119="",0,CEILING((X119/$H119),1)*$H119),"")</f>
        <v>901.80000000000007</v>
      </c>
      <c r="Z119" s="41">
        <f>IFERROR(IF(Y119=0,"",ROUNDUP(Y119/H119,0)*0.00651),"")</f>
        <v>2.1743399999999999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984</v>
      </c>
      <c r="BN119" s="78">
        <f>IFERROR(Y119*I119/H119,"0")</f>
        <v>985.96799999999996</v>
      </c>
      <c r="BO119" s="78">
        <f>IFERROR(1/J119*(X119/H119),"0")</f>
        <v>1.8315018315018314</v>
      </c>
      <c r="BP119" s="78">
        <f>IFERROR(1/J119*(Y119/H119),"0")</f>
        <v>1.8351648351648353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150</v>
      </c>
      <c r="Y120" s="55">
        <f>IFERROR(IF(X120="",0,CEILING((X120/$H120),1)*$H120),"")</f>
        <v>151.20000000000002</v>
      </c>
      <c r="Z120" s="41">
        <f>IFERROR(IF(Y120=0,"",ROUNDUP(Y120/H120,0)*0.00651),"")</f>
        <v>0.54683999999999999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165</v>
      </c>
      <c r="BN120" s="78">
        <f>IFERROR(Y120*I120/H120,"0")</f>
        <v>166.32000000000002</v>
      </c>
      <c r="BO120" s="78">
        <f>IFERROR(1/J120*(X120/H120),"0")</f>
        <v>0.45787545787545786</v>
      </c>
      <c r="BP120" s="78">
        <f>IFERROR(1/J120*(Y120/H120),"0")</f>
        <v>0.46153846153846168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466.04938271604937</v>
      </c>
      <c r="Y121" s="43">
        <f>IFERROR(Y117/H117,"0")+IFERROR(Y118/H118,"0")+IFERROR(Y119/H119,"0")+IFERROR(Y120/H120,"0")</f>
        <v>468</v>
      </c>
      <c r="Z121" s="43">
        <f>IFERROR(IF(Z117="",0,Z117),"0")+IFERROR(IF(Z118="",0,Z118),"0")+IFERROR(IF(Z119="",0,Z119),"0")+IFERROR(IF(Z120="",0,Z120),"0")</f>
        <v>3.6701799999999998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1450</v>
      </c>
      <c r="Y122" s="43">
        <f>IFERROR(SUM(Y117:Y120),"0")</f>
        <v>1458.0000000000002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49.5</v>
      </c>
      <c r="Y124" s="55">
        <f>IFERROR(IF(X124="",0,CEILING((X124/$H124),1)*$H124),"")</f>
        <v>49.5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55.95</v>
      </c>
      <c r="BN124" s="78">
        <f>IFERROR(Y124*I124/H124,"0")</f>
        <v>55.95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25</v>
      </c>
      <c r="Y125" s="43">
        <f>IFERROR(Y124/H124,"0")</f>
        <v>25</v>
      </c>
      <c r="Z125" s="43">
        <f>IFERROR(IF(Z124="",0,Z124),"0")</f>
        <v>0.16275000000000001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49.5</v>
      </c>
      <c r="Y126" s="43">
        <f>IFERROR(SUM(Y124:Y124),"0")</f>
        <v>49.5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60</v>
      </c>
      <c r="Y131" s="55">
        <f>IFERROR(IF(X131="",0,CEILING((X131/$H131),1)*$H131),"")</f>
        <v>60.800000000000004</v>
      </c>
      <c r="Z131" s="41">
        <f>IFERROR(IF(Y131=0,"",ROUNDUP(Y131/H131,0)*0.00651),"")</f>
        <v>0.12369000000000001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63.374999999999993</v>
      </c>
      <c r="BN131" s="78">
        <f>IFERROR(Y131*I131/H131,"0")</f>
        <v>64.22</v>
      </c>
      <c r="BO131" s="78">
        <f>IFERROR(1/J131*(X131/H131),"0")</f>
        <v>0.10302197802197803</v>
      </c>
      <c r="BP131" s="78">
        <f>IFERROR(1/J131*(Y131/H131),"0")</f>
        <v>0.1043956043956044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18.75</v>
      </c>
      <c r="Y132" s="43">
        <f>IFERROR(Y129/H129,"0")+IFERROR(Y130/H130,"0")+IFERROR(Y131/H131,"0")</f>
        <v>19</v>
      </c>
      <c r="Z132" s="43">
        <f>IFERROR(IF(Z129="",0,Z129),"0")+IFERROR(IF(Z130="",0,Z130),"0")+IFERROR(IF(Z131="",0,Z131),"0")</f>
        <v>0.12369000000000001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60</v>
      </c>
      <c r="Y133" s="43">
        <f>IFERROR(SUM(Y129:Y131),"0")</f>
        <v>60.800000000000004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52.5</v>
      </c>
      <c r="Y136" s="55">
        <f>IFERROR(IF(X136="",0,CEILING((X136/$H136),1)*$H136),"")</f>
        <v>53.199999999999996</v>
      </c>
      <c r="Z136" s="41">
        <f>IFERROR(IF(Y136=0,"",ROUNDUP(Y136/H136,0)*0.00651),"")</f>
        <v>0.12369000000000001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57.524999999999999</v>
      </c>
      <c r="BN136" s="78">
        <f>IFERROR(Y136*I136/H136,"0")</f>
        <v>58.291999999999994</v>
      </c>
      <c r="BO136" s="78">
        <f>IFERROR(1/J136*(X136/H136),"0")</f>
        <v>0.10302197802197803</v>
      </c>
      <c r="BP136" s="78">
        <f>IFERROR(1/J136*(Y136/H136),"0")</f>
        <v>0.1043956043956044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18.75</v>
      </c>
      <c r="Y139" s="43">
        <f>IFERROR(Y135/H135,"0")+IFERROR(Y136/H136,"0")+IFERROR(Y137/H137,"0")+IFERROR(Y138/H138,"0")</f>
        <v>19</v>
      </c>
      <c r="Z139" s="43">
        <f>IFERROR(IF(Z135="",0,Z135),"0")+IFERROR(IF(Z136="",0,Z136),"0")+IFERROR(IF(Z137="",0,Z137),"0")+IFERROR(IF(Z138="",0,Z138),"0")</f>
        <v>0.12369000000000001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52.5</v>
      </c>
      <c r="Y140" s="43">
        <f>IFERROR(SUM(Y135:Y138),"0")</f>
        <v>53.199999999999996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99</v>
      </c>
      <c r="Y143" s="55">
        <f>IFERROR(IF(X143="",0,CEILING((X143/$H143),1)*$H143),"")</f>
        <v>100.32000000000001</v>
      </c>
      <c r="Z143" s="41">
        <f>IFERROR(IF(Y143=0,"",ROUNDUP(Y143/H143,0)*0.00651),"")</f>
        <v>0.24738000000000002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109.05</v>
      </c>
      <c r="BN143" s="78">
        <f>IFERROR(Y143*I143/H143,"0")</f>
        <v>110.504</v>
      </c>
      <c r="BO143" s="78">
        <f>IFERROR(1/J143*(X143/H143),"0")</f>
        <v>0.20604395604395606</v>
      </c>
      <c r="BP143" s="78">
        <f>IFERROR(1/J143*(Y143/H143),"0")</f>
        <v>0.2087912087912088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37.5</v>
      </c>
      <c r="Y145" s="43">
        <f>IFERROR(Y142/H142,"0")+IFERROR(Y143/H143,"0")+IFERROR(Y144/H144,"0")</f>
        <v>38</v>
      </c>
      <c r="Z145" s="43">
        <f>IFERROR(IF(Z142="",0,Z142),"0")+IFERROR(IF(Z143="",0,Z143),"0")+IFERROR(IF(Z144="",0,Z144),"0")</f>
        <v>0.24738000000000002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99</v>
      </c>
      <c r="Y146" s="43">
        <f>IFERROR(SUM(Y142:Y144),"0")</f>
        <v>100.32000000000001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200</v>
      </c>
      <c r="Y175" s="55">
        <f t="shared" ref="Y175:Y185" si="16">IFERROR(IF(X175="",0,CEILING((X175/$H175),1)*$H175),"")</f>
        <v>203</v>
      </c>
      <c r="Z175" s="41">
        <f>IFERROR(IF(Y175=0,"",ROUNDUP(Y175/H175,0)*0.00902),"")</f>
        <v>0.52316000000000007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210.85714285714286</v>
      </c>
      <c r="BN175" s="78">
        <f t="shared" ref="BN175:BN185" si="18">IFERROR(Y175*I175/H175,"0")</f>
        <v>214.01999999999998</v>
      </c>
      <c r="BO175" s="78">
        <f t="shared" ref="BO175:BO185" si="19">IFERROR(1/J175*(X175/H175),"0")</f>
        <v>0.43290043290043295</v>
      </c>
      <c r="BP175" s="78">
        <f t="shared" ref="BP175:BP185" si="20">IFERROR(1/J175*(Y175/H175),"0")</f>
        <v>0.43939393939393939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300</v>
      </c>
      <c r="Y177" s="55">
        <f t="shared" si="16"/>
        <v>301</v>
      </c>
      <c r="Z177" s="41">
        <f>IFERROR(IF(Y177=0,"",ROUNDUP(Y177/H177,0)*0.00902),"")</f>
        <v>0.77571999999999997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316.28571428571428</v>
      </c>
      <c r="BN177" s="78">
        <f t="shared" si="18"/>
        <v>317.34000000000003</v>
      </c>
      <c r="BO177" s="78">
        <f t="shared" si="19"/>
        <v>0.64935064935064934</v>
      </c>
      <c r="BP177" s="78">
        <f t="shared" si="20"/>
        <v>0.65151515151515149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150</v>
      </c>
      <c r="Y178" s="55">
        <f t="shared" si="16"/>
        <v>150.5</v>
      </c>
      <c r="Z178" s="41">
        <f>IFERROR(IF(Y178=0,"",ROUNDUP(Y178/H178,0)*0.00902),"")</f>
        <v>0.38785999999999998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158.14285714285714</v>
      </c>
      <c r="BN178" s="78">
        <f t="shared" si="18"/>
        <v>158.67000000000002</v>
      </c>
      <c r="BO178" s="78">
        <f t="shared" si="19"/>
        <v>0.32467532467532467</v>
      </c>
      <c r="BP178" s="78">
        <f t="shared" si="20"/>
        <v>0.32575757575757575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9</v>
      </c>
      <c r="Y179" s="55">
        <f t="shared" si="16"/>
        <v>9</v>
      </c>
      <c r="Z179" s="41">
        <f>IFERROR(IF(Y179=0,"",ROUNDUP(Y179/H179,0)*0.00417),"")</f>
        <v>4.1700000000000001E-2</v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11.1</v>
      </c>
      <c r="BN179" s="78">
        <f t="shared" si="18"/>
        <v>11.1</v>
      </c>
      <c r="BO179" s="78">
        <f t="shared" si="19"/>
        <v>2.976190476190476E-2</v>
      </c>
      <c r="BP179" s="78">
        <f t="shared" si="20"/>
        <v>2.976190476190476E-2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112.00000000000001</v>
      </c>
      <c r="Y180" s="55">
        <f t="shared" si="16"/>
        <v>112.56</v>
      </c>
      <c r="Z180" s="41">
        <f>IFERROR(IF(Y180=0,"",ROUNDUP(Y180/H180,0)*0.00502),"")</f>
        <v>0.33634000000000003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118.6666666666667</v>
      </c>
      <c r="BN180" s="78">
        <f t="shared" si="18"/>
        <v>119.26000000000002</v>
      </c>
      <c r="BO180" s="78">
        <f t="shared" si="19"/>
        <v>0.28490028490028496</v>
      </c>
      <c r="BP180" s="78">
        <f t="shared" si="20"/>
        <v>0.28632478632478636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84.000000000000014</v>
      </c>
      <c r="Y183" s="55">
        <f t="shared" si="16"/>
        <v>84</v>
      </c>
      <c r="Z183" s="41">
        <f>IFERROR(IF(Y183=0,"",ROUNDUP(Y183/H183,0)*0.00502),"")</f>
        <v>0.251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89.000000000000028</v>
      </c>
      <c r="BN183" s="78">
        <f t="shared" si="18"/>
        <v>89.000000000000014</v>
      </c>
      <c r="BO183" s="78">
        <f t="shared" si="19"/>
        <v>0.21367521367521372</v>
      </c>
      <c r="BP183" s="78">
        <f t="shared" si="20"/>
        <v>0.21367521367521369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4.5</v>
      </c>
      <c r="Y184" s="55">
        <f t="shared" si="16"/>
        <v>4.5</v>
      </c>
      <c r="Z184" s="41">
        <f>IFERROR(IF(Y184=0,"",ROUNDUP(Y184/H184,0)*0.00417),"")</f>
        <v>2.085E-2</v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5</v>
      </c>
      <c r="BN184" s="78">
        <f t="shared" si="18"/>
        <v>5</v>
      </c>
      <c r="BO184" s="78">
        <f t="shared" si="19"/>
        <v>1.488095238095238E-2</v>
      </c>
      <c r="BP184" s="78">
        <f t="shared" si="20"/>
        <v>1.488095238095238E-2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84.000000000000014</v>
      </c>
      <c r="Y185" s="55">
        <f t="shared" si="16"/>
        <v>84</v>
      </c>
      <c r="Z185" s="41">
        <f>IFERROR(IF(Y185=0,"",ROUNDUP(Y185/H185,0)*0.00502),"")</f>
        <v>0.251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89.000000000000028</v>
      </c>
      <c r="BN185" s="78">
        <f t="shared" si="18"/>
        <v>89.000000000000014</v>
      </c>
      <c r="BO185" s="78">
        <f t="shared" si="19"/>
        <v>0.21367521367521372</v>
      </c>
      <c r="BP185" s="78">
        <f t="shared" si="20"/>
        <v>0.21367521367521369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367.38095238095241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369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2.5876299999999994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943.5</v>
      </c>
      <c r="Y187" s="43">
        <f>IFERROR(SUM(Y175:Y185),"0")</f>
        <v>948.56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si="27"/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52.261904761904752</v>
      </c>
      <c r="BN223" s="78">
        <f t="shared" si="29"/>
        <v>52.68</v>
      </c>
      <c r="BO223" s="78">
        <f t="shared" si="30"/>
        <v>9.0187590187590191E-2</v>
      </c>
      <c r="BP223" s="78">
        <f t="shared" si="31"/>
        <v>9.0909090909090912E-2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87.5</v>
      </c>
      <c r="Y225" s="55">
        <f t="shared" si="27"/>
        <v>88.2</v>
      </c>
      <c r="Z225" s="41">
        <f t="shared" ref="Z225:Z230" si="32">IFERROR(IF(Y225=0,"",ROUNDUP(Y225/H225,0)*0.00502),"")</f>
        <v>0.21084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92.916666666666657</v>
      </c>
      <c r="BN225" s="78">
        <f t="shared" si="29"/>
        <v>93.66</v>
      </c>
      <c r="BO225" s="78">
        <f t="shared" si="30"/>
        <v>0.17806267806267806</v>
      </c>
      <c r="BP225" s="78">
        <f t="shared" si="31"/>
        <v>0.17948717948717952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210</v>
      </c>
      <c r="Y227" s="55">
        <f t="shared" si="27"/>
        <v>210</v>
      </c>
      <c r="Z227" s="41">
        <f t="shared" si="32"/>
        <v>0.502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223</v>
      </c>
      <c r="BN227" s="78">
        <f t="shared" si="29"/>
        <v>223</v>
      </c>
      <c r="BO227" s="78">
        <f t="shared" si="30"/>
        <v>0.42735042735042739</v>
      </c>
      <c r="BP227" s="78">
        <f t="shared" si="31"/>
        <v>0.42735042735042739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210</v>
      </c>
      <c r="Y232" s="55">
        <f t="shared" si="27"/>
        <v>210</v>
      </c>
      <c r="Z232" s="41">
        <f>IFERROR(IF(Y232=0,"",ROUNDUP(Y232/H232,0)*0.00502),"")</f>
        <v>0.502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220.00000000000003</v>
      </c>
      <c r="BN232" s="78">
        <f t="shared" si="29"/>
        <v>220.00000000000003</v>
      </c>
      <c r="BO232" s="78">
        <f t="shared" si="30"/>
        <v>0.42735042735042739</v>
      </c>
      <c r="BP232" s="78">
        <f t="shared" si="31"/>
        <v>0.42735042735042739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253.57142857142856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254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1.32308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557.5</v>
      </c>
      <c r="Y236" s="43">
        <f>IFERROR(SUM(Y221:Y234),"0")</f>
        <v>558.6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250</v>
      </c>
      <c r="Y267" s="55">
        <f t="shared" ref="Y267:Y274" si="33">IFERROR(IF(X267="",0,CEILING((X267/$H267),1)*$H267),"")</f>
        <v>253.8</v>
      </c>
      <c r="Z267" s="41">
        <f>IFERROR(IF(Y267=0,"",ROUNDUP(Y267/H267,0)*0.00902),"")</f>
        <v>0.42393999999999998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258.7962962962963</v>
      </c>
      <c r="BN267" s="78">
        <f t="shared" ref="BN267:BN274" si="35">IFERROR(Y267*I267/H267,"0")</f>
        <v>262.72999999999996</v>
      </c>
      <c r="BO267" s="78">
        <f t="shared" ref="BO267:BO274" si="36">IFERROR(1/J267*(X267/H267),"0")</f>
        <v>0.35072951739618402</v>
      </c>
      <c r="BP267" s="78">
        <f t="shared" ref="BP267:BP274" si="37">IFERROR(1/J267*(Y267/H267),"0")</f>
        <v>0.35606060606060608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si="33"/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124.2222222222222</v>
      </c>
      <c r="BN269" s="78">
        <f t="shared" si="35"/>
        <v>128.57</v>
      </c>
      <c r="BO269" s="78">
        <f t="shared" si="36"/>
        <v>0.16835016835016836</v>
      </c>
      <c r="BP269" s="78">
        <f t="shared" si="37"/>
        <v>0.17424242424242425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33"/>
        <v>120.60000000000001</v>
      </c>
      <c r="Z271" s="41">
        <f>IFERROR(IF(Y271=0,"",ROUNDUP(Y271/H271,0)*0.00502),"")</f>
        <v>0.33634000000000003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128.66666666666666</v>
      </c>
      <c r="BN271" s="78">
        <f t="shared" si="35"/>
        <v>129.31</v>
      </c>
      <c r="BO271" s="78">
        <f t="shared" si="36"/>
        <v>0.28490028490028496</v>
      </c>
      <c r="BP271" s="78">
        <f t="shared" si="37"/>
        <v>0.28632478632478636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120</v>
      </c>
      <c r="Y272" s="55">
        <f t="shared" si="33"/>
        <v>120.60000000000001</v>
      </c>
      <c r="Z272" s="41">
        <f>IFERROR(IF(Y272=0,"",ROUNDUP(Y272/H272,0)*0.00502),"")</f>
        <v>0.33634000000000003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126.66666666666666</v>
      </c>
      <c r="BN272" s="78">
        <f t="shared" si="35"/>
        <v>127.30000000000001</v>
      </c>
      <c r="BO272" s="78">
        <f t="shared" si="36"/>
        <v>0.28490028490028496</v>
      </c>
      <c r="BP272" s="78">
        <f t="shared" si="37"/>
        <v>0.28632478632478636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90</v>
      </c>
      <c r="Y273" s="55">
        <f t="shared" si="33"/>
        <v>90</v>
      </c>
      <c r="Z273" s="41">
        <f>IFERROR(IF(Y273=0,"",ROUNDUP(Y273/H273,0)*0.00502),"")</f>
        <v>0.251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95</v>
      </c>
      <c r="BN273" s="78">
        <f t="shared" si="35"/>
        <v>95</v>
      </c>
      <c r="BO273" s="78">
        <f t="shared" si="36"/>
        <v>0.21367521367521369</v>
      </c>
      <c r="BP273" s="78">
        <f t="shared" si="37"/>
        <v>0.21367521367521369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60</v>
      </c>
      <c r="Y274" s="55">
        <f t="shared" si="33"/>
        <v>61.2</v>
      </c>
      <c r="Z274" s="41">
        <f>IFERROR(IF(Y274=0,"",ROUNDUP(Y274/H274,0)*0.00502),"")</f>
        <v>0.17068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63.333333333333329</v>
      </c>
      <c r="BN274" s="78">
        <f t="shared" si="35"/>
        <v>64.599999999999994</v>
      </c>
      <c r="BO274" s="78">
        <f t="shared" si="36"/>
        <v>0.14245014245014248</v>
      </c>
      <c r="BP274" s="78">
        <f t="shared" si="37"/>
        <v>0.14529914529914531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285.18518518518516</v>
      </c>
      <c r="Y275" s="43">
        <f>IFERROR(Y267/H267,"0")+IFERROR(Y268/H268,"0")+IFERROR(Y269/H269,"0")+IFERROR(Y270/H270,"0")+IFERROR(Y271/H271,"0")+IFERROR(Y272/H272,"0")+IFERROR(Y273/H273,"0")+IFERROR(Y274/H274,"0")</f>
        <v>288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1.7257600000000002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760</v>
      </c>
      <c r="Y276" s="43">
        <f>IFERROR(SUM(Y267:Y274),"0")</f>
        <v>770.40000000000009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150</v>
      </c>
      <c r="Y278" s="55">
        <f t="shared" ref="Y278:Y289" si="38">IFERROR(IF(X278="",0,CEILING((X278/$H278),1)*$H278),"")</f>
        <v>153.9</v>
      </c>
      <c r="Z278" s="41">
        <f>IFERROR(IF(Y278=0,"",ROUNDUP(Y278/H278,0)*0.01898),"")</f>
        <v>0.36062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159.14814814814815</v>
      </c>
      <c r="BN278" s="78">
        <f t="shared" ref="BN278:BN289" si="40">IFERROR(Y278*I278/H278,"0")</f>
        <v>163.286</v>
      </c>
      <c r="BO278" s="78">
        <f t="shared" ref="BO278:BO289" si="41">IFERROR(1/J278*(X278/H278),"0")</f>
        <v>0.28935185185185186</v>
      </c>
      <c r="BP278" s="78">
        <f t="shared" ref="BP278:BP289" si="42">IFERROR(1/J278*(Y278/H278),"0")</f>
        <v>0.296875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150</v>
      </c>
      <c r="Y279" s="55">
        <f t="shared" si="38"/>
        <v>153.9</v>
      </c>
      <c r="Z279" s="41">
        <f>IFERROR(IF(Y279=0,"",ROUNDUP(Y279/H279,0)*0.01898),"")</f>
        <v>0.36062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158.81481481481484</v>
      </c>
      <c r="BN279" s="78">
        <f t="shared" si="40"/>
        <v>162.94400000000002</v>
      </c>
      <c r="BO279" s="78">
        <f t="shared" si="41"/>
        <v>0.28935185185185186</v>
      </c>
      <c r="BP279" s="78">
        <f t="shared" si="42"/>
        <v>0.296875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8"/>
        <v>200.1</v>
      </c>
      <c r="Z280" s="41">
        <f>IFERROR(IF(Y280=0,"",ROUNDUP(Y280/H280,0)*0.01898),"")</f>
        <v>0.43653999999999998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211.35632183908049</v>
      </c>
      <c r="BN280" s="78">
        <f t="shared" si="40"/>
        <v>211.46200000000005</v>
      </c>
      <c r="BO280" s="78">
        <f t="shared" si="41"/>
        <v>0.35919540229885061</v>
      </c>
      <c r="BP280" s="78">
        <f t="shared" si="42"/>
        <v>0.359375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400</v>
      </c>
      <c r="Y281" s="55">
        <f t="shared" si="38"/>
        <v>400.8</v>
      </c>
      <c r="Z281" s="41">
        <f>IFERROR(IF(Y281=0,"",ROUNDUP(Y281/H281,0)*0.00651),"")</f>
        <v>1.08717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445</v>
      </c>
      <c r="BN281" s="78">
        <f t="shared" si="40"/>
        <v>445.89</v>
      </c>
      <c r="BO281" s="78">
        <f t="shared" si="41"/>
        <v>0.91575091575091594</v>
      </c>
      <c r="BP281" s="78">
        <f t="shared" si="42"/>
        <v>0.91758241758241765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400</v>
      </c>
      <c r="Y284" s="55">
        <f t="shared" si="38"/>
        <v>400.8</v>
      </c>
      <c r="Z284" s="41">
        <f>IFERROR(IF(Y284=0,"",ROUNDUP(Y284/H284,0)*0.00651),"")</f>
        <v>1.08717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442</v>
      </c>
      <c r="BN284" s="78">
        <f t="shared" si="40"/>
        <v>442.88400000000007</v>
      </c>
      <c r="BO284" s="78">
        <f t="shared" si="41"/>
        <v>0.91575091575091594</v>
      </c>
      <c r="BP284" s="78">
        <f t="shared" si="42"/>
        <v>0.91758241758241765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48</v>
      </c>
      <c r="Y287" s="55">
        <f t="shared" si="38"/>
        <v>48</v>
      </c>
      <c r="Z287" s="41">
        <f>IFERROR(IF(Y287=0,"",ROUNDUP(Y287/H287,0)*0.00651),"")</f>
        <v>0.13020000000000001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53.040000000000006</v>
      </c>
      <c r="BN287" s="78">
        <f t="shared" si="40"/>
        <v>53.040000000000006</v>
      </c>
      <c r="BO287" s="78">
        <f t="shared" si="41"/>
        <v>0.1098901098901099</v>
      </c>
      <c r="BP287" s="78">
        <f t="shared" si="42"/>
        <v>0.1098901098901099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120</v>
      </c>
      <c r="Y288" s="55">
        <f t="shared" si="38"/>
        <v>120</v>
      </c>
      <c r="Z288" s="41">
        <f>IFERROR(IF(Y288=0,"",ROUNDUP(Y288/H288,0)*0.00651),"")</f>
        <v>0.32550000000000001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132.9</v>
      </c>
      <c r="BN288" s="78">
        <f t="shared" si="40"/>
        <v>132.9</v>
      </c>
      <c r="BO288" s="78">
        <f t="shared" si="41"/>
        <v>0.27472527472527475</v>
      </c>
      <c r="BP288" s="78">
        <f t="shared" si="42"/>
        <v>0.27472527472527475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463.35887611749683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465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3.78782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1468</v>
      </c>
      <c r="Y291" s="43">
        <f>IFERROR(SUM(Y278:Y289),"0")</f>
        <v>1477.5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48</v>
      </c>
      <c r="Y294" s="55">
        <f>IFERROR(IF(X294="",0,CEILING((X294/$H294),1)*$H294),"")</f>
        <v>48</v>
      </c>
      <c r="Z294" s="41">
        <f>IFERROR(IF(Y294=0,"",ROUNDUP(Y294/H294,0)*0.00651),"")</f>
        <v>0.13020000000000001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53.040000000000006</v>
      </c>
      <c r="BN294" s="78">
        <f>IFERROR(Y294*I294/H294,"0")</f>
        <v>53.040000000000006</v>
      </c>
      <c r="BO294" s="78">
        <f>IFERROR(1/J294*(X294/H294),"0")</f>
        <v>0.1098901098901099</v>
      </c>
      <c r="BP294" s="78">
        <f>IFERROR(1/J294*(Y294/H294),"0")</f>
        <v>0.1098901098901099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20</v>
      </c>
      <c r="Y295" s="43">
        <f>IFERROR(Y293/H293,"0")+IFERROR(Y294/H294,"0")</f>
        <v>20</v>
      </c>
      <c r="Z295" s="43">
        <f>IFERROR(IF(Z293="",0,Z293),"0")+IFERROR(IF(Z294="",0,Z294),"0")</f>
        <v>0.13020000000000001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48</v>
      </c>
      <c r="Y296" s="43">
        <f>IFERROR(SUM(Y293:Y294),"0")</f>
        <v>48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24</v>
      </c>
      <c r="Y302" s="55">
        <f t="shared" si="43"/>
        <v>24</v>
      </c>
      <c r="Z302" s="41">
        <f>IFERROR(IF(Y302=0,"",ROUNDUP(Y302/H302,0)*0.00902),"")</f>
        <v>5.4120000000000001E-2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25.14</v>
      </c>
      <c r="BN302" s="78">
        <f t="shared" si="45"/>
        <v>25.14</v>
      </c>
      <c r="BO302" s="78">
        <f t="shared" si="46"/>
        <v>4.5454545454545456E-2</v>
      </c>
      <c r="BP302" s="78">
        <f t="shared" si="47"/>
        <v>4.5454545454545456E-2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6</v>
      </c>
      <c r="Y306" s="43">
        <f>IFERROR(Y299/H299,"0")+IFERROR(Y300/H300,"0")+IFERROR(Y301/H301,"0")+IFERROR(Y302/H302,"0")+IFERROR(Y303/H303,"0")+IFERROR(Y304/H304,"0")+IFERROR(Y305/H305,"0")</f>
        <v>6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5.4120000000000001E-2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24</v>
      </c>
      <c r="Y307" s="43">
        <f>IFERROR(SUM(Y299:Y305),"0")</f>
        <v>24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360</v>
      </c>
      <c r="Y335" s="55">
        <f>IFERROR(IF(X335="",0,CEILING((X335/$H335),1)*$H335),"")</f>
        <v>360</v>
      </c>
      <c r="Z335" s="41">
        <f>IFERROR(IF(Y335=0,"",ROUNDUP(Y335/H335,0)*0.00651),"")</f>
        <v>0.97650000000000003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387.00000000000006</v>
      </c>
      <c r="BN335" s="78">
        <f>IFERROR(Y335*I335/H335,"0")</f>
        <v>387.00000000000006</v>
      </c>
      <c r="BO335" s="78">
        <f>IFERROR(1/J335*(X335/H335),"0")</f>
        <v>0.82417582417582425</v>
      </c>
      <c r="BP335" s="78">
        <f>IFERROR(1/J335*(Y335/H335),"0")</f>
        <v>0.82417582417582425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150</v>
      </c>
      <c r="Y336" s="43">
        <f>IFERROR(Y333/H333,"0")+IFERROR(Y334/H334,"0")+IFERROR(Y335/H335,"0")</f>
        <v>150</v>
      </c>
      <c r="Z336" s="43">
        <f>IFERROR(IF(Z333="",0,Z333),"0")+IFERROR(IF(Z334="",0,Z334),"0")+IFERROR(IF(Z335="",0,Z335),"0")</f>
        <v>0.97650000000000003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360</v>
      </c>
      <c r="Y337" s="43">
        <f>IFERROR(SUM(Y333:Y335),"0")</f>
        <v>360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220</v>
      </c>
      <c r="Y354" s="55">
        <f>IFERROR(IF(X354="",0,CEILING((X354/$H354),1)*$H354),"")</f>
        <v>226.2</v>
      </c>
      <c r="Z354" s="41">
        <f>IFERROR(IF(Y354=0,"",ROUNDUP(Y354/H354,0)*0.01898),"")</f>
        <v>0.55042000000000002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231.5641025641026</v>
      </c>
      <c r="BN354" s="78">
        <f>IFERROR(Y354*I354/H354,"0")</f>
        <v>238.09</v>
      </c>
      <c r="BO354" s="78">
        <f>IFERROR(1/J354*(X354/H354),"0")</f>
        <v>0.44070512820512819</v>
      </c>
      <c r="BP354" s="78">
        <f>IFERROR(1/J354*(Y354/H354),"0")</f>
        <v>0.453125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220</v>
      </c>
      <c r="Y355" s="55">
        <f>IFERROR(IF(X355="",0,CEILING((X355/$H355),1)*$H355),"")</f>
        <v>226.2</v>
      </c>
      <c r="Z355" s="41">
        <f>IFERROR(IF(Y355=0,"",ROUNDUP(Y355/H355,0)*0.01898),"")</f>
        <v>0.55042000000000002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231.5641025641026</v>
      </c>
      <c r="BN355" s="78">
        <f>IFERROR(Y355*I355/H355,"0")</f>
        <v>238.09</v>
      </c>
      <c r="BO355" s="78">
        <f>IFERROR(1/J355*(X355/H355),"0")</f>
        <v>0.44070512820512819</v>
      </c>
      <c r="BP355" s="78">
        <f>IFERROR(1/J355*(Y355/H355),"0")</f>
        <v>0.453125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100</v>
      </c>
      <c r="Y356" s="55">
        <f>IFERROR(IF(X356="",0,CEILING((X356/$H356),1)*$H356),"")</f>
        <v>101.39999999999999</v>
      </c>
      <c r="Z356" s="41">
        <f>IFERROR(IF(Y356=0,"",ROUNDUP(Y356/H356,0)*0.01898),"")</f>
        <v>0.24674000000000001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105.25641025641028</v>
      </c>
      <c r="BN356" s="78">
        <f>IFERROR(Y356*I356/H356,"0")</f>
        <v>106.73</v>
      </c>
      <c r="BO356" s="78">
        <f>IFERROR(1/J356*(X356/H356),"0")</f>
        <v>0.20032051282051283</v>
      </c>
      <c r="BP356" s="78">
        <f>IFERROR(1/J356*(Y356/H356),"0")</f>
        <v>0.203125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69.230769230769226</v>
      </c>
      <c r="Y357" s="43">
        <f>IFERROR(Y354/H354,"0")+IFERROR(Y355/H355,"0")+IFERROR(Y356/H356,"0")</f>
        <v>71</v>
      </c>
      <c r="Z357" s="43">
        <f>IFERROR(IF(Z354="",0,Z354),"0")+IFERROR(IF(Z355="",0,Z355),"0")+IFERROR(IF(Z356="",0,Z356),"0")</f>
        <v>1.34758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540</v>
      </c>
      <c r="Y358" s="43">
        <f>IFERROR(SUM(Y354:Y356),"0")</f>
        <v>553.79999999999995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50</v>
      </c>
      <c r="Y361" s="55">
        <f t="shared" ref="Y361:Y366" si="48">IFERROR(IF(X361="",0,CEILING((X361/$H361),1)*$H361),"")</f>
        <v>54</v>
      </c>
      <c r="Z361" s="41">
        <f>IFERROR(IF(Y361=0,"",ROUNDUP(Y361/H361,0)*0.01898),"")</f>
        <v>9.4899999999999998E-2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51.898148148148145</v>
      </c>
      <c r="BN361" s="78">
        <f t="shared" ref="BN361:BN366" si="50">IFERROR(Y361*I361/H361,"0")</f>
        <v>56.05</v>
      </c>
      <c r="BO361" s="78">
        <f t="shared" ref="BO361:BO366" si="51">IFERROR(1/J361*(X361/H361),"0")</f>
        <v>7.2337962962962965E-2</v>
      </c>
      <c r="BP361" s="78">
        <f t="shared" ref="BP361:BP366" si="52">IFERROR(1/J361*(Y361/H361),"0")</f>
        <v>7.8125E-2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4.6296296296296298</v>
      </c>
      <c r="Y367" s="43">
        <f>IFERROR(Y361/H361,"0")+IFERROR(Y362/H362,"0")+IFERROR(Y363/H363,"0")+IFERROR(Y364/H364,"0")+IFERROR(Y365/H365,"0")+IFERROR(Y366/H366,"0")</f>
        <v>5</v>
      </c>
      <c r="Z367" s="43">
        <f>IFERROR(IF(Z361="",0,Z361),"0")+IFERROR(IF(Z362="",0,Z362),"0")+IFERROR(IF(Z363="",0,Z363),"0")+IFERROR(IF(Z364="",0,Z364),"0")+IFERROR(IF(Z365="",0,Z365),"0")+IFERROR(IF(Z366="",0,Z366),"0")</f>
        <v>9.4899999999999998E-2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50</v>
      </c>
      <c r="Y368" s="43">
        <f>IFERROR(SUM(Y361:Y366),"0")</f>
        <v>54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70</v>
      </c>
      <c r="Y374" s="55">
        <f t="shared" si="53"/>
        <v>71.400000000000006</v>
      </c>
      <c r="Z374" s="41">
        <f>IFERROR(IF(Y374=0,"",ROUNDUP(Y374/H374,0)*0.00502),"")</f>
        <v>0.17068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73.333333333333329</v>
      </c>
      <c r="BN374" s="78">
        <f t="shared" si="55"/>
        <v>74.8</v>
      </c>
      <c r="BO374" s="78">
        <f t="shared" si="56"/>
        <v>0.14245014245014245</v>
      </c>
      <c r="BP374" s="78">
        <f t="shared" si="57"/>
        <v>0.14529914529914531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60</v>
      </c>
      <c r="Y376" s="55">
        <f t="shared" si="53"/>
        <v>61.2</v>
      </c>
      <c r="Z376" s="41">
        <f>IFERROR(IF(Y376=0,"",ROUNDUP(Y376/H376,0)*0.00651),"")</f>
        <v>0.22134000000000001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67.600000000000009</v>
      </c>
      <c r="BN376" s="78">
        <f t="shared" si="55"/>
        <v>68.951999999999998</v>
      </c>
      <c r="BO376" s="78">
        <f t="shared" si="56"/>
        <v>0.18315018315018317</v>
      </c>
      <c r="BP376" s="78">
        <f t="shared" si="57"/>
        <v>0.18681318681318682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66.666666666666657</v>
      </c>
      <c r="Y377" s="43">
        <f>IFERROR(Y370/H370,"0")+IFERROR(Y371/H371,"0")+IFERROR(Y372/H372,"0")+IFERROR(Y373/H373,"0")+IFERROR(Y374/H374,"0")+IFERROR(Y375/H375,"0")+IFERROR(Y376/H376,"0")</f>
        <v>68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0.39202000000000004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130</v>
      </c>
      <c r="Y378" s="43">
        <f>IFERROR(SUM(Y370:Y376),"0")</f>
        <v>132.60000000000002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400</v>
      </c>
      <c r="Y387" s="55">
        <f>IFERROR(IF(X387="",0,CEILING((X387/$H387),1)*$H387),"")</f>
        <v>403.20000000000005</v>
      </c>
      <c r="Z387" s="41">
        <f>IFERROR(IF(Y387=0,"",ROUNDUP(Y387/H387,0)*0.01898),"")</f>
        <v>0.91104000000000007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423.52380952380952</v>
      </c>
      <c r="BN387" s="78">
        <f>IFERROR(Y387*I387/H387,"0")</f>
        <v>426.91200000000003</v>
      </c>
      <c r="BO387" s="78">
        <f>IFERROR(1/J387*(X387/H387),"0")</f>
        <v>0.74404761904761907</v>
      </c>
      <c r="BP387" s="78">
        <f>IFERROR(1/J387*(Y387/H387),"0")</f>
        <v>0.75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300</v>
      </c>
      <c r="Y388" s="55">
        <f>IFERROR(IF(X388="",0,CEILING((X388/$H388),1)*$H388),"")</f>
        <v>304.2</v>
      </c>
      <c r="Z388" s="41">
        <f>IFERROR(IF(Y388=0,"",ROUNDUP(Y388/H388,0)*0.01898),"")</f>
        <v>0.74021999999999999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319.00000000000006</v>
      </c>
      <c r="BN388" s="78">
        <f>IFERROR(Y388*I388/H388,"0")</f>
        <v>323.46600000000001</v>
      </c>
      <c r="BO388" s="78">
        <f>IFERROR(1/J388*(X388/H388),"0")</f>
        <v>0.60096153846153844</v>
      </c>
      <c r="BP388" s="78">
        <f>IFERROR(1/J388*(Y388/H388),"0")</f>
        <v>0.609375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100</v>
      </c>
      <c r="Y389" s="55">
        <f>IFERROR(IF(X389="",0,CEILING((X389/$H389),1)*$H389),"")</f>
        <v>100.80000000000001</v>
      </c>
      <c r="Z389" s="41">
        <f>IFERROR(IF(Y389=0,"",ROUNDUP(Y389/H389,0)*0.01898),"")</f>
        <v>0.22776000000000002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105.88095238095238</v>
      </c>
      <c r="BN389" s="78">
        <f>IFERROR(Y389*I389/H389,"0")</f>
        <v>106.72800000000001</v>
      </c>
      <c r="BO389" s="78">
        <f>IFERROR(1/J389*(X389/H389),"0")</f>
        <v>0.18601190476190477</v>
      </c>
      <c r="BP389" s="78">
        <f>IFERROR(1/J389*(Y389/H389),"0")</f>
        <v>0.1875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97.985347985347971</v>
      </c>
      <c r="Y390" s="43">
        <f>IFERROR(Y387/H387,"0")+IFERROR(Y388/H388,"0")+IFERROR(Y389/H389,"0")</f>
        <v>99</v>
      </c>
      <c r="Z390" s="43">
        <f>IFERROR(IF(Z387="",0,Z387),"0")+IFERROR(IF(Z388="",0,Z388),"0")+IFERROR(IF(Z389="",0,Z389),"0")</f>
        <v>1.8790200000000001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800</v>
      </c>
      <c r="Y391" s="43">
        <f>IFERROR(SUM(Y387:Y389),"0")</f>
        <v>808.2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60</v>
      </c>
      <c r="Y406" s="55">
        <f>IFERROR(IF(X406="",0,CEILING((X406/$H406),1)*$H406),"")</f>
        <v>60</v>
      </c>
      <c r="Z406" s="41">
        <f>IFERROR(IF(Y406=0,"",ROUNDUP(Y406/H406,0)*0.0045),"")</f>
        <v>0.09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64.400000000000006</v>
      </c>
      <c r="BN406" s="78">
        <f>IFERROR(Y406*I406/H406,"0")</f>
        <v>64.400000000000006</v>
      </c>
      <c r="BO406" s="78">
        <f>IFERROR(1/J406*(X406/H406),"0")</f>
        <v>8.9285714285714274E-2</v>
      </c>
      <c r="BP406" s="78">
        <f>IFERROR(1/J406*(Y406/H406),"0")</f>
        <v>8.9285714285714274E-2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65</v>
      </c>
      <c r="Y407" s="55">
        <f>IFERROR(IF(X407="",0,CEILING((X407/$H407),1)*$H407),"")</f>
        <v>66.3</v>
      </c>
      <c r="Z407" s="41">
        <f>IFERROR(IF(Y407=0,"",ROUNDUP(Y407/H407,0)*0.006),"")</f>
        <v>0.10200000000000001</v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69.5</v>
      </c>
      <c r="BN407" s="78">
        <f>IFERROR(Y407*I407/H407,"0")</f>
        <v>70.89</v>
      </c>
      <c r="BO407" s="78">
        <f>IFERROR(1/J407*(X407/H407),"0")</f>
        <v>0.11574074074074074</v>
      </c>
      <c r="BP407" s="78">
        <f>IFERROR(1/J407*(Y407/H407),"0")</f>
        <v>0.11805555555555555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75</v>
      </c>
      <c r="Y408" s="55">
        <f>IFERROR(IF(X408="",0,CEILING((X408/$H408),1)*$H408),"")</f>
        <v>75</v>
      </c>
      <c r="Z408" s="41">
        <f>IFERROR(IF(Y408=0,"",ROUNDUP(Y408/H408,0)*0.0045),"")</f>
        <v>0.11249999999999999</v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80.500000000000014</v>
      </c>
      <c r="BN408" s="78">
        <f>IFERROR(Y408*I408/H408,"0")</f>
        <v>80.500000000000014</v>
      </c>
      <c r="BO408" s="78">
        <f>IFERROR(1/J408*(X408/H408),"0")</f>
        <v>0.11160714285714285</v>
      </c>
      <c r="BP408" s="78">
        <f>IFERROR(1/J408*(Y408/H408),"0")</f>
        <v>0.11160714285714285</v>
      </c>
    </row>
    <row r="409" spans="1:68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61.666666666666671</v>
      </c>
      <c r="Y409" s="43">
        <f>IFERROR(Y406/H406,"0")+IFERROR(Y407/H407,"0")+IFERROR(Y408/H408,"0")</f>
        <v>62</v>
      </c>
      <c r="Z409" s="43">
        <f>IFERROR(IF(Z406="",0,Z406),"0")+IFERROR(IF(Z407="",0,Z407),"0")+IFERROR(IF(Z408="",0,Z408),"0")</f>
        <v>0.30449999999999999</v>
      </c>
      <c r="AA409" s="67"/>
      <c r="AB409" s="67"/>
      <c r="AC409" s="67"/>
    </row>
    <row r="410" spans="1:68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200</v>
      </c>
      <c r="Y410" s="43">
        <f>IFERROR(SUM(Y406:Y408),"0")</f>
        <v>201.3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630</v>
      </c>
      <c r="Y420" s="55">
        <f>IFERROR(IF(X420="",0,CEILING((X420/$H420),1)*$H420),"")</f>
        <v>630</v>
      </c>
      <c r="Z420" s="41">
        <f>IFERROR(IF(Y420=0,"",ROUNDUP(Y420/H420,0)*0.00651),"")</f>
        <v>1.9530000000000001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705.59999999999991</v>
      </c>
      <c r="BN420" s="78">
        <f>IFERROR(Y420*I420/H420,"0")</f>
        <v>705.59999999999991</v>
      </c>
      <c r="BO420" s="78">
        <f>IFERROR(1/J420*(X420/H420),"0")</f>
        <v>1.6483516483516485</v>
      </c>
      <c r="BP420" s="78">
        <f>IFERROR(1/J420*(Y420/H420),"0")</f>
        <v>1.6483516483516485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489.99999999999994</v>
      </c>
      <c r="Y421" s="55">
        <f>IFERROR(IF(X421="",0,CEILING((X421/$H421),1)*$H421),"")</f>
        <v>491.40000000000003</v>
      </c>
      <c r="Z421" s="41">
        <f>IFERROR(IF(Y421=0,"",ROUNDUP(Y421/H421,0)*0.00651),"")</f>
        <v>1.5233400000000001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545.99999999999989</v>
      </c>
      <c r="BN421" s="78">
        <f>IFERROR(Y421*I421/H421,"0")</f>
        <v>547.55999999999995</v>
      </c>
      <c r="BO421" s="78">
        <f>IFERROR(1/J421*(X421/H421),"0")</f>
        <v>1.2820512820512819</v>
      </c>
      <c r="BP421" s="78">
        <f>IFERROR(1/J421*(Y421/H421),"0")</f>
        <v>1.2857142857142858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533.33333333333326</v>
      </c>
      <c r="Y422" s="43">
        <f>IFERROR(Y419/H419,"0")+IFERROR(Y420/H420,"0")+IFERROR(Y421/H421,"0")</f>
        <v>534</v>
      </c>
      <c r="Z422" s="43">
        <f>IFERROR(IF(Z419="",0,Z419),"0")+IFERROR(IF(Z420="",0,Z420),"0")+IFERROR(IF(Z421="",0,Z421),"0")</f>
        <v>3.4763400000000004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1120</v>
      </c>
      <c r="Y423" s="43">
        <f>IFERROR(SUM(Y419:Y421),"0")</f>
        <v>1121.4000000000001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200</v>
      </c>
      <c r="Y427" s="55">
        <f t="shared" ref="Y427:Y434" si="58">IFERROR(IF(X427="",0,CEILING((X427/$H427),1)*$H427),"")</f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206.26666666666668</v>
      </c>
      <c r="BN427" s="78">
        <f t="shared" ref="BN427:BN434" si="60">IFERROR(Y427*I427/H427,"0")</f>
        <v>216.58</v>
      </c>
      <c r="BO427" s="78">
        <f t="shared" ref="BO427:BO434" si="61">IFERROR(1/J427*(X427/H427),"0")</f>
        <v>0.27777777777777779</v>
      </c>
      <c r="BP427" s="78">
        <f t="shared" ref="BP427:BP434" si="62">IFERROR(1/J427*(Y427/H427),"0")</f>
        <v>0.29166666666666663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900</v>
      </c>
      <c r="Y429" s="55">
        <f t="shared" si="58"/>
        <v>900</v>
      </c>
      <c r="Z429" s="41">
        <f>IFERROR(IF(Y429=0,"",ROUNDUP(Y429/H429,0)*0.02175),"")</f>
        <v>1.3049999999999999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928.2</v>
      </c>
      <c r="BN429" s="78">
        <f t="shared" si="60"/>
        <v>928.2</v>
      </c>
      <c r="BO429" s="78">
        <f t="shared" si="61"/>
        <v>1.25</v>
      </c>
      <c r="BP429" s="78">
        <f t="shared" si="62"/>
        <v>1.25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73.333333333333329</v>
      </c>
      <c r="Y435" s="43">
        <f>IFERROR(Y427/H427,"0")+IFERROR(Y428/H428,"0")+IFERROR(Y429/H429,"0")+IFERROR(Y430/H430,"0")+IFERROR(Y431/H431,"0")+IFERROR(Y432/H432,"0")+IFERROR(Y433/H433,"0")+IFERROR(Y434/H434,"0")</f>
        <v>74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1.6094999999999999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1100</v>
      </c>
      <c r="Y436" s="43">
        <f>IFERROR(SUM(Y427:Y434),"0")</f>
        <v>1110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700</v>
      </c>
      <c r="Y438" s="55">
        <f>IFERROR(IF(X438="",0,CEILING((X438/$H438),1)*$H438),"")</f>
        <v>705</v>
      </c>
      <c r="Z438" s="41">
        <f>IFERROR(IF(Y438=0,"",ROUNDUP(Y438/H438,0)*0.02175),"")</f>
        <v>1.0222499999999999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721.93333333333328</v>
      </c>
      <c r="BN438" s="78">
        <f>IFERROR(Y438*I438/H438,"0")</f>
        <v>727.09</v>
      </c>
      <c r="BO438" s="78">
        <f>IFERROR(1/J438*(X438/H438),"0")</f>
        <v>0.9722222222222221</v>
      </c>
      <c r="BP438" s="78">
        <f>IFERROR(1/J438*(Y438/H438),"0")</f>
        <v>0.97916666666666663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150</v>
      </c>
      <c r="Y439" s="55">
        <f>IFERROR(IF(X439="",0,CEILING((X439/$H439),1)*$H439),"")</f>
        <v>150</v>
      </c>
      <c r="Z439" s="41">
        <f>IFERROR(IF(Y439=0,"",ROUNDUP(Y439/H439,0)*0.02175),"")</f>
        <v>0.21749999999999997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154.69999999999999</v>
      </c>
      <c r="BN439" s="78">
        <f>IFERROR(Y439*I439/H439,"0")</f>
        <v>154.69999999999999</v>
      </c>
      <c r="BO439" s="78">
        <f>IFERROR(1/J439*(X439/H439),"0")</f>
        <v>0.20833333333333331</v>
      </c>
      <c r="BP439" s="78">
        <f>IFERROR(1/J439*(Y439/H439),"0")</f>
        <v>0.20833333333333331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56.666666666666664</v>
      </c>
      <c r="Y441" s="43">
        <f>IFERROR(Y438/H438,"0")+IFERROR(Y439/H439,"0")+IFERROR(Y440/H440,"0")</f>
        <v>57</v>
      </c>
      <c r="Z441" s="43">
        <f>IFERROR(IF(Z438="",0,Z438),"0")+IFERROR(IF(Z439="",0,Z439),"0")+IFERROR(IF(Z440="",0,Z440),"0")</f>
        <v>1.2397499999999999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850</v>
      </c>
      <c r="Y442" s="43">
        <f>IFERROR(SUM(Y438:Y440),"0")</f>
        <v>855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70</v>
      </c>
      <c r="Y445" s="55">
        <f>IFERROR(IF(X445="",0,CEILING((X445/$H445),1)*$H445),"")</f>
        <v>72</v>
      </c>
      <c r="Z445" s="41">
        <f>IFERROR(IF(Y445=0,"",ROUNDUP(Y445/H445,0)*0.01898),"")</f>
        <v>0.15184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73.842222222222219</v>
      </c>
      <c r="BN445" s="78">
        <f>IFERROR(Y445*I445/H445,"0")</f>
        <v>75.951999999999998</v>
      </c>
      <c r="BO445" s="78">
        <f>IFERROR(1/J445*(X445/H445),"0")</f>
        <v>0.12152777777777778</v>
      </c>
      <c r="BP445" s="78">
        <f>IFERROR(1/J445*(Y445/H445),"0")</f>
        <v>0.125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7.7777777777777777</v>
      </c>
      <c r="Y447" s="43">
        <f>IFERROR(Y444/H444,"0")+IFERROR(Y445/H445,"0")+IFERROR(Y446/H446,"0")</f>
        <v>8</v>
      </c>
      <c r="Z447" s="43">
        <f>IFERROR(IF(Z444="",0,Z444),"0")+IFERROR(IF(Z445="",0,Z445),"0")+IFERROR(IF(Z446="",0,Z446),"0")</f>
        <v>0.15184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70</v>
      </c>
      <c r="Y448" s="43">
        <f>IFERROR(SUM(Y444:Y446),"0")</f>
        <v>72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50</v>
      </c>
      <c r="Y451" s="55">
        <f>IFERROR(IF(X451="",0,CEILING((X451/$H451),1)*$H451),"")</f>
        <v>54</v>
      </c>
      <c r="Z451" s="41">
        <f>IFERROR(IF(Y451=0,"",ROUNDUP(Y451/H451,0)*0.01898),"")</f>
        <v>0.11388000000000001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52.74444444444444</v>
      </c>
      <c r="BN451" s="78">
        <f>IFERROR(Y451*I451/H451,"0")</f>
        <v>56.963999999999992</v>
      </c>
      <c r="BO451" s="78">
        <f>IFERROR(1/J451*(X451/H451),"0")</f>
        <v>8.6805555555555552E-2</v>
      </c>
      <c r="BP451" s="78">
        <f>IFERROR(1/J451*(Y451/H451),"0")</f>
        <v>9.375E-2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5.5555555555555554</v>
      </c>
      <c r="Y452" s="43">
        <f>IFERROR(Y450/H450,"0")+IFERROR(Y451/H451,"0")</f>
        <v>6</v>
      </c>
      <c r="Z452" s="43">
        <f>IFERROR(IF(Z450="",0,Z450),"0")+IFERROR(IF(Z451="",0,Z451),"0")</f>
        <v>0.11388000000000001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50</v>
      </c>
      <c r="Y453" s="43">
        <f>IFERROR(SUM(Y450:Y451),"0")</f>
        <v>54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250</v>
      </c>
      <c r="Y505" s="55">
        <f t="shared" si="68"/>
        <v>253.44</v>
      </c>
      <c r="Z505" s="41">
        <f t="shared" si="69"/>
        <v>0.57408000000000003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266.57196969696969</v>
      </c>
      <c r="BN505" s="78">
        <f t="shared" si="71"/>
        <v>270.23999999999995</v>
      </c>
      <c r="BO505" s="78">
        <f t="shared" si="72"/>
        <v>0.45527389277389274</v>
      </c>
      <c r="BP505" s="78">
        <f t="shared" si="73"/>
        <v>0.46153846153846156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120</v>
      </c>
      <c r="Y507" s="55">
        <f t="shared" si="68"/>
        <v>120</v>
      </c>
      <c r="Z507" s="41">
        <f>IFERROR(IF(Y507=0,"",ROUNDUP(Y507/H507,0)*0.00902),"")</f>
        <v>0.22550000000000001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172.75000000000003</v>
      </c>
      <c r="BN507" s="78">
        <f t="shared" si="71"/>
        <v>172.75000000000003</v>
      </c>
      <c r="BO507" s="78">
        <f t="shared" si="72"/>
        <v>0.18939393939393939</v>
      </c>
      <c r="BP507" s="78">
        <f t="shared" si="73"/>
        <v>0.18939393939393939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252</v>
      </c>
      <c r="Y508" s="55">
        <f t="shared" si="68"/>
        <v>254.39999999999998</v>
      </c>
      <c r="Z508" s="41">
        <f>IFERROR(IF(Y508=0,"",ROUNDUP(Y508/H508,0)*0.00902),"")</f>
        <v>0.47806000000000004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362.77499999999998</v>
      </c>
      <c r="BN508" s="78">
        <f t="shared" si="71"/>
        <v>366.22999999999996</v>
      </c>
      <c r="BO508" s="78">
        <f t="shared" si="72"/>
        <v>0.39772727272727276</v>
      </c>
      <c r="BP508" s="78">
        <f t="shared" si="73"/>
        <v>0.40151515151515155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124.84848484848484</v>
      </c>
      <c r="Y509" s="43">
        <f>IFERROR(Y500/H500,"0")+IFERROR(Y501/H501,"0")+IFERROR(Y502/H502,"0")+IFERROR(Y503/H503,"0")+IFERROR(Y504/H504,"0")+IFERROR(Y505/H505,"0")+IFERROR(Y506/H506,"0")+IFERROR(Y507/H507,"0")+IFERROR(Y508/H508,"0")</f>
        <v>126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1.2776400000000001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622</v>
      </c>
      <c r="Y510" s="43">
        <f>IFERROR(SUM(Y500:Y508),"0")</f>
        <v>627.83999999999992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300</v>
      </c>
      <c r="Y512" s="55">
        <f>IFERROR(IF(X512="",0,CEILING((X512/$H512),1)*$H512),"")</f>
        <v>300.96000000000004</v>
      </c>
      <c r="Z512" s="41">
        <f>IFERROR(IF(Y512=0,"",ROUNDUP(Y512/H512,0)*0.01196),"")</f>
        <v>0.68171999999999999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319.88636363636363</v>
      </c>
      <c r="BN512" s="78">
        <f>IFERROR(Y512*I512/H512,"0")</f>
        <v>320.91000000000003</v>
      </c>
      <c r="BO512" s="78">
        <f>IFERROR(1/J512*(X512/H512),"0")</f>
        <v>0.54632867132867136</v>
      </c>
      <c r="BP512" s="78">
        <f>IFERROR(1/J512*(Y512/H512),"0")</f>
        <v>0.54807692307692313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90</v>
      </c>
      <c r="Y514" s="55">
        <f>IFERROR(IF(X514="",0,CEILING((X514/$H514),1)*$H514),"")</f>
        <v>91.2</v>
      </c>
      <c r="Z514" s="41">
        <f>IFERROR(IF(Y514=0,"",ROUNDUP(Y514/H514,0)*0.00902),"")</f>
        <v>0.17138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129.5625</v>
      </c>
      <c r="BN514" s="78">
        <f>IFERROR(Y514*I514/H514,"0")</f>
        <v>131.29000000000002</v>
      </c>
      <c r="BO514" s="78">
        <f>IFERROR(1/J514*(X514/H514),"0")</f>
        <v>0.14204545454545456</v>
      </c>
      <c r="BP514" s="78">
        <f>IFERROR(1/J514*(Y514/H514),"0")</f>
        <v>0.14393939393939395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75.568181818181813</v>
      </c>
      <c r="Y515" s="43">
        <f>IFERROR(Y512/H512,"0")+IFERROR(Y513/H513,"0")+IFERROR(Y514/H514,"0")</f>
        <v>76</v>
      </c>
      <c r="Z515" s="43">
        <f>IFERROR(IF(Z512="",0,Z512),"0")+IFERROR(IF(Z513="",0,Z513),"0")+IFERROR(IF(Z514="",0,Z514),"0")</f>
        <v>0.85309999999999997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390</v>
      </c>
      <c r="Y516" s="43">
        <f>IFERROR(SUM(Y512:Y514),"0")</f>
        <v>392.16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180</v>
      </c>
      <c r="Y520" s="55">
        <f t="shared" si="74"/>
        <v>184.8</v>
      </c>
      <c r="Z520" s="41">
        <f>IFERROR(IF(Y520=0,"",ROUNDUP(Y520/H520,0)*0.01196),"")</f>
        <v>0.41860000000000003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191.93181818181816</v>
      </c>
      <c r="BN520" s="78">
        <f t="shared" si="76"/>
        <v>197.04999999999998</v>
      </c>
      <c r="BO520" s="78">
        <f t="shared" si="77"/>
        <v>0.32779720279720276</v>
      </c>
      <c r="BP520" s="78">
        <f t="shared" si="78"/>
        <v>0.33653846153846156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72</v>
      </c>
      <c r="Y521" s="55">
        <f t="shared" si="74"/>
        <v>72</v>
      </c>
      <c r="Z521" s="41">
        <f>IFERROR(IF(Y521=0,"",ROUNDUP(Y521/H521,0)*0.00902),"")</f>
        <v>0.1353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103.65</v>
      </c>
      <c r="BN521" s="78">
        <f t="shared" si="76"/>
        <v>103.65</v>
      </c>
      <c r="BO521" s="78">
        <f t="shared" si="77"/>
        <v>0.11363636363636365</v>
      </c>
      <c r="BP521" s="78">
        <f t="shared" si="78"/>
        <v>0.11363636363636365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si="74"/>
        <v>153.6</v>
      </c>
      <c r="Z524" s="41">
        <f>IFERROR(IF(Y524=0,"",ROUNDUP(Y524/H524,0)*0.00902),"")</f>
        <v>0.28864000000000001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208.4375</v>
      </c>
      <c r="BN524" s="78">
        <f t="shared" si="76"/>
        <v>213.44</v>
      </c>
      <c r="BO524" s="78">
        <f t="shared" si="77"/>
        <v>0.23674242424242425</v>
      </c>
      <c r="BP524" s="78">
        <f t="shared" si="78"/>
        <v>0.24242424242424243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80.340909090909093</v>
      </c>
      <c r="Y525" s="43">
        <f>IFERROR(Y518/H518,"0")+IFERROR(Y519/H519,"0")+IFERROR(Y520/H520,"0")+IFERROR(Y521/H521,"0")+IFERROR(Y522/H522,"0")+IFERROR(Y523/H523,"0")+IFERROR(Y524/H524,"0")</f>
        <v>82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0.84254000000000007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402</v>
      </c>
      <c r="Y526" s="43">
        <f>IFERROR(SUM(Y518:Y524),"0")</f>
        <v>410.4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180</v>
      </c>
      <c r="Y530" s="55">
        <f>IFERROR(IF(X530="",0,CEILING((X530/$H530),1)*$H530),"")</f>
        <v>180</v>
      </c>
      <c r="Z530" s="41">
        <f>IFERROR(IF(Y530=0,"",ROUNDUP(Y530/H530,0)*0.01898),"")</f>
        <v>0.28470000000000001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186.15</v>
      </c>
      <c r="BN530" s="78">
        <f>IFERROR(Y530*I530/H530,"0")</f>
        <v>186.15</v>
      </c>
      <c r="BO530" s="78">
        <f>IFERROR(1/J530*(X530/H530),"0")</f>
        <v>0.234375</v>
      </c>
      <c r="BP530" s="78">
        <f>IFERROR(1/J530*(Y530/H530),"0")</f>
        <v>0.234375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15</v>
      </c>
      <c r="Y531" s="43">
        <f>IFERROR(Y530/H530,"0")</f>
        <v>15</v>
      </c>
      <c r="Z531" s="43">
        <f>IFERROR(IF(Z530="",0,Z530),"0")</f>
        <v>0.28470000000000001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180</v>
      </c>
      <c r="Y532" s="43">
        <f>IFERROR(SUM(Y530:Y530),"0")</f>
        <v>180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1450</v>
      </c>
      <c r="Y542" s="55">
        <f>IFERROR(IF(X542="",0,CEILING((X542/$H542),1)*$H542),"")</f>
        <v>1458</v>
      </c>
      <c r="Z542" s="41">
        <f>IFERROR(IF(Y542=0,"",ROUNDUP(Y542/H542,0)*0.01898),"")</f>
        <v>3.0747599999999999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1529.5888888888887</v>
      </c>
      <c r="BN542" s="78">
        <f>IFERROR(Y542*I542/H542,"0")</f>
        <v>1538.028</v>
      </c>
      <c r="BO542" s="78">
        <f>IFERROR(1/J542*(X542/H542),"0")</f>
        <v>2.5173611111111112</v>
      </c>
      <c r="BP542" s="78">
        <f>IFERROR(1/J542*(Y542/H542),"0")</f>
        <v>2.53125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161.11111111111111</v>
      </c>
      <c r="Y543" s="43">
        <f>IFERROR(Y542/H542,"0")</f>
        <v>162</v>
      </c>
      <c r="Z543" s="43">
        <f>IFERROR(IF(Z542="",0,Z542),"0")</f>
        <v>3.0747599999999999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1450</v>
      </c>
      <c r="Y544" s="43">
        <f>IFERROR(SUM(Y542:Y542),"0")</f>
        <v>1458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17448.5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17579.580000000002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18817.722543765311</v>
      </c>
      <c r="Y556" s="43">
        <f>IFERROR(SUM(BN22:BN552),"0")</f>
        <v>18958.642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34</v>
      </c>
      <c r="Y557" s="44">
        <f>ROUNDUP(SUM(BP22:BP552),0)</f>
        <v>34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19667.722543765311</v>
      </c>
      <c r="Y558" s="43">
        <f>GrossWeightTotalR+PalletQtyTotalR*25</f>
        <v>19808.642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4425.6923574509783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4449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39.668589999999995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551.20000000000005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764.09999999999991</v>
      </c>
      <c r="F565" s="52">
        <f>IFERROR(Y84*1,"0")+IFERROR(Y85*1,"0")+IFERROR(Y86*1,"0")+IFERROR(Y87*1,"0")+IFERROR(Y91*1,"0")+IFERROR(Y92*1,"0")+IFERROR(Y93*1,"0")+IFERROR(Y94*1,"0")</f>
        <v>1707.3000000000002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2124.9</v>
      </c>
      <c r="H565" s="52">
        <f>IFERROR(Y129*1,"0")+IFERROR(Y130*1,"0")+IFERROR(Y131*1,"0")+IFERROR(Y135*1,"0")+IFERROR(Y136*1,"0")+IFERROR(Y137*1,"0")+IFERROR(Y138*1,"0")+IFERROR(Y142*1,"0")+IFERROR(Y143*1,"0")+IFERROR(Y144*1,"0")</f>
        <v>214.32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948.56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558.6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2295.9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24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360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553.79999999999995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1196.0999999999999</v>
      </c>
      <c r="U565" s="52">
        <f>IFERROR(Y413*1,"0")+IFERROR(Y414*1,"0")</f>
        <v>0</v>
      </c>
      <c r="V565" s="52">
        <f>IFERROR(Y419*1,"0")+IFERROR(Y420*1,"0")+IFERROR(Y421*1,"0")</f>
        <v>1121.4000000000001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2091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1430.3999999999999</v>
      </c>
      <c r="AB565" s="52">
        <f>IFERROR(Y530*1,"0")+IFERROR(Y534*1,"0")+IFERROR(Y538*1,"0")+IFERROR(Y542*1,"0")+IFERROR(Y546*1,"0")+IFERROR(Y547*1,"0")</f>
        <v>1638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0,00"/>
        <filter val="1 100,00"/>
        <filter val="1 120,00"/>
        <filter val="1 450,00"/>
        <filter val="1 468,00"/>
        <filter val="100,00"/>
        <filter val="112,00"/>
        <filter val="113,89"/>
        <filter val="120,00"/>
        <filter val="124,85"/>
        <filter val="130,00"/>
        <filter val="132,78"/>
        <filter val="140,00"/>
        <filter val="15,00"/>
        <filter val="150,00"/>
        <filter val="157,50"/>
        <filter val="161,11"/>
        <filter val="17 448,50"/>
        <filter val="18 817,72"/>
        <filter val="18,75"/>
        <filter val="180,00"/>
        <filter val="19 667,72"/>
        <filter val="20,00"/>
        <filter val="200,00"/>
        <filter val="210,00"/>
        <filter val="217,50"/>
        <filter val="220,00"/>
        <filter val="24,00"/>
        <filter val="25,00"/>
        <filter val="250,00"/>
        <filter val="252,00"/>
        <filter val="253,57"/>
        <filter val="285,19"/>
        <filter val="30,00"/>
        <filter val="300,00"/>
        <filter val="309,88"/>
        <filter val="34"/>
        <filter val="350,00"/>
        <filter val="360,00"/>
        <filter val="367,38"/>
        <filter val="37,50"/>
        <filter val="390,00"/>
        <filter val="4 425,69"/>
        <filter val="4,50"/>
        <filter val="4,63"/>
        <filter val="400,00"/>
        <filter val="402,00"/>
        <filter val="463,36"/>
        <filter val="466,05"/>
        <filter val="48,00"/>
        <filter val="49,50"/>
        <filter val="490,00"/>
        <filter val="5,56"/>
        <filter val="50,00"/>
        <filter val="52,50"/>
        <filter val="533,33"/>
        <filter val="540,00"/>
        <filter val="550,00"/>
        <filter val="557,50"/>
        <filter val="56,67"/>
        <filter val="585,00"/>
        <filter val="6,00"/>
        <filter val="60,00"/>
        <filter val="61,67"/>
        <filter val="615,00"/>
        <filter val="622,00"/>
        <filter val="63,89"/>
        <filter val="630,00"/>
        <filter val="65,00"/>
        <filter val="66,67"/>
        <filter val="69,23"/>
        <filter val="7,78"/>
        <filter val="70,00"/>
        <filter val="700,00"/>
        <filter val="72,00"/>
        <filter val="720,00"/>
        <filter val="73,33"/>
        <filter val="75,00"/>
        <filter val="75,57"/>
        <filter val="760,00"/>
        <filter val="80,34"/>
        <filter val="800,00"/>
        <filter val="84,00"/>
        <filter val="850,00"/>
        <filter val="87,50"/>
        <filter val="9,00"/>
        <filter val="90,00"/>
        <filter val="900,00"/>
        <filter val="943,50"/>
        <filter val="97,99"/>
        <filter val="99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