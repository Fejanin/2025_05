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CCD187F-32D0-4273-8626-505D2BF4AEE9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6" i="2"/>
  <c r="X505" i="2"/>
  <c r="BO504" i="2"/>
  <c r="BN504" i="2"/>
  <c r="BM504" i="2"/>
  <c r="Y504" i="2"/>
  <c r="BP504" i="2" s="1"/>
  <c r="P504" i="2"/>
  <c r="BO503" i="2"/>
  <c r="BM503" i="2"/>
  <c r="Y503" i="2"/>
  <c r="BN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Z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Z457" i="2"/>
  <c r="Z458" i="2" s="1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N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Z416" i="2"/>
  <c r="Y416" i="2"/>
  <c r="BN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Z408" i="2"/>
  <c r="Y408" i="2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P391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Z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Z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P344" i="2"/>
  <c r="BO344" i="2"/>
  <c r="BM344" i="2"/>
  <c r="Z344" i="2"/>
  <c r="Y344" i="2"/>
  <c r="BN344" i="2" s="1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Z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BN304" i="2" s="1"/>
  <c r="P304" i="2"/>
  <c r="BP303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N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N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N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BN198" i="2" s="1"/>
  <c r="P198" i="2"/>
  <c r="BO197" i="2"/>
  <c r="BM197" i="2"/>
  <c r="Y197" i="2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N180" i="2"/>
  <c r="BM180" i="2"/>
  <c r="Y180" i="2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N166" i="2" s="1"/>
  <c r="P166" i="2"/>
  <c r="X163" i="2"/>
  <c r="X162" i="2"/>
  <c r="BO161" i="2"/>
  <c r="BM161" i="2"/>
  <c r="Z161" i="2"/>
  <c r="Z162" i="2" s="1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P146" i="2"/>
  <c r="X144" i="2"/>
  <c r="X143" i="2"/>
  <c r="BO142" i="2"/>
  <c r="BM142" i="2"/>
  <c r="Z142" i="2"/>
  <c r="Y142" i="2"/>
  <c r="BN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Z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Z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N88" i="2"/>
  <c r="BM88" i="2"/>
  <c r="Y88" i="2"/>
  <c r="Z88" i="2" s="1"/>
  <c r="P88" i="2"/>
  <c r="Y85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N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N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178" i="2" l="1"/>
  <c r="Y200" i="2"/>
  <c r="Z265" i="2"/>
  <c r="BN41" i="2"/>
  <c r="BP88" i="2"/>
  <c r="BN470" i="2"/>
  <c r="Y405" i="2"/>
  <c r="Z409" i="2"/>
  <c r="Z411" i="2" s="1"/>
  <c r="W561" i="2"/>
  <c r="Z478" i="2"/>
  <c r="Z306" i="2"/>
  <c r="Y93" i="2"/>
  <c r="BP142" i="2"/>
  <c r="Y175" i="2"/>
  <c r="BN273" i="2"/>
  <c r="Z427" i="2"/>
  <c r="Z434" i="2"/>
  <c r="BN478" i="2"/>
  <c r="BP234" i="2"/>
  <c r="Z319" i="2"/>
  <c r="X555" i="2"/>
  <c r="BN230" i="2"/>
  <c r="BN269" i="2"/>
  <c r="BN489" i="2"/>
  <c r="BP90" i="2"/>
  <c r="Z226" i="2"/>
  <c r="BN375" i="2"/>
  <c r="Y150" i="2"/>
  <c r="Z185" i="2"/>
  <c r="BN53" i="2"/>
  <c r="Z98" i="2"/>
  <c r="BN185" i="2"/>
  <c r="BN202" i="2"/>
  <c r="Z211" i="2"/>
  <c r="Z329" i="2"/>
  <c r="Z337" i="2"/>
  <c r="Z28" i="2"/>
  <c r="Y203" i="2"/>
  <c r="BN264" i="2"/>
  <c r="Z425" i="2"/>
  <c r="Y512" i="2"/>
  <c r="BP244" i="2"/>
  <c r="BP484" i="2"/>
  <c r="BP366" i="2"/>
  <c r="BP428" i="2"/>
  <c r="Z51" i="2"/>
  <c r="Z72" i="2"/>
  <c r="Z135" i="2"/>
  <c r="BP141" i="2"/>
  <c r="Z166" i="2"/>
  <c r="BP166" i="2"/>
  <c r="Z181" i="2"/>
  <c r="BP187" i="2"/>
  <c r="Z198" i="2"/>
  <c r="Z208" i="2"/>
  <c r="Z225" i="2"/>
  <c r="Z295" i="2"/>
  <c r="BN307" i="2"/>
  <c r="BP329" i="2"/>
  <c r="BN342" i="2"/>
  <c r="Z346" i="2"/>
  <c r="Z366" i="2"/>
  <c r="BN383" i="2"/>
  <c r="Z415" i="2"/>
  <c r="BP416" i="2"/>
  <c r="BN417" i="2"/>
  <c r="BN423" i="2"/>
  <c r="BP426" i="2"/>
  <c r="Z428" i="2"/>
  <c r="BP434" i="2"/>
  <c r="Z503" i="2"/>
  <c r="BP503" i="2"/>
  <c r="Y531" i="2"/>
  <c r="BP225" i="2"/>
  <c r="BN29" i="2"/>
  <c r="Y47" i="2"/>
  <c r="Y55" i="2"/>
  <c r="Z62" i="2"/>
  <c r="BP83" i="2"/>
  <c r="Z116" i="2"/>
  <c r="BN120" i="2"/>
  <c r="H561" i="2"/>
  <c r="BP132" i="2"/>
  <c r="BN140" i="2"/>
  <c r="Z141" i="2"/>
  <c r="Z143" i="2" s="1"/>
  <c r="Y143" i="2"/>
  <c r="Z149" i="2"/>
  <c r="BN156" i="2"/>
  <c r="Y163" i="2"/>
  <c r="Z184" i="2"/>
  <c r="Z187" i="2"/>
  <c r="Z191" i="2"/>
  <c r="Y204" i="2"/>
  <c r="BP226" i="2"/>
  <c r="Z230" i="2"/>
  <c r="BN231" i="2"/>
  <c r="Z232" i="2"/>
  <c r="BP240" i="2"/>
  <c r="BN241" i="2"/>
  <c r="Z242" i="2"/>
  <c r="Z272" i="2"/>
  <c r="Z275" i="2"/>
  <c r="Z282" i="2"/>
  <c r="BP283" i="2"/>
  <c r="BN284" i="2"/>
  <c r="Y298" i="2"/>
  <c r="BP304" i="2"/>
  <c r="BN305" i="2"/>
  <c r="Y331" i="2"/>
  <c r="BP327" i="2"/>
  <c r="BN328" i="2"/>
  <c r="Y369" i="2"/>
  <c r="BP365" i="2"/>
  <c r="BP385" i="2"/>
  <c r="BP441" i="2"/>
  <c r="BN453" i="2"/>
  <c r="BN479" i="2"/>
  <c r="BP501" i="2"/>
  <c r="BN515" i="2"/>
  <c r="BN30" i="2"/>
  <c r="Z41" i="2"/>
  <c r="BN42" i="2"/>
  <c r="BN52" i="2"/>
  <c r="Z53" i="2"/>
  <c r="BN54" i="2"/>
  <c r="Z64" i="2"/>
  <c r="BN65" i="2"/>
  <c r="Z83" i="2"/>
  <c r="Z95" i="2"/>
  <c r="BP98" i="2"/>
  <c r="BN121" i="2"/>
  <c r="Z132" i="2"/>
  <c r="BP161" i="2"/>
  <c r="Y170" i="2"/>
  <c r="Z240" i="2"/>
  <c r="Z249" i="2"/>
  <c r="Z269" i="2"/>
  <c r="Z273" i="2"/>
  <c r="Z283" i="2"/>
  <c r="BN290" i="2"/>
  <c r="BN295" i="2"/>
  <c r="Z304" i="2"/>
  <c r="Z307" i="2"/>
  <c r="Z311" i="2"/>
  <c r="Z312" i="2" s="1"/>
  <c r="Z327" i="2"/>
  <c r="Z342" i="2"/>
  <c r="Y370" i="2"/>
  <c r="BP363" i="2"/>
  <c r="BN364" i="2"/>
  <c r="Z365" i="2"/>
  <c r="Z367" i="2"/>
  <c r="Z383" i="2"/>
  <c r="BN384" i="2"/>
  <c r="Y412" i="2"/>
  <c r="BP408" i="2"/>
  <c r="Z423" i="2"/>
  <c r="Y437" i="2"/>
  <c r="Z441" i="2"/>
  <c r="BP457" i="2"/>
  <c r="Z501" i="2"/>
  <c r="Z538" i="2"/>
  <c r="Z539" i="2" s="1"/>
  <c r="Y387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55" i="2" s="1"/>
  <c r="Z65" i="2"/>
  <c r="BP72" i="2"/>
  <c r="BN73" i="2"/>
  <c r="Y79" i="2"/>
  <c r="Y84" i="2"/>
  <c r="F561" i="2"/>
  <c r="BP91" i="2"/>
  <c r="BP95" i="2"/>
  <c r="BN96" i="2"/>
  <c r="Z97" i="2"/>
  <c r="Z99" i="2" s="1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Z331" i="2" s="1"/>
  <c r="BN345" i="2"/>
  <c r="BP345" i="2"/>
  <c r="Z345" i="2"/>
  <c r="Z347" i="2" s="1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Z266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Z386" i="2" s="1"/>
  <c r="BN385" i="2"/>
  <c r="Z389" i="2"/>
  <c r="BP389" i="2"/>
  <c r="Y392" i="2"/>
  <c r="Z396" i="2"/>
  <c r="BN408" i="2"/>
  <c r="Z418" i="2"/>
  <c r="BP429" i="2"/>
  <c r="Y438" i="2"/>
  <c r="Z435" i="2"/>
  <c r="BP436" i="2"/>
  <c r="Z453" i="2"/>
  <c r="BN457" i="2"/>
  <c r="Y458" i="2"/>
  <c r="BN469" i="2"/>
  <c r="Z479" i="2"/>
  <c r="Z480" i="2" s="1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Z199" i="2" s="1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69" i="2" s="1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Z454" i="2" s="1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51" i="2" l="1"/>
  <c r="Z322" i="2"/>
  <c r="Z292" i="2"/>
  <c r="X554" i="2"/>
  <c r="Z431" i="2"/>
  <c r="Z297" i="2"/>
  <c r="Z437" i="2"/>
  <c r="Z277" i="2"/>
  <c r="Z136" i="2"/>
  <c r="Z37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Z556" i="2" l="1"/>
  <c r="Y554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<sst xmlns="http://schemas.openxmlformats.org/spreadsheetml/2006/main" count="4202" uniqueCount="896">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</sst>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382" sqref="AA38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67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68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895</v>
      </c>
      <c r="I5" s="989"/>
      <c r="J5" s="989"/>
      <c r="K5" s="989"/>
      <c r="L5" s="989"/>
      <c r="M5" s="989"/>
      <c r="N5" s="69"/>
      <c r="P5" s="26" t="s">
        <v>4</v>
      </c>
      <c r="Q5" s="991">
        <v>46244</v>
      </c>
      <c r="R5" s="991"/>
      <c r="T5" s="992" t="s">
        <v>3</v>
      </c>
      <c r="U5" s="993"/>
      <c r="V5" s="994" t="s">
        <v>871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878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Понедельник</v>
      </c>
      <c r="R6" s="969"/>
      <c r="T6" s="970" t="s">
        <v>5</v>
      </c>
      <c r="U6" s="971"/>
      <c r="V6" s="972" t="s">
        <v>70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3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58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0.58333333333333337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71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55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72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73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74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75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61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59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66</v>
      </c>
      <c r="L17" s="928" t="s">
        <v>64</v>
      </c>
      <c r="M17" s="928" t="s">
        <v>2</v>
      </c>
      <c r="N17" s="928" t="s">
        <v>63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56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60</v>
      </c>
      <c r="AB17" s="934" t="s">
        <v>19</v>
      </c>
      <c r="AC17" s="934" t="s">
        <v>65</v>
      </c>
      <c r="AD17" s="936" t="s">
        <v>57</v>
      </c>
      <c r="AE17" s="937"/>
      <c r="AF17" s="938"/>
      <c r="AG17" s="77"/>
      <c r="BD17" s="76" t="s">
        <v>62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76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76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77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86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104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105</v>
      </c>
      <c r="B35" s="60" t="s">
        <v>106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91</v>
      </c>
      <c r="L35" s="35" t="s">
        <v>46</v>
      </c>
      <c r="M35" s="36" t="s">
        <v>109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107</v>
      </c>
      <c r="AG35" s="75"/>
      <c r="AJ35" s="79" t="s">
        <v>46</v>
      </c>
      <c r="AK35" s="79">
        <v>0</v>
      </c>
      <c r="BB35" s="96" t="s">
        <v>108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110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86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111</v>
      </c>
      <c r="B41" s="60" t="s">
        <v>112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97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113</v>
      </c>
      <c r="AG41" s="75"/>
      <c r="AJ41" s="79" t="s">
        <v>46</v>
      </c>
      <c r="AK41" s="79">
        <v>0</v>
      </c>
      <c r="BB41" s="98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114</v>
      </c>
      <c r="B42" s="60" t="s">
        <v>115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91</v>
      </c>
      <c r="L42" s="35" t="s">
        <v>46</v>
      </c>
      <c r="M42" s="36" t="s">
        <v>90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116</v>
      </c>
      <c r="AG42" s="75"/>
      <c r="AJ42" s="79" t="s">
        <v>46</v>
      </c>
      <c r="AK42" s="79">
        <v>0</v>
      </c>
      <c r="BB42" s="100" t="s">
        <v>67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117</v>
      </c>
      <c r="B43" s="60" t="s">
        <v>118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91</v>
      </c>
      <c r="L43" s="35" t="s">
        <v>46</v>
      </c>
      <c r="M43" s="36" t="s">
        <v>90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119</v>
      </c>
      <c r="AG43" s="75"/>
      <c r="AJ43" s="79" t="s">
        <v>46</v>
      </c>
      <c r="AK43" s="79">
        <v>0</v>
      </c>
      <c r="BB43" s="102" t="s">
        <v>67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120</v>
      </c>
      <c r="B44" s="60" t="s">
        <v>121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91</v>
      </c>
      <c r="L44" s="35" t="s">
        <v>46</v>
      </c>
      <c r="M44" s="36" t="s">
        <v>90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122</v>
      </c>
      <c r="AG44" s="75"/>
      <c r="AJ44" s="79" t="s">
        <v>46</v>
      </c>
      <c r="AK44" s="79">
        <v>0</v>
      </c>
      <c r="BB44" s="104" t="s">
        <v>67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123</v>
      </c>
      <c r="B45" s="60" t="s">
        <v>124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91</v>
      </c>
      <c r="L45" s="35" t="s">
        <v>46</v>
      </c>
      <c r="M45" s="36" t="s">
        <v>90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125</v>
      </c>
      <c r="AG45" s="75"/>
      <c r="AJ45" s="79" t="s">
        <v>46</v>
      </c>
      <c r="AK45" s="79">
        <v>0</v>
      </c>
      <c r="BB45" s="106" t="s">
        <v>67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126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127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128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129</v>
      </c>
      <c r="B51" s="60" t="s">
        <v>130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133</v>
      </c>
      <c r="L51" s="35" t="s">
        <v>46</v>
      </c>
      <c r="M51" s="36" t="s">
        <v>132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131</v>
      </c>
      <c r="AG51" s="75"/>
      <c r="AJ51" s="79" t="s">
        <v>46</v>
      </c>
      <c r="AK51" s="79">
        <v>0</v>
      </c>
      <c r="BB51" s="108" t="s">
        <v>67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134</v>
      </c>
      <c r="B52" s="60" t="s">
        <v>135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137</v>
      </c>
      <c r="L52" s="35" t="s">
        <v>46</v>
      </c>
      <c r="M52" s="36" t="s">
        <v>81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136</v>
      </c>
      <c r="AG52" s="75"/>
      <c r="AJ52" s="79" t="s">
        <v>46</v>
      </c>
      <c r="AK52" s="79">
        <v>0</v>
      </c>
      <c r="BB52" s="110" t="s">
        <v>67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138</v>
      </c>
      <c r="B53" s="60" t="s">
        <v>139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140</v>
      </c>
      <c r="L53" s="35" t="s">
        <v>46</v>
      </c>
      <c r="M53" s="36" t="s">
        <v>90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131</v>
      </c>
      <c r="AG53" s="75"/>
      <c r="AJ53" s="79" t="s">
        <v>46</v>
      </c>
      <c r="AK53" s="79">
        <v>0</v>
      </c>
      <c r="BB53" s="112" t="s">
        <v>67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141</v>
      </c>
      <c r="B54" s="60" t="s">
        <v>142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140</v>
      </c>
      <c r="L54" s="35" t="s">
        <v>46</v>
      </c>
      <c r="M54" s="36" t="s">
        <v>90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131</v>
      </c>
      <c r="AG54" s="75"/>
      <c r="AJ54" s="79" t="s">
        <v>46</v>
      </c>
      <c r="AK54" s="79">
        <v>0</v>
      </c>
      <c r="BB54" s="114" t="s">
        <v>67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143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128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144</v>
      </c>
      <c r="B59" s="60" t="s">
        <v>145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133</v>
      </c>
      <c r="L59" s="35" t="s">
        <v>46</v>
      </c>
      <c r="M59" s="36" t="s">
        <v>90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146</v>
      </c>
      <c r="AG59" s="75"/>
      <c r="AJ59" s="79" t="s">
        <v>46</v>
      </c>
      <c r="AK59" s="79">
        <v>0</v>
      </c>
      <c r="BB59" s="116" t="s">
        <v>67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144</v>
      </c>
      <c r="B60" s="60" t="s">
        <v>147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133</v>
      </c>
      <c r="L60" s="35" t="s">
        <v>46</v>
      </c>
      <c r="M60" s="36" t="s">
        <v>132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148</v>
      </c>
      <c r="AG60" s="75"/>
      <c r="AJ60" s="79" t="s">
        <v>46</v>
      </c>
      <c r="AK60" s="79">
        <v>0</v>
      </c>
      <c r="BB60" s="118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149</v>
      </c>
      <c r="B61" s="60" t="s">
        <v>150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133</v>
      </c>
      <c r="L61" s="35" t="s">
        <v>46</v>
      </c>
      <c r="M61" s="36" t="s">
        <v>132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151</v>
      </c>
      <c r="AG61" s="75"/>
      <c r="AJ61" s="79" t="s">
        <v>46</v>
      </c>
      <c r="AK61" s="79">
        <v>0</v>
      </c>
      <c r="BB61" s="120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152</v>
      </c>
      <c r="B62" s="60" t="s">
        <v>153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140</v>
      </c>
      <c r="L62" s="35" t="s">
        <v>46</v>
      </c>
      <c r="M62" s="36" t="s">
        <v>132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154</v>
      </c>
      <c r="AG62" s="75"/>
      <c r="AJ62" s="79" t="s">
        <v>46</v>
      </c>
      <c r="AK62" s="79">
        <v>0</v>
      </c>
      <c r="BB62" s="122" t="s">
        <v>67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152</v>
      </c>
      <c r="B63" s="60" t="s">
        <v>155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140</v>
      </c>
      <c r="L63" s="35" t="s">
        <v>46</v>
      </c>
      <c r="M63" s="36" t="s">
        <v>132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154</v>
      </c>
      <c r="AG63" s="75"/>
      <c r="AJ63" s="79" t="s">
        <v>46</v>
      </c>
      <c r="AK63" s="79">
        <v>0</v>
      </c>
      <c r="BB63" s="124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156</v>
      </c>
      <c r="B64" s="60" t="s">
        <v>157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140</v>
      </c>
      <c r="L64" s="35" t="s">
        <v>46</v>
      </c>
      <c r="M64" s="36" t="s">
        <v>132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159</v>
      </c>
      <c r="B65" s="60" t="s">
        <v>160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91</v>
      </c>
      <c r="L65" s="35" t="s">
        <v>46</v>
      </c>
      <c r="M65" s="36" t="s">
        <v>132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148</v>
      </c>
      <c r="AG65" s="75"/>
      <c r="AJ65" s="79" t="s">
        <v>46</v>
      </c>
      <c r="AK65" s="79">
        <v>0</v>
      </c>
      <c r="BB65" s="128" t="s">
        <v>67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161</v>
      </c>
      <c r="B66" s="60" t="s">
        <v>162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140</v>
      </c>
      <c r="L66" s="35" t="s">
        <v>46</v>
      </c>
      <c r="M66" s="36" t="s">
        <v>132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164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165</v>
      </c>
      <c r="B70" s="60" t="s">
        <v>166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133</v>
      </c>
      <c r="L70" s="35" t="s">
        <v>46</v>
      </c>
      <c r="M70" s="36" t="s">
        <v>132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167</v>
      </c>
      <c r="AG70" s="75"/>
      <c r="AJ70" s="79" t="s">
        <v>46</v>
      </c>
      <c r="AK70" s="79">
        <v>0</v>
      </c>
      <c r="BB70" s="132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168</v>
      </c>
      <c r="B71" s="60" t="s">
        <v>169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167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170</v>
      </c>
      <c r="B72" s="60" t="s">
        <v>171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137</v>
      </c>
      <c r="L72" s="35" t="s">
        <v>46</v>
      </c>
      <c r="M72" s="36" t="s">
        <v>81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172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173</v>
      </c>
      <c r="B73" s="60" t="s">
        <v>174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91</v>
      </c>
      <c r="L73" s="35" t="s">
        <v>46</v>
      </c>
      <c r="M73" s="36" t="s">
        <v>132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167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86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175</v>
      </c>
      <c r="B77" s="60" t="s">
        <v>176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91</v>
      </c>
      <c r="L77" s="35" t="s">
        <v>46</v>
      </c>
      <c r="M77" s="36" t="s">
        <v>90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177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178</v>
      </c>
      <c r="B78" s="60" t="s">
        <v>179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91</v>
      </c>
      <c r="L78" s="35" t="s">
        <v>46</v>
      </c>
      <c r="M78" s="36" t="s">
        <v>90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180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181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182</v>
      </c>
      <c r="B82" s="60" t="s">
        <v>183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133</v>
      </c>
      <c r="L82" s="35" t="s">
        <v>46</v>
      </c>
      <c r="M82" s="36" t="s">
        <v>97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184</v>
      </c>
      <c r="AG82" s="75"/>
      <c r="AJ82" s="79" t="s">
        <v>46</v>
      </c>
      <c r="AK82" s="79">
        <v>0</v>
      </c>
      <c r="BB82" s="144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185</v>
      </c>
      <c r="B83" s="60" t="s">
        <v>186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140</v>
      </c>
      <c r="L83" s="35" t="s">
        <v>46</v>
      </c>
      <c r="M83" s="36" t="s">
        <v>90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187</v>
      </c>
      <c r="AG83" s="75"/>
      <c r="AJ83" s="79" t="s">
        <v>46</v>
      </c>
      <c r="AK83" s="79">
        <v>0</v>
      </c>
      <c r="BB83" s="146" t="s">
        <v>67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188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128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189</v>
      </c>
      <c r="B88" s="60" t="s">
        <v>190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133</v>
      </c>
      <c r="L88" s="35" t="s">
        <v>46</v>
      </c>
      <c r="M88" s="36" t="s">
        <v>97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191</v>
      </c>
      <c r="AG88" s="75"/>
      <c r="AJ88" s="79" t="s">
        <v>46</v>
      </c>
      <c r="AK88" s="79">
        <v>0</v>
      </c>
      <c r="BB88" s="148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192</v>
      </c>
      <c r="B89" s="60" t="s">
        <v>193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137</v>
      </c>
      <c r="L89" s="35" t="s">
        <v>46</v>
      </c>
      <c r="M89" s="36" t="s">
        <v>81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194</v>
      </c>
      <c r="AG89" s="75"/>
      <c r="AJ89" s="79" t="s">
        <v>46</v>
      </c>
      <c r="AK89" s="79">
        <v>0</v>
      </c>
      <c r="BB89" s="150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195</v>
      </c>
      <c r="B90" s="60" t="s">
        <v>196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140</v>
      </c>
      <c r="L90" s="35" t="s">
        <v>46</v>
      </c>
      <c r="M90" s="36" t="s">
        <v>90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191</v>
      </c>
      <c r="AG90" s="75"/>
      <c r="AJ90" s="79" t="s">
        <v>46</v>
      </c>
      <c r="AK90" s="79">
        <v>0</v>
      </c>
      <c r="BB90" s="152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197</v>
      </c>
      <c r="B91" s="60" t="s">
        <v>198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140</v>
      </c>
      <c r="L91" s="35" t="s">
        <v>46</v>
      </c>
      <c r="M91" s="36" t="s">
        <v>97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191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86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199</v>
      </c>
      <c r="B95" s="60" t="s">
        <v>200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133</v>
      </c>
      <c r="L95" s="35" t="s">
        <v>46</v>
      </c>
      <c r="M95" s="36" t="s">
        <v>97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201</v>
      </c>
      <c r="AG95" s="75"/>
      <c r="AJ95" s="79" t="s">
        <v>46</v>
      </c>
      <c r="AK95" s="79">
        <v>0</v>
      </c>
      <c r="BB95" s="156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202</v>
      </c>
      <c r="B96" s="60" t="s">
        <v>203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201</v>
      </c>
      <c r="AG96" s="75"/>
      <c r="AJ96" s="79" t="s">
        <v>46</v>
      </c>
      <c r="AK96" s="79">
        <v>0</v>
      </c>
      <c r="BB96" s="158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204</v>
      </c>
      <c r="B97" s="60" t="s">
        <v>205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201</v>
      </c>
      <c r="AG97" s="75"/>
      <c r="AJ97" s="79" t="s">
        <v>46</v>
      </c>
      <c r="AK97" s="79">
        <v>0</v>
      </c>
      <c r="BB97" s="160" t="s">
        <v>67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208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209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128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133</v>
      </c>
      <c r="L103" s="35" t="s">
        <v>46</v>
      </c>
      <c r="M103" s="36" t="s">
        <v>132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212</v>
      </c>
      <c r="AG103" s="75"/>
      <c r="AJ103" s="79" t="s">
        <v>46</v>
      </c>
      <c r="AK103" s="79">
        <v>0</v>
      </c>
      <c r="BB103" s="164" t="s">
        <v>67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137</v>
      </c>
      <c r="L104" s="35" t="s">
        <v>46</v>
      </c>
      <c r="M104" s="36" t="s">
        <v>81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215</v>
      </c>
      <c r="AG104" s="75"/>
      <c r="AJ104" s="79" t="s">
        <v>46</v>
      </c>
      <c r="AK104" s="79">
        <v>0</v>
      </c>
      <c r="BB104" s="166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137</v>
      </c>
      <c r="L105" s="35" t="s">
        <v>46</v>
      </c>
      <c r="M105" s="36" t="s">
        <v>81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215</v>
      </c>
      <c r="AG105" s="75"/>
      <c r="AJ105" s="79" t="s">
        <v>46</v>
      </c>
      <c r="AK105" s="79">
        <v>0</v>
      </c>
      <c r="BB105" s="168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217</v>
      </c>
      <c r="B106" s="60" t="s">
        <v>218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140</v>
      </c>
      <c r="L106" s="35" t="s">
        <v>46</v>
      </c>
      <c r="M106" s="36" t="s">
        <v>90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212</v>
      </c>
      <c r="AG106" s="75"/>
      <c r="AJ106" s="79" t="s">
        <v>46</v>
      </c>
      <c r="AK106" s="79">
        <v>0</v>
      </c>
      <c r="BB106" s="170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219</v>
      </c>
      <c r="B107" s="60" t="s">
        <v>220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140</v>
      </c>
      <c r="L107" s="35" t="s">
        <v>46</v>
      </c>
      <c r="M107" s="36" t="s">
        <v>90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212</v>
      </c>
      <c r="AG107" s="75"/>
      <c r="AJ107" s="79" t="s">
        <v>46</v>
      </c>
      <c r="AK107" s="79">
        <v>0</v>
      </c>
      <c r="BB107" s="172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140</v>
      </c>
      <c r="L108" s="35" t="s">
        <v>46</v>
      </c>
      <c r="M108" s="36" t="s">
        <v>90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212</v>
      </c>
      <c r="AG108" s="75"/>
      <c r="AJ108" s="79" t="s">
        <v>46</v>
      </c>
      <c r="AK108" s="79">
        <v>0</v>
      </c>
      <c r="BB108" s="174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164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223</v>
      </c>
      <c r="B112" s="60" t="s">
        <v>224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133</v>
      </c>
      <c r="L112" s="35" t="s">
        <v>46</v>
      </c>
      <c r="M112" s="36" t="s">
        <v>132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225</v>
      </c>
      <c r="AG112" s="75"/>
      <c r="AJ112" s="79" t="s">
        <v>46</v>
      </c>
      <c r="AK112" s="79">
        <v>0</v>
      </c>
      <c r="BB112" s="176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226</v>
      </c>
      <c r="B113" s="60" t="s">
        <v>227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229</v>
      </c>
      <c r="L113" s="35" t="s">
        <v>46</v>
      </c>
      <c r="M113" s="36" t="s">
        <v>81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228</v>
      </c>
      <c r="AG113" s="75"/>
      <c r="AJ113" s="79" t="s">
        <v>46</v>
      </c>
      <c r="AK113" s="79">
        <v>0</v>
      </c>
      <c r="BB113" s="178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226</v>
      </c>
      <c r="B114" s="60" t="s">
        <v>230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229</v>
      </c>
      <c r="L114" s="35" t="s">
        <v>46</v>
      </c>
      <c r="M114" s="36" t="s">
        <v>81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228</v>
      </c>
      <c r="AG114" s="75"/>
      <c r="AJ114" s="79" t="s">
        <v>46</v>
      </c>
      <c r="AK114" s="79">
        <v>0</v>
      </c>
      <c r="BB114" s="180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231</v>
      </c>
      <c r="B115" s="60" t="s">
        <v>232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132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225</v>
      </c>
      <c r="AG115" s="75"/>
      <c r="AJ115" s="79" t="s">
        <v>46</v>
      </c>
      <c r="AK115" s="79">
        <v>0</v>
      </c>
      <c r="BB115" s="182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132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225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86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235</v>
      </c>
      <c r="B120" s="60" t="s">
        <v>236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133</v>
      </c>
      <c r="L120" s="35" t="s">
        <v>46</v>
      </c>
      <c r="M120" s="36" t="s">
        <v>97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237</v>
      </c>
      <c r="AG120" s="75"/>
      <c r="AJ120" s="79" t="s">
        <v>46</v>
      </c>
      <c r="AK120" s="79">
        <v>0</v>
      </c>
      <c r="BB120" s="186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238</v>
      </c>
      <c r="B121" s="60" t="s">
        <v>239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97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237</v>
      </c>
      <c r="AG121" s="75"/>
      <c r="AJ121" s="79" t="s">
        <v>46</v>
      </c>
      <c r="AK121" s="79">
        <v>0</v>
      </c>
      <c r="BB121" s="188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240</v>
      </c>
      <c r="B122" s="60" t="s">
        <v>241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97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237</v>
      </c>
      <c r="AG122" s="75"/>
      <c r="AJ122" s="79" t="s">
        <v>46</v>
      </c>
      <c r="AK122" s="79">
        <v>0</v>
      </c>
      <c r="BB122" s="190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242</v>
      </c>
      <c r="B123" s="60" t="s">
        <v>243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244</v>
      </c>
      <c r="AG123" s="75"/>
      <c r="AJ123" s="79" t="s">
        <v>46</v>
      </c>
      <c r="AK123" s="79">
        <v>0</v>
      </c>
      <c r="BB123" s="192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181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245</v>
      </c>
      <c r="B127" s="60" t="s">
        <v>246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247</v>
      </c>
      <c r="AG127" s="75"/>
      <c r="AJ127" s="79" t="s">
        <v>46</v>
      </c>
      <c r="AK127" s="79">
        <v>0</v>
      </c>
      <c r="BB127" s="194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248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128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249</v>
      </c>
      <c r="B132" s="60" t="s">
        <v>250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133</v>
      </c>
      <c r="L132" s="35" t="s">
        <v>46</v>
      </c>
      <c r="M132" s="36" t="s">
        <v>253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252</v>
      </c>
      <c r="AC132" s="195" t="s">
        <v>251</v>
      </c>
      <c r="AG132" s="75"/>
      <c r="AJ132" s="79" t="s">
        <v>46</v>
      </c>
      <c r="AK132" s="79">
        <v>0</v>
      </c>
      <c r="BB132" s="196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254</v>
      </c>
      <c r="B133" s="60" t="s">
        <v>255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140</v>
      </c>
      <c r="L133" s="35" t="s">
        <v>46</v>
      </c>
      <c r="M133" s="36" t="s">
        <v>253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252</v>
      </c>
      <c r="AC133" s="197" t="s">
        <v>251</v>
      </c>
      <c r="AG133" s="75"/>
      <c r="AJ133" s="79" t="s">
        <v>46</v>
      </c>
      <c r="AK133" s="79">
        <v>0</v>
      </c>
      <c r="BB133" s="198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256</v>
      </c>
      <c r="B134" s="60" t="s">
        <v>257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109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258</v>
      </c>
      <c r="AG134" s="75"/>
      <c r="AJ134" s="79" t="s">
        <v>46</v>
      </c>
      <c r="AK134" s="79">
        <v>0</v>
      </c>
      <c r="BB134" s="200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256</v>
      </c>
      <c r="B135" s="60" t="s">
        <v>259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91</v>
      </c>
      <c r="L135" s="35" t="s">
        <v>46</v>
      </c>
      <c r="M135" s="36" t="s">
        <v>109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258</v>
      </c>
      <c r="AG135" s="75"/>
      <c r="AJ135" s="79" t="s">
        <v>46</v>
      </c>
      <c r="AK135" s="79">
        <v>0</v>
      </c>
      <c r="BB135" s="202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77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260</v>
      </c>
      <c r="B139" s="60" t="s">
        <v>261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133</v>
      </c>
      <c r="L139" s="35" t="s">
        <v>46</v>
      </c>
      <c r="M139" s="36" t="s">
        <v>253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252</v>
      </c>
      <c r="AC139" s="203" t="s">
        <v>262</v>
      </c>
      <c r="AG139" s="75"/>
      <c r="AJ139" s="79" t="s">
        <v>46</v>
      </c>
      <c r="AK139" s="79">
        <v>0</v>
      </c>
      <c r="BB139" s="204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263</v>
      </c>
      <c r="B140" s="60" t="s">
        <v>264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82</v>
      </c>
      <c r="L140" s="35" t="s">
        <v>46</v>
      </c>
      <c r="M140" s="36" t="s">
        <v>253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252</v>
      </c>
      <c r="AC140" s="205" t="s">
        <v>262</v>
      </c>
      <c r="AG140" s="75"/>
      <c r="AJ140" s="79" t="s">
        <v>46</v>
      </c>
      <c r="AK140" s="79">
        <v>0</v>
      </c>
      <c r="BB140" s="206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265</v>
      </c>
      <c r="B141" s="60" t="s">
        <v>266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91</v>
      </c>
      <c r="L141" s="35" t="s">
        <v>46</v>
      </c>
      <c r="M141" s="36" t="s">
        <v>109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267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265</v>
      </c>
      <c r="B142" s="60" t="s">
        <v>268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91</v>
      </c>
      <c r="L142" s="35" t="s">
        <v>46</v>
      </c>
      <c r="M142" s="36" t="s">
        <v>109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267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86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269</v>
      </c>
      <c r="B146" s="60" t="s">
        <v>270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133</v>
      </c>
      <c r="L146" s="35" t="s">
        <v>46</v>
      </c>
      <c r="M146" s="36" t="s">
        <v>253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252</v>
      </c>
      <c r="AC146" s="211" t="s">
        <v>251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271</v>
      </c>
      <c r="B147" s="60" t="s">
        <v>272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91</v>
      </c>
      <c r="L147" s="35" t="s">
        <v>46</v>
      </c>
      <c r="M147" s="36" t="s">
        <v>253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252</v>
      </c>
      <c r="AC147" s="213" t="s">
        <v>251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273</v>
      </c>
      <c r="B148" s="60" t="s">
        <v>274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109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258</v>
      </c>
      <c r="AG148" s="75"/>
      <c r="AJ148" s="79" t="s">
        <v>46</v>
      </c>
      <c r="AK148" s="79">
        <v>0</v>
      </c>
      <c r="BB148" s="216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273</v>
      </c>
      <c r="B149" s="60" t="s">
        <v>275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109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258</v>
      </c>
      <c r="AG149" s="75"/>
      <c r="AJ149" s="79" t="s">
        <v>46</v>
      </c>
      <c r="AK149" s="79">
        <v>0</v>
      </c>
      <c r="BB149" s="218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276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86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277</v>
      </c>
      <c r="B154" s="60" t="s">
        <v>278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279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280</v>
      </c>
      <c r="B155" s="60" t="s">
        <v>281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282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283</v>
      </c>
      <c r="B156" s="60" t="s">
        <v>284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285</v>
      </c>
      <c r="AG156" s="75"/>
      <c r="AJ156" s="79" t="s">
        <v>46</v>
      </c>
      <c r="AK156" s="79">
        <v>0</v>
      </c>
      <c r="BB156" s="224" t="s">
        <v>67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286</v>
      </c>
      <c r="B157" s="60" t="s">
        <v>287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288</v>
      </c>
      <c r="AG157" s="75"/>
      <c r="AJ157" s="79" t="s">
        <v>46</v>
      </c>
      <c r="AK157" s="79">
        <v>0</v>
      </c>
      <c r="BB157" s="226" t="s">
        <v>67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104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289</v>
      </c>
      <c r="B161" s="60" t="s">
        <v>290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293</v>
      </c>
      <c r="L161" s="35" t="s">
        <v>46</v>
      </c>
      <c r="M161" s="36" t="s">
        <v>292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291</v>
      </c>
      <c r="AG161" s="75"/>
      <c r="AJ161" s="79" t="s">
        <v>46</v>
      </c>
      <c r="AK161" s="79">
        <v>0</v>
      </c>
      <c r="BB161" s="228" t="s">
        <v>108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126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128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294</v>
      </c>
      <c r="B166" s="60" t="s">
        <v>295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252</v>
      </c>
      <c r="AC166" s="229" t="s">
        <v>296</v>
      </c>
      <c r="AG166" s="75"/>
      <c r="AJ166" s="79" t="s">
        <v>46</v>
      </c>
      <c r="AK166" s="79">
        <v>0</v>
      </c>
      <c r="BB166" s="230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297</v>
      </c>
      <c r="B167" s="60" t="s">
        <v>298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133</v>
      </c>
      <c r="L167" s="35" t="s">
        <v>46</v>
      </c>
      <c r="M167" s="36" t="s">
        <v>132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299</v>
      </c>
      <c r="AG167" s="75"/>
      <c r="AJ167" s="79" t="s">
        <v>46</v>
      </c>
      <c r="AK167" s="79">
        <v>0</v>
      </c>
      <c r="BB167" s="232" t="s">
        <v>67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300</v>
      </c>
      <c r="B168" s="60" t="s">
        <v>301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140</v>
      </c>
      <c r="L168" s="35" t="s">
        <v>46</v>
      </c>
      <c r="M168" s="36" t="s">
        <v>132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302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164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303</v>
      </c>
      <c r="B172" s="60" t="s">
        <v>304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82</v>
      </c>
      <c r="L172" s="35" t="s">
        <v>46</v>
      </c>
      <c r="M172" s="36" t="s">
        <v>132</v>
      </c>
      <c r="N172" s="36"/>
      <c r="O172" s="35">
        <v>55</v>
      </c>
      <c r="P172" s="852" t="s">
        <v>305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252</v>
      </c>
      <c r="AC172" s="235" t="s">
        <v>306</v>
      </c>
      <c r="AG172" s="75"/>
      <c r="AJ172" s="79" t="s">
        <v>46</v>
      </c>
      <c r="AK172" s="79">
        <v>0</v>
      </c>
      <c r="BB172" s="236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82</v>
      </c>
      <c r="L173" s="35" t="s">
        <v>46</v>
      </c>
      <c r="M173" s="36" t="s">
        <v>81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309</v>
      </c>
      <c r="AG173" s="75"/>
      <c r="AJ173" s="79" t="s">
        <v>46</v>
      </c>
      <c r="AK173" s="79">
        <v>0</v>
      </c>
      <c r="BB173" s="238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77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310</v>
      </c>
      <c r="B177" s="60" t="s">
        <v>311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140</v>
      </c>
      <c r="L177" s="35" t="s">
        <v>46</v>
      </c>
      <c r="M177" s="36" t="s">
        <v>81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312</v>
      </c>
      <c r="AG177" s="75"/>
      <c r="AJ177" s="79" t="s">
        <v>46</v>
      </c>
      <c r="AK177" s="79">
        <v>0</v>
      </c>
      <c r="BB177" s="240" t="s">
        <v>67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313</v>
      </c>
      <c r="B178" s="60" t="s">
        <v>314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140</v>
      </c>
      <c r="L178" s="35" t="s">
        <v>46</v>
      </c>
      <c r="M178" s="36" t="s">
        <v>81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315</v>
      </c>
      <c r="AG178" s="75"/>
      <c r="AJ178" s="79" t="s">
        <v>46</v>
      </c>
      <c r="AK178" s="79">
        <v>0</v>
      </c>
      <c r="BB178" s="242" t="s">
        <v>67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316</v>
      </c>
      <c r="B179" s="60" t="s">
        <v>317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140</v>
      </c>
      <c r="L179" s="35" t="s">
        <v>46</v>
      </c>
      <c r="M179" s="36" t="s">
        <v>81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318</v>
      </c>
      <c r="AG179" s="75"/>
      <c r="AJ179" s="79" t="s">
        <v>46</v>
      </c>
      <c r="AK179" s="79">
        <v>0</v>
      </c>
      <c r="BB179" s="244" t="s">
        <v>67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319</v>
      </c>
      <c r="B180" s="60" t="s">
        <v>320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140</v>
      </c>
      <c r="L180" s="35" t="s">
        <v>46</v>
      </c>
      <c r="M180" s="36" t="s">
        <v>81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321</v>
      </c>
      <c r="AG180" s="75"/>
      <c r="AJ180" s="79" t="s">
        <v>46</v>
      </c>
      <c r="AK180" s="79">
        <v>0</v>
      </c>
      <c r="BB180" s="246" t="s">
        <v>67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322</v>
      </c>
      <c r="B181" s="60" t="s">
        <v>323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137</v>
      </c>
      <c r="L181" s="35" t="s">
        <v>46</v>
      </c>
      <c r="M181" s="36" t="s">
        <v>81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324</v>
      </c>
      <c r="AG181" s="75"/>
      <c r="AJ181" s="79" t="s">
        <v>46</v>
      </c>
      <c r="AK181" s="79">
        <v>0</v>
      </c>
      <c r="BB181" s="248" t="s">
        <v>67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325</v>
      </c>
      <c r="B182" s="60" t="s">
        <v>326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312</v>
      </c>
      <c r="AG182" s="75"/>
      <c r="AJ182" s="79" t="s">
        <v>46</v>
      </c>
      <c r="AK182" s="79">
        <v>0</v>
      </c>
      <c r="BB182" s="250" t="s">
        <v>67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327</v>
      </c>
      <c r="B183" s="60" t="s">
        <v>328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137</v>
      </c>
      <c r="L183" s="35" t="s">
        <v>46</v>
      </c>
      <c r="M183" s="36" t="s">
        <v>81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329</v>
      </c>
      <c r="AG183" s="75"/>
      <c r="AJ183" s="79" t="s">
        <v>46</v>
      </c>
      <c r="AK183" s="79">
        <v>0</v>
      </c>
      <c r="BB183" s="252" t="s">
        <v>67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327</v>
      </c>
      <c r="B184" s="60" t="s">
        <v>330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137</v>
      </c>
      <c r="L184" s="35" t="s">
        <v>46</v>
      </c>
      <c r="M184" s="36" t="s">
        <v>81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329</v>
      </c>
      <c r="AG184" s="75"/>
      <c r="AJ184" s="79" t="s">
        <v>46</v>
      </c>
      <c r="AK184" s="79">
        <v>0</v>
      </c>
      <c r="BB184" s="254" t="s">
        <v>67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331</v>
      </c>
      <c r="B185" s="60" t="s">
        <v>332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318</v>
      </c>
      <c r="AG185" s="75"/>
      <c r="AJ185" s="79" t="s">
        <v>46</v>
      </c>
      <c r="AK185" s="79">
        <v>0</v>
      </c>
      <c r="BB185" s="256" t="s">
        <v>67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333</v>
      </c>
      <c r="B186" s="60" t="s">
        <v>334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137</v>
      </c>
      <c r="L186" s="35" t="s">
        <v>46</v>
      </c>
      <c r="M186" s="36" t="s">
        <v>81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335</v>
      </c>
      <c r="AG186" s="75"/>
      <c r="AJ186" s="79" t="s">
        <v>46</v>
      </c>
      <c r="AK186" s="79">
        <v>0</v>
      </c>
      <c r="BB186" s="258" t="s">
        <v>67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336</v>
      </c>
      <c r="B187" s="60" t="s">
        <v>337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321</v>
      </c>
      <c r="AG187" s="75"/>
      <c r="AJ187" s="79" t="s">
        <v>46</v>
      </c>
      <c r="AK187" s="79">
        <v>0</v>
      </c>
      <c r="BB187" s="260" t="s">
        <v>67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86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338</v>
      </c>
      <c r="B191" s="60" t="s">
        <v>339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91</v>
      </c>
      <c r="L191" s="35" t="s">
        <v>46</v>
      </c>
      <c r="M191" s="36" t="s">
        <v>97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340</v>
      </c>
      <c r="AG191" s="75"/>
      <c r="AJ191" s="79" t="s">
        <v>46</v>
      </c>
      <c r="AK191" s="79">
        <v>0</v>
      </c>
      <c r="BB191" s="262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341</v>
      </c>
      <c r="B192" s="60" t="s">
        <v>342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91</v>
      </c>
      <c r="L192" s="35" t="s">
        <v>46</v>
      </c>
      <c r="M192" s="36" t="s">
        <v>97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343</v>
      </c>
      <c r="AG192" s="75"/>
      <c r="AJ192" s="79" t="s">
        <v>46</v>
      </c>
      <c r="AK192" s="79">
        <v>0</v>
      </c>
      <c r="BB192" s="264" t="s">
        <v>67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344</v>
      </c>
      <c r="B193" s="60" t="s">
        <v>345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91</v>
      </c>
      <c r="L193" s="35" t="s">
        <v>46</v>
      </c>
      <c r="M193" s="36" t="s">
        <v>90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346</v>
      </c>
      <c r="AG193" s="75"/>
      <c r="AJ193" s="79" t="s">
        <v>46</v>
      </c>
      <c r="AK193" s="79">
        <v>0</v>
      </c>
      <c r="BB193" s="266" t="s">
        <v>67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104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347</v>
      </c>
      <c r="B197" s="60" t="s">
        <v>348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350</v>
      </c>
      <c r="L197" s="35" t="s">
        <v>46</v>
      </c>
      <c r="M197" s="36" t="s">
        <v>292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349</v>
      </c>
      <c r="AG197" s="75"/>
      <c r="AJ197" s="79" t="s">
        <v>46</v>
      </c>
      <c r="AK197" s="79">
        <v>0</v>
      </c>
      <c r="BB197" s="26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351</v>
      </c>
      <c r="B198" s="60" t="s">
        <v>352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350</v>
      </c>
      <c r="L198" s="35" t="s">
        <v>46</v>
      </c>
      <c r="M198" s="36" t="s">
        <v>292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353</v>
      </c>
      <c r="AG198" s="75"/>
      <c r="AJ198" s="79" t="s">
        <v>46</v>
      </c>
      <c r="AK198" s="79">
        <v>0</v>
      </c>
      <c r="BB198" s="27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354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355</v>
      </c>
      <c r="B202" s="60" t="s">
        <v>356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350</v>
      </c>
      <c r="L202" s="35" t="s">
        <v>46</v>
      </c>
      <c r="M202" s="36" t="s">
        <v>292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357</v>
      </c>
      <c r="AG202" s="75"/>
      <c r="AJ202" s="79" t="s">
        <v>46</v>
      </c>
      <c r="AK202" s="79">
        <v>0</v>
      </c>
      <c r="BB202" s="272" t="s">
        <v>67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358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359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128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360</v>
      </c>
      <c r="B208" s="60" t="s">
        <v>361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133</v>
      </c>
      <c r="L208" s="35" t="s">
        <v>46</v>
      </c>
      <c r="M208" s="36" t="s">
        <v>90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131</v>
      </c>
      <c r="AG208" s="75"/>
      <c r="AJ208" s="79" t="s">
        <v>46</v>
      </c>
      <c r="AK208" s="79">
        <v>0</v>
      </c>
      <c r="BB208" s="274" t="s">
        <v>67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362</v>
      </c>
      <c r="B209" s="60" t="s">
        <v>363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133</v>
      </c>
      <c r="L209" s="35" t="s">
        <v>46</v>
      </c>
      <c r="M209" s="36" t="s">
        <v>90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364</v>
      </c>
      <c r="AG209" s="75"/>
      <c r="AJ209" s="79" t="s">
        <v>46</v>
      </c>
      <c r="AK209" s="79">
        <v>0</v>
      </c>
      <c r="BB209" s="276" t="s">
        <v>67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365</v>
      </c>
      <c r="B210" s="60" t="s">
        <v>366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133</v>
      </c>
      <c r="L210" s="35" t="s">
        <v>46</v>
      </c>
      <c r="M210" s="36" t="s">
        <v>90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367</v>
      </c>
      <c r="AG210" s="75"/>
      <c r="AJ210" s="79" t="s">
        <v>46</v>
      </c>
      <c r="AK210" s="79">
        <v>0</v>
      </c>
      <c r="BB210" s="278" t="s">
        <v>67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368</v>
      </c>
      <c r="B211" s="60" t="s">
        <v>369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133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370</v>
      </c>
      <c r="AG211" s="75"/>
      <c r="AJ211" s="79" t="s">
        <v>46</v>
      </c>
      <c r="AK211" s="79">
        <v>0</v>
      </c>
      <c r="BB211" s="280" t="s">
        <v>67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371</v>
      </c>
      <c r="B212" s="60" t="s">
        <v>372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133</v>
      </c>
      <c r="L212" s="35" t="s">
        <v>46</v>
      </c>
      <c r="M212" s="36" t="s">
        <v>90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373</v>
      </c>
      <c r="AG212" s="75"/>
      <c r="AJ212" s="79" t="s">
        <v>46</v>
      </c>
      <c r="AK212" s="79">
        <v>0</v>
      </c>
      <c r="BB212" s="282" t="s">
        <v>67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374</v>
      </c>
      <c r="B213" s="60" t="s">
        <v>375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133</v>
      </c>
      <c r="L213" s="35" t="s">
        <v>46</v>
      </c>
      <c r="M213" s="36" t="s">
        <v>90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376</v>
      </c>
      <c r="AG213" s="75"/>
      <c r="AJ213" s="79" t="s">
        <v>46</v>
      </c>
      <c r="AK213" s="79">
        <v>0</v>
      </c>
      <c r="BB213" s="284" t="s">
        <v>67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377</v>
      </c>
      <c r="B214" s="60" t="s">
        <v>378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133</v>
      </c>
      <c r="L214" s="35" t="s">
        <v>46</v>
      </c>
      <c r="M214" s="36" t="s">
        <v>90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379</v>
      </c>
      <c r="AG214" s="75"/>
      <c r="AJ214" s="79" t="s">
        <v>46</v>
      </c>
      <c r="AK214" s="79">
        <v>0</v>
      </c>
      <c r="BB214" s="286" t="s">
        <v>67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380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164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381</v>
      </c>
      <c r="B219" s="60" t="s">
        <v>382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383</v>
      </c>
      <c r="AG219" s="75"/>
      <c r="AJ219" s="79" t="s">
        <v>46</v>
      </c>
      <c r="AK219" s="79">
        <v>0</v>
      </c>
      <c r="BB219" s="288" t="s">
        <v>67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77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384</v>
      </c>
      <c r="B223" s="60" t="s">
        <v>385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140</v>
      </c>
      <c r="L223" s="35" t="s">
        <v>46</v>
      </c>
      <c r="M223" s="36" t="s">
        <v>81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386</v>
      </c>
      <c r="AG223" s="75"/>
      <c r="AJ223" s="79" t="s">
        <v>46</v>
      </c>
      <c r="AK223" s="79">
        <v>0</v>
      </c>
      <c r="BB223" s="290" t="s">
        <v>67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387</v>
      </c>
      <c r="B224" s="60" t="s">
        <v>388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140</v>
      </c>
      <c r="L224" s="35" t="s">
        <v>46</v>
      </c>
      <c r="M224" s="36" t="s">
        <v>81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389</v>
      </c>
      <c r="AG224" s="75"/>
      <c r="AJ224" s="79" t="s">
        <v>46</v>
      </c>
      <c r="AK224" s="79">
        <v>0</v>
      </c>
      <c r="BB224" s="292" t="s">
        <v>67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390</v>
      </c>
      <c r="B225" s="60" t="s">
        <v>391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140</v>
      </c>
      <c r="L225" s="35" t="s">
        <v>46</v>
      </c>
      <c r="M225" s="36" t="s">
        <v>81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392</v>
      </c>
      <c r="AG225" s="75"/>
      <c r="AJ225" s="79" t="s">
        <v>46</v>
      </c>
      <c r="AK225" s="79">
        <v>0</v>
      </c>
      <c r="BB225" s="294" t="s">
        <v>67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393</v>
      </c>
      <c r="B226" s="60" t="s">
        <v>394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82</v>
      </c>
      <c r="L226" s="35" t="s">
        <v>46</v>
      </c>
      <c r="M226" s="36" t="s">
        <v>81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395</v>
      </c>
      <c r="AG226" s="75"/>
      <c r="AJ226" s="79" t="s">
        <v>46</v>
      </c>
      <c r="AK226" s="79">
        <v>0</v>
      </c>
      <c r="BB226" s="296" t="s">
        <v>67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396</v>
      </c>
      <c r="B227" s="60" t="s">
        <v>397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386</v>
      </c>
      <c r="AG227" s="75"/>
      <c r="AJ227" s="79" t="s">
        <v>46</v>
      </c>
      <c r="AK227" s="79">
        <v>0</v>
      </c>
      <c r="BB227" s="298" t="s">
        <v>67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398</v>
      </c>
      <c r="B228" s="60" t="s">
        <v>399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400</v>
      </c>
      <c r="AG228" s="75"/>
      <c r="AJ228" s="79" t="s">
        <v>46</v>
      </c>
      <c r="AK228" s="79">
        <v>0</v>
      </c>
      <c r="BB228" s="300" t="s">
        <v>67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401</v>
      </c>
      <c r="B229" s="60" t="s">
        <v>402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389</v>
      </c>
      <c r="AG229" s="75"/>
      <c r="AJ229" s="79" t="s">
        <v>46</v>
      </c>
      <c r="AK229" s="79">
        <v>0</v>
      </c>
      <c r="BB229" s="302" t="s">
        <v>67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403</v>
      </c>
      <c r="B230" s="60" t="s">
        <v>404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405</v>
      </c>
      <c r="AG230" s="75"/>
      <c r="AJ230" s="79" t="s">
        <v>46</v>
      </c>
      <c r="AK230" s="79">
        <v>0</v>
      </c>
      <c r="BB230" s="304" t="s">
        <v>67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406</v>
      </c>
      <c r="B231" s="60" t="s">
        <v>407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408</v>
      </c>
      <c r="AG231" s="75"/>
      <c r="AJ231" s="79" t="s">
        <v>46</v>
      </c>
      <c r="AK231" s="79">
        <v>0</v>
      </c>
      <c r="BB231" s="306" t="s">
        <v>67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409</v>
      </c>
      <c r="B232" s="60" t="s">
        <v>410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411</v>
      </c>
      <c r="AG232" s="75"/>
      <c r="AJ232" s="79" t="s">
        <v>46</v>
      </c>
      <c r="AK232" s="79">
        <v>0</v>
      </c>
      <c r="BB232" s="308" t="s">
        <v>67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412</v>
      </c>
      <c r="B233" s="60" t="s">
        <v>413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137</v>
      </c>
      <c r="L233" s="35" t="s">
        <v>46</v>
      </c>
      <c r="M233" s="36" t="s">
        <v>81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414</v>
      </c>
      <c r="AG233" s="75"/>
      <c r="AJ233" s="79" t="s">
        <v>46</v>
      </c>
      <c r="AK233" s="79">
        <v>0</v>
      </c>
      <c r="BB233" s="310" t="s">
        <v>67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415</v>
      </c>
      <c r="B234" s="60" t="s">
        <v>416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392</v>
      </c>
      <c r="AG234" s="75"/>
      <c r="AJ234" s="79" t="s">
        <v>46</v>
      </c>
      <c r="AK234" s="79">
        <v>0</v>
      </c>
      <c r="BB234" s="312" t="s">
        <v>67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417</v>
      </c>
      <c r="B235" s="60" t="s">
        <v>418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91</v>
      </c>
      <c r="L235" s="35" t="s">
        <v>46</v>
      </c>
      <c r="M235" s="36" t="s">
        <v>81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392</v>
      </c>
      <c r="AG235" s="75"/>
      <c r="AJ235" s="79" t="s">
        <v>46</v>
      </c>
      <c r="AK235" s="79">
        <v>0</v>
      </c>
      <c r="BB235" s="314" t="s">
        <v>67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419</v>
      </c>
      <c r="B236" s="60" t="s">
        <v>420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421</v>
      </c>
      <c r="AG236" s="75"/>
      <c r="AJ236" s="79" t="s">
        <v>46</v>
      </c>
      <c r="AK236" s="79">
        <v>0</v>
      </c>
      <c r="BB236" s="316" t="s">
        <v>67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86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422</v>
      </c>
      <c r="B240" s="60" t="s">
        <v>423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133</v>
      </c>
      <c r="L240" s="35" t="s">
        <v>46</v>
      </c>
      <c r="M240" s="36" t="s">
        <v>97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424</v>
      </c>
      <c r="AG240" s="75"/>
      <c r="AJ240" s="79" t="s">
        <v>46</v>
      </c>
      <c r="AK240" s="79">
        <v>0</v>
      </c>
      <c r="BB240" s="318" t="s">
        <v>67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425</v>
      </c>
      <c r="B241" s="60" t="s">
        <v>426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133</v>
      </c>
      <c r="L241" s="35" t="s">
        <v>46</v>
      </c>
      <c r="M241" s="36" t="s">
        <v>97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427</v>
      </c>
      <c r="AG241" s="75"/>
      <c r="AJ241" s="79" t="s">
        <v>46</v>
      </c>
      <c r="AK241" s="79">
        <v>0</v>
      </c>
      <c r="BB241" s="320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428</v>
      </c>
      <c r="B242" s="60" t="s">
        <v>429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140</v>
      </c>
      <c r="L242" s="35" t="s">
        <v>46</v>
      </c>
      <c r="M242" s="36" t="s">
        <v>97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430</v>
      </c>
      <c r="AG242" s="75"/>
      <c r="AJ242" s="79" t="s">
        <v>46</v>
      </c>
      <c r="AK242" s="79">
        <v>0</v>
      </c>
      <c r="BB242" s="322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140</v>
      </c>
      <c r="L243" s="35" t="s">
        <v>46</v>
      </c>
      <c r="M243" s="36" t="s">
        <v>97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433</v>
      </c>
      <c r="AG243" s="75"/>
      <c r="AJ243" s="79" t="s">
        <v>46</v>
      </c>
      <c r="AK243" s="79">
        <v>0</v>
      </c>
      <c r="BB243" s="324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434</v>
      </c>
      <c r="B244" s="60" t="s">
        <v>435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140</v>
      </c>
      <c r="L244" s="35" t="s">
        <v>46</v>
      </c>
      <c r="M244" s="36" t="s">
        <v>97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427</v>
      </c>
      <c r="AG244" s="75"/>
      <c r="AJ244" s="79" t="s">
        <v>46</v>
      </c>
      <c r="AK244" s="79">
        <v>0</v>
      </c>
      <c r="BB244" s="326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104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436</v>
      </c>
      <c r="B248" s="60" t="s">
        <v>437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350</v>
      </c>
      <c r="L248" s="35" t="s">
        <v>46</v>
      </c>
      <c r="M248" s="36" t="s">
        <v>292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438</v>
      </c>
      <c r="AG248" s="75"/>
      <c r="AJ248" s="79" t="s">
        <v>46</v>
      </c>
      <c r="AK248" s="79">
        <v>0</v>
      </c>
      <c r="BB248" s="328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439</v>
      </c>
      <c r="B249" s="60" t="s">
        <v>440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350</v>
      </c>
      <c r="L249" s="35" t="s">
        <v>46</v>
      </c>
      <c r="M249" s="36" t="s">
        <v>292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441</v>
      </c>
      <c r="AG249" s="75"/>
      <c r="AJ249" s="79" t="s">
        <v>46</v>
      </c>
      <c r="AK249" s="79">
        <v>0</v>
      </c>
      <c r="BB249" s="330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442</v>
      </c>
      <c r="B250" s="60" t="s">
        <v>443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350</v>
      </c>
      <c r="L250" s="35" t="s">
        <v>46</v>
      </c>
      <c r="M250" s="36" t="s">
        <v>292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441</v>
      </c>
      <c r="AG250" s="75"/>
      <c r="AJ250" s="79" t="s">
        <v>46</v>
      </c>
      <c r="AK250" s="79">
        <v>0</v>
      </c>
      <c r="BB250" s="332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444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445</v>
      </c>
      <c r="B254" s="60" t="s">
        <v>446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350</v>
      </c>
      <c r="L254" s="35" t="s">
        <v>46</v>
      </c>
      <c r="M254" s="36" t="s">
        <v>292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441</v>
      </c>
      <c r="AG254" s="75"/>
      <c r="AJ254" s="79" t="s">
        <v>46</v>
      </c>
      <c r="AK254" s="79">
        <v>0</v>
      </c>
      <c r="BB254" s="334" t="s">
        <v>67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447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128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448</v>
      </c>
      <c r="B259" s="60" t="s">
        <v>449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133</v>
      </c>
      <c r="L259" s="35" t="s">
        <v>46</v>
      </c>
      <c r="M259" s="36" t="s">
        <v>132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450</v>
      </c>
      <c r="AG259" s="75"/>
      <c r="AJ259" s="79" t="s">
        <v>46</v>
      </c>
      <c r="AK259" s="79">
        <v>0</v>
      </c>
      <c r="BB259" s="336" t="s">
        <v>67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451</v>
      </c>
      <c r="B260" s="60" t="s">
        <v>452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91</v>
      </c>
      <c r="L260" s="35" t="s">
        <v>46</v>
      </c>
      <c r="M260" s="36" t="s">
        <v>132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450</v>
      </c>
      <c r="AG260" s="75"/>
      <c r="AJ260" s="79" t="s">
        <v>46</v>
      </c>
      <c r="AK260" s="79">
        <v>0</v>
      </c>
      <c r="BB260" s="338" t="s">
        <v>67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164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453</v>
      </c>
      <c r="B264" s="60" t="s">
        <v>454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133</v>
      </c>
      <c r="L264" s="35" t="s">
        <v>46</v>
      </c>
      <c r="M264" s="36" t="s">
        <v>132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455</v>
      </c>
      <c r="AG264" s="75"/>
      <c r="AJ264" s="79" t="s">
        <v>46</v>
      </c>
      <c r="AK264" s="79">
        <v>0</v>
      </c>
      <c r="BB264" s="340" t="s">
        <v>67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456</v>
      </c>
      <c r="B265" s="60" t="s">
        <v>457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91</v>
      </c>
      <c r="L265" s="35" t="s">
        <v>46</v>
      </c>
      <c r="M265" s="36" t="s">
        <v>132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455</v>
      </c>
      <c r="AG265" s="75"/>
      <c r="AJ265" s="79" t="s">
        <v>46</v>
      </c>
      <c r="AK265" s="79">
        <v>0</v>
      </c>
      <c r="BB265" s="342" t="s">
        <v>67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77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458</v>
      </c>
      <c r="B269" s="60" t="s">
        <v>459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140</v>
      </c>
      <c r="L269" s="35" t="s">
        <v>46</v>
      </c>
      <c r="M269" s="36" t="s">
        <v>81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460</v>
      </c>
      <c r="AG269" s="75"/>
      <c r="AJ269" s="79" t="s">
        <v>46</v>
      </c>
      <c r="AK269" s="79">
        <v>0</v>
      </c>
      <c r="BB269" s="344" t="s">
        <v>67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461</v>
      </c>
      <c r="B270" s="60" t="s">
        <v>462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140</v>
      </c>
      <c r="L270" s="35" t="s">
        <v>46</v>
      </c>
      <c r="M270" s="36" t="s">
        <v>81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463</v>
      </c>
      <c r="AG270" s="75"/>
      <c r="AJ270" s="79" t="s">
        <v>46</v>
      </c>
      <c r="AK270" s="79">
        <v>0</v>
      </c>
      <c r="BB270" s="346" t="s">
        <v>67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464</v>
      </c>
      <c r="B271" s="60" t="s">
        <v>465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140</v>
      </c>
      <c r="L271" s="35" t="s">
        <v>46</v>
      </c>
      <c r="M271" s="36" t="s">
        <v>81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466</v>
      </c>
      <c r="AG271" s="75"/>
      <c r="AJ271" s="79" t="s">
        <v>46</v>
      </c>
      <c r="AK271" s="79">
        <v>0</v>
      </c>
      <c r="BB271" s="348" t="s">
        <v>67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140</v>
      </c>
      <c r="L272" s="35" t="s">
        <v>46</v>
      </c>
      <c r="M272" s="36" t="s">
        <v>81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469</v>
      </c>
      <c r="AG272" s="75"/>
      <c r="AJ272" s="79" t="s">
        <v>46</v>
      </c>
      <c r="AK272" s="79">
        <v>0</v>
      </c>
      <c r="BB272" s="350" t="s">
        <v>67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470</v>
      </c>
      <c r="B273" s="60" t="s">
        <v>471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460</v>
      </c>
      <c r="AG273" s="75"/>
      <c r="AJ273" s="79" t="s">
        <v>46</v>
      </c>
      <c r="AK273" s="79">
        <v>0</v>
      </c>
      <c r="BB273" s="352" t="s">
        <v>67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472</v>
      </c>
      <c r="B274" s="60" t="s">
        <v>473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82</v>
      </c>
      <c r="L274" s="35" t="s">
        <v>46</v>
      </c>
      <c r="M274" s="36" t="s">
        <v>81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463</v>
      </c>
      <c r="AG274" s="75"/>
      <c r="AJ274" s="79" t="s">
        <v>46</v>
      </c>
      <c r="AK274" s="79">
        <v>0</v>
      </c>
      <c r="BB274" s="354" t="s">
        <v>67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474</v>
      </c>
      <c r="B275" s="60" t="s">
        <v>475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466</v>
      </c>
      <c r="AG275" s="75"/>
      <c r="AJ275" s="79" t="s">
        <v>46</v>
      </c>
      <c r="AK275" s="79">
        <v>0</v>
      </c>
      <c r="BB275" s="356" t="s">
        <v>67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476</v>
      </c>
      <c r="B276" s="60" t="s">
        <v>477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469</v>
      </c>
      <c r="AG276" s="75"/>
      <c r="AJ276" s="79" t="s">
        <v>46</v>
      </c>
      <c r="AK276" s="79">
        <v>0</v>
      </c>
      <c r="BB276" s="358" t="s">
        <v>67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86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478</v>
      </c>
      <c r="B280" s="60" t="s">
        <v>479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133</v>
      </c>
      <c r="L280" s="35" t="s">
        <v>46</v>
      </c>
      <c r="M280" s="36" t="s">
        <v>90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480</v>
      </c>
      <c r="AG280" s="75"/>
      <c r="AJ280" s="79" t="s">
        <v>46</v>
      </c>
      <c r="AK280" s="79">
        <v>0</v>
      </c>
      <c r="BB280" s="360" t="s">
        <v>67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481</v>
      </c>
      <c r="B281" s="60" t="s">
        <v>482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133</v>
      </c>
      <c r="L281" s="35" t="s">
        <v>46</v>
      </c>
      <c r="M281" s="36" t="s">
        <v>90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483</v>
      </c>
      <c r="AG281" s="75"/>
      <c r="AJ281" s="79" t="s">
        <v>46</v>
      </c>
      <c r="AK281" s="79">
        <v>0</v>
      </c>
      <c r="BB281" s="362" t="s">
        <v>67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133</v>
      </c>
      <c r="L282" s="35" t="s">
        <v>46</v>
      </c>
      <c r="M282" s="36" t="s">
        <v>90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486</v>
      </c>
      <c r="AG282" s="75"/>
      <c r="AJ282" s="79" t="s">
        <v>46</v>
      </c>
      <c r="AK282" s="79">
        <v>0</v>
      </c>
      <c r="BB282" s="364" t="s">
        <v>67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480</v>
      </c>
      <c r="AG283" s="75"/>
      <c r="AJ283" s="79" t="s">
        <v>46</v>
      </c>
      <c r="AK283" s="79">
        <v>0</v>
      </c>
      <c r="BB283" s="366" t="s">
        <v>67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91</v>
      </c>
      <c r="L284" s="35" t="s">
        <v>46</v>
      </c>
      <c r="M284" s="36" t="s">
        <v>97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486</v>
      </c>
      <c r="AG284" s="75"/>
      <c r="AJ284" s="79" t="s">
        <v>46</v>
      </c>
      <c r="AK284" s="79">
        <v>0</v>
      </c>
      <c r="BB284" s="368" t="s">
        <v>67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140</v>
      </c>
      <c r="L285" s="35" t="s">
        <v>46</v>
      </c>
      <c r="M285" s="36" t="s">
        <v>90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493</v>
      </c>
      <c r="AG285" s="75"/>
      <c r="AJ285" s="79" t="s">
        <v>46</v>
      </c>
      <c r="AK285" s="79">
        <v>0</v>
      </c>
      <c r="BB285" s="370" t="s">
        <v>67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494</v>
      </c>
      <c r="B286" s="60" t="s">
        <v>495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486</v>
      </c>
      <c r="AG286" s="75"/>
      <c r="AJ286" s="79" t="s">
        <v>46</v>
      </c>
      <c r="AK286" s="79">
        <v>0</v>
      </c>
      <c r="BB286" s="372" t="s">
        <v>67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133</v>
      </c>
      <c r="L287" s="35" t="s">
        <v>46</v>
      </c>
      <c r="M287" s="36" t="s">
        <v>90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493</v>
      </c>
      <c r="AG287" s="75"/>
      <c r="AJ287" s="79" t="s">
        <v>46</v>
      </c>
      <c r="AK287" s="79">
        <v>0</v>
      </c>
      <c r="BB287" s="374" t="s">
        <v>67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498</v>
      </c>
      <c r="B288" s="60" t="s">
        <v>499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486</v>
      </c>
      <c r="AG288" s="75"/>
      <c r="AJ288" s="79" t="s">
        <v>46</v>
      </c>
      <c r="AK288" s="79">
        <v>0</v>
      </c>
      <c r="BB288" s="376" t="s">
        <v>67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500</v>
      </c>
      <c r="B289" s="60" t="s">
        <v>501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97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502</v>
      </c>
      <c r="AG289" s="75"/>
      <c r="AJ289" s="79" t="s">
        <v>46</v>
      </c>
      <c r="AK289" s="79">
        <v>0</v>
      </c>
      <c r="BB289" s="378" t="s">
        <v>67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503</v>
      </c>
      <c r="B290" s="60" t="s">
        <v>504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505</v>
      </c>
      <c r="AG290" s="75"/>
      <c r="AJ290" s="79" t="s">
        <v>46</v>
      </c>
      <c r="AK290" s="79">
        <v>0</v>
      </c>
      <c r="BB290" s="380" t="s">
        <v>67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506</v>
      </c>
      <c r="B291" s="60" t="s">
        <v>507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508</v>
      </c>
      <c r="AG291" s="75"/>
      <c r="AJ291" s="79" t="s">
        <v>46</v>
      </c>
      <c r="AK291" s="79">
        <v>0</v>
      </c>
      <c r="BB291" s="382" t="s">
        <v>67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181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509</v>
      </c>
      <c r="B295" s="60" t="s">
        <v>510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97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511</v>
      </c>
      <c r="AG295" s="75"/>
      <c r="AJ295" s="79" t="s">
        <v>46</v>
      </c>
      <c r="AK295" s="79">
        <v>0</v>
      </c>
      <c r="BB295" s="384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512</v>
      </c>
      <c r="B296" s="60" t="s">
        <v>513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90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514</v>
      </c>
      <c r="AG296" s="75"/>
      <c r="AJ296" s="79" t="s">
        <v>46</v>
      </c>
      <c r="AK296" s="79">
        <v>0</v>
      </c>
      <c r="BB296" s="386" t="s">
        <v>67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515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128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516</v>
      </c>
      <c r="B301" s="60" t="s">
        <v>517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133</v>
      </c>
      <c r="L301" s="35" t="s">
        <v>46</v>
      </c>
      <c r="M301" s="36" t="s">
        <v>132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518</v>
      </c>
      <c r="AG301" s="75"/>
      <c r="AJ301" s="79" t="s">
        <v>46</v>
      </c>
      <c r="AK301" s="79">
        <v>0</v>
      </c>
      <c r="BB301" s="388" t="s">
        <v>67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133</v>
      </c>
      <c r="L302" s="35" t="s">
        <v>46</v>
      </c>
      <c r="M302" s="36" t="s">
        <v>132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521</v>
      </c>
      <c r="AG302" s="75"/>
      <c r="AJ302" s="79" t="s">
        <v>46</v>
      </c>
      <c r="AK302" s="79">
        <v>0</v>
      </c>
      <c r="BB302" s="390" t="s">
        <v>67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133</v>
      </c>
      <c r="L303" s="35" t="s">
        <v>46</v>
      </c>
      <c r="M303" s="36" t="s">
        <v>132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376</v>
      </c>
      <c r="AG303" s="75"/>
      <c r="AJ303" s="79" t="s">
        <v>46</v>
      </c>
      <c r="AK303" s="79">
        <v>0</v>
      </c>
      <c r="BB303" s="392" t="s">
        <v>67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524</v>
      </c>
      <c r="B304" s="60" t="s">
        <v>525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140</v>
      </c>
      <c r="L304" s="35" t="s">
        <v>46</v>
      </c>
      <c r="M304" s="36" t="s">
        <v>132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518</v>
      </c>
      <c r="AG304" s="75"/>
      <c r="AJ304" s="79" t="s">
        <v>46</v>
      </c>
      <c r="AK304" s="79">
        <v>0</v>
      </c>
      <c r="BB304" s="394" t="s">
        <v>67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526</v>
      </c>
      <c r="B305" s="60" t="s">
        <v>527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140</v>
      </c>
      <c r="L305" s="35" t="s">
        <v>46</v>
      </c>
      <c r="M305" s="36" t="s">
        <v>132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528</v>
      </c>
      <c r="AG305" s="75"/>
      <c r="AJ305" s="79" t="s">
        <v>46</v>
      </c>
      <c r="AK305" s="79">
        <v>0</v>
      </c>
      <c r="BB305" s="396" t="s">
        <v>67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529</v>
      </c>
      <c r="B306" s="60" t="s">
        <v>530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91</v>
      </c>
      <c r="L306" s="35" t="s">
        <v>46</v>
      </c>
      <c r="M306" s="36" t="s">
        <v>132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531</v>
      </c>
      <c r="AG306" s="75"/>
      <c r="AJ306" s="79" t="s">
        <v>46</v>
      </c>
      <c r="AK306" s="79">
        <v>0</v>
      </c>
      <c r="BB306" s="398" t="s">
        <v>67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532</v>
      </c>
      <c r="B307" s="60" t="s">
        <v>533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140</v>
      </c>
      <c r="L307" s="35" t="s">
        <v>46</v>
      </c>
      <c r="M307" s="36" t="s">
        <v>132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376</v>
      </c>
      <c r="AG307" s="75"/>
      <c r="AJ307" s="79" t="s">
        <v>46</v>
      </c>
      <c r="AK307" s="79">
        <v>0</v>
      </c>
      <c r="BB307" s="400" t="s">
        <v>67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164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534</v>
      </c>
      <c r="B311" s="60" t="s">
        <v>535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82</v>
      </c>
      <c r="L311" s="35" t="s">
        <v>46</v>
      </c>
      <c r="M311" s="36" t="s">
        <v>90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536</v>
      </c>
      <c r="AG311" s="75"/>
      <c r="AJ311" s="79" t="s">
        <v>46</v>
      </c>
      <c r="AK311" s="79">
        <v>0</v>
      </c>
      <c r="BB311" s="402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537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538</v>
      </c>
      <c r="B315" s="60" t="s">
        <v>539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350</v>
      </c>
      <c r="L315" s="35" t="s">
        <v>46</v>
      </c>
      <c r="M315" s="36" t="s">
        <v>292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540</v>
      </c>
      <c r="AG315" s="75"/>
      <c r="AJ315" s="79" t="s">
        <v>46</v>
      </c>
      <c r="AK315" s="79">
        <v>0</v>
      </c>
      <c r="BB315" s="404" t="s">
        <v>67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354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541</v>
      </c>
      <c r="B319" s="60" t="s">
        <v>542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350</v>
      </c>
      <c r="L319" s="35" t="s">
        <v>46</v>
      </c>
      <c r="M319" s="36" t="s">
        <v>292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543</v>
      </c>
      <c r="AG319" s="75"/>
      <c r="AJ319" s="79" t="s">
        <v>46</v>
      </c>
      <c r="AK319" s="79">
        <v>0</v>
      </c>
      <c r="BB319" s="40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544</v>
      </c>
      <c r="B320" s="60" t="s">
        <v>545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350</v>
      </c>
      <c r="L320" s="35" t="s">
        <v>46</v>
      </c>
      <c r="M320" s="36" t="s">
        <v>292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543</v>
      </c>
      <c r="AG320" s="75"/>
      <c r="AJ320" s="79" t="s">
        <v>46</v>
      </c>
      <c r="AK320" s="79">
        <v>0</v>
      </c>
      <c r="BB320" s="408" t="s">
        <v>67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546</v>
      </c>
      <c r="B321" s="60" t="s">
        <v>547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350</v>
      </c>
      <c r="L321" s="35" t="s">
        <v>46</v>
      </c>
      <c r="M321" s="36" t="s">
        <v>292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543</v>
      </c>
      <c r="AG321" s="75"/>
      <c r="AJ321" s="79" t="s">
        <v>46</v>
      </c>
      <c r="AK321" s="79">
        <v>0</v>
      </c>
      <c r="BB321" s="410" t="s">
        <v>67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548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128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549</v>
      </c>
      <c r="B326" s="60" t="s">
        <v>550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133</v>
      </c>
      <c r="L326" s="35" t="s">
        <v>46</v>
      </c>
      <c r="M326" s="36" t="s">
        <v>132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551</v>
      </c>
      <c r="AG326" s="75"/>
      <c r="AJ326" s="79" t="s">
        <v>46</v>
      </c>
      <c r="AK326" s="79">
        <v>0</v>
      </c>
      <c r="BB326" s="41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552</v>
      </c>
      <c r="B327" s="60" t="s">
        <v>553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133</v>
      </c>
      <c r="L327" s="35" t="s">
        <v>46</v>
      </c>
      <c r="M327" s="36" t="s">
        <v>132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554</v>
      </c>
      <c r="AG327" s="75"/>
      <c r="AJ327" s="79" t="s">
        <v>46</v>
      </c>
      <c r="AK327" s="79">
        <v>0</v>
      </c>
      <c r="BB327" s="41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555</v>
      </c>
      <c r="B328" s="60" t="s">
        <v>556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133</v>
      </c>
      <c r="L328" s="35" t="s">
        <v>46</v>
      </c>
      <c r="M328" s="36" t="s">
        <v>132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557</v>
      </c>
      <c r="AG328" s="75"/>
      <c r="AJ328" s="79" t="s">
        <v>46</v>
      </c>
      <c r="AK328" s="79">
        <v>0</v>
      </c>
      <c r="BB328" s="41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558</v>
      </c>
      <c r="B329" s="60" t="s">
        <v>559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140</v>
      </c>
      <c r="L329" s="35" t="s">
        <v>46</v>
      </c>
      <c r="M329" s="36" t="s">
        <v>132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560</v>
      </c>
      <c r="AG329" s="75"/>
      <c r="AJ329" s="79" t="s">
        <v>46</v>
      </c>
      <c r="AK329" s="79">
        <v>0</v>
      </c>
      <c r="BB329" s="418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561</v>
      </c>
      <c r="B330" s="60" t="s">
        <v>562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140</v>
      </c>
      <c r="L330" s="35" t="s">
        <v>46</v>
      </c>
      <c r="M330" s="36" t="s">
        <v>132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563</v>
      </c>
      <c r="AG330" s="75"/>
      <c r="AJ330" s="79" t="s">
        <v>46</v>
      </c>
      <c r="AK330" s="79">
        <v>0</v>
      </c>
      <c r="BB330" s="420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564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86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565</v>
      </c>
      <c r="B335" s="60" t="s">
        <v>566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91</v>
      </c>
      <c r="L335" s="35" t="s">
        <v>46</v>
      </c>
      <c r="M335" s="36" t="s">
        <v>90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567</v>
      </c>
      <c r="AG335" s="75"/>
      <c r="AJ335" s="79" t="s">
        <v>46</v>
      </c>
      <c r="AK335" s="79">
        <v>0</v>
      </c>
      <c r="BB335" s="422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568</v>
      </c>
      <c r="B336" s="60" t="s">
        <v>569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91</v>
      </c>
      <c r="L336" s="35" t="s">
        <v>46</v>
      </c>
      <c r="M336" s="36" t="s">
        <v>97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570</v>
      </c>
      <c r="AG336" s="75"/>
      <c r="AJ336" s="79" t="s">
        <v>46</v>
      </c>
      <c r="AK336" s="79">
        <v>0</v>
      </c>
      <c r="BB336" s="424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571</v>
      </c>
      <c r="B337" s="60" t="s">
        <v>572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91</v>
      </c>
      <c r="L337" s="35" t="s">
        <v>46</v>
      </c>
      <c r="M337" s="36" t="s">
        <v>90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567</v>
      </c>
      <c r="AG337" s="75"/>
      <c r="AJ337" s="79" t="s">
        <v>46</v>
      </c>
      <c r="AK337" s="79">
        <v>0</v>
      </c>
      <c r="BB337" s="426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573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77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574</v>
      </c>
      <c r="B342" s="60" t="s">
        <v>575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408</v>
      </c>
      <c r="AG342" s="75"/>
      <c r="AJ342" s="79" t="s">
        <v>46</v>
      </c>
      <c r="AK342" s="79">
        <v>0</v>
      </c>
      <c r="BB342" s="428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576</v>
      </c>
      <c r="B343" s="60" t="s">
        <v>577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578</v>
      </c>
      <c r="AG343" s="75"/>
      <c r="AJ343" s="79" t="s">
        <v>46</v>
      </c>
      <c r="AK343" s="79">
        <v>0</v>
      </c>
      <c r="BB343" s="430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579</v>
      </c>
      <c r="B344" s="60" t="s">
        <v>580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581</v>
      </c>
      <c r="AG344" s="75"/>
      <c r="AJ344" s="79" t="s">
        <v>46</v>
      </c>
      <c r="AK344" s="79">
        <v>0</v>
      </c>
      <c r="BB344" s="432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582</v>
      </c>
      <c r="B345" s="60" t="s">
        <v>583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91</v>
      </c>
      <c r="L345" s="35" t="s">
        <v>46</v>
      </c>
      <c r="M345" s="36" t="s">
        <v>81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584</v>
      </c>
      <c r="AG345" s="75"/>
      <c r="AJ345" s="79" t="s">
        <v>46</v>
      </c>
      <c r="AK345" s="79">
        <v>0</v>
      </c>
      <c r="BB345" s="434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585</v>
      </c>
      <c r="B346" s="60" t="s">
        <v>586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587</v>
      </c>
      <c r="AG346" s="75"/>
      <c r="AJ346" s="79" t="s">
        <v>46</v>
      </c>
      <c r="AK346" s="79">
        <v>0</v>
      </c>
      <c r="BB346" s="436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86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588</v>
      </c>
      <c r="B350" s="60" t="s">
        <v>589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140</v>
      </c>
      <c r="L350" s="35" t="s">
        <v>46</v>
      </c>
      <c r="M350" s="36" t="s">
        <v>90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590</v>
      </c>
      <c r="AG350" s="75"/>
      <c r="AJ350" s="79" t="s">
        <v>46</v>
      </c>
      <c r="AK350" s="79">
        <v>0</v>
      </c>
      <c r="BB350" s="438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140</v>
      </c>
      <c r="L351" s="35" t="s">
        <v>46</v>
      </c>
      <c r="M351" s="36" t="s">
        <v>90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593</v>
      </c>
      <c r="AG351" s="75"/>
      <c r="AJ351" s="79" t="s">
        <v>46</v>
      </c>
      <c r="AK351" s="79">
        <v>0</v>
      </c>
      <c r="BB351" s="440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594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128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595</v>
      </c>
      <c r="B356" s="60" t="s">
        <v>596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133</v>
      </c>
      <c r="L356" s="35" t="s">
        <v>46</v>
      </c>
      <c r="M356" s="36" t="s">
        <v>90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367</v>
      </c>
      <c r="AG356" s="75"/>
      <c r="AJ356" s="79" t="s">
        <v>46</v>
      </c>
      <c r="AK356" s="79">
        <v>0</v>
      </c>
      <c r="BB356" s="442" t="s">
        <v>67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597</v>
      </c>
      <c r="B357" s="60" t="s">
        <v>598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133</v>
      </c>
      <c r="L357" s="35" t="s">
        <v>46</v>
      </c>
      <c r="M357" s="36" t="s">
        <v>90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599</v>
      </c>
      <c r="AG357" s="75"/>
      <c r="AJ357" s="79" t="s">
        <v>46</v>
      </c>
      <c r="AK357" s="79">
        <v>0</v>
      </c>
      <c r="BB357" s="444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600</v>
      </c>
      <c r="B358" s="60" t="s">
        <v>601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133</v>
      </c>
      <c r="L358" s="35" t="s">
        <v>46</v>
      </c>
      <c r="M358" s="36" t="s">
        <v>90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602</v>
      </c>
      <c r="AG358" s="75"/>
      <c r="AJ358" s="79" t="s">
        <v>46</v>
      </c>
      <c r="AK358" s="79">
        <v>0</v>
      </c>
      <c r="BB358" s="446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603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128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604</v>
      </c>
      <c r="B363" s="60" t="s">
        <v>605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133</v>
      </c>
      <c r="L363" s="35" t="s">
        <v>46</v>
      </c>
      <c r="M363" s="36" t="s">
        <v>132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606</v>
      </c>
      <c r="AG363" s="75"/>
      <c r="AJ363" s="79" t="s">
        <v>46</v>
      </c>
      <c r="AK363" s="79">
        <v>0</v>
      </c>
      <c r="BB363" s="448" t="s">
        <v>67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607</v>
      </c>
      <c r="B364" s="60" t="s">
        <v>608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133</v>
      </c>
      <c r="L364" s="35" t="s">
        <v>46</v>
      </c>
      <c r="M364" s="36" t="s">
        <v>132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609</v>
      </c>
      <c r="AG364" s="75"/>
      <c r="AJ364" s="79" t="s">
        <v>46</v>
      </c>
      <c r="AK364" s="79">
        <v>0</v>
      </c>
      <c r="BB364" s="450" t="s">
        <v>67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610</v>
      </c>
      <c r="B365" s="60" t="s">
        <v>611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133</v>
      </c>
      <c r="L365" s="35" t="s">
        <v>46</v>
      </c>
      <c r="M365" s="36" t="s">
        <v>132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612</v>
      </c>
      <c r="AG365" s="75"/>
      <c r="AJ365" s="79" t="s">
        <v>46</v>
      </c>
      <c r="AK365" s="79">
        <v>0</v>
      </c>
      <c r="BB365" s="452" t="s">
        <v>67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613</v>
      </c>
      <c r="B366" s="60" t="s">
        <v>614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133</v>
      </c>
      <c r="L366" s="35" t="s">
        <v>46</v>
      </c>
      <c r="M366" s="36" t="s">
        <v>90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615</v>
      </c>
      <c r="AG366" s="75"/>
      <c r="AJ366" s="79" t="s">
        <v>46</v>
      </c>
      <c r="AK366" s="79">
        <v>0</v>
      </c>
      <c r="BB366" s="454" t="s">
        <v>67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616</v>
      </c>
      <c r="B367" s="60" t="s">
        <v>617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140</v>
      </c>
      <c r="L367" s="35" t="s">
        <v>46</v>
      </c>
      <c r="M367" s="36" t="s">
        <v>132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609</v>
      </c>
      <c r="AG367" s="75"/>
      <c r="AJ367" s="79" t="s">
        <v>46</v>
      </c>
      <c r="AK367" s="79">
        <v>0</v>
      </c>
      <c r="BB367" s="456" t="s">
        <v>67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618</v>
      </c>
      <c r="B368" s="60" t="s">
        <v>619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140</v>
      </c>
      <c r="L368" s="35" t="s">
        <v>46</v>
      </c>
      <c r="M368" s="36" t="s">
        <v>132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620</v>
      </c>
      <c r="AG368" s="75"/>
      <c r="AJ368" s="79" t="s">
        <v>46</v>
      </c>
      <c r="AK368" s="79">
        <v>0</v>
      </c>
      <c r="BB368" s="458" t="s">
        <v>67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77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621</v>
      </c>
      <c r="B372" s="60" t="s">
        <v>622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140</v>
      </c>
      <c r="L372" s="35" t="s">
        <v>46</v>
      </c>
      <c r="M372" s="36" t="s">
        <v>81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623</v>
      </c>
      <c r="AG372" s="75"/>
      <c r="AJ372" s="79" t="s">
        <v>46</v>
      </c>
      <c r="AK372" s="79">
        <v>0</v>
      </c>
      <c r="BB372" s="460" t="s">
        <v>67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624</v>
      </c>
      <c r="B373" s="60" t="s">
        <v>625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140</v>
      </c>
      <c r="L373" s="35" t="s">
        <v>46</v>
      </c>
      <c r="M373" s="36" t="s">
        <v>81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626</v>
      </c>
      <c r="AG373" s="75"/>
      <c r="AJ373" s="79" t="s">
        <v>46</v>
      </c>
      <c r="AK373" s="79">
        <v>0</v>
      </c>
      <c r="BB373" s="462" t="s">
        <v>67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627</v>
      </c>
      <c r="B374" s="60" t="s">
        <v>628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140</v>
      </c>
      <c r="L374" s="35" t="s">
        <v>46</v>
      </c>
      <c r="M374" s="36" t="s">
        <v>81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629</v>
      </c>
      <c r="AG374" s="75"/>
      <c r="AJ374" s="79" t="s">
        <v>46</v>
      </c>
      <c r="AK374" s="79">
        <v>0</v>
      </c>
      <c r="BB374" s="464" t="s">
        <v>67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82</v>
      </c>
      <c r="L375" s="35" t="s">
        <v>46</v>
      </c>
      <c r="M375" s="36" t="s">
        <v>81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626</v>
      </c>
      <c r="AG375" s="75"/>
      <c r="AJ375" s="79" t="s">
        <v>46</v>
      </c>
      <c r="AK375" s="79">
        <v>0</v>
      </c>
      <c r="BB375" s="466" t="s">
        <v>67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632</v>
      </c>
      <c r="B376" s="60" t="s">
        <v>633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82</v>
      </c>
      <c r="L376" s="35" t="s">
        <v>46</v>
      </c>
      <c r="M376" s="36" t="s">
        <v>81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634</v>
      </c>
      <c r="AG376" s="75"/>
      <c r="AJ376" s="79" t="s">
        <v>46</v>
      </c>
      <c r="AK376" s="79">
        <v>0</v>
      </c>
      <c r="BB376" s="468" t="s">
        <v>67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635</v>
      </c>
      <c r="B377" s="60" t="s">
        <v>636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140</v>
      </c>
      <c r="L377" s="35" t="s">
        <v>46</v>
      </c>
      <c r="M377" s="36" t="s">
        <v>81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629</v>
      </c>
      <c r="AG377" s="75"/>
      <c r="AJ377" s="79" t="s">
        <v>46</v>
      </c>
      <c r="AK377" s="79">
        <v>0</v>
      </c>
      <c r="BB377" s="470" t="s">
        <v>67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637</v>
      </c>
      <c r="B378" s="60" t="s">
        <v>638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91</v>
      </c>
      <c r="L378" s="35" t="s">
        <v>46</v>
      </c>
      <c r="M378" s="36" t="s">
        <v>81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639</v>
      </c>
      <c r="AG378" s="75"/>
      <c r="AJ378" s="79" t="s">
        <v>46</v>
      </c>
      <c r="AK378" s="79">
        <v>0</v>
      </c>
      <c r="BB378" s="472" t="s">
        <v>67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86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customHeight="1" x14ac:dyDescent="0.25">
      <c r="A382" s="60" t="s">
        <v>640</v>
      </c>
      <c r="B382" s="60" t="s">
        <v>641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133</v>
      </c>
      <c r="L382" s="35" t="s">
        <v>46</v>
      </c>
      <c r="M382" s="36" t="s">
        <v>90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17800</v>
      </c>
      <c r="Y382" s="53">
        <f>IFERROR(IF(X382="",0,CEILING((X382/$H382),1)*$H382),"")</f>
        <v>17807.399999999998</v>
      </c>
      <c r="Z382" s="39">
        <f>IFERROR(IF(Y382=0,"",ROUNDUP(Y382/H382,0)*0.01898),"")</f>
        <v>43.331339999999997</v>
      </c>
      <c r="AA382" s="65" t="s">
        <v>46</v>
      </c>
      <c r="AB382" s="66" t="s">
        <v>46</v>
      </c>
      <c r="AC382" s="473" t="s">
        <v>642</v>
      </c>
      <c r="AG382" s="75"/>
      <c r="AJ382" s="79" t="s">
        <v>46</v>
      </c>
      <c r="AK382" s="79">
        <v>0</v>
      </c>
      <c r="BB382" s="474" t="s">
        <v>67</v>
      </c>
      <c r="BM382" s="75">
        <f>IFERROR(X382*I382/H382,"0")</f>
        <v>18913.641025641024</v>
      </c>
      <c r="BN382" s="75">
        <f>IFERROR(Y382*I382/H382,"0")</f>
        <v>18921.503999999997</v>
      </c>
      <c r="BO382" s="75">
        <f>IFERROR(1/J382*(X382/H382),"0")</f>
        <v>35.657051282051285</v>
      </c>
      <c r="BP382" s="75">
        <f>IFERROR(1/J382*(Y382/H382),"0")</f>
        <v>35.671874999999993</v>
      </c>
    </row>
    <row r="383" spans="1:68" ht="27" hidden="1" customHeight="1" x14ac:dyDescent="0.25">
      <c r="A383" s="60" t="s">
        <v>643</v>
      </c>
      <c r="B383" s="60" t="s">
        <v>644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133</v>
      </c>
      <c r="L383" s="35" t="s">
        <v>46</v>
      </c>
      <c r="M383" s="36" t="s">
        <v>90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645</v>
      </c>
      <c r="AG383" s="75"/>
      <c r="AJ383" s="79" t="s">
        <v>46</v>
      </c>
      <c r="AK383" s="79">
        <v>0</v>
      </c>
      <c r="BB383" s="476" t="s">
        <v>67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646</v>
      </c>
      <c r="B384" s="60" t="s">
        <v>647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133</v>
      </c>
      <c r="L384" s="35" t="s">
        <v>46</v>
      </c>
      <c r="M384" s="36" t="s">
        <v>90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648</v>
      </c>
      <c r="AG384" s="75"/>
      <c r="AJ384" s="79" t="s">
        <v>46</v>
      </c>
      <c r="AK384" s="79">
        <v>0</v>
      </c>
      <c r="BB384" s="478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649</v>
      </c>
      <c r="B385" s="60" t="s">
        <v>650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91</v>
      </c>
      <c r="L385" s="35" t="s">
        <v>46</v>
      </c>
      <c r="M385" s="36" t="s">
        <v>90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642</v>
      </c>
      <c r="AG385" s="75"/>
      <c r="AJ385" s="79" t="s">
        <v>46</v>
      </c>
      <c r="AK385" s="79">
        <v>0</v>
      </c>
      <c r="BB385" s="480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2282.0512820512822</v>
      </c>
      <c r="Y386" s="41">
        <f>IFERROR(Y382/H382,"0")+IFERROR(Y383/H383,"0")+IFERROR(Y384/H384,"0")+IFERROR(Y385/H385,"0")</f>
        <v>2282.9999999999995</v>
      </c>
      <c r="Z386" s="41">
        <f>IFERROR(IF(Z382="",0,Z382),"0")+IFERROR(IF(Z383="",0,Z383),"0")+IFERROR(IF(Z384="",0,Z384),"0")+IFERROR(IF(Z385="",0,Z385),"0")</f>
        <v>43.331339999999997</v>
      </c>
      <c r="AA386" s="64"/>
      <c r="AB386" s="64"/>
      <c r="AC386" s="64"/>
    </row>
    <row r="387" spans="1:68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17800</v>
      </c>
      <c r="Y387" s="41">
        <f>IFERROR(SUM(Y382:Y385),"0")</f>
        <v>17807.399999999998</v>
      </c>
      <c r="Z387" s="40"/>
      <c r="AA387" s="64"/>
      <c r="AB387" s="64"/>
      <c r="AC387" s="64"/>
    </row>
    <row r="388" spans="1:68" ht="14.25" hidden="1" customHeight="1" x14ac:dyDescent="0.25">
      <c r="A388" s="651" t="s">
        <v>181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651</v>
      </c>
      <c r="B389" s="60" t="s">
        <v>652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133</v>
      </c>
      <c r="L389" s="35" t="s">
        <v>46</v>
      </c>
      <c r="M389" s="36" t="s">
        <v>90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653</v>
      </c>
      <c r="AG389" s="75"/>
      <c r="AJ389" s="79" t="s">
        <v>46</v>
      </c>
      <c r="AK389" s="79">
        <v>0</v>
      </c>
      <c r="BB389" s="482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654</v>
      </c>
      <c r="B390" s="60" t="s">
        <v>655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133</v>
      </c>
      <c r="L390" s="35" t="s">
        <v>46</v>
      </c>
      <c r="M390" s="36" t="s">
        <v>90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656</v>
      </c>
      <c r="AG390" s="75"/>
      <c r="AJ390" s="79" t="s">
        <v>46</v>
      </c>
      <c r="AK390" s="79">
        <v>0</v>
      </c>
      <c r="BB390" s="484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657</v>
      </c>
      <c r="B391" s="60" t="s">
        <v>658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133</v>
      </c>
      <c r="L391" s="35" t="s">
        <v>46</v>
      </c>
      <c r="M391" s="36" t="s">
        <v>97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659</v>
      </c>
      <c r="AG391" s="75"/>
      <c r="AJ391" s="79" t="s">
        <v>46</v>
      </c>
      <c r="AK391" s="79">
        <v>0</v>
      </c>
      <c r="BB391" s="486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104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660</v>
      </c>
      <c r="B395" s="60" t="s">
        <v>661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140</v>
      </c>
      <c r="L395" s="35" t="s">
        <v>46</v>
      </c>
      <c r="M395" s="36" t="s">
        <v>109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662</v>
      </c>
      <c r="AG395" s="75"/>
      <c r="AJ395" s="79" t="s">
        <v>46</v>
      </c>
      <c r="AK395" s="79">
        <v>0</v>
      </c>
      <c r="BB395" s="488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663</v>
      </c>
      <c r="B396" s="60" t="s">
        <v>664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140</v>
      </c>
      <c r="L396" s="35" t="s">
        <v>46</v>
      </c>
      <c r="M396" s="36" t="s">
        <v>109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662</v>
      </c>
      <c r="AG396" s="75"/>
      <c r="AJ396" s="79" t="s">
        <v>46</v>
      </c>
      <c r="AK396" s="79">
        <v>0</v>
      </c>
      <c r="BB396" s="490" t="s">
        <v>67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665</v>
      </c>
      <c r="B397" s="60" t="s">
        <v>666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91</v>
      </c>
      <c r="L397" s="35" t="s">
        <v>46</v>
      </c>
      <c r="M397" s="36" t="s">
        <v>109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662</v>
      </c>
      <c r="AG397" s="75"/>
      <c r="AJ397" s="79" t="s">
        <v>46</v>
      </c>
      <c r="AK397" s="79">
        <v>0</v>
      </c>
      <c r="BB397" s="492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667</v>
      </c>
      <c r="B398" s="60" t="s">
        <v>668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91</v>
      </c>
      <c r="L398" s="35" t="s">
        <v>46</v>
      </c>
      <c r="M398" s="36" t="s">
        <v>109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662</v>
      </c>
      <c r="AG398" s="75"/>
      <c r="AJ398" s="79" t="s">
        <v>46</v>
      </c>
      <c r="AK398" s="79">
        <v>0</v>
      </c>
      <c r="BB398" s="494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669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670</v>
      </c>
      <c r="B402" s="60" t="s">
        <v>671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91</v>
      </c>
      <c r="L402" s="35" t="s">
        <v>46</v>
      </c>
      <c r="M402" s="36" t="s">
        <v>673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672</v>
      </c>
      <c r="AG402" s="75"/>
      <c r="AJ402" s="79" t="s">
        <v>46</v>
      </c>
      <c r="AK402" s="79">
        <v>0</v>
      </c>
      <c r="BB402" s="496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674</v>
      </c>
      <c r="B403" s="60" t="s">
        <v>675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91</v>
      </c>
      <c r="L403" s="35" t="s">
        <v>46</v>
      </c>
      <c r="M403" s="36" t="s">
        <v>673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672</v>
      </c>
      <c r="AG403" s="75"/>
      <c r="AJ403" s="79" t="s">
        <v>46</v>
      </c>
      <c r="AK403" s="79">
        <v>0</v>
      </c>
      <c r="BB403" s="498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676</v>
      </c>
      <c r="B404" s="60" t="s">
        <v>677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673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672</v>
      </c>
      <c r="AG404" s="75"/>
      <c r="AJ404" s="79" t="s">
        <v>46</v>
      </c>
      <c r="AK404" s="79">
        <v>0</v>
      </c>
      <c r="BB404" s="500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678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679</v>
      </c>
      <c r="B408" s="60" t="s">
        <v>680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91</v>
      </c>
      <c r="L408" s="35" t="s">
        <v>46</v>
      </c>
      <c r="M408" s="36" t="s">
        <v>673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252</v>
      </c>
      <c r="AC408" s="501" t="s">
        <v>681</v>
      </c>
      <c r="AG408" s="75"/>
      <c r="AJ408" s="79" t="s">
        <v>46</v>
      </c>
      <c r="AK408" s="79">
        <v>0</v>
      </c>
      <c r="BB408" s="502" t="s">
        <v>67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682</v>
      </c>
      <c r="B409" s="60" t="s">
        <v>683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140</v>
      </c>
      <c r="L409" s="35" t="s">
        <v>46</v>
      </c>
      <c r="M409" s="36" t="s">
        <v>673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252</v>
      </c>
      <c r="AC409" s="503" t="s">
        <v>684</v>
      </c>
      <c r="AG409" s="75"/>
      <c r="AJ409" s="79" t="s">
        <v>46</v>
      </c>
      <c r="AK409" s="79">
        <v>0</v>
      </c>
      <c r="BB409" s="504" t="s">
        <v>67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685</v>
      </c>
      <c r="B410" s="60" t="s">
        <v>686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673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252</v>
      </c>
      <c r="AC410" s="505" t="s">
        <v>681</v>
      </c>
      <c r="AG410" s="75"/>
      <c r="AJ410" s="79" t="s">
        <v>46</v>
      </c>
      <c r="AK410" s="79">
        <v>0</v>
      </c>
      <c r="BB410" s="506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687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86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688</v>
      </c>
      <c r="B415" s="60" t="s">
        <v>689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133</v>
      </c>
      <c r="L415" s="35" t="s">
        <v>46</v>
      </c>
      <c r="M415" s="36" t="s">
        <v>97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690</v>
      </c>
      <c r="AG415" s="75"/>
      <c r="AJ415" s="79" t="s">
        <v>46</v>
      </c>
      <c r="AK415" s="79">
        <v>0</v>
      </c>
      <c r="BB415" s="508" t="s">
        <v>67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691</v>
      </c>
      <c r="B416" s="60" t="s">
        <v>692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91</v>
      </c>
      <c r="L416" s="35" t="s">
        <v>46</v>
      </c>
      <c r="M416" s="36" t="s">
        <v>90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693</v>
      </c>
      <c r="AG416" s="75"/>
      <c r="AJ416" s="79" t="s">
        <v>46</v>
      </c>
      <c r="AK416" s="79">
        <v>0</v>
      </c>
      <c r="BB416" s="510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694</v>
      </c>
      <c r="B417" s="60" t="s">
        <v>695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91</v>
      </c>
      <c r="L417" s="35" t="s">
        <v>46</v>
      </c>
      <c r="M417" s="36" t="s">
        <v>97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696</v>
      </c>
      <c r="AG417" s="75"/>
      <c r="AJ417" s="79" t="s">
        <v>46</v>
      </c>
      <c r="AK417" s="79">
        <v>0</v>
      </c>
      <c r="BB417" s="512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697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698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128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699</v>
      </c>
      <c r="B423" s="60" t="s">
        <v>700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133</v>
      </c>
      <c r="L423" s="35" t="s">
        <v>46</v>
      </c>
      <c r="M423" s="36" t="s">
        <v>97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701</v>
      </c>
      <c r="AG423" s="75"/>
      <c r="AJ423" s="79" t="s">
        <v>46</v>
      </c>
      <c r="AK423" s="79">
        <v>0</v>
      </c>
      <c r="BB423" s="514" t="s">
        <v>67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hidden="1" customHeight="1" x14ac:dyDescent="0.25">
      <c r="A424" s="60" t="s">
        <v>702</v>
      </c>
      <c r="B424" s="60" t="s">
        <v>703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133</v>
      </c>
      <c r="L424" s="35" t="s">
        <v>46</v>
      </c>
      <c r="M424" s="36" t="s">
        <v>81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0</v>
      </c>
      <c r="Y424" s="53">
        <f t="shared" si="52"/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67</v>
      </c>
      <c r="BM424" s="75">
        <f t="shared" si="53"/>
        <v>0</v>
      </c>
      <c r="BN424" s="75">
        <f t="shared" si="54"/>
        <v>0</v>
      </c>
      <c r="BO424" s="75">
        <f t="shared" si="55"/>
        <v>0</v>
      </c>
      <c r="BP424" s="75">
        <f t="shared" si="56"/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133</v>
      </c>
      <c r="L425" s="35" t="s">
        <v>46</v>
      </c>
      <c r="M425" s="36" t="s">
        <v>132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67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133</v>
      </c>
      <c r="L426" s="35" t="s">
        <v>46</v>
      </c>
      <c r="M426" s="36" t="s">
        <v>81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67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711</v>
      </c>
      <c r="B427" s="60" t="s">
        <v>712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133</v>
      </c>
      <c r="L427" s="35" t="s">
        <v>46</v>
      </c>
      <c r="M427" s="36" t="s">
        <v>97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713</v>
      </c>
      <c r="AG427" s="75"/>
      <c r="AJ427" s="79" t="s">
        <v>46</v>
      </c>
      <c r="AK427" s="79">
        <v>0</v>
      </c>
      <c r="BB427" s="522" t="s">
        <v>67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714</v>
      </c>
      <c r="B428" s="60" t="s">
        <v>715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140</v>
      </c>
      <c r="L428" s="35" t="s">
        <v>46</v>
      </c>
      <c r="M428" s="36" t="s">
        <v>132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716</v>
      </c>
      <c r="AG428" s="75"/>
      <c r="AJ428" s="79" t="s">
        <v>46</v>
      </c>
      <c r="AK428" s="79">
        <v>0</v>
      </c>
      <c r="BB428" s="524" t="s">
        <v>67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717</v>
      </c>
      <c r="B429" s="60" t="s">
        <v>718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140</v>
      </c>
      <c r="L429" s="35" t="s">
        <v>46</v>
      </c>
      <c r="M429" s="36" t="s">
        <v>81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719</v>
      </c>
      <c r="AG429" s="75"/>
      <c r="AJ429" s="79" t="s">
        <v>46</v>
      </c>
      <c r="AK429" s="79">
        <v>0</v>
      </c>
      <c r="BB429" s="526" t="s">
        <v>67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720</v>
      </c>
      <c r="B430" s="60" t="s">
        <v>721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140</v>
      </c>
      <c r="L430" s="35" t="s">
        <v>46</v>
      </c>
      <c r="M430" s="36" t="s">
        <v>81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722</v>
      </c>
      <c r="AG430" s="75"/>
      <c r="AJ430" s="79" t="s">
        <v>46</v>
      </c>
      <c r="AK430" s="79">
        <v>0</v>
      </c>
      <c r="BB430" s="528" t="s">
        <v>67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hidden="1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0</v>
      </c>
      <c r="Y431" s="41">
        <f>IFERROR(Y423/H423,"0")+IFERROR(Y424/H424,"0")+IFERROR(Y425/H425,"0")+IFERROR(Y426/H426,"0")+IFERROR(Y427/H427,"0")+IFERROR(Y428/H428,"0")+IFERROR(Y429/H429,"0")+IFERROR(Y430/H430,"0")</f>
        <v>0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64"/>
      <c r="AB431" s="64"/>
      <c r="AC431" s="64"/>
    </row>
    <row r="432" spans="1:68" hidden="1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0</v>
      </c>
      <c r="Y432" s="41">
        <f>IFERROR(SUM(Y423:Y430),"0")</f>
        <v>0</v>
      </c>
      <c r="Z432" s="40"/>
      <c r="AA432" s="64"/>
      <c r="AB432" s="64"/>
      <c r="AC432" s="64"/>
    </row>
    <row r="433" spans="1:68" ht="14.25" hidden="1" customHeight="1" x14ac:dyDescent="0.25">
      <c r="A433" s="651" t="s">
        <v>164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723</v>
      </c>
      <c r="B434" s="60" t="s">
        <v>724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133</v>
      </c>
      <c r="L434" s="35" t="s">
        <v>46</v>
      </c>
      <c r="M434" s="36" t="s">
        <v>132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725</v>
      </c>
      <c r="AG434" s="75"/>
      <c r="AJ434" s="79" t="s">
        <v>46</v>
      </c>
      <c r="AK434" s="79">
        <v>0</v>
      </c>
      <c r="BB434" s="530" t="s">
        <v>67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726</v>
      </c>
      <c r="B435" s="60" t="s">
        <v>727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133</v>
      </c>
      <c r="L435" s="35" t="s">
        <v>46</v>
      </c>
      <c r="M435" s="36" t="s">
        <v>132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728</v>
      </c>
      <c r="AG435" s="75"/>
      <c r="AJ435" s="79" t="s">
        <v>46</v>
      </c>
      <c r="AK435" s="79">
        <v>0</v>
      </c>
      <c r="BB435" s="532" t="s">
        <v>67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729</v>
      </c>
      <c r="B436" s="60" t="s">
        <v>730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140</v>
      </c>
      <c r="L436" s="35" t="s">
        <v>46</v>
      </c>
      <c r="M436" s="36" t="s">
        <v>132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731</v>
      </c>
      <c r="AG436" s="75"/>
      <c r="AJ436" s="79" t="s">
        <v>46</v>
      </c>
      <c r="AK436" s="79">
        <v>0</v>
      </c>
      <c r="BB436" s="53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86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732</v>
      </c>
      <c r="B440" s="60" t="s">
        <v>733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133</v>
      </c>
      <c r="L440" s="35" t="s">
        <v>46</v>
      </c>
      <c r="M440" s="36" t="s">
        <v>90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734</v>
      </c>
      <c r="AG440" s="75"/>
      <c r="AJ440" s="79" t="s">
        <v>46</v>
      </c>
      <c r="AK440" s="79">
        <v>0</v>
      </c>
      <c r="BB440" s="536" t="s">
        <v>67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735</v>
      </c>
      <c r="B441" s="60" t="s">
        <v>736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133</v>
      </c>
      <c r="L441" s="35" t="s">
        <v>46</v>
      </c>
      <c r="M441" s="36" t="s">
        <v>90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737</v>
      </c>
      <c r="AG441" s="75"/>
      <c r="AJ441" s="79" t="s">
        <v>46</v>
      </c>
      <c r="AK441" s="79">
        <v>0</v>
      </c>
      <c r="BB441" s="538" t="s">
        <v>67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738</v>
      </c>
      <c r="B442" s="60" t="s">
        <v>739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133</v>
      </c>
      <c r="L442" s="35" t="s">
        <v>46</v>
      </c>
      <c r="M442" s="36" t="s">
        <v>90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740</v>
      </c>
      <c r="AG442" s="75"/>
      <c r="AJ442" s="79" t="s">
        <v>46</v>
      </c>
      <c r="AK442" s="79">
        <v>0</v>
      </c>
      <c r="BB442" s="540" t="s">
        <v>67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181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741</v>
      </c>
      <c r="B446" s="60" t="s">
        <v>742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133</v>
      </c>
      <c r="L446" s="35" t="s">
        <v>46</v>
      </c>
      <c r="M446" s="36" t="s">
        <v>90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743</v>
      </c>
      <c r="AG446" s="75"/>
      <c r="AJ446" s="79" t="s">
        <v>46</v>
      </c>
      <c r="AK446" s="79">
        <v>0</v>
      </c>
      <c r="BB446" s="542" t="s">
        <v>67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744</v>
      </c>
      <c r="B447" s="60" t="s">
        <v>745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133</v>
      </c>
      <c r="L447" s="35" t="s">
        <v>46</v>
      </c>
      <c r="M447" s="36" t="s">
        <v>90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746</v>
      </c>
      <c r="AG447" s="75"/>
      <c r="AJ447" s="79" t="s">
        <v>46</v>
      </c>
      <c r="AK447" s="79">
        <v>0</v>
      </c>
      <c r="BB447" s="544" t="s">
        <v>67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747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128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748</v>
      </c>
      <c r="B452" s="60" t="s">
        <v>749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133</v>
      </c>
      <c r="L452" s="35" t="s">
        <v>46</v>
      </c>
      <c r="M452" s="36" t="s">
        <v>81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750</v>
      </c>
      <c r="AG452" s="75"/>
      <c r="AJ452" s="79" t="s">
        <v>46</v>
      </c>
      <c r="AK452" s="79">
        <v>0</v>
      </c>
      <c r="BB452" s="546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751</v>
      </c>
      <c r="B453" s="60" t="s">
        <v>752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140</v>
      </c>
      <c r="L453" s="35" t="s">
        <v>46</v>
      </c>
      <c r="M453" s="36" t="s">
        <v>81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750</v>
      </c>
      <c r="AG453" s="75"/>
      <c r="AJ453" s="79" t="s">
        <v>46</v>
      </c>
      <c r="AK453" s="79">
        <v>0</v>
      </c>
      <c r="BB453" s="548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77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753</v>
      </c>
      <c r="B457" s="60" t="s">
        <v>754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140</v>
      </c>
      <c r="L457" s="35" t="s">
        <v>46</v>
      </c>
      <c r="M457" s="36" t="s">
        <v>81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755</v>
      </c>
      <c r="AG457" s="75"/>
      <c r="AJ457" s="79" t="s">
        <v>46</v>
      </c>
      <c r="AK457" s="79">
        <v>0</v>
      </c>
      <c r="BB457" s="550" t="s">
        <v>67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86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756</v>
      </c>
      <c r="B461" s="60" t="s">
        <v>757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133</v>
      </c>
      <c r="L461" s="35" t="s">
        <v>46</v>
      </c>
      <c r="M461" s="36" t="s">
        <v>90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758</v>
      </c>
      <c r="AG461" s="75"/>
      <c r="AJ461" s="79" t="s">
        <v>46</v>
      </c>
      <c r="AK461" s="79">
        <v>0</v>
      </c>
      <c r="BB461" s="55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759</v>
      </c>
      <c r="B462" s="60" t="s">
        <v>760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91</v>
      </c>
      <c r="L462" s="35" t="s">
        <v>46</v>
      </c>
      <c r="M462" s="36" t="s">
        <v>90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758</v>
      </c>
      <c r="AG462" s="75"/>
      <c r="AJ462" s="79" t="s">
        <v>46</v>
      </c>
      <c r="AK462" s="79">
        <v>0</v>
      </c>
      <c r="BB462" s="55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759</v>
      </c>
      <c r="B463" s="60" t="s">
        <v>761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91</v>
      </c>
      <c r="L463" s="35" t="s">
        <v>46</v>
      </c>
      <c r="M463" s="36" t="s">
        <v>90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762</v>
      </c>
      <c r="AG463" s="75"/>
      <c r="AJ463" s="79" t="s">
        <v>46</v>
      </c>
      <c r="AK463" s="79">
        <v>0</v>
      </c>
      <c r="BB463" s="556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763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764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77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765</v>
      </c>
      <c r="B469" s="60" t="s">
        <v>766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140</v>
      </c>
      <c r="L469" s="35" t="s">
        <v>46</v>
      </c>
      <c r="M469" s="36" t="s">
        <v>81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767</v>
      </c>
      <c r="AG469" s="75"/>
      <c r="AJ469" s="79" t="s">
        <v>46</v>
      </c>
      <c r="AK469" s="79">
        <v>0</v>
      </c>
      <c r="BB469" s="558" t="s">
        <v>67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768</v>
      </c>
      <c r="B470" s="60" t="s">
        <v>769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140</v>
      </c>
      <c r="L470" s="35" t="s">
        <v>46</v>
      </c>
      <c r="M470" s="36" t="s">
        <v>81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770</v>
      </c>
      <c r="AG470" s="75"/>
      <c r="AJ470" s="79" t="s">
        <v>46</v>
      </c>
      <c r="AK470" s="79">
        <v>0</v>
      </c>
      <c r="BB470" s="560" t="s">
        <v>67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771</v>
      </c>
      <c r="B471" s="60" t="s">
        <v>772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82</v>
      </c>
      <c r="L471" s="35" t="s">
        <v>46</v>
      </c>
      <c r="M471" s="36" t="s">
        <v>81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767</v>
      </c>
      <c r="AG471" s="75"/>
      <c r="AJ471" s="79" t="s">
        <v>46</v>
      </c>
      <c r="AK471" s="79">
        <v>0</v>
      </c>
      <c r="BB471" s="562" t="s">
        <v>67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773</v>
      </c>
      <c r="B472" s="60" t="s">
        <v>774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82</v>
      </c>
      <c r="L472" s="35" t="s">
        <v>46</v>
      </c>
      <c r="M472" s="36" t="s">
        <v>81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775</v>
      </c>
      <c r="AG472" s="75"/>
      <c r="AJ472" s="79" t="s">
        <v>46</v>
      </c>
      <c r="AK472" s="79">
        <v>0</v>
      </c>
      <c r="BB472" s="564" t="s">
        <v>67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776</v>
      </c>
      <c r="B473" s="60" t="s">
        <v>777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82</v>
      </c>
      <c r="L473" s="35" t="s">
        <v>46</v>
      </c>
      <c r="M473" s="36" t="s">
        <v>81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778</v>
      </c>
      <c r="AG473" s="75"/>
      <c r="AJ473" s="79" t="s">
        <v>46</v>
      </c>
      <c r="AK473" s="79">
        <v>0</v>
      </c>
      <c r="BB473" s="566" t="s">
        <v>67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779</v>
      </c>
      <c r="B474" s="60" t="s">
        <v>780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775</v>
      </c>
      <c r="AG474" s="75"/>
      <c r="AJ474" s="79" t="s">
        <v>46</v>
      </c>
      <c r="AK474" s="79">
        <v>0</v>
      </c>
      <c r="BB474" s="568" t="s">
        <v>67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86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781</v>
      </c>
      <c r="B478" s="60" t="s">
        <v>782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140</v>
      </c>
      <c r="L478" s="35" t="s">
        <v>46</v>
      </c>
      <c r="M478" s="36" t="s">
        <v>90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783</v>
      </c>
      <c r="AG478" s="75"/>
      <c r="AJ478" s="79" t="s">
        <v>46</v>
      </c>
      <c r="AK478" s="79">
        <v>0</v>
      </c>
      <c r="BB478" s="570" t="s">
        <v>67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784</v>
      </c>
      <c r="B479" s="60" t="s">
        <v>785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91</v>
      </c>
      <c r="L479" s="35" t="s">
        <v>46</v>
      </c>
      <c r="M479" s="36" t="s">
        <v>90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786</v>
      </c>
      <c r="AG479" s="75"/>
      <c r="AJ479" s="79" t="s">
        <v>46</v>
      </c>
      <c r="AK479" s="79">
        <v>0</v>
      </c>
      <c r="BB479" s="572" t="s">
        <v>67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787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164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788</v>
      </c>
      <c r="B484" s="60" t="s">
        <v>789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91</v>
      </c>
      <c r="L484" s="35" t="s">
        <v>46</v>
      </c>
      <c r="M484" s="36" t="s">
        <v>81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790</v>
      </c>
      <c r="AG484" s="75"/>
      <c r="AJ484" s="79" t="s">
        <v>46</v>
      </c>
      <c r="AK484" s="79">
        <v>0</v>
      </c>
      <c r="BB484" s="57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77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791</v>
      </c>
      <c r="B488" s="60" t="s">
        <v>792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140</v>
      </c>
      <c r="L488" s="35" t="s">
        <v>46</v>
      </c>
      <c r="M488" s="36" t="s">
        <v>81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793</v>
      </c>
      <c r="AG488" s="75"/>
      <c r="AJ488" s="79" t="s">
        <v>46</v>
      </c>
      <c r="AK488" s="79">
        <v>0</v>
      </c>
      <c r="BB488" s="576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794</v>
      </c>
      <c r="B489" s="60" t="s">
        <v>795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82</v>
      </c>
      <c r="L489" s="35" t="s">
        <v>46</v>
      </c>
      <c r="M489" s="36" t="s">
        <v>81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796</v>
      </c>
      <c r="AG489" s="75"/>
      <c r="AJ489" s="79" t="s">
        <v>46</v>
      </c>
      <c r="AK489" s="79">
        <v>0</v>
      </c>
      <c r="BB489" s="578" t="s">
        <v>67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797</v>
      </c>
      <c r="B490" s="60" t="s">
        <v>798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82</v>
      </c>
      <c r="L490" s="35" t="s">
        <v>46</v>
      </c>
      <c r="M490" s="36" t="s">
        <v>81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796</v>
      </c>
      <c r="AG490" s="75"/>
      <c r="AJ490" s="79" t="s">
        <v>46</v>
      </c>
      <c r="AK490" s="79">
        <v>0</v>
      </c>
      <c r="BB490" s="580" t="s">
        <v>67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799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799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128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800</v>
      </c>
      <c r="B496" s="60" t="s">
        <v>801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133</v>
      </c>
      <c r="L496" s="35" t="s">
        <v>46</v>
      </c>
      <c r="M496" s="36" t="s">
        <v>90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131</v>
      </c>
      <c r="AG496" s="75"/>
      <c r="AJ496" s="79" t="s">
        <v>46</v>
      </c>
      <c r="AK496" s="79">
        <v>0</v>
      </c>
      <c r="BB496" s="582" t="s">
        <v>67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802</v>
      </c>
      <c r="B497" s="60" t="s">
        <v>803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133</v>
      </c>
      <c r="L497" s="35" t="s">
        <v>46</v>
      </c>
      <c r="M497" s="36" t="s">
        <v>132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804</v>
      </c>
      <c r="AG497" s="75"/>
      <c r="AJ497" s="79" t="s">
        <v>46</v>
      </c>
      <c r="AK497" s="79">
        <v>0</v>
      </c>
      <c r="BB497" s="584" t="s">
        <v>67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805</v>
      </c>
      <c r="B498" s="60" t="s">
        <v>806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133</v>
      </c>
      <c r="L498" s="35" t="s">
        <v>46</v>
      </c>
      <c r="M498" s="36" t="s">
        <v>132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807</v>
      </c>
      <c r="AG498" s="75"/>
      <c r="AJ498" s="79" t="s">
        <v>46</v>
      </c>
      <c r="AK498" s="79">
        <v>0</v>
      </c>
      <c r="BB498" s="586" t="s">
        <v>67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808</v>
      </c>
      <c r="B499" s="60" t="s">
        <v>809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133</v>
      </c>
      <c r="L499" s="35" t="s">
        <v>46</v>
      </c>
      <c r="M499" s="36" t="s">
        <v>132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810</v>
      </c>
      <c r="AG499" s="75"/>
      <c r="AJ499" s="79" t="s">
        <v>46</v>
      </c>
      <c r="AK499" s="79">
        <v>0</v>
      </c>
      <c r="BB499" s="588" t="s">
        <v>67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811</v>
      </c>
      <c r="B500" s="60" t="s">
        <v>812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133</v>
      </c>
      <c r="L500" s="35" t="s">
        <v>46</v>
      </c>
      <c r="M500" s="36" t="s">
        <v>90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813</v>
      </c>
      <c r="AG500" s="75"/>
      <c r="AJ500" s="79" t="s">
        <v>46</v>
      </c>
      <c r="AK500" s="79">
        <v>0</v>
      </c>
      <c r="BB500" s="590" t="s">
        <v>67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814</v>
      </c>
      <c r="B501" s="60" t="s">
        <v>815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133</v>
      </c>
      <c r="L501" s="35" t="s">
        <v>46</v>
      </c>
      <c r="M501" s="36" t="s">
        <v>132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816</v>
      </c>
      <c r="AG501" s="75"/>
      <c r="AJ501" s="79" t="s">
        <v>46</v>
      </c>
      <c r="AK501" s="79">
        <v>0</v>
      </c>
      <c r="BB501" s="592" t="s">
        <v>67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817</v>
      </c>
      <c r="B502" s="60" t="s">
        <v>818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91</v>
      </c>
      <c r="L502" s="35" t="s">
        <v>46</v>
      </c>
      <c r="M502" s="36" t="s">
        <v>90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131</v>
      </c>
      <c r="AG502" s="75"/>
      <c r="AJ502" s="79" t="s">
        <v>46</v>
      </c>
      <c r="AK502" s="79">
        <v>0</v>
      </c>
      <c r="BB502" s="594" t="s">
        <v>67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819</v>
      </c>
      <c r="B503" s="60" t="s">
        <v>820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140</v>
      </c>
      <c r="L503" s="35" t="s">
        <v>46</v>
      </c>
      <c r="M503" s="36" t="s">
        <v>90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131</v>
      </c>
      <c r="AG503" s="75"/>
      <c r="AJ503" s="79" t="s">
        <v>46</v>
      </c>
      <c r="AK503" s="79">
        <v>0</v>
      </c>
      <c r="BB503" s="596" t="s">
        <v>67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821</v>
      </c>
      <c r="B504" s="60" t="s">
        <v>822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140</v>
      </c>
      <c r="L504" s="35" t="s">
        <v>46</v>
      </c>
      <c r="M504" s="36" t="s">
        <v>132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816</v>
      </c>
      <c r="AG504" s="75"/>
      <c r="AJ504" s="79" t="s">
        <v>46</v>
      </c>
      <c r="AK504" s="79">
        <v>0</v>
      </c>
      <c r="BB504" s="598" t="s">
        <v>67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164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823</v>
      </c>
      <c r="B508" s="60" t="s">
        <v>824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133</v>
      </c>
      <c r="L508" s="35" t="s">
        <v>46</v>
      </c>
      <c r="M508" s="36" t="s">
        <v>90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825</v>
      </c>
      <c r="AG508" s="75"/>
      <c r="AJ508" s="79" t="s">
        <v>46</v>
      </c>
      <c r="AK508" s="79">
        <v>0</v>
      </c>
      <c r="BB508" s="600" t="s">
        <v>67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826</v>
      </c>
      <c r="B509" s="60" t="s">
        <v>827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91</v>
      </c>
      <c r="L509" s="35" t="s">
        <v>46</v>
      </c>
      <c r="M509" s="36" t="s">
        <v>132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825</v>
      </c>
      <c r="AG509" s="75"/>
      <c r="AJ509" s="79" t="s">
        <v>46</v>
      </c>
      <c r="AK509" s="79">
        <v>0</v>
      </c>
      <c r="BB509" s="602" t="s">
        <v>67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828</v>
      </c>
      <c r="B510" s="60" t="s">
        <v>829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140</v>
      </c>
      <c r="L510" s="35" t="s">
        <v>46</v>
      </c>
      <c r="M510" s="36" t="s">
        <v>132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825</v>
      </c>
      <c r="AG510" s="75"/>
      <c r="AJ510" s="79" t="s">
        <v>46</v>
      </c>
      <c r="AK510" s="79">
        <v>0</v>
      </c>
      <c r="BB510" s="604" t="s">
        <v>67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77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830</v>
      </c>
      <c r="B514" s="60" t="s">
        <v>831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133</v>
      </c>
      <c r="L514" s="35" t="s">
        <v>46</v>
      </c>
      <c r="M514" s="36" t="s">
        <v>132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832</v>
      </c>
      <c r="AG514" s="75"/>
      <c r="AJ514" s="79" t="s">
        <v>46</v>
      </c>
      <c r="AK514" s="79">
        <v>0</v>
      </c>
      <c r="BB514" s="606" t="s">
        <v>67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833</v>
      </c>
      <c r="B515" s="60" t="s">
        <v>834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133</v>
      </c>
      <c r="L515" s="35" t="s">
        <v>46</v>
      </c>
      <c r="M515" s="36" t="s">
        <v>81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835</v>
      </c>
      <c r="AG515" s="75"/>
      <c r="AJ515" s="79" t="s">
        <v>46</v>
      </c>
      <c r="AK515" s="79">
        <v>0</v>
      </c>
      <c r="BB515" s="608" t="s">
        <v>67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836</v>
      </c>
      <c r="B516" s="60" t="s">
        <v>837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133</v>
      </c>
      <c r="L516" s="35" t="s">
        <v>46</v>
      </c>
      <c r="M516" s="36" t="s">
        <v>81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838</v>
      </c>
      <c r="AG516" s="75"/>
      <c r="AJ516" s="79" t="s">
        <v>46</v>
      </c>
      <c r="AK516" s="79">
        <v>0</v>
      </c>
      <c r="BB516" s="610" t="s">
        <v>67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839</v>
      </c>
      <c r="B517" s="60" t="s">
        <v>840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140</v>
      </c>
      <c r="L517" s="35" t="s">
        <v>46</v>
      </c>
      <c r="M517" s="36" t="s">
        <v>132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832</v>
      </c>
      <c r="AG517" s="75"/>
      <c r="AJ517" s="79" t="s">
        <v>46</v>
      </c>
      <c r="AK517" s="79">
        <v>0</v>
      </c>
      <c r="BB517" s="612" t="s">
        <v>67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841</v>
      </c>
      <c r="B518" s="60" t="s">
        <v>842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140</v>
      </c>
      <c r="L518" s="35" t="s">
        <v>46</v>
      </c>
      <c r="M518" s="36" t="s">
        <v>81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835</v>
      </c>
      <c r="AG518" s="75"/>
      <c r="AJ518" s="79" t="s">
        <v>46</v>
      </c>
      <c r="AK518" s="79">
        <v>0</v>
      </c>
      <c r="BB518" s="614" t="s">
        <v>67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841</v>
      </c>
      <c r="B519" s="60" t="s">
        <v>843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140</v>
      </c>
      <c r="L519" s="35" t="s">
        <v>46</v>
      </c>
      <c r="M519" s="36" t="s">
        <v>81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835</v>
      </c>
      <c r="AG519" s="75"/>
      <c r="AJ519" s="79" t="s">
        <v>46</v>
      </c>
      <c r="AK519" s="79">
        <v>0</v>
      </c>
      <c r="BB519" s="616" t="s">
        <v>67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844</v>
      </c>
      <c r="B520" s="60" t="s">
        <v>845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140</v>
      </c>
      <c r="L520" s="35" t="s">
        <v>46</v>
      </c>
      <c r="M520" s="36" t="s">
        <v>81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838</v>
      </c>
      <c r="AG520" s="75"/>
      <c r="AJ520" s="79" t="s">
        <v>46</v>
      </c>
      <c r="AK520" s="79">
        <v>0</v>
      </c>
      <c r="BB520" s="618" t="s">
        <v>67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846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846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128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847</v>
      </c>
      <c r="B526" s="60" t="s">
        <v>848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133</v>
      </c>
      <c r="L526" s="35" t="s">
        <v>46</v>
      </c>
      <c r="M526" s="36" t="s">
        <v>132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849</v>
      </c>
      <c r="AG526" s="75"/>
      <c r="AJ526" s="79" t="s">
        <v>46</v>
      </c>
      <c r="AK526" s="79">
        <v>0</v>
      </c>
      <c r="BB526" s="620" t="s">
        <v>67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164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850</v>
      </c>
      <c r="B530" s="60" t="s">
        <v>851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133</v>
      </c>
      <c r="L530" s="35" t="s">
        <v>46</v>
      </c>
      <c r="M530" s="36" t="s">
        <v>132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852</v>
      </c>
      <c r="AG530" s="75"/>
      <c r="AJ530" s="79" t="s">
        <v>46</v>
      </c>
      <c r="AK530" s="79">
        <v>0</v>
      </c>
      <c r="BB530" s="622" t="s">
        <v>67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77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853</v>
      </c>
      <c r="B534" s="60" t="s">
        <v>854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140</v>
      </c>
      <c r="L534" s="35" t="s">
        <v>46</v>
      </c>
      <c r="M534" s="36" t="s">
        <v>81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855</v>
      </c>
      <c r="AG534" s="75"/>
      <c r="AJ534" s="79" t="s">
        <v>46</v>
      </c>
      <c r="AK534" s="79">
        <v>0</v>
      </c>
      <c r="BB534" s="624" t="s">
        <v>67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86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856</v>
      </c>
      <c r="B538" s="60" t="s">
        <v>857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133</v>
      </c>
      <c r="L538" s="35" t="s">
        <v>46</v>
      </c>
      <c r="M538" s="36" t="s">
        <v>90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858</v>
      </c>
      <c r="AG538" s="75"/>
      <c r="AJ538" s="79" t="s">
        <v>46</v>
      </c>
      <c r="AK538" s="79">
        <v>0</v>
      </c>
      <c r="BB538" s="62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181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859</v>
      </c>
      <c r="B542" s="60" t="s">
        <v>860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133</v>
      </c>
      <c r="L542" s="35" t="s">
        <v>46</v>
      </c>
      <c r="M542" s="36" t="s">
        <v>90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861</v>
      </c>
      <c r="AG542" s="75"/>
      <c r="AJ542" s="79" t="s">
        <v>46</v>
      </c>
      <c r="AK542" s="79">
        <v>0</v>
      </c>
      <c r="BB542" s="62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862</v>
      </c>
      <c r="B543" s="60" t="s">
        <v>863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133</v>
      </c>
      <c r="L543" s="35" t="s">
        <v>46</v>
      </c>
      <c r="M543" s="36" t="s">
        <v>90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864</v>
      </c>
      <c r="AG543" s="75"/>
      <c r="AJ543" s="79" t="s">
        <v>46</v>
      </c>
      <c r="AK543" s="79">
        <v>0</v>
      </c>
      <c r="BB543" s="63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865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164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866</v>
      </c>
      <c r="B548" s="60" t="s">
        <v>867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133</v>
      </c>
      <c r="L548" s="35" t="s">
        <v>46</v>
      </c>
      <c r="M548" s="36" t="s">
        <v>132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868</v>
      </c>
      <c r="AG548" s="75"/>
      <c r="AJ548" s="79" t="s">
        <v>46</v>
      </c>
      <c r="AK548" s="79">
        <v>0</v>
      </c>
      <c r="BB548" s="632" t="s">
        <v>67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17800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17807.399999999998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18913.641025641024</v>
      </c>
      <c r="Y552" s="41">
        <f>IFERROR(SUM(BN22:BN548),"0")</f>
        <v>18921.503999999997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36</v>
      </c>
      <c r="Y553" s="42">
        <f>ROUNDUP(SUM(BP22:BP548),0)</f>
        <v>36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19813.641025641024</v>
      </c>
      <c r="Y554" s="41">
        <f>GrossWeightTotalR+PalletQtyTotalR*25</f>
        <v>19821.503999999997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2282.0512820512822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2282.9999999999995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43.331339999999997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76</v>
      </c>
      <c r="C558" s="80" t="s">
        <v>45</v>
      </c>
      <c r="D558" s="633" t="s">
        <v>126</v>
      </c>
      <c r="E558" s="633" t="s">
        <v>126</v>
      </c>
      <c r="F558" s="633" t="s">
        <v>126</v>
      </c>
      <c r="G558" s="633" t="s">
        <v>126</v>
      </c>
      <c r="H558" s="633" t="s">
        <v>126</v>
      </c>
      <c r="I558" s="633" t="s">
        <v>126</v>
      </c>
      <c r="J558" s="633" t="s">
        <v>126</v>
      </c>
      <c r="K558" s="633" t="s">
        <v>358</v>
      </c>
      <c r="L558" s="633" t="s">
        <v>358</v>
      </c>
      <c r="M558" s="633" t="s">
        <v>358</v>
      </c>
      <c r="N558" s="634"/>
      <c r="O558" s="633" t="s">
        <v>358</v>
      </c>
      <c r="P558" s="633" t="s">
        <v>358</v>
      </c>
      <c r="Q558" s="633" t="s">
        <v>358</v>
      </c>
      <c r="R558" s="633" t="s">
        <v>358</v>
      </c>
      <c r="S558" s="633" t="s">
        <v>358</v>
      </c>
      <c r="T558" s="633" t="s">
        <v>358</v>
      </c>
      <c r="U558" s="633" t="s">
        <v>358</v>
      </c>
      <c r="V558" s="633" t="s">
        <v>697</v>
      </c>
      <c r="W558" s="633" t="s">
        <v>697</v>
      </c>
      <c r="X558" s="633" t="s">
        <v>763</v>
      </c>
      <c r="Y558" s="633" t="s">
        <v>763</v>
      </c>
      <c r="Z558" s="80" t="s">
        <v>799</v>
      </c>
      <c r="AA558" s="633" t="s">
        <v>846</v>
      </c>
      <c r="AB558" s="633" t="s">
        <v>846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76</v>
      </c>
      <c r="C559" s="633" t="s">
        <v>110</v>
      </c>
      <c r="D559" s="633" t="s">
        <v>127</v>
      </c>
      <c r="E559" s="633" t="s">
        <v>143</v>
      </c>
      <c r="F559" s="633" t="s">
        <v>188</v>
      </c>
      <c r="G559" s="633" t="s">
        <v>209</v>
      </c>
      <c r="H559" s="633" t="s">
        <v>248</v>
      </c>
      <c r="I559" s="633" t="s">
        <v>276</v>
      </c>
      <c r="J559" s="633" t="s">
        <v>126</v>
      </c>
      <c r="K559" s="633" t="s">
        <v>359</v>
      </c>
      <c r="L559" s="633" t="s">
        <v>380</v>
      </c>
      <c r="M559" s="633" t="s">
        <v>447</v>
      </c>
      <c r="N559" s="1"/>
      <c r="O559" s="633" t="s">
        <v>515</v>
      </c>
      <c r="P559" s="633" t="s">
        <v>548</v>
      </c>
      <c r="Q559" s="633" t="s">
        <v>564</v>
      </c>
      <c r="R559" s="633" t="s">
        <v>573</v>
      </c>
      <c r="S559" s="633" t="s">
        <v>594</v>
      </c>
      <c r="T559" s="633" t="s">
        <v>603</v>
      </c>
      <c r="U559" s="633" t="s">
        <v>687</v>
      </c>
      <c r="V559" s="633" t="s">
        <v>698</v>
      </c>
      <c r="W559" s="633" t="s">
        <v>747</v>
      </c>
      <c r="X559" s="633" t="s">
        <v>764</v>
      </c>
      <c r="Y559" s="633" t="s">
        <v>787</v>
      </c>
      <c r="Z559" s="633" t="s">
        <v>799</v>
      </c>
      <c r="AA559" s="633" t="s">
        <v>846</v>
      </c>
      <c r="AB559" s="633" t="s">
        <v>865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17807.399999999998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7 800,00"/>
        <filter val="18 913,64"/>
        <filter val="19 813,64"/>
        <filter val="2 282,05"/>
        <filter val="36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1" t="s">
        <v>870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871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872</v>
      </c>
      <c r="C6" s="51" t="s">
        <v>873</v>
      </c>
      <c r="D6" s="51" t="s">
        <v>874</v>
      </c>
      <c r="E6" s="51" t="s">
        <v>46</v>
      </c>
    </row>
    <row r="7" spans="2:8" x14ac:dyDescent="0.2">
      <c r="B7" s="51" t="s">
        <v>875</v>
      </c>
      <c r="C7" s="51" t="s">
        <v>876</v>
      </c>
      <c r="D7" s="51" t="s">
        <v>877</v>
      </c>
      <c r="E7" s="51" t="s">
        <v>46</v>
      </c>
    </row>
    <row r="8" spans="2:8" x14ac:dyDescent="0.2">
      <c r="B8" s="51" t="s">
        <v>878</v>
      </c>
      <c r="C8" s="51" t="s">
        <v>879</v>
      </c>
      <c r="D8" s="51" t="s">
        <v>880</v>
      </c>
      <c r="E8" s="51" t="s">
        <v>46</v>
      </c>
    </row>
    <row r="10" spans="2:8" x14ac:dyDescent="0.2">
      <c r="B10" s="51" t="s">
        <v>881</v>
      </c>
      <c r="C10" s="51" t="s">
        <v>873</v>
      </c>
      <c r="D10" s="51" t="s">
        <v>46</v>
      </c>
      <c r="E10" s="51" t="s">
        <v>46</v>
      </c>
    </row>
    <row r="12" spans="2:8" x14ac:dyDescent="0.2">
      <c r="B12" s="51" t="s">
        <v>882</v>
      </c>
      <c r="C12" s="51" t="s">
        <v>876</v>
      </c>
      <c r="D12" s="51" t="s">
        <v>46</v>
      </c>
      <c r="E12" s="51" t="s">
        <v>46</v>
      </c>
    </row>
    <row r="14" spans="2:8" x14ac:dyDescent="0.2">
      <c r="B14" s="51" t="s">
        <v>883</v>
      </c>
      <c r="C14" s="51" t="s">
        <v>879</v>
      </c>
      <c r="D14" s="51" t="s">
        <v>46</v>
      </c>
      <c r="E14" s="51" t="s">
        <v>46</v>
      </c>
    </row>
    <row r="16" spans="2:8" x14ac:dyDescent="0.2">
      <c r="B16" s="51" t="s">
        <v>884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892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893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894</v>
      </c>
      <c r="C26" s="51" t="s">
        <v>46</v>
      </c>
      <c r="D26" s="51" t="s">
        <v>46</v>
      </c>
      <c r="E26" s="51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2026-08-08T06:11:46Z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