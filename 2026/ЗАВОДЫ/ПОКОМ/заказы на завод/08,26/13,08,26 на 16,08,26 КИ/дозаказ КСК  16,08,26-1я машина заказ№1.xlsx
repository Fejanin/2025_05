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58AF93-C625-4727-B4B2-19BE3D571E7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Y151" i="2"/>
  <c r="Y55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Z124" i="2" s="1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369" i="2"/>
  <c r="Z386" i="2"/>
  <c r="Z418" i="2"/>
  <c r="Z32" i="2"/>
  <c r="Z338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<sst xmlns="http://schemas.openxmlformats.org/spreadsheetml/2006/main" count="4194" uniqueCount="891">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</sst>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X417" sqref="X41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46250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Воскресенье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500</v>
      </c>
      <c r="Y97" s="53">
        <f>IFERROR(IF(X97="",0,CEILING((X97/$H97),1)*$H97),"")</f>
        <v>502.20000000000005</v>
      </c>
      <c r="Z97" s="39">
        <f>IFERROR(IF(Y97=0,"",ROUNDUP(Y97/H97,0)*0.00651),"")</f>
        <v>1.21086</v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546.66666666666663</v>
      </c>
      <c r="BN97" s="75">
        <f>IFERROR(Y97*I97/H97,"0")</f>
        <v>549.072</v>
      </c>
      <c r="BO97" s="75">
        <f>IFERROR(1/J97*(X97/H97),"0")</f>
        <v>1.0175010175010175</v>
      </c>
      <c r="BP97" s="75">
        <f>IFERROR(1/J97*(Y97/H97),"0")</f>
        <v>1.0219780219780221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185.18518518518516</v>
      </c>
      <c r="Y99" s="41">
        <f>IFERROR(Y95/H95,"0")+IFERROR(Y96/H96,"0")+IFERROR(Y97/H97,"0")+IFERROR(Y98/H98,"0")</f>
        <v>186</v>
      </c>
      <c r="Z99" s="41">
        <f>IFERROR(IF(Z95="",0,Z95),"0")+IFERROR(IF(Z96="",0,Z96),"0")+IFERROR(IF(Z97="",0,Z97),"0")+IFERROR(IF(Z98="",0,Z98),"0")</f>
        <v>1.21086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500</v>
      </c>
      <c r="Y100" s="41">
        <f>IFERROR(SUM(Y95:Y98),"0")</f>
        <v>502.20000000000005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600</v>
      </c>
      <c r="Y120" s="53">
        <f>IFERROR(IF(X120="",0,CEILING((X120/$H120),1)*$H120),"")</f>
        <v>607.5</v>
      </c>
      <c r="Z120" s="39">
        <f>IFERROR(IF(Y120=0,"",ROUNDUP(Y120/H120,0)*0.01898),"")</f>
        <v>1.4235</v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636.14814814814804</v>
      </c>
      <c r="BN120" s="75">
        <f>IFERROR(Y120*I120/H120,"0")</f>
        <v>644.09999999999991</v>
      </c>
      <c r="BO120" s="75">
        <f>IFERROR(1/J120*(X120/H120),"0")</f>
        <v>1.1574074074074074</v>
      </c>
      <c r="BP120" s="75">
        <f>IFERROR(1/J120*(Y120/H120),"0")</f>
        <v>1.171875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500</v>
      </c>
      <c r="Y122" s="53">
        <f>IFERROR(IF(X122="",0,CEILING((X122/$H122),1)*$H122),"")</f>
        <v>502.20000000000005</v>
      </c>
      <c r="Z122" s="39">
        <f>IFERROR(IF(Y122=0,"",ROUNDUP(Y122/H122,0)*0.00651),"")</f>
        <v>1.21086</v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546.66666666666663</v>
      </c>
      <c r="BN122" s="75">
        <f>IFERROR(Y122*I122/H122,"0")</f>
        <v>549.072</v>
      </c>
      <c r="BO122" s="75">
        <f>IFERROR(1/J122*(X122/H122),"0")</f>
        <v>1.0175010175010175</v>
      </c>
      <c r="BP122" s="75">
        <f>IFERROR(1/J122*(Y122/H122),"0")</f>
        <v>1.0219780219780221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259.25925925925924</v>
      </c>
      <c r="Y124" s="41">
        <f>IFERROR(Y120/H120,"0")+IFERROR(Y121/H121,"0")+IFERROR(Y122/H122,"0")+IFERROR(Y123/H123,"0")</f>
        <v>261</v>
      </c>
      <c r="Z124" s="41">
        <f>IFERROR(IF(Z120="",0,Z120),"0")+IFERROR(IF(Z121="",0,Z121),"0")+IFERROR(IF(Z122="",0,Z122),"0")+IFERROR(IF(Z123="",0,Z123),"0")</f>
        <v>2.63436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1100</v>
      </c>
      <c r="Y125" s="41">
        <f>IFERROR(SUM(Y120:Y123),"0")</f>
        <v>1109.7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200</v>
      </c>
      <c r="Y336" s="53">
        <f>IFERROR(IF(X336="",0,CEILING((X336/$H336),1)*$H336),"")</f>
        <v>201.6</v>
      </c>
      <c r="Z336" s="39">
        <f>IFERROR(IF(Y336=0,"",ROUNDUP(Y336/H336,0)*0.00651),"")</f>
        <v>0.54683999999999999</v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221</v>
      </c>
      <c r="BN336" s="75">
        <f>IFERROR(Y336*I336/H336,"0")</f>
        <v>222.768</v>
      </c>
      <c r="BO336" s="75">
        <f>IFERROR(1/J336*(X336/H336),"0")</f>
        <v>0.45787545787545797</v>
      </c>
      <c r="BP336" s="75">
        <f>IFERROR(1/J336*(Y336/H336),"0")</f>
        <v>0.46153846153846156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83.333333333333343</v>
      </c>
      <c r="Y338" s="41">
        <f>IFERROR(Y335/H335,"0")+IFERROR(Y336/H336,"0")+IFERROR(Y337/H337,"0")</f>
        <v>84</v>
      </c>
      <c r="Z338" s="41">
        <f>IFERROR(IF(Z335="",0,Z335),"0")+IFERROR(IF(Z336="",0,Z336),"0")+IFERROR(IF(Z337="",0,Z337),"0")</f>
        <v>0.54683999999999999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200</v>
      </c>
      <c r="Y339" s="41">
        <f>IFERROR(SUM(Y335:Y337),"0")</f>
        <v>201.6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1800</v>
      </c>
      <c r="Y416" s="53">
        <f>IFERROR(IF(X416="",0,CEILING((X416/$H416),1)*$H416),"")</f>
        <v>1801.8000000000002</v>
      </c>
      <c r="Z416" s="39">
        <f>IFERROR(IF(Y416=0,"",ROUNDUP(Y416/H416,0)*0.00651),"")</f>
        <v>5.5855800000000002</v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2015.9999999999995</v>
      </c>
      <c r="BN416" s="75">
        <f>IFERROR(Y416*I416/H416,"0")</f>
        <v>2018.0159999999998</v>
      </c>
      <c r="BO416" s="75">
        <f>IFERROR(1/J416*(X416/H416),"0")</f>
        <v>4.7095761381475665</v>
      </c>
      <c r="BP416" s="75">
        <f>IFERROR(1/J416*(Y416/H416),"0")</f>
        <v>4.7142857142857144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857.14285714285711</v>
      </c>
      <c r="Y418" s="41">
        <f>IFERROR(Y415/H415,"0")+IFERROR(Y416/H416,"0")+IFERROR(Y417/H417,"0")</f>
        <v>858</v>
      </c>
      <c r="Z418" s="41">
        <f>IFERROR(IF(Z415="",0,Z415),"0")+IFERROR(IF(Z416="",0,Z416),"0")+IFERROR(IF(Z417="",0,Z417),"0")</f>
        <v>5.5855800000000002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1800</v>
      </c>
      <c r="Y419" s="41">
        <f>IFERROR(SUM(Y415:Y417),"0")</f>
        <v>1801.8000000000002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hidden="1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0</v>
      </c>
      <c r="Y431" s="41">
        <f>IFERROR(Y423/H423,"0")+IFERROR(Y424/H424,"0")+IFERROR(Y425/H425,"0")+IFERROR(Y426/H426,"0")+IFERROR(Y427/H427,"0")+IFERROR(Y428/H428,"0")+IFERROR(Y429/H429,"0")+IFERROR(Y430/H430,"0")</f>
        <v>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4"/>
      <c r="AB431" s="64"/>
      <c r="AC431" s="64"/>
    </row>
    <row r="432" spans="1:68" hidden="1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0</v>
      </c>
      <c r="Y432" s="41">
        <f>IFERROR(SUM(Y423:Y430),"0")</f>
        <v>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3600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3615.3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3966.4814814814808</v>
      </c>
      <c r="Y552" s="41">
        <f>IFERROR(SUM(BN22:BN548),"0")</f>
        <v>3983.0280000000002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9</v>
      </c>
      <c r="Y553" s="42">
        <f>ROUNDUP(SUM(BP22:BP548),0)</f>
        <v>9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4191.4814814814808</v>
      </c>
      <c r="Y554" s="41">
        <f>GrossWeightTotalR+PalletQtyTotalR*25</f>
        <v>4208.0280000000002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1384.9206349206347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1389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9.977640000000001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502.20000000000005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1109.7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201.6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1801.8000000000002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84,92"/>
        <filter val="1 800,00"/>
        <filter val="185,19"/>
        <filter val="200,00"/>
        <filter val="259,26"/>
        <filter val="3 600,00"/>
        <filter val="3 966,48"/>
        <filter val="4 191,48"/>
        <filter val="500,00"/>
        <filter val="600,00"/>
        <filter val="83,33"/>
        <filter val="857,14"/>
        <filter val="9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2026-08-15T19:02:51Z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