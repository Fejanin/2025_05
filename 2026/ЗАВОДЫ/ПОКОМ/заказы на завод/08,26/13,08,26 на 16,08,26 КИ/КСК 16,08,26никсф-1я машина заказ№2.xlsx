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A3F3819-F32C-4754-A321-CEF86A1E03B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AC565" i="2" s="1"/>
  <c r="P552" i="2"/>
  <c r="X549" i="2"/>
  <c r="X548" i="2"/>
  <c r="BO547" i="2"/>
  <c r="BM547" i="2"/>
  <c r="Y547" i="2"/>
  <c r="P547" i="2"/>
  <c r="BO546" i="2"/>
  <c r="BM546" i="2"/>
  <c r="Y546" i="2"/>
  <c r="BP546" i="2" s="1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BP534" i="2" s="1"/>
  <c r="P534" i="2"/>
  <c r="X532" i="2"/>
  <c r="X531" i="2"/>
  <c r="BO530" i="2"/>
  <c r="BM530" i="2"/>
  <c r="Y530" i="2"/>
  <c r="P530" i="2"/>
  <c r="X526" i="2"/>
  <c r="X525" i="2"/>
  <c r="BO524" i="2"/>
  <c r="BM524" i="2"/>
  <c r="Y524" i="2"/>
  <c r="P524" i="2"/>
  <c r="BO523" i="2"/>
  <c r="BM523" i="2"/>
  <c r="Y523" i="2"/>
  <c r="BN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Z512" i="2" s="1"/>
  <c r="P512" i="2"/>
  <c r="X510" i="2"/>
  <c r="X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X496" i="2"/>
  <c r="X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Z492" i="2" s="1"/>
  <c r="P492" i="2"/>
  <c r="X490" i="2"/>
  <c r="X489" i="2"/>
  <c r="BO488" i="2"/>
  <c r="BM488" i="2"/>
  <c r="Y488" i="2"/>
  <c r="BN488" i="2" s="1"/>
  <c r="P488" i="2"/>
  <c r="X485" i="2"/>
  <c r="X484" i="2"/>
  <c r="BO483" i="2"/>
  <c r="BM483" i="2"/>
  <c r="Y483" i="2"/>
  <c r="BP483" i="2" s="1"/>
  <c r="P483" i="2"/>
  <c r="BO482" i="2"/>
  <c r="BM482" i="2"/>
  <c r="Y482" i="2"/>
  <c r="Y484" i="2" s="1"/>
  <c r="P482" i="2"/>
  <c r="X480" i="2"/>
  <c r="X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P473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X453" i="2"/>
  <c r="X452" i="2"/>
  <c r="BO451" i="2"/>
  <c r="BM451" i="2"/>
  <c r="Y451" i="2"/>
  <c r="P451" i="2"/>
  <c r="BO450" i="2"/>
  <c r="BM450" i="2"/>
  <c r="Y450" i="2"/>
  <c r="BN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Z444" i="2" s="1"/>
  <c r="P444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P438" i="2"/>
  <c r="X436" i="2"/>
  <c r="X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P421" i="2"/>
  <c r="BO420" i="2"/>
  <c r="BM420" i="2"/>
  <c r="Y420" i="2"/>
  <c r="BP420" i="2" s="1"/>
  <c r="P420" i="2"/>
  <c r="BO419" i="2"/>
  <c r="BM419" i="2"/>
  <c r="Y419" i="2"/>
  <c r="P419" i="2"/>
  <c r="X416" i="2"/>
  <c r="X415" i="2"/>
  <c r="BO414" i="2"/>
  <c r="BM414" i="2"/>
  <c r="Y414" i="2"/>
  <c r="Z414" i="2" s="1"/>
  <c r="BO413" i="2"/>
  <c r="BM413" i="2"/>
  <c r="Y413" i="2"/>
  <c r="X410" i="2"/>
  <c r="X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Y403" i="2" s="1"/>
  <c r="P400" i="2"/>
  <c r="X398" i="2"/>
  <c r="X397" i="2"/>
  <c r="BO396" i="2"/>
  <c r="BM396" i="2"/>
  <c r="Y396" i="2"/>
  <c r="BN396" i="2" s="1"/>
  <c r="P396" i="2"/>
  <c r="BO395" i="2"/>
  <c r="BM395" i="2"/>
  <c r="Y395" i="2"/>
  <c r="BP395" i="2" s="1"/>
  <c r="P395" i="2"/>
  <c r="BO394" i="2"/>
  <c r="BM394" i="2"/>
  <c r="Y394" i="2"/>
  <c r="Z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X368" i="2"/>
  <c r="X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X351" i="2"/>
  <c r="X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P334" i="2"/>
  <c r="BO333" i="2"/>
  <c r="BM333" i="2"/>
  <c r="Y333" i="2"/>
  <c r="Z333" i="2" s="1"/>
  <c r="P333" i="2"/>
  <c r="X330" i="2"/>
  <c r="X329" i="2"/>
  <c r="BO328" i="2"/>
  <c r="BM328" i="2"/>
  <c r="Y328" i="2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P319" i="2"/>
  <c r="BO318" i="2"/>
  <c r="BM318" i="2"/>
  <c r="Y318" i="2"/>
  <c r="Z318" i="2" s="1"/>
  <c r="P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Z299" i="2" s="1"/>
  <c r="P299" i="2"/>
  <c r="X296" i="2"/>
  <c r="X295" i="2"/>
  <c r="BO294" i="2"/>
  <c r="BM294" i="2"/>
  <c r="Y294" i="2"/>
  <c r="P294" i="2"/>
  <c r="BO293" i="2"/>
  <c r="BM293" i="2"/>
  <c r="Y293" i="2"/>
  <c r="Y296" i="2" s="1"/>
  <c r="P293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Z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Y250" i="2" s="1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Z221" i="2" s="1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BP200" i="2" s="1"/>
  <c r="P200" i="2"/>
  <c r="X198" i="2"/>
  <c r="X197" i="2"/>
  <c r="BO196" i="2"/>
  <c r="BM196" i="2"/>
  <c r="Y196" i="2"/>
  <c r="BN196" i="2" s="1"/>
  <c r="P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Z190" i="2" s="1"/>
  <c r="P190" i="2"/>
  <c r="BO189" i="2"/>
  <c r="BM189" i="2"/>
  <c r="Y189" i="2"/>
  <c r="BN189" i="2" s="1"/>
  <c r="P189" i="2"/>
  <c r="X187" i="2"/>
  <c r="X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P170" i="2"/>
  <c r="X168" i="2"/>
  <c r="X167" i="2"/>
  <c r="BO166" i="2"/>
  <c r="BM166" i="2"/>
  <c r="Y166" i="2"/>
  <c r="Z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BN154" i="2" s="1"/>
  <c r="P154" i="2"/>
  <c r="BO153" i="2"/>
  <c r="BM153" i="2"/>
  <c r="Y153" i="2"/>
  <c r="P153" i="2"/>
  <c r="BO152" i="2"/>
  <c r="BM152" i="2"/>
  <c r="Y152" i="2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P136" i="2"/>
  <c r="BO135" i="2"/>
  <c r="BM135" i="2"/>
  <c r="Y135" i="2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BO129" i="2"/>
  <c r="BM129" i="2"/>
  <c r="Y129" i="2"/>
  <c r="BN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P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P92" i="2"/>
  <c r="BO91" i="2"/>
  <c r="BM91" i="2"/>
  <c r="Y91" i="2"/>
  <c r="BP91" i="2" s="1"/>
  <c r="P91" i="2"/>
  <c r="X89" i="2"/>
  <c r="X88" i="2"/>
  <c r="BO87" i="2"/>
  <c r="BM87" i="2"/>
  <c r="Y87" i="2"/>
  <c r="Z87" i="2" s="1"/>
  <c r="P87" i="2"/>
  <c r="BO86" i="2"/>
  <c r="BM86" i="2"/>
  <c r="Y86" i="2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P79" i="2" s="1"/>
  <c r="P79" i="2"/>
  <c r="BO78" i="2"/>
  <c r="BM78" i="2"/>
  <c r="Y78" i="2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BN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Y442" i="2" l="1"/>
  <c r="Z138" i="2"/>
  <c r="BP28" i="2"/>
  <c r="Z274" i="2"/>
  <c r="BN274" i="2"/>
  <c r="BP278" i="2"/>
  <c r="Z67" i="2"/>
  <c r="BN67" i="2"/>
  <c r="Z196" i="2"/>
  <c r="Z343" i="2"/>
  <c r="BN343" i="2"/>
  <c r="BP444" i="2"/>
  <c r="Z520" i="2"/>
  <c r="Z58" i="2"/>
  <c r="BN58" i="2"/>
  <c r="Z94" i="2"/>
  <c r="BN94" i="2"/>
  <c r="Y107" i="2"/>
  <c r="Z176" i="2"/>
  <c r="Z238" i="2"/>
  <c r="Z304" i="2"/>
  <c r="Z370" i="2"/>
  <c r="BN370" i="2"/>
  <c r="Z371" i="2"/>
  <c r="BN371" i="2"/>
  <c r="Z420" i="2"/>
  <c r="BN420" i="2"/>
  <c r="Z475" i="2"/>
  <c r="Z534" i="2"/>
  <c r="Z535" i="2" s="1"/>
  <c r="Y535" i="2"/>
  <c r="Z546" i="2"/>
  <c r="Y24" i="2"/>
  <c r="Z39" i="2"/>
  <c r="BN39" i="2"/>
  <c r="BP40" i="2"/>
  <c r="Z61" i="2"/>
  <c r="Z91" i="2"/>
  <c r="BN91" i="2"/>
  <c r="Z111" i="2"/>
  <c r="Z183" i="2"/>
  <c r="Z210" i="2"/>
  <c r="BN210" i="2"/>
  <c r="BP225" i="2"/>
  <c r="Z247" i="2"/>
  <c r="BN247" i="2"/>
  <c r="BP268" i="2"/>
  <c r="Z284" i="2"/>
  <c r="BN284" i="2"/>
  <c r="Z286" i="2"/>
  <c r="BN286" i="2"/>
  <c r="Z324" i="2"/>
  <c r="BN324" i="2"/>
  <c r="Z325" i="2"/>
  <c r="BN325" i="2"/>
  <c r="Z363" i="2"/>
  <c r="Z383" i="2"/>
  <c r="Z396" i="2"/>
  <c r="Z477" i="2"/>
  <c r="Z522" i="2"/>
  <c r="Y201" i="2"/>
  <c r="Y202" i="2"/>
  <c r="Y516" i="2"/>
  <c r="BP27" i="2"/>
  <c r="Z27" i="2"/>
  <c r="BN56" i="2"/>
  <c r="Z56" i="2"/>
  <c r="BN62" i="2"/>
  <c r="BN86" i="2"/>
  <c r="BP86" i="2"/>
  <c r="BN101" i="2"/>
  <c r="Z113" i="2"/>
  <c r="BP113" i="2"/>
  <c r="BN120" i="2"/>
  <c r="Z120" i="2"/>
  <c r="BN135" i="2"/>
  <c r="Z135" i="2"/>
  <c r="BN152" i="2"/>
  <c r="Z152" i="2"/>
  <c r="Z170" i="2"/>
  <c r="BP170" i="2"/>
  <c r="BN223" i="2"/>
  <c r="Z223" i="2"/>
  <c r="BN252" i="2"/>
  <c r="BN270" i="2"/>
  <c r="BN280" i="2"/>
  <c r="BP294" i="2"/>
  <c r="BN294" i="2"/>
  <c r="Z294" i="2"/>
  <c r="BN349" i="2"/>
  <c r="X556" i="2"/>
  <c r="BP30" i="2"/>
  <c r="BN30" i="2"/>
  <c r="Z30" i="2"/>
  <c r="BN38" i="2"/>
  <c r="Z59" i="2"/>
  <c r="BP59" i="2"/>
  <c r="Z78" i="2"/>
  <c r="Y81" i="2"/>
  <c r="BN79" i="2"/>
  <c r="Z79" i="2"/>
  <c r="Z92" i="2"/>
  <c r="BP92" i="2"/>
  <c r="BP135" i="2"/>
  <c r="Z136" i="2"/>
  <c r="BP136" i="2"/>
  <c r="BP152" i="2"/>
  <c r="BN153" i="2"/>
  <c r="Z153" i="2"/>
  <c r="BN178" i="2"/>
  <c r="Z195" i="2"/>
  <c r="Y198" i="2"/>
  <c r="BN195" i="2"/>
  <c r="BN206" i="2"/>
  <c r="BP223" i="2"/>
  <c r="BN224" i="2"/>
  <c r="BP227" i="2"/>
  <c r="BN227" i="2"/>
  <c r="Z227" i="2"/>
  <c r="BP231" i="2"/>
  <c r="BN231" i="2"/>
  <c r="Z231" i="2"/>
  <c r="BN233" i="2"/>
  <c r="BN242" i="2"/>
  <c r="BN318" i="2"/>
  <c r="BP328" i="2"/>
  <c r="BN328" i="2"/>
  <c r="Z328" i="2"/>
  <c r="BN334" i="2"/>
  <c r="BP334" i="2"/>
  <c r="BP376" i="2"/>
  <c r="BN395" i="2"/>
  <c r="BN440" i="2"/>
  <c r="BN466" i="2"/>
  <c r="BN476" i="2"/>
  <c r="BN502" i="2"/>
  <c r="BN507" i="2"/>
  <c r="BN521" i="2"/>
  <c r="X559" i="2"/>
  <c r="BN50" i="2"/>
  <c r="BN68" i="2"/>
  <c r="BN84" i="2"/>
  <c r="BP111" i="2"/>
  <c r="BN112" i="2"/>
  <c r="BN118" i="2"/>
  <c r="BN144" i="2"/>
  <c r="BN200" i="2"/>
  <c r="BN212" i="2"/>
  <c r="BN248" i="2"/>
  <c r="Y367" i="2"/>
  <c r="Z374" i="2"/>
  <c r="BN374" i="2"/>
  <c r="Z376" i="2"/>
  <c r="Y378" i="2"/>
  <c r="Z387" i="2"/>
  <c r="BN387" i="2"/>
  <c r="Y397" i="2"/>
  <c r="BP396" i="2"/>
  <c r="BN406" i="2"/>
  <c r="Y423" i="2"/>
  <c r="Z429" i="2"/>
  <c r="BN431" i="2"/>
  <c r="Z446" i="2"/>
  <c r="BN446" i="2"/>
  <c r="Z450" i="2"/>
  <c r="Y452" i="2"/>
  <c r="BN451" i="2"/>
  <c r="Y453" i="2"/>
  <c r="Y469" i="2"/>
  <c r="BN465" i="2"/>
  <c r="Y479" i="2"/>
  <c r="BP477" i="2"/>
  <c r="BN478" i="2"/>
  <c r="BN503" i="2"/>
  <c r="BP512" i="2"/>
  <c r="BP522" i="2"/>
  <c r="BP31" i="2"/>
  <c r="BP179" i="2"/>
  <c r="Z179" i="2"/>
  <c r="Z211" i="2"/>
  <c r="BN211" i="2"/>
  <c r="Z232" i="2"/>
  <c r="BN232" i="2"/>
  <c r="BP317" i="2"/>
  <c r="Y320" i="2"/>
  <c r="BN317" i="2"/>
  <c r="Y321" i="2"/>
  <c r="Z317" i="2"/>
  <c r="BP430" i="2"/>
  <c r="BN430" i="2"/>
  <c r="Z430" i="2"/>
  <c r="BP494" i="2"/>
  <c r="Z494" i="2"/>
  <c r="X555" i="2"/>
  <c r="D565" i="2"/>
  <c r="E565" i="2"/>
  <c r="BP55" i="2"/>
  <c r="Z57" i="2"/>
  <c r="BP57" i="2"/>
  <c r="Y70" i="2"/>
  <c r="Z74" i="2"/>
  <c r="BP74" i="2"/>
  <c r="BP78" i="2"/>
  <c r="Z85" i="2"/>
  <c r="Z100" i="2"/>
  <c r="Z102" i="2"/>
  <c r="BP102" i="2"/>
  <c r="Z105" i="2"/>
  <c r="Z109" i="2"/>
  <c r="Y133" i="2"/>
  <c r="Z154" i="2"/>
  <c r="BP155" i="2"/>
  <c r="Z155" i="2"/>
  <c r="Z175" i="2"/>
  <c r="Z180" i="2"/>
  <c r="BP180" i="2"/>
  <c r="BP182" i="2"/>
  <c r="Z182" i="2"/>
  <c r="BP189" i="2"/>
  <c r="BP207" i="2"/>
  <c r="BN207" i="2"/>
  <c r="BP217" i="2"/>
  <c r="Y218" i="2"/>
  <c r="Z217" i="2"/>
  <c r="Z218" i="2" s="1"/>
  <c r="BP228" i="2"/>
  <c r="BN228" i="2"/>
  <c r="BP241" i="2"/>
  <c r="BN241" i="2"/>
  <c r="Z241" i="2"/>
  <c r="Y276" i="2"/>
  <c r="BP269" i="2"/>
  <c r="BP301" i="2"/>
  <c r="BN301" i="2"/>
  <c r="Z301" i="2"/>
  <c r="BN319" i="2"/>
  <c r="BP319" i="2"/>
  <c r="Z319" i="2"/>
  <c r="BN342" i="2"/>
  <c r="BP342" i="2"/>
  <c r="Z342" i="2"/>
  <c r="BN381" i="2"/>
  <c r="BP381" i="2"/>
  <c r="Z381" i="2"/>
  <c r="BN432" i="2"/>
  <c r="BP432" i="2"/>
  <c r="Z432" i="2"/>
  <c r="Z504" i="2"/>
  <c r="BP504" i="2"/>
  <c r="BP547" i="2"/>
  <c r="BN547" i="2"/>
  <c r="BN267" i="2"/>
  <c r="BP267" i="2"/>
  <c r="Z267" i="2"/>
  <c r="BP327" i="2"/>
  <c r="Z327" i="2"/>
  <c r="BN340" i="2"/>
  <c r="Y345" i="2"/>
  <c r="Z340" i="2"/>
  <c r="Z413" i="2"/>
  <c r="Z415" i="2" s="1"/>
  <c r="BN413" i="2"/>
  <c r="Z524" i="2"/>
  <c r="BP524" i="2"/>
  <c r="Z538" i="2"/>
  <c r="Z539" i="2" s="1"/>
  <c r="BP538" i="2"/>
  <c r="Y539" i="2"/>
  <c r="Y25" i="2"/>
  <c r="X557" i="2"/>
  <c r="BN27" i="2"/>
  <c r="BN31" i="2"/>
  <c r="Z38" i="2"/>
  <c r="Z47" i="2"/>
  <c r="BP47" i="2"/>
  <c r="Z50" i="2"/>
  <c r="Z55" i="2"/>
  <c r="BN61" i="2"/>
  <c r="Z62" i="2"/>
  <c r="Z66" i="2"/>
  <c r="Z68" i="2"/>
  <c r="Y80" i="2"/>
  <c r="G565" i="2"/>
  <c r="BP99" i="2"/>
  <c r="Z101" i="2"/>
  <c r="BP103" i="2"/>
  <c r="Y114" i="2"/>
  <c r="Z118" i="2"/>
  <c r="Y146" i="2"/>
  <c r="Z143" i="2"/>
  <c r="J565" i="2"/>
  <c r="Y168" i="2"/>
  <c r="BP166" i="2"/>
  <c r="BN166" i="2"/>
  <c r="BN179" i="2"/>
  <c r="Z189" i="2"/>
  <c r="BP196" i="2"/>
  <c r="Z207" i="2"/>
  <c r="Y213" i="2"/>
  <c r="BP222" i="2"/>
  <c r="Z222" i="2"/>
  <c r="Z228" i="2"/>
  <c r="Y235" i="2"/>
  <c r="BP271" i="2"/>
  <c r="BN271" i="2"/>
  <c r="Z271" i="2"/>
  <c r="BP335" i="2"/>
  <c r="BN335" i="2"/>
  <c r="Z335" i="2"/>
  <c r="BN355" i="2"/>
  <c r="BP355" i="2"/>
  <c r="Z355" i="2"/>
  <c r="Z365" i="2"/>
  <c r="BN365" i="2"/>
  <c r="Z407" i="2"/>
  <c r="BN407" i="2"/>
  <c r="Z467" i="2"/>
  <c r="BP467" i="2"/>
  <c r="Z514" i="2"/>
  <c r="BP514" i="2"/>
  <c r="Y515" i="2"/>
  <c r="Y531" i="2"/>
  <c r="BN530" i="2"/>
  <c r="Y543" i="2"/>
  <c r="BN542" i="2"/>
  <c r="Y89" i="2"/>
  <c r="BP109" i="2"/>
  <c r="BN119" i="2"/>
  <c r="Z119" i="2"/>
  <c r="BN175" i="2"/>
  <c r="Y187" i="2"/>
  <c r="BP281" i="2"/>
  <c r="BN281" i="2"/>
  <c r="Z281" i="2"/>
  <c r="A10" i="2"/>
  <c r="Z22" i="2"/>
  <c r="BP22" i="2"/>
  <c r="Y33" i="2"/>
  <c r="Y43" i="2"/>
  <c r="BP48" i="2"/>
  <c r="BP69" i="2"/>
  <c r="BN78" i="2"/>
  <c r="Z84" i="2"/>
  <c r="BN85" i="2"/>
  <c r="BN105" i="2"/>
  <c r="Z110" i="2"/>
  <c r="Z112" i="2"/>
  <c r="BP119" i="2"/>
  <c r="Y122" i="2"/>
  <c r="H565" i="2"/>
  <c r="Z129" i="2"/>
  <c r="BN155" i="2"/>
  <c r="BN177" i="2"/>
  <c r="Z177" i="2"/>
  <c r="BN182" i="2"/>
  <c r="BP211" i="2"/>
  <c r="BN217" i="2"/>
  <c r="Y219" i="2"/>
  <c r="BP232" i="2"/>
  <c r="BN279" i="2"/>
  <c r="BP279" i="2"/>
  <c r="Y295" i="2"/>
  <c r="Z293" i="2"/>
  <c r="Y330" i="2"/>
  <c r="BP340" i="2"/>
  <c r="BP413" i="2"/>
  <c r="W565" i="2"/>
  <c r="BN427" i="2"/>
  <c r="BP427" i="2"/>
  <c r="Z427" i="2"/>
  <c r="BP130" i="2"/>
  <c r="BN138" i="2"/>
  <c r="BP153" i="2"/>
  <c r="Y173" i="2"/>
  <c r="BN183" i="2"/>
  <c r="BP190" i="2"/>
  <c r="BP195" i="2"/>
  <c r="Y197" i="2"/>
  <c r="BN238" i="2"/>
  <c r="Y244" i="2"/>
  <c r="Y254" i="2"/>
  <c r="BP285" i="2"/>
  <c r="BP299" i="2"/>
  <c r="BN302" i="2"/>
  <c r="BN305" i="2"/>
  <c r="BP309" i="2"/>
  <c r="BP333" i="2"/>
  <c r="BN341" i="2"/>
  <c r="BP344" i="2"/>
  <c r="BN361" i="2"/>
  <c r="BN364" i="2"/>
  <c r="BN366" i="2"/>
  <c r="BP375" i="2"/>
  <c r="BN380" i="2"/>
  <c r="Y385" i="2"/>
  <c r="BP388" i="2"/>
  <c r="BP393" i="2"/>
  <c r="BN408" i="2"/>
  <c r="Y409" i="2"/>
  <c r="BP414" i="2"/>
  <c r="BP419" i="2"/>
  <c r="Y468" i="2"/>
  <c r="BP474" i="2"/>
  <c r="Z565" i="2"/>
  <c r="Y490" i="2"/>
  <c r="BP519" i="2"/>
  <c r="Y525" i="2"/>
  <c r="Y145" i="2"/>
  <c r="BP142" i="2"/>
  <c r="Z144" i="2"/>
  <c r="BP176" i="2"/>
  <c r="Z178" i="2"/>
  <c r="Z200" i="2"/>
  <c r="Z201" i="2" s="1"/>
  <c r="Z206" i="2"/>
  <c r="Z212" i="2"/>
  <c r="Y214" i="2"/>
  <c r="Y236" i="2"/>
  <c r="BP221" i="2"/>
  <c r="Z224" i="2"/>
  <c r="Z233" i="2"/>
  <c r="BP242" i="2"/>
  <c r="Z248" i="2"/>
  <c r="Z252" i="2"/>
  <c r="Z253" i="2" s="1"/>
  <c r="Y265" i="2"/>
  <c r="Z270" i="2"/>
  <c r="Z280" i="2"/>
  <c r="BP318" i="2"/>
  <c r="BP349" i="2"/>
  <c r="Y358" i="2"/>
  <c r="BP354" i="2"/>
  <c r="T565" i="2"/>
  <c r="Y377" i="2"/>
  <c r="Z395" i="2"/>
  <c r="Y422" i="2"/>
  <c r="BP431" i="2"/>
  <c r="Z439" i="2"/>
  <c r="Z451" i="2"/>
  <c r="X565" i="2"/>
  <c r="Z466" i="2"/>
  <c r="Z476" i="2"/>
  <c r="Z488" i="2"/>
  <c r="Z489" i="2" s="1"/>
  <c r="BP492" i="2"/>
  <c r="Z503" i="2"/>
  <c r="Z506" i="2"/>
  <c r="BN512" i="2"/>
  <c r="BP513" i="2"/>
  <c r="Z521" i="2"/>
  <c r="BP523" i="2"/>
  <c r="Y536" i="2"/>
  <c r="Z273" i="2"/>
  <c r="Z283" i="2"/>
  <c r="BN285" i="2"/>
  <c r="Y307" i="2"/>
  <c r="Z302" i="2"/>
  <c r="Z305" i="2"/>
  <c r="Y310" i="2"/>
  <c r="Z341" i="2"/>
  <c r="Y357" i="2"/>
  <c r="Z361" i="2"/>
  <c r="BP361" i="2"/>
  <c r="Z364" i="2"/>
  <c r="Z366" i="2"/>
  <c r="Y368" i="2"/>
  <c r="Z373" i="2"/>
  <c r="BN375" i="2"/>
  <c r="Z380" i="2"/>
  <c r="BN393" i="2"/>
  <c r="Y398" i="2"/>
  <c r="BP394" i="2"/>
  <c r="Z406" i="2"/>
  <c r="Z408" i="2"/>
  <c r="Y410" i="2"/>
  <c r="BN414" i="2"/>
  <c r="BN419" i="2"/>
  <c r="Z440" i="2"/>
  <c r="BP450" i="2"/>
  <c r="Z465" i="2"/>
  <c r="BP465" i="2"/>
  <c r="BN474" i="2"/>
  <c r="BP475" i="2"/>
  <c r="Z478" i="2"/>
  <c r="Y489" i="2"/>
  <c r="AA565" i="2"/>
  <c r="BP500" i="2"/>
  <c r="BN501" i="2"/>
  <c r="Z502" i="2"/>
  <c r="Z507" i="2"/>
  <c r="Z513" i="2"/>
  <c r="BN519" i="2"/>
  <c r="BP520" i="2"/>
  <c r="Z523" i="2"/>
  <c r="BN143" i="2"/>
  <c r="Z240" i="2"/>
  <c r="BN29" i="2"/>
  <c r="Y32" i="2"/>
  <c r="BN41" i="2"/>
  <c r="BP56" i="2"/>
  <c r="BP66" i="2"/>
  <c r="BN87" i="2"/>
  <c r="BP100" i="2"/>
  <c r="BP110" i="2"/>
  <c r="BP120" i="2"/>
  <c r="BN131" i="2"/>
  <c r="BP143" i="2"/>
  <c r="BP154" i="2"/>
  <c r="BN165" i="2"/>
  <c r="BP177" i="2"/>
  <c r="BN185" i="2"/>
  <c r="BN209" i="2"/>
  <c r="BN230" i="2"/>
  <c r="BN240" i="2"/>
  <c r="Y243" i="2"/>
  <c r="BP252" i="2"/>
  <c r="BN263" i="2"/>
  <c r="BN273" i="2"/>
  <c r="BN283" i="2"/>
  <c r="BN293" i="2"/>
  <c r="BN304" i="2"/>
  <c r="BN327" i="2"/>
  <c r="BN363" i="2"/>
  <c r="BN373" i="2"/>
  <c r="BN383" i="2"/>
  <c r="Z393" i="2"/>
  <c r="BN429" i="2"/>
  <c r="BN439" i="2"/>
  <c r="BP451" i="2"/>
  <c r="Y463" i="2"/>
  <c r="BP501" i="2"/>
  <c r="Y510" i="2"/>
  <c r="Y548" i="2"/>
  <c r="K565" i="2"/>
  <c r="BP117" i="2"/>
  <c r="Y193" i="2"/>
  <c r="BN100" i="2"/>
  <c r="Z131" i="2"/>
  <c r="BN48" i="2"/>
  <c r="Y51" i="2"/>
  <c r="BN59" i="2"/>
  <c r="BN6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BN225" i="2"/>
  <c r="BP258" i="2"/>
  <c r="BN268" i="2"/>
  <c r="BN278" i="2"/>
  <c r="BP288" i="2"/>
  <c r="BN299" i="2"/>
  <c r="BN309" i="2"/>
  <c r="BN333" i="2"/>
  <c r="Y336" i="2"/>
  <c r="BN344" i="2"/>
  <c r="BN388" i="2"/>
  <c r="BP400" i="2"/>
  <c r="BP434" i="2"/>
  <c r="BN444" i="2"/>
  <c r="Y447" i="2"/>
  <c r="BP457" i="2"/>
  <c r="BN467" i="2"/>
  <c r="Y480" i="2"/>
  <c r="BN492" i="2"/>
  <c r="Y495" i="2"/>
  <c r="BN504" i="2"/>
  <c r="BN514" i="2"/>
  <c r="BN524" i="2"/>
  <c r="BN538" i="2"/>
  <c r="L565" i="2"/>
  <c r="Y125" i="2"/>
  <c r="BP29" i="2"/>
  <c r="BP41" i="2"/>
  <c r="BP87" i="2"/>
  <c r="Y121" i="2"/>
  <c r="BP165" i="2"/>
  <c r="BP185" i="2"/>
  <c r="BP209" i="2"/>
  <c r="BP230" i="2"/>
  <c r="BP263" i="2"/>
  <c r="BP293" i="2"/>
  <c r="Y315" i="2"/>
  <c r="Y404" i="2"/>
  <c r="Y485" i="2"/>
  <c r="Y532" i="2"/>
  <c r="Y544" i="2"/>
  <c r="M565" i="2"/>
  <c r="Y259" i="2"/>
  <c r="Y435" i="2"/>
  <c r="Y458" i="2"/>
  <c r="Y549" i="2"/>
  <c r="O565" i="2"/>
  <c r="Y160" i="2"/>
  <c r="Y42" i="2"/>
  <c r="Y52" i="2"/>
  <c r="Y88" i="2"/>
  <c r="Y96" i="2"/>
  <c r="Y132" i="2"/>
  <c r="Y140" i="2"/>
  <c r="Z150" i="2"/>
  <c r="Y186" i="2"/>
  <c r="Y264" i="2"/>
  <c r="Z289" i="2"/>
  <c r="Y337" i="2"/>
  <c r="Y384" i="2"/>
  <c r="Z401" i="2"/>
  <c r="Y448" i="2"/>
  <c r="Z482" i="2"/>
  <c r="Y496" i="2"/>
  <c r="P565" i="2"/>
  <c r="Q565" i="2"/>
  <c r="Z37" i="2"/>
  <c r="Z49" i="2"/>
  <c r="Z60" i="2"/>
  <c r="Y75" i="2"/>
  <c r="Z93" i="2"/>
  <c r="Z104" i="2"/>
  <c r="BP129" i="2"/>
  <c r="Z137" i="2"/>
  <c r="BN150" i="2"/>
  <c r="Y161" i="2"/>
  <c r="Z171" i="2"/>
  <c r="Z181" i="2"/>
  <c r="Z191" i="2"/>
  <c r="Z226" i="2"/>
  <c r="Z246" i="2"/>
  <c r="Y260" i="2"/>
  <c r="Z269" i="2"/>
  <c r="Z279" i="2"/>
  <c r="BN289" i="2"/>
  <c r="Z300" i="2"/>
  <c r="Z334" i="2"/>
  <c r="Y350" i="2"/>
  <c r="Z389" i="2"/>
  <c r="BN401" i="2"/>
  <c r="Y415" i="2"/>
  <c r="Y436" i="2"/>
  <c r="Z445" i="2"/>
  <c r="Y459" i="2"/>
  <c r="BN482" i="2"/>
  <c r="Z493" i="2"/>
  <c r="Z505" i="2"/>
  <c r="Z552" i="2"/>
  <c r="Z553" i="2" s="1"/>
  <c r="R565" i="2"/>
  <c r="BN534" i="2"/>
  <c r="BN546" i="2"/>
  <c r="S565" i="2"/>
  <c r="Z23" i="2"/>
  <c r="BN37" i="2"/>
  <c r="BN49" i="2"/>
  <c r="BN60" i="2"/>
  <c r="Y63" i="2"/>
  <c r="Y71" i="2"/>
  <c r="BN93" i="2"/>
  <c r="BN104" i="2"/>
  <c r="Y115" i="2"/>
  <c r="Z124" i="2"/>
  <c r="Z125" i="2" s="1"/>
  <c r="BN171" i="2"/>
  <c r="BN181" i="2"/>
  <c r="BN191" i="2"/>
  <c r="BN226" i="2"/>
  <c r="Y249" i="2"/>
  <c r="Z257" i="2"/>
  <c r="BN269" i="2"/>
  <c r="Z287" i="2"/>
  <c r="BN300" i="2"/>
  <c r="Y311" i="2"/>
  <c r="BN389" i="2"/>
  <c r="Z421" i="2"/>
  <c r="Z433" i="2"/>
  <c r="BN445" i="2"/>
  <c r="Z456" i="2"/>
  <c r="BP482" i="2"/>
  <c r="BN493" i="2"/>
  <c r="BN505" i="2"/>
  <c r="Y526" i="2"/>
  <c r="Y540" i="2"/>
  <c r="BN552" i="2"/>
  <c r="BN137" i="2"/>
  <c r="Z234" i="2"/>
  <c r="BN246" i="2"/>
  <c r="Y346" i="2"/>
  <c r="Z356" i="2"/>
  <c r="Z28" i="2"/>
  <c r="Z40" i="2"/>
  <c r="BN55" i="2"/>
  <c r="Y76" i="2"/>
  <c r="Z86" i="2"/>
  <c r="BN99" i="2"/>
  <c r="Z130" i="2"/>
  <c r="BN142" i="2"/>
  <c r="Y156" i="2"/>
  <c r="Z164" i="2"/>
  <c r="Z167" i="2" s="1"/>
  <c r="Z184" i="2"/>
  <c r="Z208" i="2"/>
  <c r="BN221" i="2"/>
  <c r="Z229" i="2"/>
  <c r="Z239" i="2"/>
  <c r="Z262" i="2"/>
  <c r="Z264" i="2" s="1"/>
  <c r="Z272" i="2"/>
  <c r="Z282" i="2"/>
  <c r="Z303" i="2"/>
  <c r="Z326" i="2"/>
  <c r="Y351" i="2"/>
  <c r="Z362" i="2"/>
  <c r="Z372" i="2"/>
  <c r="Z382" i="2"/>
  <c r="BN394" i="2"/>
  <c r="Y416" i="2"/>
  <c r="Z428" i="2"/>
  <c r="Z438" i="2"/>
  <c r="Z461" i="2"/>
  <c r="Z462" i="2" s="1"/>
  <c r="BP488" i="2"/>
  <c r="BN500" i="2"/>
  <c r="Z508" i="2"/>
  <c r="B565" i="2"/>
  <c r="U565" i="2"/>
  <c r="BP171" i="2"/>
  <c r="Y290" i="2"/>
  <c r="BN421" i="2"/>
  <c r="BN433" i="2"/>
  <c r="BN456" i="2"/>
  <c r="BP552" i="2"/>
  <c r="C565" i="2"/>
  <c r="V565" i="2"/>
  <c r="BN23" i="2"/>
  <c r="BN234" i="2"/>
  <c r="BP246" i="2"/>
  <c r="Y64" i="2"/>
  <c r="Z73" i="2"/>
  <c r="Z117" i="2"/>
  <c r="Z151" i="2"/>
  <c r="BN164" i="2"/>
  <c r="Y167" i="2"/>
  <c r="BN184" i="2"/>
  <c r="BN208" i="2"/>
  <c r="BN229" i="2"/>
  <c r="BN239" i="2"/>
  <c r="BN262" i="2"/>
  <c r="BN272" i="2"/>
  <c r="Y275" i="2"/>
  <c r="BN282" i="2"/>
  <c r="BN303" i="2"/>
  <c r="Y306" i="2"/>
  <c r="Z313" i="2"/>
  <c r="Z314" i="2" s="1"/>
  <c r="BN326" i="2"/>
  <c r="Y329" i="2"/>
  <c r="Z348" i="2"/>
  <c r="Z350" i="2" s="1"/>
  <c r="BN362" i="2"/>
  <c r="BN372" i="2"/>
  <c r="BN382" i="2"/>
  <c r="Z402" i="2"/>
  <c r="BN428" i="2"/>
  <c r="BN438" i="2"/>
  <c r="Y441" i="2"/>
  <c r="BN461" i="2"/>
  <c r="Z473" i="2"/>
  <c r="Z483" i="2"/>
  <c r="BN508" i="2"/>
  <c r="Z518" i="2"/>
  <c r="Z530" i="2"/>
  <c r="Z531" i="2" s="1"/>
  <c r="Z542" i="2"/>
  <c r="Z543" i="2" s="1"/>
  <c r="BN124" i="2"/>
  <c r="BN257" i="2"/>
  <c r="BN287" i="2"/>
  <c r="F9" i="2"/>
  <c r="H9" i="2"/>
  <c r="BP23" i="2"/>
  <c r="BP124" i="2"/>
  <c r="Y157" i="2"/>
  <c r="Y172" i="2"/>
  <c r="Y192" i="2"/>
  <c r="BP234" i="2"/>
  <c r="Z354" i="2"/>
  <c r="BP356" i="2"/>
  <c r="Y390" i="2"/>
  <c r="Z419" i="2"/>
  <c r="BP421" i="2"/>
  <c r="BP456" i="2"/>
  <c r="Z547" i="2"/>
  <c r="Y553" i="2"/>
  <c r="J9" i="2"/>
  <c r="BN73" i="2"/>
  <c r="BN151" i="2"/>
  <c r="BP164" i="2"/>
  <c r="Y291" i="2"/>
  <c r="BN313" i="2"/>
  <c r="BN348" i="2"/>
  <c r="BN402" i="2"/>
  <c r="BP438" i="2"/>
  <c r="BP461" i="2"/>
  <c r="BN473" i="2"/>
  <c r="BN483" i="2"/>
  <c r="BN518" i="2"/>
  <c r="F565" i="2"/>
  <c r="Y565" i="2"/>
  <c r="Z149" i="2"/>
  <c r="Z258" i="2"/>
  <c r="Z288" i="2"/>
  <c r="BP313" i="2"/>
  <c r="Y391" i="2"/>
  <c r="Z400" i="2"/>
  <c r="Z434" i="2"/>
  <c r="Z457" i="2"/>
  <c r="BP473" i="2"/>
  <c r="BN494" i="2"/>
  <c r="BN506" i="2"/>
  <c r="Y509" i="2"/>
  <c r="BP530" i="2"/>
  <c r="BP542" i="2"/>
  <c r="Y554" i="2"/>
  <c r="I565" i="2"/>
  <c r="AB565" i="2"/>
  <c r="Z159" i="2"/>
  <c r="Z160" i="2" s="1"/>
  <c r="BN400" i="2"/>
  <c r="Z548" i="2" l="1"/>
  <c r="Z336" i="2"/>
  <c r="Z172" i="2"/>
  <c r="Z515" i="2"/>
  <c r="Z197" i="2"/>
  <c r="Z422" i="2"/>
  <c r="Z357" i="2"/>
  <c r="Z525" i="2"/>
  <c r="Z75" i="2"/>
  <c r="Z377" i="2"/>
  <c r="Z243" i="2"/>
  <c r="Z132" i="2"/>
  <c r="Z32" i="2"/>
  <c r="Z24" i="2"/>
  <c r="Z509" i="2"/>
  <c r="Z447" i="2"/>
  <c r="Z390" i="2"/>
  <c r="Z249" i="2"/>
  <c r="Z95" i="2"/>
  <c r="Z63" i="2"/>
  <c r="Z295" i="2"/>
  <c r="Z80" i="2"/>
  <c r="Z70" i="2"/>
  <c r="Z329" i="2"/>
  <c r="Z51" i="2"/>
  <c r="Z397" i="2"/>
  <c r="Z409" i="2"/>
  <c r="Z213" i="2"/>
  <c r="Z145" i="2"/>
  <c r="Z345" i="2"/>
  <c r="Y556" i="2"/>
  <c r="Z156" i="2"/>
  <c r="Z479" i="2"/>
  <c r="Z121" i="2"/>
  <c r="Z441" i="2"/>
  <c r="Z495" i="2"/>
  <c r="Z139" i="2"/>
  <c r="Z468" i="2"/>
  <c r="Z452" i="2"/>
  <c r="X558" i="2"/>
  <c r="Z367" i="2"/>
  <c r="Z290" i="2"/>
  <c r="Z106" i="2"/>
  <c r="Y559" i="2"/>
  <c r="Z114" i="2"/>
  <c r="Z88" i="2"/>
  <c r="Z235" i="2"/>
  <c r="Z275" i="2"/>
  <c r="Z192" i="2"/>
  <c r="Z435" i="2"/>
  <c r="Z384" i="2"/>
  <c r="Z259" i="2"/>
  <c r="Z306" i="2"/>
  <c r="Z186" i="2"/>
  <c r="Y555" i="2"/>
  <c r="Y557" i="2"/>
  <c r="Z320" i="2"/>
  <c r="Z42" i="2"/>
  <c r="Z484" i="2"/>
  <c r="Z403" i="2"/>
  <c r="Z458" i="2"/>
  <c r="Y558" i="2" l="1"/>
  <c r="Z560" i="2"/>
</calcChain>
</file>

<file path=xl/sharedStrings.xml><?xml version="1.0" encoding="utf-8"?>
<sst xmlns="http://schemas.openxmlformats.org/spreadsheetml/2006/main" count="4237" uniqueCount="896">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</sst>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38" sqref="AA3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895</v>
      </c>
      <c r="I5" s="649"/>
      <c r="J5" s="649"/>
      <c r="K5" s="649"/>
      <c r="L5" s="649"/>
      <c r="M5" s="649"/>
      <c r="N5" s="72"/>
      <c r="P5" s="27" t="s">
        <v>4</v>
      </c>
      <c r="Q5" s="651">
        <v>46250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877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Воскресенье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1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0.375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hidden="1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hidden="1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1.92</v>
      </c>
      <c r="Y38" s="55">
        <f>IFERROR(IF(X38="",0,CEILING((X38/$H38),1)*$H38),"")</f>
        <v>1.92</v>
      </c>
      <c r="Z38" s="41">
        <f>IFERROR(IF(Y38=0,"",ROUNDUP(Y38/H38,0)*0.00651),"")</f>
        <v>6.5100000000000002E-3</v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2.1</v>
      </c>
      <c r="BN38" s="78">
        <f>IFERROR(Y38*I38/H38,"0")</f>
        <v>2.1</v>
      </c>
      <c r="BO38" s="78">
        <f>IFERROR(1/J38*(X38/H38),"0")</f>
        <v>5.4945054945054949E-3</v>
      </c>
      <c r="BP38" s="78">
        <f>IFERROR(1/J38*(Y38/H38),"0")</f>
        <v>5.4945054945054949E-3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1</v>
      </c>
      <c r="Y42" s="43">
        <f>IFERROR(Y37/H37,"0")+IFERROR(Y38/H38,"0")+IFERROR(Y39/H39,"0")+IFERROR(Y40/H40,"0")+IFERROR(Y41/H41,"0")</f>
        <v>1</v>
      </c>
      <c r="Z42" s="43">
        <f>IFERROR(IF(Z37="",0,Z37),"0")+IFERROR(IF(Z38="",0,Z38),"0")+IFERROR(IF(Z39="",0,Z39),"0")+IFERROR(IF(Z40="",0,Z40),"0")+IFERROR(IF(Z41="",0,Z41),"0")</f>
        <v>6.5100000000000002E-3</v>
      </c>
      <c r="AA42" s="67"/>
      <c r="AB42" s="67"/>
      <c r="AC42" s="67"/>
    </row>
    <row r="43" spans="1:68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1.92</v>
      </c>
      <c r="Y43" s="43">
        <f>IFERROR(SUM(Y37:Y41),"0")</f>
        <v>1.92</v>
      </c>
      <c r="Z43" s="42"/>
      <c r="AA43" s="67"/>
      <c r="AB43" s="67"/>
      <c r="AC43" s="67"/>
    </row>
    <row r="44" spans="1:68" ht="27.75" hidden="1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hidden="1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hidden="1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50</v>
      </c>
      <c r="Y47" s="55">
        <f>IFERROR(IF(X47="",0,CEILING((X47/$H47),1)*$H47),"")</f>
        <v>54</v>
      </c>
      <c r="Z47" s="41">
        <f>IFERROR(IF(Y47=0,"",ROUNDUP(Y47/H47,0)*0.01898),"")</f>
        <v>9.4899999999999998E-2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51.898148148148145</v>
      </c>
      <c r="BN47" s="78">
        <f>IFERROR(Y47*I47/H47,"0")</f>
        <v>56.05</v>
      </c>
      <c r="BO47" s="78">
        <f>IFERROR(1/J47*(X47/H47),"0")</f>
        <v>7.2337962962962965E-2</v>
      </c>
      <c r="BP47" s="78">
        <f>IFERROR(1/J47*(Y47/H47),"0")</f>
        <v>7.8125E-2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4.6296296296296298</v>
      </c>
      <c r="Y51" s="43">
        <f>IFERROR(Y47/H47,"0")+IFERROR(Y48/H48,"0")+IFERROR(Y49/H49,"0")+IFERROR(Y50/H50,"0")</f>
        <v>5</v>
      </c>
      <c r="Z51" s="43">
        <f>IFERROR(IF(Z47="",0,Z47),"0")+IFERROR(IF(Z48="",0,Z48),"0")+IFERROR(IF(Z49="",0,Z49),"0")+IFERROR(IF(Z50="",0,Z50),"0")</f>
        <v>9.4899999999999998E-2</v>
      </c>
      <c r="AA51" s="67"/>
      <c r="AB51" s="67"/>
      <c r="AC51" s="67"/>
    </row>
    <row r="52" spans="1:68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50</v>
      </c>
      <c r="Y52" s="43">
        <f>IFERROR(SUM(Y47:Y50),"0")</f>
        <v>54</v>
      </c>
      <c r="Z52" s="42"/>
      <c r="AA52" s="67"/>
      <c r="AB52" s="67"/>
      <c r="AC52" s="67"/>
    </row>
    <row r="53" spans="1:68" ht="16.5" hidden="1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hidden="1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67.5</v>
      </c>
      <c r="Y62" s="55">
        <f t="shared" si="0"/>
        <v>67.5</v>
      </c>
      <c r="Z62" s="41">
        <f>IFERROR(IF(Y62=0,"",ROUNDUP(Y62/H62,0)*0.00902),"")</f>
        <v>0.1353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70.350000000000009</v>
      </c>
      <c r="BN62" s="78">
        <f t="shared" si="2"/>
        <v>70.350000000000009</v>
      </c>
      <c r="BO62" s="78">
        <f t="shared" si="3"/>
        <v>0.11363636363636365</v>
      </c>
      <c r="BP62" s="78">
        <f t="shared" si="4"/>
        <v>0.11363636363636365</v>
      </c>
    </row>
    <row r="63" spans="1:68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15</v>
      </c>
      <c r="Y63" s="43">
        <f>IFERROR(Y55/H55,"0")+IFERROR(Y56/H56,"0")+IFERROR(Y57/H57,"0")+IFERROR(Y58/H58,"0")+IFERROR(Y59/H59,"0")+IFERROR(Y60/H60,"0")+IFERROR(Y61/H61,"0")+IFERROR(Y62/H62,"0")</f>
        <v>15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0.1353</v>
      </c>
      <c r="AA63" s="67"/>
      <c r="AB63" s="67"/>
      <c r="AC63" s="67"/>
    </row>
    <row r="64" spans="1:68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67.5</v>
      </c>
      <c r="Y64" s="43">
        <f>IFERROR(SUM(Y55:Y62),"0")</f>
        <v>67.5</v>
      </c>
      <c r="Z64" s="42"/>
      <c r="AA64" s="67"/>
      <c r="AB64" s="67"/>
      <c r="AC64" s="67"/>
    </row>
    <row r="65" spans="1:68" ht="14.25" hidden="1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50</v>
      </c>
      <c r="Y66" s="55">
        <f>IFERROR(IF(X66="",0,CEILING((X66/$H66),1)*$H66),"")</f>
        <v>54</v>
      </c>
      <c r="Z66" s="41">
        <f>IFERROR(IF(Y66=0,"",ROUNDUP(Y66/H66,0)*0.01898),"")</f>
        <v>9.4899999999999998E-2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51.898148148148145</v>
      </c>
      <c r="BN66" s="78">
        <f>IFERROR(Y66*I66/H66,"0")</f>
        <v>56.05</v>
      </c>
      <c r="BO66" s="78">
        <f>IFERROR(1/J66*(X66/H66),"0")</f>
        <v>7.2337962962962965E-2</v>
      </c>
      <c r="BP66" s="78">
        <f>IFERROR(1/J66*(Y66/H66),"0")</f>
        <v>7.8125E-2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4.6296296296296298</v>
      </c>
      <c r="Y70" s="43">
        <f>IFERROR(Y66/H66,"0")+IFERROR(Y67/H67,"0")+IFERROR(Y68/H68,"0")+IFERROR(Y69/H69,"0")</f>
        <v>5</v>
      </c>
      <c r="Z70" s="43">
        <f>IFERROR(IF(Z66="",0,Z66),"0")+IFERROR(IF(Z67="",0,Z67),"0")+IFERROR(IF(Z68="",0,Z68),"0")+IFERROR(IF(Z69="",0,Z69),"0")</f>
        <v>9.4899999999999998E-2</v>
      </c>
      <c r="AA70" s="67"/>
      <c r="AB70" s="67"/>
      <c r="AC70" s="67"/>
    </row>
    <row r="71" spans="1:68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50</v>
      </c>
      <c r="Y71" s="43">
        <f>IFERROR(SUM(Y66:Y69),"0")</f>
        <v>54</v>
      </c>
      <c r="Z71" s="42"/>
      <c r="AA71" s="67"/>
      <c r="AB71" s="67"/>
      <c r="AC71" s="67"/>
    </row>
    <row r="72" spans="1:68" ht="14.25" hidden="1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hidden="1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16</v>
      </c>
      <c r="Y91" s="55">
        <f>IFERROR(IF(X91="",0,CEILING((X91/$H91),1)*$H91),"")</f>
        <v>16.2</v>
      </c>
      <c r="Z91" s="41">
        <f>IFERROR(IF(Y91=0,"",ROUNDUP(Y91/H91,0)*0.01898),"")</f>
        <v>3.7960000000000001E-2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16.975802469135804</v>
      </c>
      <c r="BN91" s="78">
        <f>IFERROR(Y91*I91/H91,"0")</f>
        <v>17.187999999999999</v>
      </c>
      <c r="BO91" s="78">
        <f>IFERROR(1/J91*(X91/H91),"0")</f>
        <v>3.0864197530864199E-2</v>
      </c>
      <c r="BP91" s="78">
        <f>IFERROR(1/J91*(Y91/H91),"0")</f>
        <v>3.125E-2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1.9753086419753088</v>
      </c>
      <c r="Y95" s="43">
        <f>IFERROR(Y91/H91,"0")+IFERROR(Y92/H92,"0")+IFERROR(Y93/H93,"0")+IFERROR(Y94/H94,"0")</f>
        <v>2</v>
      </c>
      <c r="Z95" s="43">
        <f>IFERROR(IF(Z91="",0,Z91),"0")+IFERROR(IF(Z92="",0,Z92),"0")+IFERROR(IF(Z93="",0,Z93),"0")+IFERROR(IF(Z94="",0,Z94),"0")</f>
        <v>3.7960000000000001E-2</v>
      </c>
      <c r="AA95" s="67"/>
      <c r="AB95" s="67"/>
      <c r="AC95" s="67"/>
    </row>
    <row r="96" spans="1:68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16</v>
      </c>
      <c r="Y96" s="43">
        <f>IFERROR(SUM(Y91:Y94),"0")</f>
        <v>16.2</v>
      </c>
      <c r="Z96" s="42"/>
      <c r="AA96" s="67"/>
      <c r="AB96" s="67"/>
      <c r="AC96" s="67"/>
    </row>
    <row r="97" spans="1:68" ht="16.5" hidden="1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hidden="1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20</v>
      </c>
      <c r="Y99" s="55">
        <f t="shared" ref="Y99:Y105" si="5">IFERROR(IF(X99="",0,CEILING((X99/$H99),1)*$H99),"")</f>
        <v>21.6</v>
      </c>
      <c r="Z99" s="41">
        <f>IFERROR(IF(Y99=0,"",ROUNDUP(Y99/H99,0)*0.01898),"")</f>
        <v>3.7960000000000001E-2</v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20.75925925925926</v>
      </c>
      <c r="BN99" s="78">
        <f t="shared" ref="BN99:BN105" si="7">IFERROR(Y99*I99/H99,"0")</f>
        <v>22.42</v>
      </c>
      <c r="BO99" s="78">
        <f t="shared" ref="BO99:BO105" si="8">IFERROR(1/J99*(X99/H99),"0")</f>
        <v>2.8935185185185182E-2</v>
      </c>
      <c r="BP99" s="78">
        <f t="shared" ref="BP99:BP105" si="9">IFERROR(1/J99*(Y99/H99),"0")</f>
        <v>3.125E-2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1.8518518518518516</v>
      </c>
      <c r="Y106" s="43">
        <f>IFERROR(Y99/H99,"0")+IFERROR(Y100/H100,"0")+IFERROR(Y101/H101,"0")+IFERROR(Y102/H102,"0")+IFERROR(Y103/H103,"0")+IFERROR(Y104/H104,"0")+IFERROR(Y105/H105,"0")</f>
        <v>2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3.7960000000000001E-2</v>
      </c>
      <c r="AA106" s="67"/>
      <c r="AB106" s="67"/>
      <c r="AC106" s="67"/>
    </row>
    <row r="107" spans="1:68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20</v>
      </c>
      <c r="Y107" s="43">
        <f>IFERROR(SUM(Y99:Y105),"0")</f>
        <v>21.6</v>
      </c>
      <c r="Z107" s="42"/>
      <c r="AA107" s="67"/>
      <c r="AB107" s="67"/>
      <c r="AC107" s="67"/>
    </row>
    <row r="108" spans="1:68" ht="14.25" hidden="1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100</v>
      </c>
      <c r="Y117" s="55">
        <f>IFERROR(IF(X117="",0,CEILING((X117/$H117),1)*$H117),"")</f>
        <v>105.3</v>
      </c>
      <c r="Z117" s="41">
        <f>IFERROR(IF(Y117=0,"",ROUNDUP(Y117/H117,0)*0.01898),"")</f>
        <v>0.24674000000000001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106.0246913580247</v>
      </c>
      <c r="BN117" s="78">
        <f>IFERROR(Y117*I117/H117,"0")</f>
        <v>111.64399999999999</v>
      </c>
      <c r="BO117" s="78">
        <f>IFERROR(1/J117*(X117/H117),"0")</f>
        <v>0.19290123456790123</v>
      </c>
      <c r="BP117" s="78">
        <f>IFERROR(1/J117*(Y117/H117),"0")</f>
        <v>0.203125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5.4</v>
      </c>
      <c r="Y119" s="55">
        <f>IFERROR(IF(X119="",0,CEILING((X119/$H119),1)*$H119),"")</f>
        <v>5.4</v>
      </c>
      <c r="Z119" s="41">
        <f>IFERROR(IF(Y119=0,"",ROUNDUP(Y119/H119,0)*0.00651),"")</f>
        <v>1.302E-2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5.9039999999999999</v>
      </c>
      <c r="BN119" s="78">
        <f>IFERROR(Y119*I119/H119,"0")</f>
        <v>5.9039999999999999</v>
      </c>
      <c r="BO119" s="78">
        <f>IFERROR(1/J119*(X119/H119),"0")</f>
        <v>1.098901098901099E-2</v>
      </c>
      <c r="BP119" s="78">
        <f>IFERROR(1/J119*(Y119/H119),"0")</f>
        <v>1.098901098901099E-2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14.345679012345679</v>
      </c>
      <c r="Y121" s="43">
        <f>IFERROR(Y117/H117,"0")+IFERROR(Y118/H118,"0")+IFERROR(Y119/H119,"0")+IFERROR(Y120/H120,"0")</f>
        <v>15</v>
      </c>
      <c r="Z121" s="43">
        <f>IFERROR(IF(Z117="",0,Z117),"0")+IFERROR(IF(Z118="",0,Z118),"0")+IFERROR(IF(Z119="",0,Z119),"0")+IFERROR(IF(Z120="",0,Z120),"0")</f>
        <v>0.25975999999999999</v>
      </c>
      <c r="AA121" s="67"/>
      <c r="AB121" s="67"/>
      <c r="AC121" s="67"/>
    </row>
    <row r="122" spans="1:68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105.4</v>
      </c>
      <c r="Y122" s="43">
        <f>IFERROR(SUM(Y117:Y120),"0")</f>
        <v>110.7</v>
      </c>
      <c r="Z122" s="42"/>
      <c r="AA122" s="67"/>
      <c r="AB122" s="67"/>
      <c r="AC122" s="67"/>
    </row>
    <row r="123" spans="1:68" ht="14.25" hidden="1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hidden="1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hidden="1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12.9</v>
      </c>
      <c r="Y166" s="55">
        <f>IFERROR(IF(X166="",0,CEILING((X166/$H166),1)*$H166),"")</f>
        <v>12.9</v>
      </c>
      <c r="Z166" s="41">
        <f>IFERROR(IF(Y166=0,"",ROUNDUP(Y166/H166,0)*0.00651),"")</f>
        <v>3.2550000000000003E-2</v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13.799999999999999</v>
      </c>
      <c r="BN166" s="78">
        <f>IFERROR(Y166*I166/H166,"0")</f>
        <v>13.799999999999999</v>
      </c>
      <c r="BO166" s="78">
        <f>IFERROR(1/J166*(X166/H166),"0")</f>
        <v>2.7472527472527476E-2</v>
      </c>
      <c r="BP166" s="78">
        <f>IFERROR(1/J166*(Y166/H166),"0")</f>
        <v>2.7472527472527476E-2</v>
      </c>
    </row>
    <row r="167" spans="1:68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5</v>
      </c>
      <c r="Y167" s="43">
        <f>IFERROR(Y164/H164,"0")+IFERROR(Y165/H165,"0")+IFERROR(Y166/H166,"0")</f>
        <v>5</v>
      </c>
      <c r="Z167" s="43">
        <f>IFERROR(IF(Z164="",0,Z164),"0")+IFERROR(IF(Z165="",0,Z165),"0")+IFERROR(IF(Z166="",0,Z166),"0")</f>
        <v>3.2550000000000003E-2</v>
      </c>
      <c r="AA167" s="67"/>
      <c r="AB167" s="67"/>
      <c r="AC167" s="67"/>
    </row>
    <row r="168" spans="1:68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12.9</v>
      </c>
      <c r="Y168" s="43">
        <f>IFERROR(SUM(Y164:Y166),"0")</f>
        <v>12.9</v>
      </c>
      <c r="Z168" s="42"/>
      <c r="AA168" s="67"/>
      <c r="AB168" s="67"/>
      <c r="AC168" s="67"/>
    </row>
    <row r="169" spans="1:68" ht="14.25" hidden="1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20</v>
      </c>
      <c r="Y175" s="55">
        <f t="shared" ref="Y175:Y185" si="16">IFERROR(IF(X175="",0,CEILING((X175/$H175),1)*$H175),"")</f>
        <v>21</v>
      </c>
      <c r="Z175" s="41">
        <f>IFERROR(IF(Y175=0,"",ROUNDUP(Y175/H175,0)*0.00902),"")</f>
        <v>5.4120000000000001E-2</v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21.085714285714285</v>
      </c>
      <c r="BN175" s="78">
        <f t="shared" ref="BN175:BN185" si="18">IFERROR(Y175*I175/H175,"0")</f>
        <v>22.139999999999997</v>
      </c>
      <c r="BO175" s="78">
        <f t="shared" ref="BO175:BO185" si="19">IFERROR(1/J175*(X175/H175),"0")</f>
        <v>4.3290043290043295E-2</v>
      </c>
      <c r="BP175" s="78">
        <f t="shared" ref="BP175:BP185" si="20">IFERROR(1/J175*(Y175/H175),"0")</f>
        <v>4.5454545454545456E-2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50</v>
      </c>
      <c r="Y178" s="55">
        <f t="shared" si="16"/>
        <v>52.5</v>
      </c>
      <c r="Z178" s="41">
        <f>IFERROR(IF(Y178=0,"",ROUNDUP(Y178/H178,0)*0.00902),"")</f>
        <v>0.1353</v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52.714285714285715</v>
      </c>
      <c r="BN178" s="78">
        <f t="shared" si="18"/>
        <v>55.35</v>
      </c>
      <c r="BO178" s="78">
        <f t="shared" si="19"/>
        <v>0.10822510822510824</v>
      </c>
      <c r="BP178" s="78">
        <f t="shared" si="20"/>
        <v>0.11363636363636365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11.76</v>
      </c>
      <c r="Y183" s="55">
        <f t="shared" si="16"/>
        <v>11.76</v>
      </c>
      <c r="Z183" s="41">
        <f>IFERROR(IF(Y183=0,"",ROUNDUP(Y183/H183,0)*0.00502),"")</f>
        <v>3.5140000000000005E-2</v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12.46</v>
      </c>
      <c r="BN183" s="78">
        <f t="shared" si="18"/>
        <v>12.46</v>
      </c>
      <c r="BO183" s="78">
        <f t="shared" si="19"/>
        <v>2.9914529914529919E-2</v>
      </c>
      <c r="BP183" s="78">
        <f t="shared" si="20"/>
        <v>2.9914529914529919E-2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11.76</v>
      </c>
      <c r="Y185" s="55">
        <f t="shared" si="16"/>
        <v>11.76</v>
      </c>
      <c r="Z185" s="41">
        <f>IFERROR(IF(Y185=0,"",ROUNDUP(Y185/H185,0)*0.00502),"")</f>
        <v>3.5140000000000005E-2</v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12.46</v>
      </c>
      <c r="BN185" s="78">
        <f t="shared" si="18"/>
        <v>12.46</v>
      </c>
      <c r="BO185" s="78">
        <f t="shared" si="19"/>
        <v>2.9914529914529919E-2</v>
      </c>
      <c r="BP185" s="78">
        <f t="shared" si="20"/>
        <v>2.9914529914529919E-2</v>
      </c>
    </row>
    <row r="186" spans="1:68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34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35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0.25970000000000004</v>
      </c>
      <c r="AA186" s="67"/>
      <c r="AB186" s="67"/>
      <c r="AC186" s="67"/>
    </row>
    <row r="187" spans="1:68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93.52000000000001</v>
      </c>
      <c r="Y187" s="43">
        <f>IFERROR(SUM(Y175:Y185),"0")</f>
        <v>97.02000000000001</v>
      </c>
      <c r="Z187" s="42"/>
      <c r="AA187" s="67"/>
      <c r="AB187" s="67"/>
      <c r="AC187" s="67"/>
    </row>
    <row r="188" spans="1:68" ht="14.25" hidden="1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hidden="1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hidden="1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hidden="1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hidden="1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50</v>
      </c>
      <c r="Y267" s="55">
        <f t="shared" ref="Y267:Y274" si="33">IFERROR(IF(X267="",0,CEILING((X267/$H267),1)*$H267),"")</f>
        <v>54</v>
      </c>
      <c r="Z267" s="41">
        <f>IFERROR(IF(Y267=0,"",ROUNDUP(Y267/H267,0)*0.00902),"")</f>
        <v>9.0200000000000002E-2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51.759259259259252</v>
      </c>
      <c r="BN267" s="78">
        <f t="shared" ref="BN267:BN274" si="35">IFERROR(Y267*I267/H267,"0")</f>
        <v>55.9</v>
      </c>
      <c r="BO267" s="78">
        <f t="shared" ref="BO267:BO274" si="36">IFERROR(1/J267*(X267/H267),"0")</f>
        <v>7.0145903479236812E-2</v>
      </c>
      <c r="BP267" s="78">
        <f t="shared" ref="BP267:BP274" si="37">IFERROR(1/J267*(Y267/H267),"0")</f>
        <v>7.575757575757576E-2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30</v>
      </c>
      <c r="Y269" s="55">
        <f t="shared" si="33"/>
        <v>32.400000000000006</v>
      </c>
      <c r="Z269" s="41">
        <f>IFERROR(IF(Y269=0,"",ROUNDUP(Y269/H269,0)*0.00902),"")</f>
        <v>5.4120000000000001E-2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31.05555555555555</v>
      </c>
      <c r="BN269" s="78">
        <f t="shared" si="35"/>
        <v>33.54</v>
      </c>
      <c r="BO269" s="78">
        <f t="shared" si="36"/>
        <v>4.208754208754209E-2</v>
      </c>
      <c r="BP269" s="78">
        <f t="shared" si="37"/>
        <v>4.5454545454545463E-2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50</v>
      </c>
      <c r="Y270" s="55">
        <f t="shared" si="33"/>
        <v>54</v>
      </c>
      <c r="Z270" s="41">
        <f>IFERROR(IF(Y270=0,"",ROUNDUP(Y270/H270,0)*0.00902),"")</f>
        <v>9.0200000000000002E-2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51.759259259259252</v>
      </c>
      <c r="BN270" s="78">
        <f t="shared" si="35"/>
        <v>55.9</v>
      </c>
      <c r="BO270" s="78">
        <f t="shared" si="36"/>
        <v>7.0145903479236812E-2</v>
      </c>
      <c r="BP270" s="78">
        <f t="shared" si="37"/>
        <v>7.575757575757576E-2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5.4</v>
      </c>
      <c r="Y271" s="55">
        <f t="shared" si="33"/>
        <v>5.4</v>
      </c>
      <c r="Z271" s="41">
        <f>IFERROR(IF(Y271=0,"",ROUNDUP(Y271/H271,0)*0.00502),"")</f>
        <v>1.506E-2</v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5.79</v>
      </c>
      <c r="BN271" s="78">
        <f t="shared" si="35"/>
        <v>5.79</v>
      </c>
      <c r="BO271" s="78">
        <f t="shared" si="36"/>
        <v>1.2820512820512822E-2</v>
      </c>
      <c r="BP271" s="78">
        <f t="shared" si="37"/>
        <v>1.2820512820512822E-2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27.074074074074076</v>
      </c>
      <c r="Y275" s="43">
        <f>IFERROR(Y267/H267,"0")+IFERROR(Y268/H268,"0")+IFERROR(Y269/H269,"0")+IFERROR(Y270/H270,"0")+IFERROR(Y271/H271,"0")+IFERROR(Y272/H272,"0")+IFERROR(Y273/H273,"0")+IFERROR(Y274/H274,"0")</f>
        <v>29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0.24958</v>
      </c>
      <c r="AA275" s="67"/>
      <c r="AB275" s="67"/>
      <c r="AC275" s="67"/>
    </row>
    <row r="276" spans="1:68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135.4</v>
      </c>
      <c r="Y276" s="43">
        <f>IFERROR(SUM(Y267:Y274),"0")</f>
        <v>145.80000000000001</v>
      </c>
      <c r="Z276" s="42"/>
      <c r="AA276" s="67"/>
      <c r="AB276" s="67"/>
      <c r="AC276" s="67"/>
    </row>
    <row r="277" spans="1:68" ht="14.25" hidden="1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8</v>
      </c>
      <c r="Y278" s="55">
        <f t="shared" ref="Y278:Y289" si="38">IFERROR(IF(X278="",0,CEILING((X278/$H278),1)*$H278),"")</f>
        <v>8.1</v>
      </c>
      <c r="Z278" s="41">
        <f>IFERROR(IF(Y278=0,"",ROUNDUP(Y278/H278,0)*0.01898),"")</f>
        <v>1.898E-2</v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8.4879012345679019</v>
      </c>
      <c r="BN278" s="78">
        <f t="shared" ref="BN278:BN289" si="40">IFERROR(Y278*I278/H278,"0")</f>
        <v>8.5939999999999994</v>
      </c>
      <c r="BO278" s="78">
        <f t="shared" ref="BO278:BO289" si="41">IFERROR(1/J278*(X278/H278),"0")</f>
        <v>1.54320987654321E-2</v>
      </c>
      <c r="BP278" s="78">
        <f t="shared" ref="BP278:BP289" si="42">IFERROR(1/J278*(Y278/H278),"0")</f>
        <v>1.5625E-2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16</v>
      </c>
      <c r="Y279" s="55">
        <f t="shared" si="38"/>
        <v>16.2</v>
      </c>
      <c r="Z279" s="41">
        <f>IFERROR(IF(Y279=0,"",ROUNDUP(Y279/H279,0)*0.01898),"")</f>
        <v>3.7960000000000001E-2</v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16.94024691358025</v>
      </c>
      <c r="BN279" s="78">
        <f t="shared" si="40"/>
        <v>17.152000000000001</v>
      </c>
      <c r="BO279" s="78">
        <f t="shared" si="41"/>
        <v>3.0864197530864199E-2</v>
      </c>
      <c r="BP279" s="78">
        <f t="shared" si="42"/>
        <v>3.125E-2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4.8</v>
      </c>
      <c r="Y284" s="55">
        <f t="shared" si="38"/>
        <v>4.8</v>
      </c>
      <c r="Z284" s="41">
        <f>IFERROR(IF(Y284=0,"",ROUNDUP(Y284/H284,0)*0.00651),"")</f>
        <v>1.302E-2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5.3040000000000003</v>
      </c>
      <c r="BN284" s="78">
        <f t="shared" si="40"/>
        <v>5.3040000000000003</v>
      </c>
      <c r="BO284" s="78">
        <f t="shared" si="41"/>
        <v>1.098901098901099E-2</v>
      </c>
      <c r="BP284" s="78">
        <f t="shared" si="42"/>
        <v>1.098901098901099E-2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4.9629629629629637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5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6.9960000000000008E-2</v>
      </c>
      <c r="AA290" s="67"/>
      <c r="AB290" s="67"/>
      <c r="AC290" s="67"/>
    </row>
    <row r="291" spans="1:68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28.8</v>
      </c>
      <c r="Y291" s="43">
        <f>IFERROR(SUM(Y278:Y289),"0")</f>
        <v>29.099999999999998</v>
      </c>
      <c r="Z291" s="42"/>
      <c r="AA291" s="67"/>
      <c r="AB291" s="67"/>
      <c r="AC291" s="67"/>
    </row>
    <row r="292" spans="1:68" ht="14.25" hidden="1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hidden="1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hidden="1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50</v>
      </c>
      <c r="Y325" s="55">
        <f>IFERROR(IF(X325="",0,CEILING((X325/$H325),1)*$H325),"")</f>
        <v>54</v>
      </c>
      <c r="Z325" s="41">
        <f>IFERROR(IF(Y325=0,"",ROUNDUP(Y325/H325,0)*0.01898),"")</f>
        <v>9.4899999999999998E-2</v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51.898148148148145</v>
      </c>
      <c r="BN325" s="78">
        <f>IFERROR(Y325*I325/H325,"0")</f>
        <v>56.05</v>
      </c>
      <c r="BO325" s="78">
        <f>IFERROR(1/J325*(X325/H325),"0")</f>
        <v>7.2337962962962965E-2</v>
      </c>
      <c r="BP325" s="78">
        <f>IFERROR(1/J325*(Y325/H325),"0")</f>
        <v>7.8125E-2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10</v>
      </c>
      <c r="Y326" s="55">
        <f>IFERROR(IF(X326="",0,CEILING((X326/$H326),1)*$H326),"")</f>
        <v>10.8</v>
      </c>
      <c r="Z326" s="41">
        <f>IFERROR(IF(Y326=0,"",ROUNDUP(Y326/H326,0)*0.01898),"")</f>
        <v>1.898E-2</v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10.37962962962963</v>
      </c>
      <c r="BN326" s="78">
        <f>IFERROR(Y326*I326/H326,"0")</f>
        <v>11.21</v>
      </c>
      <c r="BO326" s="78">
        <f>IFERROR(1/J326*(X326/H326),"0")</f>
        <v>1.4467592592592591E-2</v>
      </c>
      <c r="BP326" s="78">
        <f>IFERROR(1/J326*(Y326/H326),"0")</f>
        <v>1.5625E-2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5.5555555555555554</v>
      </c>
      <c r="Y329" s="43">
        <f>IFERROR(Y324/H324,"0")+IFERROR(Y325/H325,"0")+IFERROR(Y326/H326,"0")+IFERROR(Y327/H327,"0")+IFERROR(Y328/H328,"0")</f>
        <v>6</v>
      </c>
      <c r="Z329" s="43">
        <f>IFERROR(IF(Z324="",0,Z324),"0")+IFERROR(IF(Z325="",0,Z325),"0")+IFERROR(IF(Z326="",0,Z326),"0")+IFERROR(IF(Z327="",0,Z327),"0")+IFERROR(IF(Z328="",0,Z328),"0")</f>
        <v>0.11388</v>
      </c>
      <c r="AA329" s="67"/>
      <c r="AB329" s="67"/>
      <c r="AC329" s="67"/>
    </row>
    <row r="330" spans="1:68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60</v>
      </c>
      <c r="Y330" s="43">
        <f>IFERROR(SUM(Y324:Y328),"0")</f>
        <v>64.8</v>
      </c>
      <c r="Z330" s="42"/>
      <c r="AA330" s="67"/>
      <c r="AB330" s="67"/>
      <c r="AC330" s="67"/>
    </row>
    <row r="331" spans="1:68" ht="16.5" hidden="1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hidden="1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hidden="1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hidden="1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40</v>
      </c>
      <c r="Y355" s="55">
        <f>IFERROR(IF(X355="",0,CEILING((X355/$H355),1)*$H355),"")</f>
        <v>46.8</v>
      </c>
      <c r="Z355" s="41">
        <f>IFERROR(IF(Y355=0,"",ROUNDUP(Y355/H355,0)*0.01898),"")</f>
        <v>0.11388000000000001</v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42.102564102564109</v>
      </c>
      <c r="BN355" s="78">
        <f>IFERROR(Y355*I355/H355,"0")</f>
        <v>49.260000000000005</v>
      </c>
      <c r="BO355" s="78">
        <f>IFERROR(1/J355*(X355/H355),"0")</f>
        <v>8.0128205128205135E-2</v>
      </c>
      <c r="BP355" s="78">
        <f>IFERROR(1/J355*(Y355/H355),"0")</f>
        <v>9.375E-2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40</v>
      </c>
      <c r="Y356" s="55">
        <f>IFERROR(IF(X356="",0,CEILING((X356/$H356),1)*$H356),"")</f>
        <v>46.8</v>
      </c>
      <c r="Z356" s="41">
        <f>IFERROR(IF(Y356=0,"",ROUNDUP(Y356/H356,0)*0.01898),"")</f>
        <v>0.11388000000000001</v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42.102564102564109</v>
      </c>
      <c r="BN356" s="78">
        <f>IFERROR(Y356*I356/H356,"0")</f>
        <v>49.260000000000005</v>
      </c>
      <c r="BO356" s="78">
        <f>IFERROR(1/J356*(X356/H356),"0")</f>
        <v>8.0128205128205135E-2</v>
      </c>
      <c r="BP356" s="78">
        <f>IFERROR(1/J356*(Y356/H356),"0")</f>
        <v>9.375E-2</v>
      </c>
    </row>
    <row r="357" spans="1:68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10.256410256410257</v>
      </c>
      <c r="Y357" s="43">
        <f>IFERROR(Y354/H354,"0")+IFERROR(Y355/H355,"0")+IFERROR(Y356/H356,"0")</f>
        <v>12</v>
      </c>
      <c r="Z357" s="43">
        <f>IFERROR(IF(Z354="",0,Z354),"0")+IFERROR(IF(Z355="",0,Z355),"0")+IFERROR(IF(Z356="",0,Z356),"0")</f>
        <v>0.22776000000000002</v>
      </c>
      <c r="AA357" s="67"/>
      <c r="AB357" s="67"/>
      <c r="AC357" s="67"/>
    </row>
    <row r="358" spans="1:68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80</v>
      </c>
      <c r="Y358" s="43">
        <f>IFERROR(SUM(Y354:Y356),"0")</f>
        <v>93.6</v>
      </c>
      <c r="Z358" s="42"/>
      <c r="AA358" s="67"/>
      <c r="AB358" s="67"/>
      <c r="AC358" s="67"/>
    </row>
    <row r="359" spans="1:68" ht="16.5" hidden="1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hidden="1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30</v>
      </c>
      <c r="Y370" s="55">
        <f t="shared" ref="Y370:Y376" si="53">IFERROR(IF(X370="",0,CEILING((X370/$H370),1)*$H370),"")</f>
        <v>33.6</v>
      </c>
      <c r="Z370" s="41">
        <f>IFERROR(IF(Y370=0,"",ROUNDUP(Y370/H370,0)*0.00902),"")</f>
        <v>7.2160000000000002E-2</v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31.785714285714285</v>
      </c>
      <c r="BN370" s="78">
        <f t="shared" ref="BN370:BN376" si="55">IFERROR(Y370*I370/H370,"0")</f>
        <v>35.6</v>
      </c>
      <c r="BO370" s="78">
        <f t="shared" ref="BO370:BO376" si="56">IFERROR(1/J370*(X370/H370),"0")</f>
        <v>5.4112554112554112E-2</v>
      </c>
      <c r="BP370" s="78">
        <f t="shared" ref="BP370:BP376" si="57">IFERROR(1/J370*(Y370/H370),"0")</f>
        <v>6.0606060606060608E-2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7.1428571428571423</v>
      </c>
      <c r="Y377" s="43">
        <f>IFERROR(Y370/H370,"0")+IFERROR(Y371/H371,"0")+IFERROR(Y372/H372,"0")+IFERROR(Y373/H373,"0")+IFERROR(Y374/H374,"0")+IFERROR(Y375/H375,"0")+IFERROR(Y376/H376,"0")</f>
        <v>8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7.2160000000000002E-2</v>
      </c>
      <c r="AA377" s="67"/>
      <c r="AB377" s="67"/>
      <c r="AC377" s="67"/>
    </row>
    <row r="378" spans="1:68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30</v>
      </c>
      <c r="Y378" s="43">
        <f>IFERROR(SUM(Y370:Y376),"0")</f>
        <v>33.6</v>
      </c>
      <c r="Z378" s="42"/>
      <c r="AA378" s="67"/>
      <c r="AB378" s="67"/>
      <c r="AC378" s="67"/>
    </row>
    <row r="379" spans="1:68" ht="14.25" hidden="1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100</v>
      </c>
      <c r="Y388" s="55">
        <f>IFERROR(IF(X388="",0,CEILING((X388/$H388),1)*$H388),"")</f>
        <v>101.39999999999999</v>
      </c>
      <c r="Z388" s="41">
        <f>IFERROR(IF(Y388=0,"",ROUNDUP(Y388/H388,0)*0.01898),"")</f>
        <v>0.24674000000000001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106.33333333333334</v>
      </c>
      <c r="BN388" s="78">
        <f>IFERROR(Y388*I388/H388,"0")</f>
        <v>107.82199999999999</v>
      </c>
      <c r="BO388" s="78">
        <f>IFERROR(1/J388*(X388/H388),"0")</f>
        <v>0.20032051282051283</v>
      </c>
      <c r="BP388" s="78">
        <f>IFERROR(1/J388*(Y388/H388),"0")</f>
        <v>0.203125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12.820512820512821</v>
      </c>
      <c r="Y390" s="43">
        <f>IFERROR(Y387/H387,"0")+IFERROR(Y388/H388,"0")+IFERROR(Y389/H389,"0")</f>
        <v>13</v>
      </c>
      <c r="Z390" s="43">
        <f>IFERROR(IF(Z387="",0,Z387),"0")+IFERROR(IF(Z388="",0,Z388),"0")+IFERROR(IF(Z389="",0,Z389),"0")</f>
        <v>0.24674000000000001</v>
      </c>
      <c r="AA390" s="67"/>
      <c r="AB390" s="67"/>
      <c r="AC390" s="67"/>
    </row>
    <row r="391" spans="1:68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100</v>
      </c>
      <c r="Y391" s="43">
        <f>IFERROR(SUM(Y387:Y389),"0")</f>
        <v>101.39999999999999</v>
      </c>
      <c r="Z391" s="42"/>
      <c r="AA391" s="67"/>
      <c r="AB391" s="67"/>
      <c r="AC391" s="67"/>
    </row>
    <row r="392" spans="1:68" ht="14.25" hidden="1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6</v>
      </c>
      <c r="Y406" s="55">
        <f>IFERROR(IF(X406="",0,CEILING((X406/$H406),1)*$H406),"")</f>
        <v>6</v>
      </c>
      <c r="Z406" s="41">
        <f>IFERROR(IF(Y406=0,"",ROUNDUP(Y406/H406,0)*0.0045),"")</f>
        <v>8.9999999999999993E-3</v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6.44</v>
      </c>
      <c r="BN406" s="78">
        <f>IFERROR(Y406*I406/H406,"0")</f>
        <v>6.44</v>
      </c>
      <c r="BO406" s="78">
        <f>IFERROR(1/J406*(X406/H406),"0")</f>
        <v>8.9285714285714281E-3</v>
      </c>
      <c r="BP406" s="78">
        <f>IFERROR(1/J406*(Y406/H406),"0")</f>
        <v>8.9285714285714281E-3</v>
      </c>
    </row>
    <row r="407" spans="1:68" ht="27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3</v>
      </c>
      <c r="Y407" s="55">
        <f>IFERROR(IF(X407="",0,CEILING((X407/$H407),1)*$H407),"")</f>
        <v>3.9</v>
      </c>
      <c r="Z407" s="41">
        <f>IFERROR(IF(Y407=0,"",ROUNDUP(Y407/H407,0)*0.006),"")</f>
        <v>6.0000000000000001E-3</v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3.2076923076923078</v>
      </c>
      <c r="BN407" s="78">
        <f>IFERROR(Y407*I407/H407,"0")</f>
        <v>4.17</v>
      </c>
      <c r="BO407" s="78">
        <f>IFERROR(1/J407*(X407/H407),"0")</f>
        <v>5.341880341880342E-3</v>
      </c>
      <c r="BP407" s="78">
        <f>IFERROR(1/J407*(Y407/H407),"0")</f>
        <v>6.9444444444444441E-3</v>
      </c>
    </row>
    <row r="408" spans="1:68" ht="27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3</v>
      </c>
      <c r="Y408" s="55">
        <f>IFERROR(IF(X408="",0,CEILING((X408/$H408),1)*$H408),"")</f>
        <v>3</v>
      </c>
      <c r="Z408" s="41">
        <f>IFERROR(IF(Y408=0,"",ROUNDUP(Y408/H408,0)*0.0045),"")</f>
        <v>4.4999999999999997E-3</v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3.22</v>
      </c>
      <c r="BN408" s="78">
        <f>IFERROR(Y408*I408/H408,"0")</f>
        <v>3.22</v>
      </c>
      <c r="BO408" s="78">
        <f>IFERROR(1/J408*(X408/H408),"0")</f>
        <v>4.464285714285714E-3</v>
      </c>
      <c r="BP408" s="78">
        <f>IFERROR(1/J408*(Y408/H408),"0")</f>
        <v>4.464285714285714E-3</v>
      </c>
    </row>
    <row r="409" spans="1:68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3.7692307692307692</v>
      </c>
      <c r="Y409" s="43">
        <f>IFERROR(Y406/H406,"0")+IFERROR(Y407/H407,"0")+IFERROR(Y408/H408,"0")</f>
        <v>4</v>
      </c>
      <c r="Z409" s="43">
        <f>IFERROR(IF(Z406="",0,Z406),"0")+IFERROR(IF(Z407="",0,Z407),"0")+IFERROR(IF(Z408="",0,Z408),"0")</f>
        <v>1.95E-2</v>
      </c>
      <c r="AA409" s="67"/>
      <c r="AB409" s="67"/>
      <c r="AC409" s="67"/>
    </row>
    <row r="410" spans="1:68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12</v>
      </c>
      <c r="Y410" s="43">
        <f>IFERROR(SUM(Y406:Y408),"0")</f>
        <v>12.9</v>
      </c>
      <c r="Z410" s="42"/>
      <c r="AA410" s="67"/>
      <c r="AB410" s="67"/>
      <c r="AC410" s="67"/>
    </row>
    <row r="411" spans="1:68" ht="16.5" hidden="1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hidden="1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hidden="1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14.7</v>
      </c>
      <c r="Y420" s="55">
        <f>IFERROR(IF(X420="",0,CEILING((X420/$H420),1)*$H420),"")</f>
        <v>14.700000000000001</v>
      </c>
      <c r="Z420" s="41">
        <f>IFERROR(IF(Y420=0,"",ROUNDUP(Y420/H420,0)*0.00651),"")</f>
        <v>4.5569999999999999E-2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16.463999999999999</v>
      </c>
      <c r="BN420" s="78">
        <f>IFERROR(Y420*I420/H420,"0")</f>
        <v>16.463999999999999</v>
      </c>
      <c r="BO420" s="78">
        <f>IFERROR(1/J420*(X420/H420),"0")</f>
        <v>3.8461538461538457E-2</v>
      </c>
      <c r="BP420" s="78">
        <f>IFERROR(1/J420*(Y420/H420),"0")</f>
        <v>3.8461538461538464E-2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4.2</v>
      </c>
      <c r="Y421" s="55">
        <f>IFERROR(IF(X421="",0,CEILING((X421/$H421),1)*$H421),"")</f>
        <v>4.2</v>
      </c>
      <c r="Z421" s="41">
        <f>IFERROR(IF(Y421=0,"",ROUNDUP(Y421/H421,0)*0.00651),"")</f>
        <v>1.302E-2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4.68</v>
      </c>
      <c r="BN421" s="78">
        <f>IFERROR(Y421*I421/H421,"0")</f>
        <v>4.68</v>
      </c>
      <c r="BO421" s="78">
        <f>IFERROR(1/J421*(X421/H421),"0")</f>
        <v>1.098901098901099E-2</v>
      </c>
      <c r="BP421" s="78">
        <f>IFERROR(1/J421*(Y421/H421),"0")</f>
        <v>1.098901098901099E-2</v>
      </c>
    </row>
    <row r="422" spans="1:68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9</v>
      </c>
      <c r="Y422" s="43">
        <f>IFERROR(Y419/H419,"0")+IFERROR(Y420/H420,"0")+IFERROR(Y421/H421,"0")</f>
        <v>9</v>
      </c>
      <c r="Z422" s="43">
        <f>IFERROR(IF(Z419="",0,Z419),"0")+IFERROR(IF(Z420="",0,Z420),"0")+IFERROR(IF(Z421="",0,Z421),"0")</f>
        <v>5.8590000000000003E-2</v>
      </c>
      <c r="AA422" s="67"/>
      <c r="AB422" s="67"/>
      <c r="AC422" s="67"/>
    </row>
    <row r="423" spans="1:68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18.899999999999999</v>
      </c>
      <c r="Y423" s="43">
        <f>IFERROR(SUM(Y419:Y421),"0")</f>
        <v>18.900000000000002</v>
      </c>
      <c r="Z423" s="42"/>
      <c r="AA423" s="67"/>
      <c r="AB423" s="67"/>
      <c r="AC423" s="67"/>
    </row>
    <row r="424" spans="1:68" ht="27.75" hidden="1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hidden="1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hidden="1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150</v>
      </c>
      <c r="Y429" s="55">
        <f t="shared" si="58"/>
        <v>150</v>
      </c>
      <c r="Z429" s="41">
        <f>IFERROR(IF(Y429=0,"",ROUNDUP(Y429/H429,0)*0.02175),"")</f>
        <v>0.21749999999999997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154.69999999999999</v>
      </c>
      <c r="BN429" s="78">
        <f t="shared" si="60"/>
        <v>154.69999999999999</v>
      </c>
      <c r="BO429" s="78">
        <f t="shared" si="61"/>
        <v>0.20833333333333331</v>
      </c>
      <c r="BP429" s="78">
        <f t="shared" si="62"/>
        <v>0.20833333333333331</v>
      </c>
    </row>
    <row r="430" spans="1:68" ht="27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300</v>
      </c>
      <c r="Y430" s="55">
        <f t="shared" si="58"/>
        <v>300</v>
      </c>
      <c r="Z430" s="41">
        <f>IFERROR(IF(Y430=0,"",ROUNDUP(Y430/H430,0)*0.02175),"")</f>
        <v>0.43499999999999994</v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309.39999999999998</v>
      </c>
      <c r="BN430" s="78">
        <f t="shared" si="60"/>
        <v>309.39999999999998</v>
      </c>
      <c r="BO430" s="78">
        <f t="shared" si="61"/>
        <v>0.41666666666666663</v>
      </c>
      <c r="BP430" s="78">
        <f t="shared" si="62"/>
        <v>0.41666666666666663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30</v>
      </c>
      <c r="Y435" s="43">
        <f>IFERROR(Y427/H427,"0")+IFERROR(Y428/H428,"0")+IFERROR(Y429/H429,"0")+IFERROR(Y430/H430,"0")+IFERROR(Y431/H431,"0")+IFERROR(Y432/H432,"0")+IFERROR(Y433/H433,"0")+IFERROR(Y434/H434,"0")</f>
        <v>30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0.65249999999999986</v>
      </c>
      <c r="AA435" s="67"/>
      <c r="AB435" s="67"/>
      <c r="AC435" s="67"/>
    </row>
    <row r="436" spans="1:68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450</v>
      </c>
      <c r="Y436" s="43">
        <f>IFERROR(SUM(Y427:Y434),"0")</f>
        <v>450</v>
      </c>
      <c r="Z436" s="42"/>
      <c r="AA436" s="67"/>
      <c r="AB436" s="67"/>
      <c r="AC436" s="67"/>
    </row>
    <row r="437" spans="1:68" ht="14.25" hidden="1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150</v>
      </c>
      <c r="Y438" s="55">
        <f>IFERROR(IF(X438="",0,CEILING((X438/$H438),1)*$H438),"")</f>
        <v>150</v>
      </c>
      <c r="Z438" s="41">
        <f>IFERROR(IF(Y438=0,"",ROUNDUP(Y438/H438,0)*0.02175),"")</f>
        <v>0.21749999999999997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154.69999999999999</v>
      </c>
      <c r="BN438" s="78">
        <f>IFERROR(Y438*I438/H438,"0")</f>
        <v>154.69999999999999</v>
      </c>
      <c r="BO438" s="78">
        <f>IFERROR(1/J438*(X438/H438),"0")</f>
        <v>0.20833333333333331</v>
      </c>
      <c r="BP438" s="78">
        <f>IFERROR(1/J438*(Y438/H438),"0")</f>
        <v>0.20833333333333331</v>
      </c>
    </row>
    <row r="439" spans="1:68" ht="27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15</v>
      </c>
      <c r="Y439" s="55">
        <f>IFERROR(IF(X439="",0,CEILING((X439/$H439),1)*$H439),"")</f>
        <v>15</v>
      </c>
      <c r="Z439" s="41">
        <f>IFERROR(IF(Y439=0,"",ROUNDUP(Y439/H439,0)*0.02175),"")</f>
        <v>2.1749999999999999E-2</v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15.47</v>
      </c>
      <c r="BN439" s="78">
        <f>IFERROR(Y439*I439/H439,"0")</f>
        <v>15.47</v>
      </c>
      <c r="BO439" s="78">
        <f>IFERROR(1/J439*(X439/H439),"0")</f>
        <v>2.0833333333333332E-2</v>
      </c>
      <c r="BP439" s="78">
        <f>IFERROR(1/J439*(Y439/H439),"0")</f>
        <v>2.0833333333333332E-2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11</v>
      </c>
      <c r="Y441" s="43">
        <f>IFERROR(Y438/H438,"0")+IFERROR(Y439/H439,"0")+IFERROR(Y440/H440,"0")</f>
        <v>11</v>
      </c>
      <c r="Z441" s="43">
        <f>IFERROR(IF(Z438="",0,Z438),"0")+IFERROR(IF(Z439="",0,Z439),"0")+IFERROR(IF(Z440="",0,Z440),"0")</f>
        <v>0.23924999999999996</v>
      </c>
      <c r="AA441" s="67"/>
      <c r="AB441" s="67"/>
      <c r="AC441" s="67"/>
    </row>
    <row r="442" spans="1:68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165</v>
      </c>
      <c r="Y442" s="43">
        <f>IFERROR(SUM(Y438:Y440),"0")</f>
        <v>165</v>
      </c>
      <c r="Z442" s="42"/>
      <c r="AA442" s="67"/>
      <c r="AB442" s="67"/>
      <c r="AC442" s="67"/>
    </row>
    <row r="443" spans="1:68" ht="14.25" hidden="1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hidden="1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10</v>
      </c>
      <c r="Y456" s="55">
        <f>IFERROR(IF(X456="",0,CEILING((X456/$H456),1)*$H456),"")</f>
        <v>12</v>
      </c>
      <c r="Z456" s="41">
        <f>IFERROR(IF(Y456=0,"",ROUNDUP(Y456/H456,0)*0.01898),"")</f>
        <v>1.898E-2</v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10.341666666666667</v>
      </c>
      <c r="BN456" s="78">
        <f>IFERROR(Y456*I456/H456,"0")</f>
        <v>12.410000000000002</v>
      </c>
      <c r="BO456" s="78">
        <f>IFERROR(1/J456*(X456/H456),"0")</f>
        <v>1.3020833333333334E-2</v>
      </c>
      <c r="BP456" s="78">
        <f>IFERROR(1/J456*(Y456/H456),"0")</f>
        <v>1.5625E-2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0.83333333333333337</v>
      </c>
      <c r="Y458" s="43">
        <f>IFERROR(Y456/H456,"0")+IFERROR(Y457/H457,"0")</f>
        <v>1</v>
      </c>
      <c r="Z458" s="43">
        <f>IFERROR(IF(Z456="",0,Z456),"0")+IFERROR(IF(Z457="",0,Z457),"0")</f>
        <v>1.898E-2</v>
      </c>
      <c r="AA458" s="67"/>
      <c r="AB458" s="67"/>
      <c r="AC458" s="67"/>
    </row>
    <row r="459" spans="1:68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10</v>
      </c>
      <c r="Y459" s="43">
        <f>IFERROR(SUM(Y456:Y457),"0")</f>
        <v>12</v>
      </c>
      <c r="Z459" s="42"/>
      <c r="AA459" s="67"/>
      <c r="AB459" s="67"/>
      <c r="AC459" s="67"/>
    </row>
    <row r="460" spans="1:68" ht="14.25" hidden="1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hidden="1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30</v>
      </c>
      <c r="Y474" s="55">
        <f t="shared" si="63"/>
        <v>32.400000000000006</v>
      </c>
      <c r="Z474" s="41">
        <f>IFERROR(IF(Y474=0,"",ROUNDUP(Y474/H474,0)*0.00902),"")</f>
        <v>5.4120000000000001E-2</v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31.05555555555555</v>
      </c>
      <c r="BN474" s="78">
        <f t="shared" si="65"/>
        <v>33.54</v>
      </c>
      <c r="BO474" s="78">
        <f t="shared" si="66"/>
        <v>4.208754208754209E-2</v>
      </c>
      <c r="BP474" s="78">
        <f t="shared" si="67"/>
        <v>4.5454545454545463E-2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5.5555555555555554</v>
      </c>
      <c r="Y479" s="43">
        <f>IFERROR(Y473/H473,"0")+IFERROR(Y474/H474,"0")+IFERROR(Y475/H475,"0")+IFERROR(Y476/H476,"0")+IFERROR(Y477/H477,"0")+IFERROR(Y478/H478,"0")</f>
        <v>6.0000000000000009</v>
      </c>
      <c r="Z479" s="43">
        <f>IFERROR(IF(Z473="",0,Z473),"0")+IFERROR(IF(Z474="",0,Z474),"0")+IFERROR(IF(Z475="",0,Z475),"0")+IFERROR(IF(Z476="",0,Z476),"0")+IFERROR(IF(Z477="",0,Z477),"0")+IFERROR(IF(Z478="",0,Z478),"0")</f>
        <v>5.4120000000000001E-2</v>
      </c>
      <c r="AA479" s="67"/>
      <c r="AB479" s="67"/>
      <c r="AC479" s="67"/>
    </row>
    <row r="480" spans="1:68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30</v>
      </c>
      <c r="Y480" s="43">
        <f>IFERROR(SUM(Y473:Y478),"0")</f>
        <v>32.400000000000006</v>
      </c>
      <c r="Z480" s="42"/>
      <c r="AA480" s="67"/>
      <c r="AB480" s="67"/>
      <c r="AC480" s="67"/>
    </row>
    <row r="481" spans="1:68" ht="14.25" hidden="1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hidden="1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30</v>
      </c>
      <c r="Y492" s="55">
        <f>IFERROR(IF(X492="",0,CEILING((X492/$H492),1)*$H492),"")</f>
        <v>32.400000000000006</v>
      </c>
      <c r="Z492" s="41">
        <f>IFERROR(IF(Y492=0,"",ROUNDUP(Y492/H492,0)*0.00902),"")</f>
        <v>5.4120000000000001E-2</v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31.05555555555555</v>
      </c>
      <c r="BN492" s="78">
        <f>IFERROR(Y492*I492/H492,"0")</f>
        <v>33.54</v>
      </c>
      <c r="BO492" s="78">
        <f>IFERROR(1/J492*(X492/H492),"0")</f>
        <v>4.208754208754209E-2</v>
      </c>
      <c r="BP492" s="78">
        <f>IFERROR(1/J492*(Y492/H492),"0")</f>
        <v>4.5454545454545463E-2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5.5555555555555554</v>
      </c>
      <c r="Y495" s="43">
        <f>IFERROR(Y492/H492,"0")+IFERROR(Y493/H493,"0")+IFERROR(Y494/H494,"0")</f>
        <v>6.0000000000000009</v>
      </c>
      <c r="Z495" s="43">
        <f>IFERROR(IF(Z492="",0,Z492),"0")+IFERROR(IF(Z493="",0,Z493),"0")+IFERROR(IF(Z494="",0,Z494),"0")</f>
        <v>5.4120000000000001E-2</v>
      </c>
      <c r="AA495" s="67"/>
      <c r="AB495" s="67"/>
      <c r="AC495" s="67"/>
    </row>
    <row r="496" spans="1:68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30</v>
      </c>
      <c r="Y496" s="43">
        <f>IFERROR(SUM(Y492:Y494),"0")</f>
        <v>32.400000000000006</v>
      </c>
      <c r="Z496" s="42"/>
      <c r="AA496" s="67"/>
      <c r="AB496" s="67"/>
      <c r="AC496" s="67"/>
    </row>
    <row r="497" spans="1:68" ht="27.75" hidden="1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hidden="1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hidden="1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15</v>
      </c>
      <c r="Y500" s="55">
        <f t="shared" ref="Y500:Y508" si="68">IFERROR(IF(X500="",0,CEILING((X500/$H500),1)*$H500),"")</f>
        <v>15.84</v>
      </c>
      <c r="Z500" s="41">
        <f t="shared" ref="Z500:Z505" si="69">IFERROR(IF(Y500=0,"",ROUNDUP(Y500/H500,0)*0.01196),"")</f>
        <v>3.5880000000000002E-2</v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15.994318181818182</v>
      </c>
      <c r="BN500" s="78">
        <f t="shared" ref="BN500:BN508" si="71">IFERROR(Y500*I500/H500,"0")</f>
        <v>16.889999999999997</v>
      </c>
      <c r="BO500" s="78">
        <f t="shared" ref="BO500:BO508" si="72">IFERROR(1/J500*(X500/H500),"0")</f>
        <v>2.7316433566433568E-2</v>
      </c>
      <c r="BP500" s="78">
        <f t="shared" ref="BP500:BP508" si="73">IFERROR(1/J500*(Y500/H500),"0")</f>
        <v>2.8846153846153848E-2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2.8409090909090908</v>
      </c>
      <c r="Y509" s="43">
        <f>IFERROR(Y500/H500,"0")+IFERROR(Y501/H501,"0")+IFERROR(Y502/H502,"0")+IFERROR(Y503/H503,"0")+IFERROR(Y504/H504,"0")+IFERROR(Y505/H505,"0")+IFERROR(Y506/H506,"0")+IFERROR(Y507/H507,"0")+IFERROR(Y508/H508,"0")</f>
        <v>3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3.5880000000000002E-2</v>
      </c>
      <c r="AA509" s="67"/>
      <c r="AB509" s="67"/>
      <c r="AC509" s="67"/>
    </row>
    <row r="510" spans="1:68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15</v>
      </c>
      <c r="Y510" s="43">
        <f>IFERROR(SUM(Y500:Y508),"0")</f>
        <v>15.84</v>
      </c>
      <c r="Z510" s="42"/>
      <c r="AA510" s="67"/>
      <c r="AB510" s="67"/>
      <c r="AC510" s="67"/>
    </row>
    <row r="511" spans="1:68" ht="14.25" hidden="1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120</v>
      </c>
      <c r="Y512" s="55">
        <f>IFERROR(IF(X512="",0,CEILING((X512/$H512),1)*$H512),"")</f>
        <v>121.44000000000001</v>
      </c>
      <c r="Z512" s="41">
        <f>IFERROR(IF(Y512=0,"",ROUNDUP(Y512/H512,0)*0.01196),"")</f>
        <v>0.27507999999999999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127.95454545454545</v>
      </c>
      <c r="BN512" s="78">
        <f>IFERROR(Y512*I512/H512,"0")</f>
        <v>129.49</v>
      </c>
      <c r="BO512" s="78">
        <f>IFERROR(1/J512*(X512/H512),"0")</f>
        <v>0.21853146853146854</v>
      </c>
      <c r="BP512" s="78">
        <f>IFERROR(1/J512*(Y512/H512),"0")</f>
        <v>0.22115384615384617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22.727272727272727</v>
      </c>
      <c r="Y515" s="43">
        <f>IFERROR(Y512/H512,"0")+IFERROR(Y513/H513,"0")+IFERROR(Y514/H514,"0")</f>
        <v>23</v>
      </c>
      <c r="Z515" s="43">
        <f>IFERROR(IF(Z512="",0,Z512),"0")+IFERROR(IF(Z513="",0,Z513),"0")+IFERROR(IF(Z514="",0,Z514),"0")</f>
        <v>0.27507999999999999</v>
      </c>
      <c r="AA515" s="67"/>
      <c r="AB515" s="67"/>
      <c r="AC515" s="67"/>
    </row>
    <row r="516" spans="1:68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120</v>
      </c>
      <c r="Y516" s="43">
        <f>IFERROR(SUM(Y512:Y514),"0")</f>
        <v>121.44000000000001</v>
      </c>
      <c r="Z516" s="42"/>
      <c r="AA516" s="67"/>
      <c r="AB516" s="67"/>
      <c r="AC516" s="67"/>
    </row>
    <row r="517" spans="1:68" ht="14.25" hidden="1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40</v>
      </c>
      <c r="Y519" s="55">
        <f t="shared" si="74"/>
        <v>42.24</v>
      </c>
      <c r="Z519" s="41">
        <f>IFERROR(IF(Y519=0,"",ROUNDUP(Y519/H519,0)*0.01196),"")</f>
        <v>9.5680000000000001E-2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42.651515151515149</v>
      </c>
      <c r="BN519" s="78">
        <f t="shared" si="76"/>
        <v>45.04</v>
      </c>
      <c r="BO519" s="78">
        <f t="shared" si="77"/>
        <v>7.2843822843822847E-2</v>
      </c>
      <c r="BP519" s="78">
        <f t="shared" si="78"/>
        <v>7.6923076923076927E-2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50</v>
      </c>
      <c r="Y520" s="55">
        <f t="shared" si="74"/>
        <v>52.800000000000004</v>
      </c>
      <c r="Z520" s="41">
        <f>IFERROR(IF(Y520=0,"",ROUNDUP(Y520/H520,0)*0.01196),"")</f>
        <v>0.1196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53.314393939393938</v>
      </c>
      <c r="BN520" s="78">
        <f t="shared" si="76"/>
        <v>56.3</v>
      </c>
      <c r="BO520" s="78">
        <f t="shared" si="77"/>
        <v>9.1054778554778545E-2</v>
      </c>
      <c r="BP520" s="78">
        <f t="shared" si="78"/>
        <v>9.6153846153846159E-2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17.045454545454543</v>
      </c>
      <c r="Y525" s="43">
        <f>IFERROR(Y518/H518,"0")+IFERROR(Y519/H519,"0")+IFERROR(Y520/H520,"0")+IFERROR(Y521/H521,"0")+IFERROR(Y522/H522,"0")+IFERROR(Y523/H523,"0")+IFERROR(Y524/H524,"0")</f>
        <v>18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0.21528</v>
      </c>
      <c r="AA525" s="67"/>
      <c r="AB525" s="67"/>
      <c r="AC525" s="67"/>
    </row>
    <row r="526" spans="1:68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90</v>
      </c>
      <c r="Y526" s="43">
        <f>IFERROR(SUM(Y518:Y524),"0")</f>
        <v>95.04</v>
      </c>
      <c r="Z526" s="42"/>
      <c r="AA526" s="67"/>
      <c r="AB526" s="67"/>
      <c r="AC526" s="67"/>
    </row>
    <row r="527" spans="1:68" ht="27.75" hidden="1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hidden="1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hidden="1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100</v>
      </c>
      <c r="Y542" s="55">
        <f>IFERROR(IF(X542="",0,CEILING((X542/$H542),1)*$H542),"")</f>
        <v>108</v>
      </c>
      <c r="Z542" s="41">
        <f>IFERROR(IF(Y542=0,"",ROUNDUP(Y542/H542,0)*0.01898),"")</f>
        <v>0.22776000000000002</v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105.48888888888888</v>
      </c>
      <c r="BN542" s="78">
        <f>IFERROR(Y542*I542/H542,"0")</f>
        <v>113.92799999999998</v>
      </c>
      <c r="BO542" s="78">
        <f>IFERROR(1/J542*(X542/H542),"0")</f>
        <v>0.1736111111111111</v>
      </c>
      <c r="BP542" s="78">
        <f>IFERROR(1/J542*(Y542/H542),"0")</f>
        <v>0.1875</v>
      </c>
    </row>
    <row r="543" spans="1:68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11.111111111111111</v>
      </c>
      <c r="Y543" s="43">
        <f>IFERROR(Y542/H542,"0")</f>
        <v>12</v>
      </c>
      <c r="Z543" s="43">
        <f>IFERROR(IF(Z542="",0,Z542),"0")</f>
        <v>0.22776000000000002</v>
      </c>
      <c r="AA543" s="67"/>
      <c r="AB543" s="67"/>
      <c r="AC543" s="67"/>
    </row>
    <row r="544" spans="1:68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100</v>
      </c>
      <c r="Y544" s="43">
        <f>IFERROR(SUM(Y542:Y542),"0")</f>
        <v>108</v>
      </c>
      <c r="Z544" s="42"/>
      <c r="AA544" s="67"/>
      <c r="AB544" s="67"/>
      <c r="AC544" s="67"/>
    </row>
    <row r="545" spans="1:68" ht="14.25" hidden="1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hidden="1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1892.34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1968.0600000000002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1980.2663569085241</v>
      </c>
      <c r="Y556" s="43">
        <f>IFERROR(SUM(BN22:BN552),"0")</f>
        <v>2059.6799999999998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4</v>
      </c>
      <c r="Y557" s="44">
        <f>ROUNDUP(SUM(BP22:BP552),0)</f>
        <v>4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2080.2663569085244</v>
      </c>
      <c r="Y558" s="43">
        <f>GrossWeightTotalR+PalletQtyTotalR*25</f>
        <v>2159.6799999999998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269.68289426622755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281</v>
      </c>
      <c r="Z559" s="42"/>
      <c r="AA559" s="67"/>
      <c r="AB559" s="67"/>
      <c r="AC559" s="67"/>
    </row>
    <row r="560" spans="1:68" ht="14.25" hidden="1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3.7906800000000005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1.92</v>
      </c>
      <c r="D565" s="52">
        <f>IFERROR(Y47*1,"0")+IFERROR(Y48*1,"0")+IFERROR(Y49*1,"0")+IFERROR(Y50*1,"0")</f>
        <v>54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121.5</v>
      </c>
      <c r="F565" s="52">
        <f>IFERROR(Y84*1,"0")+IFERROR(Y85*1,"0")+IFERROR(Y86*1,"0")+IFERROR(Y87*1,"0")+IFERROR(Y91*1,"0")+IFERROR(Y92*1,"0")+IFERROR(Y93*1,"0")+IFERROR(Y94*1,"0")</f>
        <v>16.2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132.30000000000001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109.92000000000002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174.9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64.8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93.6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147.9</v>
      </c>
      <c r="U565" s="52">
        <f>IFERROR(Y413*1,"0")+IFERROR(Y414*1,"0")</f>
        <v>0</v>
      </c>
      <c r="V565" s="52">
        <f>IFERROR(Y419*1,"0")+IFERROR(Y420*1,"0")+IFERROR(Y421*1,"0")</f>
        <v>18.900000000000002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615</v>
      </c>
      <c r="X565" s="52">
        <f>IFERROR(Y456*1,"0")+IFERROR(Y457*1,"0")+IFERROR(Y461*1,"0")+IFERROR(Y465*1,"0")+IFERROR(Y466*1,"0")+IFERROR(Y467*1,"0")</f>
        <v>12</v>
      </c>
      <c r="Y565" s="52">
        <f>IFERROR(Y473*1,"0")+IFERROR(Y474*1,"0")+IFERROR(Y475*1,"0")+IFERROR(Y476*1,"0")+IFERROR(Y477*1,"0")+IFERROR(Y478*1,"0")+IFERROR(Y482*1,"0")+IFERROR(Y483*1,"0")</f>
        <v>32.400000000000006</v>
      </c>
      <c r="Z565" s="52">
        <f>IFERROR(Y488*1,"0")+IFERROR(Y492*1,"0")+IFERROR(Y493*1,"0")+IFERROR(Y494*1,"0")</f>
        <v>32.400000000000006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232.32000000000002</v>
      </c>
      <c r="AB565" s="52">
        <f>IFERROR(Y530*1,"0")+IFERROR(Y534*1,"0")+IFERROR(Y538*1,"0")+IFERROR(Y542*1,"0")+IFERROR(Y546*1,"0")+IFERROR(Y547*1,"0")</f>
        <v>108</v>
      </c>
      <c r="AC565" s="52">
        <f>IFERROR(Y552*1,"0")</f>
        <v>0</v>
      </c>
      <c r="AF565" s="1"/>
    </row>
  </sheetData>
  <sheetProtection algorithmName="SHA-512" hashValue="W6xKtQtov4L4myRjPs6AGslIaGv3M7DM6ryDyvZMUY8LKHkWJ71E2pABeLsF7NTOJPE3443iXaEXaMPOZo6Gog==" saltValue="mUkFJ3PFyT1ATOvIhq7cWw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892,34"/>
        <filter val="1 980,27"/>
        <filter val="1,00"/>
        <filter val="1,85"/>
        <filter val="1,92"/>
        <filter val="1,98"/>
        <filter val="10,00"/>
        <filter val="10,26"/>
        <filter val="100,00"/>
        <filter val="105,40"/>
        <filter val="11,00"/>
        <filter val="11,11"/>
        <filter val="11,76"/>
        <filter val="12,00"/>
        <filter val="12,82"/>
        <filter val="12,90"/>
        <filter val="120,00"/>
        <filter val="135,40"/>
        <filter val="14,35"/>
        <filter val="14,70"/>
        <filter val="15,00"/>
        <filter val="150,00"/>
        <filter val="16,00"/>
        <filter val="165,00"/>
        <filter val="17,05"/>
        <filter val="18,90"/>
        <filter val="2 080,27"/>
        <filter val="2,84"/>
        <filter val="20,00"/>
        <filter val="22,73"/>
        <filter val="269,68"/>
        <filter val="27,07"/>
        <filter val="28,80"/>
        <filter val="3,00"/>
        <filter val="3,77"/>
        <filter val="30,00"/>
        <filter val="300,00"/>
        <filter val="34,00"/>
        <filter val="4"/>
        <filter val="4,20"/>
        <filter val="4,63"/>
        <filter val="4,80"/>
        <filter val="4,96"/>
        <filter val="40,00"/>
        <filter val="450,00"/>
        <filter val="5,00"/>
        <filter val="5,40"/>
        <filter val="5,56"/>
        <filter val="50,00"/>
        <filter val="6,00"/>
        <filter val="60,00"/>
        <filter val="67,50"/>
        <filter val="7,14"/>
        <filter val="8,00"/>
        <filter val="80,00"/>
        <filter val="9,00"/>
        <filter val="90,00"/>
        <filter val="93,52"/>
      </filters>
    </filterColumn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2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2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2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GpFm4YsdmBoNDdBmvCk/8x8PC7shbvwLfboWgKcbwIPEf3WEeyTJNpyt3/JSTMkq307BSLAYC9LQJtK874uGtg==" saltValue="pyUt+4FPmuV9o1PK5EZv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2026-08-13T11:42:13Z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