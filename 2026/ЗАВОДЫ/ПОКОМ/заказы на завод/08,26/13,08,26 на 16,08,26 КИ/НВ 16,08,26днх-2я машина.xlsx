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55B11A-C2C3-4D71-A457-B0960F751A1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BP419" i="1" s="1"/>
  <c r="P419" i="1"/>
  <c r="BO418" i="1"/>
  <c r="BM418" i="1"/>
  <c r="Y418" i="1"/>
  <c r="BP418" i="1" s="1"/>
  <c r="P418" i="1"/>
  <c r="X415" i="1"/>
  <c r="X414" i="1"/>
  <c r="BP413" i="1"/>
  <c r="BO413" i="1"/>
  <c r="BN413" i="1"/>
  <c r="BM413" i="1"/>
  <c r="Z413" i="1"/>
  <c r="Y413" i="1"/>
  <c r="BO412" i="1"/>
  <c r="BM412" i="1"/>
  <c r="Y412" i="1"/>
  <c r="U564" i="1" s="1"/>
  <c r="X409" i="1"/>
  <c r="X408" i="1"/>
  <c r="BO407" i="1"/>
  <c r="BM407" i="1"/>
  <c r="Y407" i="1"/>
  <c r="BP407" i="1" s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Y384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S564" i="1" s="1"/>
  <c r="P354" i="1"/>
  <c r="X351" i="1"/>
  <c r="X350" i="1"/>
  <c r="BO349" i="1"/>
  <c r="BM349" i="1"/>
  <c r="Y349" i="1"/>
  <c r="BP349" i="1" s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BP343" i="1" s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P333" i="1"/>
  <c r="BO333" i="1"/>
  <c r="BN333" i="1"/>
  <c r="BM333" i="1"/>
  <c r="Z333" i="1"/>
  <c r="Y333" i="1"/>
  <c r="Y336" i="1" s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BN317" i="1" s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O288" i="1"/>
  <c r="BM288" i="1"/>
  <c r="Y288" i="1"/>
  <c r="BN288" i="1" s="1"/>
  <c r="P288" i="1"/>
  <c r="BO287" i="1"/>
  <c r="BM287" i="1"/>
  <c r="Y287" i="1"/>
  <c r="P287" i="1"/>
  <c r="BO286" i="1"/>
  <c r="BM286" i="1"/>
  <c r="Y286" i="1"/>
  <c r="BN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BN274" i="1" s="1"/>
  <c r="P274" i="1"/>
  <c r="BO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BP267" i="1" s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BN257" i="1" s="1"/>
  <c r="P257" i="1"/>
  <c r="X254" i="1"/>
  <c r="Y253" i="1"/>
  <c r="X253" i="1"/>
  <c r="BO252" i="1"/>
  <c r="BM252" i="1"/>
  <c r="Y252" i="1"/>
  <c r="Y254" i="1" s="1"/>
  <c r="P252" i="1"/>
  <c r="X250" i="1"/>
  <c r="X249" i="1"/>
  <c r="BO248" i="1"/>
  <c r="BM248" i="1"/>
  <c r="Y248" i="1"/>
  <c r="BN248" i="1" s="1"/>
  <c r="P248" i="1"/>
  <c r="BO247" i="1"/>
  <c r="BM247" i="1"/>
  <c r="Y247" i="1"/>
  <c r="Y249" i="1" s="1"/>
  <c r="P247" i="1"/>
  <c r="BO246" i="1"/>
  <c r="BM246" i="1"/>
  <c r="Y246" i="1"/>
  <c r="BN246" i="1" s="1"/>
  <c r="P246" i="1"/>
  <c r="X244" i="1"/>
  <c r="X243" i="1"/>
  <c r="BO242" i="1"/>
  <c r="BM242" i="1"/>
  <c r="Y242" i="1"/>
  <c r="BN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Z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P212" i="1" s="1"/>
  <c r="P212" i="1"/>
  <c r="BO211" i="1"/>
  <c r="BM211" i="1"/>
  <c r="Y211" i="1"/>
  <c r="BN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Z195" i="1" s="1"/>
  <c r="P195" i="1"/>
  <c r="X193" i="1"/>
  <c r="X192" i="1"/>
  <c r="BO191" i="1"/>
  <c r="BM191" i="1"/>
  <c r="Y191" i="1"/>
  <c r="P191" i="1"/>
  <c r="BO190" i="1"/>
  <c r="BM190" i="1"/>
  <c r="Y190" i="1"/>
  <c r="P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Y171" i="1"/>
  <c r="BN171" i="1" s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P154" i="1"/>
  <c r="BO153" i="1"/>
  <c r="BM153" i="1"/>
  <c r="Y153" i="1"/>
  <c r="P153" i="1"/>
  <c r="BO152" i="1"/>
  <c r="BM152" i="1"/>
  <c r="Y152" i="1"/>
  <c r="BN152" i="1" s="1"/>
  <c r="P152" i="1"/>
  <c r="BO151" i="1"/>
  <c r="BM151" i="1"/>
  <c r="Y151" i="1"/>
  <c r="P151" i="1"/>
  <c r="BO150" i="1"/>
  <c r="BM150" i="1"/>
  <c r="Y150" i="1"/>
  <c r="BN150" i="1" s="1"/>
  <c r="P150" i="1"/>
  <c r="BO149" i="1"/>
  <c r="BM149" i="1"/>
  <c r="Y149" i="1"/>
  <c r="P149" i="1"/>
  <c r="X146" i="1"/>
  <c r="X145" i="1"/>
  <c r="BO144" i="1"/>
  <c r="BM144" i="1"/>
  <c r="Y144" i="1"/>
  <c r="P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BO136" i="1"/>
  <c r="BM136" i="1"/>
  <c r="Y136" i="1"/>
  <c r="P136" i="1"/>
  <c r="BO135" i="1"/>
  <c r="BM135" i="1"/>
  <c r="Z135" i="1"/>
  <c r="Y135" i="1"/>
  <c r="BN135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BO129" i="1"/>
  <c r="BM129" i="1"/>
  <c r="Y129" i="1"/>
  <c r="P129" i="1"/>
  <c r="X126" i="1"/>
  <c r="X125" i="1"/>
  <c r="BO124" i="1"/>
  <c r="BM124" i="1"/>
  <c r="Y124" i="1"/>
  <c r="Y126" i="1" s="1"/>
  <c r="P124" i="1"/>
  <c r="X122" i="1"/>
  <c r="X121" i="1"/>
  <c r="BO120" i="1"/>
  <c r="BM120" i="1"/>
  <c r="Y120" i="1"/>
  <c r="BP120" i="1" s="1"/>
  <c r="P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Y122" i="1" s="1"/>
  <c r="P117" i="1"/>
  <c r="X115" i="1"/>
  <c r="X114" i="1"/>
  <c r="BP113" i="1"/>
  <c r="BO113" i="1"/>
  <c r="BM113" i="1"/>
  <c r="Y113" i="1"/>
  <c r="P113" i="1"/>
  <c r="BO112" i="1"/>
  <c r="BM112" i="1"/>
  <c r="Y112" i="1"/>
  <c r="BP112" i="1" s="1"/>
  <c r="P112" i="1"/>
  <c r="BO111" i="1"/>
  <c r="BM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X107" i="1"/>
  <c r="X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Z99" i="1"/>
  <c r="Y99" i="1"/>
  <c r="BN99" i="1" s="1"/>
  <c r="P99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BO84" i="1"/>
  <c r="BM84" i="1"/>
  <c r="Z84" i="1"/>
  <c r="Y84" i="1"/>
  <c r="BN84" i="1" s="1"/>
  <c r="P84" i="1"/>
  <c r="X81" i="1"/>
  <c r="X80" i="1"/>
  <c r="BO79" i="1"/>
  <c r="BN79" i="1"/>
  <c r="BM79" i="1"/>
  <c r="Z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N73" i="1" s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Z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Z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Y33" i="1" s="1"/>
  <c r="P27" i="1"/>
  <c r="X25" i="1"/>
  <c r="X554" i="1" s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28" i="1" l="1"/>
  <c r="BP48" i="1"/>
  <c r="BN59" i="1"/>
  <c r="BP94" i="1"/>
  <c r="BN94" i="1"/>
  <c r="Z94" i="1"/>
  <c r="BN103" i="1"/>
  <c r="BN119" i="1"/>
  <c r="Z119" i="1"/>
  <c r="BN143" i="1"/>
  <c r="Z143" i="1"/>
  <c r="BN154" i="1"/>
  <c r="Z154" i="1"/>
  <c r="BP177" i="1"/>
  <c r="BN177" i="1"/>
  <c r="Z177" i="1"/>
  <c r="BN183" i="1"/>
  <c r="Z183" i="1"/>
  <c r="BN209" i="1"/>
  <c r="BN226" i="1"/>
  <c r="BP232" i="1"/>
  <c r="BN232" i="1"/>
  <c r="Z232" i="1"/>
  <c r="BP238" i="1"/>
  <c r="BN238" i="1"/>
  <c r="Z238" i="1"/>
  <c r="BN280" i="1"/>
  <c r="Z280" i="1"/>
  <c r="BN303" i="1"/>
  <c r="Z303" i="1"/>
  <c r="BP319" i="1"/>
  <c r="BN319" i="1"/>
  <c r="Z319" i="1"/>
  <c r="BP342" i="1"/>
  <c r="BN342" i="1"/>
  <c r="Z342" i="1"/>
  <c r="BP348" i="1"/>
  <c r="BN348" i="1"/>
  <c r="Z348" i="1"/>
  <c r="BN370" i="1"/>
  <c r="BP382" i="1"/>
  <c r="BN382" i="1"/>
  <c r="Z382" i="1"/>
  <c r="BN418" i="1"/>
  <c r="BN481" i="1"/>
  <c r="BP506" i="1"/>
  <c r="BN506" i="1"/>
  <c r="Z506" i="1"/>
  <c r="BP522" i="1"/>
  <c r="BN522" i="1"/>
  <c r="Z522" i="1"/>
  <c r="X558" i="1"/>
  <c r="Z28" i="1"/>
  <c r="Z30" i="1"/>
  <c r="BN30" i="1"/>
  <c r="C564" i="1"/>
  <c r="BP38" i="1"/>
  <c r="Z48" i="1"/>
  <c r="Z50" i="1"/>
  <c r="BN50" i="1"/>
  <c r="BP55" i="1"/>
  <c r="BN67" i="1"/>
  <c r="Y76" i="1"/>
  <c r="Y95" i="1"/>
  <c r="BN92" i="1"/>
  <c r="Z92" i="1"/>
  <c r="BN113" i="1"/>
  <c r="Z113" i="1"/>
  <c r="BP119" i="1"/>
  <c r="BP129" i="1"/>
  <c r="BN129" i="1"/>
  <c r="Z129" i="1"/>
  <c r="Y132" i="1"/>
  <c r="BP154" i="1"/>
  <c r="BN165" i="1"/>
  <c r="BP191" i="1"/>
  <c r="BN191" i="1"/>
  <c r="Z191" i="1"/>
  <c r="BN222" i="1"/>
  <c r="Z222" i="1"/>
  <c r="BN271" i="1"/>
  <c r="Z271" i="1"/>
  <c r="BN284" i="1"/>
  <c r="Y315" i="1"/>
  <c r="Y314" i="1"/>
  <c r="BN313" i="1"/>
  <c r="BN328" i="1"/>
  <c r="BN335" i="1"/>
  <c r="BP394" i="1"/>
  <c r="BN394" i="1"/>
  <c r="Z394" i="1"/>
  <c r="BP430" i="1"/>
  <c r="BN430" i="1"/>
  <c r="Z430" i="1"/>
  <c r="BP438" i="1"/>
  <c r="BN438" i="1"/>
  <c r="Z438" i="1"/>
  <c r="BN465" i="1"/>
  <c r="BN475" i="1"/>
  <c r="BN500" i="1"/>
  <c r="BP84" i="1"/>
  <c r="BP99" i="1"/>
  <c r="BN131" i="1"/>
  <c r="BP135" i="1"/>
  <c r="BP171" i="1"/>
  <c r="BN179" i="1"/>
  <c r="BN234" i="1"/>
  <c r="BN240" i="1"/>
  <c r="BN252" i="1"/>
  <c r="BN267" i="1"/>
  <c r="BN299" i="1"/>
  <c r="BN344" i="1"/>
  <c r="BN362" i="1"/>
  <c r="BN406" i="1"/>
  <c r="BN412" i="1"/>
  <c r="BN426" i="1"/>
  <c r="BN432" i="1"/>
  <c r="BN450" i="1"/>
  <c r="BN477" i="1"/>
  <c r="BN492" i="1"/>
  <c r="BN502" i="1"/>
  <c r="BN518" i="1"/>
  <c r="BN551" i="1"/>
  <c r="Z61" i="1"/>
  <c r="BP61" i="1"/>
  <c r="Y70" i="1"/>
  <c r="Z69" i="1"/>
  <c r="BP69" i="1"/>
  <c r="Y75" i="1"/>
  <c r="Z105" i="1"/>
  <c r="BP105" i="1"/>
  <c r="Y114" i="1"/>
  <c r="Z111" i="1"/>
  <c r="BP111" i="1"/>
  <c r="Z117" i="1"/>
  <c r="BP117" i="1"/>
  <c r="Z152" i="1"/>
  <c r="BP181" i="1"/>
  <c r="Z181" i="1"/>
  <c r="Y193" i="1"/>
  <c r="BN189" i="1"/>
  <c r="BP189" i="1"/>
  <c r="BP228" i="1"/>
  <c r="Z228" i="1"/>
  <c r="BP257" i="1"/>
  <c r="BP263" i="1"/>
  <c r="Z263" i="1"/>
  <c r="BP269" i="1"/>
  <c r="Z269" i="1"/>
  <c r="BP274" i="1"/>
  <c r="Y290" i="1"/>
  <c r="BP278" i="1"/>
  <c r="Z278" i="1"/>
  <c r="BP288" i="1"/>
  <c r="BP294" i="1"/>
  <c r="Z294" i="1"/>
  <c r="BP301" i="1"/>
  <c r="Z301" i="1"/>
  <c r="Y311" i="1"/>
  <c r="Y310" i="1"/>
  <c r="BN309" i="1"/>
  <c r="BP309" i="1"/>
  <c r="BP317" i="1"/>
  <c r="BN340" i="1"/>
  <c r="BP340" i="1"/>
  <c r="Z340" i="1"/>
  <c r="Y396" i="1"/>
  <c r="BN392" i="1"/>
  <c r="BP392" i="1"/>
  <c r="Z392" i="1"/>
  <c r="Z59" i="1"/>
  <c r="Z67" i="1"/>
  <c r="Z73" i="1"/>
  <c r="BP73" i="1"/>
  <c r="Y89" i="1"/>
  <c r="Z103" i="1"/>
  <c r="Z109" i="1"/>
  <c r="BP109" i="1"/>
  <c r="Z131" i="1"/>
  <c r="Y140" i="1"/>
  <c r="BP183" i="1"/>
  <c r="Z189" i="1"/>
  <c r="BP211" i="1"/>
  <c r="Z211" i="1"/>
  <c r="BP230" i="1"/>
  <c r="BP242" i="1"/>
  <c r="Z242" i="1"/>
  <c r="BP248" i="1"/>
  <c r="Z248" i="1"/>
  <c r="Z257" i="1"/>
  <c r="BP271" i="1"/>
  <c r="Z274" i="1"/>
  <c r="BP280" i="1"/>
  <c r="Z288" i="1"/>
  <c r="BP303" i="1"/>
  <c r="Z309" i="1"/>
  <c r="Z310" i="1" s="1"/>
  <c r="Z317" i="1"/>
  <c r="BN372" i="1"/>
  <c r="BP372" i="1"/>
  <c r="Z372" i="1"/>
  <c r="BN400" i="1"/>
  <c r="BP400" i="1"/>
  <c r="Z400" i="1"/>
  <c r="BN444" i="1"/>
  <c r="BP444" i="1"/>
  <c r="Z444" i="1"/>
  <c r="BN117" i="1"/>
  <c r="BP143" i="1"/>
  <c r="Y157" i="1"/>
  <c r="BP150" i="1"/>
  <c r="Z150" i="1"/>
  <c r="Y187" i="1"/>
  <c r="BN175" i="1"/>
  <c r="BP175" i="1"/>
  <c r="BN181" i="1"/>
  <c r="Y235" i="1"/>
  <c r="BP222" i="1"/>
  <c r="BN228" i="1"/>
  <c r="BN263" i="1"/>
  <c r="BN269" i="1"/>
  <c r="BN278" i="1"/>
  <c r="BN294" i="1"/>
  <c r="BN301" i="1"/>
  <c r="BN364" i="1"/>
  <c r="BP364" i="1"/>
  <c r="Z364" i="1"/>
  <c r="BN380" i="1"/>
  <c r="BP380" i="1"/>
  <c r="Z380" i="1"/>
  <c r="BN428" i="1"/>
  <c r="BP428" i="1"/>
  <c r="Z428" i="1"/>
  <c r="BN504" i="1"/>
  <c r="BP504" i="1"/>
  <c r="Z504" i="1"/>
  <c r="BN520" i="1"/>
  <c r="BP520" i="1"/>
  <c r="Z520" i="1"/>
  <c r="BP152" i="1"/>
  <c r="Y197" i="1"/>
  <c r="BN195" i="1"/>
  <c r="BP195" i="1"/>
  <c r="BP286" i="1"/>
  <c r="Z286" i="1"/>
  <c r="Y330" i="1"/>
  <c r="BN324" i="1"/>
  <c r="BP324" i="1"/>
  <c r="Z324" i="1"/>
  <c r="BN355" i="1"/>
  <c r="BP355" i="1"/>
  <c r="Z355" i="1"/>
  <c r="Y390" i="1"/>
  <c r="BN386" i="1"/>
  <c r="BP386" i="1"/>
  <c r="Z386" i="1"/>
  <c r="BN420" i="1"/>
  <c r="BP420" i="1"/>
  <c r="Z420" i="1"/>
  <c r="BN512" i="1"/>
  <c r="BP512" i="1"/>
  <c r="Z512" i="1"/>
  <c r="BN546" i="1"/>
  <c r="BP546" i="1"/>
  <c r="Z546" i="1"/>
  <c r="T564" i="1"/>
  <c r="Y376" i="1"/>
  <c r="Y408" i="1"/>
  <c r="J564" i="1"/>
  <c r="L564" i="1"/>
  <c r="Y243" i="1"/>
  <c r="Y250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Z165" i="1"/>
  <c r="Y186" i="1"/>
  <c r="Z179" i="1"/>
  <c r="Y192" i="1"/>
  <c r="Y198" i="1"/>
  <c r="K564" i="1"/>
  <c r="Z209" i="1"/>
  <c r="Z226" i="1"/>
  <c r="Z234" i="1"/>
  <c r="Y244" i="1"/>
  <c r="Z240" i="1"/>
  <c r="Z246" i="1"/>
  <c r="BP246" i="1"/>
  <c r="Z252" i="1"/>
  <c r="Z253" i="1" s="1"/>
  <c r="BP252" i="1"/>
  <c r="Y260" i="1"/>
  <c r="Z267" i="1"/>
  <c r="Z284" i="1"/>
  <c r="Z299" i="1"/>
  <c r="Z313" i="1"/>
  <c r="Z314" i="1" s="1"/>
  <c r="BP313" i="1"/>
  <c r="Y320" i="1"/>
  <c r="Z328" i="1"/>
  <c r="Z335" i="1"/>
  <c r="Z344" i="1"/>
  <c r="Y350" i="1"/>
  <c r="Z432" i="1"/>
  <c r="Z465" i="1"/>
  <c r="Z475" i="1"/>
  <c r="Z481" i="1"/>
  <c r="Z500" i="1"/>
  <c r="Z551" i="1"/>
  <c r="Z552" i="1" s="1"/>
  <c r="BP551" i="1"/>
  <c r="H9" i="1"/>
  <c r="A10" i="1"/>
  <c r="B564" i="1"/>
  <c r="X555" i="1"/>
  <c r="X556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Y71" i="1"/>
  <c r="Z74" i="1"/>
  <c r="Z75" i="1" s="1"/>
  <c r="BN74" i="1"/>
  <c r="BP74" i="1"/>
  <c r="Z78" i="1"/>
  <c r="Z80" i="1" s="1"/>
  <c r="BN78" i="1"/>
  <c r="BP78" i="1"/>
  <c r="Y81" i="1"/>
  <c r="F564" i="1"/>
  <c r="Z85" i="1"/>
  <c r="BN85" i="1"/>
  <c r="BP85" i="1"/>
  <c r="Z87" i="1"/>
  <c r="BN87" i="1"/>
  <c r="Y88" i="1"/>
  <c r="Z91" i="1"/>
  <c r="BN91" i="1"/>
  <c r="BP91" i="1"/>
  <c r="Z93" i="1"/>
  <c r="BN93" i="1"/>
  <c r="Y96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Y115" i="1"/>
  <c r="Z118" i="1"/>
  <c r="BN118" i="1"/>
  <c r="Z120" i="1"/>
  <c r="BN120" i="1"/>
  <c r="Y121" i="1"/>
  <c r="Z124" i="1"/>
  <c r="Z125" i="1" s="1"/>
  <c r="BN124" i="1"/>
  <c r="BP124" i="1"/>
  <c r="Y125" i="1"/>
  <c r="BP130" i="1"/>
  <c r="BN130" i="1"/>
  <c r="Z130" i="1"/>
  <c r="Y139" i="1"/>
  <c r="BP138" i="1"/>
  <c r="BN138" i="1"/>
  <c r="Z138" i="1"/>
  <c r="Y145" i="1"/>
  <c r="BP142" i="1"/>
  <c r="BN142" i="1"/>
  <c r="Z142" i="1"/>
  <c r="BP151" i="1"/>
  <c r="BN151" i="1"/>
  <c r="Z151" i="1"/>
  <c r="BP155" i="1"/>
  <c r="BN155" i="1"/>
  <c r="Z155" i="1"/>
  <c r="Y160" i="1"/>
  <c r="BP159" i="1"/>
  <c r="BN159" i="1"/>
  <c r="Z159" i="1"/>
  <c r="Z160" i="1" s="1"/>
  <c r="Y161" i="1"/>
  <c r="F9" i="1"/>
  <c r="J9" i="1"/>
  <c r="Y43" i="1"/>
  <c r="Y51" i="1"/>
  <c r="Y64" i="1"/>
  <c r="Y106" i="1"/>
  <c r="BP136" i="1"/>
  <c r="BN136" i="1"/>
  <c r="Z136" i="1"/>
  <c r="Z139" i="1" s="1"/>
  <c r="BP144" i="1"/>
  <c r="BN144" i="1"/>
  <c r="Z144" i="1"/>
  <c r="Y146" i="1"/>
  <c r="I564" i="1"/>
  <c r="Y156" i="1"/>
  <c r="BP149" i="1"/>
  <c r="BN149" i="1"/>
  <c r="Z149" i="1"/>
  <c r="BP153" i="1"/>
  <c r="BN153" i="1"/>
  <c r="Z153" i="1"/>
  <c r="H564" i="1"/>
  <c r="Y133" i="1"/>
  <c r="Z164" i="1"/>
  <c r="Z167" i="1" s="1"/>
  <c r="BN164" i="1"/>
  <c r="BP164" i="1"/>
  <c r="Z166" i="1"/>
  <c r="BN166" i="1"/>
  <c r="Y167" i="1"/>
  <c r="Z170" i="1"/>
  <c r="Z172" i="1" s="1"/>
  <c r="BN170" i="1"/>
  <c r="BP170" i="1"/>
  <c r="Y173" i="1"/>
  <c r="Z176" i="1"/>
  <c r="BN176" i="1"/>
  <c r="BP176" i="1"/>
  <c r="Z178" i="1"/>
  <c r="BN178" i="1"/>
  <c r="Z180" i="1"/>
  <c r="BN180" i="1"/>
  <c r="Z182" i="1"/>
  <c r="BN182" i="1"/>
  <c r="Z184" i="1"/>
  <c r="BN184" i="1"/>
  <c r="Z190" i="1"/>
  <c r="BN190" i="1"/>
  <c r="BP190" i="1"/>
  <c r="Z196" i="1"/>
  <c r="Z197" i="1" s="1"/>
  <c r="BN196" i="1"/>
  <c r="BP196" i="1"/>
  <c r="Z200" i="1"/>
  <c r="Z201" i="1" s="1"/>
  <c r="BN200" i="1"/>
  <c r="BP200" i="1"/>
  <c r="Y201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Y236" i="1"/>
  <c r="Z239" i="1"/>
  <c r="BN239" i="1"/>
  <c r="BP239" i="1"/>
  <c r="Z241" i="1"/>
  <c r="BN241" i="1"/>
  <c r="Z247" i="1"/>
  <c r="Z249" i="1" s="1"/>
  <c r="BN247" i="1"/>
  <c r="BP247" i="1"/>
  <c r="M564" i="1"/>
  <c r="Z258" i="1"/>
  <c r="Z259" i="1" s="1"/>
  <c r="BN258" i="1"/>
  <c r="BP258" i="1"/>
  <c r="Y259" i="1"/>
  <c r="Z262" i="1"/>
  <c r="Z264" i="1" s="1"/>
  <c r="BN262" i="1"/>
  <c r="BP262" i="1"/>
  <c r="Y265" i="1"/>
  <c r="Y276" i="1"/>
  <c r="Z268" i="1"/>
  <c r="BN268" i="1"/>
  <c r="Z270" i="1"/>
  <c r="BN270" i="1"/>
  <c r="Z272" i="1"/>
  <c r="BN272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Z336" i="1"/>
  <c r="BP334" i="1"/>
  <c r="BN334" i="1"/>
  <c r="Z334" i="1"/>
  <c r="Y168" i="1"/>
  <c r="Y214" i="1"/>
  <c r="Y21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BP318" i="1"/>
  <c r="BN318" i="1"/>
  <c r="Z318" i="1"/>
  <c r="Z320" i="1" s="1"/>
  <c r="BP327" i="1"/>
  <c r="BN327" i="1"/>
  <c r="Z327" i="1"/>
  <c r="BP341" i="1"/>
  <c r="BN341" i="1"/>
  <c r="Z341" i="1"/>
  <c r="Y345" i="1"/>
  <c r="Y351" i="1"/>
  <c r="Y358" i="1"/>
  <c r="Y367" i="1"/>
  <c r="Y377" i="1"/>
  <c r="Y383" i="1"/>
  <c r="Y389" i="1"/>
  <c r="Y397" i="1"/>
  <c r="Y403" i="1"/>
  <c r="Y409" i="1"/>
  <c r="Y421" i="1"/>
  <c r="BP439" i="1"/>
  <c r="BN439" i="1"/>
  <c r="Z439" i="1"/>
  <c r="Y441" i="1"/>
  <c r="Y446" i="1"/>
  <c r="BP443" i="1"/>
  <c r="BN443" i="1"/>
  <c r="Z443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P564" i="1"/>
  <c r="X564" i="1"/>
  <c r="O564" i="1"/>
  <c r="Y307" i="1"/>
  <c r="Q564" i="1"/>
  <c r="Y337" i="1"/>
  <c r="R564" i="1"/>
  <c r="Z343" i="1"/>
  <c r="BN343" i="1"/>
  <c r="Y346" i="1"/>
  <c r="Z349" i="1"/>
  <c r="Z350" i="1" s="1"/>
  <c r="BN349" i="1"/>
  <c r="Z354" i="1"/>
  <c r="BN354" i="1"/>
  <c r="BP354" i="1"/>
  <c r="Z356" i="1"/>
  <c r="BN356" i="1"/>
  <c r="Y357" i="1"/>
  <c r="Z361" i="1"/>
  <c r="BN361" i="1"/>
  <c r="BP361" i="1"/>
  <c r="Z363" i="1"/>
  <c r="BN363" i="1"/>
  <c r="Z365" i="1"/>
  <c r="BN365" i="1"/>
  <c r="Y366" i="1"/>
  <c r="Z369" i="1"/>
  <c r="BN369" i="1"/>
  <c r="BP369" i="1"/>
  <c r="Z371" i="1"/>
  <c r="BN371" i="1"/>
  <c r="Z373" i="1"/>
  <c r="BN373" i="1"/>
  <c r="Z375" i="1"/>
  <c r="BN375" i="1"/>
  <c r="Z379" i="1"/>
  <c r="Z383" i="1" s="1"/>
  <c r="BN379" i="1"/>
  <c r="BP379" i="1"/>
  <c r="Z381" i="1"/>
  <c r="BN381" i="1"/>
  <c r="Z387" i="1"/>
  <c r="Z389" i="1" s="1"/>
  <c r="BN387" i="1"/>
  <c r="Z393" i="1"/>
  <c r="BN393" i="1"/>
  <c r="Z395" i="1"/>
  <c r="BN395" i="1"/>
  <c r="Z399" i="1"/>
  <c r="BN399" i="1"/>
  <c r="BP399" i="1"/>
  <c r="Z401" i="1"/>
  <c r="BN401" i="1"/>
  <c r="Z405" i="1"/>
  <c r="Z408" i="1" s="1"/>
  <c r="BN405" i="1"/>
  <c r="BP405" i="1"/>
  <c r="Z407" i="1"/>
  <c r="BN407" i="1"/>
  <c r="Y415" i="1"/>
  <c r="V564" i="1"/>
  <c r="Z419" i="1"/>
  <c r="BN419" i="1"/>
  <c r="Y422" i="1"/>
  <c r="W564" i="1"/>
  <c r="Y434" i="1"/>
  <c r="Z427" i="1"/>
  <c r="BN427" i="1"/>
  <c r="Z429" i="1"/>
  <c r="BN429" i="1"/>
  <c r="Z431" i="1"/>
  <c r="BN431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47" i="1"/>
  <c r="Y452" i="1"/>
  <c r="BP449" i="1"/>
  <c r="BN449" i="1"/>
  <c r="Z449" i="1"/>
  <c r="Y457" i="1"/>
  <c r="BP466" i="1"/>
  <c r="BN466" i="1"/>
  <c r="Z466" i="1"/>
  <c r="Y468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121" i="1" l="1"/>
  <c r="Z451" i="1"/>
  <c r="Z421" i="1"/>
  <c r="Z275" i="1"/>
  <c r="Z243" i="1"/>
  <c r="Z192" i="1"/>
  <c r="Z132" i="1"/>
  <c r="Z114" i="1"/>
  <c r="Z88" i="1"/>
  <c r="Z329" i="1"/>
  <c r="Z186" i="1"/>
  <c r="Z95" i="1"/>
  <c r="Z70" i="1"/>
  <c r="Z51" i="1"/>
  <c r="Z106" i="1"/>
  <c r="Z63" i="1"/>
  <c r="Z434" i="1"/>
  <c r="Z396" i="1"/>
  <c r="Z345" i="1"/>
  <c r="Z306" i="1"/>
  <c r="Y555" i="1"/>
  <c r="Y556" i="1"/>
  <c r="Y554" i="1"/>
  <c r="Z508" i="1"/>
  <c r="Z478" i="1"/>
  <c r="Z402" i="1"/>
  <c r="Z376" i="1"/>
  <c r="Z366" i="1"/>
  <c r="Z357" i="1"/>
  <c r="Z494" i="1"/>
  <c r="Z467" i="1"/>
  <c r="Z235" i="1"/>
  <c r="Z213" i="1"/>
  <c r="Z156" i="1"/>
  <c r="Z145" i="1"/>
  <c r="Y558" i="1"/>
  <c r="Z524" i="1"/>
  <c r="Z446" i="1"/>
  <c r="Z290" i="1"/>
  <c r="Z42" i="1"/>
  <c r="Z32" i="1"/>
  <c r="X557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<sst xmlns="http://schemas.openxmlformats.org/spreadsheetml/2006/main" count="2517" uniqueCount="913">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</sst>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46250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885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5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0.41666666666666669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29</v>
      </c>
      <c r="Y30" s="634">
        <f>IFERROR(IF(X30="",0,CEILING((X30/$H30),1)*$H30),"")</f>
        <v>30.6</v>
      </c>
      <c r="Z30" s="36">
        <f>IFERROR(IF(Y30=0,"",ROUNDUP(Y30/H30,0)*0.00651),"")</f>
        <v>0.11067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51.233333333333334</v>
      </c>
      <c r="BN30" s="64">
        <f>IFERROR(Y30*I30/H30,"0")</f>
        <v>54.06</v>
      </c>
      <c r="BO30" s="64">
        <f>IFERROR(1/J30*(X30/H30),"0")</f>
        <v>8.8522588522588527E-2</v>
      </c>
      <c r="BP30" s="64">
        <f>IFERROR(1/J30*(Y30/H30),"0")</f>
        <v>9.3406593406593408E-2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16.111111111111111</v>
      </c>
      <c r="Y32" s="635">
        <f>IFERROR(Y27/H27,"0")+IFERROR(Y28/H28,"0")+IFERROR(Y29/H29,"0")+IFERROR(Y30/H30,"0")+IFERROR(Y31/H31,"0")</f>
        <v>17</v>
      </c>
      <c r="Z32" s="635">
        <f>IFERROR(IF(Z27="",0,Z27),"0")+IFERROR(IF(Z28="",0,Z28),"0")+IFERROR(IF(Z29="",0,Z29),"0")+IFERROR(IF(Z30="",0,Z30),"0")+IFERROR(IF(Z31="",0,Z31),"0")</f>
        <v>0.11067</v>
      </c>
      <c r="AA32" s="636"/>
      <c r="AB32" s="636"/>
      <c r="AC32" s="636"/>
    </row>
    <row r="33" spans="1:68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29</v>
      </c>
      <c r="Y33" s="635">
        <f>IFERROR(SUM(Y27:Y31),"0")</f>
        <v>30.6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876</v>
      </c>
      <c r="Y47" s="634">
        <f>IFERROR(IF(X47="",0,CEILING((X47/$H47),1)*$H47),"")</f>
        <v>885.6</v>
      </c>
      <c r="Z47" s="36">
        <f>IFERROR(IF(Y47=0,"",ROUNDUP(Y47/H47,0)*0.01898),"")</f>
        <v>1.55636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909.25555555555559</v>
      </c>
      <c r="BN47" s="64">
        <f>IFERROR(Y47*I47/H47,"0")</f>
        <v>919.22</v>
      </c>
      <c r="BO47" s="64">
        <f>IFERROR(1/J47*(X47/H47),"0")</f>
        <v>1.2673611111111109</v>
      </c>
      <c r="BP47" s="64">
        <f>IFERROR(1/J47*(Y47/H47),"0")</f>
        <v>1.28125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2</v>
      </c>
      <c r="Y49" s="634">
        <f>IFERROR(IF(X49="",0,CEILING((X49/$H49),1)*$H49),"")</f>
        <v>4</v>
      </c>
      <c r="Z49" s="36">
        <f>IFERROR(IF(Y49=0,"",ROUNDUP(Y49/H49,0)*0.00902),"")</f>
        <v>9.0200000000000002E-3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2.0950000000000002</v>
      </c>
      <c r="BN49" s="64">
        <f>IFERROR(Y49*I49/H49,"0")</f>
        <v>4.1900000000000004</v>
      </c>
      <c r="BO49" s="64">
        <f>IFERROR(1/J49*(X49/H49),"0")</f>
        <v>3.787878787878788E-3</v>
      </c>
      <c r="BP49" s="64">
        <f>IFERROR(1/J49*(Y49/H49),"0")</f>
        <v>7.575757575757576E-3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42</v>
      </c>
      <c r="Y50" s="634">
        <f>IFERROR(IF(X50="",0,CEILING((X50/$H50),1)*$H50),"")</f>
        <v>44.400000000000006</v>
      </c>
      <c r="Z50" s="36">
        <f>IFERROR(IF(Y50=0,"",ROUNDUP(Y50/H50,0)*0.00902),"")</f>
        <v>0.10824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44.156756756756756</v>
      </c>
      <c r="BN50" s="64">
        <f>IFERROR(Y50*I50/H50,"0")</f>
        <v>46.680000000000007</v>
      </c>
      <c r="BO50" s="64">
        <f>IFERROR(1/J50*(X50/H50),"0")</f>
        <v>8.5995085995085999E-2</v>
      </c>
      <c r="BP50" s="64">
        <f>IFERROR(1/J50*(Y50/H50),"0")</f>
        <v>9.0909090909090925E-2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92.962462462462454</v>
      </c>
      <c r="Y51" s="635">
        <f>IFERROR(Y47/H47,"0")+IFERROR(Y48/H48,"0")+IFERROR(Y49/H49,"0")+IFERROR(Y50/H50,"0")</f>
        <v>95</v>
      </c>
      <c r="Z51" s="635">
        <f>IFERROR(IF(Z47="",0,Z47),"0")+IFERROR(IF(Z48="",0,Z48),"0")+IFERROR(IF(Z49="",0,Z49),"0")+IFERROR(IF(Z50="",0,Z50),"0")</f>
        <v>1.6736200000000001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920</v>
      </c>
      <c r="Y52" s="635">
        <f>IFERROR(SUM(Y47:Y50),"0")</f>
        <v>934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20</v>
      </c>
      <c r="Y55" s="634">
        <f t="shared" ref="Y55:Y62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20.732142857142858</v>
      </c>
      <c r="BN55" s="64">
        <f t="shared" ref="BN55:BN62" si="2">IFERROR(Y55*I55/H55,"0")</f>
        <v>23.22</v>
      </c>
      <c r="BO55" s="64">
        <f t="shared" ref="BO55:BO62" si="3">IFERROR(1/J55*(X55/H55),"0")</f>
        <v>2.7901785714285716E-2</v>
      </c>
      <c r="BP55" s="64">
        <f t="shared" ref="BP55:BP62" si="4">IFERROR(1/J55*(Y55/H55),"0")</f>
        <v>3.125E-2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141</v>
      </c>
      <c r="Y57" s="634">
        <f t="shared" si="0"/>
        <v>151.20000000000002</v>
      </c>
      <c r="Z57" s="36">
        <f>IFERROR(IF(Y57=0,"",ROUNDUP(Y57/H57,0)*0.01898),"")</f>
        <v>0.26572000000000001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146.35277777777779</v>
      </c>
      <c r="BN57" s="64">
        <f t="shared" si="2"/>
        <v>156.94</v>
      </c>
      <c r="BO57" s="64">
        <f t="shared" si="3"/>
        <v>0.20399305555555555</v>
      </c>
      <c r="BP57" s="64">
        <f t="shared" si="4"/>
        <v>0.21875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14.841269841269842</v>
      </c>
      <c r="Y63" s="635">
        <f>IFERROR(Y55/H55,"0")+IFERROR(Y56/H56,"0")+IFERROR(Y57/H57,"0")+IFERROR(Y58/H58,"0")+IFERROR(Y59/H59,"0")+IFERROR(Y60/H60,"0")+IFERROR(Y61/H61,"0")+IFERROR(Y62/H62,"0")</f>
        <v>16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0.30368000000000001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161</v>
      </c>
      <c r="Y64" s="635">
        <f>IFERROR(SUM(Y55:Y62),"0")</f>
        <v>173.60000000000002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69</v>
      </c>
      <c r="Y66" s="634">
        <f>IFERROR(IF(X66="",0,CEILING((X66/$H66),1)*$H66),"")</f>
        <v>75.600000000000009</v>
      </c>
      <c r="Z66" s="36">
        <f>IFERROR(IF(Y66=0,"",ROUNDUP(Y66/H66,0)*0.01898),"")</f>
        <v>0.13286000000000001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71.61944444444444</v>
      </c>
      <c r="BN66" s="64">
        <f>IFERROR(Y66*I66/H66,"0")</f>
        <v>78.47</v>
      </c>
      <c r="BO66" s="64">
        <f>IFERROR(1/J66*(X66/H66),"0")</f>
        <v>9.9826388888888881E-2</v>
      </c>
      <c r="BP66" s="64">
        <f>IFERROR(1/J66*(Y66/H66),"0")</f>
        <v>0.109375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6.3888888888888884</v>
      </c>
      <c r="Y70" s="635">
        <f>IFERROR(Y66/H66,"0")+IFERROR(Y67/H67,"0")+IFERROR(Y68/H68,"0")+IFERROR(Y69/H69,"0")</f>
        <v>7</v>
      </c>
      <c r="Z70" s="635">
        <f>IFERROR(IF(Z66="",0,Z66),"0")+IFERROR(IF(Z67="",0,Z67),"0")+IFERROR(IF(Z68="",0,Z68),"0")+IFERROR(IF(Z69="",0,Z69),"0")</f>
        <v>0.13286000000000001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69</v>
      </c>
      <c r="Y71" s="635">
        <f>IFERROR(SUM(Y66:Y69),"0")</f>
        <v>75.600000000000009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5</v>
      </c>
      <c r="Y85" s="634">
        <f>IFERROR(IF(X85="",0,CEILING((X85/$H85),1)*$H85),"")</f>
        <v>5.0999999999999996</v>
      </c>
      <c r="Z85" s="36">
        <f>IFERROR(IF(Y85=0,"",ROUNDUP(Y85/H85,0)*0.00726),"")</f>
        <v>2.1780000000000001E-2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5.2941176470588234</v>
      </c>
      <c r="BN85" s="64">
        <f>IFERROR(Y85*I85/H85,"0")</f>
        <v>5.4</v>
      </c>
      <c r="BO85" s="64">
        <f>IFERROR(1/J85*(X85/H85),"0")</f>
        <v>1.5318627450980393E-2</v>
      </c>
      <c r="BP85" s="64">
        <f>IFERROR(1/J85*(Y85/H85),"0")</f>
        <v>1.5625E-2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35</v>
      </c>
      <c r="Y87" s="634">
        <f>IFERROR(IF(X87="",0,CEILING((X87/$H87),1)*$H87),"")</f>
        <v>36</v>
      </c>
      <c r="Z87" s="36">
        <f>IFERROR(IF(Y87=0,"",ROUNDUP(Y87/H87,0)*0.00902),"")</f>
        <v>7.2160000000000002E-2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36.477777777777781</v>
      </c>
      <c r="BN87" s="64">
        <f>IFERROR(Y87*I87/H87,"0")</f>
        <v>37.520000000000003</v>
      </c>
      <c r="BO87" s="64">
        <f>IFERROR(1/J87*(X87/H87),"0")</f>
        <v>5.8922558922558925E-2</v>
      </c>
      <c r="BP87" s="64">
        <f>IFERROR(1/J87*(Y87/H87),"0")</f>
        <v>6.0606060606060608E-2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10.718954248366014</v>
      </c>
      <c r="Y88" s="635">
        <f>IFERROR(Y84/H84,"0")+IFERROR(Y85/H85,"0")+IFERROR(Y86/H86,"0")+IFERROR(Y87/H87,"0")</f>
        <v>11</v>
      </c>
      <c r="Z88" s="635">
        <f>IFERROR(IF(Z84="",0,Z84),"0")+IFERROR(IF(Z85="",0,Z85),"0")+IFERROR(IF(Z86="",0,Z86),"0")+IFERROR(IF(Z87="",0,Z87),"0")</f>
        <v>9.3939999999999996E-2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40</v>
      </c>
      <c r="Y89" s="635">
        <f>IFERROR(SUM(Y84:Y87),"0")</f>
        <v>41.1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1070</v>
      </c>
      <c r="Y91" s="634">
        <f>IFERROR(IF(X91="",0,CEILING((X91/$H91),1)*$H91),"")</f>
        <v>1077.3</v>
      </c>
      <c r="Z91" s="36">
        <f>IFERROR(IF(Y91=0,"",ROUNDUP(Y91/H91,0)*0.01898),"")</f>
        <v>2.52434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1135.2567901234568</v>
      </c>
      <c r="BN91" s="64">
        <f>IFERROR(Y91*I91/H91,"0")</f>
        <v>1143.002</v>
      </c>
      <c r="BO91" s="64">
        <f>IFERROR(1/J91*(X91/H91),"0")</f>
        <v>2.0640432098765431</v>
      </c>
      <c r="BP91" s="64">
        <f>IFERROR(1/J91*(Y91/H91),"0")</f>
        <v>2.078125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449</v>
      </c>
      <c r="Y93" s="634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490.90666666666669</v>
      </c>
      <c r="BN93" s="64">
        <f>IFERROR(Y93*I93/H93,"0")</f>
        <v>492.98399999999998</v>
      </c>
      <c r="BO93" s="64">
        <f>IFERROR(1/J93*(X93/H93),"0")</f>
        <v>0.91371591371591365</v>
      </c>
      <c r="BP93" s="64">
        <f>IFERROR(1/J93*(Y93/H93),"0")</f>
        <v>0.91758241758241765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298.39506172839504</v>
      </c>
      <c r="Y95" s="635">
        <f>IFERROR(Y91/H91,"0")+IFERROR(Y92/H92,"0")+IFERROR(Y93/H93,"0")+IFERROR(Y94/H94,"0")</f>
        <v>300</v>
      </c>
      <c r="Z95" s="635">
        <f>IFERROR(IF(Z91="",0,Z91),"0")+IFERROR(IF(Z92="",0,Z92),"0")+IFERROR(IF(Z93="",0,Z93),"0")+IFERROR(IF(Z94="",0,Z94),"0")</f>
        <v>3.61151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1519</v>
      </c>
      <c r="Y96" s="635">
        <f>IFERROR(SUM(Y91:Y94),"0")</f>
        <v>1528.2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140</v>
      </c>
      <c r="Y99" s="634">
        <f t="shared" ref="Y99:Y105" si="5">IFERROR(IF(X99="",0,CEILING((X99/$H99),1)*$H99),"")</f>
        <v>140.4</v>
      </c>
      <c r="Z99" s="36">
        <f>IFERROR(IF(Y99=0,"",ROUNDUP(Y99/H99,0)*0.01898),"")</f>
        <v>0.24674000000000001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145.31481481481481</v>
      </c>
      <c r="BN99" s="64">
        <f t="shared" ref="BN99:BN105" si="7">IFERROR(Y99*I99/H99,"0")</f>
        <v>145.73000000000002</v>
      </c>
      <c r="BO99" s="64">
        <f t="shared" ref="BO99:BO105" si="8">IFERROR(1/J99*(X99/H99),"0")</f>
        <v>0.20254629629629628</v>
      </c>
      <c r="BP99" s="64">
        <f t="shared" ref="BP99:BP105" si="9">IFERROR(1/J99*(Y99/H99),"0")</f>
        <v>0.203125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12.962962962962962</v>
      </c>
      <c r="Y106" s="635">
        <f>IFERROR(Y99/H99,"0")+IFERROR(Y100/H100,"0")+IFERROR(Y101/H101,"0")+IFERROR(Y102/H102,"0")+IFERROR(Y103/H103,"0")+IFERROR(Y104/H104,"0")+IFERROR(Y105/H105,"0")</f>
        <v>13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0.24674000000000001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140</v>
      </c>
      <c r="Y107" s="635">
        <f>IFERROR(SUM(Y99:Y105),"0")</f>
        <v>140.4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12</v>
      </c>
      <c r="Y109" s="634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12.455555555555556</v>
      </c>
      <c r="BN109" s="64">
        <f>IFERROR(Y109*I109/H109,"0")</f>
        <v>22.42</v>
      </c>
      <c r="BO109" s="64">
        <f>IFERROR(1/J109*(X109/H109),"0")</f>
        <v>1.7361111111111108E-2</v>
      </c>
      <c r="BP109" s="64">
        <f>IFERROR(1/J109*(Y109/H109),"0")</f>
        <v>3.125E-2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6</v>
      </c>
      <c r="Y113" s="634">
        <f>IFERROR(IF(X113="",0,CEILING((X113/$H113),1)*$H113),"")</f>
        <v>7.1999999999999993</v>
      </c>
      <c r="Z113" s="36">
        <f>IFERROR(IF(Y113=0,"",ROUNDUP(Y113/H113,0)*0.00651),"")</f>
        <v>1.9529999999999999E-2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6.45</v>
      </c>
      <c r="BN113" s="64">
        <f>IFERROR(Y113*I113/H113,"0")</f>
        <v>7.7399999999999993</v>
      </c>
      <c r="BO113" s="64">
        <f>IFERROR(1/J113*(X113/H113),"0")</f>
        <v>1.3736263736263738E-2</v>
      </c>
      <c r="BP113" s="64">
        <f>IFERROR(1/J113*(Y113/H113),"0")</f>
        <v>1.6483516483516484E-2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3.6111111111111107</v>
      </c>
      <c r="Y114" s="635">
        <f>IFERROR(Y109/H109,"0")+IFERROR(Y110/H110,"0")+IFERROR(Y111/H111,"0")+IFERROR(Y112/H112,"0")+IFERROR(Y113/H113,"0")</f>
        <v>5</v>
      </c>
      <c r="Z114" s="635">
        <f>IFERROR(IF(Z109="",0,Z109),"0")+IFERROR(IF(Z110="",0,Z110),"0")+IFERROR(IF(Z111="",0,Z111),"0")+IFERROR(IF(Z112="",0,Z112),"0")+IFERROR(IF(Z113="",0,Z113),"0")</f>
        <v>5.7489999999999999E-2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18</v>
      </c>
      <c r="Y115" s="635">
        <f>IFERROR(SUM(Y109:Y113),"0")</f>
        <v>28.8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2488</v>
      </c>
      <c r="Y117" s="634">
        <f>IFERROR(IF(X117="",0,CEILING((X117/$H117),1)*$H117),"")</f>
        <v>2494.7999999999997</v>
      </c>
      <c r="Z117" s="36">
        <f>IFERROR(IF(Y117=0,"",ROUNDUP(Y117/H117,0)*0.01898),"")</f>
        <v>5.8458399999999999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2637.8943209876543</v>
      </c>
      <c r="BN117" s="64">
        <f>IFERROR(Y117*I117/H117,"0")</f>
        <v>2645.1039999999994</v>
      </c>
      <c r="BO117" s="64">
        <f>IFERROR(1/J117*(X117/H117),"0")</f>
        <v>4.7993827160493829</v>
      </c>
      <c r="BP117" s="64">
        <f>IFERROR(1/J117*(Y117/H117),"0")</f>
        <v>4.8125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307.16049382716051</v>
      </c>
      <c r="Y121" s="635">
        <f>IFERROR(Y117/H117,"0")+IFERROR(Y118/H118,"0")+IFERROR(Y119/H119,"0")+IFERROR(Y120/H120,"0")</f>
        <v>308</v>
      </c>
      <c r="Z121" s="635">
        <f>IFERROR(IF(Z117="",0,Z117),"0")+IFERROR(IF(Z118="",0,Z118),"0")+IFERROR(IF(Z119="",0,Z119),"0")+IFERROR(IF(Z120="",0,Z120),"0")</f>
        <v>5.8458399999999999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2488</v>
      </c>
      <c r="Y122" s="635">
        <f>IFERROR(SUM(Y117:Y120),"0")</f>
        <v>2494.7999999999997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11</v>
      </c>
      <c r="Y136" s="634">
        <f>IFERROR(IF(X136="",0,CEILING((X136/$H136),1)*$H136),"")</f>
        <v>11.2</v>
      </c>
      <c r="Z136" s="36">
        <f>IFERROR(IF(Y136=0,"",ROUNDUP(Y136/H136,0)*0.00651),"")</f>
        <v>2.6040000000000001E-2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12.052857142857142</v>
      </c>
      <c r="BN136" s="64">
        <f>IFERROR(Y136*I136/H136,"0")</f>
        <v>12.271999999999998</v>
      </c>
      <c r="BO136" s="64">
        <f>IFERROR(1/J136*(X136/H136),"0")</f>
        <v>2.1585557299843017E-2</v>
      </c>
      <c r="BP136" s="64">
        <f>IFERROR(1/J136*(Y136/H136),"0")</f>
        <v>2.197802197802198E-2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3.9285714285714288</v>
      </c>
      <c r="Y139" s="635">
        <f>IFERROR(Y135/H135,"0")+IFERROR(Y136/H136,"0")+IFERROR(Y137/H137,"0")+IFERROR(Y138/H138,"0")</f>
        <v>4</v>
      </c>
      <c r="Z139" s="635">
        <f>IFERROR(IF(Z135="",0,Z135),"0")+IFERROR(IF(Z136="",0,Z136),"0")+IFERROR(IF(Z137="",0,Z137),"0")+IFERROR(IF(Z138="",0,Z138),"0")</f>
        <v>2.6040000000000001E-2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11</v>
      </c>
      <c r="Y140" s="635">
        <f>IFERROR(SUM(Y135:Y138),"0")</f>
        <v>11.2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117</v>
      </c>
      <c r="Y175" s="634">
        <f t="shared" ref="Y175:Y185" si="16">IFERROR(IF(X175="",0,CEILING((X175/$H175),1)*$H175),"")</f>
        <v>119</v>
      </c>
      <c r="Z175" s="36">
        <f>IFERROR(IF(Y175=0,"",ROUNDUP(Y175/H175,0)*0.00902),"")</f>
        <v>0.30668000000000001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123.35142857142857</v>
      </c>
      <c r="BN175" s="64">
        <f t="shared" ref="BN175:BN185" si="18">IFERROR(Y175*I175/H175,"0")</f>
        <v>125.46000000000001</v>
      </c>
      <c r="BO175" s="64">
        <f t="shared" ref="BO175:BO185" si="19">IFERROR(1/J175*(X175/H175),"0")</f>
        <v>0.25324675324675328</v>
      </c>
      <c r="BP175" s="64">
        <f t="shared" ref="BP175:BP185" si="20">IFERROR(1/J175*(Y175/H175),"0")</f>
        <v>0.25757575757575757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110</v>
      </c>
      <c r="Y178" s="634">
        <f t="shared" si="16"/>
        <v>112</v>
      </c>
      <c r="Z178" s="36">
        <f>IFERROR(IF(Y178=0,"",ROUNDUP(Y178/H178,0)*0.00902),"")</f>
        <v>0.28864000000000001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115.97142857142856</v>
      </c>
      <c r="BN178" s="64">
        <f t="shared" si="18"/>
        <v>118.08</v>
      </c>
      <c r="BO178" s="64">
        <f t="shared" si="19"/>
        <v>0.23809523809523808</v>
      </c>
      <c r="BP178" s="64">
        <f t="shared" si="20"/>
        <v>0.24242424242424243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130</v>
      </c>
      <c r="Y183" s="634">
        <f t="shared" si="16"/>
        <v>131.04</v>
      </c>
      <c r="Z183" s="36">
        <f>IFERROR(IF(Y183=0,"",ROUNDUP(Y183/H183,0)*0.00502),"")</f>
        <v>0.39156000000000002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137.73809523809524</v>
      </c>
      <c r="BN183" s="64">
        <f t="shared" si="18"/>
        <v>138.84</v>
      </c>
      <c r="BO183" s="64">
        <f t="shared" si="19"/>
        <v>0.3306878306878307</v>
      </c>
      <c r="BP183" s="64">
        <f t="shared" si="20"/>
        <v>0.33333333333333337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77</v>
      </c>
      <c r="Y185" s="634">
        <f t="shared" si="16"/>
        <v>77.28</v>
      </c>
      <c r="Z185" s="36">
        <f>IFERROR(IF(Y185=0,"",ROUNDUP(Y185/H185,0)*0.00502),"")</f>
        <v>0.23092000000000001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81.583333333333343</v>
      </c>
      <c r="BN185" s="64">
        <f t="shared" si="18"/>
        <v>81.88000000000001</v>
      </c>
      <c r="BO185" s="64">
        <f t="shared" si="19"/>
        <v>0.1958689458689459</v>
      </c>
      <c r="BP185" s="64">
        <f t="shared" si="20"/>
        <v>0.1965811965811966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188.07142857142858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190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1.2178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434</v>
      </c>
      <c r="Y187" s="635">
        <f>IFERROR(SUM(Y175:Y185),"0")</f>
        <v>439.31999999999994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21</v>
      </c>
      <c r="Y223" s="634">
        <f t="shared" si="27"/>
        <v>21</v>
      </c>
      <c r="Z223" s="36">
        <f>IFERROR(IF(Y223=0,"",ROUNDUP(Y223/H223,0)*0.00902),"")</f>
        <v>4.5100000000000001E-2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21.95</v>
      </c>
      <c r="BN223" s="64">
        <f t="shared" si="29"/>
        <v>21.95</v>
      </c>
      <c r="BO223" s="64">
        <f t="shared" si="30"/>
        <v>3.787878787878788E-2</v>
      </c>
      <c r="BP223" s="64">
        <f t="shared" si="31"/>
        <v>3.787878787878788E-2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4</v>
      </c>
      <c r="Y224" s="634">
        <f t="shared" si="27"/>
        <v>4</v>
      </c>
      <c r="Z224" s="36">
        <f>IFERROR(IF(Y224=0,"",ROUNDUP(Y224/H224,0)*0.00556),"")</f>
        <v>2.7799999999999998E-2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4.6500000000000004</v>
      </c>
      <c r="BN224" s="64">
        <f t="shared" si="29"/>
        <v>4.6500000000000004</v>
      </c>
      <c r="BO224" s="64">
        <f t="shared" si="30"/>
        <v>1.984126984126984E-2</v>
      </c>
      <c r="BP224" s="64">
        <f t="shared" si="31"/>
        <v>1.984126984126984E-2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89</v>
      </c>
      <c r="Y232" s="634">
        <f t="shared" si="27"/>
        <v>90.3</v>
      </c>
      <c r="Z232" s="36">
        <f>IFERROR(IF(Y232=0,"",ROUNDUP(Y232/H232,0)*0.00502),"")</f>
        <v>0.21586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93.238095238095241</v>
      </c>
      <c r="BN232" s="64">
        <f t="shared" si="29"/>
        <v>94.6</v>
      </c>
      <c r="BO232" s="64">
        <f t="shared" si="30"/>
        <v>0.18111518111518113</v>
      </c>
      <c r="BP232" s="64">
        <f t="shared" si="31"/>
        <v>0.18376068376068377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64.285714285714278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66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0.35402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138</v>
      </c>
      <c r="Y236" s="635">
        <f>IFERROR(SUM(Y221:Y234),"0")</f>
        <v>141.4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158</v>
      </c>
      <c r="Y268" s="634">
        <f t="shared" si="33"/>
        <v>162</v>
      </c>
      <c r="Z268" s="36">
        <f>IFERROR(IF(Y268=0,"",ROUNDUP(Y268/H268,0)*0.00902),"")</f>
        <v>0.27060000000000001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163.55925925925925</v>
      </c>
      <c r="BN268" s="64">
        <f t="shared" si="35"/>
        <v>167.7</v>
      </c>
      <c r="BO268" s="64">
        <f t="shared" si="36"/>
        <v>0.22166105499438832</v>
      </c>
      <c r="BP268" s="64">
        <f t="shared" si="37"/>
        <v>0.22727272727272727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52</v>
      </c>
      <c r="Y271" s="634">
        <f t="shared" si="33"/>
        <v>52.2</v>
      </c>
      <c r="Z271" s="36">
        <f>IFERROR(IF(Y271=0,"",ROUNDUP(Y271/H271,0)*0.00502),"")</f>
        <v>0.14558000000000001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55.755555555555553</v>
      </c>
      <c r="BN271" s="64">
        <f t="shared" si="35"/>
        <v>55.970000000000006</v>
      </c>
      <c r="BO271" s="64">
        <f t="shared" si="36"/>
        <v>0.12345679012345681</v>
      </c>
      <c r="BP271" s="64">
        <f t="shared" si="37"/>
        <v>0.12393162393162395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21</v>
      </c>
      <c r="Y272" s="634">
        <f t="shared" si="33"/>
        <v>21.6</v>
      </c>
      <c r="Z272" s="36">
        <f>IFERROR(IF(Y272=0,"",ROUNDUP(Y272/H272,0)*0.00502),"")</f>
        <v>6.0240000000000002E-2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22.166666666666664</v>
      </c>
      <c r="BN272" s="64">
        <f t="shared" si="35"/>
        <v>22.8</v>
      </c>
      <c r="BO272" s="64">
        <f t="shared" si="36"/>
        <v>4.9857549857549859E-2</v>
      </c>
      <c r="BP272" s="64">
        <f t="shared" si="37"/>
        <v>5.1282051282051287E-2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16</v>
      </c>
      <c r="Y274" s="634">
        <f t="shared" si="3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16.888888888888889</v>
      </c>
      <c r="BN274" s="64">
        <f t="shared" si="35"/>
        <v>17.099999999999998</v>
      </c>
      <c r="BO274" s="64">
        <f t="shared" si="36"/>
        <v>3.7986704653371325E-2</v>
      </c>
      <c r="BP274" s="64">
        <f t="shared" si="37"/>
        <v>3.8461538461538464E-2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78.703703703703695</v>
      </c>
      <c r="Y275" s="635">
        <f>IFERROR(Y267/H267,"0")+IFERROR(Y268/H268,"0")+IFERROR(Y269/H269,"0")+IFERROR(Y270/H270,"0")+IFERROR(Y271/H271,"0")+IFERROR(Y272/H272,"0")+IFERROR(Y273/H273,"0")+IFERROR(Y274/H274,"0")</f>
        <v>80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0.52160000000000006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247</v>
      </c>
      <c r="Y276" s="635">
        <f>IFERROR(SUM(Y267:Y274),"0")</f>
        <v>251.99999999999997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186</v>
      </c>
      <c r="Y278" s="634">
        <f t="shared" ref="Y278:Y289" si="38">IFERROR(IF(X278="",0,CEILING((X278/$H278),1)*$H278),"")</f>
        <v>186.29999999999998</v>
      </c>
      <c r="Z278" s="36">
        <f>IFERROR(IF(Y278=0,"",ROUNDUP(Y278/H278,0)*0.01898),"")</f>
        <v>0.43653999999999998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197.34370370370371</v>
      </c>
      <c r="BN278" s="64">
        <f t="shared" ref="BN278:BN289" si="40">IFERROR(Y278*I278/H278,"0")</f>
        <v>197.66199999999998</v>
      </c>
      <c r="BO278" s="64">
        <f t="shared" ref="BO278:BO289" si="41">IFERROR(1/J278*(X278/H278),"0")</f>
        <v>0.35879629629629634</v>
      </c>
      <c r="BP278" s="64">
        <f t="shared" ref="BP278:BP289" si="42">IFERROR(1/J278*(Y278/H278),"0")</f>
        <v>0.359375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100</v>
      </c>
      <c r="Y279" s="634">
        <f t="shared" si="38"/>
        <v>105.3</v>
      </c>
      <c r="Z279" s="36">
        <f>IFERROR(IF(Y279=0,"",ROUNDUP(Y279/H279,0)*0.01898),"")</f>
        <v>0.24674000000000001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105.87654320987654</v>
      </c>
      <c r="BN279" s="64">
        <f t="shared" si="40"/>
        <v>111.48800000000001</v>
      </c>
      <c r="BO279" s="64">
        <f t="shared" si="41"/>
        <v>0.19290123456790123</v>
      </c>
      <c r="BP279" s="64">
        <f t="shared" si="42"/>
        <v>0.203125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400</v>
      </c>
      <c r="Y284" s="634">
        <f t="shared" si="38"/>
        <v>400.8</v>
      </c>
      <c r="Z284" s="36">
        <f>IFERROR(IF(Y284=0,"",ROUNDUP(Y284/H284,0)*0.00651),"")</f>
        <v>1.08717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442</v>
      </c>
      <c r="BN284" s="64">
        <f t="shared" si="40"/>
        <v>442.88400000000007</v>
      </c>
      <c r="BO284" s="64">
        <f t="shared" si="41"/>
        <v>0.91575091575091594</v>
      </c>
      <c r="BP284" s="64">
        <f t="shared" si="42"/>
        <v>0.91758241758241765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84</v>
      </c>
      <c r="Y286" s="634">
        <f t="shared" si="38"/>
        <v>84</v>
      </c>
      <c r="Z286" s="36">
        <f>IFERROR(IF(Y286=0,"",ROUNDUP(Y286/H286,0)*0.00651),"")</f>
        <v>0.22785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92.820000000000007</v>
      </c>
      <c r="BN286" s="64">
        <f t="shared" si="40"/>
        <v>92.820000000000007</v>
      </c>
      <c r="BO286" s="64">
        <f t="shared" si="41"/>
        <v>0.19230769230769232</v>
      </c>
      <c r="BP286" s="64">
        <f t="shared" si="42"/>
        <v>0.19230769230769232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80</v>
      </c>
      <c r="Y287" s="634">
        <f t="shared" si="38"/>
        <v>81.599999999999994</v>
      </c>
      <c r="Z287" s="36">
        <f>IFERROR(IF(Y287=0,"",ROUNDUP(Y287/H287,0)*0.00651),"")</f>
        <v>0.22134000000000001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88.40000000000002</v>
      </c>
      <c r="BN287" s="64">
        <f t="shared" si="40"/>
        <v>90.168000000000006</v>
      </c>
      <c r="BO287" s="64">
        <f t="shared" si="41"/>
        <v>0.18315018315018317</v>
      </c>
      <c r="BP287" s="64">
        <f t="shared" si="42"/>
        <v>0.18681318681318682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20</v>
      </c>
      <c r="Y288" s="634">
        <f t="shared" si="38"/>
        <v>21.599999999999998</v>
      </c>
      <c r="Z288" s="36">
        <f>IFERROR(IF(Y288=0,"",ROUNDUP(Y288/H288,0)*0.00651),"")</f>
        <v>5.8590000000000003E-2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22.15</v>
      </c>
      <c r="BN288" s="64">
        <f t="shared" si="40"/>
        <v>23.921999999999997</v>
      </c>
      <c r="BO288" s="64">
        <f t="shared" si="41"/>
        <v>4.5787545787545791E-2</v>
      </c>
      <c r="BP288" s="64">
        <f t="shared" si="42"/>
        <v>4.9450549450549455E-2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280.94082588335459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284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2.3351700000000002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890</v>
      </c>
      <c r="Y291" s="635">
        <f>IFERROR(SUM(Y278:Y289),"0")</f>
        <v>905.7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16</v>
      </c>
      <c r="Y305" s="634">
        <f t="shared" si="43"/>
        <v>16</v>
      </c>
      <c r="Z305" s="36">
        <f>IFERROR(IF(Y305=0,"",ROUNDUP(Y305/H305,0)*0.00902),"")</f>
        <v>3.6080000000000001E-2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16.760000000000002</v>
      </c>
      <c r="BN305" s="64">
        <f t="shared" si="45"/>
        <v>16.760000000000002</v>
      </c>
      <c r="BO305" s="64">
        <f t="shared" si="46"/>
        <v>3.0303030303030304E-2</v>
      </c>
      <c r="BP305" s="64">
        <f t="shared" si="47"/>
        <v>3.0303030303030304E-2</v>
      </c>
    </row>
    <row r="306" spans="1:68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4</v>
      </c>
      <c r="Y306" s="635">
        <f>IFERROR(Y299/H299,"0")+IFERROR(Y300/H300,"0")+IFERROR(Y301/H301,"0")+IFERROR(Y302/H302,"0")+IFERROR(Y303/H303,"0")+IFERROR(Y304/H304,"0")+IFERROR(Y305/H305,"0")</f>
        <v>4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3.6080000000000001E-2</v>
      </c>
      <c r="AA306" s="636"/>
      <c r="AB306" s="636"/>
      <c r="AC306" s="636"/>
    </row>
    <row r="307" spans="1:68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16</v>
      </c>
      <c r="Y307" s="635">
        <f>IFERROR(SUM(Y299:Y305),"0")</f>
        <v>16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1</v>
      </c>
      <c r="Y313" s="634">
        <f>IFERROR(IF(X313="",0,CEILING((X313/$H313),1)*$H313),"")</f>
        <v>1.8</v>
      </c>
      <c r="Z313" s="36">
        <f>IFERROR(IF(Y313=0,"",ROUNDUP(Y313/H313,0)*0.0059),"")</f>
        <v>5.8999999999999999E-3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1.0972222222222223</v>
      </c>
      <c r="BN313" s="64">
        <f>IFERROR(Y313*I313/H313,"0")</f>
        <v>1.9750000000000001</v>
      </c>
      <c r="BO313" s="64">
        <f>IFERROR(1/J313*(X313/H313),"0")</f>
        <v>2.5720164609053498E-3</v>
      </c>
      <c r="BP313" s="64">
        <f>IFERROR(1/J313*(Y313/H313),"0")</f>
        <v>4.6296296296296294E-3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0.55555555555555558</v>
      </c>
      <c r="Y314" s="635">
        <f>IFERROR(Y313/H313,"0")</f>
        <v>1</v>
      </c>
      <c r="Z314" s="635">
        <f>IFERROR(IF(Z313="",0,Z313),"0")</f>
        <v>5.8999999999999999E-3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1</v>
      </c>
      <c r="Y315" s="635">
        <f>IFERROR(SUM(Y313:Y313),"0")</f>
        <v>1.8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33.333333333333336</v>
      </c>
      <c r="Y336" s="635">
        <f>IFERROR(Y333/H333,"0")+IFERROR(Y334/H334,"0")+IFERROR(Y335/H335,"0")</f>
        <v>34</v>
      </c>
      <c r="Z336" s="635">
        <f>IFERROR(IF(Z333="",0,Z333),"0")+IFERROR(IF(Z334="",0,Z334),"0")+IFERROR(IF(Z335="",0,Z335),"0")</f>
        <v>0.22134000000000001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80</v>
      </c>
      <c r="Y337" s="635">
        <f>IFERROR(SUM(Y333:Y335),"0")</f>
        <v>81.599999999999994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69</v>
      </c>
      <c r="Y354" s="634">
        <f>IFERROR(IF(X354="",0,CEILING((X354/$H354),1)*$H354),"")</f>
        <v>70.2</v>
      </c>
      <c r="Z354" s="36">
        <f>IFERROR(IF(Y354=0,"",ROUNDUP(Y354/H354,0)*0.01898),"")</f>
        <v>0.17082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72.626923076923077</v>
      </c>
      <c r="BN354" s="64">
        <f>IFERROR(Y354*I354/H354,"0")</f>
        <v>73.890000000000015</v>
      </c>
      <c r="BO354" s="64">
        <f>IFERROR(1/J354*(X354/H354),"0")</f>
        <v>0.13822115384615385</v>
      </c>
      <c r="BP354" s="64">
        <f>IFERROR(1/J354*(Y354/H354),"0")</f>
        <v>0.140625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622</v>
      </c>
      <c r="Y355" s="634">
        <f>IFERROR(IF(X355="",0,CEILING((X355/$H355),1)*$H355),"")</f>
        <v>624</v>
      </c>
      <c r="Z355" s="36">
        <f>IFERROR(IF(Y355=0,"",ROUNDUP(Y355/H355,0)*0.01898),"")</f>
        <v>1.5184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654.69487179487191</v>
      </c>
      <c r="BN355" s="64">
        <f>IFERROR(Y355*I355/H355,"0")</f>
        <v>656.80000000000018</v>
      </c>
      <c r="BO355" s="64">
        <f>IFERROR(1/J355*(X355/H355),"0")</f>
        <v>1.2459935897435899</v>
      </c>
      <c r="BP355" s="64">
        <f>IFERROR(1/J355*(Y355/H355),"0")</f>
        <v>1.25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88.589743589743591</v>
      </c>
      <c r="Y357" s="635">
        <f>IFERROR(Y354/H354,"0")+IFERROR(Y355/H355,"0")+IFERROR(Y356/H356,"0")</f>
        <v>89</v>
      </c>
      <c r="Z357" s="635">
        <f>IFERROR(IF(Z354="",0,Z354),"0")+IFERROR(IF(Z355="",0,Z355),"0")+IFERROR(IF(Z356="",0,Z356),"0")</f>
        <v>1.6892199999999999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691</v>
      </c>
      <c r="Y358" s="635">
        <f>IFERROR(SUM(Y354:Y356),"0")</f>
        <v>694.2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4</v>
      </c>
      <c r="Y393" s="634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4.3026315789473681</v>
      </c>
      <c r="BN393" s="64">
        <f>IFERROR(Y393*I393/H393,"0")</f>
        <v>6.5399999999999991</v>
      </c>
      <c r="BO393" s="64">
        <f>IFERROR(1/J393*(X393/H393),"0")</f>
        <v>9.9681020733652318E-3</v>
      </c>
      <c r="BP393" s="64">
        <f>IFERROR(1/J393*(Y393/H393),"0")</f>
        <v>1.5151515151515152E-2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1.3157894736842106</v>
      </c>
      <c r="Y396" s="635">
        <f>IFERROR(Y392/H392,"0")+IFERROR(Y393/H393,"0")+IFERROR(Y394/H394,"0")+IFERROR(Y395/H395,"0")</f>
        <v>2</v>
      </c>
      <c r="Z396" s="635">
        <f>IFERROR(IF(Z392="",0,Z392),"0")+IFERROR(IF(Z393="",0,Z393),"0")+IFERROR(IF(Z394="",0,Z394),"0")+IFERROR(IF(Z395="",0,Z395),"0")</f>
        <v>1.804E-2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4</v>
      </c>
      <c r="Y397" s="635">
        <f>IFERROR(SUM(Y392:Y395),"0")</f>
        <v>6.08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1</v>
      </c>
      <c r="Y399" s="634">
        <f>IFERROR(IF(X399="",0,CEILING((X399/$H399),1)*$H399),"")</f>
        <v>2</v>
      </c>
      <c r="Z399" s="36">
        <f>IFERROR(IF(Y399=0,"",ROUNDUP(Y399/H399,0)*0.00474),"")</f>
        <v>4.7400000000000003E-3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1.1200000000000001</v>
      </c>
      <c r="BN399" s="64">
        <f>IFERROR(Y399*I399/H399,"0")</f>
        <v>2.2400000000000002</v>
      </c>
      <c r="BO399" s="64">
        <f>IFERROR(1/J399*(X399/H399),"0")</f>
        <v>2.1008403361344537E-3</v>
      </c>
      <c r="BP399" s="64">
        <f>IFERROR(1/J399*(Y399/H399),"0")</f>
        <v>4.2016806722689074E-3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4</v>
      </c>
      <c r="Y400" s="634">
        <f>IFERROR(IF(X400="",0,CEILING((X400/$H400),1)*$H400),"")</f>
        <v>4</v>
      </c>
      <c r="Z400" s="36">
        <f>IFERROR(IF(Y400=0,"",ROUNDUP(Y400/H400,0)*0.00474),"")</f>
        <v>9.4800000000000006E-3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4.4800000000000004</v>
      </c>
      <c r="BN400" s="64">
        <f>IFERROR(Y400*I400/H400,"0")</f>
        <v>4.4800000000000004</v>
      </c>
      <c r="BO400" s="64">
        <f>IFERROR(1/J400*(X400/H400),"0")</f>
        <v>8.4033613445378148E-3</v>
      </c>
      <c r="BP400" s="64">
        <f>IFERROR(1/J400*(Y400/H400),"0")</f>
        <v>8.4033613445378148E-3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2.5</v>
      </c>
      <c r="Y402" s="635">
        <f>IFERROR(Y399/H399,"0")+IFERROR(Y400/H400,"0")+IFERROR(Y401/H401,"0")</f>
        <v>3</v>
      </c>
      <c r="Z402" s="635">
        <f>IFERROR(IF(Z399="",0,Z399),"0")+IFERROR(IF(Z400="",0,Z400),"0")+IFERROR(IF(Z401="",0,Z401),"0")</f>
        <v>1.422E-2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5</v>
      </c>
      <c r="Y403" s="635">
        <f>IFERROR(SUM(Y399:Y401),"0")</f>
        <v>6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5</v>
      </c>
      <c r="Y405" s="634">
        <f>IFERROR(IF(X405="",0,CEILING((X405/$H405),1)*$H405),"")</f>
        <v>6</v>
      </c>
      <c r="Z405" s="36">
        <f>IFERROR(IF(Y405=0,"",ROUNDUP(Y405/H405,0)*0.0045),"")</f>
        <v>8.9999999999999993E-3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5.3666666666666671</v>
      </c>
      <c r="BN405" s="64">
        <f>IFERROR(Y405*I405/H405,"0")</f>
        <v>6.44</v>
      </c>
      <c r="BO405" s="64">
        <f>IFERROR(1/J405*(X405/H405),"0")</f>
        <v>7.4404761904761901E-3</v>
      </c>
      <c r="BP405" s="64">
        <f>IFERROR(1/J405*(Y405/H405),"0")</f>
        <v>8.9285714285714281E-3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1.6666666666666667</v>
      </c>
      <c r="Y408" s="635">
        <f>IFERROR(Y405/H405,"0")+IFERROR(Y406/H406,"0")+IFERROR(Y407/H407,"0")</f>
        <v>2</v>
      </c>
      <c r="Z408" s="635">
        <f>IFERROR(IF(Z405="",0,Z405),"0")+IFERROR(IF(Z406="",0,Z406),"0")+IFERROR(IF(Z407="",0,Z407),"0")</f>
        <v>8.9999999999999993E-3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5</v>
      </c>
      <c r="Y409" s="635">
        <f>IFERROR(SUM(Y405:Y407),"0")</f>
        <v>6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53</v>
      </c>
      <c r="Y419" s="634">
        <f>IFERROR(IF(X419="",0,CEILING((X419/$H419),1)*$H419),"")</f>
        <v>54.6</v>
      </c>
      <c r="Z419" s="36">
        <f>IFERROR(IF(Y419=0,"",ROUNDUP(Y419/H419,0)*0.00651),"")</f>
        <v>0.16925999999999999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59.359999999999992</v>
      </c>
      <c r="BN419" s="64">
        <f>IFERROR(Y419*I419/H419,"0")</f>
        <v>61.151999999999994</v>
      </c>
      <c r="BO419" s="64">
        <f>IFERROR(1/J419*(X419/H419),"0")</f>
        <v>0.13867085295656725</v>
      </c>
      <c r="BP419" s="64">
        <f>IFERROR(1/J419*(Y419/H419),"0")</f>
        <v>0.14285714285714288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78</v>
      </c>
      <c r="Y420" s="634">
        <f>IFERROR(IF(X420="",0,CEILING((X420/$H420),1)*$H420),"")</f>
        <v>79.8</v>
      </c>
      <c r="Z420" s="36">
        <f>IFERROR(IF(Y420=0,"",ROUNDUP(Y420/H420,0)*0.00651),"")</f>
        <v>0.24738000000000002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86.914285714285697</v>
      </c>
      <c r="BN420" s="64">
        <f>IFERROR(Y420*I420/H420,"0")</f>
        <v>88.919999999999987</v>
      </c>
      <c r="BO420" s="64">
        <f>IFERROR(1/J420*(X420/H420),"0")</f>
        <v>0.20408163265306123</v>
      </c>
      <c r="BP420" s="64">
        <f>IFERROR(1/J420*(Y420/H420),"0")</f>
        <v>0.2087912087912088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62.38095238095238</v>
      </c>
      <c r="Y421" s="635">
        <f>IFERROR(Y418/H418,"0")+IFERROR(Y419/H419,"0")+IFERROR(Y420/H420,"0")</f>
        <v>64</v>
      </c>
      <c r="Z421" s="635">
        <f>IFERROR(IF(Z418="",0,Z418),"0")+IFERROR(IF(Z419="",0,Z419),"0")+IFERROR(IF(Z420="",0,Z420),"0")</f>
        <v>0.41664000000000001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131</v>
      </c>
      <c r="Y422" s="635">
        <f>IFERROR(SUM(Y418:Y420),"0")</f>
        <v>134.4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1927</v>
      </c>
      <c r="Y427" s="634">
        <f t="shared" si="53"/>
        <v>1935</v>
      </c>
      <c r="Z427" s="36">
        <f>IFERROR(IF(Y427=0,"",ROUNDUP(Y427/H427,0)*0.02175),"")</f>
        <v>2.8057499999999997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1987.3793333333335</v>
      </c>
      <c r="BN427" s="64">
        <f t="shared" si="55"/>
        <v>1995.63</v>
      </c>
      <c r="BO427" s="64">
        <f t="shared" si="56"/>
        <v>2.6763888888888889</v>
      </c>
      <c r="BP427" s="64">
        <f t="shared" si="57"/>
        <v>2.6875</v>
      </c>
    </row>
    <row r="428" spans="1:68" ht="27" hidden="1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128.46666666666667</v>
      </c>
      <c r="Y434" s="635">
        <f>IFERROR(Y426/H426,"0")+IFERROR(Y427/H427,"0")+IFERROR(Y428/H428,"0")+IFERROR(Y429/H429,"0")+IFERROR(Y430/H430,"0")+IFERROR(Y431/H431,"0")+IFERROR(Y432/H432,"0")+IFERROR(Y433/H433,"0")</f>
        <v>129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2.8057499999999997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1927</v>
      </c>
      <c r="Y435" s="635">
        <f>IFERROR(SUM(Y426:Y433),"0")</f>
        <v>1935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296</v>
      </c>
      <c r="Y437" s="634">
        <f>IFERROR(IF(X437="",0,CEILING((X437/$H437),1)*$H437),"")</f>
        <v>300</v>
      </c>
      <c r="Z437" s="36">
        <f>IFERROR(IF(Y437=0,"",ROUNDUP(Y437/H437,0)*0.02175),"")</f>
        <v>0.43499999999999994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305.27466666666663</v>
      </c>
      <c r="BN437" s="64">
        <f>IFERROR(Y437*I437/H437,"0")</f>
        <v>309.39999999999998</v>
      </c>
      <c r="BO437" s="64">
        <f>IFERROR(1/J437*(X437/H437),"0")</f>
        <v>0.41111111111111109</v>
      </c>
      <c r="BP437" s="64">
        <f>IFERROR(1/J437*(Y437/H437),"0")</f>
        <v>0.41666666666666663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19.733333333333334</v>
      </c>
      <c r="Y440" s="635">
        <f>IFERROR(Y437/H437,"0")+IFERROR(Y438/H438,"0")+IFERROR(Y439/H439,"0")</f>
        <v>20</v>
      </c>
      <c r="Z440" s="635">
        <f>IFERROR(IF(Z437="",0,Z437),"0")+IFERROR(IF(Z438="",0,Z438),"0")+IFERROR(IF(Z439="",0,Z439),"0")</f>
        <v>0.43499999999999994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296</v>
      </c>
      <c r="Y441" s="635">
        <f>IFERROR(SUM(Y437:Y439),"0")</f>
        <v>300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100</v>
      </c>
      <c r="Y465" s="634">
        <f>IFERROR(IF(X465="",0,CEILING((X465/$H465),1)*$H465),"")</f>
        <v>100.8</v>
      </c>
      <c r="Z465" s="36">
        <f>IFERROR(IF(Y465=0,"",ROUNDUP(Y465/H465,0)*0.00651),"")</f>
        <v>0.27342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111.00000000000001</v>
      </c>
      <c r="BN465" s="64">
        <f>IFERROR(Y465*I465/H465,"0")</f>
        <v>111.88800000000001</v>
      </c>
      <c r="BO465" s="64">
        <f>IFERROR(1/J465*(X465/H465),"0")</f>
        <v>0.22893772893772898</v>
      </c>
      <c r="BP465" s="64">
        <f>IFERROR(1/J465*(Y465/H465),"0")</f>
        <v>0.23076923076923078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152.77777777777777</v>
      </c>
      <c r="Y467" s="635">
        <f>IFERROR(Y464/H464,"0")+IFERROR(Y465/H465,"0")+IFERROR(Y466/H466,"0")</f>
        <v>154</v>
      </c>
      <c r="Z467" s="635">
        <f>IFERROR(IF(Z464="",0,Z464),"0")+IFERROR(IF(Z465="",0,Z465),"0")+IFERROR(IF(Z466="",0,Z466),"0")</f>
        <v>2.3991800000000003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1100</v>
      </c>
      <c r="Y468" s="635">
        <f>IFERROR(SUM(Y464:Y466),"0")</f>
        <v>1108.8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3868</v>
      </c>
      <c r="Y504" s="634">
        <f t="shared" si="63"/>
        <v>3870.2400000000002</v>
      </c>
      <c r="Z504" s="36">
        <f t="shared" si="64"/>
        <v>8.7666800000000009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4124.401515151515</v>
      </c>
      <c r="BN504" s="64">
        <f t="shared" si="66"/>
        <v>4126.79</v>
      </c>
      <c r="BO504" s="64">
        <f t="shared" si="67"/>
        <v>7.0439976689976689</v>
      </c>
      <c r="BP504" s="64">
        <f t="shared" si="68"/>
        <v>7.0480769230769234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732.57575757575751</v>
      </c>
      <c r="Y508" s="635">
        <f>IFERROR(Y499/H499,"0")+IFERROR(Y500/H500,"0")+IFERROR(Y501/H501,"0")+IFERROR(Y502/H502,"0")+IFERROR(Y503/H503,"0")+IFERROR(Y504/H504,"0")+IFERROR(Y505/H505,"0")+IFERROR(Y506/H506,"0")+IFERROR(Y507/H507,"0")</f>
        <v>733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8.7666800000000009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3868</v>
      </c>
      <c r="Y509" s="635">
        <f>IFERROR(SUM(Y499:Y507),"0")</f>
        <v>3870.2400000000002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644</v>
      </c>
      <c r="Y511" s="634">
        <f>IFERROR(IF(X511="",0,CEILING((X511/$H511),1)*$H511),"")</f>
        <v>644.16000000000008</v>
      </c>
      <c r="Z511" s="36">
        <f>IFERROR(IF(Y511=0,"",ROUNDUP(Y511/H511,0)*0.01196),"")</f>
        <v>1.45912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686.68939393939388</v>
      </c>
      <c r="BN511" s="64">
        <f>IFERROR(Y511*I511/H511,"0")</f>
        <v>686.86000000000013</v>
      </c>
      <c r="BO511" s="64">
        <f>IFERROR(1/J511*(X511/H511),"0")</f>
        <v>1.1727855477855478</v>
      </c>
      <c r="BP511" s="64">
        <f>IFERROR(1/J511*(Y511/H511),"0")</f>
        <v>1.1730769230769234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121.96969696969697</v>
      </c>
      <c r="Y514" s="635">
        <f>IFERROR(Y511/H511,"0")+IFERROR(Y512/H512,"0")+IFERROR(Y513/H513,"0")</f>
        <v>122.00000000000001</v>
      </c>
      <c r="Z514" s="635">
        <f>IFERROR(IF(Z511="",0,Z511),"0")+IFERROR(IF(Z512="",0,Z512),"0")+IFERROR(IF(Z513="",0,Z513),"0")</f>
        <v>1.45912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644</v>
      </c>
      <c r="Y515" s="635">
        <f>IFERROR(SUM(Y511:Y513),"0")</f>
        <v>644.16000000000008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710</v>
      </c>
      <c r="Y517" s="634">
        <f t="shared" ref="Y517:Y523" si="69">IFERROR(IF(X517="",0,CEILING((X517/$H517),1)*$H517),"")</f>
        <v>712.80000000000007</v>
      </c>
      <c r="Z517" s="36">
        <f>IFERROR(IF(Y517=0,"",ROUNDUP(Y517/H517,0)*0.01196),"")</f>
        <v>1.6146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757.06439393939388</v>
      </c>
      <c r="BN517" s="64">
        <f t="shared" ref="BN517:BN523" si="71">IFERROR(Y517*I517/H517,"0")</f>
        <v>760.05000000000007</v>
      </c>
      <c r="BO517" s="64">
        <f t="shared" ref="BO517:BO523" si="72">IFERROR(1/J517*(X517/H517),"0")</f>
        <v>1.2929778554778555</v>
      </c>
      <c r="BP517" s="64">
        <f t="shared" ref="BP517:BP523" si="73">IFERROR(1/J517*(Y517/H517),"0")</f>
        <v>1.2980769230769231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476</v>
      </c>
      <c r="Y518" s="634">
        <f t="shared" si="69"/>
        <v>480.48</v>
      </c>
      <c r="Z518" s="36">
        <f>IFERROR(IF(Y518=0,"",ROUNDUP(Y518/H518,0)*0.01196),"")</f>
        <v>1.08836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507.55303030303031</v>
      </c>
      <c r="BN518" s="64">
        <f t="shared" si="71"/>
        <v>512.33000000000004</v>
      </c>
      <c r="BO518" s="64">
        <f t="shared" si="72"/>
        <v>0.86684149184149184</v>
      </c>
      <c r="BP518" s="64">
        <f t="shared" si="73"/>
        <v>0.875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655</v>
      </c>
      <c r="Y519" s="634">
        <f t="shared" si="69"/>
        <v>660</v>
      </c>
      <c r="Z519" s="36">
        <f>IFERROR(IF(Y519=0,"",ROUNDUP(Y519/H519,0)*0.01196),"")</f>
        <v>1.4950000000000001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698.41856060606062</v>
      </c>
      <c r="BN519" s="64">
        <f t="shared" si="71"/>
        <v>703.74999999999989</v>
      </c>
      <c r="BO519" s="64">
        <f t="shared" si="72"/>
        <v>1.1928175990675991</v>
      </c>
      <c r="BP519" s="64">
        <f t="shared" si="73"/>
        <v>1.2019230769230771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348.67424242424244</v>
      </c>
      <c r="Y524" s="635">
        <f>IFERROR(Y517/H517,"0")+IFERROR(Y518/H518,"0")+IFERROR(Y519/H519,"0")+IFERROR(Y520/H520,"0")+IFERROR(Y521/H521,"0")+IFERROR(Y522/H522,"0")+IFERROR(Y523/H523,"0")</f>
        <v>351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4.1979600000000001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1841</v>
      </c>
      <c r="Y525" s="635">
        <f>IFERROR(SUM(Y517:Y523),"0")</f>
        <v>1853.2800000000002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17717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17859.079999999998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18790.686544790908</v>
      </c>
      <c r="Y555" s="635">
        <f>IFERROR(SUM(BN22:BN551),"0")</f>
        <v>18941.769000000004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33</v>
      </c>
      <c r="Y556" s="38">
        <f>ROUNDUP(SUM(BP22:BP551),0)</f>
        <v>33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19615.686544790908</v>
      </c>
      <c r="Y557" s="635">
        <f>GrossWeightTotalR+PalletQtyTotalR*25</f>
        <v>19766.769000000004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3079.2887424685778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3106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39.018130000000006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30.6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934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249.20000000000005</v>
      </c>
      <c r="F564" s="46">
        <f>IFERROR(Y84*1,"0")+IFERROR(Y85*1,"0")+IFERROR(Y86*1,"0")+IFERROR(Y87*1,"0")+IFERROR(Y91*1,"0")+IFERROR(Y92*1,"0")+IFERROR(Y93*1,"0")+IFERROR(Y94*1,"0")</f>
        <v>1569.3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2663.9999999999995</v>
      </c>
      <c r="H564" s="46">
        <f>IFERROR(Y129*1,"0")+IFERROR(Y130*1,"0")+IFERROR(Y131*1,"0")+IFERROR(Y135*1,"0")+IFERROR(Y136*1,"0")+IFERROR(Y137*1,"0")+IFERROR(Y138*1,"0")+IFERROR(Y142*1,"0")+IFERROR(Y143*1,"0")+IFERROR(Y144*1,"0")</f>
        <v>11.2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439.31999999999994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141.4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1162.4999999999998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17.8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81.599999999999994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694.2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18.079999999999998</v>
      </c>
      <c r="U564" s="46">
        <f>IFERROR(Y412*1,"0")+IFERROR(Y413*1,"0")</f>
        <v>0</v>
      </c>
      <c r="V564" s="46">
        <f>IFERROR(Y418*1,"0")+IFERROR(Y419*1,"0")+IFERROR(Y420*1,"0")</f>
        <v>134.4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2235</v>
      </c>
      <c r="X564" s="46">
        <f>IFERROR(Y455*1,"0")+IFERROR(Y456*1,"0")+IFERROR(Y460*1,"0")+IFERROR(Y464*1,"0")+IFERROR(Y465*1,"0")+IFERROR(Y466*1,"0")</f>
        <v>1108.8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6367.68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00,00"/>
        <filter val="1 070,00"/>
        <filter val="1 100,00"/>
        <filter val="1 519,00"/>
        <filter val="1 841,00"/>
        <filter val="1 927,00"/>
        <filter val="1,00"/>
        <filter val="1,32"/>
        <filter val="1,67"/>
        <filter val="10,72"/>
        <filter val="100,00"/>
        <filter val="11,00"/>
        <filter val="110,00"/>
        <filter val="117,00"/>
        <filter val="12,00"/>
        <filter val="12,96"/>
        <filter val="121,97"/>
        <filter val="128,47"/>
        <filter val="130,00"/>
        <filter val="131,00"/>
        <filter val="138,00"/>
        <filter val="14,84"/>
        <filter val="140,00"/>
        <filter val="141,00"/>
        <filter val="152,78"/>
        <filter val="158,00"/>
        <filter val="16,00"/>
        <filter val="16,11"/>
        <filter val="161,00"/>
        <filter val="17 717,00"/>
        <filter val="18 790,69"/>
        <filter val="18,00"/>
        <filter val="186,00"/>
        <filter val="188,07"/>
        <filter val="19 615,69"/>
        <filter val="19,73"/>
        <filter val="2 488,00"/>
        <filter val="2,00"/>
        <filter val="2,50"/>
        <filter val="20,00"/>
        <filter val="21,00"/>
        <filter val="247,00"/>
        <filter val="280,94"/>
        <filter val="29,00"/>
        <filter val="296,00"/>
        <filter val="298,40"/>
        <filter val="3 079,29"/>
        <filter val="3 868,00"/>
        <filter val="3,61"/>
        <filter val="3,93"/>
        <filter val="307,16"/>
        <filter val="33"/>
        <filter val="33,33"/>
        <filter val="348,67"/>
        <filter val="35,00"/>
        <filter val="4,00"/>
        <filter val="40,00"/>
        <filter val="400,00"/>
        <filter val="42,00"/>
        <filter val="434,00"/>
        <filter val="449,00"/>
        <filter val="476,00"/>
        <filter val="5,00"/>
        <filter val="52,00"/>
        <filter val="53,00"/>
        <filter val="6,00"/>
        <filter val="6,39"/>
        <filter val="62,38"/>
        <filter val="622,00"/>
        <filter val="64,29"/>
        <filter val="644,00"/>
        <filter val="655,00"/>
        <filter val="69,00"/>
        <filter val="691,00"/>
        <filter val="710,00"/>
        <filter val="732,58"/>
        <filter val="77,00"/>
        <filter val="78,00"/>
        <filter val="78,70"/>
        <filter val="80,00"/>
        <filter val="84,00"/>
        <filter val="876,00"/>
        <filter val="88,59"/>
        <filter val="89,00"/>
        <filter val="890,00"/>
        <filter val="92,96"/>
        <filter val="920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2026-08-13T11:46:57Z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