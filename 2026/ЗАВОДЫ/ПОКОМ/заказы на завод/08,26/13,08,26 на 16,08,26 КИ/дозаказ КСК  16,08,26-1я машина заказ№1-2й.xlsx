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1826261-D524-42A4-88B1-126534E986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245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<sst xmlns="http://schemas.openxmlformats.org/spreadsheetml/2006/main" count="4194" uniqueCount="891">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</sst>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46250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Воскресенье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0.66666666666666663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850</v>
      </c>
      <c r="Y425" s="55">
        <f t="shared" si="52"/>
        <v>855</v>
      </c>
      <c r="Z425" s="41">
        <f>IFERROR(IF(Y425=0,"",ROUNDUP(Y425/H425,0)*0.02175),"")</f>
        <v>1.2397499999999999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876.63333333333333</v>
      </c>
      <c r="BN425" s="78">
        <f t="shared" si="54"/>
        <v>881.79000000000008</v>
      </c>
      <c r="BO425" s="78">
        <f t="shared" si="55"/>
        <v>1.1805555555555554</v>
      </c>
      <c r="BP425" s="78">
        <f t="shared" si="56"/>
        <v>1.1875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1000</v>
      </c>
      <c r="Y426" s="55">
        <f t="shared" si="52"/>
        <v>1005</v>
      </c>
      <c r="Z426" s="41">
        <f>IFERROR(IF(Y426=0,"",ROUNDUP(Y426/H426,0)*0.02175),"")</f>
        <v>1.4572499999999999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1031.3333333333333</v>
      </c>
      <c r="BN426" s="78">
        <f t="shared" si="54"/>
        <v>1036.49</v>
      </c>
      <c r="BO426" s="78">
        <f t="shared" si="55"/>
        <v>1.3888888888888888</v>
      </c>
      <c r="BP426" s="78">
        <f t="shared" si="56"/>
        <v>1.3958333333333333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123.33333333333334</v>
      </c>
      <c r="Y431" s="43">
        <f>IFERROR(Y423/H423,"0")+IFERROR(Y424/H424,"0")+IFERROR(Y425/H425,"0")+IFERROR(Y426/H426,"0")+IFERROR(Y427/H427,"0")+IFERROR(Y428/H428,"0")+IFERROR(Y429/H429,"0")+IFERROR(Y430/H430,"0")</f>
        <v>124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2.6970000000000001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1850</v>
      </c>
      <c r="Y432" s="43">
        <f>IFERROR(SUM(Y423:Y430),"0")</f>
        <v>1860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1860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1907.9666666666667</v>
      </c>
      <c r="Y552" s="43">
        <f>IFERROR(SUM(BN22:BN548),"0")</f>
        <v>1918.2800000000002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1982.9666666666667</v>
      </c>
      <c r="Y554" s="43">
        <f>GrossWeightTotalR+PalletQtyTotalR*25</f>
        <v>1993.2800000000002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123.33333333333334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124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2.6970000000000001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1860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50,00"/>
        <filter val="1 907,97"/>
        <filter val="1 982,97"/>
        <filter val="123,33"/>
        <filter val="3"/>
        <filter val="85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2026-08-17T06:37:06Z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