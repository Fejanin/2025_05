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32D438-5F68-4FE0-B7BD-E3774D9ADE7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Z465" i="2" s="1"/>
  <c r="P465" i="2"/>
  <c r="BO464" i="2"/>
  <c r="BM464" i="2"/>
  <c r="Y464" i="2"/>
  <c r="P464" i="2"/>
  <c r="BO463" i="2"/>
  <c r="BM463" i="2"/>
  <c r="Y463" i="2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BN449" i="2" s="1"/>
  <c r="P449" i="2"/>
  <c r="BO448" i="2"/>
  <c r="BM448" i="2"/>
  <c r="Y448" i="2"/>
  <c r="Y450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Y408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Y251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Z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Y145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H563" i="2" s="1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O83" i="2"/>
  <c r="BM83" i="2"/>
  <c r="Y83" i="2"/>
  <c r="BP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467" i="2" l="1"/>
  <c r="D563" i="2"/>
  <c r="Y319" i="2"/>
  <c r="Y70" i="2"/>
  <c r="Z511" i="2"/>
  <c r="BN511" i="2"/>
  <c r="Z269" i="2"/>
  <c r="BN269" i="2"/>
  <c r="BP378" i="2"/>
  <c r="Z83" i="2"/>
  <c r="BN83" i="2"/>
  <c r="BP325" i="2"/>
  <c r="Z436" i="2"/>
  <c r="BN436" i="2"/>
  <c r="Z60" i="2"/>
  <c r="BN60" i="2"/>
  <c r="BP118" i="2"/>
  <c r="BP183" i="2"/>
  <c r="Z236" i="2"/>
  <c r="BN236" i="2"/>
  <c r="Z283" i="2"/>
  <c r="BN283" i="2"/>
  <c r="Z286" i="2"/>
  <c r="BN286" i="2"/>
  <c r="Z297" i="2"/>
  <c r="Z398" i="2"/>
  <c r="BN398" i="2"/>
  <c r="Z400" i="2"/>
  <c r="BN400" i="2"/>
  <c r="Y401" i="2"/>
  <c r="Y402" i="2"/>
  <c r="Z476" i="2"/>
  <c r="BN476" i="2"/>
  <c r="Z38" i="2"/>
  <c r="BN38" i="2"/>
  <c r="Z68" i="2"/>
  <c r="Z93" i="2"/>
  <c r="BN93" i="2"/>
  <c r="G563" i="2"/>
  <c r="Z137" i="2"/>
  <c r="BN137" i="2"/>
  <c r="Z178" i="2"/>
  <c r="BP207" i="2"/>
  <c r="BP228" i="2"/>
  <c r="Z246" i="2"/>
  <c r="BN246" i="2"/>
  <c r="Z301" i="2"/>
  <c r="BN301" i="2"/>
  <c r="BP333" i="2"/>
  <c r="Z363" i="2"/>
  <c r="BN363" i="2"/>
  <c r="Z369" i="2"/>
  <c r="BN369" i="2"/>
  <c r="Z498" i="2"/>
  <c r="BN498" i="2"/>
  <c r="X555" i="2"/>
  <c r="X553" i="2"/>
  <c r="W563" i="2"/>
  <c r="X554" i="2"/>
  <c r="BP31" i="2"/>
  <c r="C563" i="2"/>
  <c r="Z41" i="2"/>
  <c r="BN41" i="2"/>
  <c r="Z50" i="2"/>
  <c r="BN50" i="2"/>
  <c r="Z67" i="2"/>
  <c r="BP78" i="2"/>
  <c r="BP85" i="2"/>
  <c r="Z104" i="2"/>
  <c r="BN104" i="2"/>
  <c r="BP129" i="2"/>
  <c r="Z149" i="2"/>
  <c r="BN149" i="2"/>
  <c r="Z171" i="2"/>
  <c r="Z179" i="2"/>
  <c r="Z205" i="2"/>
  <c r="BN205" i="2"/>
  <c r="Z220" i="2"/>
  <c r="Z226" i="2"/>
  <c r="BN226" i="2"/>
  <c r="BP232" i="2"/>
  <c r="BP250" i="2"/>
  <c r="Z256" i="2"/>
  <c r="BN256" i="2"/>
  <c r="Z260" i="2"/>
  <c r="BN260" i="2"/>
  <c r="BP271" i="2"/>
  <c r="Z279" i="2"/>
  <c r="BN279" i="2"/>
  <c r="Z311" i="2"/>
  <c r="Z312" i="2" s="1"/>
  <c r="BN311" i="2"/>
  <c r="BP311" i="2"/>
  <c r="Y312" i="2"/>
  <c r="Z316" i="2"/>
  <c r="BN316" i="2"/>
  <c r="Z323" i="2"/>
  <c r="BN323" i="2"/>
  <c r="Z339" i="2"/>
  <c r="Z352" i="2"/>
  <c r="BN352" i="2"/>
  <c r="Z360" i="2"/>
  <c r="BN360" i="2"/>
  <c r="BP371" i="2"/>
  <c r="Z380" i="2"/>
  <c r="BN380" i="2"/>
  <c r="Z393" i="2"/>
  <c r="BP411" i="2"/>
  <c r="Y421" i="2"/>
  <c r="Z432" i="2"/>
  <c r="Z444" i="2"/>
  <c r="BN444" i="2"/>
  <c r="BP449" i="2"/>
  <c r="Z473" i="2"/>
  <c r="BN473" i="2"/>
  <c r="BP491" i="2"/>
  <c r="Z501" i="2"/>
  <c r="BN501" i="2"/>
  <c r="Z504" i="2"/>
  <c r="BN504" i="2"/>
  <c r="Z506" i="2"/>
  <c r="BN506" i="2"/>
  <c r="BN30" i="2"/>
  <c r="BP48" i="2"/>
  <c r="BN66" i="2"/>
  <c r="BN77" i="2"/>
  <c r="Y124" i="2"/>
  <c r="Y125" i="2"/>
  <c r="BP141" i="2"/>
  <c r="BN143" i="2"/>
  <c r="BP152" i="2"/>
  <c r="BN48" i="2"/>
  <c r="BP57" i="2"/>
  <c r="BP90" i="2"/>
  <c r="BP101" i="2"/>
  <c r="BP111" i="2"/>
  <c r="BP134" i="2"/>
  <c r="BN154" i="2"/>
  <c r="BN170" i="2"/>
  <c r="BP170" i="2"/>
  <c r="Y186" i="2"/>
  <c r="BP175" i="2"/>
  <c r="BN177" i="2"/>
  <c r="BN180" i="2"/>
  <c r="BP180" i="2"/>
  <c r="Y191" i="2"/>
  <c r="Z188" i="2"/>
  <c r="BP206" i="2"/>
  <c r="BN206" i="2"/>
  <c r="Z206" i="2"/>
  <c r="BP224" i="2"/>
  <c r="Z224" i="2"/>
  <c r="BP230" i="2"/>
  <c r="BN230" i="2"/>
  <c r="Z230" i="2"/>
  <c r="BN231" i="2"/>
  <c r="BP240" i="2"/>
  <c r="BN240" i="2"/>
  <c r="Z240" i="2"/>
  <c r="Y248" i="2"/>
  <c r="Z244" i="2"/>
  <c r="BN261" i="2"/>
  <c r="BP261" i="2"/>
  <c r="BN266" i="2"/>
  <c r="Z266" i="2"/>
  <c r="BP270" i="2"/>
  <c r="BN270" i="2"/>
  <c r="Z270" i="2"/>
  <c r="Y289" i="2"/>
  <c r="Z277" i="2"/>
  <c r="BN307" i="2"/>
  <c r="Z307" i="2"/>
  <c r="Z308" i="2" s="1"/>
  <c r="BN322" i="2"/>
  <c r="BP322" i="2"/>
  <c r="BP346" i="2"/>
  <c r="BN346" i="2"/>
  <c r="Z346" i="2"/>
  <c r="Z348" i="2" s="1"/>
  <c r="BN354" i="2"/>
  <c r="BP354" i="2"/>
  <c r="Y356" i="2"/>
  <c r="BP426" i="2"/>
  <c r="BN426" i="2"/>
  <c r="Z426" i="2"/>
  <c r="BN429" i="2"/>
  <c r="Z429" i="2"/>
  <c r="BP429" i="2"/>
  <c r="BN438" i="2"/>
  <c r="Y460" i="2"/>
  <c r="BP459" i="2"/>
  <c r="BN459" i="2"/>
  <c r="Z459" i="2"/>
  <c r="Z460" i="2" s="1"/>
  <c r="Y461" i="2"/>
  <c r="BP464" i="2"/>
  <c r="BN464" i="2"/>
  <c r="Z464" i="2"/>
  <c r="BN465" i="2"/>
  <c r="BP472" i="2"/>
  <c r="BN472" i="2"/>
  <c r="Z472" i="2"/>
  <c r="BN481" i="2"/>
  <c r="BP481" i="2"/>
  <c r="BN490" i="2"/>
  <c r="BP492" i="2"/>
  <c r="BN492" i="2"/>
  <c r="Z492" i="2"/>
  <c r="Y493" i="2"/>
  <c r="BN499" i="2"/>
  <c r="BP499" i="2"/>
  <c r="Y507" i="2"/>
  <c r="BN503" i="2"/>
  <c r="BP503" i="2"/>
  <c r="Z22" i="2"/>
  <c r="BN22" i="2"/>
  <c r="X557" i="2"/>
  <c r="Z29" i="2"/>
  <c r="BN29" i="2"/>
  <c r="Z37" i="2"/>
  <c r="BN37" i="2"/>
  <c r="BP37" i="2"/>
  <c r="BP39" i="2"/>
  <c r="BN42" i="2"/>
  <c r="Z49" i="2"/>
  <c r="BN49" i="2"/>
  <c r="BP51" i="2"/>
  <c r="E563" i="2"/>
  <c r="BN56" i="2"/>
  <c r="Z57" i="2"/>
  <c r="Z58" i="2"/>
  <c r="Y63" i="2"/>
  <c r="BN59" i="2"/>
  <c r="BP59" i="2"/>
  <c r="Z61" i="2"/>
  <c r="BN61" i="2"/>
  <c r="Y62" i="2"/>
  <c r="BP67" i="2"/>
  <c r="Y80" i="2"/>
  <c r="F563" i="2"/>
  <c r="Z84" i="2"/>
  <c r="BN84" i="2"/>
  <c r="Z90" i="2"/>
  <c r="Z91" i="2"/>
  <c r="BN92" i="2"/>
  <c r="BP92" i="2"/>
  <c r="BP98" i="2"/>
  <c r="BN100" i="2"/>
  <c r="Z101" i="2"/>
  <c r="Z102" i="2"/>
  <c r="BN103" i="2"/>
  <c r="BP103" i="2"/>
  <c r="BP108" i="2"/>
  <c r="Y114" i="2"/>
  <c r="BN110" i="2"/>
  <c r="Z111" i="2"/>
  <c r="Z112" i="2"/>
  <c r="Z123" i="2"/>
  <c r="Z124" i="2" s="1"/>
  <c r="BN123" i="2"/>
  <c r="Z128" i="2"/>
  <c r="BN128" i="2"/>
  <c r="BP128" i="2"/>
  <c r="Z134" i="2"/>
  <c r="Z135" i="2"/>
  <c r="BN136" i="2"/>
  <c r="BP136" i="2"/>
  <c r="Z141" i="2"/>
  <c r="Y156" i="2"/>
  <c r="Z152" i="2"/>
  <c r="J563" i="2"/>
  <c r="Z165" i="2"/>
  <c r="BN165" i="2"/>
  <c r="Y167" i="2"/>
  <c r="Y171" i="2"/>
  <c r="Z175" i="2"/>
  <c r="BP178" i="2"/>
  <c r="Z181" i="2"/>
  <c r="BN181" i="2"/>
  <c r="BP182" i="2"/>
  <c r="BN182" i="2"/>
  <c r="Z182" i="2"/>
  <c r="BP188" i="2"/>
  <c r="BP189" i="2"/>
  <c r="Z189" i="2"/>
  <c r="BN204" i="2"/>
  <c r="BP204" i="2"/>
  <c r="BP209" i="2"/>
  <c r="BN209" i="2"/>
  <c r="Z209" i="2"/>
  <c r="BN210" i="2"/>
  <c r="BN223" i="2"/>
  <c r="Z223" i="2"/>
  <c r="BP227" i="2"/>
  <c r="BN227" i="2"/>
  <c r="Z227" i="2"/>
  <c r="BP237" i="2"/>
  <c r="BN237" i="2"/>
  <c r="Z237" i="2"/>
  <c r="BN250" i="2"/>
  <c r="Z250" i="2"/>
  <c r="Z251" i="2" s="1"/>
  <c r="BN255" i="2"/>
  <c r="Y258" i="2"/>
  <c r="Y257" i="2"/>
  <c r="BP255" i="2"/>
  <c r="BP266" i="2"/>
  <c r="BP267" i="2"/>
  <c r="Z267" i="2"/>
  <c r="BN276" i="2"/>
  <c r="Z276" i="2"/>
  <c r="BP280" i="2"/>
  <c r="BN280" i="2"/>
  <c r="Z280" i="2"/>
  <c r="BN285" i="2"/>
  <c r="BP285" i="2"/>
  <c r="Y305" i="2"/>
  <c r="BN299" i="2"/>
  <c r="BP299" i="2"/>
  <c r="BP300" i="2"/>
  <c r="BN300" i="2"/>
  <c r="Z300" i="2"/>
  <c r="BP307" i="2"/>
  <c r="Y308" i="2"/>
  <c r="BP324" i="2"/>
  <c r="BN324" i="2"/>
  <c r="Z324" i="2"/>
  <c r="BP332" i="2"/>
  <c r="Z332" i="2"/>
  <c r="BN361" i="2"/>
  <c r="BP361" i="2"/>
  <c r="BN368" i="2"/>
  <c r="BP368" i="2"/>
  <c r="BP373" i="2"/>
  <c r="BN373" i="2"/>
  <c r="Z373" i="2"/>
  <c r="BN374" i="2"/>
  <c r="BP379" i="2"/>
  <c r="BN379" i="2"/>
  <c r="Z379" i="2"/>
  <c r="BP387" i="2"/>
  <c r="Z387" i="2"/>
  <c r="BN392" i="2"/>
  <c r="BN516" i="2"/>
  <c r="BP516" i="2"/>
  <c r="BP521" i="2"/>
  <c r="BN521" i="2"/>
  <c r="Z521" i="2"/>
  <c r="Y529" i="2"/>
  <c r="BP528" i="2"/>
  <c r="BN190" i="2"/>
  <c r="BP190" i="2"/>
  <c r="BN198" i="2"/>
  <c r="BN215" i="2"/>
  <c r="BP215" i="2"/>
  <c r="Y233" i="2"/>
  <c r="BP220" i="2"/>
  <c r="BN222" i="2"/>
  <c r="BN225" i="2"/>
  <c r="BP225" i="2"/>
  <c r="Y234" i="2"/>
  <c r="Y241" i="2"/>
  <c r="BN245" i="2"/>
  <c r="BP245" i="2"/>
  <c r="Y263" i="2"/>
  <c r="Y274" i="2"/>
  <c r="BN265" i="2"/>
  <c r="BN268" i="2"/>
  <c r="BP268" i="2"/>
  <c r="BN278" i="2"/>
  <c r="BP278" i="2"/>
  <c r="BN284" i="2"/>
  <c r="BP297" i="2"/>
  <c r="Y304" i="2"/>
  <c r="BN317" i="2"/>
  <c r="Y334" i="2"/>
  <c r="Z331" i="2"/>
  <c r="BN338" i="2"/>
  <c r="BN342" i="2"/>
  <c r="Z342" i="2"/>
  <c r="T563" i="2"/>
  <c r="BP359" i="2"/>
  <c r="BN359" i="2"/>
  <c r="Z359" i="2"/>
  <c r="BP370" i="2"/>
  <c r="BN370" i="2"/>
  <c r="Z370" i="2"/>
  <c r="BN381" i="2"/>
  <c r="BP381" i="2"/>
  <c r="BN386" i="2"/>
  <c r="Z386" i="2"/>
  <c r="BP405" i="2"/>
  <c r="BN405" i="2"/>
  <c r="Z405" i="2"/>
  <c r="BN406" i="2"/>
  <c r="BP412" i="2"/>
  <c r="BN412" i="2"/>
  <c r="Z412" i="2"/>
  <c r="BN431" i="2"/>
  <c r="BN443" i="2"/>
  <c r="BP443" i="2"/>
  <c r="BP448" i="2"/>
  <c r="BN448" i="2"/>
  <c r="Z448" i="2"/>
  <c r="BN455" i="2"/>
  <c r="Z455" i="2"/>
  <c r="BN474" i="2"/>
  <c r="BP474" i="2"/>
  <c r="BP339" i="2"/>
  <c r="BN341" i="2"/>
  <c r="BN353" i="2"/>
  <c r="BN364" i="2"/>
  <c r="Y389" i="2"/>
  <c r="BN385" i="2"/>
  <c r="Y388" i="2"/>
  <c r="BP393" i="2"/>
  <c r="BP417" i="2"/>
  <c r="BN419" i="2"/>
  <c r="BN428" i="2"/>
  <c r="BP432" i="2"/>
  <c r="BN442" i="2"/>
  <c r="Y445" i="2"/>
  <c r="X563" i="2"/>
  <c r="BN454" i="2"/>
  <c r="Y477" i="2"/>
  <c r="Y482" i="2"/>
  <c r="Z563" i="2"/>
  <c r="BN486" i="2"/>
  <c r="AA563" i="2"/>
  <c r="BN502" i="2"/>
  <c r="BN512" i="2"/>
  <c r="BN517" i="2"/>
  <c r="BP517" i="2"/>
  <c r="BN518" i="2"/>
  <c r="BP518" i="2"/>
  <c r="BN519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334" i="2" l="1"/>
  <c r="Z24" i="2"/>
  <c r="Z513" i="2"/>
  <c r="Z450" i="2"/>
  <c r="Z43" i="2"/>
  <c r="Z413" i="2"/>
  <c r="Z493" i="2"/>
  <c r="Z407" i="2"/>
  <c r="Z439" i="2"/>
  <c r="Z247" i="2"/>
  <c r="X556" i="2"/>
  <c r="Z507" i="2"/>
  <c r="Z241" i="2"/>
  <c r="Z87" i="2"/>
  <c r="Z105" i="2"/>
  <c r="Z523" i="2"/>
  <c r="Z456" i="2"/>
  <c r="Z445" i="2"/>
  <c r="Z466" i="2"/>
  <c r="Z318" i="2"/>
  <c r="Z401" i="2"/>
  <c r="Z138" i="2"/>
  <c r="Z94" i="2"/>
  <c r="Z365" i="2"/>
  <c r="Z262" i="2"/>
  <c r="Z388" i="2"/>
  <c r="Z144" i="2"/>
  <c r="Z355" i="2"/>
  <c r="Z257" i="2"/>
  <c r="Z395" i="2"/>
  <c r="Z62" i="2"/>
  <c r="Y555" i="2"/>
  <c r="Z433" i="2"/>
  <c r="Z420" i="2"/>
  <c r="Z382" i="2"/>
  <c r="Z304" i="2"/>
  <c r="Z52" i="2"/>
  <c r="Z273" i="2"/>
  <c r="Z120" i="2"/>
  <c r="Y554" i="2"/>
  <c r="Y556" i="2" s="1"/>
  <c r="Z288" i="2"/>
  <c r="Z191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Z558" i="2" l="1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<sst xmlns="http://schemas.openxmlformats.org/spreadsheetml/2006/main" count="4209" uniqueCount="889">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</sst>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46265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Понедельник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0.58333333333333337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80</v>
      </c>
      <c r="Y48" s="55">
        <f>IFERROR(IF(X48="",0,CEILING((X48/$H48),1)*$H48),"")</f>
        <v>86.4</v>
      </c>
      <c r="Z48" s="41">
        <f>IFERROR(IF(Y48=0,"",ROUNDUP(Y48/H48,0)*0.01898),"")</f>
        <v>0.15184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83.037037037037038</v>
      </c>
      <c r="BN48" s="78">
        <f>IFERROR(Y48*I48/H48,"0")</f>
        <v>89.68</v>
      </c>
      <c r="BO48" s="78">
        <f>IFERROR(1/J48*(X48/H48),"0")</f>
        <v>0.11574074074074073</v>
      </c>
      <c r="BP48" s="78">
        <f>IFERROR(1/J48*(Y48/H48),"0")</f>
        <v>0.125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20</v>
      </c>
      <c r="Y50" s="55">
        <f>IFERROR(IF(X50="",0,CEILING((X50/$H50),1)*$H50),"")</f>
        <v>20</v>
      </c>
      <c r="Z50" s="41">
        <f>IFERROR(IF(Y50=0,"",ROUNDUP(Y50/H50,0)*0.00902),"")</f>
        <v>4.5100000000000001E-2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20.950000000000003</v>
      </c>
      <c r="BN50" s="78">
        <f>IFERROR(Y50*I50/H50,"0")</f>
        <v>20.950000000000003</v>
      </c>
      <c r="BO50" s="78">
        <f>IFERROR(1/J50*(X50/H50),"0")</f>
        <v>3.787878787878788E-2</v>
      </c>
      <c r="BP50" s="78">
        <f>IFERROR(1/J50*(Y50/H50),"0")</f>
        <v>3.787878787878788E-2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12.407407407407407</v>
      </c>
      <c r="Y52" s="43">
        <f>IFERROR(Y48/H48,"0")+IFERROR(Y49/H49,"0")+IFERROR(Y50/H50,"0")+IFERROR(Y51/H51,"0")</f>
        <v>13</v>
      </c>
      <c r="Z52" s="43">
        <f>IFERROR(IF(Z48="",0,Z48),"0")+IFERROR(IF(Z49="",0,Z49),"0")+IFERROR(IF(Z50="",0,Z50),"0")+IFERROR(IF(Z51="",0,Z51),"0")</f>
        <v>0.19694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100</v>
      </c>
      <c r="Y53" s="43">
        <f>IFERROR(SUM(Y48:Y51),"0")</f>
        <v>106.4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36</v>
      </c>
      <c r="Y61" s="55">
        <f t="shared" si="6"/>
        <v>36</v>
      </c>
      <c r="Z61" s="41">
        <f>IFERROR(IF(Y61=0,"",ROUNDUP(Y61/H61,0)*0.00902),"")</f>
        <v>7.2160000000000002E-2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37.520000000000003</v>
      </c>
      <c r="BN61" s="78">
        <f t="shared" si="8"/>
        <v>37.520000000000003</v>
      </c>
      <c r="BO61" s="78">
        <f t="shared" si="9"/>
        <v>6.0606060606060608E-2</v>
      </c>
      <c r="BP61" s="78">
        <f t="shared" si="10"/>
        <v>6.0606060606060608E-2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8</v>
      </c>
      <c r="Y62" s="43">
        <f>IFERROR(Y56/H56,"0")+IFERROR(Y57/H57,"0")+IFERROR(Y58/H58,"0")+IFERROR(Y59/H59,"0")+IFERROR(Y60/H60,"0")+IFERROR(Y61/H61,"0")</f>
        <v>8</v>
      </c>
      <c r="Z62" s="43">
        <f>IFERROR(IF(Z56="",0,Z56),"0")+IFERROR(IF(Z57="",0,Z57),"0")+IFERROR(IF(Z58="",0,Z58),"0")+IFERROR(IF(Z59="",0,Z59),"0")+IFERROR(IF(Z60="",0,Z60),"0")+IFERROR(IF(Z61="",0,Z61),"0")</f>
        <v>7.2160000000000002E-2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36</v>
      </c>
      <c r="Y63" s="43">
        <f>IFERROR(SUM(Y56:Y61),"0")</f>
        <v>36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18</v>
      </c>
      <c r="Y68" s="55">
        <f>IFERROR(IF(X68="",0,CEILING((X68/$H68),1)*$H68),"")</f>
        <v>18.900000000000002</v>
      </c>
      <c r="Z68" s="41">
        <f>IFERROR(IF(Y68=0,"",ROUNDUP(Y68/H68,0)*0.00651),"")</f>
        <v>4.5569999999999999E-2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19.199999999999996</v>
      </c>
      <c r="BN68" s="78">
        <f>IFERROR(Y68*I68/H68,"0")</f>
        <v>20.16</v>
      </c>
      <c r="BO68" s="78">
        <f>IFERROR(1/J68*(X68/H68),"0")</f>
        <v>3.6630036630036632E-2</v>
      </c>
      <c r="BP68" s="78">
        <f>IFERROR(1/J68*(Y68/H68),"0")</f>
        <v>3.8461538461538464E-2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6.6666666666666661</v>
      </c>
      <c r="Y69" s="43">
        <f>IFERROR(Y65/H65,"0")+IFERROR(Y66/H66,"0")+IFERROR(Y67/H67,"0")+IFERROR(Y68/H68,"0")</f>
        <v>7</v>
      </c>
      <c r="Z69" s="43">
        <f>IFERROR(IF(Z65="",0,Z65),"0")+IFERROR(IF(Z66="",0,Z66),"0")+IFERROR(IF(Z67="",0,Z67),"0")+IFERROR(IF(Z68="",0,Z68),"0")</f>
        <v>4.5569999999999999E-2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18</v>
      </c>
      <c r="Y70" s="43">
        <f>IFERROR(SUM(Y65:Y68),"0")</f>
        <v>18.900000000000002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100</v>
      </c>
      <c r="Y83" s="55">
        <f>IFERROR(IF(X83="",0,CEILING((X83/$H83),1)*$H83),"")</f>
        <v>108</v>
      </c>
      <c r="Z83" s="41">
        <f>IFERROR(IF(Y83=0,"",ROUNDUP(Y83/H83,0)*0.01898),"")</f>
        <v>0.1898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103.79629629629629</v>
      </c>
      <c r="BN83" s="78">
        <f>IFERROR(Y83*I83/H83,"0")</f>
        <v>112.1</v>
      </c>
      <c r="BO83" s="78">
        <f>IFERROR(1/J83*(X83/H83),"0")</f>
        <v>0.14467592592592593</v>
      </c>
      <c r="BP83" s="78">
        <f>IFERROR(1/J83*(Y83/H83),"0")</f>
        <v>0.15625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36</v>
      </c>
      <c r="Y86" s="55">
        <f>IFERROR(IF(X86="",0,CEILING((X86/$H86),1)*$H86),"")</f>
        <v>36</v>
      </c>
      <c r="Z86" s="41">
        <f>IFERROR(IF(Y86=0,"",ROUNDUP(Y86/H86,0)*0.00902),"")</f>
        <v>7.2160000000000002E-2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37.520000000000003</v>
      </c>
      <c r="BN86" s="78">
        <f>IFERROR(Y86*I86/H86,"0")</f>
        <v>37.520000000000003</v>
      </c>
      <c r="BO86" s="78">
        <f>IFERROR(1/J86*(X86/H86),"0")</f>
        <v>6.0606060606060608E-2</v>
      </c>
      <c r="BP86" s="78">
        <f>IFERROR(1/J86*(Y86/H86),"0")</f>
        <v>6.0606060606060608E-2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17.25925925925926</v>
      </c>
      <c r="Y87" s="43">
        <f>IFERROR(Y83/H83,"0")+IFERROR(Y84/H84,"0")+IFERROR(Y85/H85,"0")+IFERROR(Y86/H86,"0")</f>
        <v>18</v>
      </c>
      <c r="Z87" s="43">
        <f>IFERROR(IF(Z83="",0,Z83),"0")+IFERROR(IF(Z84="",0,Z84),"0")+IFERROR(IF(Z85="",0,Z85),"0")+IFERROR(IF(Z86="",0,Z86),"0")</f>
        <v>0.26195999999999997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136</v>
      </c>
      <c r="Y88" s="43">
        <f>IFERROR(SUM(Y83:Y86),"0")</f>
        <v>144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200</v>
      </c>
      <c r="Y90" s="55">
        <f>IFERROR(IF(X90="",0,CEILING((X90/$H90),1)*$H90),"")</f>
        <v>202.5</v>
      </c>
      <c r="Z90" s="41">
        <f>IFERROR(IF(Y90=0,"",ROUNDUP(Y90/H90,0)*0.01898),"")</f>
        <v>0.47450000000000003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212.19753086419755</v>
      </c>
      <c r="BN90" s="78">
        <f>IFERROR(Y90*I90/H90,"0")</f>
        <v>214.85</v>
      </c>
      <c r="BO90" s="78">
        <f>IFERROR(1/J90*(X90/H90),"0")</f>
        <v>0.38580246913580246</v>
      </c>
      <c r="BP90" s="78">
        <f>IFERROR(1/J90*(Y90/H90),"0")</f>
        <v>0.390625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45</v>
      </c>
      <c r="Y92" s="55">
        <f>IFERROR(IF(X92="",0,CEILING((X92/$H92),1)*$H92),"")</f>
        <v>45.900000000000006</v>
      </c>
      <c r="Z92" s="41">
        <f>IFERROR(IF(Y92=0,"",ROUNDUP(Y92/H92,0)*0.00651),"")</f>
        <v>0.11067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49.199999999999996</v>
      </c>
      <c r="BN92" s="78">
        <f>IFERROR(Y92*I92/H92,"0")</f>
        <v>50.183999999999997</v>
      </c>
      <c r="BO92" s="78">
        <f>IFERROR(1/J92*(X92/H92),"0")</f>
        <v>9.1575091575091569E-2</v>
      </c>
      <c r="BP92" s="78">
        <f>IFERROR(1/J92*(Y92/H92),"0")</f>
        <v>9.3406593406593408E-2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41.358024691358025</v>
      </c>
      <c r="Y94" s="43">
        <f>IFERROR(Y90/H90,"0")+IFERROR(Y91/H91,"0")+IFERROR(Y92/H92,"0")+IFERROR(Y93/H93,"0")</f>
        <v>42</v>
      </c>
      <c r="Z94" s="43">
        <f>IFERROR(IF(Z90="",0,Z90),"0")+IFERROR(IF(Z91="",0,Z91),"0")+IFERROR(IF(Z92="",0,Z92),"0")+IFERROR(IF(Z93="",0,Z93),"0")</f>
        <v>0.58517000000000008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245</v>
      </c>
      <c r="Y95" s="43">
        <f>IFERROR(SUM(Y90:Y93),"0")</f>
        <v>248.4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80</v>
      </c>
      <c r="Y98" s="55">
        <f t="shared" ref="Y98:Y104" si="11">IFERROR(IF(X98="",0,CEILING((X98/$H98),1)*$H98),"")</f>
        <v>86.4</v>
      </c>
      <c r="Z98" s="41">
        <f>IFERROR(IF(Y98=0,"",ROUNDUP(Y98/H98,0)*0.01898),"")</f>
        <v>0.15184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83.037037037037038</v>
      </c>
      <c r="BN98" s="78">
        <f t="shared" ref="BN98:BN104" si="13">IFERROR(Y98*I98/H98,"0")</f>
        <v>89.68</v>
      </c>
      <c r="BO98" s="78">
        <f t="shared" ref="BO98:BO104" si="14">IFERROR(1/J98*(X98/H98),"0")</f>
        <v>0.11574074074074073</v>
      </c>
      <c r="BP98" s="78">
        <f t="shared" ref="BP98:BP104" si="15">IFERROR(1/J98*(Y98/H98),"0")</f>
        <v>0.125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45</v>
      </c>
      <c r="Y103" s="55">
        <f t="shared" si="11"/>
        <v>45</v>
      </c>
      <c r="Z103" s="41">
        <f>IFERROR(IF(Y103=0,"",ROUNDUP(Y103/H103,0)*0.00902),"")</f>
        <v>9.0200000000000002E-2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46.900000000000006</v>
      </c>
      <c r="BN103" s="78">
        <f t="shared" si="13"/>
        <v>46.900000000000006</v>
      </c>
      <c r="BO103" s="78">
        <f t="shared" si="14"/>
        <v>7.575757575757576E-2</v>
      </c>
      <c r="BP103" s="78">
        <f t="shared" si="15"/>
        <v>7.575757575757576E-2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17.407407407407405</v>
      </c>
      <c r="Y105" s="43">
        <f>IFERROR(Y98/H98,"0")+IFERROR(Y99/H99,"0")+IFERROR(Y100/H100,"0")+IFERROR(Y101/H101,"0")+IFERROR(Y102/H102,"0")+IFERROR(Y103/H103,"0")+IFERROR(Y104/H104,"0")</f>
        <v>18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0.24204000000000001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125</v>
      </c>
      <c r="Y106" s="43">
        <f>IFERROR(SUM(Y98:Y104),"0")</f>
        <v>131.4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12</v>
      </c>
      <c r="Y112" s="55">
        <f>IFERROR(IF(X112="",0,CEILING((X112/$H112),1)*$H112),"")</f>
        <v>12</v>
      </c>
      <c r="Z112" s="41">
        <f>IFERROR(IF(Y112=0,"",ROUNDUP(Y112/H112,0)*0.00651),"")</f>
        <v>3.2550000000000003E-2</v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12.9</v>
      </c>
      <c r="BN112" s="78">
        <f>IFERROR(Y112*I112/H112,"0")</f>
        <v>12.9</v>
      </c>
      <c r="BO112" s="78">
        <f>IFERROR(1/J112*(X112/H112),"0")</f>
        <v>2.7472527472527476E-2</v>
      </c>
      <c r="BP112" s="78">
        <f>IFERROR(1/J112*(Y112/H112),"0")</f>
        <v>2.7472527472527476E-2</v>
      </c>
    </row>
    <row r="113" spans="1:68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5</v>
      </c>
      <c r="Y113" s="43">
        <f>IFERROR(Y108/H108,"0")+IFERROR(Y109/H109,"0")+IFERROR(Y110/H110,"0")+IFERROR(Y111/H111,"0")+IFERROR(Y112/H112,"0")</f>
        <v>5</v>
      </c>
      <c r="Z113" s="43">
        <f>IFERROR(IF(Z108="",0,Z108),"0")+IFERROR(IF(Z109="",0,Z109),"0")+IFERROR(IF(Z110="",0,Z110),"0")+IFERROR(IF(Z111="",0,Z111),"0")+IFERROR(IF(Z112="",0,Z112),"0")</f>
        <v>3.2550000000000003E-2</v>
      </c>
      <c r="AA113" s="67"/>
      <c r="AB113" s="67"/>
      <c r="AC113" s="67"/>
    </row>
    <row r="114" spans="1:68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12</v>
      </c>
      <c r="Y114" s="43">
        <f>IFERROR(SUM(Y108:Y112),"0")</f>
        <v>12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300</v>
      </c>
      <c r="Y116" s="55">
        <f>IFERROR(IF(X116="",0,CEILING((X116/$H116),1)*$H116),"")</f>
        <v>307.8</v>
      </c>
      <c r="Z116" s="41">
        <f>IFERROR(IF(Y116=0,"",ROUNDUP(Y116/H116,0)*0.01898),"")</f>
        <v>0.72123999999999999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318.07407407407402</v>
      </c>
      <c r="BN116" s="78">
        <f>IFERROR(Y116*I116/H116,"0")</f>
        <v>326.34399999999999</v>
      </c>
      <c r="BO116" s="78">
        <f>IFERROR(1/J116*(X116/H116),"0")</f>
        <v>0.57870370370370372</v>
      </c>
      <c r="BP116" s="78">
        <f>IFERROR(1/J116*(Y116/H116),"0")</f>
        <v>0.59375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45</v>
      </c>
      <c r="Y118" s="55">
        <f>IFERROR(IF(X118="",0,CEILING((X118/$H118),1)*$H118),"")</f>
        <v>45.900000000000006</v>
      </c>
      <c r="Z118" s="41">
        <f>IFERROR(IF(Y118=0,"",ROUNDUP(Y118/H118,0)*0.00651),"")</f>
        <v>0.11067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49.199999999999996</v>
      </c>
      <c r="BN118" s="78">
        <f>IFERROR(Y118*I118/H118,"0")</f>
        <v>50.183999999999997</v>
      </c>
      <c r="BO118" s="78">
        <f>IFERROR(1/J118*(X118/H118),"0")</f>
        <v>9.1575091575091569E-2</v>
      </c>
      <c r="BP118" s="78">
        <f>IFERROR(1/J118*(Y118/H118),"0")</f>
        <v>9.3406593406593408E-2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53.703703703703702</v>
      </c>
      <c r="Y120" s="43">
        <f>IFERROR(Y116/H116,"0")+IFERROR(Y117/H117,"0")+IFERROR(Y118/H118,"0")+IFERROR(Y119/H119,"0")</f>
        <v>55</v>
      </c>
      <c r="Z120" s="43">
        <f>IFERROR(IF(Z116="",0,Z116),"0")+IFERROR(IF(Z117="",0,Z117),"0")+IFERROR(IF(Z118="",0,Z118),"0")+IFERROR(IF(Z119="",0,Z119),"0")</f>
        <v>0.83191000000000004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345</v>
      </c>
      <c r="Y121" s="43">
        <f>IFERROR(SUM(Y116:Y119),"0")</f>
        <v>353.70000000000005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21</v>
      </c>
      <c r="Y174" s="55">
        <f t="shared" ref="Y174:Y184" si="22">IFERROR(IF(X174="",0,CEILING((X174/$H174),1)*$H174),"")</f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22.139999999999997</v>
      </c>
      <c r="BN174" s="78">
        <f t="shared" ref="BN174:BN184" si="24">IFERROR(Y174*I174/H174,"0")</f>
        <v>22.139999999999997</v>
      </c>
      <c r="BO174" s="78">
        <f t="shared" ref="BO174:BO184" si="25">IFERROR(1/J174*(X174/H174),"0")</f>
        <v>4.5454545454545456E-2</v>
      </c>
      <c r="BP174" s="78">
        <f t="shared" ref="BP174:BP184" si="26">IFERROR(1/J174*(Y174/H174),"0")</f>
        <v>4.5454545454545456E-2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10.5</v>
      </c>
      <c r="Y176" s="55">
        <f t="shared" si="22"/>
        <v>10.5</v>
      </c>
      <c r="Z176" s="41">
        <f>IFERROR(IF(Y176=0,"",ROUNDUP(Y176/H176,0)*0.00902),"")</f>
        <v>2.7060000000000001E-2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11.069999999999999</v>
      </c>
      <c r="BN176" s="78">
        <f t="shared" si="24"/>
        <v>11.069999999999999</v>
      </c>
      <c r="BO176" s="78">
        <f t="shared" si="25"/>
        <v>2.2727272727272728E-2</v>
      </c>
      <c r="BP176" s="78">
        <f t="shared" si="26"/>
        <v>2.2727272727272728E-2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21</v>
      </c>
      <c r="Y177" s="55">
        <f t="shared" si="22"/>
        <v>21</v>
      </c>
      <c r="Z177" s="41">
        <f>IFERROR(IF(Y177=0,"",ROUNDUP(Y177/H177,0)*0.00902),"")</f>
        <v>5.4120000000000001E-2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22.139999999999997</v>
      </c>
      <c r="BN177" s="78">
        <f t="shared" si="24"/>
        <v>22.139999999999997</v>
      </c>
      <c r="BO177" s="78">
        <f t="shared" si="25"/>
        <v>4.5454545454545456E-2</v>
      </c>
      <c r="BP177" s="78">
        <f t="shared" si="26"/>
        <v>4.5454545454545456E-2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15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15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0.1353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52.5</v>
      </c>
      <c r="Y186" s="43">
        <f>IFERROR(SUM(Y174:Y184),"0")</f>
        <v>52.5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ref="Y219:Y232" si="33">IFERROR(IF(X219="",0,CEILING((X219/$H219),1)*$H219),"")</f>
        <v>33.6</v>
      </c>
      <c r="Z219" s="41">
        <f>IFERROR(IF(Y219=0,"",ROUNDUP(Y219/H219,0)*0.00902),"")</f>
        <v>7.2160000000000002E-2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31.785714285714285</v>
      </c>
      <c r="BN219" s="78">
        <f t="shared" ref="BN219:BN232" si="35">IFERROR(Y219*I219/H219,"0")</f>
        <v>35.6</v>
      </c>
      <c r="BO219" s="78">
        <f t="shared" ref="BO219:BO232" si="36">IFERROR(1/J219*(X219/H219),"0")</f>
        <v>5.4112554112554112E-2</v>
      </c>
      <c r="BP219" s="78">
        <f t="shared" ref="BP219:BP232" si="37">IFERROR(1/J219*(Y219/H219),"0")</f>
        <v>6.0606060606060608E-2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9</v>
      </c>
      <c r="Y228" s="55">
        <f t="shared" si="33"/>
        <v>9</v>
      </c>
      <c r="Z228" s="41">
        <f t="shared" si="38"/>
        <v>2.5100000000000001E-2</v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9.65</v>
      </c>
      <c r="BN228" s="78">
        <f t="shared" si="35"/>
        <v>9.65</v>
      </c>
      <c r="BO228" s="78">
        <f t="shared" si="36"/>
        <v>2.1367521367521368E-2</v>
      </c>
      <c r="BP228" s="78">
        <f t="shared" si="37"/>
        <v>2.1367521367521368E-2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3.2</v>
      </c>
      <c r="Y229" s="55">
        <f t="shared" si="33"/>
        <v>3.2</v>
      </c>
      <c r="Z229" s="41">
        <f>IFERROR(IF(Y229=0,"",ROUNDUP(Y229/H229,0)*0.00417),"")</f>
        <v>1.668E-2</v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4.04</v>
      </c>
      <c r="BN229" s="78">
        <f t="shared" si="35"/>
        <v>4.04</v>
      </c>
      <c r="BO229" s="78">
        <f t="shared" si="36"/>
        <v>1.1904761904761904E-2</v>
      </c>
      <c r="BP229" s="78">
        <f t="shared" si="37"/>
        <v>1.1904761904761904E-2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16.142857142857142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17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0.11394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42.2</v>
      </c>
      <c r="Y234" s="43">
        <f>IFERROR(SUM(Y219:Y232),"0")</f>
        <v>45.800000000000004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150</v>
      </c>
      <c r="Y265" s="55">
        <f t="shared" ref="Y265:Y272" si="39">IFERROR(IF(X265="",0,CEILING((X265/$H265),1)*$H265),"")</f>
        <v>151.20000000000002</v>
      </c>
      <c r="Z265" s="41">
        <f>IFERROR(IF(Y265=0,"",ROUNDUP(Y265/H265,0)*0.00902),"")</f>
        <v>0.25256000000000001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155.27777777777777</v>
      </c>
      <c r="BN265" s="78">
        <f t="shared" ref="BN265:BN272" si="41">IFERROR(Y265*I265/H265,"0")</f>
        <v>156.52000000000001</v>
      </c>
      <c r="BO265" s="78">
        <f t="shared" ref="BO265:BO272" si="42">IFERROR(1/J265*(X265/H265),"0")</f>
        <v>0.21043771043771042</v>
      </c>
      <c r="BP265" s="78">
        <f t="shared" ref="BP265:BP272" si="43">IFERROR(1/J265*(Y265/H265),"0")</f>
        <v>0.21212121212121213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150</v>
      </c>
      <c r="Y266" s="55">
        <f t="shared" si="39"/>
        <v>151.20000000000002</v>
      </c>
      <c r="Z266" s="41">
        <f>IFERROR(IF(Y266=0,"",ROUNDUP(Y266/H266,0)*0.00902),"")</f>
        <v>0.25256000000000001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155.27777777777777</v>
      </c>
      <c r="BN266" s="78">
        <f t="shared" si="41"/>
        <v>156.52000000000001</v>
      </c>
      <c r="BO266" s="78">
        <f t="shared" si="42"/>
        <v>0.21043771043771042</v>
      </c>
      <c r="BP266" s="78">
        <f t="shared" si="43"/>
        <v>0.21212121212121213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si="39"/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155.27777777777777</v>
      </c>
      <c r="BN267" s="78">
        <f t="shared" si="41"/>
        <v>156.52000000000001</v>
      </c>
      <c r="BO267" s="78">
        <f t="shared" si="42"/>
        <v>0.21043771043771042</v>
      </c>
      <c r="BP267" s="78">
        <f t="shared" si="43"/>
        <v>0.21212121212121213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150</v>
      </c>
      <c r="Y268" s="55">
        <f t="shared" si="39"/>
        <v>151.20000000000002</v>
      </c>
      <c r="Z268" s="41">
        <f>IFERROR(IF(Y268=0,"",ROUNDUP(Y268/H268,0)*0.00902),"")</f>
        <v>0.25256000000000001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155.27777777777777</v>
      </c>
      <c r="BN268" s="78">
        <f t="shared" si="41"/>
        <v>156.52000000000001</v>
      </c>
      <c r="BO268" s="78">
        <f t="shared" si="42"/>
        <v>0.21043771043771042</v>
      </c>
      <c r="BP268" s="78">
        <f t="shared" si="43"/>
        <v>0.21212121212121213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45</v>
      </c>
      <c r="Y269" s="55">
        <f t="shared" si="39"/>
        <v>45</v>
      </c>
      <c r="Z269" s="41">
        <f>IFERROR(IF(Y269=0,"",ROUNDUP(Y269/H269,0)*0.00502),"")</f>
        <v>0.1255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48.249999999999993</v>
      </c>
      <c r="BN269" s="78">
        <f t="shared" si="41"/>
        <v>48.249999999999993</v>
      </c>
      <c r="BO269" s="78">
        <f t="shared" si="42"/>
        <v>0.10683760683760685</v>
      </c>
      <c r="BP269" s="78">
        <f t="shared" si="43"/>
        <v>0.10683760683760685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45</v>
      </c>
      <c r="Y270" s="55">
        <f t="shared" si="39"/>
        <v>45</v>
      </c>
      <c r="Z270" s="41">
        <f>IFERROR(IF(Y270=0,"",ROUNDUP(Y270/H270,0)*0.00502),"")</f>
        <v>0.1255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47.5</v>
      </c>
      <c r="BN270" s="78">
        <f t="shared" si="41"/>
        <v>47.5</v>
      </c>
      <c r="BO270" s="78">
        <f t="shared" si="42"/>
        <v>0.10683760683760685</v>
      </c>
      <c r="BP270" s="78">
        <f t="shared" si="43"/>
        <v>0.10683760683760685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45</v>
      </c>
      <c r="Y271" s="55">
        <f t="shared" si="39"/>
        <v>45</v>
      </c>
      <c r="Z271" s="41">
        <f>IFERROR(IF(Y271=0,"",ROUNDUP(Y271/H271,0)*0.00502),"")</f>
        <v>0.1255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47.5</v>
      </c>
      <c r="BN271" s="78">
        <f t="shared" si="41"/>
        <v>47.5</v>
      </c>
      <c r="BO271" s="78">
        <f t="shared" si="42"/>
        <v>0.10683760683760685</v>
      </c>
      <c r="BP271" s="78">
        <f t="shared" si="43"/>
        <v>0.10683760683760685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45</v>
      </c>
      <c r="Y272" s="55">
        <f t="shared" si="39"/>
        <v>45</v>
      </c>
      <c r="Z272" s="41">
        <f>IFERROR(IF(Y272=0,"",ROUNDUP(Y272/H272,0)*0.00502),"")</f>
        <v>0.1255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47.5</v>
      </c>
      <c r="BN272" s="78">
        <f t="shared" si="41"/>
        <v>47.5</v>
      </c>
      <c r="BO272" s="78">
        <f t="shared" si="42"/>
        <v>0.10683760683760685</v>
      </c>
      <c r="BP272" s="78">
        <f t="shared" si="43"/>
        <v>0.10683760683760685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211.11111111111109</v>
      </c>
      <c r="Y273" s="43">
        <f>IFERROR(Y265/H265,"0")+IFERROR(Y266/H266,"0")+IFERROR(Y267/H267,"0")+IFERROR(Y268/H268,"0")+IFERROR(Y269/H269,"0")+IFERROR(Y270/H270,"0")+IFERROR(Y271/H271,"0")+IFERROR(Y272/H272,"0")</f>
        <v>212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1.5122399999999998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780</v>
      </c>
      <c r="Y274" s="43">
        <f>IFERROR(SUM(Y265:Y272),"0")</f>
        <v>784.80000000000007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40</v>
      </c>
      <c r="Y278" s="55">
        <f t="shared" si="44"/>
        <v>43.5</v>
      </c>
      <c r="Z278" s="41">
        <f>IFERROR(IF(Y278=0,"",ROUNDUP(Y278/H278,0)*0.01898),"")</f>
        <v>9.4899999999999998E-2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42.271264367816102</v>
      </c>
      <c r="BN278" s="78">
        <f t="shared" si="46"/>
        <v>45.970000000000006</v>
      </c>
      <c r="BO278" s="78">
        <f t="shared" si="47"/>
        <v>7.1839080459770124E-2</v>
      </c>
      <c r="BP278" s="78">
        <f t="shared" si="48"/>
        <v>7.8125E-2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24</v>
      </c>
      <c r="Y279" s="55">
        <f t="shared" si="44"/>
        <v>24</v>
      </c>
      <c r="Z279" s="41">
        <f>IFERROR(IF(Y279=0,"",ROUNDUP(Y279/H279,0)*0.00651),"")</f>
        <v>6.5100000000000005E-2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26.7</v>
      </c>
      <c r="BN279" s="78">
        <f t="shared" si="46"/>
        <v>26.7</v>
      </c>
      <c r="BO279" s="78">
        <f t="shared" si="47"/>
        <v>5.4945054945054951E-2</v>
      </c>
      <c r="BP279" s="78">
        <f t="shared" si="48"/>
        <v>5.4945054945054951E-2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40</v>
      </c>
      <c r="Y282" s="55">
        <f t="shared" si="44"/>
        <v>40.799999999999997</v>
      </c>
      <c r="Z282" s="41">
        <f>IFERROR(IF(Y282=0,"",ROUNDUP(Y282/H282,0)*0.00651),"")</f>
        <v>0.11067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44.20000000000001</v>
      </c>
      <c r="BN282" s="78">
        <f t="shared" si="46"/>
        <v>45.084000000000003</v>
      </c>
      <c r="BO282" s="78">
        <f t="shared" si="47"/>
        <v>9.1575091575091583E-2</v>
      </c>
      <c r="BP282" s="78">
        <f t="shared" si="48"/>
        <v>9.3406593406593408E-2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20</v>
      </c>
      <c r="Y284" s="55">
        <f t="shared" si="44"/>
        <v>21.599999999999998</v>
      </c>
      <c r="Z284" s="41">
        <f>IFERROR(IF(Y284=0,"",ROUNDUP(Y284/H284,0)*0.00651),"")</f>
        <v>5.8590000000000003E-2</v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22.100000000000005</v>
      </c>
      <c r="BN284" s="78">
        <f t="shared" si="46"/>
        <v>23.868000000000002</v>
      </c>
      <c r="BO284" s="78">
        <f t="shared" si="47"/>
        <v>4.5787545787545791E-2</v>
      </c>
      <c r="BP284" s="78">
        <f t="shared" si="48"/>
        <v>4.9450549450549455E-2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40</v>
      </c>
      <c r="Y286" s="55">
        <f t="shared" si="44"/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44.3</v>
      </c>
      <c r="BN286" s="78">
        <f t="shared" si="46"/>
        <v>45.185999999999993</v>
      </c>
      <c r="BO286" s="78">
        <f t="shared" si="47"/>
        <v>9.1575091575091583E-2</v>
      </c>
      <c r="BP286" s="78">
        <f t="shared" si="48"/>
        <v>9.3406593406593408E-2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56.264367816091962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58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0.43992999999999999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164</v>
      </c>
      <c r="Y289" s="43">
        <f>IFERROR(SUM(Y276:Y287),"0")</f>
        <v>170.7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24</v>
      </c>
      <c r="Y292" s="55">
        <f>IFERROR(IF(X292="",0,CEILING((X292/$H292),1)*$H292),"")</f>
        <v>24</v>
      </c>
      <c r="Z292" s="41">
        <f>IFERROR(IF(Y292=0,"",ROUNDUP(Y292/H292,0)*0.00651),"")</f>
        <v>6.5100000000000005E-2</v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26.520000000000003</v>
      </c>
      <c r="BN292" s="78">
        <f>IFERROR(Y292*I292/H292,"0")</f>
        <v>26.520000000000003</v>
      </c>
      <c r="BO292" s="78">
        <f>IFERROR(1/J292*(X292/H292),"0")</f>
        <v>5.4945054945054951E-2</v>
      </c>
      <c r="BP292" s="78">
        <f>IFERROR(1/J292*(Y292/H292),"0")</f>
        <v>5.4945054945054951E-2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10</v>
      </c>
      <c r="Y293" s="43">
        <f>IFERROR(Y291/H291,"0")+IFERROR(Y292/H292,"0")</f>
        <v>10</v>
      </c>
      <c r="Z293" s="43">
        <f>IFERROR(IF(Z291="",0,Z291),"0")+IFERROR(IF(Z292="",0,Z292),"0")</f>
        <v>6.5100000000000005E-2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24</v>
      </c>
      <c r="Y294" s="43">
        <f>IFERROR(SUM(Y291:Y292),"0")</f>
        <v>24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3.6</v>
      </c>
      <c r="Y311" s="55">
        <f>IFERROR(IF(X311="",0,CEILING((X311/$H311),1)*$H311),"")</f>
        <v>3.6</v>
      </c>
      <c r="Z311" s="41">
        <f>IFERROR(IF(Y311=0,"",ROUNDUP(Y311/H311,0)*0.0059),"")</f>
        <v>1.18E-2</v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3.95</v>
      </c>
      <c r="BN311" s="78">
        <f>IFERROR(Y311*I311/H311,"0")</f>
        <v>3.95</v>
      </c>
      <c r="BO311" s="78">
        <f>IFERROR(1/J311*(X311/H311),"0")</f>
        <v>9.2592592592592587E-3</v>
      </c>
      <c r="BP311" s="78">
        <f>IFERROR(1/J311*(Y311/H311),"0")</f>
        <v>9.2592592592592587E-3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2</v>
      </c>
      <c r="Y312" s="43">
        <f>IFERROR(Y311/H311,"0")</f>
        <v>2</v>
      </c>
      <c r="Z312" s="43">
        <f>IFERROR(IF(Z311="",0,Z311),"0")</f>
        <v>1.18E-2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3.6</v>
      </c>
      <c r="Y313" s="43">
        <f>IFERROR(SUM(Y311:Y311),"0")</f>
        <v>3.6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3.6</v>
      </c>
      <c r="Y316" s="55">
        <f>IFERROR(IF(X316="",0,CEILING((X316/$H316),1)*$H316),"")</f>
        <v>3.6</v>
      </c>
      <c r="Z316" s="41">
        <f>IFERROR(IF(Y316=0,"",ROUNDUP(Y316/H316,0)*0.0059),"")</f>
        <v>1.18E-2</v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3.95</v>
      </c>
      <c r="BN316" s="78">
        <f>IFERROR(Y316*I316/H316,"0")</f>
        <v>3.95</v>
      </c>
      <c r="BO316" s="78">
        <f>IFERROR(1/J316*(X316/H316),"0")</f>
        <v>9.2592592592592587E-3</v>
      </c>
      <c r="BP316" s="78">
        <f>IFERROR(1/J316*(Y316/H316),"0")</f>
        <v>9.2592592592592587E-3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2</v>
      </c>
      <c r="Y318" s="43">
        <f>IFERROR(Y315/H315,"0")+IFERROR(Y316/H316,"0")+IFERROR(Y317/H317,"0")</f>
        <v>2</v>
      </c>
      <c r="Z318" s="43">
        <f>IFERROR(IF(Z315="",0,Z315),"0")+IFERROR(IF(Z316="",0,Z316),"0")+IFERROR(IF(Z317="",0,Z317),"0")</f>
        <v>1.18E-2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3.6</v>
      </c>
      <c r="Y319" s="43">
        <f>IFERROR(SUM(Y315:Y317),"0")</f>
        <v>3.6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24</v>
      </c>
      <c r="Y333" s="55">
        <f>IFERROR(IF(X333="",0,CEILING((X333/$H333),1)*$H333),"")</f>
        <v>24</v>
      </c>
      <c r="Z333" s="41">
        <f>IFERROR(IF(Y333=0,"",ROUNDUP(Y333/H333,0)*0.00651),"")</f>
        <v>6.5100000000000005E-2</v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25.8</v>
      </c>
      <c r="BN333" s="78">
        <f>IFERROR(Y333*I333/H333,"0")</f>
        <v>25.8</v>
      </c>
      <c r="BO333" s="78">
        <f>IFERROR(1/J333*(X333/H333),"0")</f>
        <v>5.4945054945054951E-2</v>
      </c>
      <c r="BP333" s="78">
        <f>IFERROR(1/J333*(Y333/H333),"0")</f>
        <v>5.4945054945054951E-2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10</v>
      </c>
      <c r="Y334" s="43">
        <f>IFERROR(Y331/H331,"0")+IFERROR(Y332/H332,"0")+IFERROR(Y333/H333,"0")</f>
        <v>10</v>
      </c>
      <c r="Z334" s="43">
        <f>IFERROR(IF(Z331="",0,Z331),"0")+IFERROR(IF(Z332="",0,Z332),"0")+IFERROR(IF(Z333="",0,Z333),"0")</f>
        <v>6.5100000000000005E-2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24</v>
      </c>
      <c r="Y335" s="43">
        <f>IFERROR(SUM(Y331:Y333),"0")</f>
        <v>24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30</v>
      </c>
      <c r="Y352" s="55">
        <f>IFERROR(IF(X352="",0,CEILING((X352/$H352),1)*$H352),"")</f>
        <v>31.2</v>
      </c>
      <c r="Z352" s="41">
        <f>IFERROR(IF(Y352=0,"",ROUNDUP(Y352/H352,0)*0.01898),"")</f>
        <v>7.5920000000000001E-2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31.57692307692308</v>
      </c>
      <c r="BN352" s="78">
        <f>IFERROR(Y352*I352/H352,"0")</f>
        <v>32.840000000000003</v>
      </c>
      <c r="BO352" s="78">
        <f>IFERROR(1/J352*(X352/H352),"0")</f>
        <v>6.0096153846153848E-2</v>
      </c>
      <c r="BP352" s="78">
        <f>IFERROR(1/J352*(Y352/H352),"0")</f>
        <v>6.25E-2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3.8461538461538463</v>
      </c>
      <c r="Y355" s="43">
        <f>IFERROR(Y352/H352,"0")+IFERROR(Y353/H353,"0")+IFERROR(Y354/H354,"0")</f>
        <v>4</v>
      </c>
      <c r="Z355" s="43">
        <f>IFERROR(IF(Z352="",0,Z352),"0")+IFERROR(IF(Z353="",0,Z353),"0")+IFERROR(IF(Z354="",0,Z354),"0")</f>
        <v>7.5920000000000001E-2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30</v>
      </c>
      <c r="Y356" s="43">
        <f>IFERROR(SUM(Y352:Y354),"0")</f>
        <v>31.2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60</v>
      </c>
      <c r="Y369" s="55">
        <f t="shared" si="59"/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63.571428571428569</v>
      </c>
      <c r="BN369" s="78">
        <f t="shared" si="61"/>
        <v>66.75</v>
      </c>
      <c r="BO369" s="78">
        <f t="shared" si="62"/>
        <v>0.10822510822510822</v>
      </c>
      <c r="BP369" s="78">
        <f t="shared" si="63"/>
        <v>0.11363636363636365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12</v>
      </c>
      <c r="Y374" s="55">
        <f t="shared" si="59"/>
        <v>12.6</v>
      </c>
      <c r="Z374" s="41">
        <f>IFERROR(IF(Y374=0,"",ROUNDUP(Y374/H374,0)*0.00651),"")</f>
        <v>4.5569999999999999E-2</v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13.52</v>
      </c>
      <c r="BN374" s="78">
        <f t="shared" si="61"/>
        <v>14.196</v>
      </c>
      <c r="BO374" s="78">
        <f t="shared" si="62"/>
        <v>3.6630036630036632E-2</v>
      </c>
      <c r="BP374" s="78">
        <f t="shared" si="63"/>
        <v>3.8461538461538464E-2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20.952380952380949</v>
      </c>
      <c r="Y375" s="43">
        <f>IFERROR(Y368/H368,"0")+IFERROR(Y369/H369,"0")+IFERROR(Y370/H370,"0")+IFERROR(Y371/H371,"0")+IFERROR(Y372/H372,"0")+IFERROR(Y373/H373,"0")+IFERROR(Y374/H374,"0")</f>
        <v>22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0.18087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72</v>
      </c>
      <c r="Y376" s="43">
        <f>IFERROR(SUM(Y368:Y374),"0")</f>
        <v>75.599999999999994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50</v>
      </c>
      <c r="Y381" s="55">
        <f>IFERROR(IF(X381="",0,CEILING((X381/$H381),1)*$H381),"")</f>
        <v>51</v>
      </c>
      <c r="Z381" s="41">
        <f>IFERROR(IF(Y381=0,"",ROUNDUP(Y381/H381,0)*0.00651),"")</f>
        <v>0.11067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54.1</v>
      </c>
      <c r="BN381" s="78">
        <f>IFERROR(Y381*I381/H381,"0")</f>
        <v>55.181999999999995</v>
      </c>
      <c r="BO381" s="78">
        <f>IFERROR(1/J381*(X381/H381),"0")</f>
        <v>9.1575091575091583E-2</v>
      </c>
      <c r="BP381" s="78">
        <f>IFERROR(1/J381*(Y381/H381),"0")</f>
        <v>9.3406593406593408E-2</v>
      </c>
    </row>
    <row r="382" spans="1:68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16.666666666666668</v>
      </c>
      <c r="Y382" s="43">
        <f>IFERROR(Y378/H378,"0")+IFERROR(Y379/H379,"0")+IFERROR(Y380/H380,"0")+IFERROR(Y381/H381,"0")</f>
        <v>17</v>
      </c>
      <c r="Z382" s="43">
        <f>IFERROR(IF(Z378="",0,Z378),"0")+IFERROR(IF(Z379="",0,Z379),"0")+IFERROR(IF(Z380="",0,Z380),"0")+IFERROR(IF(Z381="",0,Z381),"0")</f>
        <v>0.11067</v>
      </c>
      <c r="AA382" s="67"/>
      <c r="AB382" s="67"/>
      <c r="AC382" s="67"/>
    </row>
    <row r="383" spans="1:68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50</v>
      </c>
      <c r="Y383" s="43">
        <f>IFERROR(SUM(Y378:Y381),"0")</f>
        <v>51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100</v>
      </c>
      <c r="Y386" s="55">
        <f>IFERROR(IF(X386="",0,CEILING((X386/$H386),1)*$H386),"")</f>
        <v>101.39999999999999</v>
      </c>
      <c r="Z386" s="41">
        <f>IFERROR(IF(Y386=0,"",ROUNDUP(Y386/H386,0)*0.01898),"")</f>
        <v>0.24674000000000001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106.33333333333334</v>
      </c>
      <c r="BN386" s="78">
        <f>IFERROR(Y386*I386/H386,"0")</f>
        <v>107.82199999999999</v>
      </c>
      <c r="BO386" s="78">
        <f>IFERROR(1/J386*(X386/H386),"0")</f>
        <v>0.20032051282051283</v>
      </c>
      <c r="BP386" s="78">
        <f>IFERROR(1/J386*(Y386/H386),"0")</f>
        <v>0.203125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12.820512820512821</v>
      </c>
      <c r="Y388" s="43">
        <f>IFERROR(Y385/H385,"0")+IFERROR(Y386/H386,"0")+IFERROR(Y387/H387,"0")</f>
        <v>13</v>
      </c>
      <c r="Z388" s="43">
        <f>IFERROR(IF(Z385="",0,Z385),"0")+IFERROR(IF(Z386="",0,Z386),"0")+IFERROR(IF(Z387="",0,Z387),"0")</f>
        <v>0.24674000000000001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100</v>
      </c>
      <c r="Y389" s="43">
        <f>IFERROR(SUM(Y385:Y387),"0")</f>
        <v>101.39999999999999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140</v>
      </c>
      <c r="Y418" s="55">
        <f>IFERROR(IF(X418="",0,CEILING((X418/$H418),1)*$H418),"")</f>
        <v>140.70000000000002</v>
      </c>
      <c r="Z418" s="41">
        <f>IFERROR(IF(Y418=0,"",ROUNDUP(Y418/H418,0)*0.00651),"")</f>
        <v>0.43617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156.79999999999998</v>
      </c>
      <c r="BN418" s="78">
        <f>IFERROR(Y418*I418/H418,"0")</f>
        <v>157.584</v>
      </c>
      <c r="BO418" s="78">
        <f>IFERROR(1/J418*(X418/H418),"0")</f>
        <v>0.36630036630036628</v>
      </c>
      <c r="BP418" s="78">
        <f>IFERROR(1/J418*(Y418/H418),"0")</f>
        <v>0.36813186813186816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70</v>
      </c>
      <c r="Y419" s="55">
        <f>IFERROR(IF(X419="",0,CEILING((X419/$H419),1)*$H419),"")</f>
        <v>71.400000000000006</v>
      </c>
      <c r="Z419" s="41">
        <f>IFERROR(IF(Y419=0,"",ROUNDUP(Y419/H419,0)*0.00651),"")</f>
        <v>0.22134000000000001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77.999999999999986</v>
      </c>
      <c r="BN419" s="78">
        <f>IFERROR(Y419*I419/H419,"0")</f>
        <v>79.559999999999988</v>
      </c>
      <c r="BO419" s="78">
        <f>IFERROR(1/J419*(X419/H419),"0")</f>
        <v>0.18315018315018314</v>
      </c>
      <c r="BP419" s="78">
        <f>IFERROR(1/J419*(Y419/H419),"0")</f>
        <v>0.18681318681318682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99.999999999999986</v>
      </c>
      <c r="Y420" s="43">
        <f>IFERROR(Y417/H417,"0")+IFERROR(Y418/H418,"0")+IFERROR(Y419/H419,"0")</f>
        <v>101</v>
      </c>
      <c r="Z420" s="43">
        <f>IFERROR(IF(Z417="",0,Z417),"0")+IFERROR(IF(Z418="",0,Z418),"0")+IFERROR(IF(Z419="",0,Z419),"0")</f>
        <v>0.65751000000000004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210</v>
      </c>
      <c r="Y421" s="43">
        <f>IFERROR(SUM(Y417:Y419),"0")</f>
        <v>212.10000000000002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700</v>
      </c>
      <c r="Y426" s="55">
        <f t="shared" si="64"/>
        <v>705</v>
      </c>
      <c r="Z426" s="41">
        <f>IFERROR(IF(Y426=0,"",ROUNDUP(Y426/H426,0)*0.02175),"")</f>
        <v>1.0222499999999999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721.93333333333328</v>
      </c>
      <c r="BN426" s="78">
        <f t="shared" si="66"/>
        <v>727.09</v>
      </c>
      <c r="BO426" s="78">
        <f t="shared" si="67"/>
        <v>0.9722222222222221</v>
      </c>
      <c r="BP426" s="78">
        <f t="shared" si="68"/>
        <v>0.97916666666666663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500</v>
      </c>
      <c r="Y427" s="55">
        <f t="shared" si="64"/>
        <v>510</v>
      </c>
      <c r="Z427" s="41">
        <f>IFERROR(IF(Y427=0,"",ROUNDUP(Y427/H427,0)*0.02175),"")</f>
        <v>0.73949999999999994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515.66666666666663</v>
      </c>
      <c r="BN427" s="78">
        <f t="shared" si="66"/>
        <v>525.98</v>
      </c>
      <c r="BO427" s="78">
        <f t="shared" si="67"/>
        <v>0.69444444444444442</v>
      </c>
      <c r="BP427" s="78">
        <f t="shared" si="68"/>
        <v>0.70833333333333326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64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1031.3333333333333</v>
      </c>
      <c r="BN428" s="78">
        <f t="shared" si="66"/>
        <v>1036.49</v>
      </c>
      <c r="BO428" s="78">
        <f t="shared" si="67"/>
        <v>1.3888888888888888</v>
      </c>
      <c r="BP428" s="78">
        <f t="shared" si="68"/>
        <v>1.3958333333333333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146.66666666666669</v>
      </c>
      <c r="Y433" s="43">
        <f>IFERROR(Y425/H425,"0")+IFERROR(Y426/H426,"0")+IFERROR(Y427/H427,"0")+IFERROR(Y428/H428,"0")+IFERROR(Y429/H429,"0")+IFERROR(Y430/H430,"0")+IFERROR(Y431/H431,"0")+IFERROR(Y432/H432,"0")</f>
        <v>148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3.2189999999999994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2200</v>
      </c>
      <c r="Y434" s="43">
        <f>IFERROR(SUM(Y425:Y432),"0")</f>
        <v>2220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700</v>
      </c>
      <c r="Y436" s="55">
        <f>IFERROR(IF(X436="",0,CEILING((X436/$H436),1)*$H436),"")</f>
        <v>705</v>
      </c>
      <c r="Z436" s="41">
        <f>IFERROR(IF(Y436=0,"",ROUNDUP(Y436/H436,0)*0.02175),"")</f>
        <v>1.0222499999999999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721.93333333333328</v>
      </c>
      <c r="BN436" s="78">
        <f>IFERROR(Y436*I436/H436,"0")</f>
        <v>727.09</v>
      </c>
      <c r="BO436" s="78">
        <f>IFERROR(1/J436*(X436/H436),"0")</f>
        <v>0.9722222222222221</v>
      </c>
      <c r="BP436" s="78">
        <f>IFERROR(1/J436*(Y436/H436),"0")</f>
        <v>0.97916666666666663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60</v>
      </c>
      <c r="Y437" s="55">
        <f>IFERROR(IF(X437="",0,CEILING((X437/$H437),1)*$H437),"")</f>
        <v>60</v>
      </c>
      <c r="Z437" s="41">
        <f>IFERROR(IF(Y437=0,"",ROUNDUP(Y437/H437,0)*0.02175),"")</f>
        <v>8.6999999999999994E-2</v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61.88</v>
      </c>
      <c r="BN437" s="78">
        <f>IFERROR(Y437*I437/H437,"0")</f>
        <v>61.88</v>
      </c>
      <c r="BO437" s="78">
        <f>IFERROR(1/J437*(X437/H437),"0")</f>
        <v>8.3333333333333329E-2</v>
      </c>
      <c r="BP437" s="78">
        <f>IFERROR(1/J437*(Y437/H437),"0")</f>
        <v>8.3333333333333329E-2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50.666666666666664</v>
      </c>
      <c r="Y439" s="43">
        <f>IFERROR(Y436/H436,"0")+IFERROR(Y437/H437,"0")+IFERROR(Y438/H438,"0")</f>
        <v>51</v>
      </c>
      <c r="Z439" s="43">
        <f>IFERROR(IF(Z436="",0,Z436),"0")+IFERROR(IF(Z437="",0,Z437),"0")+IFERROR(IF(Z438="",0,Z438),"0")</f>
        <v>1.1092499999999998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760</v>
      </c>
      <c r="Y440" s="43">
        <f>IFERROR(SUM(Y436:Y438),"0")</f>
        <v>765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150</v>
      </c>
      <c r="Y443" s="55">
        <f>IFERROR(IF(X443="",0,CEILING((X443/$H443),1)*$H443),"")</f>
        <v>153</v>
      </c>
      <c r="Z443" s="41">
        <f>IFERROR(IF(Y443=0,"",ROUNDUP(Y443/H443,0)*0.01898),"")</f>
        <v>0.32266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158.23333333333332</v>
      </c>
      <c r="BN443" s="78">
        <f>IFERROR(Y443*I443/H443,"0")</f>
        <v>161.398</v>
      </c>
      <c r="BO443" s="78">
        <f>IFERROR(1/J443*(X443/H443),"0")</f>
        <v>0.26041666666666669</v>
      </c>
      <c r="BP443" s="78">
        <f>IFERROR(1/J443*(Y443/H443),"0")</f>
        <v>0.265625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16.666666666666668</v>
      </c>
      <c r="Y445" s="43">
        <f>IFERROR(Y442/H442,"0")+IFERROR(Y443/H443,"0")+IFERROR(Y444/H444,"0")</f>
        <v>17</v>
      </c>
      <c r="Z445" s="43">
        <f>IFERROR(IF(Z442="",0,Z442),"0")+IFERROR(IF(Z443="",0,Z443),"0")+IFERROR(IF(Z444="",0,Z444),"0")</f>
        <v>0.32266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150</v>
      </c>
      <c r="Y446" s="43">
        <f>IFERROR(SUM(Y442:Y444),"0")</f>
        <v>153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60</v>
      </c>
      <c r="Y454" s="55">
        <f>IFERROR(IF(X454="",0,CEILING((X454/$H454),1)*$H454),"")</f>
        <v>60</v>
      </c>
      <c r="Z454" s="41">
        <f>IFERROR(IF(Y454=0,"",ROUNDUP(Y454/H454,0)*0.01898),"")</f>
        <v>9.4899999999999998E-2</v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62.050000000000004</v>
      </c>
      <c r="BN454" s="78">
        <f>IFERROR(Y454*I454/H454,"0")</f>
        <v>62.050000000000004</v>
      </c>
      <c r="BO454" s="78">
        <f>IFERROR(1/J454*(X454/H454),"0")</f>
        <v>7.8125E-2</v>
      </c>
      <c r="BP454" s="78">
        <f>IFERROR(1/J454*(Y454/H454),"0")</f>
        <v>7.8125E-2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5</v>
      </c>
      <c r="Y456" s="43">
        <f>IFERROR(Y454/H454,"0")+IFERROR(Y455/H455,"0")</f>
        <v>5</v>
      </c>
      <c r="Z456" s="43">
        <f>IFERROR(IF(Z454="",0,Z454),"0")+IFERROR(IF(Z455="",0,Z455),"0")</f>
        <v>9.4899999999999998E-2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60</v>
      </c>
      <c r="Y457" s="43">
        <f>IFERROR(SUM(Y454:Y455),"0")</f>
        <v>60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100</v>
      </c>
      <c r="Y463" s="55">
        <f>IFERROR(IF(X463="",0,CEILING((X463/$H463),1)*$H463),"")</f>
        <v>108</v>
      </c>
      <c r="Z463" s="41">
        <f>IFERROR(IF(Y463=0,"",ROUNDUP(Y463/H463,0)*0.01898),"")</f>
        <v>0.22776000000000002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105.48888888888888</v>
      </c>
      <c r="BN463" s="78">
        <f>IFERROR(Y463*I463/H463,"0")</f>
        <v>113.92799999999998</v>
      </c>
      <c r="BO463" s="78">
        <f>IFERROR(1/J463*(X463/H463),"0")</f>
        <v>0.1736111111111111</v>
      </c>
      <c r="BP463" s="78">
        <f>IFERROR(1/J463*(Y463/H463),"0")</f>
        <v>0.1875</v>
      </c>
    </row>
    <row r="464" spans="1:68" ht="27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20</v>
      </c>
      <c r="Y464" s="55">
        <f>IFERROR(IF(X464="",0,CEILING((X464/$H464),1)*$H464),"")</f>
        <v>21.599999999999998</v>
      </c>
      <c r="Z464" s="41">
        <f>IFERROR(IF(Y464=0,"",ROUNDUP(Y464/H464,0)*0.00651),"")</f>
        <v>5.8590000000000003E-2</v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22.200000000000003</v>
      </c>
      <c r="BN464" s="78">
        <f>IFERROR(Y464*I464/H464,"0")</f>
        <v>23.976000000000003</v>
      </c>
      <c r="BO464" s="78">
        <f>IFERROR(1/J464*(X464/H464),"0")</f>
        <v>4.5787545787545791E-2</v>
      </c>
      <c r="BP464" s="78">
        <f>IFERROR(1/J464*(Y464/H464),"0")</f>
        <v>4.9450549450549455E-2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19.444444444444443</v>
      </c>
      <c r="Y466" s="43">
        <f>IFERROR(Y463/H463,"0")+IFERROR(Y464/H464,"0")+IFERROR(Y465/H465,"0")</f>
        <v>21</v>
      </c>
      <c r="Z466" s="43">
        <f>IFERROR(IF(Z463="",0,Z463),"0")+IFERROR(IF(Z464="",0,Z464),"0")+IFERROR(IF(Z465="",0,Z465),"0")</f>
        <v>0.28634999999999999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120</v>
      </c>
      <c r="Y467" s="43">
        <f>IFERROR(SUM(Y463:Y465),"0")</f>
        <v>129.6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60</v>
      </c>
      <c r="Y471" s="55">
        <f t="shared" ref="Y471:Y476" si="69">IFERROR(IF(X471="",0,CEILING((X471/$H471),1)*$H471),"")</f>
        <v>64.800000000000011</v>
      </c>
      <c r="Z471" s="41">
        <f>IFERROR(IF(Y471=0,"",ROUNDUP(Y471/H471,0)*0.00902),"")</f>
        <v>0.10824</v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62.1111111111111</v>
      </c>
      <c r="BN471" s="78">
        <f t="shared" ref="BN471:BN476" si="71">IFERROR(Y471*I471/H471,"0")</f>
        <v>67.08</v>
      </c>
      <c r="BO471" s="78">
        <f t="shared" ref="BO471:BO476" si="72">IFERROR(1/J471*(X471/H471),"0")</f>
        <v>8.4175084175084181E-2</v>
      </c>
      <c r="BP471" s="78">
        <f t="shared" ref="BP471:BP476" si="73">IFERROR(1/J471*(Y471/H471),"0")</f>
        <v>9.0909090909090925E-2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10.5</v>
      </c>
      <c r="Y476" s="55">
        <f t="shared" si="69"/>
        <v>10.5</v>
      </c>
      <c r="Z476" s="41">
        <f>IFERROR(IF(Y476=0,"",ROUNDUP(Y476/H476,0)*0.00502),"")</f>
        <v>2.5100000000000001E-2</v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11.149999999999999</v>
      </c>
      <c r="BN476" s="78">
        <f t="shared" si="71"/>
        <v>11.149999999999999</v>
      </c>
      <c r="BO476" s="78">
        <f t="shared" si="72"/>
        <v>2.1367521367521368E-2</v>
      </c>
      <c r="BP476" s="78">
        <f t="shared" si="73"/>
        <v>2.1367521367521368E-2</v>
      </c>
    </row>
    <row r="477" spans="1:68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16.111111111111111</v>
      </c>
      <c r="Y477" s="43">
        <f>IFERROR(Y471/H471,"0")+IFERROR(Y472/H472,"0")+IFERROR(Y473/H473,"0")+IFERROR(Y474/H474,"0")+IFERROR(Y475/H475,"0")+IFERROR(Y476/H476,"0")</f>
        <v>17</v>
      </c>
      <c r="Z477" s="43">
        <f>IFERROR(IF(Z471="",0,Z471),"0")+IFERROR(IF(Z472="",0,Z472),"0")+IFERROR(IF(Z473="",0,Z473),"0")+IFERROR(IF(Z474="",0,Z474),"0")+IFERROR(IF(Z475="",0,Z475),"0")+IFERROR(IF(Z476="",0,Z476),"0")</f>
        <v>0.13334000000000001</v>
      </c>
      <c r="AA477" s="67"/>
      <c r="AB477" s="67"/>
      <c r="AC477" s="67"/>
    </row>
    <row r="478" spans="1:68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70.5</v>
      </c>
      <c r="Y478" s="43">
        <f>IFERROR(SUM(Y471:Y476),"0")</f>
        <v>75.300000000000011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18</v>
      </c>
      <c r="Y490" s="55">
        <f>IFERROR(IF(X490="",0,CEILING((X490/$H490),1)*$H490),"")</f>
        <v>21.6</v>
      </c>
      <c r="Z490" s="41">
        <f>IFERROR(IF(Y490=0,"",ROUNDUP(Y490/H490,0)*0.00902),"")</f>
        <v>3.6080000000000001E-2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18.633333333333333</v>
      </c>
      <c r="BN490" s="78">
        <f>IFERROR(Y490*I490/H490,"0")</f>
        <v>22.36</v>
      </c>
      <c r="BO490" s="78">
        <f>IFERROR(1/J490*(X490/H490),"0")</f>
        <v>2.5252525252525252E-2</v>
      </c>
      <c r="BP490" s="78">
        <f>IFERROR(1/J490*(Y490/H490),"0")</f>
        <v>3.0303030303030304E-2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28</v>
      </c>
      <c r="Y492" s="55">
        <f>IFERROR(IF(X492="",0,CEILING((X492/$H492),1)*$H492),"")</f>
        <v>29.400000000000002</v>
      </c>
      <c r="Z492" s="41">
        <f>IFERROR(IF(Y492=0,"",ROUNDUP(Y492/H492,0)*0.00502),"")</f>
        <v>7.0280000000000009E-2</v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29.733333333333331</v>
      </c>
      <c r="BN492" s="78">
        <f>IFERROR(Y492*I492/H492,"0")</f>
        <v>31.22</v>
      </c>
      <c r="BO492" s="78">
        <f>IFERROR(1/J492*(X492/H492),"0")</f>
        <v>5.6980056980056981E-2</v>
      </c>
      <c r="BP492" s="78">
        <f>IFERROR(1/J492*(Y492/H492),"0")</f>
        <v>5.9829059829059839E-2</v>
      </c>
    </row>
    <row r="493" spans="1:68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16.666666666666664</v>
      </c>
      <c r="Y493" s="43">
        <f>IFERROR(Y490/H490,"0")+IFERROR(Y491/H491,"0")+IFERROR(Y492/H492,"0")</f>
        <v>18</v>
      </c>
      <c r="Z493" s="43">
        <f>IFERROR(IF(Z490="",0,Z490),"0")+IFERROR(IF(Z491="",0,Z491),"0")+IFERROR(IF(Z492="",0,Z492),"0")</f>
        <v>0.10636000000000001</v>
      </c>
      <c r="AA493" s="67"/>
      <c r="AB493" s="67"/>
      <c r="AC493" s="67"/>
    </row>
    <row r="494" spans="1:68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46</v>
      </c>
      <c r="Y494" s="43">
        <f>IFERROR(SUM(Y490:Y492),"0")</f>
        <v>51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150</v>
      </c>
      <c r="Y498" s="55">
        <f t="shared" ref="Y498:Y506" si="74">IFERROR(IF(X498="",0,CEILING((X498/$H498),1)*$H498),"")</f>
        <v>153.12</v>
      </c>
      <c r="Z498" s="41">
        <f t="shared" ref="Z498:Z503" si="75">IFERROR(IF(Y498=0,"",ROUNDUP(Y498/H498,0)*0.01196),"")</f>
        <v>0.34683999999999998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159.94318181818181</v>
      </c>
      <c r="BN498" s="78">
        <f t="shared" ref="BN498:BN506" si="77">IFERROR(Y498*I498/H498,"0")</f>
        <v>163.26999999999998</v>
      </c>
      <c r="BO498" s="78">
        <f t="shared" ref="BO498:BO506" si="78">IFERROR(1/J498*(X498/H498),"0")</f>
        <v>0.27316433566433568</v>
      </c>
      <c r="BP498" s="78">
        <f t="shared" ref="BP498:BP506" si="79">IFERROR(1/J498*(Y498/H498),"0")</f>
        <v>0.27884615384615385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250</v>
      </c>
      <c r="Y501" s="55">
        <f t="shared" si="74"/>
        <v>253.44</v>
      </c>
      <c r="Z501" s="41">
        <f t="shared" si="75"/>
        <v>0.57408000000000003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266.57196969696969</v>
      </c>
      <c r="BN501" s="78">
        <f t="shared" si="77"/>
        <v>270.23999999999995</v>
      </c>
      <c r="BO501" s="78">
        <f t="shared" si="78"/>
        <v>0.45527389277389274</v>
      </c>
      <c r="BP501" s="78">
        <f t="shared" si="79"/>
        <v>0.46153846153846156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150</v>
      </c>
      <c r="Y503" s="55">
        <f t="shared" si="74"/>
        <v>153.12</v>
      </c>
      <c r="Z503" s="41">
        <f t="shared" si="75"/>
        <v>0.34683999999999998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159.94318181818181</v>
      </c>
      <c r="BN503" s="78">
        <f t="shared" si="77"/>
        <v>163.26999999999998</v>
      </c>
      <c r="BO503" s="78">
        <f t="shared" si="78"/>
        <v>0.27316433566433568</v>
      </c>
      <c r="BP503" s="78">
        <f t="shared" si="79"/>
        <v>0.27884615384615385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104.16666666666666</v>
      </c>
      <c r="Y507" s="43">
        <f>IFERROR(Y498/H498,"0")+IFERROR(Y499/H499,"0")+IFERROR(Y500/H500,"0")+IFERROR(Y501/H501,"0")+IFERROR(Y502/H502,"0")+IFERROR(Y503/H503,"0")+IFERROR(Y504/H504,"0")+IFERROR(Y505/H505,"0")+IFERROR(Y506/H506,"0")</f>
        <v>106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1.26776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550</v>
      </c>
      <c r="Y508" s="43">
        <f>IFERROR(SUM(Y498:Y506),"0")</f>
        <v>559.68000000000006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150</v>
      </c>
      <c r="Y510" s="55">
        <f>IFERROR(IF(X510="",0,CEILING((X510/$H510),1)*$H510),"")</f>
        <v>153.12</v>
      </c>
      <c r="Z510" s="41">
        <f>IFERROR(IF(Y510=0,"",ROUNDUP(Y510/H510,0)*0.01196),"")</f>
        <v>0.34683999999999998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159.94318181818181</v>
      </c>
      <c r="BN510" s="78">
        <f>IFERROR(Y510*I510/H510,"0")</f>
        <v>163.26999999999998</v>
      </c>
      <c r="BO510" s="78">
        <f>IFERROR(1/J510*(X510/H510),"0")</f>
        <v>0.27316433566433568</v>
      </c>
      <c r="BP510" s="78">
        <f>IFERROR(1/J510*(Y510/H510),"0")</f>
        <v>0.27884615384615385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28.409090909090907</v>
      </c>
      <c r="Y513" s="43">
        <f>IFERROR(Y510/H510,"0")+IFERROR(Y511/H511,"0")+IFERROR(Y512/H512,"0")</f>
        <v>29</v>
      </c>
      <c r="Z513" s="43">
        <f>IFERROR(IF(Z510="",0,Z510),"0")+IFERROR(IF(Z511="",0,Z511),"0")+IFERROR(IF(Z512="",0,Z512),"0")</f>
        <v>0.34683999999999998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150</v>
      </c>
      <c r="Y514" s="43">
        <f>IFERROR(SUM(Y510:Y512),"0")</f>
        <v>153.12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80</v>
      </c>
      <c r="Y516" s="55">
        <f t="shared" ref="Y516:Y522" si="80">IFERROR(IF(X516="",0,CEILING((X516/$H516),1)*$H516),"")</f>
        <v>84.48</v>
      </c>
      <c r="Z516" s="41">
        <f>IFERROR(IF(Y516=0,"",ROUNDUP(Y516/H516,0)*0.01196),"")</f>
        <v>0.19136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85.303030303030297</v>
      </c>
      <c r="BN516" s="78">
        <f t="shared" ref="BN516:BN522" si="82">IFERROR(Y516*I516/H516,"0")</f>
        <v>90.08</v>
      </c>
      <c r="BO516" s="78">
        <f t="shared" ref="BO516:BO522" si="83">IFERROR(1/J516*(X516/H516),"0")</f>
        <v>0.14568764568764569</v>
      </c>
      <c r="BP516" s="78">
        <f t="shared" ref="BP516:BP522" si="84">IFERROR(1/J516*(Y516/H516),"0")</f>
        <v>0.15384615384615385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60</v>
      </c>
      <c r="Y517" s="55">
        <f t="shared" si="80"/>
        <v>63.36</v>
      </c>
      <c r="Z517" s="41">
        <f>IFERROR(IF(Y517=0,"",ROUNDUP(Y517/H517,0)*0.01196),"")</f>
        <v>0.14352000000000001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63.977272727272727</v>
      </c>
      <c r="BN517" s="78">
        <f t="shared" si="82"/>
        <v>67.559999999999988</v>
      </c>
      <c r="BO517" s="78">
        <f t="shared" si="83"/>
        <v>0.10926573426573427</v>
      </c>
      <c r="BP517" s="78">
        <f t="shared" si="84"/>
        <v>0.11538461538461539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60</v>
      </c>
      <c r="Y518" s="55">
        <f t="shared" si="80"/>
        <v>63.36</v>
      </c>
      <c r="Z518" s="41">
        <f>IFERROR(IF(Y518=0,"",ROUNDUP(Y518/H518,0)*0.01196),"")</f>
        <v>0.14352000000000001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63.977272727272727</v>
      </c>
      <c r="BN518" s="78">
        <f t="shared" si="82"/>
        <v>67.559999999999988</v>
      </c>
      <c r="BO518" s="78">
        <f t="shared" si="83"/>
        <v>0.10926573426573427</v>
      </c>
      <c r="BP518" s="78">
        <f t="shared" si="84"/>
        <v>0.11538461538461539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37.878787878787875</v>
      </c>
      <c r="Y523" s="43">
        <f>IFERROR(Y516/H516,"0")+IFERROR(Y517/H517,"0")+IFERROR(Y518/H518,"0")+IFERROR(Y519/H519,"0")+IFERROR(Y520/H520,"0")+IFERROR(Y521/H521,"0")+IFERROR(Y522/H522,"0")</f>
        <v>40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0.47840000000000005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200</v>
      </c>
      <c r="Y524" s="43">
        <f>IFERROR(SUM(Y516:Y522),"0")</f>
        <v>211.2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30</v>
      </c>
      <c r="Y536" s="55">
        <f>IFERROR(IF(X536="",0,CEILING((X536/$H536),1)*$H536),"")</f>
        <v>33.6</v>
      </c>
      <c r="Z536" s="41">
        <f>IFERROR(IF(Y536=0,"",ROUNDUP(Y536/H536,0)*0.00902),"")</f>
        <v>7.2160000000000002E-2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31.785714285714285</v>
      </c>
      <c r="BN536" s="78">
        <f>IFERROR(Y536*I536/H536,"0")</f>
        <v>35.6</v>
      </c>
      <c r="BO536" s="78">
        <f>IFERROR(1/J536*(X536/H536),"0")</f>
        <v>5.4112554112554112E-2</v>
      </c>
      <c r="BP536" s="78">
        <f>IFERROR(1/J536*(Y536/H536),"0")</f>
        <v>6.0606060606060608E-2</v>
      </c>
    </row>
    <row r="537" spans="1:68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7.1428571428571423</v>
      </c>
      <c r="Y537" s="43">
        <f>IFERROR(Y536/H536,"0")</f>
        <v>8</v>
      </c>
      <c r="Z537" s="43">
        <f>IFERROR(IF(Z536="",0,Z536),"0")</f>
        <v>7.2160000000000002E-2</v>
      </c>
      <c r="AA537" s="67"/>
      <c r="AB537" s="67"/>
      <c r="AC537" s="67"/>
    </row>
    <row r="538" spans="1:68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30</v>
      </c>
      <c r="Y538" s="43">
        <f>IFERROR(SUM(Y536:Y536),"0")</f>
        <v>33.6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1500</v>
      </c>
      <c r="Y540" s="55">
        <f>IFERROR(IF(X540="",0,CEILING((X540/$H540),1)*$H540),"")</f>
        <v>1503</v>
      </c>
      <c r="Z540" s="41">
        <f>IFERROR(IF(Y540=0,"",ROUNDUP(Y540/H540,0)*0.01898),"")</f>
        <v>3.1696599999999999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1582.3333333333333</v>
      </c>
      <c r="BN540" s="78">
        <f>IFERROR(Y540*I540/H540,"0")</f>
        <v>1585.498</v>
      </c>
      <c r="BO540" s="78">
        <f>IFERROR(1/J540*(X540/H540),"0")</f>
        <v>2.6041666666666665</v>
      </c>
      <c r="BP540" s="78">
        <f>IFERROR(1/J540*(Y540/H540),"0")</f>
        <v>2.609375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166.66666666666666</v>
      </c>
      <c r="Y541" s="43">
        <f>IFERROR(Y540/H540,"0")</f>
        <v>167</v>
      </c>
      <c r="Z541" s="43">
        <f>IFERROR(IF(Z540="",0,Z540),"0")</f>
        <v>3.1696599999999999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1500</v>
      </c>
      <c r="Y542" s="43">
        <f>IFERROR(SUM(Y540:Y540),"0")</f>
        <v>1503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8409.4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8545.6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8826.0365552497751</v>
      </c>
      <c r="Y554" s="43">
        <f>IFERROR(SUM(BN22:BN550),"0")</f>
        <v>8969.4439999999995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14</v>
      </c>
      <c r="Y555" s="44">
        <f>ROUNDUP(SUM(BP22:BP550),0)</f>
        <v>15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9176.0365552497751</v>
      </c>
      <c r="Y556" s="43">
        <f>GrossWeightTotalR+PalletQtyTotalR*25</f>
        <v>9344.4439999999995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1254.0928109778683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1276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16.501900000000003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106.4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54.900000000000006</v>
      </c>
      <c r="F563" s="52">
        <f>IFERROR(Y83*1,"0")+IFERROR(Y84*1,"0")+IFERROR(Y85*1,"0")+IFERROR(Y86*1,"0")+IFERROR(Y90*1,"0")+IFERROR(Y91*1,"0")+IFERROR(Y92*1,"0")+IFERROR(Y93*1,"0")</f>
        <v>392.4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497.1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52.5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45.800000000000004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979.5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7.2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24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31.2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228</v>
      </c>
      <c r="U563" s="52">
        <f>IFERROR(Y411*1,"0")+IFERROR(Y412*1,"0")</f>
        <v>0</v>
      </c>
      <c r="V563" s="52">
        <f>IFERROR(Y417*1,"0")+IFERROR(Y418*1,"0")+IFERROR(Y419*1,"0")</f>
        <v>212.10000000000002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3138</v>
      </c>
      <c r="X563" s="52">
        <f>IFERROR(Y454*1,"0")+IFERROR(Y455*1,"0")+IFERROR(Y459*1,"0")+IFERROR(Y463*1,"0")+IFERROR(Y464*1,"0")+IFERROR(Y465*1,"0")</f>
        <v>189.6</v>
      </c>
      <c r="Y563" s="52">
        <f>IFERROR(Y471*1,"0")+IFERROR(Y472*1,"0")+IFERROR(Y473*1,"0")+IFERROR(Y474*1,"0")+IFERROR(Y475*1,"0")+IFERROR(Y476*1,"0")+IFERROR(Y480*1,"0")+IFERROR(Y481*1,"0")</f>
        <v>75.300000000000011</v>
      </c>
      <c r="Z563" s="52">
        <f>IFERROR(Y486*1,"0")+IFERROR(Y490*1,"0")+IFERROR(Y491*1,"0")+IFERROR(Y492*1,"0")</f>
        <v>51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924.00000000000011</v>
      </c>
      <c r="AB563" s="52">
        <f>IFERROR(Y528*1,"0")+IFERROR(Y532*1,"0")+IFERROR(Y536*1,"0")+IFERROR(Y540*1,"0")+IFERROR(Y544*1,"0")+IFERROR(Y545*1,"0")</f>
        <v>1536.6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54,09"/>
        <filter val="1 500,00"/>
        <filter val="10,00"/>
        <filter val="10,50"/>
        <filter val="100,00"/>
        <filter val="104,17"/>
        <filter val="12,00"/>
        <filter val="12,41"/>
        <filter val="12,82"/>
        <filter val="120,00"/>
        <filter val="125,00"/>
        <filter val="136,00"/>
        <filter val="14"/>
        <filter val="140,00"/>
        <filter val="146,67"/>
        <filter val="15,00"/>
        <filter val="150,00"/>
        <filter val="16,11"/>
        <filter val="16,14"/>
        <filter val="16,67"/>
        <filter val="164,00"/>
        <filter val="166,67"/>
        <filter val="17,26"/>
        <filter val="17,41"/>
        <filter val="18,00"/>
        <filter val="19,44"/>
        <filter val="2 200,00"/>
        <filter val="2,00"/>
        <filter val="20,00"/>
        <filter val="20,95"/>
        <filter val="200,00"/>
        <filter val="21,00"/>
        <filter val="210,00"/>
        <filter val="211,11"/>
        <filter val="24,00"/>
        <filter val="245,00"/>
        <filter val="250,00"/>
        <filter val="28,00"/>
        <filter val="28,41"/>
        <filter val="3,20"/>
        <filter val="3,60"/>
        <filter val="3,85"/>
        <filter val="30,00"/>
        <filter val="300,00"/>
        <filter val="345,00"/>
        <filter val="36,00"/>
        <filter val="37,88"/>
        <filter val="40,00"/>
        <filter val="41,36"/>
        <filter val="42,20"/>
        <filter val="45,00"/>
        <filter val="46,00"/>
        <filter val="5,00"/>
        <filter val="50,00"/>
        <filter val="50,67"/>
        <filter val="500,00"/>
        <filter val="52,50"/>
        <filter val="53,70"/>
        <filter val="550,00"/>
        <filter val="56,26"/>
        <filter val="6,67"/>
        <filter val="60,00"/>
        <filter val="7,14"/>
        <filter val="70,00"/>
        <filter val="70,50"/>
        <filter val="700,00"/>
        <filter val="72,00"/>
        <filter val="760,00"/>
        <filter val="780,00"/>
        <filter val="8 409,40"/>
        <filter val="8 826,04"/>
        <filter val="8,00"/>
        <filter val="80,00"/>
        <filter val="9 176,04"/>
        <filter val="9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