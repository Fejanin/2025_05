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EDF3678-2FFA-482B-9FA0-C596D4D5ABA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P345" i="2"/>
  <c r="BO345" i="2"/>
  <c r="BM345" i="2"/>
  <c r="Y345" i="2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P262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Y241" i="2" s="1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G570" i="2" s="1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N95" i="2"/>
  <c r="BM95" i="2"/>
  <c r="Z95" i="2"/>
  <c r="Y95" i="2"/>
  <c r="BP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N64" i="2"/>
  <c r="BM64" i="2"/>
  <c r="Z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Z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560" i="2" s="1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31" i="2" l="1"/>
  <c r="Z59" i="2"/>
  <c r="BN59" i="2"/>
  <c r="Z291" i="2"/>
  <c r="BN291" i="2"/>
  <c r="Y315" i="2"/>
  <c r="Y341" i="2"/>
  <c r="Z379" i="2"/>
  <c r="Z551" i="2"/>
  <c r="BN23" i="2"/>
  <c r="BP27" i="2"/>
  <c r="Z37" i="2"/>
  <c r="BP39" i="2"/>
  <c r="BN40" i="2"/>
  <c r="Z48" i="2"/>
  <c r="Z49" i="2"/>
  <c r="BN49" i="2"/>
  <c r="Z56" i="2"/>
  <c r="BP58" i="2"/>
  <c r="Z67" i="2"/>
  <c r="BN77" i="2"/>
  <c r="BP98" i="2"/>
  <c r="BP114" i="2"/>
  <c r="BN115" i="2"/>
  <c r="BN125" i="2"/>
  <c r="BN128" i="2"/>
  <c r="BN133" i="2"/>
  <c r="Y135" i="2"/>
  <c r="BP139" i="2"/>
  <c r="BN143" i="2"/>
  <c r="BN157" i="2"/>
  <c r="BN181" i="2"/>
  <c r="Z183" i="2"/>
  <c r="Z184" i="2"/>
  <c r="BN184" i="2"/>
  <c r="BN229" i="2"/>
  <c r="BN238" i="2"/>
  <c r="BN246" i="2"/>
  <c r="BN252" i="2"/>
  <c r="Y280" i="2"/>
  <c r="BN289" i="2"/>
  <c r="BN293" i="2"/>
  <c r="BN306" i="2"/>
  <c r="BN322" i="2"/>
  <c r="BN331" i="2"/>
  <c r="BN367" i="2"/>
  <c r="BN375" i="2"/>
  <c r="BN392" i="2"/>
  <c r="Y396" i="2"/>
  <c r="BN401" i="2"/>
  <c r="BN411" i="2"/>
  <c r="BN425" i="2"/>
  <c r="BN437" i="2"/>
  <c r="BN461" i="2"/>
  <c r="BN480" i="2"/>
  <c r="BN513" i="2"/>
  <c r="BP523" i="2"/>
  <c r="BN525" i="2"/>
  <c r="BN30" i="2"/>
  <c r="BP37" i="2"/>
  <c r="BP48" i="2"/>
  <c r="BN60" i="2"/>
  <c r="Y81" i="2"/>
  <c r="BN80" i="2"/>
  <c r="BP85" i="2"/>
  <c r="BN86" i="2"/>
  <c r="BN93" i="2"/>
  <c r="Z106" i="2"/>
  <c r="BN106" i="2"/>
  <c r="BN107" i="2"/>
  <c r="BN116" i="2"/>
  <c r="Z126" i="2"/>
  <c r="Z139" i="2"/>
  <c r="Z169" i="2"/>
  <c r="BN169" i="2"/>
  <c r="BN187" i="2"/>
  <c r="Z195" i="2"/>
  <c r="BN195" i="2"/>
  <c r="Y198" i="2"/>
  <c r="BN211" i="2"/>
  <c r="Z215" i="2"/>
  <c r="BN232" i="2"/>
  <c r="Z236" i="2"/>
  <c r="BN236" i="2"/>
  <c r="BN244" i="2"/>
  <c r="BN257" i="2"/>
  <c r="BN263" i="2"/>
  <c r="Z272" i="2"/>
  <c r="BN272" i="2"/>
  <c r="BP275" i="2"/>
  <c r="BN277" i="2"/>
  <c r="Z279" i="2"/>
  <c r="BN279" i="2"/>
  <c r="Z283" i="2"/>
  <c r="BN283" i="2"/>
  <c r="BN285" i="2"/>
  <c r="Y300" i="2"/>
  <c r="BN314" i="2"/>
  <c r="BP324" i="2"/>
  <c r="BN347" i="2"/>
  <c r="Z349" i="2"/>
  <c r="BN349" i="2"/>
  <c r="BN360" i="2"/>
  <c r="BN371" i="2"/>
  <c r="BP385" i="2"/>
  <c r="BN387" i="2"/>
  <c r="BN393" i="2"/>
  <c r="BN426" i="2"/>
  <c r="BN438" i="2"/>
  <c r="BP450" i="2"/>
  <c r="BN456" i="2"/>
  <c r="BN462" i="2"/>
  <c r="BN482" i="2"/>
  <c r="BN506" i="2"/>
  <c r="BP510" i="2"/>
  <c r="BN511" i="2"/>
  <c r="BN517" i="2"/>
  <c r="Z519" i="2"/>
  <c r="BN527" i="2"/>
  <c r="BP535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1" i="2" s="1"/>
  <c r="Z60" i="2"/>
  <c r="Y68" i="2"/>
  <c r="Z66" i="2"/>
  <c r="Z68" i="2" s="1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3" i="2" s="1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2" i="2" s="1"/>
  <c r="Z39" i="2"/>
  <c r="Z85" i="2"/>
  <c r="Z90" i="2" s="1"/>
  <c r="Y91" i="2"/>
  <c r="Z98" i="2"/>
  <c r="Z99" i="2" s="1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4" i="2" s="1"/>
  <c r="Z488" i="2"/>
  <c r="Z489" i="2" s="1"/>
  <c r="Z523" i="2"/>
  <c r="Z530" i="2" s="1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81" i="2" l="1"/>
  <c r="Z395" i="2"/>
  <c r="Z402" i="2"/>
  <c r="Z269" i="2"/>
  <c r="Z161" i="2"/>
  <c r="Z520" i="2"/>
  <c r="Z382" i="2"/>
  <c r="Z4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<sst xmlns="http://schemas.openxmlformats.org/spreadsheetml/2006/main" count="4310" uniqueCount="900">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</sst>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67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68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46265</v>
      </c>
      <c r="R5" s="661"/>
      <c r="T5" s="662" t="s">
        <v>3</v>
      </c>
      <c r="U5" s="663"/>
      <c r="V5" s="664" t="s">
        <v>880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881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Понедельник</v>
      </c>
      <c r="R6" s="667"/>
      <c r="T6" s="668" t="s">
        <v>5</v>
      </c>
      <c r="U6" s="669"/>
      <c r="V6" s="670" t="s">
        <v>70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58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0.58333333333333337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71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55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72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73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74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75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61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59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66</v>
      </c>
      <c r="L17" s="700" t="s">
        <v>64</v>
      </c>
      <c r="M17" s="700" t="s">
        <v>2</v>
      </c>
      <c r="N17" s="700" t="s">
        <v>63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56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60</v>
      </c>
      <c r="AB17" s="714" t="s">
        <v>19</v>
      </c>
      <c r="AC17" s="714" t="s">
        <v>65</v>
      </c>
      <c r="AD17" s="716" t="s">
        <v>57</v>
      </c>
      <c r="AE17" s="717"/>
      <c r="AF17" s="718"/>
      <c r="AG17" s="82"/>
      <c r="BD17" s="81" t="s">
        <v>62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76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76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77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86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104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86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120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121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122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137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122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155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86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173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182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122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8" t="s">
        <v>190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86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72" t="s">
        <v>199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197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202</v>
      </c>
      <c r="B97" s="63" t="s">
        <v>204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5" t="s">
        <v>205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209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122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213</v>
      </c>
      <c r="B106" s="63" t="s">
        <v>217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215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212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220</v>
      </c>
      <c r="B109" s="63" t="s">
        <v>222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3" t="s">
        <v>223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225</v>
      </c>
      <c r="B110" s="63" t="s">
        <v>226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155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227</v>
      </c>
      <c r="B114" s="63" t="s">
        <v>228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127</v>
      </c>
      <c r="L114" s="37" t="s">
        <v>46</v>
      </c>
      <c r="M114" s="38" t="s">
        <v>126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229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230</v>
      </c>
      <c r="B116" s="63" t="s">
        <v>234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233</v>
      </c>
      <c r="L116" s="37" t="s">
        <v>46</v>
      </c>
      <c r="M116" s="38" t="s">
        <v>81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235</v>
      </c>
      <c r="B117" s="63" t="s">
        <v>236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229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238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229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86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97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241</v>
      </c>
      <c r="AG122" s="78"/>
      <c r="AJ122" s="84" t="s">
        <v>46</v>
      </c>
      <c r="AK122" s="84">
        <v>0</v>
      </c>
      <c r="BB122" s="201" t="s">
        <v>67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239</v>
      </c>
      <c r="B123" s="63" t="s">
        <v>242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90</v>
      </c>
      <c r="N123" s="38"/>
      <c r="O123" s="37">
        <v>45</v>
      </c>
      <c r="P123" s="791" t="s">
        <v>243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241</v>
      </c>
      <c r="AG123" s="78"/>
      <c r="AJ123" s="84" t="s">
        <v>46</v>
      </c>
      <c r="AK123" s="84">
        <v>0</v>
      </c>
      <c r="BB123" s="203" t="s">
        <v>67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241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246</v>
      </c>
      <c r="B125" s="63" t="s">
        <v>247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241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246</v>
      </c>
      <c r="B126" s="63" t="s">
        <v>248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94" t="s">
        <v>249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241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250</v>
      </c>
      <c r="B127" s="63" t="s">
        <v>251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252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250</v>
      </c>
      <c r="B128" s="63" t="s">
        <v>253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796" t="s">
        <v>254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252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173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255</v>
      </c>
      <c r="B132" s="63" t="s">
        <v>256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91</v>
      </c>
      <c r="L132" s="37" t="s">
        <v>46</v>
      </c>
      <c r="M132" s="38" t="s">
        <v>90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257</v>
      </c>
      <c r="AG132" s="78"/>
      <c r="AJ132" s="84" t="s">
        <v>46</v>
      </c>
      <c r="AK132" s="84">
        <v>0</v>
      </c>
      <c r="BB132" s="215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255</v>
      </c>
      <c r="B133" s="63" t="s">
        <v>258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91</v>
      </c>
      <c r="L133" s="37" t="s">
        <v>46</v>
      </c>
      <c r="M133" s="38" t="s">
        <v>90</v>
      </c>
      <c r="N133" s="38"/>
      <c r="O133" s="37">
        <v>40</v>
      </c>
      <c r="P133" s="798" t="s">
        <v>259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257</v>
      </c>
      <c r="AG133" s="78"/>
      <c r="AJ133" s="84" t="s">
        <v>46</v>
      </c>
      <c r="AK133" s="84">
        <v>0</v>
      </c>
      <c r="BB133" s="217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260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122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261</v>
      </c>
      <c r="B138" s="63" t="s">
        <v>262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91</v>
      </c>
      <c r="L138" s="37" t="s">
        <v>46</v>
      </c>
      <c r="M138" s="38" t="s">
        <v>264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263</v>
      </c>
      <c r="AG138" s="78"/>
      <c r="AJ138" s="84" t="s">
        <v>46</v>
      </c>
      <c r="AK138" s="84">
        <v>0</v>
      </c>
      <c r="BB138" s="219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261</v>
      </c>
      <c r="B139" s="63" t="s">
        <v>265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91</v>
      </c>
      <c r="L139" s="37" t="s">
        <v>46</v>
      </c>
      <c r="M139" s="38" t="s">
        <v>264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263</v>
      </c>
      <c r="AG139" s="78"/>
      <c r="AJ139" s="84" t="s">
        <v>46</v>
      </c>
      <c r="AK139" s="84">
        <v>0</v>
      </c>
      <c r="BB139" s="221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77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266</v>
      </c>
      <c r="B143" s="63" t="s">
        <v>267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91</v>
      </c>
      <c r="L143" s="37" t="s">
        <v>46</v>
      </c>
      <c r="M143" s="38" t="s">
        <v>264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268</v>
      </c>
      <c r="AG143" s="78"/>
      <c r="AJ143" s="84" t="s">
        <v>46</v>
      </c>
      <c r="AK143" s="84">
        <v>0</v>
      </c>
      <c r="BB143" s="223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266</v>
      </c>
      <c r="B144" s="63" t="s">
        <v>269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91</v>
      </c>
      <c r="L144" s="37" t="s">
        <v>46</v>
      </c>
      <c r="M144" s="38" t="s">
        <v>264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268</v>
      </c>
      <c r="AG144" s="78"/>
      <c r="AJ144" s="84" t="s">
        <v>46</v>
      </c>
      <c r="AK144" s="84">
        <v>0</v>
      </c>
      <c r="BB144" s="225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86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270</v>
      </c>
      <c r="B148" s="63" t="s">
        <v>271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264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263</v>
      </c>
      <c r="AG148" s="78"/>
      <c r="AJ148" s="84" t="s">
        <v>46</v>
      </c>
      <c r="AK148" s="84">
        <v>0</v>
      </c>
      <c r="BB148" s="227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270</v>
      </c>
      <c r="B149" s="63" t="s">
        <v>272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264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263</v>
      </c>
      <c r="AG149" s="78"/>
      <c r="AJ149" s="84" t="s">
        <v>46</v>
      </c>
      <c r="AK149" s="84">
        <v>0</v>
      </c>
      <c r="BB149" s="229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273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86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274</v>
      </c>
      <c r="B154" s="63" t="s">
        <v>275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277</v>
      </c>
      <c r="B155" s="63" t="s">
        <v>278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279</v>
      </c>
      <c r="AG155" s="78"/>
      <c r="AJ155" s="84" t="s">
        <v>46</v>
      </c>
      <c r="AK155" s="84">
        <v>0</v>
      </c>
      <c r="BB155" s="233" t="s">
        <v>67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277</v>
      </c>
      <c r="B156" s="63" t="s">
        <v>280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279</v>
      </c>
      <c r="AG156" s="78"/>
      <c r="AJ156" s="84" t="s">
        <v>46</v>
      </c>
      <c r="AK156" s="84">
        <v>0</v>
      </c>
      <c r="BB156" s="235" t="s">
        <v>67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281</v>
      </c>
      <c r="B157" s="63" t="s">
        <v>282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283</v>
      </c>
      <c r="AG157" s="78"/>
      <c r="AJ157" s="84" t="s">
        <v>46</v>
      </c>
      <c r="AK157" s="84">
        <v>0</v>
      </c>
      <c r="BB157" s="237" t="s">
        <v>67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281</v>
      </c>
      <c r="B158" s="63" t="s">
        <v>284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283</v>
      </c>
      <c r="AG158" s="78"/>
      <c r="AJ158" s="84" t="s">
        <v>46</v>
      </c>
      <c r="AK158" s="84">
        <v>0</v>
      </c>
      <c r="BB158" s="239" t="s">
        <v>67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285</v>
      </c>
      <c r="B159" s="63" t="s">
        <v>286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287</v>
      </c>
      <c r="AG159" s="78"/>
      <c r="AJ159" s="84" t="s">
        <v>46</v>
      </c>
      <c r="AK159" s="84">
        <v>0</v>
      </c>
      <c r="BB159" s="241" t="s">
        <v>67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285</v>
      </c>
      <c r="B160" s="63" t="s">
        <v>288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287</v>
      </c>
      <c r="AG160" s="78"/>
      <c r="AJ160" s="84" t="s">
        <v>46</v>
      </c>
      <c r="AK160" s="84">
        <v>0</v>
      </c>
      <c r="BB160" s="243" t="s">
        <v>67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289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295</v>
      </c>
      <c r="L164" s="37" t="s">
        <v>46</v>
      </c>
      <c r="M164" s="38" t="s">
        <v>294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292</v>
      </c>
      <c r="AG164" s="78"/>
      <c r="AJ164" s="84" t="s">
        <v>46</v>
      </c>
      <c r="AK164" s="84">
        <v>0</v>
      </c>
      <c r="BB164" s="245" t="s">
        <v>293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120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122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296</v>
      </c>
      <c r="B169" s="63" t="s">
        <v>297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127</v>
      </c>
      <c r="L169" s="37" t="s">
        <v>46</v>
      </c>
      <c r="M169" s="38" t="s">
        <v>126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298</v>
      </c>
      <c r="AG169" s="78"/>
      <c r="AJ169" s="84" t="s">
        <v>46</v>
      </c>
      <c r="AK169" s="84">
        <v>0</v>
      </c>
      <c r="BB169" s="247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299</v>
      </c>
      <c r="B170" s="63" t="s">
        <v>300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134</v>
      </c>
      <c r="L170" s="37" t="s">
        <v>46</v>
      </c>
      <c r="M170" s="38" t="s">
        <v>126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301</v>
      </c>
      <c r="AG170" s="78"/>
      <c r="AJ170" s="84" t="s">
        <v>46</v>
      </c>
      <c r="AK170" s="84">
        <v>0</v>
      </c>
      <c r="BB170" s="24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91</v>
      </c>
      <c r="L171" s="37" t="s">
        <v>46</v>
      </c>
      <c r="M171" s="38" t="s">
        <v>90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304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155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305</v>
      </c>
      <c r="B175" s="63" t="s">
        <v>306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82</v>
      </c>
      <c r="L175" s="37" t="s">
        <v>46</v>
      </c>
      <c r="M175" s="38" t="s">
        <v>81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307</v>
      </c>
      <c r="AG175" s="78"/>
      <c r="AJ175" s="84" t="s">
        <v>46</v>
      </c>
      <c r="AK175" s="84">
        <v>0</v>
      </c>
      <c r="BB175" s="253" t="s">
        <v>67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308</v>
      </c>
      <c r="B176" s="63" t="s">
        <v>309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82</v>
      </c>
      <c r="L176" s="37" t="s">
        <v>46</v>
      </c>
      <c r="M176" s="38" t="s">
        <v>126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310</v>
      </c>
      <c r="AG176" s="78"/>
      <c r="AJ176" s="84" t="s">
        <v>46</v>
      </c>
      <c r="AK176" s="84">
        <v>0</v>
      </c>
      <c r="BB176" s="255" t="s">
        <v>67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77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311</v>
      </c>
      <c r="B180" s="63" t="s">
        <v>312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313</v>
      </c>
      <c r="AG180" s="78"/>
      <c r="AJ180" s="84" t="s">
        <v>46</v>
      </c>
      <c r="AK180" s="84">
        <v>0</v>
      </c>
      <c r="BB180" s="257" t="s">
        <v>67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314</v>
      </c>
      <c r="B181" s="63" t="s">
        <v>315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134</v>
      </c>
      <c r="L181" s="37" t="s">
        <v>46</v>
      </c>
      <c r="M181" s="38" t="s">
        <v>81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316</v>
      </c>
      <c r="AG181" s="78"/>
      <c r="AJ181" s="84" t="s">
        <v>46</v>
      </c>
      <c r="AK181" s="84">
        <v>0</v>
      </c>
      <c r="BB181" s="259" t="s">
        <v>67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319</v>
      </c>
      <c r="AG182" s="78"/>
      <c r="AJ182" s="84" t="s">
        <v>46</v>
      </c>
      <c r="AK182" s="84">
        <v>0</v>
      </c>
      <c r="BB182" s="261" t="s">
        <v>67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322</v>
      </c>
      <c r="AG183" s="78"/>
      <c r="AJ183" s="84" t="s">
        <v>46</v>
      </c>
      <c r="AK183" s="84">
        <v>0</v>
      </c>
      <c r="BB183" s="263" t="s">
        <v>67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320</v>
      </c>
      <c r="B184" s="63" t="s">
        <v>323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45</v>
      </c>
      <c r="P184" s="822" t="s">
        <v>324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326</v>
      </c>
      <c r="B185" s="63" t="s">
        <v>327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328</v>
      </c>
      <c r="AG185" s="78"/>
      <c r="AJ185" s="84" t="s">
        <v>46</v>
      </c>
      <c r="AK185" s="84">
        <v>0</v>
      </c>
      <c r="BB185" s="267" t="s">
        <v>67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326</v>
      </c>
      <c r="B186" s="63" t="s">
        <v>329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131</v>
      </c>
      <c r="L186" s="37" t="s">
        <v>46</v>
      </c>
      <c r="M186" s="38" t="s">
        <v>81</v>
      </c>
      <c r="N186" s="38"/>
      <c r="O186" s="37">
        <v>45</v>
      </c>
      <c r="P186" s="824" t="s">
        <v>330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328</v>
      </c>
      <c r="AG186" s="78"/>
      <c r="AJ186" s="84" t="s">
        <v>46</v>
      </c>
      <c r="AK186" s="84">
        <v>0</v>
      </c>
      <c r="BB186" s="269" t="s">
        <v>67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331</v>
      </c>
      <c r="B187" s="63" t="s">
        <v>332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313</v>
      </c>
      <c r="AG187" s="78"/>
      <c r="AJ187" s="84" t="s">
        <v>46</v>
      </c>
      <c r="AK187" s="84">
        <v>0</v>
      </c>
      <c r="BB187" s="271" t="s">
        <v>67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333</v>
      </c>
      <c r="B188" s="63" t="s">
        <v>334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335</v>
      </c>
      <c r="AG188" s="78"/>
      <c r="AJ188" s="84" t="s">
        <v>46</v>
      </c>
      <c r="AK188" s="84">
        <v>0</v>
      </c>
      <c r="BB188" s="273" t="s">
        <v>67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336</v>
      </c>
      <c r="B189" s="63" t="s">
        <v>337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82</v>
      </c>
      <c r="L189" s="37" t="s">
        <v>46</v>
      </c>
      <c r="M189" s="38" t="s">
        <v>81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319</v>
      </c>
      <c r="AG189" s="78"/>
      <c r="AJ189" s="84" t="s">
        <v>46</v>
      </c>
      <c r="AK189" s="84">
        <v>0</v>
      </c>
      <c r="BB189" s="275" t="s">
        <v>67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131</v>
      </c>
      <c r="L190" s="37" t="s">
        <v>46</v>
      </c>
      <c r="M190" s="38" t="s">
        <v>81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340</v>
      </c>
      <c r="AG190" s="78"/>
      <c r="AJ190" s="84" t="s">
        <v>46</v>
      </c>
      <c r="AK190" s="84">
        <v>0</v>
      </c>
      <c r="BB190" s="277" t="s">
        <v>67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82</v>
      </c>
      <c r="L191" s="37" t="s">
        <v>46</v>
      </c>
      <c r="M191" s="38" t="s">
        <v>81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325</v>
      </c>
      <c r="AG191" s="78"/>
      <c r="AJ191" s="84" t="s">
        <v>46</v>
      </c>
      <c r="AK191" s="84">
        <v>0</v>
      </c>
      <c r="BB191" s="279" t="s">
        <v>67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86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343</v>
      </c>
      <c r="B195" s="63" t="s">
        <v>344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91</v>
      </c>
      <c r="L195" s="37" t="s">
        <v>46</v>
      </c>
      <c r="M195" s="38" t="s">
        <v>97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345</v>
      </c>
      <c r="AG195" s="78"/>
      <c r="AJ195" s="84" t="s">
        <v>46</v>
      </c>
      <c r="AK195" s="84">
        <v>0</v>
      </c>
      <c r="BB195" s="28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346</v>
      </c>
      <c r="B196" s="63" t="s">
        <v>347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91</v>
      </c>
      <c r="L196" s="37" t="s">
        <v>46</v>
      </c>
      <c r="M196" s="38" t="s">
        <v>97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348</v>
      </c>
      <c r="AG196" s="78"/>
      <c r="AJ196" s="84" t="s">
        <v>46</v>
      </c>
      <c r="AK196" s="84">
        <v>0</v>
      </c>
      <c r="BB196" s="28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349</v>
      </c>
      <c r="B197" s="63" t="s">
        <v>350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91</v>
      </c>
      <c r="L197" s="37" t="s">
        <v>46</v>
      </c>
      <c r="M197" s="38" t="s">
        <v>90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351</v>
      </c>
      <c r="AG197" s="78"/>
      <c r="AJ197" s="84" t="s">
        <v>46</v>
      </c>
      <c r="AK197" s="84">
        <v>0</v>
      </c>
      <c r="BB197" s="28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289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352</v>
      </c>
      <c r="B201" s="63" t="s">
        <v>353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355</v>
      </c>
      <c r="L201" s="37" t="s">
        <v>46</v>
      </c>
      <c r="M201" s="38" t="s">
        <v>294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354</v>
      </c>
      <c r="AG201" s="78"/>
      <c r="AJ201" s="84" t="s">
        <v>46</v>
      </c>
      <c r="AK201" s="84">
        <v>0</v>
      </c>
      <c r="BB201" s="28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356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357</v>
      </c>
      <c r="B205" s="63" t="s">
        <v>358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355</v>
      </c>
      <c r="L205" s="37" t="s">
        <v>46</v>
      </c>
      <c r="M205" s="38" t="s">
        <v>294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359</v>
      </c>
      <c r="AG205" s="78"/>
      <c r="AJ205" s="84" t="s">
        <v>46</v>
      </c>
      <c r="AK205" s="84">
        <v>0</v>
      </c>
      <c r="BB205" s="289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360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361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122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362</v>
      </c>
      <c r="B211" s="63" t="s">
        <v>363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125</v>
      </c>
      <c r="AG211" s="78"/>
      <c r="AJ211" s="84" t="s">
        <v>46</v>
      </c>
      <c r="AK211" s="84">
        <v>0</v>
      </c>
      <c r="BB211" s="291" t="s">
        <v>67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367</v>
      </c>
      <c r="B213" s="63" t="s">
        <v>368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127</v>
      </c>
      <c r="L213" s="37" t="s">
        <v>46</v>
      </c>
      <c r="M213" s="38" t="s">
        <v>90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369</v>
      </c>
      <c r="AG213" s="78"/>
      <c r="AJ213" s="84" t="s">
        <v>46</v>
      </c>
      <c r="AK213" s="84">
        <v>0</v>
      </c>
      <c r="BB213" s="295" t="s">
        <v>67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370</v>
      </c>
      <c r="B214" s="63" t="s">
        <v>371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127</v>
      </c>
      <c r="L214" s="37" t="s">
        <v>46</v>
      </c>
      <c r="M214" s="38" t="s">
        <v>90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372</v>
      </c>
      <c r="AG214" s="78"/>
      <c r="AJ214" s="84" t="s">
        <v>46</v>
      </c>
      <c r="AK214" s="84">
        <v>0</v>
      </c>
      <c r="BB214" s="297" t="s">
        <v>67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373</v>
      </c>
      <c r="B215" s="63" t="s">
        <v>374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375</v>
      </c>
      <c r="AG215" s="78"/>
      <c r="AJ215" s="84" t="s">
        <v>46</v>
      </c>
      <c r="AK215" s="84">
        <v>0</v>
      </c>
      <c r="BB215" s="299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376</v>
      </c>
      <c r="B216" s="63" t="s">
        <v>377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378</v>
      </c>
      <c r="AG216" s="78"/>
      <c r="AJ216" s="84" t="s">
        <v>46</v>
      </c>
      <c r="AK216" s="84">
        <v>0</v>
      </c>
      <c r="BB216" s="301" t="s">
        <v>67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379</v>
      </c>
      <c r="B217" s="63" t="s">
        <v>380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381</v>
      </c>
      <c r="AG217" s="78"/>
      <c r="AJ217" s="84" t="s">
        <v>46</v>
      </c>
      <c r="AK217" s="84">
        <v>0</v>
      </c>
      <c r="BB217" s="303" t="s">
        <v>67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382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155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383</v>
      </c>
      <c r="B222" s="63" t="s">
        <v>384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385</v>
      </c>
      <c r="AG222" s="78"/>
      <c r="AJ222" s="84" t="s">
        <v>46</v>
      </c>
      <c r="AK222" s="84">
        <v>0</v>
      </c>
      <c r="BB222" s="305" t="s">
        <v>67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77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386</v>
      </c>
      <c r="B226" s="63" t="s">
        <v>387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134</v>
      </c>
      <c r="L226" s="37" t="s">
        <v>46</v>
      </c>
      <c r="M226" s="38" t="s">
        <v>81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134</v>
      </c>
      <c r="L227" s="37" t="s">
        <v>46</v>
      </c>
      <c r="M227" s="38" t="s">
        <v>81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391</v>
      </c>
      <c r="AG227" s="78"/>
      <c r="AJ227" s="84" t="s">
        <v>46</v>
      </c>
      <c r="AK227" s="84">
        <v>0</v>
      </c>
      <c r="BB227" s="309" t="s">
        <v>67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392</v>
      </c>
      <c r="B228" s="63" t="s">
        <v>393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134</v>
      </c>
      <c r="L228" s="37" t="s">
        <v>46</v>
      </c>
      <c r="M228" s="38" t="s">
        <v>81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394</v>
      </c>
      <c r="AG228" s="78"/>
      <c r="AJ228" s="84" t="s">
        <v>46</v>
      </c>
      <c r="AK228" s="84">
        <v>0</v>
      </c>
      <c r="BB228" s="311" t="s">
        <v>67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395</v>
      </c>
      <c r="B229" s="63" t="s">
        <v>396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397</v>
      </c>
      <c r="AG229" s="78"/>
      <c r="AJ229" s="84" t="s">
        <v>46</v>
      </c>
      <c r="AK229" s="84">
        <v>0</v>
      </c>
      <c r="BB229" s="313" t="s">
        <v>67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398</v>
      </c>
      <c r="B230" s="63" t="s">
        <v>399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388</v>
      </c>
      <c r="AG230" s="78"/>
      <c r="AJ230" s="84" t="s">
        <v>46</v>
      </c>
      <c r="AK230" s="84">
        <v>0</v>
      </c>
      <c r="BB230" s="315" t="s">
        <v>67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403</v>
      </c>
      <c r="B232" s="63" t="s">
        <v>404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391</v>
      </c>
      <c r="AG232" s="78"/>
      <c r="AJ232" s="84" t="s">
        <v>46</v>
      </c>
      <c r="AK232" s="84">
        <v>0</v>
      </c>
      <c r="BB232" s="319" t="s">
        <v>67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410</v>
      </c>
      <c r="AG234" s="78"/>
      <c r="AJ234" s="84" t="s">
        <v>46</v>
      </c>
      <c r="AK234" s="84">
        <v>0</v>
      </c>
      <c r="BB234" s="323" t="s">
        <v>67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411</v>
      </c>
      <c r="B235" s="63" t="s">
        <v>412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413</v>
      </c>
      <c r="AG235" s="78"/>
      <c r="AJ235" s="84" t="s">
        <v>46</v>
      </c>
      <c r="AK235" s="84">
        <v>0</v>
      </c>
      <c r="BB235" s="325" t="s">
        <v>67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414</v>
      </c>
      <c r="B236" s="63" t="s">
        <v>415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131</v>
      </c>
      <c r="L236" s="37" t="s">
        <v>46</v>
      </c>
      <c r="M236" s="38" t="s">
        <v>81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416</v>
      </c>
      <c r="AG236" s="78"/>
      <c r="AJ236" s="84" t="s">
        <v>46</v>
      </c>
      <c r="AK236" s="84">
        <v>0</v>
      </c>
      <c r="BB236" s="327" t="s">
        <v>67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417</v>
      </c>
      <c r="B237" s="63" t="s">
        <v>418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394</v>
      </c>
      <c r="AG237" s="78"/>
      <c r="AJ237" s="84" t="s">
        <v>46</v>
      </c>
      <c r="AK237" s="84">
        <v>0</v>
      </c>
      <c r="BB237" s="329" t="s">
        <v>67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91</v>
      </c>
      <c r="L238" s="37" t="s">
        <v>46</v>
      </c>
      <c r="M238" s="38" t="s">
        <v>81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394</v>
      </c>
      <c r="AG238" s="78"/>
      <c r="AJ238" s="84" t="s">
        <v>46</v>
      </c>
      <c r="AK238" s="84">
        <v>0</v>
      </c>
      <c r="BB238" s="331" t="s">
        <v>67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86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424</v>
      </c>
      <c r="B243" s="63" t="s">
        <v>425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127</v>
      </c>
      <c r="L243" s="37" t="s">
        <v>46</v>
      </c>
      <c r="M243" s="38" t="s">
        <v>97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426</v>
      </c>
      <c r="AG243" s="78"/>
      <c r="AJ243" s="84" t="s">
        <v>46</v>
      </c>
      <c r="AK243" s="84">
        <v>0</v>
      </c>
      <c r="BB243" s="335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427</v>
      </c>
      <c r="B244" s="63" t="s">
        <v>428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127</v>
      </c>
      <c r="L244" s="37" t="s">
        <v>46</v>
      </c>
      <c r="M244" s="38" t="s">
        <v>97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429</v>
      </c>
      <c r="AG244" s="78"/>
      <c r="AJ244" s="84" t="s">
        <v>46</v>
      </c>
      <c r="AK244" s="84">
        <v>0</v>
      </c>
      <c r="BB244" s="337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432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435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436</v>
      </c>
      <c r="B247" s="63" t="s">
        <v>437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429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289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355</v>
      </c>
      <c r="L251" s="37" t="s">
        <v>46</v>
      </c>
      <c r="M251" s="38" t="s">
        <v>294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440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441</v>
      </c>
      <c r="B252" s="63" t="s">
        <v>442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355</v>
      </c>
      <c r="L252" s="37" t="s">
        <v>46</v>
      </c>
      <c r="M252" s="38" t="s">
        <v>294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443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444</v>
      </c>
      <c r="B253" s="63" t="s">
        <v>445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355</v>
      </c>
      <c r="L253" s="37" t="s">
        <v>46</v>
      </c>
      <c r="M253" s="38" t="s">
        <v>294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443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446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447</v>
      </c>
      <c r="B257" s="63" t="s">
        <v>448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355</v>
      </c>
      <c r="L257" s="37" t="s">
        <v>46</v>
      </c>
      <c r="M257" s="38" t="s">
        <v>294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443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449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122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450</v>
      </c>
      <c r="B262" s="63" t="s">
        <v>451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452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453</v>
      </c>
      <c r="B263" s="63" t="s">
        <v>454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452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155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455</v>
      </c>
      <c r="B267" s="63" t="s">
        <v>456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457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458</v>
      </c>
      <c r="B268" s="63" t="s">
        <v>459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457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77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460</v>
      </c>
      <c r="B272" s="63" t="s">
        <v>461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465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468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471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465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468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471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86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480</v>
      </c>
      <c r="B283" s="63" t="s">
        <v>481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482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483</v>
      </c>
      <c r="B284" s="63" t="s">
        <v>484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485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486</v>
      </c>
      <c r="B285" s="63" t="s">
        <v>487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489</v>
      </c>
      <c r="B286" s="63" t="s">
        <v>490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482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491</v>
      </c>
      <c r="B287" s="63" t="s">
        <v>492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488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488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498</v>
      </c>
      <c r="B290" s="63" t="s">
        <v>499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495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500</v>
      </c>
      <c r="B291" s="63" t="s">
        <v>501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488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502</v>
      </c>
      <c r="B292" s="63" t="s">
        <v>503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510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173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511</v>
      </c>
      <c r="B298" s="63" t="s">
        <v>512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513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514</v>
      </c>
      <c r="B299" s="63" t="s">
        <v>515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516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517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122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518</v>
      </c>
      <c r="B304" s="63" t="s">
        <v>519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520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521</v>
      </c>
      <c r="B305" s="63" t="s">
        <v>522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523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524</v>
      </c>
      <c r="B306" s="63" t="s">
        <v>525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378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526</v>
      </c>
      <c r="B307" s="63" t="s">
        <v>527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520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528</v>
      </c>
      <c r="B308" s="63" t="s">
        <v>529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378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155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536</v>
      </c>
      <c r="B314" s="63" t="s">
        <v>537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538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539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540</v>
      </c>
      <c r="B318" s="63" t="s">
        <v>541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355</v>
      </c>
      <c r="L318" s="37" t="s">
        <v>46</v>
      </c>
      <c r="M318" s="38" t="s">
        <v>294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542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356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543</v>
      </c>
      <c r="B322" s="63" t="s">
        <v>544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355</v>
      </c>
      <c r="L322" s="37" t="s">
        <v>46</v>
      </c>
      <c r="M322" s="38" t="s">
        <v>294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545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546</v>
      </c>
      <c r="B323" s="63" t="s">
        <v>547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355</v>
      </c>
      <c r="L323" s="37" t="s">
        <v>46</v>
      </c>
      <c r="M323" s="38" t="s">
        <v>294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545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548</v>
      </c>
      <c r="B324" s="63" t="s">
        <v>549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355</v>
      </c>
      <c r="L324" s="37" t="s">
        <v>46</v>
      </c>
      <c r="M324" s="38" t="s">
        <v>294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545</v>
      </c>
      <c r="AG324" s="78"/>
      <c r="AJ324" s="84" t="s">
        <v>46</v>
      </c>
      <c r="AK324" s="84">
        <v>0</v>
      </c>
      <c r="BB324" s="427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550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122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551</v>
      </c>
      <c r="B329" s="63" t="s">
        <v>552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557</v>
      </c>
      <c r="B331" s="63" t="s">
        <v>558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559</v>
      </c>
      <c r="AG331" s="78"/>
      <c r="AJ331" s="84" t="s">
        <v>46</v>
      </c>
      <c r="AK331" s="84">
        <v>0</v>
      </c>
      <c r="BB331" s="433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560</v>
      </c>
      <c r="B332" s="63" t="s">
        <v>561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562</v>
      </c>
      <c r="AG332" s="78"/>
      <c r="AJ332" s="84" t="s">
        <v>46</v>
      </c>
      <c r="AK332" s="84">
        <v>0</v>
      </c>
      <c r="BB332" s="435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563</v>
      </c>
      <c r="B333" s="63" t="s">
        <v>564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565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566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86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567</v>
      </c>
      <c r="B338" s="63" t="s">
        <v>568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569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569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575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77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576</v>
      </c>
      <c r="B345" s="63" t="s">
        <v>577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410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581</v>
      </c>
      <c r="B347" s="63" t="s">
        <v>582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583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584</v>
      </c>
      <c r="B348" s="63" t="s">
        <v>585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586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587</v>
      </c>
      <c r="B349" s="63" t="s">
        <v>588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589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86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590</v>
      </c>
      <c r="B353" s="63" t="s">
        <v>591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592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593</v>
      </c>
      <c r="B354" s="63" t="s">
        <v>594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595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596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122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597</v>
      </c>
      <c r="B359" s="63" t="s">
        <v>598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369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599</v>
      </c>
      <c r="B360" s="63" t="s">
        <v>600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601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602</v>
      </c>
      <c r="B361" s="63" t="s">
        <v>603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604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605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122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606</v>
      </c>
      <c r="B366" s="63" t="s">
        <v>607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611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612</v>
      </c>
      <c r="B368" s="63" t="s">
        <v>613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614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617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611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620</v>
      </c>
      <c r="B371" s="63" t="s">
        <v>621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622</v>
      </c>
      <c r="AG371" s="78"/>
      <c r="AJ371" s="84" t="s">
        <v>46</v>
      </c>
      <c r="AK371" s="84">
        <v>0</v>
      </c>
      <c r="BB371" s="475" t="s">
        <v>67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77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623</v>
      </c>
      <c r="B375" s="63" t="s">
        <v>624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625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626</v>
      </c>
      <c r="B376" s="63" t="s">
        <v>627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628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629</v>
      </c>
      <c r="B377" s="63" t="s">
        <v>630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631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632</v>
      </c>
      <c r="B378" s="63" t="s">
        <v>633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628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636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631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86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644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645</v>
      </c>
      <c r="B386" s="63" t="s">
        <v>646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647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650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651</v>
      </c>
      <c r="B388" s="63" t="s">
        <v>652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644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173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653</v>
      </c>
      <c r="B392" s="63" t="s">
        <v>654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655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658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659</v>
      </c>
      <c r="B394" s="63" t="s">
        <v>660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661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289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662</v>
      </c>
      <c r="B398" s="63" t="s">
        <v>663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264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664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264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664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264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664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264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664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671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672</v>
      </c>
      <c r="B405" s="63" t="s">
        <v>673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675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674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675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674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678</v>
      </c>
      <c r="B407" s="63" t="s">
        <v>679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675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674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680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681</v>
      </c>
      <c r="B411" s="63" t="s">
        <v>682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675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683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684</v>
      </c>
      <c r="B412" s="63" t="s">
        <v>685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675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686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687</v>
      </c>
      <c r="B413" s="63" t="s">
        <v>688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675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683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689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86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690</v>
      </c>
      <c r="B418" s="63" t="s">
        <v>691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692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693</v>
      </c>
      <c r="B419" s="63" t="s">
        <v>694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695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696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86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697</v>
      </c>
      <c r="B424" s="63" t="s">
        <v>698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699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700</v>
      </c>
      <c r="B425" s="63" t="s">
        <v>701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702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703</v>
      </c>
      <c r="B426" s="63" t="s">
        <v>704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705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706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707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122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708</v>
      </c>
      <c r="B432" s="63" t="s">
        <v>709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711</v>
      </c>
      <c r="B433" s="63" t="s">
        <v>712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600</v>
      </c>
      <c r="Y433" s="55">
        <f t="shared" si="68"/>
        <v>600</v>
      </c>
      <c r="Z433" s="41">
        <f>IFERROR(IF(Y433=0,"",ROUNDUP(Y433/H433,0)*0.02175),"")</f>
        <v>0.86999999999999988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618.79999999999995</v>
      </c>
      <c r="BN433" s="78">
        <f t="shared" si="70"/>
        <v>618.79999999999995</v>
      </c>
      <c r="BO433" s="78">
        <f t="shared" si="71"/>
        <v>0.83333333333333326</v>
      </c>
      <c r="BP433" s="78">
        <f t="shared" si="72"/>
        <v>0.83333333333333326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717</v>
      </c>
      <c r="B435" s="63" t="s">
        <v>718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1000</v>
      </c>
      <c r="Y435" s="55">
        <f t="shared" si="68"/>
        <v>1005</v>
      </c>
      <c r="Z435" s="41">
        <f>IFERROR(IF(Y435=0,"",ROUNDUP(Y435/H435,0)*0.02175),"")</f>
        <v>1.4572499999999999</v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1031.3333333333333</v>
      </c>
      <c r="BN435" s="78">
        <f t="shared" si="70"/>
        <v>1036.49</v>
      </c>
      <c r="BO435" s="78">
        <f t="shared" si="71"/>
        <v>1.3888888888888888</v>
      </c>
      <c r="BP435" s="78">
        <f t="shared" si="72"/>
        <v>1.3958333333333333</v>
      </c>
    </row>
    <row r="436" spans="1:68" ht="27" hidden="1" customHeight="1" x14ac:dyDescent="0.25">
      <c r="A436" s="63" t="s">
        <v>720</v>
      </c>
      <c r="B436" s="63" t="s">
        <v>721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723</v>
      </c>
      <c r="B437" s="63" t="s">
        <v>724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725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726</v>
      </c>
      <c r="B438" s="63" t="s">
        <v>727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728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729</v>
      </c>
      <c r="B439" s="63" t="s">
        <v>730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731</v>
      </c>
      <c r="AG439" s="78"/>
      <c r="AJ439" s="84" t="s">
        <v>46</v>
      </c>
      <c r="AK439" s="84">
        <v>0</v>
      </c>
      <c r="BB439" s="549" t="s">
        <v>67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106.66666666666667</v>
      </c>
      <c r="Y440" s="43">
        <f>IFERROR(Y432/H432,"0")+IFERROR(Y433/H433,"0")+IFERROR(Y434/H434,"0")+IFERROR(Y435/H435,"0")+IFERROR(Y436/H436,"0")+IFERROR(Y437/H437,"0")+IFERROR(Y438/H438,"0")+IFERROR(Y439/H439,"0")</f>
        <v>107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2.3272499999999998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1600</v>
      </c>
      <c r="Y441" s="43">
        <f>IFERROR(SUM(Y432:Y439),"0")</f>
        <v>1605</v>
      </c>
      <c r="Z441" s="42"/>
      <c r="AA441" s="67"/>
      <c r="AB441" s="67"/>
      <c r="AC441" s="67"/>
    </row>
    <row r="442" spans="1:68" ht="14.25" hidden="1" customHeight="1" x14ac:dyDescent="0.25">
      <c r="A442" s="724" t="s">
        <v>155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hidden="1" customHeight="1" x14ac:dyDescent="0.25">
      <c r="A443" s="63" t="s">
        <v>732</v>
      </c>
      <c r="B443" s="63" t="s">
        <v>733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734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735</v>
      </c>
      <c r="B444" s="63" t="s">
        <v>736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737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738</v>
      </c>
      <c r="B445" s="63" t="s">
        <v>739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740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4" t="s">
        <v>86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741</v>
      </c>
      <c r="B449" s="63" t="s">
        <v>742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743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744</v>
      </c>
      <c r="B450" s="63" t="s">
        <v>745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746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747</v>
      </c>
      <c r="B451" s="63" t="s">
        <v>748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749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173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752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753</v>
      </c>
      <c r="B456" s="63" t="s">
        <v>754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755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756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122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757</v>
      </c>
      <c r="B461" s="63" t="s">
        <v>758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759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760</v>
      </c>
      <c r="B462" s="63" t="s">
        <v>761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759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77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762</v>
      </c>
      <c r="B466" s="63" t="s">
        <v>763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764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86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765</v>
      </c>
      <c r="B470" s="63" t="s">
        <v>766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767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768</v>
      </c>
      <c r="B471" s="63" t="s">
        <v>769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767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768</v>
      </c>
      <c r="B472" s="63" t="s">
        <v>770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771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772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773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77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774</v>
      </c>
      <c r="B478" s="63" t="s">
        <v>775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776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777</v>
      </c>
      <c r="B479" s="63" t="s">
        <v>778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779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780</v>
      </c>
      <c r="B480" s="63" t="s">
        <v>781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776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784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785</v>
      </c>
      <c r="B482" s="63" t="s">
        <v>786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787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788</v>
      </c>
      <c r="B483" s="63" t="s">
        <v>789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784</v>
      </c>
      <c r="AG483" s="78"/>
      <c r="AJ483" s="84" t="s">
        <v>46</v>
      </c>
      <c r="AK483" s="84">
        <v>0</v>
      </c>
      <c r="BB483" s="589" t="s">
        <v>67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86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792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793</v>
      </c>
      <c r="B488" s="63" t="s">
        <v>794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795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796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155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797</v>
      </c>
      <c r="B493" s="63" t="s">
        <v>798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799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77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800</v>
      </c>
      <c r="B497" s="63" t="s">
        <v>801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802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803</v>
      </c>
      <c r="B498" s="63" t="s">
        <v>804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805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806</v>
      </c>
      <c r="B499" s="63" t="s">
        <v>807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805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808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808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122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809</v>
      </c>
      <c r="B505" s="63" t="s">
        <v>810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814</v>
      </c>
      <c r="B507" s="63" t="s">
        <v>815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819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820</v>
      </c>
      <c r="B509" s="63" t="s">
        <v>821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822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826</v>
      </c>
      <c r="B511" s="63" t="s">
        <v>827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828</v>
      </c>
      <c r="B512" s="63" t="s">
        <v>829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830</v>
      </c>
      <c r="B513" s="63" t="s">
        <v>831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155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832</v>
      </c>
      <c r="B517" s="63" t="s">
        <v>833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834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835</v>
      </c>
      <c r="B518" s="63" t="s">
        <v>836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834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837</v>
      </c>
      <c r="B519" s="63" t="s">
        <v>838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834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77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839</v>
      </c>
      <c r="B523" s="63" t="s">
        <v>840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841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842</v>
      </c>
      <c r="B524" s="63" t="s">
        <v>843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844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845</v>
      </c>
      <c r="B525" s="63" t="s">
        <v>846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847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848</v>
      </c>
      <c r="B526" s="63" t="s">
        <v>849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841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850</v>
      </c>
      <c r="B527" s="63" t="s">
        <v>851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844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850</v>
      </c>
      <c r="B528" s="63" t="s">
        <v>852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844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853</v>
      </c>
      <c r="B529" s="63" t="s">
        <v>854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847</v>
      </c>
      <c r="AG529" s="78"/>
      <c r="AJ529" s="84" t="s">
        <v>46</v>
      </c>
      <c r="AK529" s="84">
        <v>0</v>
      </c>
      <c r="BB529" s="639" t="s">
        <v>67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855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855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122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856</v>
      </c>
      <c r="B535" s="63" t="s">
        <v>857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858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155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859</v>
      </c>
      <c r="B539" s="63" t="s">
        <v>860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861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77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862</v>
      </c>
      <c r="B543" s="63" t="s">
        <v>863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134</v>
      </c>
      <c r="L543" s="37" t="s">
        <v>46</v>
      </c>
      <c r="M543" s="38" t="s">
        <v>81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864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86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865</v>
      </c>
      <c r="B547" s="63" t="s">
        <v>866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867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173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870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871</v>
      </c>
      <c r="B552" s="63" t="s">
        <v>872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873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874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155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875</v>
      </c>
      <c r="B557" s="63" t="s">
        <v>876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127</v>
      </c>
      <c r="L557" s="37" t="s">
        <v>46</v>
      </c>
      <c r="M557" s="38" t="s">
        <v>126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877</v>
      </c>
      <c r="AG557" s="78"/>
      <c r="AJ557" s="84" t="s">
        <v>46</v>
      </c>
      <c r="AK557" s="84">
        <v>0</v>
      </c>
      <c r="BB557" s="653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1600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1605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1650.1333333333332</v>
      </c>
      <c r="Y561" s="43">
        <f>IFERROR(SUM(BN22:BN557),"0")</f>
        <v>1655.29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3</v>
      </c>
      <c r="Y562" s="44">
        <f>ROUNDUP(SUM(BP22:BP557),0)</f>
        <v>3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1725.1333333333332</v>
      </c>
      <c r="Y563" s="43">
        <f>GrossWeightTotalR+PalletQtyTotalR*25</f>
        <v>1730.29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106.66666666666667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107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2.3272499999999998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76</v>
      </c>
      <c r="C567" s="85" t="s">
        <v>45</v>
      </c>
      <c r="D567" s="1016" t="s">
        <v>120</v>
      </c>
      <c r="E567" s="1016" t="s">
        <v>120</v>
      </c>
      <c r="F567" s="1016" t="s">
        <v>120</v>
      </c>
      <c r="G567" s="1016" t="s">
        <v>120</v>
      </c>
      <c r="H567" s="1016" t="s">
        <v>120</v>
      </c>
      <c r="I567" s="1016" t="s">
        <v>120</v>
      </c>
      <c r="J567" s="1016" t="s">
        <v>120</v>
      </c>
      <c r="K567" s="1016" t="s">
        <v>360</v>
      </c>
      <c r="L567" s="1016" t="s">
        <v>360</v>
      </c>
      <c r="M567" s="1016" t="s">
        <v>360</v>
      </c>
      <c r="N567" s="1022"/>
      <c r="O567" s="1016" t="s">
        <v>360</v>
      </c>
      <c r="P567" s="1016" t="s">
        <v>360</v>
      </c>
      <c r="Q567" s="1016" t="s">
        <v>360</v>
      </c>
      <c r="R567" s="1016" t="s">
        <v>360</v>
      </c>
      <c r="S567" s="1016" t="s">
        <v>360</v>
      </c>
      <c r="T567" s="1016" t="s">
        <v>360</v>
      </c>
      <c r="U567" s="1016" t="s">
        <v>360</v>
      </c>
      <c r="V567" s="1016" t="s">
        <v>360</v>
      </c>
      <c r="W567" s="1016" t="s">
        <v>706</v>
      </c>
      <c r="X567" s="1016" t="s">
        <v>706</v>
      </c>
      <c r="Y567" s="1016" t="s">
        <v>772</v>
      </c>
      <c r="Z567" s="1016" t="s">
        <v>772</v>
      </c>
      <c r="AA567" s="85" t="s">
        <v>808</v>
      </c>
      <c r="AB567" s="1016" t="s">
        <v>855</v>
      </c>
      <c r="AC567" s="1016" t="s">
        <v>855</v>
      </c>
      <c r="AF567" s="1"/>
    </row>
    <row r="568" spans="1:32" ht="14.25" customHeight="1" thickTop="1" x14ac:dyDescent="0.2">
      <c r="A568" s="1023" t="s">
        <v>10</v>
      </c>
      <c r="B568" s="1016" t="s">
        <v>76</v>
      </c>
      <c r="C568" s="1016" t="s">
        <v>104</v>
      </c>
      <c r="D568" s="1016" t="s">
        <v>121</v>
      </c>
      <c r="E568" s="1016" t="s">
        <v>137</v>
      </c>
      <c r="F568" s="1016" t="s">
        <v>182</v>
      </c>
      <c r="G568" s="1016" t="s">
        <v>209</v>
      </c>
      <c r="H568" s="1016" t="s">
        <v>260</v>
      </c>
      <c r="I568" s="1016" t="s">
        <v>273</v>
      </c>
      <c r="J568" s="1016" t="s">
        <v>120</v>
      </c>
      <c r="K568" s="1016" t="s">
        <v>361</v>
      </c>
      <c r="L568" s="1016" t="s">
        <v>382</v>
      </c>
      <c r="M568" s="1016" t="s">
        <v>449</v>
      </c>
      <c r="N568" s="1"/>
      <c r="O568" s="1016" t="s">
        <v>517</v>
      </c>
      <c r="P568" s="1016" t="s">
        <v>550</v>
      </c>
      <c r="Q568" s="1016" t="s">
        <v>566</v>
      </c>
      <c r="R568" s="1016" t="s">
        <v>575</v>
      </c>
      <c r="S568" s="1016" t="s">
        <v>596</v>
      </c>
      <c r="T568" s="1016" t="s">
        <v>605</v>
      </c>
      <c r="U568" s="1016" t="s">
        <v>689</v>
      </c>
      <c r="V568" s="1016" t="s">
        <v>696</v>
      </c>
      <c r="W568" s="1016" t="s">
        <v>707</v>
      </c>
      <c r="X568" s="1016" t="s">
        <v>756</v>
      </c>
      <c r="Y568" s="1016" t="s">
        <v>773</v>
      </c>
      <c r="Z568" s="1016" t="s">
        <v>796</v>
      </c>
      <c r="AA568" s="1016" t="s">
        <v>808</v>
      </c>
      <c r="AB568" s="1016" t="s">
        <v>855</v>
      </c>
      <c r="AC568" s="1016" t="s">
        <v>874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1605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600,00"/>
        <filter val="1 650,13"/>
        <filter val="1 725,13"/>
        <filter val="106,67"/>
        <filter val="3"/>
        <filter val="6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3" t="s">
        <v>879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880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881</v>
      </c>
      <c r="C6" s="53" t="s">
        <v>882</v>
      </c>
      <c r="D6" s="53" t="s">
        <v>883</v>
      </c>
      <c r="E6" s="53" t="s">
        <v>46</v>
      </c>
    </row>
    <row r="7" spans="2:8" x14ac:dyDescent="0.2">
      <c r="B7" s="53" t="s">
        <v>884</v>
      </c>
      <c r="C7" s="53" t="s">
        <v>885</v>
      </c>
      <c r="D7" s="53" t="s">
        <v>886</v>
      </c>
      <c r="E7" s="53" t="s">
        <v>46</v>
      </c>
    </row>
    <row r="9" spans="2:8" x14ac:dyDescent="0.2">
      <c r="B9" s="53" t="s">
        <v>887</v>
      </c>
      <c r="C9" s="53" t="s">
        <v>882</v>
      </c>
      <c r="D9" s="53" t="s">
        <v>46</v>
      </c>
      <c r="E9" s="53" t="s">
        <v>46</v>
      </c>
    </row>
    <row r="11" spans="2:8" x14ac:dyDescent="0.2">
      <c r="B11" s="53" t="s">
        <v>887</v>
      </c>
      <c r="C11" s="53" t="s">
        <v>885</v>
      </c>
      <c r="D11" s="53" t="s">
        <v>46</v>
      </c>
      <c r="E11" s="53" t="s">
        <v>46</v>
      </c>
    </row>
    <row r="13" spans="2:8" x14ac:dyDescent="0.2">
      <c r="B13" s="53" t="s">
        <v>888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898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2026-08-31T06:40:29Z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