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E004FC-5116-427A-817B-7289BBBB615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P556" i="1"/>
  <c r="BO556" i="1"/>
  <c r="BN556" i="1"/>
  <c r="BM556" i="1"/>
  <c r="Z556" i="1"/>
  <c r="Z557" i="1" s="1"/>
  <c r="Y556" i="1"/>
  <c r="AC569" i="1" s="1"/>
  <c r="P556" i="1"/>
  <c r="X553" i="1"/>
  <c r="Y552" i="1"/>
  <c r="X552" i="1"/>
  <c r="BO551" i="1"/>
  <c r="BM551" i="1"/>
  <c r="Y551" i="1"/>
  <c r="BP551" i="1" s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P525" i="1" s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Y494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9" i="1" s="1"/>
  <c r="P486" i="1"/>
  <c r="X484" i="1"/>
  <c r="X483" i="1"/>
  <c r="BO482" i="1"/>
  <c r="BM482" i="1"/>
  <c r="Y482" i="1"/>
  <c r="BP482" i="1" s="1"/>
  <c r="P482" i="1"/>
  <c r="BO481" i="1"/>
  <c r="BM481" i="1"/>
  <c r="Y481" i="1"/>
  <c r="BP481" i="1" s="1"/>
  <c r="P481" i="1"/>
  <c r="BO480" i="1"/>
  <c r="BM480" i="1"/>
  <c r="Y480" i="1"/>
  <c r="BP480" i="1" s="1"/>
  <c r="P480" i="1"/>
  <c r="BO479" i="1"/>
  <c r="BM479" i="1"/>
  <c r="Y479" i="1"/>
  <c r="P479" i="1"/>
  <c r="BO478" i="1"/>
  <c r="BM478" i="1"/>
  <c r="Y478" i="1"/>
  <c r="BP478" i="1" s="1"/>
  <c r="P478" i="1"/>
  <c r="BO477" i="1"/>
  <c r="BM477" i="1"/>
  <c r="Y477" i="1"/>
  <c r="BN477" i="1" s="1"/>
  <c r="P477" i="1"/>
  <c r="X473" i="1"/>
  <c r="X472" i="1"/>
  <c r="BO471" i="1"/>
  <c r="BM471" i="1"/>
  <c r="Y471" i="1"/>
  <c r="BP471" i="1" s="1"/>
  <c r="P471" i="1"/>
  <c r="BO470" i="1"/>
  <c r="BM470" i="1"/>
  <c r="Y470" i="1"/>
  <c r="BP470" i="1" s="1"/>
  <c r="P470" i="1"/>
  <c r="BO469" i="1"/>
  <c r="BM469" i="1"/>
  <c r="Y469" i="1"/>
  <c r="Y473" i="1" s="1"/>
  <c r="P469" i="1"/>
  <c r="X467" i="1"/>
  <c r="X466" i="1"/>
  <c r="BO465" i="1"/>
  <c r="BM465" i="1"/>
  <c r="Y465" i="1"/>
  <c r="Y467" i="1" s="1"/>
  <c r="P465" i="1"/>
  <c r="X463" i="1"/>
  <c r="X462" i="1"/>
  <c r="BO461" i="1"/>
  <c r="BM461" i="1"/>
  <c r="Y461" i="1"/>
  <c r="BP461" i="1" s="1"/>
  <c r="P461" i="1"/>
  <c r="BO460" i="1"/>
  <c r="BM460" i="1"/>
  <c r="Y460" i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BP450" i="1" s="1"/>
  <c r="P450" i="1"/>
  <c r="BO449" i="1"/>
  <c r="BM449" i="1"/>
  <c r="Y449" i="1"/>
  <c r="BP449" i="1" s="1"/>
  <c r="P449" i="1"/>
  <c r="BO448" i="1"/>
  <c r="BM448" i="1"/>
  <c r="Y448" i="1"/>
  <c r="Y452" i="1" s="1"/>
  <c r="P448" i="1"/>
  <c r="X446" i="1"/>
  <c r="X445" i="1"/>
  <c r="BO444" i="1"/>
  <c r="BM444" i="1"/>
  <c r="Y444" i="1"/>
  <c r="BP444" i="1" s="1"/>
  <c r="P444" i="1"/>
  <c r="BO443" i="1"/>
  <c r="BM443" i="1"/>
  <c r="Y443" i="1"/>
  <c r="BP443" i="1" s="1"/>
  <c r="P443" i="1"/>
  <c r="BO442" i="1"/>
  <c r="BM442" i="1"/>
  <c r="Y442" i="1"/>
  <c r="Y446" i="1" s="1"/>
  <c r="P442" i="1"/>
  <c r="X440" i="1"/>
  <c r="X439" i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P435" i="1" s="1"/>
  <c r="P435" i="1"/>
  <c r="BO434" i="1"/>
  <c r="BM434" i="1"/>
  <c r="Y434" i="1"/>
  <c r="BP434" i="1" s="1"/>
  <c r="P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BP431" i="1" s="1"/>
  <c r="P431" i="1"/>
  <c r="X427" i="1"/>
  <c r="X426" i="1"/>
  <c r="BO425" i="1"/>
  <c r="BM425" i="1"/>
  <c r="Y425" i="1"/>
  <c r="BP425" i="1" s="1"/>
  <c r="P425" i="1"/>
  <c r="BO424" i="1"/>
  <c r="BM424" i="1"/>
  <c r="Y424" i="1"/>
  <c r="BP424" i="1" s="1"/>
  <c r="P424" i="1"/>
  <c r="BO423" i="1"/>
  <c r="BM423" i="1"/>
  <c r="Y423" i="1"/>
  <c r="Y426" i="1" s="1"/>
  <c r="P423" i="1"/>
  <c r="X420" i="1"/>
  <c r="X419" i="1"/>
  <c r="BO418" i="1"/>
  <c r="BM418" i="1"/>
  <c r="Y418" i="1"/>
  <c r="BP418" i="1" s="1"/>
  <c r="P418" i="1"/>
  <c r="BO417" i="1"/>
  <c r="BM417" i="1"/>
  <c r="Y417" i="1"/>
  <c r="U569" i="1" s="1"/>
  <c r="P417" i="1"/>
  <c r="X414" i="1"/>
  <c r="X413" i="1"/>
  <c r="BO412" i="1"/>
  <c r="BM412" i="1"/>
  <c r="Y412" i="1"/>
  <c r="BP412" i="1" s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BP406" i="1" s="1"/>
  <c r="P406" i="1"/>
  <c r="BO405" i="1"/>
  <c r="BM405" i="1"/>
  <c r="Y405" i="1"/>
  <c r="BN405" i="1" s="1"/>
  <c r="P405" i="1"/>
  <c r="BO404" i="1"/>
  <c r="BM404" i="1"/>
  <c r="Y404" i="1"/>
  <c r="Y407" i="1" s="1"/>
  <c r="P404" i="1"/>
  <c r="X402" i="1"/>
  <c r="X401" i="1"/>
  <c r="BO400" i="1"/>
  <c r="BM400" i="1"/>
  <c r="Y400" i="1"/>
  <c r="BP400" i="1" s="1"/>
  <c r="P400" i="1"/>
  <c r="BO399" i="1"/>
  <c r="BM399" i="1"/>
  <c r="Y399" i="1"/>
  <c r="BN399" i="1" s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Z393" i="1"/>
  <c r="Y393" i="1"/>
  <c r="BN393" i="1" s="1"/>
  <c r="P393" i="1"/>
  <c r="BO392" i="1"/>
  <c r="BM392" i="1"/>
  <c r="Y392" i="1"/>
  <c r="BP392" i="1" s="1"/>
  <c r="P392" i="1"/>
  <c r="BO391" i="1"/>
  <c r="BM391" i="1"/>
  <c r="Y391" i="1"/>
  <c r="P391" i="1"/>
  <c r="X389" i="1"/>
  <c r="X388" i="1"/>
  <c r="BO387" i="1"/>
  <c r="BM387" i="1"/>
  <c r="Y387" i="1"/>
  <c r="BN387" i="1" s="1"/>
  <c r="P387" i="1"/>
  <c r="BO386" i="1"/>
  <c r="BM386" i="1"/>
  <c r="Y386" i="1"/>
  <c r="BP386" i="1" s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BP380" i="1" s="1"/>
  <c r="P380" i="1"/>
  <c r="BO379" i="1"/>
  <c r="BM379" i="1"/>
  <c r="Z379" i="1"/>
  <c r="Y379" i="1"/>
  <c r="BN379" i="1" s="1"/>
  <c r="P379" i="1"/>
  <c r="BO378" i="1"/>
  <c r="BM378" i="1"/>
  <c r="Y378" i="1"/>
  <c r="BP378" i="1" s="1"/>
  <c r="P378" i="1"/>
  <c r="BO377" i="1"/>
  <c r="BM377" i="1"/>
  <c r="Y377" i="1"/>
  <c r="BN377" i="1" s="1"/>
  <c r="P377" i="1"/>
  <c r="BO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P374" i="1"/>
  <c r="X372" i="1"/>
  <c r="X371" i="1"/>
  <c r="BO370" i="1"/>
  <c r="BM370" i="1"/>
  <c r="Y370" i="1"/>
  <c r="BP370" i="1" s="1"/>
  <c r="P370" i="1"/>
  <c r="BO369" i="1"/>
  <c r="BM369" i="1"/>
  <c r="Y369" i="1"/>
  <c r="BN369" i="1" s="1"/>
  <c r="P369" i="1"/>
  <c r="BO368" i="1"/>
  <c r="BM368" i="1"/>
  <c r="Y368" i="1"/>
  <c r="BP368" i="1" s="1"/>
  <c r="P368" i="1"/>
  <c r="BO367" i="1"/>
  <c r="BM367" i="1"/>
  <c r="Y367" i="1"/>
  <c r="BP367" i="1" s="1"/>
  <c r="P367" i="1"/>
  <c r="BO366" i="1"/>
  <c r="BM366" i="1"/>
  <c r="Y366" i="1"/>
  <c r="BP366" i="1" s="1"/>
  <c r="P366" i="1"/>
  <c r="X363" i="1"/>
  <c r="X362" i="1"/>
  <c r="BO361" i="1"/>
  <c r="BM361" i="1"/>
  <c r="Y361" i="1"/>
  <c r="BN361" i="1" s="1"/>
  <c r="P361" i="1"/>
  <c r="BO360" i="1"/>
  <c r="BM360" i="1"/>
  <c r="Y360" i="1"/>
  <c r="Y362" i="1" s="1"/>
  <c r="P360" i="1"/>
  <c r="BO359" i="1"/>
  <c r="BM359" i="1"/>
  <c r="Y359" i="1"/>
  <c r="BP359" i="1" s="1"/>
  <c r="P359" i="1"/>
  <c r="X356" i="1"/>
  <c r="X355" i="1"/>
  <c r="BO354" i="1"/>
  <c r="BM354" i="1"/>
  <c r="Y354" i="1"/>
  <c r="BN354" i="1" s="1"/>
  <c r="P354" i="1"/>
  <c r="BO353" i="1"/>
  <c r="BM353" i="1"/>
  <c r="Y353" i="1"/>
  <c r="Y355" i="1" s="1"/>
  <c r="P353" i="1"/>
  <c r="X351" i="1"/>
  <c r="X350" i="1"/>
  <c r="BO349" i="1"/>
  <c r="BM349" i="1"/>
  <c r="Y349" i="1"/>
  <c r="BP349" i="1" s="1"/>
  <c r="P349" i="1"/>
  <c r="BO348" i="1"/>
  <c r="BM348" i="1"/>
  <c r="Y348" i="1"/>
  <c r="BN348" i="1" s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P345" i="1"/>
  <c r="X342" i="1"/>
  <c r="X341" i="1"/>
  <c r="BO340" i="1"/>
  <c r="BM340" i="1"/>
  <c r="Y340" i="1"/>
  <c r="BP340" i="1" s="1"/>
  <c r="P340" i="1"/>
  <c r="BO339" i="1"/>
  <c r="BM339" i="1"/>
  <c r="Z339" i="1"/>
  <c r="Y339" i="1"/>
  <c r="BN339" i="1" s="1"/>
  <c r="P339" i="1"/>
  <c r="BO338" i="1"/>
  <c r="BM338" i="1"/>
  <c r="Y338" i="1"/>
  <c r="P338" i="1"/>
  <c r="X335" i="1"/>
  <c r="X334" i="1"/>
  <c r="BO333" i="1"/>
  <c r="BM333" i="1"/>
  <c r="Y333" i="1"/>
  <c r="BP333" i="1" s="1"/>
  <c r="P333" i="1"/>
  <c r="BO332" i="1"/>
  <c r="BM332" i="1"/>
  <c r="Y332" i="1"/>
  <c r="BP332" i="1" s="1"/>
  <c r="P332" i="1"/>
  <c r="BO331" i="1"/>
  <c r="BM331" i="1"/>
  <c r="Y331" i="1"/>
  <c r="BP331" i="1" s="1"/>
  <c r="P331" i="1"/>
  <c r="BO330" i="1"/>
  <c r="BM330" i="1"/>
  <c r="Y330" i="1"/>
  <c r="BN330" i="1" s="1"/>
  <c r="P330" i="1"/>
  <c r="BO329" i="1"/>
  <c r="BM329" i="1"/>
  <c r="Y329" i="1"/>
  <c r="P569" i="1" s="1"/>
  <c r="P329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Y320" i="1" s="1"/>
  <c r="P318" i="1"/>
  <c r="X316" i="1"/>
  <c r="X315" i="1"/>
  <c r="BO314" i="1"/>
  <c r="BM314" i="1"/>
  <c r="Y314" i="1"/>
  <c r="Y316" i="1" s="1"/>
  <c r="P314" i="1"/>
  <c r="X312" i="1"/>
  <c r="X311" i="1"/>
  <c r="BO310" i="1"/>
  <c r="BM310" i="1"/>
  <c r="Y310" i="1"/>
  <c r="BP310" i="1" s="1"/>
  <c r="P310" i="1"/>
  <c r="BO309" i="1"/>
  <c r="BM309" i="1"/>
  <c r="Y309" i="1"/>
  <c r="BP309" i="1" s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O305" i="1"/>
  <c r="BM305" i="1"/>
  <c r="Y305" i="1"/>
  <c r="BN305" i="1" s="1"/>
  <c r="P305" i="1"/>
  <c r="BO304" i="1"/>
  <c r="BM304" i="1"/>
  <c r="Y304" i="1"/>
  <c r="O569" i="1" s="1"/>
  <c r="P304" i="1"/>
  <c r="X301" i="1"/>
  <c r="X300" i="1"/>
  <c r="BO299" i="1"/>
  <c r="BM299" i="1"/>
  <c r="Y299" i="1"/>
  <c r="Y301" i="1" s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BP294" i="1" s="1"/>
  <c r="P294" i="1"/>
  <c r="BO293" i="1"/>
  <c r="BM293" i="1"/>
  <c r="Y293" i="1"/>
  <c r="BP293" i="1" s="1"/>
  <c r="P293" i="1"/>
  <c r="BP292" i="1"/>
  <c r="BO292" i="1"/>
  <c r="BN292" i="1"/>
  <c r="BM292" i="1"/>
  <c r="Z292" i="1"/>
  <c r="Y292" i="1"/>
  <c r="P292" i="1"/>
  <c r="BO291" i="1"/>
  <c r="BM291" i="1"/>
  <c r="Y291" i="1"/>
  <c r="BP291" i="1" s="1"/>
  <c r="P291" i="1"/>
  <c r="BO290" i="1"/>
  <c r="BM290" i="1"/>
  <c r="Y290" i="1"/>
  <c r="BN290" i="1" s="1"/>
  <c r="P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Z274" i="1"/>
  <c r="Y274" i="1"/>
  <c r="BN274" i="1" s="1"/>
  <c r="P274" i="1"/>
  <c r="BO273" i="1"/>
  <c r="BM273" i="1"/>
  <c r="Y273" i="1"/>
  <c r="P273" i="1"/>
  <c r="BO272" i="1"/>
  <c r="BM272" i="1"/>
  <c r="Y272" i="1"/>
  <c r="BN272" i="1" s="1"/>
  <c r="P272" i="1"/>
  <c r="X270" i="1"/>
  <c r="X269" i="1"/>
  <c r="BO268" i="1"/>
  <c r="BM268" i="1"/>
  <c r="Y268" i="1"/>
  <c r="BN268" i="1" s="1"/>
  <c r="P268" i="1"/>
  <c r="BO267" i="1"/>
  <c r="BM267" i="1"/>
  <c r="Y267" i="1"/>
  <c r="Y269" i="1" s="1"/>
  <c r="P267" i="1"/>
  <c r="X265" i="1"/>
  <c r="X264" i="1"/>
  <c r="BO263" i="1"/>
  <c r="BM263" i="1"/>
  <c r="Y263" i="1"/>
  <c r="Y265" i="1" s="1"/>
  <c r="P263" i="1"/>
  <c r="BP262" i="1"/>
  <c r="BO262" i="1"/>
  <c r="BN262" i="1"/>
  <c r="BM262" i="1"/>
  <c r="Z262" i="1"/>
  <c r="Y262" i="1"/>
  <c r="P262" i="1"/>
  <c r="X259" i="1"/>
  <c r="Y258" i="1"/>
  <c r="X258" i="1"/>
  <c r="BO257" i="1"/>
  <c r="BM257" i="1"/>
  <c r="Y257" i="1"/>
  <c r="BN257" i="1" s="1"/>
  <c r="P257" i="1"/>
  <c r="X255" i="1"/>
  <c r="X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X249" i="1"/>
  <c r="X248" i="1"/>
  <c r="BO247" i="1"/>
  <c r="BM247" i="1"/>
  <c r="Y247" i="1"/>
  <c r="BN247" i="1" s="1"/>
  <c r="P247" i="1"/>
  <c r="BO246" i="1"/>
  <c r="BM246" i="1"/>
  <c r="Y246" i="1"/>
  <c r="BP246" i="1" s="1"/>
  <c r="P246" i="1"/>
  <c r="BO245" i="1"/>
  <c r="BM245" i="1"/>
  <c r="Y245" i="1"/>
  <c r="BN245" i="1" s="1"/>
  <c r="P245" i="1"/>
  <c r="BO244" i="1"/>
  <c r="BM244" i="1"/>
  <c r="Y244" i="1"/>
  <c r="P244" i="1"/>
  <c r="BO243" i="1"/>
  <c r="BM243" i="1"/>
  <c r="Y243" i="1"/>
  <c r="BN243" i="1" s="1"/>
  <c r="P243" i="1"/>
  <c r="X241" i="1"/>
  <c r="X240" i="1"/>
  <c r="BO239" i="1"/>
  <c r="BM239" i="1"/>
  <c r="Y239" i="1"/>
  <c r="BN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Z233" i="1"/>
  <c r="Y233" i="1"/>
  <c r="BN233" i="1" s="1"/>
  <c r="P233" i="1"/>
  <c r="BO232" i="1"/>
  <c r="BM232" i="1"/>
  <c r="Y232" i="1"/>
  <c r="Z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K569" i="1" s="1"/>
  <c r="P211" i="1"/>
  <c r="X207" i="1"/>
  <c r="X206" i="1"/>
  <c r="BO205" i="1"/>
  <c r="BM205" i="1"/>
  <c r="Y205" i="1"/>
  <c r="Y206" i="1" s="1"/>
  <c r="P205" i="1"/>
  <c r="X203" i="1"/>
  <c r="X202" i="1"/>
  <c r="BO201" i="1"/>
  <c r="BM201" i="1"/>
  <c r="Y201" i="1"/>
  <c r="Y202" i="1" s="1"/>
  <c r="P201" i="1"/>
  <c r="X199" i="1"/>
  <c r="X198" i="1"/>
  <c r="BO197" i="1"/>
  <c r="BM197" i="1"/>
  <c r="Y197" i="1"/>
  <c r="BP197" i="1" s="1"/>
  <c r="P197" i="1"/>
  <c r="BO196" i="1"/>
  <c r="BM196" i="1"/>
  <c r="Y196" i="1"/>
  <c r="BN196" i="1" s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Z190" i="1"/>
  <c r="Y190" i="1"/>
  <c r="BN190" i="1" s="1"/>
  <c r="P190" i="1"/>
  <c r="BO189" i="1"/>
  <c r="BM189" i="1"/>
  <c r="Y189" i="1"/>
  <c r="BP189" i="1" s="1"/>
  <c r="P189" i="1"/>
  <c r="BO188" i="1"/>
  <c r="BM188" i="1"/>
  <c r="Y188" i="1"/>
  <c r="BN188" i="1" s="1"/>
  <c r="P188" i="1"/>
  <c r="BO187" i="1"/>
  <c r="BM187" i="1"/>
  <c r="Y187" i="1"/>
  <c r="BP187" i="1" s="1"/>
  <c r="P187" i="1"/>
  <c r="BO186" i="1"/>
  <c r="BM186" i="1"/>
  <c r="Y186" i="1"/>
  <c r="BP186" i="1" s="1"/>
  <c r="BO185" i="1"/>
  <c r="BM185" i="1"/>
  <c r="Y185" i="1"/>
  <c r="BN185" i="1" s="1"/>
  <c r="P185" i="1"/>
  <c r="BO184" i="1"/>
  <c r="BM184" i="1"/>
  <c r="Y184" i="1"/>
  <c r="BP184" i="1" s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X178" i="1"/>
  <c r="X177" i="1"/>
  <c r="BO176" i="1"/>
  <c r="BM176" i="1"/>
  <c r="Y176" i="1"/>
  <c r="BN176" i="1" s="1"/>
  <c r="P176" i="1"/>
  <c r="BO175" i="1"/>
  <c r="BM175" i="1"/>
  <c r="Y175" i="1"/>
  <c r="Y178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BP156" i="1" s="1"/>
  <c r="P156" i="1"/>
  <c r="BO155" i="1"/>
  <c r="BM155" i="1"/>
  <c r="Z155" i="1"/>
  <c r="Y155" i="1"/>
  <c r="BN155" i="1" s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N144" i="1" s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O138" i="1"/>
  <c r="BM138" i="1"/>
  <c r="Y138" i="1"/>
  <c r="BP138" i="1" s="1"/>
  <c r="P138" i="1"/>
  <c r="X135" i="1"/>
  <c r="X134" i="1"/>
  <c r="BO133" i="1"/>
  <c r="BM133" i="1"/>
  <c r="Y133" i="1"/>
  <c r="BO132" i="1"/>
  <c r="BM132" i="1"/>
  <c r="Y132" i="1"/>
  <c r="P132" i="1"/>
  <c r="X130" i="1"/>
  <c r="X129" i="1"/>
  <c r="BO128" i="1"/>
  <c r="BM128" i="1"/>
  <c r="Y128" i="1"/>
  <c r="BN128" i="1" s="1"/>
  <c r="BO127" i="1"/>
  <c r="BM127" i="1"/>
  <c r="Y127" i="1"/>
  <c r="BN127" i="1" s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Z124" i="1"/>
  <c r="Y124" i="1"/>
  <c r="BN124" i="1" s="1"/>
  <c r="P124" i="1"/>
  <c r="BO123" i="1"/>
  <c r="BM123" i="1"/>
  <c r="Y123" i="1"/>
  <c r="BP123" i="1" s="1"/>
  <c r="BO122" i="1"/>
  <c r="BM122" i="1"/>
  <c r="Y122" i="1"/>
  <c r="Y130" i="1" s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O108" i="1"/>
  <c r="BM108" i="1"/>
  <c r="Y108" i="1"/>
  <c r="BN108" i="1" s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P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P96" i="1"/>
  <c r="BO95" i="1"/>
  <c r="BM95" i="1"/>
  <c r="Y95" i="1"/>
  <c r="P95" i="1"/>
  <c r="BO94" i="1"/>
  <c r="BM94" i="1"/>
  <c r="Y94" i="1"/>
  <c r="BN94" i="1" s="1"/>
  <c r="BO93" i="1"/>
  <c r="BM93" i="1"/>
  <c r="Y93" i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O87" i="1"/>
  <c r="BM87" i="1"/>
  <c r="Y87" i="1"/>
  <c r="BN87" i="1" s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N79" i="1" s="1"/>
  <c r="P79" i="1"/>
  <c r="BO78" i="1"/>
  <c r="BM78" i="1"/>
  <c r="Y78" i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N67" i="1" s="1"/>
  <c r="P67" i="1"/>
  <c r="BO66" i="1"/>
  <c r="BM66" i="1"/>
  <c r="Y66" i="1"/>
  <c r="P66" i="1"/>
  <c r="BP65" i="1"/>
  <c r="BO65" i="1"/>
  <c r="BN65" i="1"/>
  <c r="BM65" i="1"/>
  <c r="Z65" i="1"/>
  <c r="Y65" i="1"/>
  <c r="P65" i="1"/>
  <c r="BO64" i="1"/>
  <c r="BM64" i="1"/>
  <c r="Y64" i="1"/>
  <c r="P64" i="1"/>
  <c r="X62" i="1"/>
  <c r="X61" i="1"/>
  <c r="BO60" i="1"/>
  <c r="BM60" i="1"/>
  <c r="Y60" i="1"/>
  <c r="BN60" i="1" s="1"/>
  <c r="P60" i="1"/>
  <c r="BO59" i="1"/>
  <c r="BM59" i="1"/>
  <c r="Y59" i="1"/>
  <c r="BP59" i="1" s="1"/>
  <c r="P59" i="1"/>
  <c r="BO58" i="1"/>
  <c r="BM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BO47" i="1"/>
  <c r="BM47" i="1"/>
  <c r="Y47" i="1"/>
  <c r="BP47" i="1" s="1"/>
  <c r="P47" i="1"/>
  <c r="X43" i="1"/>
  <c r="X42" i="1"/>
  <c r="BO41" i="1"/>
  <c r="BM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560" i="1" s="1"/>
  <c r="Y22" i="1"/>
  <c r="P22" i="1"/>
  <c r="H10" i="1"/>
  <c r="A9" i="1"/>
  <c r="A10" i="1" s="1"/>
  <c r="D7" i="1"/>
  <c r="Q6" i="1"/>
  <c r="P2" i="1"/>
  <c r="BP29" i="1" l="1"/>
  <c r="BN29" i="1"/>
  <c r="Z29" i="1"/>
  <c r="BP58" i="1"/>
  <c r="BN58" i="1"/>
  <c r="Z58" i="1"/>
  <c r="BP86" i="1"/>
  <c r="BN86" i="1"/>
  <c r="Z86" i="1"/>
  <c r="BN93" i="1"/>
  <c r="Z93" i="1"/>
  <c r="BN109" i="1"/>
  <c r="Z109" i="1"/>
  <c r="BP133" i="1"/>
  <c r="BN133" i="1"/>
  <c r="Z133" i="1"/>
  <c r="BP148" i="1"/>
  <c r="BN148" i="1"/>
  <c r="Z148" i="1"/>
  <c r="BN182" i="1"/>
  <c r="BN253" i="1"/>
  <c r="Z253" i="1"/>
  <c r="BP276" i="1"/>
  <c r="BN276" i="1"/>
  <c r="Z276" i="1"/>
  <c r="BP284" i="1"/>
  <c r="BN284" i="1"/>
  <c r="Z284" i="1"/>
  <c r="BP41" i="1"/>
  <c r="BN41" i="1"/>
  <c r="Z41" i="1"/>
  <c r="BP71" i="1"/>
  <c r="BN71" i="1"/>
  <c r="Z71" i="1"/>
  <c r="BP106" i="1"/>
  <c r="BN106" i="1"/>
  <c r="Z106" i="1"/>
  <c r="BP157" i="1"/>
  <c r="BN157" i="1"/>
  <c r="Z157" i="1"/>
  <c r="BP235" i="1"/>
  <c r="BN235" i="1"/>
  <c r="Z235" i="1"/>
  <c r="BN294" i="1"/>
  <c r="BN309" i="1"/>
  <c r="BN435" i="1"/>
  <c r="BN497" i="1"/>
  <c r="BN507" i="1"/>
  <c r="BN517" i="1"/>
  <c r="BN525" i="1"/>
  <c r="Y74" i="1"/>
  <c r="Y135" i="1"/>
  <c r="BN186" i="1"/>
  <c r="BN226" i="1"/>
  <c r="BN237" i="1"/>
  <c r="BN278" i="1"/>
  <c r="BN286" i="1"/>
  <c r="Z305" i="1"/>
  <c r="Z332" i="1"/>
  <c r="BN332" i="1"/>
  <c r="Q569" i="1"/>
  <c r="BN359" i="1"/>
  <c r="BN366" i="1"/>
  <c r="BN375" i="1"/>
  <c r="BN411" i="1"/>
  <c r="Z431" i="1"/>
  <c r="BN431" i="1"/>
  <c r="BN433" i="1"/>
  <c r="Z481" i="1"/>
  <c r="BN481" i="1"/>
  <c r="BN492" i="1"/>
  <c r="BN509" i="1"/>
  <c r="BN523" i="1"/>
  <c r="BN551" i="1"/>
  <c r="BP159" i="1"/>
  <c r="Z159" i="1"/>
  <c r="BP185" i="1"/>
  <c r="L569" i="1"/>
  <c r="Y223" i="1"/>
  <c r="BN222" i="1"/>
  <c r="BP222" i="1"/>
  <c r="BP247" i="1"/>
  <c r="Y255" i="1"/>
  <c r="BP251" i="1"/>
  <c r="Z251" i="1"/>
  <c r="BP290" i="1"/>
  <c r="BP387" i="1"/>
  <c r="Y395" i="1"/>
  <c r="BP391" i="1"/>
  <c r="Z391" i="1"/>
  <c r="BN479" i="1"/>
  <c r="BP479" i="1"/>
  <c r="Z479" i="1"/>
  <c r="X561" i="1"/>
  <c r="X562" i="1" s="1"/>
  <c r="Z27" i="1"/>
  <c r="BP27" i="1"/>
  <c r="BN31" i="1"/>
  <c r="BN39" i="1"/>
  <c r="BN47" i="1"/>
  <c r="Y52" i="1"/>
  <c r="BN56" i="1"/>
  <c r="Z60" i="1"/>
  <c r="BP60" i="1"/>
  <c r="Z67" i="1"/>
  <c r="BP67" i="1"/>
  <c r="Z73" i="1"/>
  <c r="BP73" i="1"/>
  <c r="Y81" i="1"/>
  <c r="Z79" i="1"/>
  <c r="BP79" i="1"/>
  <c r="BP93" i="1"/>
  <c r="BP124" i="1"/>
  <c r="BN132" i="1"/>
  <c r="BN138" i="1"/>
  <c r="J569" i="1"/>
  <c r="Z185" i="1"/>
  <c r="Z222" i="1"/>
  <c r="Z223" i="1" s="1"/>
  <c r="BP228" i="1"/>
  <c r="Z228" i="1"/>
  <c r="BP233" i="1"/>
  <c r="Z247" i="1"/>
  <c r="Y254" i="1"/>
  <c r="BP253" i="1"/>
  <c r="Y259" i="1"/>
  <c r="BP257" i="1"/>
  <c r="Z257" i="1"/>
  <c r="Z258" i="1" s="1"/>
  <c r="Z290" i="1"/>
  <c r="BP305" i="1"/>
  <c r="BP339" i="1"/>
  <c r="R569" i="1"/>
  <c r="BP346" i="1"/>
  <c r="Z346" i="1"/>
  <c r="Z387" i="1"/>
  <c r="BP393" i="1"/>
  <c r="Y401" i="1"/>
  <c r="BP397" i="1"/>
  <c r="Z397" i="1"/>
  <c r="BN437" i="1"/>
  <c r="BP437" i="1"/>
  <c r="Z437" i="1"/>
  <c r="BN527" i="1"/>
  <c r="BP527" i="1"/>
  <c r="Z527" i="1"/>
  <c r="X559" i="1"/>
  <c r="BP87" i="1"/>
  <c r="BP94" i="1"/>
  <c r="Z94" i="1"/>
  <c r="BP104" i="1"/>
  <c r="BP117" i="1"/>
  <c r="BP127" i="1"/>
  <c r="Z127" i="1"/>
  <c r="BP128" i="1"/>
  <c r="BN159" i="1"/>
  <c r="BP176" i="1"/>
  <c r="Z176" i="1"/>
  <c r="BP188" i="1"/>
  <c r="Z188" i="1"/>
  <c r="BP230" i="1"/>
  <c r="BN251" i="1"/>
  <c r="BP268" i="1"/>
  <c r="Y280" i="1"/>
  <c r="BP272" i="1"/>
  <c r="Z272" i="1"/>
  <c r="BP330" i="1"/>
  <c r="BP348" i="1"/>
  <c r="BP354" i="1"/>
  <c r="Z354" i="1"/>
  <c r="BP361" i="1"/>
  <c r="Z361" i="1"/>
  <c r="BP369" i="1"/>
  <c r="Z369" i="1"/>
  <c r="BP377" i="1"/>
  <c r="Z377" i="1"/>
  <c r="BN391" i="1"/>
  <c r="BP399" i="1"/>
  <c r="BP405" i="1"/>
  <c r="Z405" i="1"/>
  <c r="BN511" i="1"/>
  <c r="BP511" i="1"/>
  <c r="Z511" i="1"/>
  <c r="B569" i="1"/>
  <c r="BN27" i="1"/>
  <c r="Y32" i="1"/>
  <c r="Z31" i="1"/>
  <c r="Z39" i="1"/>
  <c r="Z47" i="1"/>
  <c r="Z56" i="1"/>
  <c r="Z87" i="1"/>
  <c r="Y100" i="1"/>
  <c r="Z104" i="1"/>
  <c r="BP108" i="1"/>
  <c r="Z108" i="1"/>
  <c r="BP109" i="1"/>
  <c r="Y119" i="1"/>
  <c r="Z117" i="1"/>
  <c r="Z128" i="1"/>
  <c r="Z132" i="1"/>
  <c r="BP132" i="1"/>
  <c r="Y134" i="1"/>
  <c r="Z138" i="1"/>
  <c r="BP144" i="1"/>
  <c r="Z144" i="1"/>
  <c r="I569" i="1"/>
  <c r="BP155" i="1"/>
  <c r="BP190" i="1"/>
  <c r="Y198" i="1"/>
  <c r="BP196" i="1"/>
  <c r="Z196" i="1"/>
  <c r="BN228" i="1"/>
  <c r="Z230" i="1"/>
  <c r="BP239" i="1"/>
  <c r="Z239" i="1"/>
  <c r="Y248" i="1"/>
  <c r="BP245" i="1"/>
  <c r="Z245" i="1"/>
  <c r="Z268" i="1"/>
  <c r="Y281" i="1"/>
  <c r="BP274" i="1"/>
  <c r="BP288" i="1"/>
  <c r="Z288" i="1"/>
  <c r="Z330" i="1"/>
  <c r="BN346" i="1"/>
  <c r="Z348" i="1"/>
  <c r="BP379" i="1"/>
  <c r="Y389" i="1"/>
  <c r="BP385" i="1"/>
  <c r="Z385" i="1"/>
  <c r="BN397" i="1"/>
  <c r="Z399" i="1"/>
  <c r="Y569" i="1"/>
  <c r="Y249" i="1"/>
  <c r="Y381" i="1"/>
  <c r="Y413" i="1"/>
  <c r="Z435" i="1"/>
  <c r="Z477" i="1"/>
  <c r="BP477" i="1"/>
  <c r="Y500" i="1"/>
  <c r="Z509" i="1"/>
  <c r="Z517" i="1"/>
  <c r="Y530" i="1"/>
  <c r="Z525" i="1"/>
  <c r="Z551" i="1"/>
  <c r="Y150" i="1"/>
  <c r="Y192" i="1"/>
  <c r="Z182" i="1"/>
  <c r="Z186" i="1"/>
  <c r="Z226" i="1"/>
  <c r="Z237" i="1"/>
  <c r="Z243" i="1"/>
  <c r="BP243" i="1"/>
  <c r="Z278" i="1"/>
  <c r="Y295" i="1"/>
  <c r="Z286" i="1"/>
  <c r="Z294" i="1"/>
  <c r="Y300" i="1"/>
  <c r="Z309" i="1"/>
  <c r="Y326" i="1"/>
  <c r="Z359" i="1"/>
  <c r="Z366" i="1"/>
  <c r="Z375" i="1"/>
  <c r="Z411" i="1"/>
  <c r="Z433" i="1"/>
  <c r="X569" i="1"/>
  <c r="Z492" i="1"/>
  <c r="Z493" i="1" s="1"/>
  <c r="Z497" i="1"/>
  <c r="Z507" i="1"/>
  <c r="Z523" i="1"/>
  <c r="F9" i="1"/>
  <c r="J9" i="1"/>
  <c r="F10" i="1"/>
  <c r="Z22" i="1"/>
  <c r="Z24" i="1" s="1"/>
  <c r="BN22" i="1"/>
  <c r="BP22" i="1"/>
  <c r="X563" i="1"/>
  <c r="Y25" i="1"/>
  <c r="Z28" i="1"/>
  <c r="Z32" i="1" s="1"/>
  <c r="BN28" i="1"/>
  <c r="BP28" i="1"/>
  <c r="Z30" i="1"/>
  <c r="BN30" i="1"/>
  <c r="C569" i="1"/>
  <c r="Z38" i="1"/>
  <c r="Z42" i="1" s="1"/>
  <c r="BN38" i="1"/>
  <c r="BP38" i="1"/>
  <c r="Z40" i="1"/>
  <c r="BN40" i="1"/>
  <c r="Y43" i="1"/>
  <c r="D569" i="1"/>
  <c r="Z48" i="1"/>
  <c r="BN48" i="1"/>
  <c r="BP48" i="1"/>
  <c r="Z50" i="1"/>
  <c r="BN50" i="1"/>
  <c r="Y51" i="1"/>
  <c r="Z55" i="1"/>
  <c r="BN55" i="1"/>
  <c r="Z57" i="1"/>
  <c r="BN57" i="1"/>
  <c r="Z59" i="1"/>
  <c r="BN59" i="1"/>
  <c r="BP66" i="1"/>
  <c r="BN66" i="1"/>
  <c r="Z66" i="1"/>
  <c r="Y75" i="1"/>
  <c r="BP78" i="1"/>
  <c r="BN78" i="1"/>
  <c r="Z78" i="1"/>
  <c r="BP88" i="1"/>
  <c r="BN88" i="1"/>
  <c r="Z88" i="1"/>
  <c r="Y99" i="1"/>
  <c r="BP98" i="1"/>
  <c r="BN98" i="1"/>
  <c r="Z98" i="1"/>
  <c r="G569" i="1"/>
  <c r="Y111" i="1"/>
  <c r="BP103" i="1"/>
  <c r="BN103" i="1"/>
  <c r="Z103" i="1"/>
  <c r="Y112" i="1"/>
  <c r="H9" i="1"/>
  <c r="Y24" i="1"/>
  <c r="E569" i="1"/>
  <c r="Y61" i="1"/>
  <c r="Y62" i="1"/>
  <c r="Y69" i="1"/>
  <c r="BP64" i="1"/>
  <c r="BN64" i="1"/>
  <c r="Z64" i="1"/>
  <c r="Y68" i="1"/>
  <c r="BP72" i="1"/>
  <c r="BN72" i="1"/>
  <c r="Z72" i="1"/>
  <c r="BP80" i="1"/>
  <c r="BN80" i="1"/>
  <c r="Z80" i="1"/>
  <c r="Y82" i="1"/>
  <c r="F569" i="1"/>
  <c r="Y91" i="1"/>
  <c r="BP85" i="1"/>
  <c r="BN85" i="1"/>
  <c r="Z85" i="1"/>
  <c r="Y90" i="1"/>
  <c r="BP95" i="1"/>
  <c r="BN95" i="1"/>
  <c r="Z95" i="1"/>
  <c r="Y120" i="1"/>
  <c r="Y129" i="1"/>
  <c r="Y141" i="1"/>
  <c r="Y145" i="1"/>
  <c r="Y151" i="1"/>
  <c r="Y162" i="1"/>
  <c r="Y166" i="1"/>
  <c r="Y173" i="1"/>
  <c r="Y177" i="1"/>
  <c r="Y193" i="1"/>
  <c r="Y199" i="1"/>
  <c r="Y203" i="1"/>
  <c r="Y207" i="1"/>
  <c r="Z212" i="1"/>
  <c r="BN212" i="1"/>
  <c r="Z214" i="1"/>
  <c r="BN214" i="1"/>
  <c r="Z216" i="1"/>
  <c r="BN216" i="1"/>
  <c r="Y219" i="1"/>
  <c r="Y224" i="1"/>
  <c r="Y241" i="1"/>
  <c r="Z227" i="1"/>
  <c r="BN227" i="1"/>
  <c r="Z229" i="1"/>
  <c r="BN229" i="1"/>
  <c r="Z231" i="1"/>
  <c r="BN231" i="1"/>
  <c r="BP232" i="1"/>
  <c r="BN232" i="1"/>
  <c r="BP234" i="1"/>
  <c r="BN234" i="1"/>
  <c r="Z234" i="1"/>
  <c r="BP238" i="1"/>
  <c r="BN238" i="1"/>
  <c r="Z238" i="1"/>
  <c r="Z105" i="1"/>
  <c r="BN105" i="1"/>
  <c r="Z107" i="1"/>
  <c r="BN107" i="1"/>
  <c r="Z110" i="1"/>
  <c r="BN110" i="1"/>
  <c r="Z114" i="1"/>
  <c r="BN114" i="1"/>
  <c r="BP114" i="1"/>
  <c r="Z116" i="1"/>
  <c r="BN116" i="1"/>
  <c r="Z118" i="1"/>
  <c r="BN118" i="1"/>
  <c r="Z122" i="1"/>
  <c r="BN122" i="1"/>
  <c r="BP122" i="1"/>
  <c r="Z123" i="1"/>
  <c r="BN123" i="1"/>
  <c r="Z125" i="1"/>
  <c r="BN125" i="1"/>
  <c r="Z126" i="1"/>
  <c r="BN126" i="1"/>
  <c r="H569" i="1"/>
  <c r="Z139" i="1"/>
  <c r="Z140" i="1" s="1"/>
  <c r="BN139" i="1"/>
  <c r="Y140" i="1"/>
  <c r="Z143" i="1"/>
  <c r="BN143" i="1"/>
  <c r="BP143" i="1"/>
  <c r="Z149" i="1"/>
  <c r="Z150" i="1" s="1"/>
  <c r="BN149" i="1"/>
  <c r="Z154" i="1"/>
  <c r="BN154" i="1"/>
  <c r="BP154" i="1"/>
  <c r="Z156" i="1"/>
  <c r="BN156" i="1"/>
  <c r="Z158" i="1"/>
  <c r="BN158" i="1"/>
  <c r="Z160" i="1"/>
  <c r="BN160" i="1"/>
  <c r="Y161" i="1"/>
  <c r="Z164" i="1"/>
  <c r="Z165" i="1" s="1"/>
  <c r="BN164" i="1"/>
  <c r="BP164" i="1"/>
  <c r="Z169" i="1"/>
  <c r="BN169" i="1"/>
  <c r="BP169" i="1"/>
  <c r="Z171" i="1"/>
  <c r="BN171" i="1"/>
  <c r="Y172" i="1"/>
  <c r="Z175" i="1"/>
  <c r="Z177" i="1" s="1"/>
  <c r="BN175" i="1"/>
  <c r="BP175" i="1"/>
  <c r="Z181" i="1"/>
  <c r="BN181" i="1"/>
  <c r="Z183" i="1"/>
  <c r="BN183" i="1"/>
  <c r="Z184" i="1"/>
  <c r="BN184" i="1"/>
  <c r="Z187" i="1"/>
  <c r="BN187" i="1"/>
  <c r="Z189" i="1"/>
  <c r="BN189" i="1"/>
  <c r="Z191" i="1"/>
  <c r="BN191" i="1"/>
  <c r="Z195" i="1"/>
  <c r="BN195" i="1"/>
  <c r="BP195" i="1"/>
  <c r="Z197" i="1"/>
  <c r="BN197" i="1"/>
  <c r="Z201" i="1"/>
  <c r="Z202" i="1" s="1"/>
  <c r="BN201" i="1"/>
  <c r="BP201" i="1"/>
  <c r="Z205" i="1"/>
  <c r="Z206" i="1" s="1"/>
  <c r="BN205" i="1"/>
  <c r="BP205" i="1"/>
  <c r="Z211" i="1"/>
  <c r="BN211" i="1"/>
  <c r="BP211" i="1"/>
  <c r="Z213" i="1"/>
  <c r="BN213" i="1"/>
  <c r="Z215" i="1"/>
  <c r="BN215" i="1"/>
  <c r="Z217" i="1"/>
  <c r="BN217" i="1"/>
  <c r="Y218" i="1"/>
  <c r="BP236" i="1"/>
  <c r="BN236" i="1"/>
  <c r="Z236" i="1"/>
  <c r="Y240" i="1"/>
  <c r="Z244" i="1"/>
  <c r="BN244" i="1"/>
  <c r="BP244" i="1"/>
  <c r="Z246" i="1"/>
  <c r="BN246" i="1"/>
  <c r="Z252" i="1"/>
  <c r="Z254" i="1" s="1"/>
  <c r="BN252" i="1"/>
  <c r="BP252" i="1"/>
  <c r="M569" i="1"/>
  <c r="Z263" i="1"/>
  <c r="Z264" i="1" s="1"/>
  <c r="BN263" i="1"/>
  <c r="BP263" i="1"/>
  <c r="Y264" i="1"/>
  <c r="Z267" i="1"/>
  <c r="Z269" i="1" s="1"/>
  <c r="BN267" i="1"/>
  <c r="BP267" i="1"/>
  <c r="Y270" i="1"/>
  <c r="Z273" i="1"/>
  <c r="BN273" i="1"/>
  <c r="BP273" i="1"/>
  <c r="Z275" i="1"/>
  <c r="BN275" i="1"/>
  <c r="Z277" i="1"/>
  <c r="BN277" i="1"/>
  <c r="Z279" i="1"/>
  <c r="BN279" i="1"/>
  <c r="Z283" i="1"/>
  <c r="BN283" i="1"/>
  <c r="BP283" i="1"/>
  <c r="Z285" i="1"/>
  <c r="BN285" i="1"/>
  <c r="Z287" i="1"/>
  <c r="BN287" i="1"/>
  <c r="Z289" i="1"/>
  <c r="BN289" i="1"/>
  <c r="Z291" i="1"/>
  <c r="BN291" i="1"/>
  <c r="Z293" i="1"/>
  <c r="BN293" i="1"/>
  <c r="Y296" i="1"/>
  <c r="Z299" i="1"/>
  <c r="Z300" i="1" s="1"/>
  <c r="BN299" i="1"/>
  <c r="BP299" i="1"/>
  <c r="Z304" i="1"/>
  <c r="BN304" i="1"/>
  <c r="BP304" i="1"/>
  <c r="Z306" i="1"/>
  <c r="BN306" i="1"/>
  <c r="Z308" i="1"/>
  <c r="BN308" i="1"/>
  <c r="Z310" i="1"/>
  <c r="BN310" i="1"/>
  <c r="Y311" i="1"/>
  <c r="Z314" i="1"/>
  <c r="Z315" i="1" s="1"/>
  <c r="BN314" i="1"/>
  <c r="BP314" i="1"/>
  <c r="Y315" i="1"/>
  <c r="Z318" i="1"/>
  <c r="Z319" i="1" s="1"/>
  <c r="BN318" i="1"/>
  <c r="BP318" i="1"/>
  <c r="Y319" i="1"/>
  <c r="Z322" i="1"/>
  <c r="BN322" i="1"/>
  <c r="BP322" i="1"/>
  <c r="Z324" i="1"/>
  <c r="BN324" i="1"/>
  <c r="Y325" i="1"/>
  <c r="Z329" i="1"/>
  <c r="BN329" i="1"/>
  <c r="BP329" i="1"/>
  <c r="Z331" i="1"/>
  <c r="BN331" i="1"/>
  <c r="Z333" i="1"/>
  <c r="BN333" i="1"/>
  <c r="Y334" i="1"/>
  <c r="Z338" i="1"/>
  <c r="BN338" i="1"/>
  <c r="BP338" i="1"/>
  <c r="Z340" i="1"/>
  <c r="BN340" i="1"/>
  <c r="Y341" i="1"/>
  <c r="Z345" i="1"/>
  <c r="BN345" i="1"/>
  <c r="BP345" i="1"/>
  <c r="Z347" i="1"/>
  <c r="BN347" i="1"/>
  <c r="Z349" i="1"/>
  <c r="BN349" i="1"/>
  <c r="Y350" i="1"/>
  <c r="Z353" i="1"/>
  <c r="Z355" i="1" s="1"/>
  <c r="BN353" i="1"/>
  <c r="BP353" i="1"/>
  <c r="Y356" i="1"/>
  <c r="S569" i="1"/>
  <c r="Z360" i="1"/>
  <c r="BN360" i="1"/>
  <c r="BP360" i="1"/>
  <c r="Y363" i="1"/>
  <c r="T569" i="1"/>
  <c r="Z367" i="1"/>
  <c r="BN367" i="1"/>
  <c r="Y372" i="1"/>
  <c r="Y382" i="1"/>
  <c r="Y388" i="1"/>
  <c r="Y394" i="1"/>
  <c r="Y402" i="1"/>
  <c r="Y408" i="1"/>
  <c r="Y414" i="1"/>
  <c r="Z418" i="1"/>
  <c r="BN418" i="1"/>
  <c r="Y419" i="1"/>
  <c r="Z423" i="1"/>
  <c r="BN423" i="1"/>
  <c r="BP423" i="1"/>
  <c r="Z425" i="1"/>
  <c r="BN425" i="1"/>
  <c r="BP432" i="1"/>
  <c r="BN432" i="1"/>
  <c r="Z432" i="1"/>
  <c r="Y312" i="1"/>
  <c r="Y335" i="1"/>
  <c r="Y342" i="1"/>
  <c r="Y351" i="1"/>
  <c r="Z368" i="1"/>
  <c r="BN368" i="1"/>
  <c r="Z370" i="1"/>
  <c r="BN370" i="1"/>
  <c r="Y371" i="1"/>
  <c r="Z374" i="1"/>
  <c r="BN374" i="1"/>
  <c r="BP374" i="1"/>
  <c r="Z376" i="1"/>
  <c r="BN376" i="1"/>
  <c r="Z378" i="1"/>
  <c r="BN378" i="1"/>
  <c r="Z380" i="1"/>
  <c r="BN380" i="1"/>
  <c r="Z384" i="1"/>
  <c r="BN384" i="1"/>
  <c r="BP384" i="1"/>
  <c r="Z386" i="1"/>
  <c r="BN386" i="1"/>
  <c r="Z392" i="1"/>
  <c r="BN392" i="1"/>
  <c r="Z398" i="1"/>
  <c r="BN398" i="1"/>
  <c r="Z400" i="1"/>
  <c r="BN400" i="1"/>
  <c r="Z404" i="1"/>
  <c r="BN404" i="1"/>
  <c r="BP404" i="1"/>
  <c r="Z406" i="1"/>
  <c r="BN406" i="1"/>
  <c r="Z410" i="1"/>
  <c r="BN410" i="1"/>
  <c r="BP410" i="1"/>
  <c r="Z412" i="1"/>
  <c r="BN412" i="1"/>
  <c r="Z417" i="1"/>
  <c r="Z419" i="1" s="1"/>
  <c r="BN417" i="1"/>
  <c r="BP417" i="1"/>
  <c r="Y420" i="1"/>
  <c r="V569" i="1"/>
  <c r="Y427" i="1"/>
  <c r="Z424" i="1"/>
  <c r="BN424" i="1"/>
  <c r="W569" i="1"/>
  <c r="Z434" i="1"/>
  <c r="BN434" i="1"/>
  <c r="Z436" i="1"/>
  <c r="BN436" i="1"/>
  <c r="Z438" i="1"/>
  <c r="BN438" i="1"/>
  <c r="Y439" i="1"/>
  <c r="Z442" i="1"/>
  <c r="BN442" i="1"/>
  <c r="BP442" i="1"/>
  <c r="Z444" i="1"/>
  <c r="BN444" i="1"/>
  <c r="Y445" i="1"/>
  <c r="Z448" i="1"/>
  <c r="BN448" i="1"/>
  <c r="BP448" i="1"/>
  <c r="Z450" i="1"/>
  <c r="BN450" i="1"/>
  <c r="Y451" i="1"/>
  <c r="Z454" i="1"/>
  <c r="BN454" i="1"/>
  <c r="BP454" i="1"/>
  <c r="Y457" i="1"/>
  <c r="Z461" i="1"/>
  <c r="BN461" i="1"/>
  <c r="Y462" i="1"/>
  <c r="Z465" i="1"/>
  <c r="Z466" i="1" s="1"/>
  <c r="BN465" i="1"/>
  <c r="BP465" i="1"/>
  <c r="Y466" i="1"/>
  <c r="Z469" i="1"/>
  <c r="BN469" i="1"/>
  <c r="BP469" i="1"/>
  <c r="Z471" i="1"/>
  <c r="BN471" i="1"/>
  <c r="Y472" i="1"/>
  <c r="Y484" i="1"/>
  <c r="Z487" i="1"/>
  <c r="BN487" i="1"/>
  <c r="Y488" i="1"/>
  <c r="BP492" i="1"/>
  <c r="Y493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Z569" i="1"/>
  <c r="Y440" i="1"/>
  <c r="Z443" i="1"/>
  <c r="BN443" i="1"/>
  <c r="Z449" i="1"/>
  <c r="BN449" i="1"/>
  <c r="Z455" i="1"/>
  <c r="BN455" i="1"/>
  <c r="Z460" i="1"/>
  <c r="Z462" i="1" s="1"/>
  <c r="BN460" i="1"/>
  <c r="BP460" i="1"/>
  <c r="Y463" i="1"/>
  <c r="Z470" i="1"/>
  <c r="BN470" i="1"/>
  <c r="Z478" i="1"/>
  <c r="BN478" i="1"/>
  <c r="Z480" i="1"/>
  <c r="BN480" i="1"/>
  <c r="Z482" i="1"/>
  <c r="BN482" i="1"/>
  <c r="Y483" i="1"/>
  <c r="Z486" i="1"/>
  <c r="Z488" i="1" s="1"/>
  <c r="BN486" i="1"/>
  <c r="BP486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BP526" i="1"/>
  <c r="BN526" i="1"/>
  <c r="Z526" i="1"/>
  <c r="AB569" i="1"/>
  <c r="Y558" i="1"/>
  <c r="Z394" i="1" l="1"/>
  <c r="Z362" i="1"/>
  <c r="Z240" i="1"/>
  <c r="Z145" i="1"/>
  <c r="Z74" i="1"/>
  <c r="Z68" i="1"/>
  <c r="Z134" i="1"/>
  <c r="Z529" i="1"/>
  <c r="Z371" i="1"/>
  <c r="Z341" i="1"/>
  <c r="Z334" i="1"/>
  <c r="Z311" i="1"/>
  <c r="Z248" i="1"/>
  <c r="Z198" i="1"/>
  <c r="Z192" i="1"/>
  <c r="Z129" i="1"/>
  <c r="Z51" i="1"/>
  <c r="Z439" i="1"/>
  <c r="Z413" i="1"/>
  <c r="Z388" i="1"/>
  <c r="Z350" i="1"/>
  <c r="Z325" i="1"/>
  <c r="Z280" i="1"/>
  <c r="Z161" i="1"/>
  <c r="Z99" i="1"/>
  <c r="Z90" i="1"/>
  <c r="Z483" i="1"/>
  <c r="Z401" i="1"/>
  <c r="Z513" i="1"/>
  <c r="Z456" i="1"/>
  <c r="Z451" i="1"/>
  <c r="Z445" i="1"/>
  <c r="Z407" i="1"/>
  <c r="Z381" i="1"/>
  <c r="Z295" i="1"/>
  <c r="Z218" i="1"/>
  <c r="Z172" i="1"/>
  <c r="Z119" i="1"/>
  <c r="Y563" i="1"/>
  <c r="Z111" i="1"/>
  <c r="Z81" i="1"/>
  <c r="Z61" i="1"/>
  <c r="Y559" i="1"/>
  <c r="Y561" i="1"/>
  <c r="Z519" i="1"/>
  <c r="Z472" i="1"/>
  <c r="Z426" i="1"/>
  <c r="Y560" i="1"/>
  <c r="Y562" i="1" s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<sst xmlns="http://schemas.openxmlformats.org/spreadsheetml/2006/main" count="2558" uniqueCount="917">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</sst>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46265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895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7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0.54166666666666663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24</v>
      </c>
      <c r="Y29" s="644">
        <f>IFERROR(IF(X29="",0,CEILING((X29/$H29),1)*$H29),"")</f>
        <v>25.2</v>
      </c>
      <c r="Z29" s="36">
        <f>IFERROR(IF(Y29=0,"",ROUNDUP(Y29/H29,0)*0.00651),"")</f>
        <v>9.1139999999999999E-2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42.400000000000006</v>
      </c>
      <c r="BN29" s="64">
        <f>IFERROR(Y29*I29/H29,"0")</f>
        <v>44.519999999999996</v>
      </c>
      <c r="BO29" s="64">
        <f>IFERROR(1/J29*(X29/H29),"0")</f>
        <v>7.3260073260073263E-2</v>
      </c>
      <c r="BP29" s="64">
        <f>IFERROR(1/J29*(Y29/H29),"0")</f>
        <v>7.6923076923076927E-2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24</v>
      </c>
      <c r="Y30" s="644">
        <f>IFERROR(IF(X30="",0,CEILING((X30/$H30),1)*$H30),"")</f>
        <v>25.2</v>
      </c>
      <c r="Z30" s="36">
        <f>IFERROR(IF(Y30=0,"",ROUNDUP(Y30/H30,0)*0.00651),"")</f>
        <v>9.1139999999999999E-2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42.400000000000006</v>
      </c>
      <c r="BN30" s="64">
        <f>IFERROR(Y30*I30/H30,"0")</f>
        <v>44.519999999999996</v>
      </c>
      <c r="BO30" s="64">
        <f>IFERROR(1/J30*(X30/H30),"0")</f>
        <v>7.3260073260073263E-2</v>
      </c>
      <c r="BP30" s="64">
        <f>IFERROR(1/J30*(Y30/H30),"0")</f>
        <v>7.6923076923076927E-2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26.666666666666664</v>
      </c>
      <c r="Y32" s="645">
        <f>IFERROR(Y27/H27,"0")+IFERROR(Y28/H28,"0")+IFERROR(Y29/H29,"0")+IFERROR(Y30/H30,"0")+IFERROR(Y31/H31,"0")</f>
        <v>28</v>
      </c>
      <c r="Z32" s="645">
        <f>IFERROR(IF(Z27="",0,Z27),"0")+IFERROR(IF(Z28="",0,Z28),"0")+IFERROR(IF(Z29="",0,Z29),"0")+IFERROR(IF(Z30="",0,Z30),"0")+IFERROR(IF(Z31="",0,Z31),"0")</f>
        <v>0.18228</v>
      </c>
      <c r="AA32" s="646"/>
      <c r="AB32" s="646"/>
      <c r="AC32" s="646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48</v>
      </c>
      <c r="Y33" s="645">
        <f>IFERROR(SUM(Y27:Y31),"0")</f>
        <v>50.4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0</v>
      </c>
      <c r="Y47" s="64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35</v>
      </c>
      <c r="Y50" s="644">
        <f>IFERROR(IF(X50="",0,CEILING((X50/$H50),1)*$H50),"")</f>
        <v>37</v>
      </c>
      <c r="Z50" s="36">
        <f>IFERROR(IF(Y50=0,"",ROUNDUP(Y50/H50,0)*0.00902),"")</f>
        <v>9.0200000000000002E-2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36.797297297297298</v>
      </c>
      <c r="BN50" s="64">
        <f>IFERROR(Y50*I50/H50,"0")</f>
        <v>38.9</v>
      </c>
      <c r="BO50" s="64">
        <f>IFERROR(1/J50*(X50/H50),"0")</f>
        <v>7.1662571662571672E-2</v>
      </c>
      <c r="BP50" s="64">
        <f>IFERROR(1/J50*(Y50/H50),"0")</f>
        <v>7.575757575757576E-2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9.4594594594594597</v>
      </c>
      <c r="Y51" s="645">
        <f>IFERROR(Y47/H47,"0")+IFERROR(Y48/H48,"0")+IFERROR(Y49/H49,"0")+IFERROR(Y50/H50,"0")</f>
        <v>10</v>
      </c>
      <c r="Z51" s="645">
        <f>IFERROR(IF(Z47="",0,Z47),"0")+IFERROR(IF(Z48="",0,Z48),"0")+IFERROR(IF(Z49="",0,Z49),"0")+IFERROR(IF(Z50="",0,Z50),"0")</f>
        <v>9.0200000000000002E-2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35</v>
      </c>
      <c r="Y52" s="645">
        <f>IFERROR(SUM(Y47:Y50),"0")</f>
        <v>37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7</v>
      </c>
      <c r="Y55" s="644">
        <f t="shared" ref="Y55:Y60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7.2562500000000005</v>
      </c>
      <c r="BN55" s="64">
        <f t="shared" ref="BN55:BN60" si="2">IFERROR(Y55*I55/H55,"0")</f>
        <v>11.61</v>
      </c>
      <c r="BO55" s="64">
        <f t="shared" ref="BO55:BO60" si="3">IFERROR(1/J55*(X55/H55),"0")</f>
        <v>9.765625E-3</v>
      </c>
      <c r="BP55" s="64">
        <f t="shared" ref="BP55:BP60" si="4">IFERROR(1/J55*(Y55/H55),"0")</f>
        <v>1.5625E-2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71</v>
      </c>
      <c r="Y56" s="644">
        <f t="shared" si="0"/>
        <v>75.600000000000009</v>
      </c>
      <c r="Z56" s="36">
        <f>IFERROR(IF(Y56=0,"",ROUNDUP(Y56/H56,0)*0.01898),"")</f>
        <v>0.13286000000000001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73.69537037037037</v>
      </c>
      <c r="BN56" s="64">
        <f t="shared" si="2"/>
        <v>78.47</v>
      </c>
      <c r="BO56" s="64">
        <f t="shared" si="3"/>
        <v>0.1027199074074074</v>
      </c>
      <c r="BP56" s="64">
        <f t="shared" si="4"/>
        <v>0.109375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8</v>
      </c>
      <c r="Y58" s="644">
        <f t="shared" si="0"/>
        <v>8</v>
      </c>
      <c r="Z58" s="36">
        <f>IFERROR(IF(Y58=0,"",ROUNDUP(Y58/H58,0)*0.00902),"")</f>
        <v>1.804E-2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8.3800000000000008</v>
      </c>
      <c r="BN58" s="64">
        <f t="shared" si="2"/>
        <v>8.3800000000000008</v>
      </c>
      <c r="BO58" s="64">
        <f t="shared" si="3"/>
        <v>1.5151515151515152E-2</v>
      </c>
      <c r="BP58" s="64">
        <f t="shared" si="4"/>
        <v>1.5151515151515152E-2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53</v>
      </c>
      <c r="Y60" s="644">
        <f t="shared" si="0"/>
        <v>54</v>
      </c>
      <c r="Z60" s="36">
        <f>IFERROR(IF(Y60=0,"",ROUNDUP(Y60/H60,0)*0.00902),"")</f>
        <v>0.10824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55.237777777777779</v>
      </c>
      <c r="BN60" s="64">
        <f t="shared" si="2"/>
        <v>56.28</v>
      </c>
      <c r="BO60" s="64">
        <f t="shared" si="3"/>
        <v>8.9225589225589236E-2</v>
      </c>
      <c r="BP60" s="64">
        <f t="shared" si="4"/>
        <v>9.0909090909090912E-2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20.976851851851851</v>
      </c>
      <c r="Y61" s="645">
        <f>IFERROR(Y55/H55,"0")+IFERROR(Y56/H56,"0")+IFERROR(Y57/H57,"0")+IFERROR(Y58/H58,"0")+IFERROR(Y59/H59,"0")+IFERROR(Y60/H60,"0")</f>
        <v>22</v>
      </c>
      <c r="Z61" s="645">
        <f>IFERROR(IF(Z55="",0,Z55),"0")+IFERROR(IF(Z56="",0,Z56),"0")+IFERROR(IF(Z57="",0,Z57),"0")+IFERROR(IF(Z58="",0,Z58),"0")+IFERROR(IF(Z59="",0,Z59),"0")+IFERROR(IF(Z60="",0,Z60),"0")</f>
        <v>0.27812000000000003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139</v>
      </c>
      <c r="Y62" s="645">
        <f>IFERROR(SUM(Y55:Y60),"0")</f>
        <v>148.80000000000001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94</v>
      </c>
      <c r="Y64" s="644">
        <f>IFERROR(IF(X64="",0,CEILING((X64/$H64),1)*$H64),"")</f>
        <v>97.2</v>
      </c>
      <c r="Z64" s="36">
        <f>IFERROR(IF(Y64=0,"",ROUNDUP(Y64/H64,0)*0.01898),"")</f>
        <v>0.17082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97.568518518518516</v>
      </c>
      <c r="BN64" s="64">
        <f>IFERROR(Y64*I64/H64,"0")</f>
        <v>100.89</v>
      </c>
      <c r="BO64" s="64">
        <f>IFERROR(1/J64*(X64/H64),"0")</f>
        <v>0.13599537037037035</v>
      </c>
      <c r="BP64" s="64">
        <f>IFERROR(1/J64*(Y64/H64),"0")</f>
        <v>0.140625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8.7037037037037024</v>
      </c>
      <c r="Y68" s="645">
        <f>IFERROR(Y64/H64,"0")+IFERROR(Y65/H65,"0")+IFERROR(Y66/H66,"0")+IFERROR(Y67/H67,"0")</f>
        <v>9</v>
      </c>
      <c r="Z68" s="645">
        <f>IFERROR(IF(Z64="",0,Z64),"0")+IFERROR(IF(Z65="",0,Z65),"0")+IFERROR(IF(Z66="",0,Z66),"0")+IFERROR(IF(Z67="",0,Z67),"0")</f>
        <v>0.17082</v>
      </c>
      <c r="AA68" s="646"/>
      <c r="AB68" s="646"/>
      <c r="AC68" s="646"/>
    </row>
    <row r="69" spans="1:68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94</v>
      </c>
      <c r="Y69" s="645">
        <f>IFERROR(SUM(Y64:Y67),"0")</f>
        <v>97.2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320</v>
      </c>
      <c r="Y77" s="644">
        <f>IFERROR(IF(X77="",0,CEILING((X77/$H77),1)*$H77),"")</f>
        <v>327.59999999999997</v>
      </c>
      <c r="Z77" s="36">
        <f>IFERROR(IF(Y77=0,"",ROUNDUP(Y77/H77,0)*0.01898),"")</f>
        <v>0.79715999999999998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336.82051282051287</v>
      </c>
      <c r="BN77" s="64">
        <f>IFERROR(Y77*I77/H77,"0")</f>
        <v>344.82</v>
      </c>
      <c r="BO77" s="64">
        <f>IFERROR(1/J77*(X77/H77),"0")</f>
        <v>0.64102564102564108</v>
      </c>
      <c r="BP77" s="64">
        <f>IFERROR(1/J77*(Y77/H77),"0")</f>
        <v>0.65625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41.025641025641029</v>
      </c>
      <c r="Y81" s="645">
        <f>IFERROR(Y77/H77,"0")+IFERROR(Y78/H78,"0")+IFERROR(Y79/H79,"0")+IFERROR(Y80/H80,"0")</f>
        <v>42</v>
      </c>
      <c r="Z81" s="645">
        <f>IFERROR(IF(Z77="",0,Z77),"0")+IFERROR(IF(Z78="",0,Z78),"0")+IFERROR(IF(Z79="",0,Z79),"0")+IFERROR(IF(Z80="",0,Z80),"0")</f>
        <v>0.79715999999999998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320</v>
      </c>
      <c r="Y82" s="645">
        <f>IFERROR(SUM(Y77:Y80),"0")</f>
        <v>327.59999999999997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71</v>
      </c>
      <c r="Y85" s="644">
        <f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73.69537037037037</v>
      </c>
      <c r="BN85" s="64">
        <f>IFERROR(Y85*I85/H85,"0")</f>
        <v>78.47</v>
      </c>
      <c r="BO85" s="64">
        <f>IFERROR(1/J85*(X85/H85),"0")</f>
        <v>0.1027199074074074</v>
      </c>
      <c r="BP85" s="64">
        <f>IFERROR(1/J85*(Y85/H85),"0")</f>
        <v>0.109375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42</v>
      </c>
      <c r="Y89" s="644">
        <f>IFERROR(IF(X89="",0,CEILING((X89/$H89),1)*$H89),"")</f>
        <v>45</v>
      </c>
      <c r="Z89" s="36">
        <f>IFERROR(IF(Y89=0,"",ROUNDUP(Y89/H89,0)*0.00902),"")</f>
        <v>9.0200000000000002E-2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43.773333333333341</v>
      </c>
      <c r="BN89" s="64">
        <f>IFERROR(Y89*I89/H89,"0")</f>
        <v>46.900000000000006</v>
      </c>
      <c r="BO89" s="64">
        <f>IFERROR(1/J89*(X89/H89),"0")</f>
        <v>7.0707070707070718E-2</v>
      </c>
      <c r="BP89" s="64">
        <f>IFERROR(1/J89*(Y89/H89),"0")</f>
        <v>7.575757575757576E-2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15.907407407407408</v>
      </c>
      <c r="Y90" s="645">
        <f>IFERROR(Y85/H85,"0")+IFERROR(Y86/H86,"0")+IFERROR(Y87/H87,"0")+IFERROR(Y88/H88,"0")+IFERROR(Y89/H89,"0")</f>
        <v>17</v>
      </c>
      <c r="Z90" s="645">
        <f>IFERROR(IF(Z85="",0,Z85),"0")+IFERROR(IF(Z86="",0,Z86),"0")+IFERROR(IF(Z87="",0,Z87),"0")+IFERROR(IF(Z88="",0,Z88),"0")+IFERROR(IF(Z89="",0,Z89),"0")</f>
        <v>0.22306000000000001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113</v>
      </c>
      <c r="Y91" s="645">
        <f>IFERROR(SUM(Y85:Y89),"0")</f>
        <v>120.60000000000001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185</v>
      </c>
      <c r="Y93" s="644">
        <f t="shared" ref="Y93:Y98" si="5">IFERROR(IF(X93="",0,CEILING((X93/$H93),1)*$H93),"")</f>
        <v>186.29999999999998</v>
      </c>
      <c r="Z93" s="36">
        <f>IFERROR(IF(Y93=0,"",ROUNDUP(Y93/H93,0)*0.01898),"")</f>
        <v>0.43653999999999998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196.28271604938271</v>
      </c>
      <c r="BN93" s="64">
        <f t="shared" ref="BN93:BN98" si="7">IFERROR(Y93*I93/H93,"0")</f>
        <v>197.66199999999998</v>
      </c>
      <c r="BO93" s="64">
        <f t="shared" ref="BO93:BO98" si="8">IFERROR(1/J93*(X93/H93),"0")</f>
        <v>0.35686728395061729</v>
      </c>
      <c r="BP93" s="64">
        <f t="shared" ref="BP93:BP98" si="9">IFERROR(1/J93*(Y93/H93),"0")</f>
        <v>0.359375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63</v>
      </c>
      <c r="Y96" s="644">
        <f t="shared" si="5"/>
        <v>64.800000000000011</v>
      </c>
      <c r="Z96" s="36">
        <f>IFERROR(IF(Y96=0,"",ROUNDUP(Y96/H96,0)*0.00651),"")</f>
        <v>0.15623999999999999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68.88</v>
      </c>
      <c r="BN96" s="64">
        <f t="shared" si="7"/>
        <v>70.848000000000013</v>
      </c>
      <c r="BO96" s="64">
        <f t="shared" si="8"/>
        <v>0.12820512820512822</v>
      </c>
      <c r="BP96" s="64">
        <f t="shared" si="9"/>
        <v>0.1318681318681319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46.172839506172835</v>
      </c>
      <c r="Y99" s="645">
        <f>IFERROR(Y93/H93,"0")+IFERROR(Y94/H94,"0")+IFERROR(Y95/H95,"0")+IFERROR(Y96/H96,"0")+IFERROR(Y97/H97,"0")+IFERROR(Y98/H98,"0")</f>
        <v>47</v>
      </c>
      <c r="Z99" s="645">
        <f>IFERROR(IF(Z93="",0,Z93),"0")+IFERROR(IF(Z94="",0,Z94),"0")+IFERROR(IF(Z95="",0,Z95),"0")+IFERROR(IF(Z96="",0,Z96),"0")+IFERROR(IF(Z97="",0,Z97),"0")+IFERROR(IF(Z98="",0,Z98),"0")</f>
        <v>0.59277999999999997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248</v>
      </c>
      <c r="Y100" s="645">
        <f>IFERROR(SUM(Y93:Y98),"0")</f>
        <v>251.1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71</v>
      </c>
      <c r="Y103" s="644">
        <f t="shared" ref="Y103:Y110" si="10">IFERROR(IF(X103="",0,CEILING((X103/$H103),1)*$H103),"")</f>
        <v>75.600000000000009</v>
      </c>
      <c r="Z103" s="36">
        <f>IFERROR(IF(Y103=0,"",ROUNDUP(Y103/H103,0)*0.01898),"")</f>
        <v>0.13286000000000001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73.69537037037037</v>
      </c>
      <c r="BN103" s="64">
        <f t="shared" ref="BN103:BN110" si="12">IFERROR(Y103*I103/H103,"0")</f>
        <v>78.47</v>
      </c>
      <c r="BO103" s="64">
        <f t="shared" ref="BO103:BO110" si="13">IFERROR(1/J103*(X103/H103),"0")</f>
        <v>0.1027199074074074</v>
      </c>
      <c r="BP103" s="64">
        <f t="shared" ref="BP103:BP110" si="14">IFERROR(1/J103*(Y103/H103),"0")</f>
        <v>0.109375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63</v>
      </c>
      <c r="Y108" s="644">
        <f t="shared" si="10"/>
        <v>63</v>
      </c>
      <c r="Z108" s="36">
        <f>IFERROR(IF(Y108=0,"",ROUNDUP(Y108/H108,0)*0.00902),"")</f>
        <v>0.12628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65.660000000000011</v>
      </c>
      <c r="BN108" s="64">
        <f t="shared" si="12"/>
        <v>65.660000000000011</v>
      </c>
      <c r="BO108" s="64">
        <f t="shared" si="13"/>
        <v>0.10606060606060606</v>
      </c>
      <c r="BP108" s="64">
        <f t="shared" si="14"/>
        <v>0.10606060606060606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20.574074074074073</v>
      </c>
      <c r="Y111" s="645">
        <f>IFERROR(Y103/H103,"0")+IFERROR(Y104/H104,"0")+IFERROR(Y105/H105,"0")+IFERROR(Y106/H106,"0")+IFERROR(Y107/H107,"0")+IFERROR(Y108/H108,"0")+IFERROR(Y109/H109,"0")+IFERROR(Y110/H110,"0")</f>
        <v>21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0.25914000000000004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134</v>
      </c>
      <c r="Y112" s="645">
        <f>IFERROR(SUM(Y103:Y110),"0")</f>
        <v>138.60000000000002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44</v>
      </c>
      <c r="Y114" s="644">
        <f>IFERROR(IF(X114="",0,CEILING((X114/$H114),1)*$H114),"")</f>
        <v>54</v>
      </c>
      <c r="Z114" s="36">
        <f>IFERROR(IF(Y114=0,"",ROUNDUP(Y114/H114,0)*0.01898),"")</f>
        <v>9.4899999999999998E-2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45.670370370370371</v>
      </c>
      <c r="BN114" s="64">
        <f>IFERROR(Y114*I114/H114,"0")</f>
        <v>56.05</v>
      </c>
      <c r="BO114" s="64">
        <f>IFERROR(1/J114*(X114/H114),"0")</f>
        <v>6.3657407407407399E-2</v>
      </c>
      <c r="BP114" s="64">
        <f>IFERROR(1/J114*(Y114/H114),"0")</f>
        <v>7.8125E-2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24</v>
      </c>
      <c r="Y118" s="644">
        <f>IFERROR(IF(X118="",0,CEILING((X118/$H118),1)*$H118),"")</f>
        <v>24</v>
      </c>
      <c r="Z118" s="36">
        <f>IFERROR(IF(Y118=0,"",ROUNDUP(Y118/H118,0)*0.00651),"")</f>
        <v>6.5100000000000005E-2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25.8</v>
      </c>
      <c r="BN118" s="64">
        <f>IFERROR(Y118*I118/H118,"0")</f>
        <v>25.8</v>
      </c>
      <c r="BO118" s="64">
        <f>IFERROR(1/J118*(X118/H118),"0")</f>
        <v>5.4945054945054951E-2</v>
      </c>
      <c r="BP118" s="64">
        <f>IFERROR(1/J118*(Y118/H118),"0")</f>
        <v>5.4945054945054951E-2</v>
      </c>
    </row>
    <row r="119" spans="1:68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14.074074074074073</v>
      </c>
      <c r="Y119" s="645">
        <f>IFERROR(Y114/H114,"0")+IFERROR(Y115/H115,"0")+IFERROR(Y116/H116,"0")+IFERROR(Y117/H117,"0")+IFERROR(Y118/H118,"0")</f>
        <v>15</v>
      </c>
      <c r="Z119" s="645">
        <f>IFERROR(IF(Z114="",0,Z114),"0")+IFERROR(IF(Z115="",0,Z115),"0")+IFERROR(IF(Z116="",0,Z116),"0")+IFERROR(IF(Z117="",0,Z117),"0")+IFERROR(IF(Z118="",0,Z118),"0")</f>
        <v>0.16</v>
      </c>
      <c r="AA119" s="646"/>
      <c r="AB119" s="646"/>
      <c r="AC119" s="646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68</v>
      </c>
      <c r="Y120" s="645">
        <f>IFERROR(SUM(Y114:Y118),"0")</f>
        <v>78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377</v>
      </c>
      <c r="Y122" s="644">
        <f t="shared" ref="Y122:Y128" si="15">IFERROR(IF(X122="",0,CEILING((X122/$H122),1)*$H122),"")</f>
        <v>380.7</v>
      </c>
      <c r="Z122" s="36">
        <f>IFERROR(IF(Y122=0,"",ROUNDUP(Y122/H122,0)*0.01898),"")</f>
        <v>0.89205999999999996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399.71308641975304</v>
      </c>
      <c r="BN122" s="64">
        <f t="shared" ref="BN122:BN128" si="17">IFERROR(Y122*I122/H122,"0")</f>
        <v>403.63599999999997</v>
      </c>
      <c r="BO122" s="64">
        <f t="shared" ref="BO122:BO128" si="18">IFERROR(1/J122*(X122/H122),"0")</f>
        <v>0.72723765432098764</v>
      </c>
      <c r="BP122" s="64">
        <f t="shared" ref="BP122:BP128" si="19">IFERROR(1/J122*(Y122/H122),"0")</f>
        <v>0.734375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53</v>
      </c>
      <c r="Y125" s="644">
        <f t="shared" si="15"/>
        <v>54</v>
      </c>
      <c r="Z125" s="36">
        <f>IFERROR(IF(Y125=0,"",ROUNDUP(Y125/H125,0)*0.00651),"")</f>
        <v>0.13020000000000001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57.946666666666658</v>
      </c>
      <c r="BN125" s="64">
        <f t="shared" si="17"/>
        <v>59.039999999999992</v>
      </c>
      <c r="BO125" s="64">
        <f t="shared" si="18"/>
        <v>0.10785510785510787</v>
      </c>
      <c r="BP125" s="64">
        <f t="shared" si="19"/>
        <v>0.1098901098901099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66.172839506172835</v>
      </c>
      <c r="Y129" s="645">
        <f>IFERROR(Y122/H122,"0")+IFERROR(Y123/H123,"0")+IFERROR(Y124/H124,"0")+IFERROR(Y125/H125,"0")+IFERROR(Y126/H126,"0")+IFERROR(Y127/H127,"0")+IFERROR(Y128/H128,"0")</f>
        <v>67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1.0222599999999999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430</v>
      </c>
      <c r="Y130" s="645">
        <f>IFERROR(SUM(Y122:Y128),"0")</f>
        <v>434.7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28</v>
      </c>
      <c r="Y138" s="644">
        <f>IFERROR(IF(X138="",0,CEILING((X138/$H138),1)*$H138),"")</f>
        <v>28.8</v>
      </c>
      <c r="Z138" s="36">
        <f>IFERROR(IF(Y138=0,"",ROUNDUP(Y138/H138,0)*0.00651),"")</f>
        <v>5.8590000000000003E-2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29.574999999999999</v>
      </c>
      <c r="BN138" s="64">
        <f>IFERROR(Y138*I138/H138,"0")</f>
        <v>30.419999999999998</v>
      </c>
      <c r="BO138" s="64">
        <f>IFERROR(1/J138*(X138/H138),"0")</f>
        <v>4.807692307692308E-2</v>
      </c>
      <c r="BP138" s="64">
        <f>IFERROR(1/J138*(Y138/H138),"0")</f>
        <v>4.9450549450549455E-2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8.75</v>
      </c>
      <c r="Y140" s="645">
        <f>IFERROR(Y138/H138,"0")+IFERROR(Y139/H139,"0")</f>
        <v>9</v>
      </c>
      <c r="Z140" s="645">
        <f>IFERROR(IF(Z138="",0,Z138),"0")+IFERROR(IF(Z139="",0,Z139),"0")</f>
        <v>5.8590000000000003E-2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28</v>
      </c>
      <c r="Y141" s="645">
        <f>IFERROR(SUM(Y138:Y139),"0")</f>
        <v>28.8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25</v>
      </c>
      <c r="Y143" s="644">
        <f>IFERROR(IF(X143="",0,CEILING((X143/$H143),1)*$H143),"")</f>
        <v>25.2</v>
      </c>
      <c r="Z143" s="36">
        <f>IFERROR(IF(Y143=0,"",ROUNDUP(Y143/H143,0)*0.00651),"")</f>
        <v>5.8590000000000003E-2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27.392857142857146</v>
      </c>
      <c r="BN143" s="64">
        <f>IFERROR(Y143*I143/H143,"0")</f>
        <v>27.611999999999998</v>
      </c>
      <c r="BO143" s="64">
        <f>IFERROR(1/J143*(X143/H143),"0")</f>
        <v>4.9058084772370489E-2</v>
      </c>
      <c r="BP143" s="64">
        <f>IFERROR(1/J143*(Y143/H143),"0")</f>
        <v>4.9450549450549455E-2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8.9285714285714288</v>
      </c>
      <c r="Y145" s="645">
        <f>IFERROR(Y143/H143,"0")+IFERROR(Y144/H144,"0")</f>
        <v>9</v>
      </c>
      <c r="Z145" s="645">
        <f>IFERROR(IF(Z143="",0,Z143),"0")+IFERROR(IF(Z144="",0,Z144),"0")</f>
        <v>5.8590000000000003E-2</v>
      </c>
      <c r="AA145" s="646"/>
      <c r="AB145" s="646"/>
      <c r="AC145" s="646"/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25</v>
      </c>
      <c r="Y146" s="645">
        <f>IFERROR(SUM(Y143:Y144),"0")</f>
        <v>25.2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19</v>
      </c>
      <c r="Y148" s="644">
        <f>IFERROR(IF(X148="",0,CEILING((X148/$H148),1)*$H148),"")</f>
        <v>21.12</v>
      </c>
      <c r="Z148" s="36">
        <f>IFERROR(IF(Y148=0,"",ROUNDUP(Y148/H148,0)*0.00651),"")</f>
        <v>5.2080000000000001E-2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20.928787878787876</v>
      </c>
      <c r="BN148" s="64">
        <f>IFERROR(Y148*I148/H148,"0")</f>
        <v>23.263999999999999</v>
      </c>
      <c r="BO148" s="64">
        <f>IFERROR(1/J148*(X148/H148),"0")</f>
        <v>3.9543789543789544E-2</v>
      </c>
      <c r="BP148" s="64">
        <f>IFERROR(1/J148*(Y148/H148),"0")</f>
        <v>4.3956043956043959E-2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7.1969696969696964</v>
      </c>
      <c r="Y150" s="645">
        <f>IFERROR(Y148/H148,"0")+IFERROR(Y149/H149,"0")</f>
        <v>8</v>
      </c>
      <c r="Z150" s="645">
        <f>IFERROR(IF(Z148="",0,Z148),"0")+IFERROR(IF(Z149="",0,Z149),"0")</f>
        <v>5.2080000000000001E-2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19</v>
      </c>
      <c r="Y151" s="645">
        <f>IFERROR(SUM(Y148:Y149),"0")</f>
        <v>21.12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hidden="1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0</v>
      </c>
      <c r="Y169" s="644">
        <f>IFERROR(IF(X169="",0,CEILING((X169/$H169),1)*$H169),"")</f>
        <v>0</v>
      </c>
      <c r="Z169" s="36" t="str">
        <f>IFERROR(IF(Y169=0,"",ROUNDUP(Y169/H169,0)*0.01196),"")</f>
        <v/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0</v>
      </c>
      <c r="Y172" s="645">
        <f>IFERROR(Y169/H169,"0")+IFERROR(Y170/H170,"0")+IFERROR(Y171/H171,"0")</f>
        <v>0</v>
      </c>
      <c r="Z172" s="645">
        <f>IFERROR(IF(Z169="",0,Z169),"0")+IFERROR(IF(Z170="",0,Z170),"0")+IFERROR(IF(Z171="",0,Z171),"0")</f>
        <v>0</v>
      </c>
      <c r="AA172" s="646"/>
      <c r="AB172" s="646"/>
      <c r="AC172" s="646"/>
    </row>
    <row r="173" spans="1:68" hidden="1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0</v>
      </c>
      <c r="Y173" s="645">
        <f>IFERROR(SUM(Y169:Y171),"0")</f>
        <v>0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150</v>
      </c>
      <c r="Y180" s="644">
        <f t="shared" ref="Y180:Y191" si="26">IFERROR(IF(X180="",0,CEILING((X180/$H180),1)*$H180),"")</f>
        <v>150.5</v>
      </c>
      <c r="Z180" s="36">
        <f>IFERROR(IF(Y180=0,"",ROUNDUP(Y180/H180,0)*0.00902),"")</f>
        <v>0.38785999999999998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158.14285714285714</v>
      </c>
      <c r="BN180" s="64">
        <f t="shared" ref="BN180:BN191" si="28">IFERROR(Y180*I180/H180,"0")</f>
        <v>158.67000000000002</v>
      </c>
      <c r="BO180" s="64">
        <f t="shared" ref="BO180:BO191" si="29">IFERROR(1/J180*(X180/H180),"0")</f>
        <v>0.32467532467532467</v>
      </c>
      <c r="BP180" s="64">
        <f t="shared" ref="BP180:BP191" si="30">IFERROR(1/J180*(Y180/H180),"0")</f>
        <v>0.32575757575757575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100</v>
      </c>
      <c r="Y182" s="644">
        <f t="shared" si="26"/>
        <v>101.5</v>
      </c>
      <c r="Z182" s="36">
        <f>IFERROR(IF(Y182=0,"",ROUNDUP(Y182/H182,0)*0.00902),"")</f>
        <v>0.26158000000000003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105.42857142857143</v>
      </c>
      <c r="BN182" s="64">
        <f t="shared" si="28"/>
        <v>107.00999999999999</v>
      </c>
      <c r="BO182" s="64">
        <f t="shared" si="29"/>
        <v>0.21645021645021648</v>
      </c>
      <c r="BP182" s="64">
        <f t="shared" si="30"/>
        <v>0.2196969696969697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100</v>
      </c>
      <c r="Y183" s="644">
        <f t="shared" si="26"/>
        <v>101.5</v>
      </c>
      <c r="Z183" s="36">
        <f>IFERROR(IF(Y183=0,"",ROUNDUP(Y183/H183,0)*0.00902),"")</f>
        <v>0.26158000000000003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105.42857142857143</v>
      </c>
      <c r="BN183" s="64">
        <f t="shared" si="28"/>
        <v>107.00999999999999</v>
      </c>
      <c r="BO183" s="64">
        <f t="shared" si="29"/>
        <v>0.21645021645021648</v>
      </c>
      <c r="BP183" s="64">
        <f t="shared" si="30"/>
        <v>0.2196969696969697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5</v>
      </c>
      <c r="Y185" s="644">
        <f t="shared" si="26"/>
        <v>5.4</v>
      </c>
      <c r="Z185" s="36">
        <f>IFERROR(IF(Y185=0,"",ROUNDUP(Y185/H185,0)*0.00417),"")</f>
        <v>2.5020000000000001E-2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6.166666666666667</v>
      </c>
      <c r="BN185" s="64">
        <f t="shared" si="28"/>
        <v>6.66</v>
      </c>
      <c r="BO185" s="64">
        <f t="shared" si="29"/>
        <v>1.6534391534391533E-2</v>
      </c>
      <c r="BP185" s="64">
        <f t="shared" si="30"/>
        <v>1.7857142857142856E-2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28</v>
      </c>
      <c r="Y187" s="644">
        <f t="shared" si="26"/>
        <v>28.56</v>
      </c>
      <c r="Z187" s="36">
        <f>IFERROR(IF(Y187=0,"",ROUNDUP(Y187/H187,0)*0.00502),"")</f>
        <v>8.5339999999999999E-2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29.666666666666671</v>
      </c>
      <c r="BN187" s="64">
        <f t="shared" si="28"/>
        <v>30.259999999999998</v>
      </c>
      <c r="BO187" s="64">
        <f t="shared" si="29"/>
        <v>7.122507122507124E-2</v>
      </c>
      <c r="BP187" s="64">
        <f t="shared" si="30"/>
        <v>7.2649572649572655E-2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28</v>
      </c>
      <c r="Y189" s="644">
        <f t="shared" si="26"/>
        <v>28.56</v>
      </c>
      <c r="Z189" s="36">
        <f>IFERROR(IF(Y189=0,"",ROUNDUP(Y189/H189,0)*0.00502),"")</f>
        <v>8.5339999999999999E-2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29.666666666666671</v>
      </c>
      <c r="BN189" s="64">
        <f t="shared" si="28"/>
        <v>30.259999999999998</v>
      </c>
      <c r="BO189" s="64">
        <f t="shared" si="29"/>
        <v>7.122507122507124E-2</v>
      </c>
      <c r="BP189" s="64">
        <f t="shared" si="30"/>
        <v>7.2649572649572655E-2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22</v>
      </c>
      <c r="Y191" s="644">
        <f t="shared" si="26"/>
        <v>23.52</v>
      </c>
      <c r="Z191" s="36">
        <f>IFERROR(IF(Y191=0,"",ROUNDUP(Y191/H191,0)*0.00502),"")</f>
        <v>7.0280000000000009E-2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23.309523809523814</v>
      </c>
      <c r="BN191" s="64">
        <f t="shared" si="28"/>
        <v>24.92</v>
      </c>
      <c r="BO191" s="64">
        <f t="shared" si="29"/>
        <v>5.596255596255597E-2</v>
      </c>
      <c r="BP191" s="64">
        <f t="shared" si="30"/>
        <v>5.9829059829059839E-2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151.98412698412699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155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1.177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433</v>
      </c>
      <c r="Y193" s="645">
        <f>IFERROR(SUM(Y180:Y191),"0")</f>
        <v>439.53999999999996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60</v>
      </c>
      <c r="Y226" s="644">
        <f t="shared" ref="Y226:Y239" si="37">IFERROR(IF(X226="",0,CEILING((X226/$H226),1)*$H226),"")</f>
        <v>63</v>
      </c>
      <c r="Z226" s="36">
        <f>IFERROR(IF(Y226=0,"",ROUNDUP(Y226/H226,0)*0.00902),"")</f>
        <v>0.1353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63.571428571428569</v>
      </c>
      <c r="BN226" s="64">
        <f t="shared" ref="BN226:BN239" si="39">IFERROR(Y226*I226/H226,"0")</f>
        <v>66.75</v>
      </c>
      <c r="BO226" s="64">
        <f t="shared" ref="BO226:BO239" si="40">IFERROR(1/J226*(X226/H226),"0")</f>
        <v>0.10822510822510822</v>
      </c>
      <c r="BP226" s="64">
        <f t="shared" ref="BP226:BP239" si="41">IFERROR(1/J226*(Y226/H226),"0")</f>
        <v>0.11363636363636365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50</v>
      </c>
      <c r="Y228" s="644">
        <f t="shared" si="37"/>
        <v>50.400000000000006</v>
      </c>
      <c r="Z228" s="36">
        <f>IFERROR(IF(Y228=0,"",ROUNDUP(Y228/H228,0)*0.00902),"")</f>
        <v>0.10824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52.261904761904752</v>
      </c>
      <c r="BN228" s="64">
        <f t="shared" si="39"/>
        <v>52.68</v>
      </c>
      <c r="BO228" s="64">
        <f t="shared" si="40"/>
        <v>9.0187590187590191E-2</v>
      </c>
      <c r="BP228" s="64">
        <f t="shared" si="41"/>
        <v>9.0909090909090912E-2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8</v>
      </c>
      <c r="Y229" s="644">
        <f t="shared" si="37"/>
        <v>8</v>
      </c>
      <c r="Z229" s="36">
        <f>IFERROR(IF(Y229=0,"",ROUNDUP(Y229/H229,0)*0.00556),"")</f>
        <v>5.5599999999999997E-2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9.3000000000000007</v>
      </c>
      <c r="BN229" s="64">
        <f t="shared" si="39"/>
        <v>9.3000000000000007</v>
      </c>
      <c r="BO229" s="64">
        <f t="shared" si="40"/>
        <v>3.968253968253968E-2</v>
      </c>
      <c r="BP229" s="64">
        <f t="shared" si="41"/>
        <v>3.968253968253968E-2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53</v>
      </c>
      <c r="Y230" s="644">
        <f t="shared" si="37"/>
        <v>54.6</v>
      </c>
      <c r="Z230" s="36">
        <f t="shared" ref="Z230:Z235" si="42">IFERROR(IF(Y230=0,"",ROUNDUP(Y230/H230,0)*0.00502),"")</f>
        <v>0.13052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56.280952380952378</v>
      </c>
      <c r="BN230" s="64">
        <f t="shared" si="39"/>
        <v>57.98</v>
      </c>
      <c r="BO230" s="64">
        <f t="shared" si="40"/>
        <v>0.10785510785510787</v>
      </c>
      <c r="BP230" s="64">
        <f t="shared" si="41"/>
        <v>0.11111111111111112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18</v>
      </c>
      <c r="Y235" s="644">
        <f t="shared" si="37"/>
        <v>18</v>
      </c>
      <c r="Z235" s="36">
        <f t="shared" si="42"/>
        <v>5.0200000000000002E-2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19.3</v>
      </c>
      <c r="BN235" s="64">
        <f t="shared" si="39"/>
        <v>19.3</v>
      </c>
      <c r="BO235" s="64">
        <f t="shared" si="40"/>
        <v>4.2735042735042736E-2</v>
      </c>
      <c r="BP235" s="64">
        <f t="shared" si="41"/>
        <v>4.2735042735042736E-2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8</v>
      </c>
      <c r="Y236" s="644">
        <f t="shared" si="37"/>
        <v>8</v>
      </c>
      <c r="Z236" s="36">
        <f>IFERROR(IF(Y236=0,"",ROUNDUP(Y236/H236,0)*0.00417),"")</f>
        <v>4.1700000000000001E-2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10.1</v>
      </c>
      <c r="BN236" s="64">
        <f t="shared" si="39"/>
        <v>10.1</v>
      </c>
      <c r="BO236" s="64">
        <f t="shared" si="40"/>
        <v>2.976190476190476E-2</v>
      </c>
      <c r="BP236" s="64">
        <f t="shared" si="41"/>
        <v>2.976190476190476E-2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53</v>
      </c>
      <c r="Y237" s="644">
        <f t="shared" si="37"/>
        <v>54.6</v>
      </c>
      <c r="Z237" s="36">
        <f>IFERROR(IF(Y237=0,"",ROUNDUP(Y237/H237,0)*0.00502),"")</f>
        <v>0.13052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55.523809523809526</v>
      </c>
      <c r="BN237" s="64">
        <f t="shared" si="39"/>
        <v>57.20000000000001</v>
      </c>
      <c r="BO237" s="64">
        <f t="shared" si="40"/>
        <v>0.10785510785510787</v>
      </c>
      <c r="BP237" s="64">
        <f t="shared" si="41"/>
        <v>0.11111111111111112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106.66666666666667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109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0.65207999999999999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250</v>
      </c>
      <c r="Y241" s="645">
        <f>IFERROR(SUM(Y226:Y239),"0")</f>
        <v>256.60000000000002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3</v>
      </c>
      <c r="Y252" s="644">
        <f>IFERROR(IF(X252="",0,CEILING((X252/$H252),1)*$H252),"")</f>
        <v>3.7800000000000002</v>
      </c>
      <c r="Z252" s="36">
        <f>IFERROR(IF(Y252=0,"",ROUNDUP(Y252/H252,0)*0.0059),"")</f>
        <v>1.77E-2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3.4523809523809521</v>
      </c>
      <c r="BN252" s="64">
        <f>IFERROR(Y252*I252/H252,"0")</f>
        <v>4.3499999999999996</v>
      </c>
      <c r="BO252" s="64">
        <f>IFERROR(1/J252*(X252/H252),"0")</f>
        <v>1.1022927689594356E-2</v>
      </c>
      <c r="BP252" s="64">
        <f>IFERROR(1/J252*(Y252/H252),"0")</f>
        <v>1.3888888888888888E-2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2</v>
      </c>
      <c r="Y253" s="644">
        <f>IFERROR(IF(X253="",0,CEILING((X253/$H253),1)*$H253),"")</f>
        <v>2.52</v>
      </c>
      <c r="Z253" s="36">
        <f>IFERROR(IF(Y253=0,"",ROUNDUP(Y253/H253,0)*0.0059),"")</f>
        <v>1.18E-2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2.3015873015873014</v>
      </c>
      <c r="BN253" s="64">
        <f>IFERROR(Y253*I253/H253,"0")</f>
        <v>2.9</v>
      </c>
      <c r="BO253" s="64">
        <f>IFERROR(1/J253*(X253/H253),"0")</f>
        <v>7.3486184597295699E-3</v>
      </c>
      <c r="BP253" s="64">
        <f>IFERROR(1/J253*(Y253/H253),"0")</f>
        <v>9.2592592592592587E-3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3.9682539682539684</v>
      </c>
      <c r="Y254" s="645">
        <f>IFERROR(Y251/H251,"0")+IFERROR(Y252/H252,"0")+IFERROR(Y253/H253,"0")</f>
        <v>5</v>
      </c>
      <c r="Z254" s="645">
        <f>IFERROR(IF(Z251="",0,Z251),"0")+IFERROR(IF(Z252="",0,Z252),"0")+IFERROR(IF(Z253="",0,Z253),"0")</f>
        <v>2.9499999999999998E-2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5</v>
      </c>
      <c r="Y255" s="645">
        <f>IFERROR(SUM(Y251:Y253),"0")</f>
        <v>6.3000000000000007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7</v>
      </c>
      <c r="Y257" s="644">
        <f>IFERROR(IF(X257="",0,CEILING((X257/$H257),1)*$H257),"")</f>
        <v>7.5600000000000005</v>
      </c>
      <c r="Z257" s="36">
        <f>IFERROR(IF(Y257=0,"",ROUNDUP(Y257/H257,0)*0.0059),"")</f>
        <v>3.5400000000000001E-2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8.0555555555555554</v>
      </c>
      <c r="BN257" s="64">
        <f>IFERROR(Y257*I257/H257,"0")</f>
        <v>8.6999999999999993</v>
      </c>
      <c r="BO257" s="64">
        <f>IFERROR(1/J257*(X257/H257),"0")</f>
        <v>2.5720164609053495E-2</v>
      </c>
      <c r="BP257" s="64">
        <f>IFERROR(1/J257*(Y257/H257),"0")</f>
        <v>2.7777777777777776E-2</v>
      </c>
    </row>
    <row r="258" spans="1:68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5.5555555555555554</v>
      </c>
      <c r="Y258" s="645">
        <f>IFERROR(Y257/H257,"0")</f>
        <v>6</v>
      </c>
      <c r="Z258" s="645">
        <f>IFERROR(IF(Z257="",0,Z257),"0")</f>
        <v>3.5400000000000001E-2</v>
      </c>
      <c r="AA258" s="646"/>
      <c r="AB258" s="646"/>
      <c r="AC258" s="646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7</v>
      </c>
      <c r="Y259" s="645">
        <f>IFERROR(SUM(Y257:Y257),"0")</f>
        <v>7.5600000000000005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70</v>
      </c>
      <c r="Y272" s="644">
        <f t="shared" ref="Y272:Y279" si="43">IFERROR(IF(X272="",0,CEILING((X272/$H272),1)*$H272),"")</f>
        <v>70.2</v>
      </c>
      <c r="Z272" s="36">
        <f>IFERROR(IF(Y272=0,"",ROUNDUP(Y272/H272,0)*0.00902),"")</f>
        <v>0.11726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72.462962962962962</v>
      </c>
      <c r="BN272" s="64">
        <f t="shared" ref="BN272:BN279" si="45">IFERROR(Y272*I272/H272,"0")</f>
        <v>72.67</v>
      </c>
      <c r="BO272" s="64">
        <f t="shared" ref="BO272:BO279" si="46">IFERROR(1/J272*(X272/H272),"0")</f>
        <v>9.8204264870931535E-2</v>
      </c>
      <c r="BP272" s="64">
        <f t="shared" ref="BP272:BP279" si="47">IFERROR(1/J272*(Y272/H272),"0")</f>
        <v>9.8484848484848481E-2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70</v>
      </c>
      <c r="Y273" s="644">
        <f t="shared" si="43"/>
        <v>70.2</v>
      </c>
      <c r="Z273" s="36">
        <f>IFERROR(IF(Y273=0,"",ROUNDUP(Y273/H273,0)*0.00902),"")</f>
        <v>0.11726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72.462962962962962</v>
      </c>
      <c r="BN273" s="64">
        <f t="shared" si="45"/>
        <v>72.67</v>
      </c>
      <c r="BO273" s="64">
        <f t="shared" si="46"/>
        <v>9.8204264870931535E-2</v>
      </c>
      <c r="BP273" s="64">
        <f t="shared" si="47"/>
        <v>9.8484848484848481E-2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180</v>
      </c>
      <c r="Y274" s="644">
        <f t="shared" si="43"/>
        <v>183.60000000000002</v>
      </c>
      <c r="Z274" s="36">
        <f>IFERROR(IF(Y274=0,"",ROUNDUP(Y274/H274,0)*0.00902),"")</f>
        <v>0.30668000000000001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186.33333333333331</v>
      </c>
      <c r="BN274" s="64">
        <f t="shared" si="45"/>
        <v>190.06</v>
      </c>
      <c r="BO274" s="64">
        <f t="shared" si="46"/>
        <v>0.25252525252525249</v>
      </c>
      <c r="BP274" s="64">
        <f t="shared" si="47"/>
        <v>0.25757575757575757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80</v>
      </c>
      <c r="Y275" s="644">
        <f t="shared" si="43"/>
        <v>81</v>
      </c>
      <c r="Z275" s="36">
        <f>IFERROR(IF(Y275=0,"",ROUNDUP(Y275/H275,0)*0.00902),"")</f>
        <v>0.1353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82.81481481481481</v>
      </c>
      <c r="BN275" s="64">
        <f t="shared" si="45"/>
        <v>83.85</v>
      </c>
      <c r="BO275" s="64">
        <f t="shared" si="46"/>
        <v>0.11223344556677889</v>
      </c>
      <c r="BP275" s="64">
        <f t="shared" si="47"/>
        <v>0.11363636363636363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33</v>
      </c>
      <c r="Y276" s="644">
        <f t="shared" si="43"/>
        <v>34.200000000000003</v>
      </c>
      <c r="Z276" s="36">
        <f>IFERROR(IF(Y276=0,"",ROUNDUP(Y276/H276,0)*0.00502),"")</f>
        <v>9.5380000000000006E-2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35.383333333333333</v>
      </c>
      <c r="BN276" s="64">
        <f t="shared" si="45"/>
        <v>36.67</v>
      </c>
      <c r="BO276" s="64">
        <f t="shared" si="46"/>
        <v>7.8347578347578356E-2</v>
      </c>
      <c r="BP276" s="64">
        <f t="shared" si="47"/>
        <v>8.11965811965812E-2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9</v>
      </c>
      <c r="Y277" s="644">
        <f t="shared" si="43"/>
        <v>9</v>
      </c>
      <c r="Z277" s="36">
        <f>IFERROR(IF(Y277=0,"",ROUNDUP(Y277/H277,0)*0.00502),"")</f>
        <v>2.5100000000000001E-2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9.4999999999999982</v>
      </c>
      <c r="BN277" s="64">
        <f t="shared" si="45"/>
        <v>9.4999999999999982</v>
      </c>
      <c r="BO277" s="64">
        <f t="shared" si="46"/>
        <v>2.1367521367521368E-2</v>
      </c>
      <c r="BP277" s="64">
        <f t="shared" si="47"/>
        <v>2.1367521367521368E-2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30</v>
      </c>
      <c r="Y279" s="644">
        <f t="shared" si="43"/>
        <v>30.6</v>
      </c>
      <c r="Z279" s="36">
        <f>IFERROR(IF(Y279=0,"",ROUNDUP(Y279/H279,0)*0.00502),"")</f>
        <v>8.5339999999999999E-2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31.666666666666664</v>
      </c>
      <c r="BN279" s="64">
        <f t="shared" si="45"/>
        <v>32.299999999999997</v>
      </c>
      <c r="BO279" s="64">
        <f t="shared" si="46"/>
        <v>7.122507122507124E-2</v>
      </c>
      <c r="BP279" s="64">
        <f t="shared" si="47"/>
        <v>7.2649572649572655E-2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114.07407407407406</v>
      </c>
      <c r="Y280" s="645">
        <f>IFERROR(Y272/H272,"0")+IFERROR(Y273/H273,"0")+IFERROR(Y274/H274,"0")+IFERROR(Y275/H275,"0")+IFERROR(Y276/H276,"0")+IFERROR(Y277/H277,"0")+IFERROR(Y278/H278,"0")+IFERROR(Y279/H279,"0")</f>
        <v>116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0.88231999999999999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472</v>
      </c>
      <c r="Y281" s="645">
        <f>IFERROR(SUM(Y272:Y279),"0")</f>
        <v>478.8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48</v>
      </c>
      <c r="Y283" s="644">
        <f t="shared" ref="Y283:Y294" si="48">IFERROR(IF(X283="",0,CEILING((X283/$H283),1)*$H283),"")</f>
        <v>48.599999999999994</v>
      </c>
      <c r="Z283" s="36">
        <f>IFERROR(IF(Y283=0,"",ROUNDUP(Y283/H283,0)*0.01898),"")</f>
        <v>0.11388000000000001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50.927407407407401</v>
      </c>
      <c r="BN283" s="64">
        <f t="shared" ref="BN283:BN294" si="50">IFERROR(Y283*I283/H283,"0")</f>
        <v>51.563999999999993</v>
      </c>
      <c r="BO283" s="64">
        <f t="shared" ref="BO283:BO294" si="51">IFERROR(1/J283*(X283/H283),"0")</f>
        <v>9.2592592592592601E-2</v>
      </c>
      <c r="BP283" s="64">
        <f t="shared" ref="BP283:BP294" si="52">IFERROR(1/J283*(Y283/H283),"0")</f>
        <v>9.375E-2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40</v>
      </c>
      <c r="Y285" s="644">
        <f t="shared" si="48"/>
        <v>43.5</v>
      </c>
      <c r="Z285" s="36">
        <f>IFERROR(IF(Y285=0,"",ROUNDUP(Y285/H285,0)*0.01898),"")</f>
        <v>9.4899999999999998E-2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42.271264367816102</v>
      </c>
      <c r="BN285" s="64">
        <f t="shared" si="50"/>
        <v>45.970000000000006</v>
      </c>
      <c r="BO285" s="64">
        <f t="shared" si="51"/>
        <v>7.1839080459770124E-2</v>
      </c>
      <c r="BP285" s="64">
        <f t="shared" si="52"/>
        <v>7.8125E-2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120</v>
      </c>
      <c r="Y289" s="644">
        <f t="shared" si="48"/>
        <v>120</v>
      </c>
      <c r="Z289" s="36">
        <f>IFERROR(IF(Y289=0,"",ROUNDUP(Y289/H289,0)*0.00651),"")</f>
        <v>0.32550000000000001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132.60000000000002</v>
      </c>
      <c r="BN289" s="64">
        <f t="shared" si="50"/>
        <v>132.60000000000002</v>
      </c>
      <c r="BO289" s="64">
        <f t="shared" si="51"/>
        <v>0.27472527472527475</v>
      </c>
      <c r="BP289" s="64">
        <f t="shared" si="52"/>
        <v>0.27472527472527475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40</v>
      </c>
      <c r="Y291" s="644">
        <f t="shared" si="48"/>
        <v>40.799999999999997</v>
      </c>
      <c r="Z291" s="36">
        <f>IFERROR(IF(Y291=0,"",ROUNDUP(Y291/H291,0)*0.00651),"")</f>
        <v>0.11067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44.20000000000001</v>
      </c>
      <c r="BN291" s="64">
        <f t="shared" si="50"/>
        <v>45.084000000000003</v>
      </c>
      <c r="BO291" s="64">
        <f t="shared" si="51"/>
        <v>9.1575091575091583E-2</v>
      </c>
      <c r="BP291" s="64">
        <f t="shared" si="52"/>
        <v>9.3406593406593408E-2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60</v>
      </c>
      <c r="Y292" s="644">
        <f t="shared" si="48"/>
        <v>60</v>
      </c>
      <c r="Z292" s="36">
        <f>IFERROR(IF(Y292=0,"",ROUNDUP(Y292/H292,0)*0.00651),"")</f>
        <v>0.16275000000000001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66.300000000000011</v>
      </c>
      <c r="BN292" s="64">
        <f t="shared" si="50"/>
        <v>66.300000000000011</v>
      </c>
      <c r="BO292" s="64">
        <f t="shared" si="51"/>
        <v>0.13736263736263737</v>
      </c>
      <c r="BP292" s="64">
        <f t="shared" si="52"/>
        <v>0.13736263736263737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120</v>
      </c>
      <c r="Y293" s="644">
        <f t="shared" si="48"/>
        <v>120</v>
      </c>
      <c r="Z293" s="36">
        <f>IFERROR(IF(Y293=0,"",ROUNDUP(Y293/H293,0)*0.00651),"")</f>
        <v>0.32550000000000001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132.9</v>
      </c>
      <c r="BN293" s="64">
        <f t="shared" si="50"/>
        <v>132.9</v>
      </c>
      <c r="BO293" s="64">
        <f t="shared" si="51"/>
        <v>0.27472527472527475</v>
      </c>
      <c r="BP293" s="64">
        <f t="shared" si="52"/>
        <v>0.27472527472527475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152.1902937420179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153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1.1332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428</v>
      </c>
      <c r="Y296" s="645">
        <f>IFERROR(SUM(Y283:Y294),"0")</f>
        <v>432.9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48</v>
      </c>
      <c r="Y298" s="644">
        <f>IFERROR(IF(X298="",0,CEILING((X298/$H298),1)*$H298),"")</f>
        <v>48</v>
      </c>
      <c r="Z298" s="36">
        <f>IFERROR(IF(Y298=0,"",ROUNDUP(Y298/H298,0)*0.00651),"")</f>
        <v>0.13020000000000001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53.040000000000006</v>
      </c>
      <c r="BN298" s="64">
        <f>IFERROR(Y298*I298/H298,"0")</f>
        <v>53.040000000000006</v>
      </c>
      <c r="BO298" s="64">
        <f>IFERROR(1/J298*(X298/H298),"0")</f>
        <v>0.1098901098901099</v>
      </c>
      <c r="BP298" s="64">
        <f>IFERROR(1/J298*(Y298/H298),"0")</f>
        <v>0.1098901098901099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48</v>
      </c>
      <c r="Y299" s="644">
        <f>IFERROR(IF(X299="",0,CEILING((X299/$H299),1)*$H299),"")</f>
        <v>48</v>
      </c>
      <c r="Z299" s="36">
        <f>IFERROR(IF(Y299=0,"",ROUNDUP(Y299/H299,0)*0.00651),"")</f>
        <v>0.13020000000000001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53.040000000000006</v>
      </c>
      <c r="BN299" s="64">
        <f>IFERROR(Y299*I299/H299,"0")</f>
        <v>53.040000000000006</v>
      </c>
      <c r="BO299" s="64">
        <f>IFERROR(1/J299*(X299/H299),"0")</f>
        <v>0.1098901098901099</v>
      </c>
      <c r="BP299" s="64">
        <f>IFERROR(1/J299*(Y299/H299),"0")</f>
        <v>0.1098901098901099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40</v>
      </c>
      <c r="Y300" s="645">
        <f>IFERROR(Y298/H298,"0")+IFERROR(Y299/H299,"0")</f>
        <v>40</v>
      </c>
      <c r="Z300" s="645">
        <f>IFERROR(IF(Z298="",0,Z298),"0")+IFERROR(IF(Z299="",0,Z299),"0")</f>
        <v>0.26040000000000002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96</v>
      </c>
      <c r="Y301" s="645">
        <f>IFERROR(SUM(Y298:Y299),"0")</f>
        <v>96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8</v>
      </c>
      <c r="Y318" s="644">
        <f>IFERROR(IF(X318="",0,CEILING((X318/$H318),1)*$H318),"")</f>
        <v>9</v>
      </c>
      <c r="Z318" s="36">
        <f>IFERROR(IF(Y318=0,"",ROUNDUP(Y318/H318,0)*0.0059),"")</f>
        <v>2.9499999999999998E-2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8.7777777777777786</v>
      </c>
      <c r="BN318" s="64">
        <f>IFERROR(Y318*I318/H318,"0")</f>
        <v>9.8750000000000018</v>
      </c>
      <c r="BO318" s="64">
        <f>IFERROR(1/J318*(X318/H318),"0")</f>
        <v>2.0576131687242798E-2</v>
      </c>
      <c r="BP318" s="64">
        <f>IFERROR(1/J318*(Y318/H318),"0")</f>
        <v>2.3148148148148147E-2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4.4444444444444446</v>
      </c>
      <c r="Y319" s="645">
        <f>IFERROR(Y318/H318,"0")</f>
        <v>5</v>
      </c>
      <c r="Z319" s="645">
        <f>IFERROR(IF(Z318="",0,Z318),"0")</f>
        <v>2.9499999999999998E-2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8</v>
      </c>
      <c r="Y320" s="645">
        <f>IFERROR(SUM(Y318:Y318),"0")</f>
        <v>9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71</v>
      </c>
      <c r="Y359" s="644">
        <f>IFERROR(IF(X359="",0,CEILING((X359/$H359),1)*$H359),"")</f>
        <v>78</v>
      </c>
      <c r="Z359" s="36">
        <f>IFERROR(IF(Y359=0,"",ROUNDUP(Y359/H359,0)*0.01898),"")</f>
        <v>0.1898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74.732051282051287</v>
      </c>
      <c r="BN359" s="64">
        <f>IFERROR(Y359*I359/H359,"0")</f>
        <v>82.100000000000023</v>
      </c>
      <c r="BO359" s="64">
        <f>IFERROR(1/J359*(X359/H359),"0")</f>
        <v>0.1422275641025641</v>
      </c>
      <c r="BP359" s="64">
        <f>IFERROR(1/J359*(Y359/H359),"0")</f>
        <v>0.15625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100</v>
      </c>
      <c r="Y360" s="644">
        <f>IFERROR(IF(X360="",0,CEILING((X360/$H360),1)*$H360),"")</f>
        <v>101.39999999999999</v>
      </c>
      <c r="Z360" s="36">
        <f>IFERROR(IF(Y360=0,"",ROUNDUP(Y360/H360,0)*0.01898),"")</f>
        <v>0.24674000000000001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105.25641025641028</v>
      </c>
      <c r="BN360" s="64">
        <f>IFERROR(Y360*I360/H360,"0")</f>
        <v>106.73</v>
      </c>
      <c r="BO360" s="64">
        <f>IFERROR(1/J360*(X360/H360),"0")</f>
        <v>0.20032051282051283</v>
      </c>
      <c r="BP360" s="64">
        <f>IFERROR(1/J360*(Y360/H360),"0")</f>
        <v>0.203125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21.923076923076923</v>
      </c>
      <c r="Y362" s="645">
        <f>IFERROR(Y359/H359,"0")+IFERROR(Y360/H360,"0")+IFERROR(Y361/H361,"0")</f>
        <v>23</v>
      </c>
      <c r="Z362" s="645">
        <f>IFERROR(IF(Z359="",0,Z359),"0")+IFERROR(IF(Z360="",0,Z360),"0")+IFERROR(IF(Z361="",0,Z361),"0")</f>
        <v>0.43654000000000004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171</v>
      </c>
      <c r="Y363" s="645">
        <f>IFERROR(SUM(Y359:Y361),"0")</f>
        <v>179.39999999999998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15</v>
      </c>
      <c r="Y380" s="644">
        <f t="shared" si="58"/>
        <v>16.2</v>
      </c>
      <c r="Z380" s="36">
        <f>IFERROR(IF(Y380=0,"",ROUNDUP(Y380/H380,0)*0.00651),"")</f>
        <v>5.8590000000000003E-2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16.900000000000002</v>
      </c>
      <c r="BN380" s="64">
        <f t="shared" si="60"/>
        <v>18.251999999999999</v>
      </c>
      <c r="BO380" s="64">
        <f t="shared" si="61"/>
        <v>4.5787545787545791E-2</v>
      </c>
      <c r="BP380" s="64">
        <f t="shared" si="62"/>
        <v>4.9450549450549455E-2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8.3333333333333339</v>
      </c>
      <c r="Y381" s="645">
        <f>IFERROR(Y374/H374,"0")+IFERROR(Y375/H375,"0")+IFERROR(Y376/H376,"0")+IFERROR(Y377/H377,"0")+IFERROR(Y378/H378,"0")+IFERROR(Y379/H379,"0")+IFERROR(Y380/H380,"0")</f>
        <v>9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5.8590000000000003E-2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15</v>
      </c>
      <c r="Y382" s="645">
        <f>IFERROR(SUM(Y374:Y380),"0")</f>
        <v>16.2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100</v>
      </c>
      <c r="Y391" s="644">
        <f>IFERROR(IF(X391="",0,CEILING((X391/$H391),1)*$H391),"")</f>
        <v>100.80000000000001</v>
      </c>
      <c r="Z391" s="36">
        <f>IFERROR(IF(Y391=0,"",ROUNDUP(Y391/H391,0)*0.01898),"")</f>
        <v>0.22776000000000002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105.88095238095238</v>
      </c>
      <c r="BN391" s="64">
        <f>IFERROR(Y391*I391/H391,"0")</f>
        <v>106.72800000000001</v>
      </c>
      <c r="BO391" s="64">
        <f>IFERROR(1/J391*(X391/H391),"0")</f>
        <v>0.18601190476190477</v>
      </c>
      <c r="BP391" s="64">
        <f>IFERROR(1/J391*(Y391/H391),"0")</f>
        <v>0.1875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150</v>
      </c>
      <c r="Y392" s="644">
        <f>IFERROR(IF(X392="",0,CEILING((X392/$H392),1)*$H392),"")</f>
        <v>156</v>
      </c>
      <c r="Z392" s="36">
        <f>IFERROR(IF(Y392=0,"",ROUNDUP(Y392/H392,0)*0.01898),"")</f>
        <v>0.37959999999999999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159.50000000000003</v>
      </c>
      <c r="BN392" s="64">
        <f>IFERROR(Y392*I392/H392,"0")</f>
        <v>165.88</v>
      </c>
      <c r="BO392" s="64">
        <f>IFERROR(1/J392*(X392/H392),"0")</f>
        <v>0.30048076923076922</v>
      </c>
      <c r="BP392" s="64">
        <f>IFERROR(1/J392*(Y392/H392),"0")</f>
        <v>0.3125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31.135531135531135</v>
      </c>
      <c r="Y394" s="645">
        <f>IFERROR(Y391/H391,"0")+IFERROR(Y392/H392,"0")+IFERROR(Y393/H393,"0")</f>
        <v>32</v>
      </c>
      <c r="Z394" s="645">
        <f>IFERROR(IF(Z391="",0,Z391),"0")+IFERROR(IF(Z392="",0,Z392),"0")+IFERROR(IF(Z393="",0,Z393),"0")</f>
        <v>0.60736000000000001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250</v>
      </c>
      <c r="Y395" s="645">
        <f>IFERROR(SUM(Y391:Y393),"0")</f>
        <v>256.8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88</v>
      </c>
      <c r="Y397" s="644">
        <f>IFERROR(IF(X397="",0,CEILING((X397/$H397),1)*$H397),"")</f>
        <v>88.16</v>
      </c>
      <c r="Z397" s="36">
        <f>IFERROR(IF(Y397=0,"",ROUNDUP(Y397/H397,0)*0.00902),"")</f>
        <v>0.26158000000000003</v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95.81578947368422</v>
      </c>
      <c r="BN397" s="64">
        <f>IFERROR(Y397*I397/H397,"0")</f>
        <v>95.99</v>
      </c>
      <c r="BO397" s="64">
        <f>IFERROR(1/J397*(X397/H397),"0")</f>
        <v>0.21929824561403508</v>
      </c>
      <c r="BP397" s="64">
        <f>IFERROR(1/J397*(Y397/H397),"0")</f>
        <v>0.2196969696969697</v>
      </c>
    </row>
    <row r="398" spans="1:68" ht="27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40</v>
      </c>
      <c r="Y398" s="644">
        <f>IFERROR(IF(X398="",0,CEILING((X398/$H398),1)*$H398),"")</f>
        <v>42.56</v>
      </c>
      <c r="Z398" s="36">
        <f>IFERROR(IF(Y398=0,"",ROUNDUP(Y398/H398,0)*0.00902),"")</f>
        <v>0.12628</v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43.026315789473685</v>
      </c>
      <c r="BN398" s="64">
        <f>IFERROR(Y398*I398/H398,"0")</f>
        <v>45.78</v>
      </c>
      <c r="BO398" s="64">
        <f>IFERROR(1/J398*(X398/H398),"0")</f>
        <v>9.9681020733652315E-2</v>
      </c>
      <c r="BP398" s="64">
        <f>IFERROR(1/J398*(Y398/H398),"0")</f>
        <v>0.10606060606060606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12</v>
      </c>
      <c r="Y400" s="644">
        <f>IFERROR(IF(X400="",0,CEILING((X400/$H400),1)*$H400),"")</f>
        <v>12.75</v>
      </c>
      <c r="Z400" s="36">
        <f>IFERROR(IF(Y400=0,"",ROUNDUP(Y400/H400,0)*0.00651),"")</f>
        <v>3.2550000000000003E-2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13.55294117647059</v>
      </c>
      <c r="BN400" s="64">
        <f>IFERROR(Y400*I400/H400,"0")</f>
        <v>14.4</v>
      </c>
      <c r="BO400" s="64">
        <f>IFERROR(1/J400*(X400/H400),"0")</f>
        <v>2.5856496444731741E-2</v>
      </c>
      <c r="BP400" s="64">
        <f>IFERROR(1/J400*(Y400/H400),"0")</f>
        <v>2.7472527472527476E-2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46.811145510835907</v>
      </c>
      <c r="Y401" s="645">
        <f>IFERROR(Y397/H397,"0")+IFERROR(Y398/H398,"0")+IFERROR(Y399/H399,"0")+IFERROR(Y400/H400,"0")</f>
        <v>48</v>
      </c>
      <c r="Z401" s="645">
        <f>IFERROR(IF(Z397="",0,Z397),"0")+IFERROR(IF(Z398="",0,Z398),"0")+IFERROR(IF(Z399="",0,Z399),"0")+IFERROR(IF(Z400="",0,Z400),"0")</f>
        <v>0.42041000000000006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140</v>
      </c>
      <c r="Y402" s="645">
        <f>IFERROR(SUM(Y397:Y400),"0")</f>
        <v>143.47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38</v>
      </c>
      <c r="Y404" s="644">
        <f>IFERROR(IF(X404="",0,CEILING((X404/$H404),1)*$H404),"")</f>
        <v>38</v>
      </c>
      <c r="Z404" s="36">
        <f>IFERROR(IF(Y404=0,"",ROUNDUP(Y404/H404,0)*0.00474),"")</f>
        <v>9.0060000000000001E-2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42.56</v>
      </c>
      <c r="BN404" s="64">
        <f>IFERROR(Y404*I404/H404,"0")</f>
        <v>42.56</v>
      </c>
      <c r="BO404" s="64">
        <f>IFERROR(1/J404*(X404/H404),"0")</f>
        <v>7.9831932773109238E-2</v>
      </c>
      <c r="BP404" s="64">
        <f>IFERROR(1/J404*(Y404/H404),"0")</f>
        <v>7.9831932773109238E-2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24</v>
      </c>
      <c r="Y405" s="644">
        <f>IFERROR(IF(X405="",0,CEILING((X405/$H405),1)*$H405),"")</f>
        <v>24</v>
      </c>
      <c r="Z405" s="36">
        <f>IFERROR(IF(Y405=0,"",ROUNDUP(Y405/H405,0)*0.00474),"")</f>
        <v>5.688E-2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26.880000000000003</v>
      </c>
      <c r="BN405" s="64">
        <f>IFERROR(Y405*I405/H405,"0")</f>
        <v>26.880000000000003</v>
      </c>
      <c r="BO405" s="64">
        <f>IFERROR(1/J405*(X405/H405),"0")</f>
        <v>5.0420168067226892E-2</v>
      </c>
      <c r="BP405" s="64">
        <f>IFERROR(1/J405*(Y405/H405),"0")</f>
        <v>5.0420168067226892E-2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24</v>
      </c>
      <c r="Y406" s="644">
        <f>IFERROR(IF(X406="",0,CEILING((X406/$H406),1)*$H406),"")</f>
        <v>24</v>
      </c>
      <c r="Z406" s="36">
        <f>IFERROR(IF(Y406=0,"",ROUNDUP(Y406/H406,0)*0.00474),"")</f>
        <v>5.688E-2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26.880000000000003</v>
      </c>
      <c r="BN406" s="64">
        <f>IFERROR(Y406*I406/H406,"0")</f>
        <v>26.880000000000003</v>
      </c>
      <c r="BO406" s="64">
        <f>IFERROR(1/J406*(X406/H406),"0")</f>
        <v>5.0420168067226892E-2</v>
      </c>
      <c r="BP406" s="64">
        <f>IFERROR(1/J406*(Y406/H406),"0")</f>
        <v>5.0420168067226892E-2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43</v>
      </c>
      <c r="Y407" s="645">
        <f>IFERROR(Y404/H404,"0")+IFERROR(Y405/H405,"0")+IFERROR(Y406/H406,"0")</f>
        <v>43</v>
      </c>
      <c r="Z407" s="645">
        <f>IFERROR(IF(Z404="",0,Z404),"0")+IFERROR(IF(Z405="",0,Z405),"0")+IFERROR(IF(Z406="",0,Z406),"0")</f>
        <v>0.20382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86</v>
      </c>
      <c r="Y408" s="645">
        <f>IFERROR(SUM(Y404:Y406),"0")</f>
        <v>86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50</v>
      </c>
      <c r="Y410" s="644">
        <f>IFERROR(IF(X410="",0,CEILING((X410/$H410),1)*$H410),"")</f>
        <v>51</v>
      </c>
      <c r="Z410" s="36">
        <f>IFERROR(IF(Y410=0,"",ROUNDUP(Y410/H410,0)*0.0045),"")</f>
        <v>7.6499999999999999E-2</v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53.666666666666664</v>
      </c>
      <c r="BN410" s="64">
        <f>IFERROR(Y410*I410/H410,"0")</f>
        <v>54.74</v>
      </c>
      <c r="BO410" s="64">
        <f>IFERROR(1/J410*(X410/H410),"0")</f>
        <v>7.4404761904761904E-2</v>
      </c>
      <c r="BP410" s="64">
        <f>IFERROR(1/J410*(Y410/H410),"0")</f>
        <v>7.5892857142857137E-2</v>
      </c>
    </row>
    <row r="411" spans="1:68" ht="27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130</v>
      </c>
      <c r="Y411" s="644">
        <f>IFERROR(IF(X411="",0,CEILING((X411/$H411),1)*$H411),"")</f>
        <v>132.6</v>
      </c>
      <c r="Z411" s="36">
        <f>IFERROR(IF(Y411=0,"",ROUNDUP(Y411/H411,0)*0.006),"")</f>
        <v>0.20400000000000001</v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139</v>
      </c>
      <c r="BN411" s="64">
        <f>IFERROR(Y411*I411/H411,"0")</f>
        <v>141.78</v>
      </c>
      <c r="BO411" s="64">
        <f>IFERROR(1/J411*(X411/H411),"0")</f>
        <v>0.23148148148148148</v>
      </c>
      <c r="BP411" s="64">
        <f>IFERROR(1/J411*(Y411/H411),"0")</f>
        <v>0.2361111111111111</v>
      </c>
    </row>
    <row r="412" spans="1:68" ht="27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4</v>
      </c>
      <c r="Y412" s="644">
        <f>IFERROR(IF(X412="",0,CEILING((X412/$H412),1)*$H412),"")</f>
        <v>6</v>
      </c>
      <c r="Z412" s="36">
        <f>IFERROR(IF(Y412=0,"",ROUNDUP(Y412/H412,0)*0.0045),"")</f>
        <v>8.9999999999999993E-3</v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4.2933333333333339</v>
      </c>
      <c r="BN412" s="64">
        <f>IFERROR(Y412*I412/H412,"0")</f>
        <v>6.44</v>
      </c>
      <c r="BO412" s="64">
        <f>IFERROR(1/J412*(X412/H412),"0")</f>
        <v>5.9523809523809521E-3</v>
      </c>
      <c r="BP412" s="64">
        <f>IFERROR(1/J412*(Y412/H412),"0")</f>
        <v>8.9285714285714281E-3</v>
      </c>
    </row>
    <row r="413" spans="1:68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51.333333333333336</v>
      </c>
      <c r="Y413" s="645">
        <f>IFERROR(Y410/H410,"0")+IFERROR(Y411/H411,"0")+IFERROR(Y412/H412,"0")</f>
        <v>53</v>
      </c>
      <c r="Z413" s="645">
        <f>IFERROR(IF(Z410="",0,Z410),"0")+IFERROR(IF(Z411="",0,Z411),"0")+IFERROR(IF(Z412="",0,Z412),"0")</f>
        <v>0.28950000000000004</v>
      </c>
      <c r="AA413" s="646"/>
      <c r="AB413" s="646"/>
      <c r="AC413" s="646"/>
    </row>
    <row r="414" spans="1:68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184</v>
      </c>
      <c r="Y414" s="645">
        <f>IFERROR(SUM(Y410:Y412),"0")</f>
        <v>189.6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11</v>
      </c>
      <c r="Y424" s="644">
        <f>IFERROR(IF(X424="",0,CEILING((X424/$H424),1)*$H424),"")</f>
        <v>12.600000000000001</v>
      </c>
      <c r="Z424" s="36">
        <f>IFERROR(IF(Y424=0,"",ROUNDUP(Y424/H424,0)*0.00651),"")</f>
        <v>3.9059999999999997E-2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12.32</v>
      </c>
      <c r="BN424" s="64">
        <f>IFERROR(Y424*I424/H424,"0")</f>
        <v>14.112</v>
      </c>
      <c r="BO424" s="64">
        <f>IFERROR(1/J424*(X424/H424),"0")</f>
        <v>2.8780743066457355E-2</v>
      </c>
      <c r="BP424" s="64">
        <f>IFERROR(1/J424*(Y424/H424),"0")</f>
        <v>3.2967032967032968E-2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7</v>
      </c>
      <c r="Y425" s="644">
        <f>IFERROR(IF(X425="",0,CEILING((X425/$H425),1)*$H425),"")</f>
        <v>8.4</v>
      </c>
      <c r="Z425" s="36">
        <f>IFERROR(IF(Y425=0,"",ROUNDUP(Y425/H425,0)*0.00651),"")</f>
        <v>2.6040000000000001E-2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7.7999999999999989</v>
      </c>
      <c r="BN425" s="64">
        <f>IFERROR(Y425*I425/H425,"0")</f>
        <v>9.36</v>
      </c>
      <c r="BO425" s="64">
        <f>IFERROR(1/J425*(X425/H425),"0")</f>
        <v>1.8315018315018316E-2</v>
      </c>
      <c r="BP425" s="64">
        <f>IFERROR(1/J425*(Y425/H425),"0")</f>
        <v>2.197802197802198E-2</v>
      </c>
    </row>
    <row r="426" spans="1:68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8.5714285714285712</v>
      </c>
      <c r="Y426" s="645">
        <f>IFERROR(Y423/H423,"0")+IFERROR(Y424/H424,"0")+IFERROR(Y425/H425,"0")</f>
        <v>10</v>
      </c>
      <c r="Z426" s="645">
        <f>IFERROR(IF(Z423="",0,Z423),"0")+IFERROR(IF(Z424="",0,Z424),"0")+IFERROR(IF(Z425="",0,Z425),"0")</f>
        <v>6.5099999999999991E-2</v>
      </c>
      <c r="AA426" s="646"/>
      <c r="AB426" s="646"/>
      <c r="AC426" s="646"/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18</v>
      </c>
      <c r="Y427" s="645">
        <f>IFERROR(SUM(Y423:Y425),"0")</f>
        <v>21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860</v>
      </c>
      <c r="Y432" s="644">
        <f t="shared" si="63"/>
        <v>870</v>
      </c>
      <c r="Z432" s="36">
        <f>IFERROR(IF(Y432=0,"",ROUNDUP(Y432/H432,0)*0.02175),"")</f>
        <v>1.2614999999999998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886.94666666666672</v>
      </c>
      <c r="BN432" s="64">
        <f t="shared" si="65"/>
        <v>897.2600000000001</v>
      </c>
      <c r="BO432" s="64">
        <f t="shared" si="66"/>
        <v>1.1944444444444444</v>
      </c>
      <c r="BP432" s="64">
        <f t="shared" si="67"/>
        <v>1.2083333333333333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660</v>
      </c>
      <c r="Y433" s="644">
        <f t="shared" si="63"/>
        <v>660</v>
      </c>
      <c r="Z433" s="36">
        <f>IFERROR(IF(Y433=0,"",ROUNDUP(Y433/H433,0)*0.02175),"")</f>
        <v>0.95699999999999996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680.68000000000006</v>
      </c>
      <c r="BN433" s="64">
        <f t="shared" si="65"/>
        <v>680.68000000000006</v>
      </c>
      <c r="BO433" s="64">
        <f t="shared" si="66"/>
        <v>0.91666666666666663</v>
      </c>
      <c r="BP433" s="64">
        <f t="shared" si="67"/>
        <v>0.91666666666666663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611</v>
      </c>
      <c r="Y434" s="644">
        <f t="shared" si="63"/>
        <v>615</v>
      </c>
      <c r="Z434" s="36">
        <f>IFERROR(IF(Y434=0,"",ROUNDUP(Y434/H434,0)*0.02175),"")</f>
        <v>0.89174999999999993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630.14466666666669</v>
      </c>
      <c r="BN434" s="64">
        <f t="shared" si="65"/>
        <v>634.2700000000001</v>
      </c>
      <c r="BO434" s="64">
        <f t="shared" si="66"/>
        <v>0.84861111111111109</v>
      </c>
      <c r="BP434" s="64">
        <f t="shared" si="67"/>
        <v>0.85416666666666663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404</v>
      </c>
      <c r="Y435" s="644">
        <f t="shared" si="63"/>
        <v>405</v>
      </c>
      <c r="Z435" s="36">
        <f>IFERROR(IF(Y435=0,"",ROUNDUP(Y435/H435,0)*0.02175),"")</f>
        <v>0.58724999999999994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416.65866666666665</v>
      </c>
      <c r="BN435" s="64">
        <f t="shared" si="65"/>
        <v>417.69</v>
      </c>
      <c r="BO435" s="64">
        <f t="shared" si="66"/>
        <v>0.56111111111111112</v>
      </c>
      <c r="BP435" s="64">
        <f t="shared" si="67"/>
        <v>0.5625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169</v>
      </c>
      <c r="Y439" s="645">
        <f>IFERROR(Y431/H431,"0")+IFERROR(Y432/H432,"0")+IFERROR(Y433/H433,"0")+IFERROR(Y434/H434,"0")+IFERROR(Y435/H435,"0")+IFERROR(Y436/H436,"0")+IFERROR(Y437/H437,"0")+IFERROR(Y438/H438,"0")</f>
        <v>170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3.6974999999999998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2535</v>
      </c>
      <c r="Y440" s="645">
        <f>IFERROR(SUM(Y431:Y438),"0")</f>
        <v>2550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611</v>
      </c>
      <c r="Y442" s="644">
        <f>IFERROR(IF(X442="",0,CEILING((X442/$H442),1)*$H442),"")</f>
        <v>615</v>
      </c>
      <c r="Z442" s="36">
        <f>IFERROR(IF(Y442=0,"",ROUNDUP(Y442/H442,0)*0.02175),"")</f>
        <v>0.89174999999999993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630.14466666666669</v>
      </c>
      <c r="BN442" s="64">
        <f>IFERROR(Y442*I442/H442,"0")</f>
        <v>634.2700000000001</v>
      </c>
      <c r="BO442" s="64">
        <f>IFERROR(1/J442*(X442/H442),"0")</f>
        <v>0.84861111111111109</v>
      </c>
      <c r="BP442" s="64">
        <f>IFERROR(1/J442*(Y442/H442),"0")</f>
        <v>0.85416666666666663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51</v>
      </c>
      <c r="Y443" s="644">
        <f>IFERROR(IF(X443="",0,CEILING((X443/$H443),1)*$H443),"")</f>
        <v>60</v>
      </c>
      <c r="Z443" s="36">
        <f>IFERROR(IF(Y443=0,"",ROUNDUP(Y443/H443,0)*0.02175),"")</f>
        <v>8.6999999999999994E-2</v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52.597999999999999</v>
      </c>
      <c r="BN443" s="64">
        <f>IFERROR(Y443*I443/H443,"0")</f>
        <v>61.88</v>
      </c>
      <c r="BO443" s="64">
        <f>IFERROR(1/J443*(X443/H443),"0")</f>
        <v>7.0833333333333331E-2</v>
      </c>
      <c r="BP443" s="64">
        <f>IFERROR(1/J443*(Y443/H443),"0")</f>
        <v>8.3333333333333329E-2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44.133333333333333</v>
      </c>
      <c r="Y445" s="645">
        <f>IFERROR(Y442/H442,"0")+IFERROR(Y443/H443,"0")+IFERROR(Y444/H444,"0")</f>
        <v>45</v>
      </c>
      <c r="Z445" s="645">
        <f>IFERROR(IF(Z442="",0,Z442),"0")+IFERROR(IF(Z443="",0,Z443),"0")+IFERROR(IF(Z444="",0,Z444),"0")</f>
        <v>0.9787499999999999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662</v>
      </c>
      <c r="Y446" s="645">
        <f>IFERROR(SUM(Y442:Y444),"0")</f>
        <v>675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20</v>
      </c>
      <c r="Y449" s="644">
        <f>IFERROR(IF(X449="",0,CEILING((X449/$H449),1)*$H449),"")</f>
        <v>27</v>
      </c>
      <c r="Z449" s="36">
        <f>IFERROR(IF(Y449=0,"",ROUNDUP(Y449/H449,0)*0.01898),"")</f>
        <v>5.6940000000000004E-2</v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21.097777777777779</v>
      </c>
      <c r="BN449" s="64">
        <f>IFERROR(Y449*I449/H449,"0")</f>
        <v>28.481999999999996</v>
      </c>
      <c r="BO449" s="64">
        <f>IFERROR(1/J449*(X449/H449),"0")</f>
        <v>3.4722222222222224E-2</v>
      </c>
      <c r="BP449" s="64">
        <f>IFERROR(1/J449*(Y449/H449),"0")</f>
        <v>4.6875E-2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2.2222222222222223</v>
      </c>
      <c r="Y451" s="645">
        <f>IFERROR(Y448/H448,"0")+IFERROR(Y449/H449,"0")+IFERROR(Y450/H450,"0")</f>
        <v>3</v>
      </c>
      <c r="Z451" s="645">
        <f>IFERROR(IF(Z448="",0,Z448),"0")+IFERROR(IF(Z449="",0,Z449),"0")+IFERROR(IF(Z450="",0,Z450),"0")</f>
        <v>5.6940000000000004E-2</v>
      </c>
      <c r="AA451" s="646"/>
      <c r="AB451" s="646"/>
      <c r="AC451" s="646"/>
    </row>
    <row r="452" spans="1:68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20</v>
      </c>
      <c r="Y452" s="645">
        <f>IFERROR(SUM(Y448:Y450),"0")</f>
        <v>27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100</v>
      </c>
      <c r="Y455" s="644">
        <f>IFERROR(IF(X455="",0,CEILING((X455/$H455),1)*$H455),"")</f>
        <v>108</v>
      </c>
      <c r="Z455" s="36">
        <f>IFERROR(IF(Y455=0,"",ROUNDUP(Y455/H455,0)*0.01898),"")</f>
        <v>0.22776000000000002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105.48888888888888</v>
      </c>
      <c r="BN455" s="64">
        <f>IFERROR(Y455*I455/H455,"0")</f>
        <v>113.92799999999998</v>
      </c>
      <c r="BO455" s="64">
        <f>IFERROR(1/J455*(X455/H455),"0")</f>
        <v>0.1736111111111111</v>
      </c>
      <c r="BP455" s="64">
        <f>IFERROR(1/J455*(Y455/H455),"0")</f>
        <v>0.1875</v>
      </c>
    </row>
    <row r="456" spans="1:68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11.111111111111111</v>
      </c>
      <c r="Y456" s="645">
        <f>IFERROR(Y454/H454,"0")+IFERROR(Y455/H455,"0")</f>
        <v>12</v>
      </c>
      <c r="Z456" s="645">
        <f>IFERROR(IF(Z454="",0,Z454),"0")+IFERROR(IF(Z455="",0,Z455),"0")</f>
        <v>0.22776000000000002</v>
      </c>
      <c r="AA456" s="646"/>
      <c r="AB456" s="646"/>
      <c r="AC456" s="646"/>
    </row>
    <row r="457" spans="1:68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100</v>
      </c>
      <c r="Y457" s="645">
        <f>IFERROR(SUM(Y454:Y455),"0")</f>
        <v>108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200</v>
      </c>
      <c r="Y469" s="644">
        <f>IFERROR(IF(X469="",0,CEILING((X469/$H469),1)*$H469),"")</f>
        <v>207</v>
      </c>
      <c r="Z469" s="36">
        <f>IFERROR(IF(Y469=0,"",ROUNDUP(Y469/H469,0)*0.01898),"")</f>
        <v>0.43653999999999998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210.97777777777776</v>
      </c>
      <c r="BN469" s="64">
        <f>IFERROR(Y469*I469/H469,"0")</f>
        <v>218.36199999999999</v>
      </c>
      <c r="BO469" s="64">
        <f>IFERROR(1/J469*(X469/H469),"0")</f>
        <v>0.34722222222222221</v>
      </c>
      <c r="BP469" s="64">
        <f>IFERROR(1/J469*(Y469/H469),"0")</f>
        <v>0.359375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25.555555555555554</v>
      </c>
      <c r="Y472" s="645">
        <f>IFERROR(Y469/H469,"0")+IFERROR(Y470/H470,"0")+IFERROR(Y471/H471,"0")</f>
        <v>27</v>
      </c>
      <c r="Z472" s="645">
        <f>IFERROR(IF(Z469="",0,Z469),"0")+IFERROR(IF(Z470="",0,Z470),"0")+IFERROR(IF(Z471="",0,Z471),"0")</f>
        <v>0.46257999999999999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208</v>
      </c>
      <c r="Y473" s="645">
        <f>IFERROR(SUM(Y469:Y471),"0")</f>
        <v>216.6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50</v>
      </c>
      <c r="Y477" s="644">
        <f t="shared" ref="Y477:Y482" si="68">IFERROR(IF(X477="",0,CEILING((X477/$H477),1)*$H477),"")</f>
        <v>54</v>
      </c>
      <c r="Z477" s="36">
        <f>IFERROR(IF(Y477=0,"",ROUNDUP(Y477/H477,0)*0.00902),"")</f>
        <v>9.0200000000000002E-2</v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51.759259259259252</v>
      </c>
      <c r="BN477" s="64">
        <f t="shared" ref="BN477:BN482" si="70">IFERROR(Y477*I477/H477,"0")</f>
        <v>55.9</v>
      </c>
      <c r="BO477" s="64">
        <f t="shared" ref="BO477:BO482" si="71">IFERROR(1/J477*(X477/H477),"0")</f>
        <v>7.0145903479236812E-2</v>
      </c>
      <c r="BP477" s="64">
        <f t="shared" ref="BP477:BP482" si="72">IFERROR(1/J477*(Y477/H477),"0")</f>
        <v>7.575757575757576E-2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9.2592592592592595</v>
      </c>
      <c r="Y483" s="645">
        <f>IFERROR(Y477/H477,"0")+IFERROR(Y478/H478,"0")+IFERROR(Y479/H479,"0")+IFERROR(Y480/H480,"0")+IFERROR(Y481/H481,"0")+IFERROR(Y482/H482,"0")</f>
        <v>10</v>
      </c>
      <c r="Z483" s="645">
        <f>IFERROR(IF(Z477="",0,Z477),"0")+IFERROR(IF(Z478="",0,Z478),"0")+IFERROR(IF(Z479="",0,Z479),"0")+IFERROR(IF(Z480="",0,Z480),"0")+IFERROR(IF(Z481="",0,Z481),"0")+IFERROR(IF(Z482="",0,Z482),"0")</f>
        <v>9.0200000000000002E-2</v>
      </c>
      <c r="AA483" s="646"/>
      <c r="AB483" s="646"/>
      <c r="AC483" s="646"/>
    </row>
    <row r="484" spans="1:68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50</v>
      </c>
      <c r="Y484" s="645">
        <f>IFERROR(SUM(Y477:Y482),"0")</f>
        <v>54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71</v>
      </c>
      <c r="Y496" s="644">
        <f>IFERROR(IF(X496="",0,CEILING((X496/$H496),1)*$H496),"")</f>
        <v>75.600000000000009</v>
      </c>
      <c r="Z496" s="36">
        <f>IFERROR(IF(Y496=0,"",ROUNDUP(Y496/H496,0)*0.00902),"")</f>
        <v>0.12628</v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73.498148148148147</v>
      </c>
      <c r="BN496" s="64">
        <f>IFERROR(Y496*I496/H496,"0")</f>
        <v>78.260000000000005</v>
      </c>
      <c r="BO496" s="64">
        <f>IFERROR(1/J496*(X496/H496),"0")</f>
        <v>9.9607182940516265E-2</v>
      </c>
      <c r="BP496" s="64">
        <f>IFERROR(1/J496*(Y496/H496),"0")</f>
        <v>0.10606060606060606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13.148148148148147</v>
      </c>
      <c r="Y499" s="645">
        <f>IFERROR(Y496/H496,"0")+IFERROR(Y497/H497,"0")+IFERROR(Y498/H498,"0")</f>
        <v>14</v>
      </c>
      <c r="Z499" s="645">
        <f>IFERROR(IF(Z496="",0,Z496),"0")+IFERROR(IF(Z497="",0,Z497),"0")+IFERROR(IF(Z498="",0,Z498),"0")</f>
        <v>0.12628</v>
      </c>
      <c r="AA499" s="646"/>
      <c r="AB499" s="646"/>
      <c r="AC499" s="646"/>
    </row>
    <row r="500" spans="1:68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71</v>
      </c>
      <c r="Y500" s="645">
        <f>IFERROR(SUM(Y496:Y498),"0")</f>
        <v>75.600000000000009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93</v>
      </c>
      <c r="Y504" s="644">
        <f t="shared" ref="Y504:Y512" si="73">IFERROR(IF(X504="",0,CEILING((X504/$H504),1)*$H504),"")</f>
        <v>95.04</v>
      </c>
      <c r="Z504" s="36">
        <f t="shared" ref="Z504:Z509" si="74">IFERROR(IF(Y504=0,"",ROUNDUP(Y504/H504,0)*0.01196),"")</f>
        <v>0.21528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99.164772727272734</v>
      </c>
      <c r="BN504" s="64">
        <f t="shared" ref="BN504:BN512" si="76">IFERROR(Y504*I504/H504,"0")</f>
        <v>101.33999999999999</v>
      </c>
      <c r="BO504" s="64">
        <f t="shared" ref="BO504:BO512" si="77">IFERROR(1/J504*(X504/H504),"0")</f>
        <v>0.16936188811188813</v>
      </c>
      <c r="BP504" s="64">
        <f t="shared" ref="BP504:BP512" si="78">IFERROR(1/J504*(Y504/H504),"0")</f>
        <v>0.17307692307692307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65</v>
      </c>
      <c r="Y506" s="644">
        <f t="shared" si="73"/>
        <v>68.64</v>
      </c>
      <c r="Z506" s="36">
        <f t="shared" si="74"/>
        <v>0.15548000000000001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69.30871212121211</v>
      </c>
      <c r="BN506" s="64">
        <f t="shared" si="76"/>
        <v>73.19</v>
      </c>
      <c r="BO506" s="64">
        <f t="shared" si="77"/>
        <v>0.11837121212121213</v>
      </c>
      <c r="BP506" s="64">
        <f t="shared" si="78"/>
        <v>0.125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9</v>
      </c>
      <c r="Y507" s="644">
        <f t="shared" si="73"/>
        <v>10.56</v>
      </c>
      <c r="Z507" s="36">
        <f t="shared" si="74"/>
        <v>2.392E-2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9.5965909090909083</v>
      </c>
      <c r="BN507" s="64">
        <f t="shared" si="76"/>
        <v>11.26</v>
      </c>
      <c r="BO507" s="64">
        <f t="shared" si="77"/>
        <v>1.638986013986014E-2</v>
      </c>
      <c r="BP507" s="64">
        <f t="shared" si="78"/>
        <v>1.9230769230769232E-2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202</v>
      </c>
      <c r="Y509" s="644">
        <f t="shared" si="73"/>
        <v>205.92000000000002</v>
      </c>
      <c r="Z509" s="36">
        <f t="shared" si="74"/>
        <v>0.46644000000000002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215.3901515151515</v>
      </c>
      <c r="BN509" s="64">
        <f t="shared" si="76"/>
        <v>219.57</v>
      </c>
      <c r="BO509" s="64">
        <f t="shared" si="77"/>
        <v>0.3678613053613054</v>
      </c>
      <c r="BP509" s="64">
        <f t="shared" si="78"/>
        <v>0.375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0</v>
      </c>
      <c r="Y511" s="644">
        <f t="shared" si="73"/>
        <v>0</v>
      </c>
      <c r="Z511" s="36" t="str">
        <f>IFERROR(IF(Y511=0,"",ROUNDUP(Y511/H511,0)*0.00902),"")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48</v>
      </c>
      <c r="Y512" s="644">
        <f t="shared" si="73"/>
        <v>48</v>
      </c>
      <c r="Z512" s="36">
        <f>IFERROR(IF(Y512=0,"",ROUNDUP(Y512/H512,0)*0.00902),"")</f>
        <v>9.0200000000000002E-2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69.100000000000009</v>
      </c>
      <c r="BN512" s="64">
        <f t="shared" si="76"/>
        <v>69.100000000000009</v>
      </c>
      <c r="BO512" s="64">
        <f t="shared" si="77"/>
        <v>7.575757575757576E-2</v>
      </c>
      <c r="BP512" s="64">
        <f t="shared" si="78"/>
        <v>7.575757575757576E-2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79.886363636363626</v>
      </c>
      <c r="Y513" s="645">
        <f>IFERROR(Y504/H504,"0")+IFERROR(Y505/H505,"0")+IFERROR(Y506/H506,"0")+IFERROR(Y507/H507,"0")+IFERROR(Y508/H508,"0")+IFERROR(Y509/H509,"0")+IFERROR(Y510/H510,"0")+IFERROR(Y511/H511,"0")+IFERROR(Y512/H512,"0")</f>
        <v>82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0.95131999999999994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417</v>
      </c>
      <c r="Y514" s="645">
        <f>IFERROR(SUM(Y504:Y512),"0")</f>
        <v>428.16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164</v>
      </c>
      <c r="Y516" s="644">
        <f>IFERROR(IF(X516="",0,CEILING((X516/$H516),1)*$H516),"")</f>
        <v>168.96</v>
      </c>
      <c r="Z516" s="36">
        <f>IFERROR(IF(Y516=0,"",ROUNDUP(Y516/H516,0)*0.01196),"")</f>
        <v>0.38272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174.8712121212121</v>
      </c>
      <c r="BN516" s="64">
        <f>IFERROR(Y516*I516/H516,"0")</f>
        <v>180.16</v>
      </c>
      <c r="BO516" s="64">
        <f>IFERROR(1/J516*(X516/H516),"0")</f>
        <v>0.29865967365967366</v>
      </c>
      <c r="BP516" s="64">
        <f>IFERROR(1/J516*(Y516/H516),"0")</f>
        <v>0.30769230769230771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IFERROR(IF(Y518=0,"",ROUNDUP(Y518/H518,0)*0.00902),"")</f>
        <v/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31.060606060606059</v>
      </c>
      <c r="Y519" s="645">
        <f>IFERROR(Y516/H516,"0")+IFERROR(Y517/H517,"0")+IFERROR(Y518/H518,"0")</f>
        <v>32</v>
      </c>
      <c r="Z519" s="645">
        <f>IFERROR(IF(Z516="",0,Z516),"0")+IFERROR(IF(Z517="",0,Z517),"0")+IFERROR(IF(Z518="",0,Z518),"0")</f>
        <v>0.38272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164</v>
      </c>
      <c r="Y520" s="645">
        <f>IFERROR(SUM(Y516:Y518),"0")</f>
        <v>168.96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71</v>
      </c>
      <c r="Y522" s="644">
        <f t="shared" ref="Y522:Y528" si="79">IFERROR(IF(X522="",0,CEILING((X522/$H522),1)*$H522),"")</f>
        <v>73.92</v>
      </c>
      <c r="Z522" s="36">
        <f>IFERROR(IF(Y522=0,"",ROUNDUP(Y522/H522,0)*0.01196),"")</f>
        <v>0.16744000000000001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75.706439393939391</v>
      </c>
      <c r="BN522" s="64">
        <f t="shared" ref="BN522:BN528" si="81">IFERROR(Y522*I522/H522,"0")</f>
        <v>78.819999999999993</v>
      </c>
      <c r="BO522" s="64">
        <f t="shared" ref="BO522:BO528" si="82">IFERROR(1/J522*(X522/H522),"0")</f>
        <v>0.12929778554778554</v>
      </c>
      <c r="BP522" s="64">
        <f t="shared" ref="BP522:BP528" si="83">IFERROR(1/J522*(Y522/H522),"0")</f>
        <v>0.13461538461538464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250</v>
      </c>
      <c r="Y523" s="644">
        <f t="shared" si="79"/>
        <v>253.44</v>
      </c>
      <c r="Z523" s="36">
        <f>IFERROR(IF(Y523=0,"",ROUNDUP(Y523/H523,0)*0.01196),"")</f>
        <v>0.57408000000000003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266.57196969696969</v>
      </c>
      <c r="BN523" s="64">
        <f t="shared" si="81"/>
        <v>270.23999999999995</v>
      </c>
      <c r="BO523" s="64">
        <f t="shared" si="82"/>
        <v>0.45527389277389274</v>
      </c>
      <c r="BP523" s="64">
        <f t="shared" si="83"/>
        <v>0.46153846153846156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70</v>
      </c>
      <c r="Y524" s="644">
        <f t="shared" si="79"/>
        <v>73.92</v>
      </c>
      <c r="Z524" s="36">
        <f>IFERROR(IF(Y524=0,"",ROUNDUP(Y524/H524,0)*0.01196),"")</f>
        <v>0.16744000000000001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74.640151515151501</v>
      </c>
      <c r="BN524" s="64">
        <f t="shared" si="81"/>
        <v>78.819999999999993</v>
      </c>
      <c r="BO524" s="64">
        <f t="shared" si="82"/>
        <v>0.12747668997668998</v>
      </c>
      <c r="BP524" s="64">
        <f t="shared" si="83"/>
        <v>0.13461538461538464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74.053030303030297</v>
      </c>
      <c r="Y529" s="645">
        <f>IFERROR(Y522/H522,"0")+IFERROR(Y523/H523,"0")+IFERROR(Y524/H524,"0")+IFERROR(Y525/H525,"0")+IFERROR(Y526/H526,"0")+IFERROR(Y527/H527,"0")+IFERROR(Y528/H528,"0")</f>
        <v>76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0.9089600000000001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391</v>
      </c>
      <c r="Y530" s="645">
        <f>IFERROR(SUM(Y522:Y528),"0")</f>
        <v>401.28000000000003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50</v>
      </c>
      <c r="Y546" s="644">
        <f>IFERROR(IF(X546="",0,CEILING((X546/$H546),1)*$H546),"")</f>
        <v>54</v>
      </c>
      <c r="Z546" s="36">
        <f>IFERROR(IF(Y546=0,"",ROUNDUP(Y546/H546,0)*0.01898),"")</f>
        <v>0.11388000000000001</v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52.74444444444444</v>
      </c>
      <c r="BN546" s="64">
        <f>IFERROR(Y546*I546/H546,"0")</f>
        <v>56.963999999999992</v>
      </c>
      <c r="BO546" s="64">
        <f>IFERROR(1/J546*(X546/H546),"0")</f>
        <v>8.6805555555555552E-2</v>
      </c>
      <c r="BP546" s="64">
        <f>IFERROR(1/J546*(Y546/H546),"0")</f>
        <v>9.375E-2</v>
      </c>
    </row>
    <row r="547" spans="1:68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5.5555555555555554</v>
      </c>
      <c r="Y547" s="645">
        <f>IFERROR(Y546/H546,"0")</f>
        <v>6</v>
      </c>
      <c r="Z547" s="645">
        <f>IFERROR(IF(Z546="",0,Z546),"0")</f>
        <v>0.11388000000000001</v>
      </c>
      <c r="AA547" s="646"/>
      <c r="AB547" s="646"/>
      <c r="AC547" s="646"/>
    </row>
    <row r="548" spans="1:68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50</v>
      </c>
      <c r="Y548" s="645">
        <f>IFERROR(SUM(Y546:Y546),"0")</f>
        <v>54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9032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9237.6900000000023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9554.9403751925929</v>
      </c>
      <c r="Y560" s="645">
        <f>IFERROR(SUM(BN22:BN556),"0")</f>
        <v>9773.6630000000005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16</v>
      </c>
      <c r="Y561" s="38">
        <f>ROUNDUP(SUM(BP22:BP556),0)</f>
        <v>17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9954.9403751925929</v>
      </c>
      <c r="Y562" s="645">
        <f>GrossWeightTotalR+PalletQtyTotalR*25</f>
        <v>10198.663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1591.2522144952957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1630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18.496110000000005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50.4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37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573.59999999999991</v>
      </c>
      <c r="F569" s="46">
        <f>IFERROR(Y85*1,"0")+IFERROR(Y86*1,"0")+IFERROR(Y87*1,"0")+IFERROR(Y88*1,"0")+IFERROR(Y89*1,"0")+IFERROR(Y93*1,"0")+IFERROR(Y94*1,"0")+IFERROR(Y95*1,"0")+IFERROR(Y96*1,"0")+IFERROR(Y97*1,"0")+IFERROR(Y98*1,"0")</f>
        <v>371.7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651.29999999999995</v>
      </c>
      <c r="H569" s="46">
        <f>IFERROR(Y138*1,"0")+IFERROR(Y139*1,"0")+IFERROR(Y143*1,"0")+IFERROR(Y144*1,"0")+IFERROR(Y148*1,"0")+IFERROR(Y149*1,"0")</f>
        <v>75.12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439.53999999999996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270.45999999999998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1007.6999999999999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9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179.39999999999998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692.07</v>
      </c>
      <c r="U569" s="46">
        <f>IFERROR(Y417*1,"0")+IFERROR(Y418*1,"0")</f>
        <v>0</v>
      </c>
      <c r="V569" s="46">
        <f>IFERROR(Y423*1,"0")+IFERROR(Y424*1,"0")+IFERROR(Y425*1,"0")</f>
        <v>21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3360</v>
      </c>
      <c r="X569" s="46">
        <f>IFERROR(Y460*1,"0")+IFERROR(Y461*1,"0")+IFERROR(Y465*1,"0")+IFERROR(Y469*1,"0")+IFERROR(Y470*1,"0")+IFERROR(Y471*1,"0")</f>
        <v>216.6</v>
      </c>
      <c r="Y569" s="46">
        <f>IFERROR(Y477*1,"0")+IFERROR(Y478*1,"0")+IFERROR(Y479*1,"0")+IFERROR(Y480*1,"0")+IFERROR(Y481*1,"0")+IFERROR(Y482*1,"0")+IFERROR(Y486*1,"0")+IFERROR(Y487*1,"0")</f>
        <v>54</v>
      </c>
      <c r="Z569" s="46">
        <f>IFERROR(Y492*1,"0")+IFERROR(Y496*1,"0")+IFERROR(Y497*1,"0")+IFERROR(Y498*1,"0")</f>
        <v>75.600000000000009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998.4</v>
      </c>
      <c r="AB569" s="46">
        <f>IFERROR(Y534*1,"0")+IFERROR(Y538*1,"0")+IFERROR(Y542*1,"0")+IFERROR(Y546*1,"0")+IFERROR(Y550*1,"0")+IFERROR(Y551*1,"0")</f>
        <v>54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1,25"/>
        <filter val="100,00"/>
        <filter val="106,67"/>
        <filter val="11,00"/>
        <filter val="11,11"/>
        <filter val="113,00"/>
        <filter val="114,07"/>
        <filter val="12,00"/>
        <filter val="120,00"/>
        <filter val="13,15"/>
        <filter val="130,00"/>
        <filter val="134,00"/>
        <filter val="139,00"/>
        <filter val="14,07"/>
        <filter val="140,00"/>
        <filter val="15,00"/>
        <filter val="15,91"/>
        <filter val="150,00"/>
        <filter val="151,98"/>
        <filter val="152,19"/>
        <filter val="16"/>
        <filter val="164,00"/>
        <filter val="169,00"/>
        <filter val="171,00"/>
        <filter val="18,00"/>
        <filter val="180,00"/>
        <filter val="184,00"/>
        <filter val="185,00"/>
        <filter val="19,00"/>
        <filter val="2 535,00"/>
        <filter val="2,00"/>
        <filter val="2,22"/>
        <filter val="20,00"/>
        <filter val="20,57"/>
        <filter val="20,98"/>
        <filter val="200,00"/>
        <filter val="202,00"/>
        <filter val="208,00"/>
        <filter val="21,92"/>
        <filter val="22,00"/>
        <filter val="24,00"/>
        <filter val="248,00"/>
        <filter val="25,00"/>
        <filter val="25,56"/>
        <filter val="250,00"/>
        <filter val="26,67"/>
        <filter val="28,00"/>
        <filter val="3,00"/>
        <filter val="3,97"/>
        <filter val="30,00"/>
        <filter val="31,06"/>
        <filter val="31,14"/>
        <filter val="320,00"/>
        <filter val="33,00"/>
        <filter val="35,00"/>
        <filter val="377,00"/>
        <filter val="38,00"/>
        <filter val="391,00"/>
        <filter val="4,00"/>
        <filter val="4,44"/>
        <filter val="40,00"/>
        <filter val="404,00"/>
        <filter val="41,03"/>
        <filter val="41,67"/>
        <filter val="417,00"/>
        <filter val="42,00"/>
        <filter val="428,00"/>
        <filter val="43,00"/>
        <filter val="430,00"/>
        <filter val="433,00"/>
        <filter val="44,00"/>
        <filter val="44,13"/>
        <filter val="46,17"/>
        <filter val="46,81"/>
        <filter val="472,00"/>
        <filter val="48,00"/>
        <filter val="5,00"/>
        <filter val="5,56"/>
        <filter val="50,00"/>
        <filter val="51,00"/>
        <filter val="51,33"/>
        <filter val="53,00"/>
        <filter val="60,00"/>
        <filter val="611,00"/>
        <filter val="63,00"/>
        <filter val="65,00"/>
        <filter val="66,17"/>
        <filter val="660,00"/>
        <filter val="662,00"/>
        <filter val="68,00"/>
        <filter val="7,00"/>
        <filter val="7,20"/>
        <filter val="70,00"/>
        <filter val="71,00"/>
        <filter val="74,05"/>
        <filter val="79,89"/>
        <filter val="8,00"/>
        <filter val="8,33"/>
        <filter val="8,57"/>
        <filter val="8,70"/>
        <filter val="8,75"/>
        <filter val="8,93"/>
        <filter val="80,00"/>
        <filter val="86,00"/>
        <filter val="860,00"/>
        <filter val="88,00"/>
        <filter val="9 032,00"/>
        <filter val="9 554,94"/>
        <filter val="9 954,94"/>
        <filter val="9,00"/>
        <filter val="9,26"/>
        <filter val="9,46"/>
        <filter val="93,00"/>
        <filter val="94,00"/>
        <filter val="96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