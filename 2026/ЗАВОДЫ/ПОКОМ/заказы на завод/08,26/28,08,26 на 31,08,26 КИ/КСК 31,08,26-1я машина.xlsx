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2564CA-4BFB-44A2-B1F7-697DB94F829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P340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Z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23" i="2" l="1"/>
  <c r="BN40" i="2"/>
  <c r="BP95" i="2"/>
  <c r="BN115" i="2"/>
  <c r="BN128" i="2"/>
  <c r="BN157" i="2"/>
  <c r="BN184" i="2"/>
  <c r="BN279" i="2"/>
  <c r="BN289" i="2"/>
  <c r="Y315" i="2"/>
  <c r="BP349" i="2"/>
  <c r="BN513" i="2"/>
  <c r="Z37" i="2"/>
  <c r="Z56" i="2"/>
  <c r="Z95" i="2"/>
  <c r="BN125" i="2"/>
  <c r="BN246" i="2"/>
  <c r="BN285" i="2"/>
  <c r="Z324" i="2"/>
  <c r="Z349" i="2"/>
  <c r="BN411" i="2"/>
  <c r="BP418" i="2"/>
  <c r="BN462" i="2"/>
  <c r="BN480" i="2"/>
  <c r="BN187" i="2"/>
  <c r="BN306" i="2"/>
  <c r="Z310" i="2"/>
  <c r="BN293" i="2"/>
  <c r="Y341" i="2"/>
  <c r="BN525" i="2"/>
  <c r="BN93" i="2"/>
  <c r="Z551" i="2"/>
  <c r="BP535" i="2"/>
  <c r="BN527" i="2"/>
  <c r="Y521" i="2"/>
  <c r="Z519" i="2"/>
  <c r="BN517" i="2"/>
  <c r="BN511" i="2"/>
  <c r="BP510" i="2"/>
  <c r="BN506" i="2"/>
  <c r="BN482" i="2"/>
  <c r="BN461" i="2"/>
  <c r="BN456" i="2"/>
  <c r="BP450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60" i="2"/>
  <c r="BN347" i="2"/>
  <c r="BN331" i="2"/>
  <c r="BP324" i="2"/>
  <c r="Y326" i="2"/>
  <c r="BN314" i="2"/>
  <c r="BN310" i="2"/>
  <c r="BN299" i="2"/>
  <c r="Z299" i="2"/>
  <c r="Y300" i="2"/>
  <c r="BN283" i="2"/>
  <c r="Z283" i="2"/>
  <c r="Z279" i="2"/>
  <c r="BN277" i="2"/>
  <c r="BP275" i="2"/>
  <c r="Z272" i="2"/>
  <c r="BP272" i="2"/>
  <c r="Y280" i="2"/>
  <c r="BN263" i="2"/>
  <c r="BP262" i="2"/>
  <c r="BN257" i="2"/>
  <c r="BN252" i="2"/>
  <c r="BN244" i="2"/>
  <c r="Y249" i="2"/>
  <c r="BN238" i="2"/>
  <c r="BN236" i="2"/>
  <c r="Z236" i="2"/>
  <c r="BN232" i="2"/>
  <c r="Y241" i="2"/>
  <c r="BN229" i="2"/>
  <c r="Z215" i="2"/>
  <c r="BN211" i="2"/>
  <c r="BN195" i="2"/>
  <c r="Y198" i="2"/>
  <c r="Z195" i="2"/>
  <c r="Z184" i="2"/>
  <c r="Z183" i="2"/>
  <c r="BN181" i="2"/>
  <c r="Z169" i="2"/>
  <c r="BP169" i="2"/>
  <c r="BN143" i="2"/>
  <c r="BP139" i="2"/>
  <c r="Z139" i="2"/>
  <c r="BN133" i="2"/>
  <c r="Y135" i="2"/>
  <c r="Z126" i="2"/>
  <c r="BN116" i="2"/>
  <c r="BN107" i="2"/>
  <c r="Z106" i="2"/>
  <c r="BP106" i="2"/>
  <c r="G570" i="2"/>
  <c r="BN86" i="2"/>
  <c r="BP85" i="2"/>
  <c r="BN80" i="2"/>
  <c r="Y81" i="2"/>
  <c r="BN77" i="2"/>
  <c r="Z64" i="2"/>
  <c r="BP64" i="2"/>
  <c r="BN60" i="2"/>
  <c r="BN59" i="2"/>
  <c r="Z59" i="2"/>
  <c r="BP58" i="2"/>
  <c r="Z58" i="2"/>
  <c r="Z49" i="2"/>
  <c r="X562" i="2"/>
  <c r="D570" i="2"/>
  <c r="BN49" i="2"/>
  <c r="BP48" i="2"/>
  <c r="BP37" i="2"/>
  <c r="Z31" i="2"/>
  <c r="BN30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9" i="2" l="1"/>
  <c r="Z61" i="2"/>
  <c r="Z177" i="2"/>
  <c r="Z300" i="2"/>
  <c r="Z51" i="2"/>
  <c r="Z530" i="2"/>
  <c r="Z520" i="2"/>
  <c r="Z484" i="2"/>
  <c r="Z463" i="2"/>
  <c r="Z452" i="2"/>
  <c r="Z446" i="2"/>
  <c r="Z440" i="2"/>
  <c r="Z420" i="2"/>
  <c r="Z402" i="2"/>
  <c r="Z395" i="2"/>
  <c r="Z382" i="2"/>
  <c r="Z341" i="2"/>
  <c r="Z218" i="2"/>
  <c r="Z161" i="2"/>
  <c r="Z134" i="2"/>
  <c r="Z99" i="2"/>
  <c r="Z81" i="2"/>
  <c r="Z68" i="2"/>
  <c r="X563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<sst xmlns="http://schemas.openxmlformats.org/spreadsheetml/2006/main" count="4310" uniqueCount="900">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</sst>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46265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881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0.375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64</v>
      </c>
      <c r="Y41" s="55">
        <f>IFERROR(IF(X41="",0,CEILING((X41/$H41),1)*$H41),"")</f>
        <v>65.28</v>
      </c>
      <c r="Z41" s="41">
        <f>IFERROR(IF(Y41=0,"",ROUNDUP(Y41/H41,0)*0.00651),"")</f>
        <v>0.22134000000000001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70</v>
      </c>
      <c r="BN41" s="78">
        <f>IFERROR(Y41*I41/H41,"0")</f>
        <v>71.40000000000002</v>
      </c>
      <c r="BO41" s="78">
        <f>IFERROR(1/J41*(X41/H41),"0")</f>
        <v>0.18315018315018317</v>
      </c>
      <c r="BP41" s="78">
        <f>IFERROR(1/J41*(Y41/H41),"0")</f>
        <v>0.18681318681318682</v>
      </c>
    </row>
    <row r="42" spans="1:68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33.333333333333336</v>
      </c>
      <c r="Y42" s="43">
        <f>IFERROR(Y37/H37,"0")+IFERROR(Y38/H38,"0")+IFERROR(Y39/H39,"0")+IFERROR(Y40/H40,"0")+IFERROR(Y41/H41,"0")</f>
        <v>34</v>
      </c>
      <c r="Z42" s="43">
        <f>IFERROR(IF(Z37="",0,Z37),"0")+IFERROR(IF(Z38="",0,Z38),"0")+IFERROR(IF(Z39="",0,Z39),"0")+IFERROR(IF(Z40="",0,Z40),"0")+IFERROR(IF(Z41="",0,Z41),"0")</f>
        <v>0.22134000000000001</v>
      </c>
      <c r="AA42" s="67"/>
      <c r="AB42" s="67"/>
      <c r="AC42" s="67"/>
    </row>
    <row r="43" spans="1:68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64</v>
      </c>
      <c r="Y43" s="43">
        <f>IFERROR(SUM(Y37:Y41),"0")</f>
        <v>65.28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320</v>
      </c>
      <c r="Y49" s="55">
        <f>IFERROR(IF(X49="",0,CEILING((X49/$H49),1)*$H49),"")</f>
        <v>320</v>
      </c>
      <c r="Z49" s="41">
        <f>IFERROR(IF(Y49=0,"",ROUNDUP(Y49/H49,0)*0.00902),"")</f>
        <v>0.72160000000000002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335.20000000000005</v>
      </c>
      <c r="BN49" s="78">
        <f>IFERROR(Y49*I49/H49,"0")</f>
        <v>335.20000000000005</v>
      </c>
      <c r="BO49" s="78">
        <f>IFERROR(1/J49*(X49/H49),"0")</f>
        <v>0.60606060606060608</v>
      </c>
      <c r="BP49" s="78">
        <f>IFERROR(1/J49*(Y49/H49),"0")</f>
        <v>0.60606060606060608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103.14814814814815</v>
      </c>
      <c r="Y51" s="43">
        <f>IFERROR(Y47/H47,"0")+IFERROR(Y48/H48,"0")+IFERROR(Y49/H49,"0")+IFERROR(Y50/H50,"0")</f>
        <v>104</v>
      </c>
      <c r="Z51" s="43">
        <f>IFERROR(IF(Z47="",0,Z47),"0")+IFERROR(IF(Z48="",0,Z48),"0")+IFERROR(IF(Z49="",0,Z49),"0")+IFERROR(IF(Z50="",0,Z50),"0")</f>
        <v>1.1771199999999999</v>
      </c>
      <c r="AA51" s="67"/>
      <c r="AB51" s="67"/>
      <c r="AC51" s="67"/>
    </row>
    <row r="52" spans="1:68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570</v>
      </c>
      <c r="Y52" s="43">
        <f>IFERROR(SUM(Y47:Y50),"0")</f>
        <v>579.20000000000005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225</v>
      </c>
      <c r="Y60" s="55">
        <f t="shared" si="0"/>
        <v>225</v>
      </c>
      <c r="Z60" s="41">
        <f>IFERROR(IF(Y60=0,"",ROUNDUP(Y60/H60,0)*0.00902),"")</f>
        <v>0.45100000000000001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234.5</v>
      </c>
      <c r="BN60" s="78">
        <f t="shared" si="2"/>
        <v>234.5</v>
      </c>
      <c r="BO60" s="78">
        <f t="shared" si="3"/>
        <v>0.37878787878787878</v>
      </c>
      <c r="BP60" s="78">
        <f t="shared" si="4"/>
        <v>0.37878787878787878</v>
      </c>
    </row>
    <row r="61" spans="1:68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50</v>
      </c>
      <c r="Y61" s="43">
        <f>IFERROR(Y55/H55,"0")+IFERROR(Y56/H56,"0")+IFERROR(Y57/H57,"0")+IFERROR(Y58/H58,"0")+IFERROR(Y59/H59,"0")+IFERROR(Y60/H60,"0")</f>
        <v>50</v>
      </c>
      <c r="Z61" s="43">
        <f>IFERROR(IF(Z55="",0,Z55),"0")+IFERROR(IF(Z56="",0,Z56),"0")+IFERROR(IF(Z57="",0,Z57),"0")+IFERROR(IF(Z58="",0,Z58),"0")+IFERROR(IF(Z59="",0,Z59),"0")+IFERROR(IF(Z60="",0,Z60),"0")</f>
        <v>0.45100000000000001</v>
      </c>
      <c r="AA61" s="67"/>
      <c r="AB61" s="67"/>
      <c r="AC61" s="67"/>
    </row>
    <row r="62" spans="1:68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225</v>
      </c>
      <c r="Y62" s="43">
        <f>IFERROR(SUM(Y55:Y60),"0")</f>
        <v>225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100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103.79629629629629</v>
      </c>
      <c r="BN64" s="78">
        <f>IFERROR(Y64*I64/H64,"0")</f>
        <v>112.1</v>
      </c>
      <c r="BO64" s="78">
        <f>IFERROR(1/J64*(X64/H64),"0")</f>
        <v>0.14467592592592593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112.5</v>
      </c>
      <c r="Y67" s="55">
        <f>IFERROR(IF(X67="",0,CEILING((X67/$H67),1)*$H67),"")</f>
        <v>113.4</v>
      </c>
      <c r="Z67" s="41">
        <f>IFERROR(IF(Y67=0,"",ROUNDUP(Y67/H67,0)*0.00651),"")</f>
        <v>0.27342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119.99999999999999</v>
      </c>
      <c r="BN67" s="78">
        <f>IFERROR(Y67*I67/H67,"0")</f>
        <v>120.95999999999998</v>
      </c>
      <c r="BO67" s="78">
        <f>IFERROR(1/J67*(X67/H67),"0")</f>
        <v>0.22893772893772893</v>
      </c>
      <c r="BP67" s="78">
        <f>IFERROR(1/J67*(Y67/H67),"0")</f>
        <v>0.23076923076923078</v>
      </c>
    </row>
    <row r="68" spans="1:68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50.925925925925924</v>
      </c>
      <c r="Y68" s="43">
        <f>IFERROR(Y64/H64,"0")+IFERROR(Y65/H65,"0")+IFERROR(Y66/H66,"0")+IFERROR(Y67/H67,"0")</f>
        <v>52</v>
      </c>
      <c r="Z68" s="43">
        <f>IFERROR(IF(Z64="",0,Z64),"0")+IFERROR(IF(Z65="",0,Z65),"0")+IFERROR(IF(Z66="",0,Z66),"0")+IFERROR(IF(Z67="",0,Z67),"0")</f>
        <v>0.46321999999999997</v>
      </c>
      <c r="AA68" s="67"/>
      <c r="AB68" s="67"/>
      <c r="AC68" s="67"/>
    </row>
    <row r="69" spans="1:68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212.5</v>
      </c>
      <c r="Y69" s="43">
        <f>IFERROR(SUM(Y64:Y67),"0")</f>
        <v>221.4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40</v>
      </c>
      <c r="Y77" s="55">
        <f>IFERROR(IF(X77="",0,CEILING((X77/$H77),1)*$H77),"")</f>
        <v>46.8</v>
      </c>
      <c r="Z77" s="41">
        <f>IFERROR(IF(Y77=0,"",ROUNDUP(Y77/H77,0)*0.01898),"")</f>
        <v>0.11388000000000001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42.102564102564109</v>
      </c>
      <c r="BN77" s="78">
        <f>IFERROR(Y77*I77/H77,"0")</f>
        <v>49.260000000000005</v>
      </c>
      <c r="BO77" s="78">
        <f>IFERROR(1/J77*(X77/H77),"0")</f>
        <v>8.0128205128205135E-2</v>
      </c>
      <c r="BP77" s="78">
        <f>IFERROR(1/J77*(Y77/H77),"0")</f>
        <v>9.375E-2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5.1282051282051286</v>
      </c>
      <c r="Y81" s="43">
        <f>IFERROR(Y77/H77,"0")+IFERROR(Y78/H78,"0")+IFERROR(Y79/H79,"0")+IFERROR(Y80/H80,"0")</f>
        <v>6</v>
      </c>
      <c r="Z81" s="43">
        <f>IFERROR(IF(Z77="",0,Z77),"0")+IFERROR(IF(Z78="",0,Z78),"0")+IFERROR(IF(Z79="",0,Z79),"0")+IFERROR(IF(Z80="",0,Z80),"0")</f>
        <v>0.11388000000000001</v>
      </c>
      <c r="AA81" s="67"/>
      <c r="AB81" s="67"/>
      <c r="AC81" s="67"/>
    </row>
    <row r="82" spans="1:68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40</v>
      </c>
      <c r="Y82" s="43">
        <f>IFERROR(SUM(Y77:Y80),"0")</f>
        <v>46.8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270</v>
      </c>
      <c r="Y89" s="55">
        <f>IFERROR(IF(X89="",0,CEILING((X89/$H89),1)*$H89),"")</f>
        <v>270</v>
      </c>
      <c r="Z89" s="41">
        <f>IFERROR(IF(Y89=0,"",ROUNDUP(Y89/H89,0)*0.00902),"")</f>
        <v>0.54120000000000001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281.40000000000003</v>
      </c>
      <c r="BN89" s="78">
        <f>IFERROR(Y89*I89/H89,"0")</f>
        <v>281.40000000000003</v>
      </c>
      <c r="BO89" s="78">
        <f>IFERROR(1/J89*(X89/H89),"0")</f>
        <v>0.45454545454545459</v>
      </c>
      <c r="BP89" s="78">
        <f>IFERROR(1/J89*(Y89/H89),"0")</f>
        <v>0.45454545454545459</v>
      </c>
    </row>
    <row r="90" spans="1:68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60</v>
      </c>
      <c r="Y90" s="43">
        <f>IFERROR(Y85/H85,"0")+IFERROR(Y86/H86,"0")+IFERROR(Y87/H87,"0")+IFERROR(Y88/H88,"0")+IFERROR(Y89/H89,"0")</f>
        <v>60</v>
      </c>
      <c r="Z90" s="43">
        <f>IFERROR(IF(Z85="",0,Z85),"0")+IFERROR(IF(Z86="",0,Z86),"0")+IFERROR(IF(Z87="",0,Z87),"0")+IFERROR(IF(Z88="",0,Z88),"0")+IFERROR(IF(Z89="",0,Z89),"0")</f>
        <v>0.54120000000000001</v>
      </c>
      <c r="AA90" s="67"/>
      <c r="AB90" s="67"/>
      <c r="AC90" s="67"/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270</v>
      </c>
      <c r="Y91" s="43">
        <f>IFERROR(SUM(Y85:Y89),"0")</f>
        <v>270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700</v>
      </c>
      <c r="Y93" s="55">
        <f t="shared" ref="Y93:Y98" si="5">IFERROR(IF(X93="",0,CEILING((X93/$H93),1)*$H93),"")</f>
        <v>704.69999999999993</v>
      </c>
      <c r="Z93" s="41">
        <f>IFERROR(IF(Y93=0,"",ROUNDUP(Y93/H93,0)*0.01898),"")</f>
        <v>1.65126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742.69135802469134</v>
      </c>
      <c r="BN93" s="78">
        <f t="shared" ref="BN93:BN98" si="7">IFERROR(Y93*I93/H93,"0")</f>
        <v>747.67799999999988</v>
      </c>
      <c r="BO93" s="78">
        <f t="shared" ref="BO93:BO98" si="8">IFERROR(1/J93*(X93/H93),"0")</f>
        <v>1.3503086419753088</v>
      </c>
      <c r="BP93" s="78">
        <f t="shared" ref="BP93:BP98" si="9">IFERROR(1/J93*(Y93/H93),"0")</f>
        <v>1.359375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630</v>
      </c>
      <c r="Y96" s="55">
        <f t="shared" si="5"/>
        <v>631.80000000000007</v>
      </c>
      <c r="Z96" s="41">
        <f>IFERROR(IF(Y96=0,"",ROUNDUP(Y96/H96,0)*0.00651),"")</f>
        <v>1.5233400000000001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688.8</v>
      </c>
      <c r="BN96" s="78">
        <f t="shared" si="7"/>
        <v>690.76800000000003</v>
      </c>
      <c r="BO96" s="78">
        <f t="shared" si="8"/>
        <v>1.2820512820512819</v>
      </c>
      <c r="BP96" s="78">
        <f t="shared" si="9"/>
        <v>1.2857142857142858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319.75308641975306</v>
      </c>
      <c r="Y99" s="43">
        <f>IFERROR(Y93/H93,"0")+IFERROR(Y94/H94,"0")+IFERROR(Y95/H95,"0")+IFERROR(Y96/H96,"0")+IFERROR(Y97/H97,"0")+IFERROR(Y98/H98,"0")</f>
        <v>321</v>
      </c>
      <c r="Z99" s="43">
        <f>IFERROR(IF(Z93="",0,Z93),"0")+IFERROR(IF(Z94="",0,Z94),"0")+IFERROR(IF(Z95="",0,Z95),"0")+IFERROR(IF(Z96="",0,Z96),"0")+IFERROR(IF(Z97="",0,Z97),"0")+IFERROR(IF(Z98="",0,Z98),"0")</f>
        <v>3.1745999999999999</v>
      </c>
      <c r="AA99" s="67"/>
      <c r="AB99" s="67"/>
      <c r="AC99" s="67"/>
    </row>
    <row r="100" spans="1:68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1330</v>
      </c>
      <c r="Y100" s="43">
        <f>IFERROR(SUM(Y93:Y98),"0")</f>
        <v>1336.5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10" si="10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31.138888888888889</v>
      </c>
      <c r="BN103" s="78">
        <f t="shared" ref="BN103:BN110" si="12">IFERROR(Y103*I103/H103,"0")</f>
        <v>33.630000000000003</v>
      </c>
      <c r="BO103" s="78">
        <f t="shared" ref="BO103:BO110" si="13">IFERROR(1/J103*(X103/H103),"0")</f>
        <v>4.3402777777777776E-2</v>
      </c>
      <c r="BP103" s="78">
        <f t="shared" ref="BP103:BP110" si="14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675</v>
      </c>
      <c r="Y108" s="55">
        <f t="shared" si="10"/>
        <v>675</v>
      </c>
      <c r="Z108" s="41">
        <f>IFERROR(IF(Y108=0,"",ROUNDUP(Y108/H108,0)*0.00902),"")</f>
        <v>1.353</v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703.50000000000011</v>
      </c>
      <c r="BN108" s="78">
        <f t="shared" si="12"/>
        <v>703.50000000000011</v>
      </c>
      <c r="BO108" s="78">
        <f t="shared" si="13"/>
        <v>1.1363636363636365</v>
      </c>
      <c r="BP108" s="78">
        <f t="shared" si="14"/>
        <v>1.1363636363636365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152.77777777777777</v>
      </c>
      <c r="Y111" s="43">
        <f>IFERROR(Y103/H103,"0")+IFERROR(Y104/H104,"0")+IFERROR(Y105/H105,"0")+IFERROR(Y106/H106,"0")+IFERROR(Y107/H107,"0")+IFERROR(Y108/H108,"0")+IFERROR(Y109/H109,"0")+IFERROR(Y110/H110,"0")</f>
        <v>153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1.40994</v>
      </c>
      <c r="AA111" s="67"/>
      <c r="AB111" s="67"/>
      <c r="AC111" s="67"/>
    </row>
    <row r="112" spans="1:68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705</v>
      </c>
      <c r="Y112" s="43">
        <f>IFERROR(SUM(Y103:Y110),"0")</f>
        <v>707.4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800</v>
      </c>
      <c r="Y122" s="55">
        <f t="shared" ref="Y122:Y128" si="15">IFERROR(IF(X122="",0,CEILING((X122/$H122),1)*$H122),"")</f>
        <v>801.9</v>
      </c>
      <c r="Z122" s="41">
        <f>IFERROR(IF(Y122=0,"",ROUNDUP(Y122/H122,0)*0.01898),"")</f>
        <v>1.8790200000000001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848.19753086419757</v>
      </c>
      <c r="BN122" s="78">
        <f t="shared" ref="BN122:BN128" si="17">IFERROR(Y122*I122/H122,"0")</f>
        <v>850.21199999999988</v>
      </c>
      <c r="BO122" s="78">
        <f t="shared" ref="BO122:BO128" si="18">IFERROR(1/J122*(X122/H122),"0")</f>
        <v>1.5432098765432098</v>
      </c>
      <c r="BP122" s="78">
        <f t="shared" ref="BP122:BP128" si="19">IFERROR(1/J122*(Y122/H122),"0")</f>
        <v>1.546875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810</v>
      </c>
      <c r="Y125" s="55">
        <f t="shared" si="15"/>
        <v>810</v>
      </c>
      <c r="Z125" s="41">
        <f>IFERROR(IF(Y125=0,"",ROUNDUP(Y125/H125,0)*0.00651),"")</f>
        <v>1.9530000000000001</v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885.59999999999991</v>
      </c>
      <c r="BN125" s="78">
        <f t="shared" si="17"/>
        <v>885.59999999999991</v>
      </c>
      <c r="BO125" s="78">
        <f t="shared" si="18"/>
        <v>1.6483516483516485</v>
      </c>
      <c r="BP125" s="78">
        <f t="shared" si="19"/>
        <v>1.6483516483516485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150</v>
      </c>
      <c r="Y127" s="55">
        <f t="shared" si="15"/>
        <v>151.20000000000002</v>
      </c>
      <c r="Z127" s="41">
        <f>IFERROR(IF(Y127=0,"",ROUNDUP(Y127/H127,0)*0.00651),"")</f>
        <v>0.54683999999999999</v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165</v>
      </c>
      <c r="BN127" s="78">
        <f t="shared" si="17"/>
        <v>166.32000000000002</v>
      </c>
      <c r="BO127" s="78">
        <f t="shared" si="18"/>
        <v>0.45787545787545786</v>
      </c>
      <c r="BP127" s="78">
        <f t="shared" si="19"/>
        <v>0.46153846153846168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482.09876543209873</v>
      </c>
      <c r="Y129" s="43">
        <f>IFERROR(Y122/H122,"0")+IFERROR(Y123/H123,"0")+IFERROR(Y124/H124,"0")+IFERROR(Y125/H125,"0")+IFERROR(Y126/H126,"0")+IFERROR(Y127/H127,"0")+IFERROR(Y128/H128,"0")</f>
        <v>483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4.3788599999999995</v>
      </c>
      <c r="AA129" s="67"/>
      <c r="AB129" s="67"/>
      <c r="AC129" s="67"/>
    </row>
    <row r="130" spans="1:68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1760</v>
      </c>
      <c r="Y130" s="43">
        <f>IFERROR(SUM(Y122:Y128),"0")</f>
        <v>1763.1000000000001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49.5</v>
      </c>
      <c r="Y132" s="55">
        <f>IFERROR(IF(X132="",0,CEILING((X132/$H132),1)*$H132),"")</f>
        <v>49.5</v>
      </c>
      <c r="Z132" s="41">
        <f>IFERROR(IF(Y132=0,"",ROUNDUP(Y132/H132,0)*0.00651),"")</f>
        <v>0.16275000000000001</v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55.95</v>
      </c>
      <c r="BN132" s="78">
        <f>IFERROR(Y132*I132/H132,"0")</f>
        <v>55.95</v>
      </c>
      <c r="BO132" s="78">
        <f>IFERROR(1/J132*(X132/H132),"0")</f>
        <v>0.13736263736263737</v>
      </c>
      <c r="BP132" s="78">
        <f>IFERROR(1/J132*(Y132/H132),"0")</f>
        <v>0.13736263736263737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25</v>
      </c>
      <c r="Y134" s="43">
        <f>IFERROR(Y132/H132,"0")+IFERROR(Y133/H133,"0")</f>
        <v>25</v>
      </c>
      <c r="Z134" s="43">
        <f>IFERROR(IF(Z132="",0,Z132),"0")+IFERROR(IF(Z133="",0,Z133),"0")</f>
        <v>0.16275000000000001</v>
      </c>
      <c r="AA134" s="67"/>
      <c r="AB134" s="67"/>
      <c r="AC134" s="67"/>
    </row>
    <row r="135" spans="1:68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49.5</v>
      </c>
      <c r="Y135" s="43">
        <f>IFERROR(SUM(Y132:Y133),"0")</f>
        <v>49.5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60</v>
      </c>
      <c r="Y139" s="55">
        <f>IFERROR(IF(X139="",0,CEILING((X139/$H139),1)*$H139),"")</f>
        <v>60.800000000000004</v>
      </c>
      <c r="Z139" s="41">
        <f>IFERROR(IF(Y139=0,"",ROUNDUP(Y139/H139,0)*0.00651),"")</f>
        <v>0.12369000000000001</v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63.374999999999993</v>
      </c>
      <c r="BN139" s="78">
        <f>IFERROR(Y139*I139/H139,"0")</f>
        <v>64.22</v>
      </c>
      <c r="BO139" s="78">
        <f>IFERROR(1/J139*(X139/H139),"0")</f>
        <v>0.10302197802197803</v>
      </c>
      <c r="BP139" s="78">
        <f>IFERROR(1/J139*(Y139/H139),"0")</f>
        <v>0.1043956043956044</v>
      </c>
    </row>
    <row r="140" spans="1:68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18.75</v>
      </c>
      <c r="Y140" s="43">
        <f>IFERROR(Y138/H138,"0")+IFERROR(Y139/H139,"0")</f>
        <v>19</v>
      </c>
      <c r="Z140" s="43">
        <f>IFERROR(IF(Z138="",0,Z138),"0")+IFERROR(IF(Z139="",0,Z139),"0")</f>
        <v>0.12369000000000001</v>
      </c>
      <c r="AA140" s="67"/>
      <c r="AB140" s="67"/>
      <c r="AC140" s="67"/>
    </row>
    <row r="141" spans="1:68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60</v>
      </c>
      <c r="Y141" s="43">
        <f>IFERROR(SUM(Y138:Y139),"0")</f>
        <v>60.800000000000004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42</v>
      </c>
      <c r="Y143" s="55">
        <f>IFERROR(IF(X143="",0,CEILING((X143/$H143),1)*$H143),"")</f>
        <v>42</v>
      </c>
      <c r="Z143" s="41">
        <f>IFERROR(IF(Y143=0,"",ROUNDUP(Y143/H143,0)*0.00651),"")</f>
        <v>9.7650000000000001E-2</v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46.02</v>
      </c>
      <c r="BN143" s="78">
        <f>IFERROR(Y143*I143/H143,"0")</f>
        <v>46.02</v>
      </c>
      <c r="BO143" s="78">
        <f>IFERROR(1/J143*(X143/H143),"0")</f>
        <v>8.241758241758243E-2</v>
      </c>
      <c r="BP143" s="78">
        <f>IFERROR(1/J143*(Y143/H143),"0")</f>
        <v>8.241758241758243E-2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15.000000000000002</v>
      </c>
      <c r="Y145" s="43">
        <f>IFERROR(Y143/H143,"0")+IFERROR(Y144/H144,"0")</f>
        <v>15.000000000000002</v>
      </c>
      <c r="Z145" s="43">
        <f>IFERROR(IF(Z143="",0,Z143),"0")+IFERROR(IF(Z144="",0,Z144),"0")</f>
        <v>9.7650000000000001E-2</v>
      </c>
      <c r="AA145" s="67"/>
      <c r="AB145" s="67"/>
      <c r="AC145" s="67"/>
    </row>
    <row r="146" spans="1:68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42</v>
      </c>
      <c r="Y146" s="43">
        <f>IFERROR(SUM(Y143:Y144),"0")</f>
        <v>42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82.5</v>
      </c>
      <c r="Y148" s="55">
        <f>IFERROR(IF(X148="",0,CEILING((X148/$H148),1)*$H148),"")</f>
        <v>84.48</v>
      </c>
      <c r="Z148" s="41">
        <f>IFERROR(IF(Y148=0,"",ROUNDUP(Y148/H148,0)*0.00651),"")</f>
        <v>0.20832000000000001</v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90.875</v>
      </c>
      <c r="BN148" s="78">
        <f>IFERROR(Y148*I148/H148,"0")</f>
        <v>93.055999999999997</v>
      </c>
      <c r="BO148" s="78">
        <f>IFERROR(1/J148*(X148/H148),"0")</f>
        <v>0.1717032967032967</v>
      </c>
      <c r="BP148" s="78">
        <f>IFERROR(1/J148*(Y148/H148),"0")</f>
        <v>0.17582417582417584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31.25</v>
      </c>
      <c r="Y150" s="43">
        <f>IFERROR(Y148/H148,"0")+IFERROR(Y149/H149,"0")</f>
        <v>32</v>
      </c>
      <c r="Z150" s="43">
        <f>IFERROR(IF(Z148="",0,Z148),"0")+IFERROR(IF(Z149="",0,Z149),"0")</f>
        <v>0.20832000000000001</v>
      </c>
      <c r="AA150" s="67"/>
      <c r="AB150" s="67"/>
      <c r="AC150" s="67"/>
    </row>
    <row r="151" spans="1:68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82.5</v>
      </c>
      <c r="Y151" s="43">
        <f>IFERROR(SUM(Y148:Y149),"0")</f>
        <v>84.48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12</v>
      </c>
      <c r="Y175" s="55">
        <f>IFERROR(IF(X175="",0,CEILING((X175/$H175),1)*$H175),"")</f>
        <v>12.24</v>
      </c>
      <c r="Z175" s="41">
        <f>IFERROR(IF(Y175=0,"",ROUNDUP(Y175/H175,0)*0.00556),"")</f>
        <v>9.4519999999999993E-2</v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14.166666666666666</v>
      </c>
      <c r="BN175" s="78">
        <f>IFERROR(Y175*I175/H175,"0")</f>
        <v>14.450000000000001</v>
      </c>
      <c r="BO175" s="78">
        <f>IFERROR(1/J175*(X175/H175),"0")</f>
        <v>6.6137566137566134E-2</v>
      </c>
      <c r="BP175" s="78">
        <f>IFERROR(1/J175*(Y175/H175),"0")</f>
        <v>6.7460317460317457E-2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16.666666666666668</v>
      </c>
      <c r="Y177" s="43">
        <f>IFERROR(Y175/H175,"0")+IFERROR(Y176/H176,"0")</f>
        <v>17</v>
      </c>
      <c r="Z177" s="43">
        <f>IFERROR(IF(Z175="",0,Z175),"0")+IFERROR(IF(Z176="",0,Z176),"0")</f>
        <v>9.4519999999999993E-2</v>
      </c>
      <c r="AA177" s="67"/>
      <c r="AB177" s="67"/>
      <c r="AC177" s="67"/>
    </row>
    <row r="178" spans="1:68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12</v>
      </c>
      <c r="Y178" s="43">
        <f>IFERROR(SUM(Y175:Y176),"0")</f>
        <v>12.24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200</v>
      </c>
      <c r="Y180" s="55">
        <f t="shared" ref="Y180:Y191" si="26">IFERROR(IF(X180="",0,CEILING((X180/$H180),1)*$H180),"")</f>
        <v>203</v>
      </c>
      <c r="Z180" s="41">
        <f>IFERROR(IF(Y180=0,"",ROUNDUP(Y180/H180,0)*0.00902),"")</f>
        <v>0.52316000000000007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210.85714285714286</v>
      </c>
      <c r="BN180" s="78">
        <f t="shared" ref="BN180:BN191" si="28">IFERROR(Y180*I180/H180,"0")</f>
        <v>214.01999999999998</v>
      </c>
      <c r="BO180" s="78">
        <f t="shared" ref="BO180:BO191" si="29">IFERROR(1/J180*(X180/H180),"0")</f>
        <v>0.43290043290043295</v>
      </c>
      <c r="BP180" s="78">
        <f t="shared" ref="BP180:BP191" si="30">IFERROR(1/J180*(Y180/H180),"0")</f>
        <v>0.43939393939393939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300</v>
      </c>
      <c r="Y182" s="55">
        <f t="shared" si="26"/>
        <v>301</v>
      </c>
      <c r="Z182" s="41">
        <f>IFERROR(IF(Y182=0,"",ROUNDUP(Y182/H182,0)*0.00902),"")</f>
        <v>0.77571999999999997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316.28571428571428</v>
      </c>
      <c r="BN182" s="78">
        <f t="shared" si="28"/>
        <v>317.34000000000003</v>
      </c>
      <c r="BO182" s="78">
        <f t="shared" si="29"/>
        <v>0.64935064935064934</v>
      </c>
      <c r="BP182" s="78">
        <f t="shared" si="30"/>
        <v>0.65151515151515149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300</v>
      </c>
      <c r="Y183" s="55">
        <f t="shared" si="26"/>
        <v>301</v>
      </c>
      <c r="Z183" s="41">
        <f>IFERROR(IF(Y183=0,"",ROUNDUP(Y183/H183,0)*0.00902),"")</f>
        <v>0.77571999999999997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316.28571428571428</v>
      </c>
      <c r="BN183" s="78">
        <f t="shared" si="28"/>
        <v>317.34000000000003</v>
      </c>
      <c r="BO183" s="78">
        <f t="shared" si="29"/>
        <v>0.64935064935064934</v>
      </c>
      <c r="BP183" s="78">
        <f t="shared" si="30"/>
        <v>0.65151515151515149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84.000000000000014</v>
      </c>
      <c r="Y187" s="55">
        <f t="shared" si="26"/>
        <v>84</v>
      </c>
      <c r="Z187" s="41">
        <f>IFERROR(IF(Y187=0,"",ROUNDUP(Y187/H187,0)*0.00502),"")</f>
        <v>0.251</v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89.000000000000028</v>
      </c>
      <c r="BN187" s="78">
        <f t="shared" si="28"/>
        <v>89.000000000000014</v>
      </c>
      <c r="BO187" s="78">
        <f t="shared" si="29"/>
        <v>0.21367521367521372</v>
      </c>
      <c r="BP187" s="78">
        <f t="shared" si="30"/>
        <v>0.21367521367521369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84.000000000000014</v>
      </c>
      <c r="Y189" s="55">
        <f t="shared" si="26"/>
        <v>84</v>
      </c>
      <c r="Z189" s="41">
        <f>IFERROR(IF(Y189=0,"",ROUNDUP(Y189/H189,0)*0.00502),"")</f>
        <v>0.251</v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89.000000000000028</v>
      </c>
      <c r="BN189" s="78">
        <f t="shared" si="28"/>
        <v>89.000000000000014</v>
      </c>
      <c r="BO189" s="78">
        <f t="shared" si="29"/>
        <v>0.21367521367521372</v>
      </c>
      <c r="BP189" s="78">
        <f t="shared" si="30"/>
        <v>0.21367521367521369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84.000000000000014</v>
      </c>
      <c r="Y191" s="55">
        <f t="shared" si="26"/>
        <v>84</v>
      </c>
      <c r="Z191" s="41">
        <f>IFERROR(IF(Y191=0,"",ROUNDUP(Y191/H191,0)*0.00502),"")</f>
        <v>0.251</v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89.000000000000028</v>
      </c>
      <c r="BN191" s="78">
        <f t="shared" si="28"/>
        <v>89.000000000000014</v>
      </c>
      <c r="BO191" s="78">
        <f t="shared" si="29"/>
        <v>0.21367521367521372</v>
      </c>
      <c r="BP191" s="78">
        <f t="shared" si="30"/>
        <v>0.21367521367521369</v>
      </c>
    </row>
    <row r="192" spans="1:68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378.57142857142856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380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2.8275999999999999</v>
      </c>
      <c r="AA192" s="67"/>
      <c r="AB192" s="67"/>
      <c r="AC192" s="67"/>
    </row>
    <row r="193" spans="1:68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1052</v>
      </c>
      <c r="Y193" s="43">
        <f>IFERROR(SUM(Y180:Y191),"0")</f>
        <v>1057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150</v>
      </c>
      <c r="Y226" s="55">
        <f t="shared" ref="Y226:Y239" si="37">IFERROR(IF(X226="",0,CEILING((X226/$H226),1)*$H226),"")</f>
        <v>151.20000000000002</v>
      </c>
      <c r="Z226" s="41">
        <f>IFERROR(IF(Y226=0,"",ROUNDUP(Y226/H226,0)*0.00902),"")</f>
        <v>0.32472000000000001</v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158.92857142857142</v>
      </c>
      <c r="BN226" s="78">
        <f t="shared" ref="BN226:BN239" si="39">IFERROR(Y226*I226/H226,"0")</f>
        <v>160.20000000000002</v>
      </c>
      <c r="BO226" s="78">
        <f t="shared" ref="BO226:BO239" si="40">IFERROR(1/J226*(X226/H226),"0")</f>
        <v>0.27056277056277056</v>
      </c>
      <c r="BP226" s="78">
        <f t="shared" ref="BP226:BP239" si="41">IFERROR(1/J226*(Y226/H226),"0")</f>
        <v>0.27272727272727271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100</v>
      </c>
      <c r="Y228" s="55">
        <f t="shared" si="37"/>
        <v>100.80000000000001</v>
      </c>
      <c r="Z228" s="41">
        <f>IFERROR(IF(Y228=0,"",ROUNDUP(Y228/H228,0)*0.00902),"")</f>
        <v>0.21648000000000001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104.5238095238095</v>
      </c>
      <c r="BN228" s="78">
        <f t="shared" si="39"/>
        <v>105.36</v>
      </c>
      <c r="BO228" s="78">
        <f t="shared" si="40"/>
        <v>0.18037518037518038</v>
      </c>
      <c r="BP228" s="78">
        <f t="shared" si="41"/>
        <v>0.18181818181818182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35</v>
      </c>
      <c r="Y230" s="55">
        <f t="shared" si="37"/>
        <v>35.700000000000003</v>
      </c>
      <c r="Z230" s="41">
        <f t="shared" ref="Z230:Z235" si="42">IFERROR(IF(Y230=0,"",ROUNDUP(Y230/H230,0)*0.00502),"")</f>
        <v>8.5339999999999999E-2</v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37.166666666666664</v>
      </c>
      <c r="BN230" s="78">
        <f t="shared" si="39"/>
        <v>37.910000000000004</v>
      </c>
      <c r="BO230" s="78">
        <f t="shared" si="40"/>
        <v>7.1225071225071226E-2</v>
      </c>
      <c r="BP230" s="78">
        <f t="shared" si="41"/>
        <v>7.2649572649572655E-2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175</v>
      </c>
      <c r="Y232" s="55">
        <f t="shared" si="37"/>
        <v>176.4</v>
      </c>
      <c r="Z232" s="41">
        <f t="shared" si="42"/>
        <v>0.42168</v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185.83333333333331</v>
      </c>
      <c r="BN232" s="78">
        <f t="shared" si="39"/>
        <v>187.32</v>
      </c>
      <c r="BO232" s="78">
        <f t="shared" si="40"/>
        <v>0.35612535612535612</v>
      </c>
      <c r="BP232" s="78">
        <f t="shared" si="41"/>
        <v>0.35897435897435903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350</v>
      </c>
      <c r="Y237" s="55">
        <f t="shared" si="37"/>
        <v>350.7</v>
      </c>
      <c r="Z237" s="41">
        <f>IFERROR(IF(Y237=0,"",ROUNDUP(Y237/H237,0)*0.00502),"")</f>
        <v>0.83833999999999997</v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366.66666666666669</v>
      </c>
      <c r="BN237" s="78">
        <f t="shared" si="39"/>
        <v>367.40000000000003</v>
      </c>
      <c r="BO237" s="78">
        <f t="shared" si="40"/>
        <v>0.71225071225071224</v>
      </c>
      <c r="BP237" s="78">
        <f t="shared" si="41"/>
        <v>0.71367521367521369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326.19047619047615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328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1.8865599999999998</v>
      </c>
      <c r="AA240" s="67"/>
      <c r="AB240" s="67"/>
      <c r="AC240" s="67"/>
    </row>
    <row r="241" spans="1:68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810</v>
      </c>
      <c r="Y241" s="43">
        <f>IFERROR(SUM(Y226:Y239),"0")</f>
        <v>814.8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7.0000000000000009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2.5720164609053499E-2</v>
      </c>
      <c r="BP251" s="78">
        <f>IFERROR(1/J251*(Y251/H251),"0")</f>
        <v>2.7777777777777776E-2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21.000000000000004</v>
      </c>
      <c r="Y252" s="55">
        <f>IFERROR(IF(X252="",0,CEILING((X252/$H252),1)*$H252),"")</f>
        <v>21.42</v>
      </c>
      <c r="Z252" s="41">
        <f>IFERROR(IF(Y252=0,"",ROUNDUP(Y252/H252,0)*0.0059),"")</f>
        <v>0.1003</v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24.166666666666668</v>
      </c>
      <c r="BN252" s="78">
        <f>IFERROR(Y252*I252/H252,"0")</f>
        <v>24.650000000000002</v>
      </c>
      <c r="BO252" s="78">
        <f>IFERROR(1/J252*(X252/H252),"0")</f>
        <v>7.716049382716049E-2</v>
      </c>
      <c r="BP252" s="78">
        <f>IFERROR(1/J252*(Y252/H252),"0")</f>
        <v>7.8703703703703692E-2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14.000000000000002</v>
      </c>
      <c r="Y253" s="55">
        <f>IFERROR(IF(X253="",0,CEILING((X253/$H253),1)*$H253),"")</f>
        <v>15.120000000000001</v>
      </c>
      <c r="Z253" s="41">
        <f>IFERROR(IF(Y253=0,"",ROUNDUP(Y253/H253,0)*0.0059),"")</f>
        <v>7.0800000000000002E-2</v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16.111111111111111</v>
      </c>
      <c r="BN253" s="78">
        <f>IFERROR(Y253*I253/H253,"0")</f>
        <v>17.399999999999999</v>
      </c>
      <c r="BO253" s="78">
        <f>IFERROR(1/J253*(X253/H253),"0")</f>
        <v>5.1440329218106998E-2</v>
      </c>
      <c r="BP253" s="78">
        <f>IFERROR(1/J253*(Y253/H253),"0")</f>
        <v>5.5555555555555552E-2</v>
      </c>
    </row>
    <row r="254" spans="1:68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33.333333333333336</v>
      </c>
      <c r="Y254" s="43">
        <f>IFERROR(Y251/H251,"0")+IFERROR(Y252/H252,"0")+IFERROR(Y253/H253,"0")</f>
        <v>35</v>
      </c>
      <c r="Z254" s="43">
        <f>IFERROR(IF(Z251="",0,Z251),"0")+IFERROR(IF(Z252="",0,Z252),"0")+IFERROR(IF(Z253="",0,Z253),"0")</f>
        <v>0.20649999999999999</v>
      </c>
      <c r="AA254" s="67"/>
      <c r="AB254" s="67"/>
      <c r="AC254" s="67"/>
    </row>
    <row r="255" spans="1:68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42.000000000000007</v>
      </c>
      <c r="Y255" s="43">
        <f>IFERROR(SUM(Y251:Y253),"0")</f>
        <v>44.100000000000009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350</v>
      </c>
      <c r="Y272" s="55">
        <f t="shared" ref="Y272:Y279" si="43">IFERROR(IF(X272="",0,CEILING((X272/$H272),1)*$H272),"")</f>
        <v>351</v>
      </c>
      <c r="Z272" s="41">
        <f>IFERROR(IF(Y272=0,"",ROUNDUP(Y272/H272,0)*0.00902),"")</f>
        <v>0.58630000000000004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362.31481481481478</v>
      </c>
      <c r="BN272" s="78">
        <f t="shared" ref="BN272:BN279" si="45">IFERROR(Y272*I272/H272,"0")</f>
        <v>363.34999999999997</v>
      </c>
      <c r="BO272" s="78">
        <f t="shared" ref="BO272:BO279" si="46">IFERROR(1/J272*(X272/H272),"0")</f>
        <v>0.49102132435465767</v>
      </c>
      <c r="BP272" s="78">
        <f t="shared" ref="BP272:BP279" si="47">IFERROR(1/J272*(Y272/H272),"0")</f>
        <v>0.49242424242424243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50</v>
      </c>
      <c r="Y273" s="55">
        <f t="shared" si="43"/>
        <v>54</v>
      </c>
      <c r="Z273" s="41">
        <f>IFERROR(IF(Y273=0,"",ROUNDUP(Y273/H273,0)*0.00902),"")</f>
        <v>9.0200000000000002E-2</v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51.759259259259252</v>
      </c>
      <c r="BN273" s="78">
        <f t="shared" si="45"/>
        <v>55.9</v>
      </c>
      <c r="BO273" s="78">
        <f t="shared" si="46"/>
        <v>7.0145903479236812E-2</v>
      </c>
      <c r="BP273" s="78">
        <f t="shared" si="47"/>
        <v>7.575757575757576E-2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100</v>
      </c>
      <c r="Y274" s="55">
        <f t="shared" si="43"/>
        <v>102.60000000000001</v>
      </c>
      <c r="Z274" s="41">
        <f>IFERROR(IF(Y274=0,"",ROUNDUP(Y274/H274,0)*0.00902),"")</f>
        <v>0.17138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103.5185185185185</v>
      </c>
      <c r="BN274" s="78">
        <f t="shared" si="45"/>
        <v>106.21</v>
      </c>
      <c r="BO274" s="78">
        <f t="shared" si="46"/>
        <v>0.14029180695847362</v>
      </c>
      <c r="BP274" s="78">
        <f t="shared" si="47"/>
        <v>0.14393939393939395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111.11111111111111</v>
      </c>
      <c r="Y280" s="43">
        <f>IFERROR(Y272/H272,"0")+IFERROR(Y273/H273,"0")+IFERROR(Y274/H274,"0")+IFERROR(Y275/H275,"0")+IFERROR(Y276/H276,"0")+IFERROR(Y277/H277,"0")+IFERROR(Y278/H278,"0")+IFERROR(Y279/H279,"0")</f>
        <v>113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1.0192600000000001</v>
      </c>
      <c r="AA280" s="67"/>
      <c r="AB280" s="67"/>
      <c r="AC280" s="67"/>
    </row>
    <row r="281" spans="1:68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600</v>
      </c>
      <c r="Y281" s="43">
        <f>IFERROR(SUM(Y272:Y279),"0")</f>
        <v>610.20000000000005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600</v>
      </c>
      <c r="Y283" s="55">
        <f t="shared" ref="Y283:Y294" si="48">IFERROR(IF(X283="",0,CEILING((X283/$H283),1)*$H283),"")</f>
        <v>607.5</v>
      </c>
      <c r="Z283" s="41">
        <f>IFERROR(IF(Y283=0,"",ROUNDUP(Y283/H283,0)*0.01898),"")</f>
        <v>1.4235</v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636.59259259259261</v>
      </c>
      <c r="BN283" s="78">
        <f t="shared" ref="BN283:BN294" si="50">IFERROR(Y283*I283/H283,"0")</f>
        <v>644.54999999999995</v>
      </c>
      <c r="BO283" s="78">
        <f t="shared" ref="BO283:BO294" si="51">IFERROR(1/J283*(X283/H283),"0")</f>
        <v>1.1574074074074074</v>
      </c>
      <c r="BP283" s="78">
        <f t="shared" ref="BP283:BP294" si="52">IFERROR(1/J283*(Y283/H283),"0")</f>
        <v>1.171875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250</v>
      </c>
      <c r="Y284" s="55">
        <f t="shared" si="48"/>
        <v>251.1</v>
      </c>
      <c r="Z284" s="41">
        <f>IFERROR(IF(Y284=0,"",ROUNDUP(Y284/H284,0)*0.01898),"")</f>
        <v>0.58838000000000001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264.6913580246914</v>
      </c>
      <c r="BN284" s="78">
        <f t="shared" si="50"/>
        <v>265.85600000000005</v>
      </c>
      <c r="BO284" s="78">
        <f t="shared" si="51"/>
        <v>0.48225308641975312</v>
      </c>
      <c r="BP284" s="78">
        <f t="shared" si="52"/>
        <v>0.484375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640</v>
      </c>
      <c r="Y286" s="55">
        <f t="shared" si="48"/>
        <v>640.79999999999995</v>
      </c>
      <c r="Z286" s="41">
        <f>IFERROR(IF(Y286=0,"",ROUNDUP(Y286/H286,0)*0.00651),"")</f>
        <v>1.73817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712</v>
      </c>
      <c r="BN286" s="78">
        <f t="shared" si="50"/>
        <v>712.89</v>
      </c>
      <c r="BO286" s="78">
        <f t="shared" si="51"/>
        <v>1.4652014652014653</v>
      </c>
      <c r="BP286" s="78">
        <f t="shared" si="52"/>
        <v>1.4670329670329672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800</v>
      </c>
      <c r="Y289" s="55">
        <f t="shared" si="48"/>
        <v>801.6</v>
      </c>
      <c r="Z289" s="41">
        <f>IFERROR(IF(Y289=0,"",ROUNDUP(Y289/H289,0)*0.00651),"")</f>
        <v>2.1743399999999999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884</v>
      </c>
      <c r="BN289" s="78">
        <f t="shared" si="50"/>
        <v>885.76800000000014</v>
      </c>
      <c r="BO289" s="78">
        <f t="shared" si="51"/>
        <v>1.8315018315018319</v>
      </c>
      <c r="BP289" s="78">
        <f t="shared" si="52"/>
        <v>1.8351648351648353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120</v>
      </c>
      <c r="Y292" s="55">
        <f t="shared" si="48"/>
        <v>120</v>
      </c>
      <c r="Z292" s="41">
        <f>IFERROR(IF(Y292=0,"",ROUNDUP(Y292/H292,0)*0.00651),"")</f>
        <v>0.32550000000000001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132.60000000000002</v>
      </c>
      <c r="BN292" s="78">
        <f t="shared" si="50"/>
        <v>132.60000000000002</v>
      </c>
      <c r="BO292" s="78">
        <f t="shared" si="51"/>
        <v>0.27472527472527475</v>
      </c>
      <c r="BP292" s="78">
        <f t="shared" si="52"/>
        <v>0.27472527472527475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440</v>
      </c>
      <c r="Y293" s="55">
        <f t="shared" si="48"/>
        <v>441.59999999999997</v>
      </c>
      <c r="Z293" s="41">
        <f>IFERROR(IF(Y293=0,"",ROUNDUP(Y293/H293,0)*0.00651),"")</f>
        <v>1.19784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487.3</v>
      </c>
      <c r="BN293" s="78">
        <f t="shared" si="50"/>
        <v>489.072</v>
      </c>
      <c r="BO293" s="78">
        <f t="shared" si="51"/>
        <v>1.0073260073260075</v>
      </c>
      <c r="BP293" s="78">
        <f t="shared" si="52"/>
        <v>1.0109890109890112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938.27160493827171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941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7.44773</v>
      </c>
      <c r="AA295" s="67"/>
      <c r="AB295" s="67"/>
      <c r="AC295" s="67"/>
    </row>
    <row r="296" spans="1:68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2850</v>
      </c>
      <c r="Y296" s="43">
        <f>IFERROR(SUM(Y283:Y294),"0")</f>
        <v>2862.6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40</v>
      </c>
      <c r="Y298" s="55">
        <f>IFERROR(IF(X298="",0,CEILING((X298/$H298),1)*$H298),"")</f>
        <v>40.799999999999997</v>
      </c>
      <c r="Z298" s="41">
        <f>IFERROR(IF(Y298=0,"",ROUNDUP(Y298/H298,0)*0.00651),"")</f>
        <v>0.11067</v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44.20000000000001</v>
      </c>
      <c r="BN298" s="78">
        <f>IFERROR(Y298*I298/H298,"0")</f>
        <v>45.084000000000003</v>
      </c>
      <c r="BO298" s="78">
        <f>IFERROR(1/J298*(X298/H298),"0")</f>
        <v>9.1575091575091583E-2</v>
      </c>
      <c r="BP298" s="78">
        <f>IFERROR(1/J298*(Y298/H298),"0")</f>
        <v>9.3406593406593408E-2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120</v>
      </c>
      <c r="Y299" s="55">
        <f>IFERROR(IF(X299="",0,CEILING((X299/$H299),1)*$H299),"")</f>
        <v>120</v>
      </c>
      <c r="Z299" s="41">
        <f>IFERROR(IF(Y299=0,"",ROUNDUP(Y299/H299,0)*0.00651),"")</f>
        <v>0.32550000000000001</v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132.60000000000002</v>
      </c>
      <c r="BN299" s="78">
        <f>IFERROR(Y299*I299/H299,"0")</f>
        <v>132.60000000000002</v>
      </c>
      <c r="BO299" s="78">
        <f>IFERROR(1/J299*(X299/H299),"0")</f>
        <v>0.27472527472527475</v>
      </c>
      <c r="BP299" s="78">
        <f>IFERROR(1/J299*(Y299/H299),"0")</f>
        <v>0.27472527472527475</v>
      </c>
    </row>
    <row r="300" spans="1:68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66.666666666666671</v>
      </c>
      <c r="Y300" s="43">
        <f>IFERROR(Y298/H298,"0")+IFERROR(Y299/H299,"0")</f>
        <v>67</v>
      </c>
      <c r="Z300" s="43">
        <f>IFERROR(IF(Z298="",0,Z298),"0")+IFERROR(IF(Z299="",0,Z299),"0")</f>
        <v>0.43617</v>
      </c>
      <c r="AA300" s="67"/>
      <c r="AB300" s="67"/>
      <c r="AC300" s="67"/>
    </row>
    <row r="301" spans="1:68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160</v>
      </c>
      <c r="Y301" s="43">
        <f>IFERROR(SUM(Y298:Y299),"0")</f>
        <v>160.80000000000001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50</v>
      </c>
      <c r="Y306" s="55">
        <f t="shared" si="53"/>
        <v>58</v>
      </c>
      <c r="Z306" s="41">
        <f>IFERROR(IF(Y306=0,"",ROUNDUP(Y306/H306,0)*0.01898),"")</f>
        <v>9.4899999999999998E-2</v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51.767241379310349</v>
      </c>
      <c r="BN306" s="78">
        <f t="shared" si="55"/>
        <v>60.050000000000004</v>
      </c>
      <c r="BO306" s="78">
        <f t="shared" si="56"/>
        <v>6.7349137931034489E-2</v>
      </c>
      <c r="BP306" s="78">
        <f t="shared" si="57"/>
        <v>7.8125E-2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40</v>
      </c>
      <c r="Y307" s="55">
        <f t="shared" si="53"/>
        <v>40</v>
      </c>
      <c r="Z307" s="41">
        <f>IFERROR(IF(Y307=0,"",ROUNDUP(Y307/H307,0)*0.00902),"")</f>
        <v>9.0200000000000002E-2</v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41.900000000000006</v>
      </c>
      <c r="BN307" s="78">
        <f t="shared" si="55"/>
        <v>41.900000000000006</v>
      </c>
      <c r="BO307" s="78">
        <f t="shared" si="56"/>
        <v>7.575757575757576E-2</v>
      </c>
      <c r="BP307" s="78">
        <f t="shared" si="57"/>
        <v>7.575757575757576E-2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120</v>
      </c>
      <c r="Y310" s="55">
        <f t="shared" si="53"/>
        <v>120</v>
      </c>
      <c r="Z310" s="41">
        <f>IFERROR(IF(Y310=0,"",ROUNDUP(Y310/H310,0)*0.00902),"")</f>
        <v>0.27060000000000001</v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125.70000000000002</v>
      </c>
      <c r="BN310" s="78">
        <f t="shared" si="55"/>
        <v>125.70000000000002</v>
      </c>
      <c r="BO310" s="78">
        <f t="shared" si="56"/>
        <v>0.22727272727272729</v>
      </c>
      <c r="BP310" s="78">
        <f t="shared" si="57"/>
        <v>0.22727272727272729</v>
      </c>
    </row>
    <row r="311" spans="1:68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44.310344827586206</v>
      </c>
      <c r="Y311" s="43">
        <f>IFERROR(Y304/H304,"0")+IFERROR(Y305/H305,"0")+IFERROR(Y306/H306,"0")+IFERROR(Y307/H307,"0")+IFERROR(Y308/H308,"0")+IFERROR(Y309/H309,"0")+IFERROR(Y310/H310,"0")</f>
        <v>45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0.45569999999999999</v>
      </c>
      <c r="AA311" s="67"/>
      <c r="AB311" s="67"/>
      <c r="AC311" s="67"/>
    </row>
    <row r="312" spans="1:68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210</v>
      </c>
      <c r="Y312" s="43">
        <f>IFERROR(SUM(Y304:Y310),"0")</f>
        <v>218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6.6666666666666661</v>
      </c>
      <c r="Y319" s="43">
        <f>IFERROR(Y318/H318,"0")</f>
        <v>7</v>
      </c>
      <c r="Z319" s="43">
        <f>IFERROR(IF(Z318="",0,Z318),"0")</f>
        <v>4.1299999999999996E-2</v>
      </c>
      <c r="AA319" s="67"/>
      <c r="AB319" s="67"/>
      <c r="AC319" s="67"/>
    </row>
    <row r="320" spans="1:68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12</v>
      </c>
      <c r="Y320" s="43">
        <f>IFERROR(SUM(Y318:Y318),"0")</f>
        <v>12.6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81.599999999999994</v>
      </c>
      <c r="Z339" s="41">
        <f>IFERROR(IF(Y339=0,"",ROUNDUP(Y339/H339,0)*0.00651),"")</f>
        <v>0.22134000000000001</v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88.40000000000002</v>
      </c>
      <c r="BN339" s="78">
        <f>IFERROR(Y339*I339/H339,"0")</f>
        <v>90.168000000000006</v>
      </c>
      <c r="BO339" s="78">
        <f>IFERROR(1/J339*(X339/H339),"0")</f>
        <v>0.18315018315018317</v>
      </c>
      <c r="BP339" s="78">
        <f>IFERROR(1/J339*(Y339/H339),"0")</f>
        <v>0.18681318681318682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600</v>
      </c>
      <c r="Y340" s="55">
        <f>IFERROR(IF(X340="",0,CEILING((X340/$H340),1)*$H340),"")</f>
        <v>600</v>
      </c>
      <c r="Z340" s="41">
        <f>IFERROR(IF(Y340=0,"",ROUNDUP(Y340/H340,0)*0.00651),"")</f>
        <v>1.6274999999999999</v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645</v>
      </c>
      <c r="BN340" s="78">
        <f>IFERROR(Y340*I340/H340,"0")</f>
        <v>645</v>
      </c>
      <c r="BO340" s="78">
        <f>IFERROR(1/J340*(X340/H340),"0")</f>
        <v>1.3736263736263736</v>
      </c>
      <c r="BP340" s="78">
        <f>IFERROR(1/J340*(Y340/H340),"0")</f>
        <v>1.3736263736263736</v>
      </c>
    </row>
    <row r="341" spans="1:68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283.33333333333331</v>
      </c>
      <c r="Y341" s="43">
        <f>IFERROR(Y338/H338,"0")+IFERROR(Y339/H339,"0")+IFERROR(Y340/H340,"0")</f>
        <v>284</v>
      </c>
      <c r="Z341" s="43">
        <f>IFERROR(IF(Z338="",0,Z338),"0")+IFERROR(IF(Z339="",0,Z339),"0")+IFERROR(IF(Z340="",0,Z340),"0")</f>
        <v>1.84884</v>
      </c>
      <c r="AA341" s="67"/>
      <c r="AB341" s="67"/>
      <c r="AC341" s="67"/>
    </row>
    <row r="342" spans="1:68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680</v>
      </c>
      <c r="Y342" s="43">
        <f>IFERROR(SUM(Y338:Y340),"0")</f>
        <v>681.6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200</v>
      </c>
      <c r="Y359" s="55">
        <f>IFERROR(IF(X359="",0,CEILING((X359/$H359),1)*$H359),"")</f>
        <v>202.79999999999998</v>
      </c>
      <c r="Z359" s="41">
        <f>IFERROR(IF(Y359=0,"",ROUNDUP(Y359/H359,0)*0.01898),"")</f>
        <v>0.49348000000000003</v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210.51282051282055</v>
      </c>
      <c r="BN359" s="78">
        <f>IFERROR(Y359*I359/H359,"0")</f>
        <v>213.46</v>
      </c>
      <c r="BO359" s="78">
        <f>IFERROR(1/J359*(X359/H359),"0")</f>
        <v>0.40064102564102566</v>
      </c>
      <c r="BP359" s="78">
        <f>IFERROR(1/J359*(Y359/H359),"0")</f>
        <v>0.40625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200</v>
      </c>
      <c r="Y360" s="55">
        <f>IFERROR(IF(X360="",0,CEILING((X360/$H360),1)*$H360),"")</f>
        <v>202.79999999999998</v>
      </c>
      <c r="Z360" s="41">
        <f>IFERROR(IF(Y360=0,"",ROUNDUP(Y360/H360,0)*0.01898),"")</f>
        <v>0.49348000000000003</v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210.51282051282055</v>
      </c>
      <c r="BN360" s="78">
        <f>IFERROR(Y360*I360/H360,"0")</f>
        <v>213.46</v>
      </c>
      <c r="BO360" s="78">
        <f>IFERROR(1/J360*(X360/H360),"0")</f>
        <v>0.40064102564102566</v>
      </c>
      <c r="BP360" s="78">
        <f>IFERROR(1/J360*(Y360/H360),"0")</f>
        <v>0.40625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150</v>
      </c>
      <c r="Y361" s="55">
        <f>IFERROR(IF(X361="",0,CEILING((X361/$H361),1)*$H361),"")</f>
        <v>156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157.88461538461542</v>
      </c>
      <c r="BN361" s="78">
        <f>IFERROR(Y361*I361/H361,"0")</f>
        <v>164.20000000000005</v>
      </c>
      <c r="BO361" s="78">
        <f>IFERROR(1/J361*(X361/H361),"0")</f>
        <v>0.30048076923076922</v>
      </c>
      <c r="BP361" s="78">
        <f>IFERROR(1/J361*(Y361/H361),"0")</f>
        <v>0.3125</v>
      </c>
    </row>
    <row r="362" spans="1:68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70.512820512820511</v>
      </c>
      <c r="Y362" s="43">
        <f>IFERROR(Y359/H359,"0")+IFERROR(Y360/H360,"0")+IFERROR(Y361/H361,"0")</f>
        <v>72</v>
      </c>
      <c r="Z362" s="43">
        <f>IFERROR(IF(Z359="",0,Z359),"0")+IFERROR(IF(Z360="",0,Z360),"0")+IFERROR(IF(Z361="",0,Z361),"0")</f>
        <v>1.36656</v>
      </c>
      <c r="AA362" s="67"/>
      <c r="AB362" s="67"/>
      <c r="AC362" s="67"/>
    </row>
    <row r="363" spans="1:68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550</v>
      </c>
      <c r="Y363" s="43">
        <f>IFERROR(SUM(Y359:Y361),"0")</f>
        <v>561.59999999999991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400</v>
      </c>
      <c r="Y392" s="55">
        <f>IFERROR(IF(X392="",0,CEILING((X392/$H392),1)*$H392),"")</f>
        <v>403.20000000000005</v>
      </c>
      <c r="Z392" s="41">
        <f>IFERROR(IF(Y392=0,"",ROUNDUP(Y392/H392,0)*0.01898),"")</f>
        <v>0.91104000000000007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423.52380952380952</v>
      </c>
      <c r="BN392" s="78">
        <f>IFERROR(Y392*I392/H392,"0")</f>
        <v>426.91200000000003</v>
      </c>
      <c r="BO392" s="78">
        <f>IFERROR(1/J392*(X392/H392),"0")</f>
        <v>0.74404761904761907</v>
      </c>
      <c r="BP392" s="78">
        <f>IFERROR(1/J392*(Y392/H392),"0")</f>
        <v>0.75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700</v>
      </c>
      <c r="Y393" s="55">
        <f>IFERROR(IF(X393="",0,CEILING((X393/$H393),1)*$H393),"")</f>
        <v>702</v>
      </c>
      <c r="Z393" s="41">
        <f>IFERROR(IF(Y393=0,"",ROUNDUP(Y393/H393,0)*0.01898),"")</f>
        <v>1.7081999999999999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744.33333333333337</v>
      </c>
      <c r="BN393" s="78">
        <f>IFERROR(Y393*I393/H393,"0")</f>
        <v>746.46</v>
      </c>
      <c r="BO393" s="78">
        <f>IFERROR(1/J393*(X393/H393),"0")</f>
        <v>1.4022435897435899</v>
      </c>
      <c r="BP393" s="78">
        <f>IFERROR(1/J393*(Y393/H393),"0")</f>
        <v>1.40625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50</v>
      </c>
      <c r="Y394" s="55">
        <f>IFERROR(IF(X394="",0,CEILING((X394/$H394),1)*$H394),"")</f>
        <v>50.400000000000006</v>
      </c>
      <c r="Z394" s="41">
        <f>IFERROR(IF(Y394=0,"",ROUNDUP(Y394/H394,0)*0.01898),"")</f>
        <v>0.11388000000000001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52.94047619047619</v>
      </c>
      <c r="BN394" s="78">
        <f>IFERROR(Y394*I394/H394,"0")</f>
        <v>53.364000000000004</v>
      </c>
      <c r="BO394" s="78">
        <f>IFERROR(1/J394*(X394/H394),"0")</f>
        <v>9.3005952380952384E-2</v>
      </c>
      <c r="BP394" s="78">
        <f>IFERROR(1/J394*(Y394/H394),"0")</f>
        <v>9.375E-2</v>
      </c>
    </row>
    <row r="395" spans="1:68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143.31501831501834</v>
      </c>
      <c r="Y395" s="43">
        <f>IFERROR(Y392/H392,"0")+IFERROR(Y393/H393,"0")+IFERROR(Y394/H394,"0")</f>
        <v>144</v>
      </c>
      <c r="Z395" s="43">
        <f>IFERROR(IF(Z392="",0,Z392),"0")+IFERROR(IF(Z393="",0,Z393),"0")+IFERROR(IF(Z394="",0,Z394),"0")</f>
        <v>2.73312</v>
      </c>
      <c r="AA395" s="67"/>
      <c r="AB395" s="67"/>
      <c r="AC395" s="67"/>
    </row>
    <row r="396" spans="1:68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1150</v>
      </c>
      <c r="Y396" s="43">
        <f>IFERROR(SUM(Y392:Y394),"0")</f>
        <v>1155.6000000000001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100</v>
      </c>
      <c r="Y405" s="55">
        <f>IFERROR(IF(X405="",0,CEILING((X405/$H405),1)*$H405),"")</f>
        <v>100</v>
      </c>
      <c r="Z405" s="41">
        <f>IFERROR(IF(Y405=0,"",ROUNDUP(Y405/H405,0)*0.00474),"")</f>
        <v>0.23700000000000002</v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112.00000000000001</v>
      </c>
      <c r="BN405" s="78">
        <f>IFERROR(Y405*I405/H405,"0")</f>
        <v>112.00000000000001</v>
      </c>
      <c r="BO405" s="78">
        <f>IFERROR(1/J405*(X405/H405),"0")</f>
        <v>0.21008403361344538</v>
      </c>
      <c r="BP405" s="78">
        <f>IFERROR(1/J405*(Y405/H405),"0")</f>
        <v>0.21008403361344538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100</v>
      </c>
      <c r="Y406" s="55">
        <f>IFERROR(IF(X406="",0,CEILING((X406/$H406),1)*$H406),"")</f>
        <v>100</v>
      </c>
      <c r="Z406" s="41">
        <f>IFERROR(IF(Y406=0,"",ROUNDUP(Y406/H406,0)*0.00474),"")</f>
        <v>0.23700000000000002</v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112.00000000000001</v>
      </c>
      <c r="BN406" s="78">
        <f>IFERROR(Y406*I406/H406,"0")</f>
        <v>112.00000000000001</v>
      </c>
      <c r="BO406" s="78">
        <f>IFERROR(1/J406*(X406/H406),"0")</f>
        <v>0.21008403361344538</v>
      </c>
      <c r="BP406" s="78">
        <f>IFERROR(1/J406*(Y406/H406),"0")</f>
        <v>0.21008403361344538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100</v>
      </c>
      <c r="Y407" s="55">
        <f>IFERROR(IF(X407="",0,CEILING((X407/$H407),1)*$H407),"")</f>
        <v>100</v>
      </c>
      <c r="Z407" s="41">
        <f>IFERROR(IF(Y407=0,"",ROUNDUP(Y407/H407,0)*0.00474),"")</f>
        <v>0.23700000000000002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112.00000000000001</v>
      </c>
      <c r="BN407" s="78">
        <f>IFERROR(Y407*I407/H407,"0")</f>
        <v>112.00000000000001</v>
      </c>
      <c r="BO407" s="78">
        <f>IFERROR(1/J407*(X407/H407),"0")</f>
        <v>0.21008403361344538</v>
      </c>
      <c r="BP407" s="78">
        <f>IFERROR(1/J407*(Y407/H407),"0")</f>
        <v>0.21008403361344538</v>
      </c>
    </row>
    <row r="408" spans="1:68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150</v>
      </c>
      <c r="Y408" s="43">
        <f>IFERROR(Y405/H405,"0")+IFERROR(Y406/H406,"0")+IFERROR(Y407/H407,"0")</f>
        <v>150</v>
      </c>
      <c r="Z408" s="43">
        <f>IFERROR(IF(Z405="",0,Z405),"0")+IFERROR(IF(Z406="",0,Z406),"0")+IFERROR(IF(Z407="",0,Z407),"0")</f>
        <v>0.71100000000000008</v>
      </c>
      <c r="AA408" s="67"/>
      <c r="AB408" s="67"/>
      <c r="AC408" s="67"/>
    </row>
    <row r="409" spans="1:68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300</v>
      </c>
      <c r="Y409" s="43">
        <f>IFERROR(SUM(Y405:Y407),"0")</f>
        <v>300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300</v>
      </c>
      <c r="Y432" s="55">
        <f t="shared" ref="Y432:Y439" si="68">IFERROR(IF(X432="",0,CEILING((X432/$H432),1)*$H432),"")</f>
        <v>300</v>
      </c>
      <c r="Z432" s="41">
        <f>IFERROR(IF(Y432=0,"",ROUNDUP(Y432/H432,0)*0.02175),"")</f>
        <v>0.43499999999999994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309.39999999999998</v>
      </c>
      <c r="BN432" s="78">
        <f t="shared" ref="BN432:BN439" si="70">IFERROR(Y432*I432/H432,"0")</f>
        <v>309.39999999999998</v>
      </c>
      <c r="BO432" s="78">
        <f t="shared" ref="BO432:BO439" si="71">IFERROR(1/J432*(X432/H432),"0")</f>
        <v>0.41666666666666663</v>
      </c>
      <c r="BP432" s="78">
        <f t="shared" ref="BP432:BP439" si="72">IFERROR(1/J432*(Y432/H432),"0")</f>
        <v>0.41666666666666663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15</v>
      </c>
      <c r="Y439" s="55">
        <f t="shared" si="68"/>
        <v>15</v>
      </c>
      <c r="Z439" s="41">
        <f>IFERROR(IF(Y439=0,"",ROUNDUP(Y439/H439,0)*0.00902),"")</f>
        <v>2.7060000000000001E-2</v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15.570000000000002</v>
      </c>
      <c r="BN439" s="78">
        <f t="shared" si="70"/>
        <v>15.570000000000002</v>
      </c>
      <c r="BO439" s="78">
        <f t="shared" si="71"/>
        <v>2.2727272727272728E-2</v>
      </c>
      <c r="BP439" s="78">
        <f t="shared" si="72"/>
        <v>2.2727272727272728E-2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56.333333333333336</v>
      </c>
      <c r="Y440" s="43">
        <f>IFERROR(Y432/H432,"0")+IFERROR(Y433/H433,"0")+IFERROR(Y434/H434,"0")+IFERROR(Y435/H435,"0")+IFERROR(Y436/H436,"0")+IFERROR(Y437/H437,"0")+IFERROR(Y438/H438,"0")+IFERROR(Y439/H439,"0")</f>
        <v>57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1.20156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815</v>
      </c>
      <c r="Y441" s="43">
        <f>IFERROR(SUM(Y432:Y439),"0")</f>
        <v>825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500</v>
      </c>
      <c r="Y443" s="55">
        <f>IFERROR(IF(X443="",0,CEILING((X443/$H443),1)*$H443),"")</f>
        <v>510</v>
      </c>
      <c r="Z443" s="41">
        <f>IFERROR(IF(Y443=0,"",ROUNDUP(Y443/H443,0)*0.02175),"")</f>
        <v>0.73949999999999994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515.66666666666663</v>
      </c>
      <c r="BN443" s="78">
        <f>IFERROR(Y443*I443/H443,"0")</f>
        <v>525.98</v>
      </c>
      <c r="BO443" s="78">
        <f>IFERROR(1/J443*(X443/H443),"0")</f>
        <v>0.69444444444444442</v>
      </c>
      <c r="BP443" s="78">
        <f>IFERROR(1/J443*(Y443/H443),"0")</f>
        <v>0.70833333333333326</v>
      </c>
    </row>
    <row r="444" spans="1:68" ht="27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100</v>
      </c>
      <c r="Y444" s="55">
        <f>IFERROR(IF(X444="",0,CEILING((X444/$H444),1)*$H444),"")</f>
        <v>105</v>
      </c>
      <c r="Z444" s="41">
        <f>IFERROR(IF(Y444=0,"",ROUNDUP(Y444/H444,0)*0.02175),"")</f>
        <v>0.15225</v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103.13333333333334</v>
      </c>
      <c r="BN444" s="78">
        <f>IFERROR(Y444*I444/H444,"0")</f>
        <v>108.29</v>
      </c>
      <c r="BO444" s="78">
        <f>IFERROR(1/J444*(X444/H444),"0")</f>
        <v>0.1388888888888889</v>
      </c>
      <c r="BP444" s="78">
        <f>IFERROR(1/J444*(Y444/H444),"0")</f>
        <v>0.14583333333333331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40</v>
      </c>
      <c r="Y446" s="43">
        <f>IFERROR(Y443/H443,"0")+IFERROR(Y444/H444,"0")+IFERROR(Y445/H445,"0")</f>
        <v>41</v>
      </c>
      <c r="Z446" s="43">
        <f>IFERROR(IF(Z443="",0,Z443),"0")+IFERROR(IF(Z444="",0,Z444),"0")+IFERROR(IF(Z445="",0,Z445),"0")</f>
        <v>0.89174999999999993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600</v>
      </c>
      <c r="Y447" s="43">
        <f>IFERROR(SUM(Y443:Y445),"0")</f>
        <v>615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50</v>
      </c>
      <c r="Y450" s="55">
        <f>IFERROR(IF(X450="",0,CEILING((X450/$H450),1)*$H450),"")</f>
        <v>54</v>
      </c>
      <c r="Z450" s="41">
        <f>IFERROR(IF(Y450=0,"",ROUNDUP(Y450/H450,0)*0.01898),"")</f>
        <v>0.11388000000000001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52.74444444444444</v>
      </c>
      <c r="BN450" s="78">
        <f>IFERROR(Y450*I450/H450,"0")</f>
        <v>56.963999999999992</v>
      </c>
      <c r="BO450" s="78">
        <f>IFERROR(1/J450*(X450/H450),"0")</f>
        <v>8.6805555555555552E-2</v>
      </c>
      <c r="BP450" s="78">
        <f>IFERROR(1/J450*(Y450/H450),"0")</f>
        <v>9.375E-2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5.5555555555555554</v>
      </c>
      <c r="Y452" s="43">
        <f>IFERROR(Y449/H449,"0")+IFERROR(Y450/H450,"0")+IFERROR(Y451/H451,"0")</f>
        <v>6</v>
      </c>
      <c r="Z452" s="43">
        <f>IFERROR(IF(Z449="",0,Z449),"0")+IFERROR(IF(Z450="",0,Z450),"0")+IFERROR(IF(Z451="",0,Z451),"0")</f>
        <v>0.11388000000000001</v>
      </c>
      <c r="AA452" s="67"/>
      <c r="AB452" s="67"/>
      <c r="AC452" s="67"/>
    </row>
    <row r="453" spans="1:68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50</v>
      </c>
      <c r="Y453" s="43">
        <f>IFERROR(SUM(Y449:Y451),"0")</f>
        <v>54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5.5555555555555554</v>
      </c>
      <c r="Y457" s="43">
        <f>IFERROR(Y455/H455,"0")+IFERROR(Y456/H456,"0")</f>
        <v>6</v>
      </c>
      <c r="Z457" s="43">
        <f>IFERROR(IF(Z455="",0,Z455),"0")+IFERROR(IF(Z456="",0,Z456),"0")</f>
        <v>0.11388000000000001</v>
      </c>
      <c r="AA457" s="67"/>
      <c r="AB457" s="67"/>
      <c r="AC457" s="67"/>
    </row>
    <row r="458" spans="1:68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50</v>
      </c>
      <c r="Y458" s="43">
        <f>IFERROR(SUM(Y455:Y456),"0")</f>
        <v>54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50</v>
      </c>
      <c r="Y508" s="55">
        <f t="shared" si="78"/>
        <v>52.800000000000004</v>
      </c>
      <c r="Z508" s="41">
        <f t="shared" si="79"/>
        <v>0.1196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53.314393939393938</v>
      </c>
      <c r="BN508" s="78">
        <f t="shared" si="81"/>
        <v>56.3</v>
      </c>
      <c r="BO508" s="78">
        <f t="shared" si="82"/>
        <v>9.1054778554778545E-2</v>
      </c>
      <c r="BP508" s="78">
        <f t="shared" si="83"/>
        <v>9.6153846153846159E-2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300</v>
      </c>
      <c r="Y510" s="55">
        <f t="shared" si="78"/>
        <v>300.96000000000004</v>
      </c>
      <c r="Z510" s="41">
        <f t="shared" si="79"/>
        <v>0.68171999999999999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319.88636363636363</v>
      </c>
      <c r="BN510" s="78">
        <f t="shared" si="81"/>
        <v>320.91000000000003</v>
      </c>
      <c r="BO510" s="78">
        <f t="shared" si="82"/>
        <v>0.54632867132867136</v>
      </c>
      <c r="BP510" s="78">
        <f t="shared" si="83"/>
        <v>0.54807692307692313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60</v>
      </c>
      <c r="Y512" s="55">
        <f t="shared" si="78"/>
        <v>62.4</v>
      </c>
      <c r="Z512" s="41">
        <f>IFERROR(IF(Y512=0,"",ROUNDUP(Y512/H512,0)*0.00902),"")</f>
        <v>0.11726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86.375000000000014</v>
      </c>
      <c r="BN512" s="78">
        <f t="shared" si="81"/>
        <v>89.830000000000013</v>
      </c>
      <c r="BO512" s="78">
        <f t="shared" si="82"/>
        <v>9.4696969696969696E-2</v>
      </c>
      <c r="BP512" s="78">
        <f t="shared" si="83"/>
        <v>9.8484848484848481E-2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300</v>
      </c>
      <c r="Y513" s="55">
        <f t="shared" si="78"/>
        <v>302.39999999999998</v>
      </c>
      <c r="Z513" s="41">
        <f>IFERROR(IF(Y513=0,"",ROUNDUP(Y513/H513,0)*0.00902),"")</f>
        <v>0.56825999999999999</v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431.875</v>
      </c>
      <c r="BN513" s="78">
        <f t="shared" si="81"/>
        <v>435.33</v>
      </c>
      <c r="BO513" s="78">
        <f t="shared" si="82"/>
        <v>0.47348484848484851</v>
      </c>
      <c r="BP513" s="78">
        <f t="shared" si="83"/>
        <v>0.47727272727272729</v>
      </c>
    </row>
    <row r="514" spans="1:68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141.28787878787878</v>
      </c>
      <c r="Y514" s="43">
        <f>IFERROR(Y505/H505,"0")+IFERROR(Y506/H506,"0")+IFERROR(Y507/H507,"0")+IFERROR(Y508/H508,"0")+IFERROR(Y509/H509,"0")+IFERROR(Y510/H510,"0")+IFERROR(Y511/H511,"0")+IFERROR(Y512/H512,"0")+IFERROR(Y513/H513,"0")</f>
        <v>143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1.4868399999999999</v>
      </c>
      <c r="AA514" s="67"/>
      <c r="AB514" s="67"/>
      <c r="AC514" s="67"/>
    </row>
    <row r="515" spans="1:68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710</v>
      </c>
      <c r="Y515" s="43">
        <f>IFERROR(SUM(Y505:Y513),"0")</f>
        <v>718.56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100</v>
      </c>
      <c r="Y517" s="55">
        <f>IFERROR(IF(X517="",0,CEILING((X517/$H517),1)*$H517),"")</f>
        <v>100.32000000000001</v>
      </c>
      <c r="Z517" s="41">
        <f>IFERROR(IF(Y517=0,"",ROUNDUP(Y517/H517,0)*0.01196),"")</f>
        <v>0.22724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106.62878787878788</v>
      </c>
      <c r="BN517" s="78">
        <f>IFERROR(Y517*I517/H517,"0")</f>
        <v>106.97</v>
      </c>
      <c r="BO517" s="78">
        <f>IFERROR(1/J517*(X517/H517),"0")</f>
        <v>0.18210955710955709</v>
      </c>
      <c r="BP517" s="78">
        <f>IFERROR(1/J517*(Y517/H517),"0")</f>
        <v>0.18269230769230771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72</v>
      </c>
      <c r="Y519" s="55">
        <f>IFERROR(IF(X519="",0,CEILING((X519/$H519),1)*$H519),"")</f>
        <v>72</v>
      </c>
      <c r="Z519" s="41">
        <f>IFERROR(IF(Y519=0,"",ROUNDUP(Y519/H519,0)*0.00902),"")</f>
        <v>0.1353</v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103.65</v>
      </c>
      <c r="BN519" s="78">
        <f>IFERROR(Y519*I519/H519,"0")</f>
        <v>103.65</v>
      </c>
      <c r="BO519" s="78">
        <f>IFERROR(1/J519*(X519/H519),"0")</f>
        <v>0.11363636363636365</v>
      </c>
      <c r="BP519" s="78">
        <f>IFERROR(1/J519*(Y519/H519),"0")</f>
        <v>0.11363636363636365</v>
      </c>
    </row>
    <row r="520" spans="1:68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33.939393939393938</v>
      </c>
      <c r="Y520" s="43">
        <f>IFERROR(Y517/H517,"0")+IFERROR(Y518/H518,"0")+IFERROR(Y519/H519,"0")</f>
        <v>34</v>
      </c>
      <c r="Z520" s="43">
        <f>IFERROR(IF(Z517="",0,Z517),"0")+IFERROR(IF(Z518="",0,Z518),"0")+IFERROR(IF(Z519="",0,Z519),"0")</f>
        <v>0.36253999999999997</v>
      </c>
      <c r="AA520" s="67"/>
      <c r="AB520" s="67"/>
      <c r="AC520" s="67"/>
    </row>
    <row r="521" spans="1:68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172</v>
      </c>
      <c r="Y521" s="43">
        <f>IFERROR(SUM(Y517:Y519),"0")</f>
        <v>172.32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250</v>
      </c>
      <c r="Y525" s="55">
        <f t="shared" si="84"/>
        <v>253.44</v>
      </c>
      <c r="Z525" s="41">
        <f>IFERROR(IF(Y525=0,"",ROUNDUP(Y525/H525,0)*0.01196),"")</f>
        <v>0.57408000000000003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266.57196969696969</v>
      </c>
      <c r="BN525" s="78">
        <f t="shared" si="86"/>
        <v>270.23999999999995</v>
      </c>
      <c r="BO525" s="78">
        <f t="shared" si="87"/>
        <v>0.45527389277389274</v>
      </c>
      <c r="BP525" s="78">
        <f t="shared" si="88"/>
        <v>0.46153846153846156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60</v>
      </c>
      <c r="Y526" s="55">
        <f t="shared" si="84"/>
        <v>62.4</v>
      </c>
      <c r="Z526" s="41">
        <f>IFERROR(IF(Y526=0,"",ROUNDUP(Y526/H526,0)*0.00902),"")</f>
        <v>0.11726</v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86.375000000000014</v>
      </c>
      <c r="BN526" s="78">
        <f t="shared" si="86"/>
        <v>89.830000000000013</v>
      </c>
      <c r="BO526" s="78">
        <f t="shared" si="87"/>
        <v>9.4696969696969696E-2</v>
      </c>
      <c r="BP526" s="78">
        <f t="shared" si="88"/>
        <v>9.8484848484848481E-2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18</v>
      </c>
      <c r="Y528" s="55">
        <f t="shared" si="84"/>
        <v>19.2</v>
      </c>
      <c r="Z528" s="41">
        <f>IFERROR(IF(Y528=0,"",ROUNDUP(Y528/H528,0)*0.00902),"")</f>
        <v>3.6080000000000001E-2</v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25.012500000000003</v>
      </c>
      <c r="BN528" s="78">
        <f t="shared" si="86"/>
        <v>26.68</v>
      </c>
      <c r="BO528" s="78">
        <f t="shared" si="87"/>
        <v>2.8409090909090912E-2</v>
      </c>
      <c r="BP528" s="78">
        <f t="shared" si="88"/>
        <v>3.0303030303030304E-2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150</v>
      </c>
      <c r="Y529" s="55">
        <f t="shared" si="84"/>
        <v>153.6</v>
      </c>
      <c r="Z529" s="41">
        <f>IFERROR(IF(Y529=0,"",ROUNDUP(Y529/H529,0)*0.00902),"")</f>
        <v>0.28864000000000001</v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208.4375</v>
      </c>
      <c r="BN529" s="78">
        <f t="shared" si="86"/>
        <v>213.44</v>
      </c>
      <c r="BO529" s="78">
        <f t="shared" si="87"/>
        <v>0.23674242424242425</v>
      </c>
      <c r="BP529" s="78">
        <f t="shared" si="88"/>
        <v>0.24242424242424243</v>
      </c>
    </row>
    <row r="530" spans="1:68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94.848484848484844</v>
      </c>
      <c r="Y530" s="43">
        <f>IFERROR(Y523/H523,"0")+IFERROR(Y524/H524,"0")+IFERROR(Y525/H525,"0")+IFERROR(Y526/H526,"0")+IFERROR(Y527/H527,"0")+IFERROR(Y528/H528,"0")+IFERROR(Y529/H529,"0")</f>
        <v>97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1.01606</v>
      </c>
      <c r="AA530" s="67"/>
      <c r="AB530" s="67"/>
      <c r="AC530" s="67"/>
    </row>
    <row r="531" spans="1:68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478</v>
      </c>
      <c r="Y531" s="43">
        <f>IFERROR(SUM(Y523:Y529),"0")</f>
        <v>488.64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200</v>
      </c>
      <c r="Y535" s="55">
        <f>IFERROR(IF(X535="",0,CEILING((X535/$H535),1)*$H535),"")</f>
        <v>204</v>
      </c>
      <c r="Z535" s="41">
        <f>IFERROR(IF(Y535=0,"",ROUNDUP(Y535/H535,0)*0.01898),"")</f>
        <v>0.32266</v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206.83333333333334</v>
      </c>
      <c r="BN535" s="78">
        <f>IFERROR(Y535*I535/H535,"0")</f>
        <v>210.97</v>
      </c>
      <c r="BO535" s="78">
        <f>IFERROR(1/J535*(X535/H535),"0")</f>
        <v>0.26041666666666669</v>
      </c>
      <c r="BP535" s="78">
        <f>IFERROR(1/J535*(Y535/H535),"0")</f>
        <v>0.265625</v>
      </c>
    </row>
    <row r="536" spans="1:68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16.666666666666668</v>
      </c>
      <c r="Y536" s="43">
        <f>IFERROR(Y535/H535,"0")</f>
        <v>17</v>
      </c>
      <c r="Z536" s="43">
        <f>IFERROR(IF(Z535="",0,Z535),"0")</f>
        <v>0.32266</v>
      </c>
      <c r="AA536" s="67"/>
      <c r="AB536" s="67"/>
      <c r="AC536" s="67"/>
    </row>
    <row r="537" spans="1:68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200</v>
      </c>
      <c r="Y537" s="43">
        <f>IFERROR(SUM(Y535:Y535),"0")</f>
        <v>204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500</v>
      </c>
      <c r="Y547" s="55">
        <f>IFERROR(IF(X547="",0,CEILING((X547/$H547),1)*$H547),"")</f>
        <v>504</v>
      </c>
      <c r="Z547" s="41">
        <f>IFERROR(IF(Y547=0,"",ROUNDUP(Y547/H547,0)*0.01898),"")</f>
        <v>1.06288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527.44444444444446</v>
      </c>
      <c r="BN547" s="78">
        <f>IFERROR(Y547*I547/H547,"0")</f>
        <v>531.66399999999999</v>
      </c>
      <c r="BO547" s="78">
        <f>IFERROR(1/J547*(X547/H547),"0")</f>
        <v>0.86805555555555558</v>
      </c>
      <c r="BP547" s="78">
        <f>IFERROR(1/J547*(Y547/H547),"0")</f>
        <v>0.875</v>
      </c>
    </row>
    <row r="548" spans="1:68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55.555555555555557</v>
      </c>
      <c r="Y548" s="43">
        <f>IFERROR(Y547/H547,"0")</f>
        <v>56</v>
      </c>
      <c r="Z548" s="43">
        <f>IFERROR(IF(Z547="",0,Z547),"0")</f>
        <v>1.06288</v>
      </c>
      <c r="AA548" s="67"/>
      <c r="AB548" s="67"/>
      <c r="AC548" s="67"/>
    </row>
    <row r="549" spans="1:68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500</v>
      </c>
      <c r="Y549" s="43">
        <f>IFERROR(SUM(Y547:Y547),"0")</f>
        <v>504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17413.5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17578.12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18797.751691682093</v>
      </c>
      <c r="Y561" s="43">
        <f>IFERROR(SUM(BN22:BN557),"0")</f>
        <v>18975.455000000002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34</v>
      </c>
      <c r="Y562" s="44">
        <f>ROUNDUP(SUM(BP22:BP557),0)</f>
        <v>34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19647.751691682093</v>
      </c>
      <c r="Y563" s="43">
        <f>GrossWeightTotalR+PalletQtyTotalR*25</f>
        <v>19825.455000000002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4365.8571375410465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4394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40.170480000000005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65.28</v>
      </c>
      <c r="D570" s="52">
        <f>IFERROR(Y47*1,"0")+IFERROR(Y48*1,"0")+IFERROR(Y49*1,"0")+IFERROR(Y50*1,"0")</f>
        <v>579.20000000000005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493.2</v>
      </c>
      <c r="F570" s="52">
        <f>IFERROR(Y85*1,"0")+IFERROR(Y86*1,"0")+IFERROR(Y87*1,"0")+IFERROR(Y88*1,"0")+IFERROR(Y89*1,"0")+IFERROR(Y93*1,"0")+IFERROR(Y94*1,"0")+IFERROR(Y95*1,"0")+IFERROR(Y96*1,"0")+IFERROR(Y97*1,"0")+IFERROR(Y98*1,"0")</f>
        <v>1606.5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2520</v>
      </c>
      <c r="H570" s="52">
        <f>IFERROR(Y138*1,"0")+IFERROR(Y139*1,"0")+IFERROR(Y143*1,"0")+IFERROR(Y144*1,"0")+IFERROR(Y148*1,"0")+IFERROR(Y149*1,"0")</f>
        <v>187.28000000000003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1069.24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858.89999999999986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3633.6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230.6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681.6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561.59999999999991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1455.6000000000001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1548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1379.52</v>
      </c>
      <c r="AB570" s="52">
        <f>IFERROR(Y535*1,"0")+IFERROR(Y539*1,"0")+IFERROR(Y543*1,"0")+IFERROR(Y547*1,"0")+IFERROR(Y551*1,"0")+IFERROR(Y552*1,"0")</f>
        <v>708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2,00"/>
        <filter val="1 150,00"/>
        <filter val="1 330,00"/>
        <filter val="1 760,00"/>
        <filter val="100,00"/>
        <filter val="103,15"/>
        <filter val="111,11"/>
        <filter val="112,50"/>
        <filter val="12,00"/>
        <filter val="120,00"/>
        <filter val="14,00"/>
        <filter val="141,29"/>
        <filter val="143,32"/>
        <filter val="15,00"/>
        <filter val="150,00"/>
        <filter val="152,78"/>
        <filter val="16,67"/>
        <filter val="160,00"/>
        <filter val="17 413,50"/>
        <filter val="172,00"/>
        <filter val="175,00"/>
        <filter val="18 797,75"/>
        <filter val="18,00"/>
        <filter val="18,75"/>
        <filter val="19 647,75"/>
        <filter val="2 850,00"/>
        <filter val="200,00"/>
        <filter val="21,00"/>
        <filter val="210,00"/>
        <filter val="212,50"/>
        <filter val="225,00"/>
        <filter val="25,00"/>
        <filter val="250,00"/>
        <filter val="270,00"/>
        <filter val="283,33"/>
        <filter val="30,00"/>
        <filter val="300,00"/>
        <filter val="31,25"/>
        <filter val="319,75"/>
        <filter val="320,00"/>
        <filter val="326,19"/>
        <filter val="33,33"/>
        <filter val="33,94"/>
        <filter val="34"/>
        <filter val="35,00"/>
        <filter val="350,00"/>
        <filter val="378,57"/>
        <filter val="4 365,86"/>
        <filter val="40,00"/>
        <filter val="400,00"/>
        <filter val="42,00"/>
        <filter val="44,31"/>
        <filter val="440,00"/>
        <filter val="478,00"/>
        <filter val="482,10"/>
        <filter val="49,50"/>
        <filter val="5,13"/>
        <filter val="5,56"/>
        <filter val="50,00"/>
        <filter val="50,93"/>
        <filter val="500,00"/>
        <filter val="55,56"/>
        <filter val="550,00"/>
        <filter val="56,33"/>
        <filter val="570,00"/>
        <filter val="6,67"/>
        <filter val="60,00"/>
        <filter val="600,00"/>
        <filter val="630,00"/>
        <filter val="64,00"/>
        <filter val="640,00"/>
        <filter val="66,67"/>
        <filter val="675,00"/>
        <filter val="680,00"/>
        <filter val="7,00"/>
        <filter val="70,51"/>
        <filter val="700,00"/>
        <filter val="705,00"/>
        <filter val="710,00"/>
        <filter val="72,00"/>
        <filter val="80,00"/>
        <filter val="800,00"/>
        <filter val="810,00"/>
        <filter val="815,00"/>
        <filter val="82,50"/>
        <filter val="84,00"/>
        <filter val="938,27"/>
        <filter val="94,85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9" spans="2:8" x14ac:dyDescent="0.2">
      <c r="B9" s="53" t="s">
        <v>887</v>
      </c>
      <c r="C9" s="53" t="s">
        <v>882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885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