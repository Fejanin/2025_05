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8D29FD-4736-492D-BEE4-C23B3DFA4C8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Z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P486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Z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P417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P400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P374" i="2"/>
  <c r="BO374" i="2"/>
  <c r="BM374" i="2"/>
  <c r="Y374" i="2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BP346" i="2"/>
  <c r="BO346" i="2"/>
  <c r="BM346" i="2"/>
  <c r="Y346" i="2"/>
  <c r="P346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P304" i="2"/>
  <c r="BO304" i="2"/>
  <c r="BM304" i="2"/>
  <c r="Y304" i="2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N283" i="2"/>
  <c r="BM283" i="2"/>
  <c r="Z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Z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N217" i="2"/>
  <c r="BM217" i="2"/>
  <c r="Z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Z164" i="2"/>
  <c r="Z165" i="2" s="1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P59" i="2"/>
  <c r="BO59" i="2"/>
  <c r="BM59" i="2"/>
  <c r="Z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C569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F10" i="2" s="1"/>
  <c r="D7" i="2"/>
  <c r="Q6" i="2"/>
  <c r="P2" i="2"/>
  <c r="Z103" i="2" l="1"/>
  <c r="BP103" i="2"/>
  <c r="BN201" i="2"/>
  <c r="Z229" i="2"/>
  <c r="BN272" i="2"/>
  <c r="Z354" i="2"/>
  <c r="Z392" i="2"/>
  <c r="Z170" i="2"/>
  <c r="Z185" i="2"/>
  <c r="Z201" i="2"/>
  <c r="Z202" i="2" s="1"/>
  <c r="BP201" i="2"/>
  <c r="Y269" i="2"/>
  <c r="Z272" i="2"/>
  <c r="Z294" i="2"/>
  <c r="Z314" i="2"/>
  <c r="Z315" i="2" s="1"/>
  <c r="Z406" i="2"/>
  <c r="Z449" i="2"/>
  <c r="Z462" i="2"/>
  <c r="Y483" i="2"/>
  <c r="Z498" i="2"/>
  <c r="Z512" i="2"/>
  <c r="Z22" i="2"/>
  <c r="Y25" i="2"/>
  <c r="BN23" i="2"/>
  <c r="BN39" i="2"/>
  <c r="BP39" i="2"/>
  <c r="BP47" i="2"/>
  <c r="BN47" i="2"/>
  <c r="Z47" i="2"/>
  <c r="BN67" i="2"/>
  <c r="Z67" i="2"/>
  <c r="BN80" i="2"/>
  <c r="BN96" i="2"/>
  <c r="Z96" i="2"/>
  <c r="BN110" i="2"/>
  <c r="BN144" i="2"/>
  <c r="Z144" i="2"/>
  <c r="BN157" i="2"/>
  <c r="BP195" i="2"/>
  <c r="BN195" i="2"/>
  <c r="Z195" i="2"/>
  <c r="BN305" i="2"/>
  <c r="BN332" i="2"/>
  <c r="BN347" i="2"/>
  <c r="Z347" i="2"/>
  <c r="BN359" i="2"/>
  <c r="BN384" i="2"/>
  <c r="BN399" i="2"/>
  <c r="BN412" i="2"/>
  <c r="BP425" i="2"/>
  <c r="BN425" i="2"/>
  <c r="Z425" i="2"/>
  <c r="BN437" i="2"/>
  <c r="Z437" i="2"/>
  <c r="BN469" i="2"/>
  <c r="BN487" i="2"/>
  <c r="BN522" i="2"/>
  <c r="Y540" i="2"/>
  <c r="Y539" i="2"/>
  <c r="Z538" i="2"/>
  <c r="Z539" i="2" s="1"/>
  <c r="Y24" i="2"/>
  <c r="BN50" i="2"/>
  <c r="BP56" i="2"/>
  <c r="BN56" i="2"/>
  <c r="Z56" i="2"/>
  <c r="BN97" i="2"/>
  <c r="BP106" i="2"/>
  <c r="BN106" i="2"/>
  <c r="Z106" i="2"/>
  <c r="BP126" i="2"/>
  <c r="BN126" i="2"/>
  <c r="Z126" i="2"/>
  <c r="BP171" i="2"/>
  <c r="BN171" i="2"/>
  <c r="Z171" i="2"/>
  <c r="BN182" i="2"/>
  <c r="BN190" i="2"/>
  <c r="BN212" i="2"/>
  <c r="BN230" i="2"/>
  <c r="Z230" i="2"/>
  <c r="BP238" i="2"/>
  <c r="BN238" i="2"/>
  <c r="Z238" i="2"/>
  <c r="BN278" i="2"/>
  <c r="BN291" i="2"/>
  <c r="BN304" i="2"/>
  <c r="Z304" i="2"/>
  <c r="BP345" i="2"/>
  <c r="BN345" i="2"/>
  <c r="Z345" i="2"/>
  <c r="BP347" i="2"/>
  <c r="BP348" i="2"/>
  <c r="BN348" i="2"/>
  <c r="Z348" i="2"/>
  <c r="BN366" i="2"/>
  <c r="BN376" i="2"/>
  <c r="Y420" i="2"/>
  <c r="Y427" i="2"/>
  <c r="BN435" i="2"/>
  <c r="Z435" i="2"/>
  <c r="BN486" i="2"/>
  <c r="Y488" i="2"/>
  <c r="Z486" i="2"/>
  <c r="Z488" i="2" s="1"/>
  <c r="Y493" i="2"/>
  <c r="Z492" i="2"/>
  <c r="Z493" i="2" s="1"/>
  <c r="BN510" i="2"/>
  <c r="Z510" i="2"/>
  <c r="BN526" i="2"/>
  <c r="BN31" i="2"/>
  <c r="BN40" i="2"/>
  <c r="Y52" i="2"/>
  <c r="BN71" i="2"/>
  <c r="Y112" i="2"/>
  <c r="BN115" i="2"/>
  <c r="Y161" i="2"/>
  <c r="BN176" i="2"/>
  <c r="BN183" i="2"/>
  <c r="BN186" i="2"/>
  <c r="BN191" i="2"/>
  <c r="BN231" i="2"/>
  <c r="BN245" i="2"/>
  <c r="BN253" i="2"/>
  <c r="BN268" i="2"/>
  <c r="BN276" i="2"/>
  <c r="BN286" i="2"/>
  <c r="BN330" i="2"/>
  <c r="BN378" i="2"/>
  <c r="BP392" i="2"/>
  <c r="BN393" i="2"/>
  <c r="BP438" i="2"/>
  <c r="BP461" i="2"/>
  <c r="BN479" i="2"/>
  <c r="BP498" i="2"/>
  <c r="BN525" i="2"/>
  <c r="BN534" i="2"/>
  <c r="Z432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0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57" i="2"/>
  <c r="Z180" i="2"/>
  <c r="Z188" i="2"/>
  <c r="Z212" i="2"/>
  <c r="Z233" i="2"/>
  <c r="Z243" i="2"/>
  <c r="Z253" i="2"/>
  <c r="Z254" i="2" s="1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240" i="2" l="1"/>
  <c r="Z150" i="2"/>
  <c r="Z51" i="2"/>
  <c r="Z388" i="2"/>
  <c r="Z325" i="2"/>
  <c r="Z129" i="2"/>
  <c r="Z134" i="2"/>
  <c r="Z111" i="2"/>
  <c r="Z407" i="2"/>
  <c r="Z341" i="2"/>
  <c r="Z198" i="2"/>
  <c r="Z401" i="2"/>
  <c r="Z6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<sst xmlns="http://schemas.openxmlformats.org/spreadsheetml/2006/main" count="4337" uniqueCount="918">
  <si>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</si>
  <si>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</si>
  <si>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</si>
  <si>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</si>
  <si>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</si>
  <si>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</si>
  <si>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</si>
  <si>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</si>
  <si>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</si>
  <si>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</si>
  <si>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</si>
  <si>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</si>
  <si>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</si>
  <si>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</si>
  <si>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</si>
  <si>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</si>
  <si>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</si>
  <si>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</si>
  <si>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</si>
  <si>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</si>
  <si>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</si>
  <si>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</si>
  <si>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</si>
  <si>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</si>
  <si>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</si>
  <si>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</si>
  <si>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</si>
  <si>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</si>
  <si>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</si>
  <si>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</si>
  <si>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</si>
  <si>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</si>
  <si>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</si>
  <si>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</si>
  <si>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</si>
  <si>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</si>
  <si>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</si>
  <si>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</si>
  <si>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</si>
  <si>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</si>
  <si>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</si>
  <si>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</si>
  <si>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</si>
  <si>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</si>
  <si>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</si>
  <si>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</si>
  <si>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</si>
  <si>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</si>
  <si>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</si>
  <si>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</si>
  <si>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</si>
  <si>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</si>
  <si>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</si>
  <si>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</si>
  <si>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</si>
  <si>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</si>
  <si>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</si>
  <si>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</si>
  <si>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</si>
  <si>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</si>
  <si>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</si>
  <si>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</si>
  <si>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</si>
  <si>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</si>
  <si>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</si>
  <si>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</si>
  <si>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</si>
  <si>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</si>
  <si>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</si>
  <si>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</si>
  <si>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</si>
  <si>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</si>
  <si>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</si>
  <si>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</si>
  <si>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</si>
  <si>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</si>
  <si>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</si>
  <si>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</si>
  <si>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</si>
  <si>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</si>
  <si>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</si>
  <si>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</si>
  <si>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</si>
  <si>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</si>
  <si>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</si>
  <si>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</si>
  <si>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</si>
  <si>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</si>
  <si>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</si>
  <si>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</si>
  <si>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</si>
  <si>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</si>
  <si>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</si>
  <si>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</si>
  <si>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</si>
  <si>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</si>
  <si>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</si>
  <si>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</si>
  <si>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</si>
  <si>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</si>
  <si>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</si>
  <si>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</si>
  <si>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</si>
  <si>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</si>
  <si>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</si>
  <si>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</si>
  <si>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</si>
  <si>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</si>
  <si>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</si>
  <si>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</si>
  <si>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</si>
  <si>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</si>
  <si>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</si>
  <si>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</si>
  <si>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</si>
  <si>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</si>
  <si>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</si>
  <si>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</si>
  <si>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</si>
  <si>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</si>
  <si>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</si>
  <si>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</si>
  <si>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</si>
  <si>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</si>
  <si>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</si>
  <si>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</si>
  <si>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</si>
  <si>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</si>
  <si>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</si>
  <si>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</si>
  <si>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</si>
  <si>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</si>
  <si>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</si>
  <si>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</si>
  <si>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</si>
  <si>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</si>
  <si>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</si>
  <si>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</si>
  <si>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</si>
  <si>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</si>
  <si>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</si>
  <si>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</si>
  <si>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</si>
  <si>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</si>
  <si>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</si>
  <si>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</si>
  <si>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</si>
  <si>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</si>
  <si>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</si>
  <si>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</si>
  <si>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</si>
  <si>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</si>
  <si>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</si>
  <si>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</si>
  <si>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</si>
  <si>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</si>
  <si>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</si>
  <si>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</si>
  <si>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</si>
  <si>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</si>
  <si>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</si>
  <si>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</si>
  <si>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</si>
  <si>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</si>
  <si>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</si>
  <si>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</si>
  <si>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</si>
  <si>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</si>
  <si>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</si>
  <si>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</si>
  <si>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</si>
  <si>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</si>
  <si>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</si>
  <si>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</si>
  <si>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</si>
  <si>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</si>
  <si>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</si>
  <si>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</si>
  <si>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</si>
  <si>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</si>
  <si>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</si>
  <si>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</si>
  <si>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</si>
  <si>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</si>
  <si>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</si>
  <si>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</si>
  <si>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</si>
  <si>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</si>
  <si>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</si>
  <si>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</si>
  <si>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</si>
  <si>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</si>
  <si>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</si>
  <si>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</si>
  <si>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</si>
  <si>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</si>
  <si>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</si>
  <si>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</si>
  <si>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</si>
  <si>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</si>
  <si>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</si>
  <si>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</si>
  <si>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</si>
  <si>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</si>
  <si>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</si>
  <si>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</si>
  <si>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</si>
  <si>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</si>
  <si>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</si>
  <si>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</si>
  <si>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</si>
  <si>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</si>
  <si>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</si>
  <si>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</si>
  <si>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</si>
  <si>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</si>
  <si>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</si>
  <si>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</si>
  <si>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</si>
  <si>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</si>
  <si>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</si>
  <si>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</si>
  <si>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</si>
  <si>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</si>
  <si>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</si>
  <si>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</si>
  <si>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</si>
  <si>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</si>
  <si>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</si>
  <si>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</si>
  <si>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</si>
  <si>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</si>
  <si>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</si>
  <si>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</si>
  <si>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</si>
  <si>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</si>
  <si>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</si>
  <si>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</si>
  <si>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</si>
  <si>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</si>
  <si>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</si>
  <si>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</si>
  <si>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</si>
  <si>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</si>
  <si>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</si>
  <si>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</si>
  <si>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</si>
  <si>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</si>
  <si>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</si>
  <si>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</si>
  <si>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</si>
  <si>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</si>
  <si>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</si>
  <si>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</si>
  <si>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</si>
  <si>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</si>
  <si>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</si>
  <si>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</si>
  <si>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</si>
  <si>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</si>
  <si>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</si>
  <si>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</si>
  <si>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</si>
  <si>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</si>
  <si>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</si>
  <si>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</si>
  <si>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</si>
  <si>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</si>
  <si>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</si>
  <si>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</si>
  <si>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</si>
  <si>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</si>
  <si>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</si>
  <si>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</si>
  <si>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</si>
  <si>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</si>
  <si>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</si>
  <si>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</si>
  <si>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</si>
  <si>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</si>
  <si>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</si>
  <si>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</si>
  <si>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</si>
  <si>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</si>
  <si>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</si>
  <si>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</si>
  <si>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</si>
  <si>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</si>
  <si>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</si>
  <si>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</si>
  <si>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</si>
  <si>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</si>
  <si>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</si>
  <si>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</si>
  <si>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</si>
  <si>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</si>
  <si>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</si>
  <si>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</si>
  <si>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</si>
  <si>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</si>
  <si>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</si>
  <si>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</si>
  <si>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</si>
  <si>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</si>
  <si>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</si>
  <si>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</si>
  <si>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</si>
  <si>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</si>
  <si>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</si>
  <si>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</si>
  <si>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</si>
  <si>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</si>
  <si>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</si>
  <si>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</si>
  <si>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</si>
  <si>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</si>
  <si>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</si>
  <si>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</si>
  <si>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</si>
  <si>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</si>
  <si>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</si>
  <si>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</si>
  <si>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</si>
  <si>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</si>
  <si>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</si>
  <si>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</si>
  <si>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</si>
  <si>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</si>
  <si>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</si>
  <si>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</si>
  <si>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</si>
  <si>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</si>
  <si>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</si>
  <si>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</si>
  <si>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</si>
  <si>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</si>
  <si>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</si>
  <si>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</si>
  <si>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</si>
  <si>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</si>
  <si>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</si>
  <si>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</si>
  <si>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</si>
  <si>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</si>
  <si>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</si>
  <si>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</si>
  <si>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</si>
  <si>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</si>
  <si>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</si>
  <si>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</si>
  <si>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</si>
  <si>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</si>
  <si>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</si>
  <si>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</si>
  <si>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</si>
  <si>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</si>
  <si>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</si>
  <si>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</si>
  <si>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</si>
  <si>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</si>
  <si>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</si>
  <si>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</si>
  <si>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</si>
  <si>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</si>
  <si>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</si>
  <si>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</si>
  <si>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</si>
  <si>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</si>
  <si>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</si>
  <si>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</si>
  <si>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</si>
  <si>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</si>
  <si>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</si>
  <si>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</si>
  <si>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</si>
  <si>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</si>
  <si>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</si>
  <si>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</si>
  <si>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</si>
  <si>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</si>
  <si>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</si>
  <si>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</si>
  <si>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</si>
  <si>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</si>
  <si>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</si>
  <si>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</si>
  <si>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</si>
  <si>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</si>
  <si>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</si>
  <si>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</si>
  <si>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</si>
  <si>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</si>
  <si>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</si>
  <si>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</si>
  <si>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</si>
  <si>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</si>
  <si>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</si>
  <si>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</si>
  <si>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</si>
  <si>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</si>
  <si>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</si>
  <si>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</si>
  <si>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</si>
  <si>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</si>
  <si>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</si>
  <si>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</si>
  <si>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</si>
  <si>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</si>
  <si>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</si>
  <si>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</si>
  <si>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</si>
  <si>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</si>
  <si>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</si>
  <si>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</si>
  <si>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</si>
  <si>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</si>
  <si>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</si>
  <si>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</si>
  <si>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</si>
  <si>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</si>
  <si>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</si>
  <si>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</si>
  <si>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</si>
  <si>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</si>
  <si>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</si>
  <si>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</si>
  <si>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</si>
  <si>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</si>
  <si>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</si>
  <si>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</si>
  <si>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</si>
  <si>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</si>
  <si>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</si>
  <si>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</si>
  <si>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</si>
  <si>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</si>
  <si>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</si>
  <si>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</si>
  <si>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</si>
  <si>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</si>
  <si>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</si>
  <si>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</si>
  <si>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</si>
  <si>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</si>
  <si>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</si>
  <si>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</si>
  <si>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</si>
  <si>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</si>
  <si>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</si>
  <si>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</si>
  <si>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</si>
  <si>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</si>
  <si>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</si>
  <si>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</si>
  <si>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</si>
  <si>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</si>
  <si>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</si>
  <si>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</si>
  <si>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</si>
  <si>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</si>
  <si>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</si>
  <si>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</si>
  <si>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</si>
  <si>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</si>
  <si>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</si>
  <si>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</si>
  <si>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</si>
  <si>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</si>
  <si>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</si>
  <si>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</si>
  <si>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</si>
  <si>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</si>
  <si>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</si>
  <si>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</si>
  <si>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</si>
  <si>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</si>
  <si>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</si>
  <si>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</si>
  <si>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</si>
  <si>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</si>
  <si>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</si>
  <si>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</si>
  <si>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</si>
  <si>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</si>
  <si>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</si>
  <si>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</si>
  <si>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</si>
  <si>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</si>
  <si>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</si>
  <si>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</si>
  <si>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</si>
  <si>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</si>
  <si>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</si>
  <si>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</si>
  <si>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</si>
  <si>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</si>
  <si>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</si>
  <si>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</si>
  <si>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</si>
  <si>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</si>
  <si>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</si>
  <si>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</si>
  <si>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</si>
  <si>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</si>
  <si>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</si>
  <si>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</si>
  <si>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</si>
  <si>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</si>
  <si>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</si>
  <si>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</si>
  <si>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</si>
  <si>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</si>
  <si>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</si>
  <si>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</si>
  <si>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</si>
  <si>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</si>
  <si>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</si>
  <si>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</si>
  <si>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</si>
  <si>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</si>
  <si>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</si>
  <si>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</si>
  <si>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</si>
  <si>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</si>
  <si>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</si>
  <si>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</si>
  <si>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</si>
  <si>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</si>
  <si>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</si>
  <si>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</si>
  <si>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</si>
  <si>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</si>
  <si>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</si>
  <si>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</si>
  <si>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</si>
  <si>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</si>
  <si>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</si>
  <si>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</si>
  <si>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</si>
  <si>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</si>
  <si>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</si>
  <si>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</si>
  <si>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</si>
  <si>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</si>
  <si>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</si>
  <si>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</si>
  <si>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</si>
  <si>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</si>
  <si>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</si>
  <si>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</si>
  <si>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</si>
  <si>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</si>
  <si>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</si>
  <si>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</si>
  <si>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</si>
  <si>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</si>
  <si>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</si>
  <si>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</si>
  <si>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</si>
  <si>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</si>
  <si>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</si>
  <si>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</si>
  <si>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</si>
  <si>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</si>
  <si>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</si>
  <si>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</si>
  <si>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</si>
  <si>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</si>
  <si>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</si>
  <si>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</si>
  <si>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</si>
  <si>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</si>
  <si>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</si>
  <si>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</si>
  <si>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</si>
  <si>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</si>
  <si>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</si>
  <si>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</si>
  <si>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</si>
  <si>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</si>
  <si>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</si>
  <si>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</si>
  <si>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</si>
  <si>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</si>
  <si>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</si>
  <si>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</si>
  <si>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</si>
  <si>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</si>
  <si>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</si>
  <si>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</si>
  <si>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</si>
  <si>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</si>
  <si>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</si>
  <si>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</si>
  <si>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</si>
  <si>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</si>
  <si>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</si>
  <si>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</si>
  <si>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</si>
  <si>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</si>
  <si>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</si>
  <si>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</si>
  <si>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</si>
  <si>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</si>
  <si>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</si>
  <si>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</si>
  <si>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</si>
  <si>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</si>
  <si>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</si>
  <si>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</si>
  <si>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</si>
  <si>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</si>
  <si>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</si>
  <si>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</si>
  <si>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</si>
  <si>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</si>
  <si>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</si>
  <si>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</si>
  <si>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</si>
  <si>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</si>
  <si>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</si>
  <si>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</si>
  <si>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</si>
  <si>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</si>
  <si>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</si>
  <si>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</si>
  <si>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</si>
  <si>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</si>
  <si>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</si>
  <si>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</si>
  <si>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</si>
  <si>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</si>
  <si>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</si>
  <si>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</si>
  <si>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</si>
  <si>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</si>
  <si>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</si>
  <si>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</si>
  <si>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</si>
  <si>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</si>
  <si>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</si>
  <si>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</si>
  <si>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</si>
  <si>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</si>
  <si>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</si>
  <si>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</si>
  <si>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</si>
  <si>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</si>
  <si>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</si>
  <si>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</si>
  <si>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</si>
  <si>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</si>
  <si>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</si>
  <si>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</si>
  <si>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</si>
  <si>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</si>
  <si>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</si>
  <si>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</si>
  <si>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</si>
  <si>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</si>
  <si>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</si>
  <si>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</si>
  <si>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</si>
  <si>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</si>
  <si>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</si>
  <si>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</si>
  <si>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</si>
  <si>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</si>
  <si>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</si>
  <si>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</si>
  <si>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</si>
  <si>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</si>
  <si>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</si>
  <si>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</si>
  <si>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</si>
  <si>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</si>
  <si>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</si>
  <si>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</si>
  <si>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</si>
  <si>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</si>
  <si>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</si>
  <si>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</si>
  <si>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</si>
  <si>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</si>
  <si>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</si>
  <si>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</si>
  <si>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</si>
  <si>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</si>
  <si>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</si>
  <si>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</si>
  <si>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</si>
  <si>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</si>
  <si>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</si>
  <si>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</si>
  <si>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</si>
  <si>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</si>
  <si>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</si>
  <si>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</si>
  <si>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</si>
  <si>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</si>
  <si>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</si>
  <si>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</si>
  <si>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</si>
  <si>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</si>
  <si>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</si>
  <si>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</si>
  <si>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</si>
  <si>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</si>
  <si>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</si>
  <si>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</si>
  <si>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</si>
  <si>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</si>
  <si>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</si>
  <si>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</si>
  <si>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</si>
  <si>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</si>
  <si>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</si>
  <si>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</si>
  <si>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</si>
  <si>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</si>
  <si>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</si>
  <si>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</si>
  <si>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</si>
  <si>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</si>
  <si>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</si>
  <si>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</si>
  <si>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</si>
  <si>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</si>
  <si>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</si>
  <si>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</si>
  <si>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</si>
  <si>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</si>
  <si>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</si>
  <si>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</si>
  <si>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</si>
  <si>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</si>
  <si>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</si>
  <si>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</si>
  <si>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</si>
  <si>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</si>
  <si>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</si>
  <si>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</si>
  <si>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</si>
  <si>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</si>
  <si>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</si>
  <si>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</si>
  <si>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</si>
  <si>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</si>
  <si>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</si>
  <si>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</si>
  <si>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</si>
  <si>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</si>
  <si>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</si>
  <si>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</si>
  <si>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</si>
  <si>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</si>
  <si>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</si>
  <si>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</si>
  <si>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</si>
  <si>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</si>
  <si>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</si>
  <si>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</si>
  <si>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</si>
  <si>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</si>
  <si>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</si>
  <si>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</si>
  <si>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</si>
  <si>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</si>
  <si>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</si>
  <si>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</si>
  <si>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</si>
  <si>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</si>
  <si>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</si>
  <si>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</si>
  <si>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</si>
  <si>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</si>
  <si>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</si>
  <si>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</si>
  <si>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</si>
  <si>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</si>
  <si>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</si>
  <si>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</si>
  <si>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</si>
  <si>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</si>
  <si>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</si>
  <si>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</si>
  <si>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</si>
  <si>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</si>
  <si>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</si>
  <si>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</si>
  <si>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</si>
  <si>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</si>
  <si>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</si>
  <si>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</si>
  <si>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</si>
  <si>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</si>
  <si>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</si>
  <si>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</si>
  <si>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</si>
  <si>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</si>
  <si>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</si>
  <si>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</si>
  <si>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</si>
  <si>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</si>
  <si>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</si>
  <si>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</si>
  <si>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</si>
  <si>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</si>
  <si>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</si>
  <si>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</si>
  <si>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</si>
  <si>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</si>
  <si>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</si>
  <si>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</si>
  <si>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</si>
  <si>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</si>
  <si>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</si>
  <si>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</si>
  <si>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</si>
  <si>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</si>
  <si>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</si>
  <si>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</si>
  <si>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</si>
  <si>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</si>
  <si>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</si>
  <si>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</si>
  <si>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</si>
  <si>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</si>
  <si>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</si>
  <si>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</si>
  <si>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</si>
  <si>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</si>
  <si>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</si>
  <si>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</si>
  <si>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</si>
  <si>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</si>
  <si>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</si>
  <si>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</si>
  <si>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</si>
  <si>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</si>
  <si>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</si>
  <si>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</si>
  <si>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</si>
  <si>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</si>
  <si>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</si>
  <si>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</si>
  <si>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</si>
  <si>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</si>
  <si>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</si>
  <si>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</si>
  <si>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</si>
  <si>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</si>
  <si>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</si>
  <si>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</si>
  <si>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</si>
  <si>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</si>
  <si>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</si>
  <si>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</si>
  <si>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</si>
  <si>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</si>
  <si>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</si>
  <si>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</si>
  <si>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</si>
  <si>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</si>
  <si>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</si>
  <si>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</si>
  <si>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</si>
  <si>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</si>
  <si>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</si>
  <si>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</si>
  <si>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</si>
  <si>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</si>
  <si>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</si>
  <si>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</si>
  <si>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</si>
  <si>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</si>
  <si>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</si>
  <si>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</si>
  <si>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</si>
  <si>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</si>
  <si>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</si>
  <si>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</si>
  <si>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</si>
  <si>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</si>
  <si>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</si>
  <si>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</si>
  <si>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</si>
  <si>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</si>
  <si>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</si>
  <si>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</si>
  <si>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</si>
  <si>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</si>
  <si>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</si>
  <si>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</si>
  <si>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</si>
  <si>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</si>
  <si>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</si>
  <si>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</si>
  <si>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</si>
  <si>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</si>
  <si>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</si>
  <si>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</si>
  <si>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</si>
  <si>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</si>
  <si>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</si>
  <si>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</si>
  <si>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</si>
  <si>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</si>
  <si>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</si>
  <si>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</si>
  <si>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</si>
  <si>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</si>
  <si>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</si>
  <si>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</si>
  <si>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</si>
  <si>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</si>
  <si>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TSO001092783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</si>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</sst>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32" sqref="AA4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66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67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916</v>
      </c>
      <c r="I5" s="993"/>
      <c r="J5" s="993"/>
      <c r="K5" s="993"/>
      <c r="L5" s="993"/>
      <c r="M5" s="993"/>
      <c r="N5" s="69"/>
      <c r="P5" s="26" t="s">
        <v>4</v>
      </c>
      <c r="Q5" s="995">
        <v>46267</v>
      </c>
      <c r="R5" s="995"/>
      <c r="T5" s="996" t="s">
        <v>3</v>
      </c>
      <c r="U5" s="997"/>
      <c r="V5" s="998" t="s">
        <v>876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 t="s">
        <v>895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Среда</v>
      </c>
      <c r="R6" s="1001"/>
      <c r="T6" s="1002" t="s">
        <v>5</v>
      </c>
      <c r="U6" s="1003"/>
      <c r="V6" s="1004" t="s">
        <v>69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 t="str">
        <f>IFERROR(VLOOKUP(DeliveryAddress,Table,3,0),1)</f>
        <v>7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57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0.625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70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917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71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72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73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74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60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58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65</v>
      </c>
      <c r="L17" s="947" t="s">
        <v>63</v>
      </c>
      <c r="M17" s="947" t="s">
        <v>2</v>
      </c>
      <c r="N17" s="947" t="s">
        <v>62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55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59</v>
      </c>
      <c r="AB17" s="953" t="s">
        <v>19</v>
      </c>
      <c r="AC17" s="953" t="s">
        <v>64</v>
      </c>
      <c r="AD17" s="955" t="s">
        <v>56</v>
      </c>
      <c r="AE17" s="956"/>
      <c r="AF17" s="957"/>
      <c r="AG17" s="77"/>
      <c r="BD17" s="76" t="s">
        <v>61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75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103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120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136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1">
        <v>4680115880283</v>
      </c>
      <c r="E57" s="661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1">
        <v>4680115881525</v>
      </c>
      <c r="E58" s="661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1">
        <v>4680115885899</v>
      </c>
      <c r="E59" s="661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1">
        <v>4680115881419</v>
      </c>
      <c r="E60" s="661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1"/>
      <c r="B61" s="651"/>
      <c r="C61" s="651"/>
      <c r="D61" s="651"/>
      <c r="E61" s="651"/>
      <c r="F61" s="651"/>
      <c r="G61" s="651"/>
      <c r="H61" s="651"/>
      <c r="I61" s="651"/>
      <c r="J61" s="651"/>
      <c r="K61" s="651"/>
      <c r="L61" s="651"/>
      <c r="M61" s="651"/>
      <c r="N61" s="651"/>
      <c r="O61" s="652"/>
      <c r="P61" s="648" t="s">
        <v>40</v>
      </c>
      <c r="Q61" s="649"/>
      <c r="R61" s="649"/>
      <c r="S61" s="649"/>
      <c r="T61" s="649"/>
      <c r="U61" s="649"/>
      <c r="V61" s="650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1"/>
      <c r="B62" s="651"/>
      <c r="C62" s="651"/>
      <c r="D62" s="651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2"/>
      <c r="P62" s="648" t="s">
        <v>40</v>
      </c>
      <c r="Q62" s="649"/>
      <c r="R62" s="649"/>
      <c r="S62" s="649"/>
      <c r="T62" s="649"/>
      <c r="U62" s="649"/>
      <c r="V62" s="650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0" t="s">
        <v>154</v>
      </c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1">
        <v>4680115881440</v>
      </c>
      <c r="E64" s="661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3"/>
      <c r="R64" s="663"/>
      <c r="S64" s="663"/>
      <c r="T64" s="664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1">
        <v>4680115885950</v>
      </c>
      <c r="E65" s="661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3"/>
      <c r="R65" s="663"/>
      <c r="S65" s="663"/>
      <c r="T65" s="664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1">
        <v>4680115887688</v>
      </c>
      <c r="E66" s="661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3"/>
      <c r="R66" s="663"/>
      <c r="S66" s="663"/>
      <c r="T66" s="664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1">
        <v>4680115881433</v>
      </c>
      <c r="E67" s="661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1"/>
      <c r="B68" s="651"/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2"/>
      <c r="P68" s="648" t="s">
        <v>40</v>
      </c>
      <c r="Q68" s="649"/>
      <c r="R68" s="649"/>
      <c r="S68" s="649"/>
      <c r="T68" s="649"/>
      <c r="U68" s="649"/>
      <c r="V68" s="650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1"/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2"/>
      <c r="P69" s="648" t="s">
        <v>40</v>
      </c>
      <c r="Q69" s="649"/>
      <c r="R69" s="649"/>
      <c r="S69" s="649"/>
      <c r="T69" s="649"/>
      <c r="U69" s="649"/>
      <c r="V69" s="650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0" t="s">
        <v>85</v>
      </c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1">
        <v>4680115884311</v>
      </c>
      <c r="E71" s="661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1">
        <v>4680115884403</v>
      </c>
      <c r="E72" s="661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3"/>
      <c r="R72" s="663"/>
      <c r="S72" s="663"/>
      <c r="T72" s="664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1">
        <v>4680115884403</v>
      </c>
      <c r="E73" s="661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3"/>
      <c r="R73" s="663"/>
      <c r="S73" s="663"/>
      <c r="T73" s="664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0" t="s">
        <v>172</v>
      </c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1">
        <v>4680115881532</v>
      </c>
      <c r="E77" s="661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3"/>
      <c r="R77" s="663"/>
      <c r="S77" s="663"/>
      <c r="T77" s="664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1">
        <v>4680115881532</v>
      </c>
      <c r="E78" s="66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3"/>
      <c r="R78" s="663"/>
      <c r="S78" s="663"/>
      <c r="T78" s="664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1">
        <v>4680115881464</v>
      </c>
      <c r="E79" s="66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3"/>
      <c r="R79" s="663"/>
      <c r="S79" s="663"/>
      <c r="T79" s="664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1">
        <v>4680115881464</v>
      </c>
      <c r="E80" s="6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2"/>
      <c r="P82" s="648" t="s">
        <v>40</v>
      </c>
      <c r="Q82" s="649"/>
      <c r="R82" s="649"/>
      <c r="S82" s="649"/>
      <c r="T82" s="649"/>
      <c r="U82" s="649"/>
      <c r="V82" s="650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7" t="s">
        <v>181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2"/>
      <c r="AB83" s="62"/>
      <c r="AC83" s="62"/>
    </row>
    <row r="84" spans="1:68" ht="14.25" hidden="1" customHeight="1" x14ac:dyDescent="0.25">
      <c r="A84" s="660" t="s">
        <v>121</v>
      </c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1">
        <v>4680115881327</v>
      </c>
      <c r="E85" s="6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3"/>
      <c r="R85" s="663"/>
      <c r="S85" s="663"/>
      <c r="T85" s="664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1">
        <v>4680115887732</v>
      </c>
      <c r="E86" s="6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3"/>
      <c r="R86" s="663"/>
      <c r="S86" s="663"/>
      <c r="T86" s="664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1">
        <v>4680115887732</v>
      </c>
      <c r="E87" s="661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6" t="s">
        <v>189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1">
        <v>4680115881518</v>
      </c>
      <c r="E88" s="66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1">
        <v>4680115881303</v>
      </c>
      <c r="E89" s="66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1"/>
      <c r="B90" s="651"/>
      <c r="C90" s="651"/>
      <c r="D90" s="651"/>
      <c r="E90" s="651"/>
      <c r="F90" s="651"/>
      <c r="G90" s="651"/>
      <c r="H90" s="651"/>
      <c r="I90" s="651"/>
      <c r="J90" s="651"/>
      <c r="K90" s="651"/>
      <c r="L90" s="651"/>
      <c r="M90" s="651"/>
      <c r="N90" s="651"/>
      <c r="O90" s="652"/>
      <c r="P90" s="648" t="s">
        <v>40</v>
      </c>
      <c r="Q90" s="649"/>
      <c r="R90" s="649"/>
      <c r="S90" s="649"/>
      <c r="T90" s="649"/>
      <c r="U90" s="649"/>
      <c r="V90" s="650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1"/>
      <c r="B91" s="651"/>
      <c r="C91" s="651"/>
      <c r="D91" s="651"/>
      <c r="E91" s="651"/>
      <c r="F91" s="651"/>
      <c r="G91" s="651"/>
      <c r="H91" s="651"/>
      <c r="I91" s="651"/>
      <c r="J91" s="651"/>
      <c r="K91" s="651"/>
      <c r="L91" s="651"/>
      <c r="M91" s="651"/>
      <c r="N91" s="651"/>
      <c r="O91" s="652"/>
      <c r="P91" s="648" t="s">
        <v>40</v>
      </c>
      <c r="Q91" s="649"/>
      <c r="R91" s="649"/>
      <c r="S91" s="649"/>
      <c r="T91" s="649"/>
      <c r="U91" s="649"/>
      <c r="V91" s="650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0" t="s">
        <v>85</v>
      </c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1">
        <v>4607091386967</v>
      </c>
      <c r="E93" s="66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3"/>
      <c r="R93" s="663"/>
      <c r="S93" s="663"/>
      <c r="T93" s="664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1">
        <v>4607091386967</v>
      </c>
      <c r="E94" s="661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7" t="s">
        <v>198</v>
      </c>
      <c r="Q94" s="663"/>
      <c r="R94" s="663"/>
      <c r="S94" s="663"/>
      <c r="T94" s="664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1">
        <v>4680115884953</v>
      </c>
      <c r="E95" s="661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1">
        <v>4607091385731</v>
      </c>
      <c r="E96" s="661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0" t="s">
        <v>204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121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1">
        <v>4680115887718</v>
      </c>
      <c r="E104" s="661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1">
        <v>4680115887718</v>
      </c>
      <c r="E105" s="661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1">
        <v>4680115887718</v>
      </c>
      <c r="E106" s="661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1">
        <v>4680115880429</v>
      </c>
      <c r="E109" s="661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2" t="s">
        <v>222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1"/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2"/>
      <c r="P111" s="648" t="s">
        <v>40</v>
      </c>
      <c r="Q111" s="649"/>
      <c r="R111" s="649"/>
      <c r="S111" s="649"/>
      <c r="T111" s="649"/>
      <c r="U111" s="649"/>
      <c r="V111" s="650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60" t="s">
        <v>154</v>
      </c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1">
        <v>4680115881488</v>
      </c>
      <c r="E114" s="661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3"/>
      <c r="R114" s="663"/>
      <c r="S114" s="663"/>
      <c r="T114" s="664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1">
        <v>4680115887664</v>
      </c>
      <c r="E115" s="661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1">
        <v>4680115887664</v>
      </c>
      <c r="E116" s="661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1">
        <v>4680115882775</v>
      </c>
      <c r="E117" s="661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1">
        <v>4680115880658</v>
      </c>
      <c r="E118" s="661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8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3"/>
      <c r="R118" s="663"/>
      <c r="S118" s="663"/>
      <c r="T118" s="664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52"/>
      <c r="P120" s="648" t="s">
        <v>40</v>
      </c>
      <c r="Q120" s="649"/>
      <c r="R120" s="649"/>
      <c r="S120" s="649"/>
      <c r="T120" s="649"/>
      <c r="U120" s="649"/>
      <c r="V120" s="650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0" t="s">
        <v>85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1">
        <v>4607091385168</v>
      </c>
      <c r="E122" s="661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1">
        <v>4607091385168</v>
      </c>
      <c r="E123" s="661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6" t="s">
        <v>242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1">
        <v>4607091383256</v>
      </c>
      <c r="E124" s="661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1">
        <v>4607091385748</v>
      </c>
      <c r="E125" s="66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3"/>
      <c r="R125" s="663"/>
      <c r="S125" s="663"/>
      <c r="T125" s="664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1">
        <v>4607091385748</v>
      </c>
      <c r="E126" s="661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89" t="s">
        <v>248</v>
      </c>
      <c r="Q126" s="663"/>
      <c r="R126" s="663"/>
      <c r="S126" s="663"/>
      <c r="T126" s="664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1">
        <v>4680115884533</v>
      </c>
      <c r="E127" s="661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3"/>
      <c r="R127" s="663"/>
      <c r="S127" s="663"/>
      <c r="T127" s="664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1">
        <v>4680115884533</v>
      </c>
      <c r="E128" s="661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1" t="s">
        <v>253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60" t="s">
        <v>172</v>
      </c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1">
        <v>4680115880238</v>
      </c>
      <c r="E132" s="66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3"/>
      <c r="R132" s="663"/>
      <c r="S132" s="663"/>
      <c r="T132" s="664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1">
        <v>4680115880238</v>
      </c>
      <c r="E133" s="661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2" t="s">
        <v>258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1"/>
      <c r="B134" s="651"/>
      <c r="C134" s="651"/>
      <c r="D134" s="651"/>
      <c r="E134" s="651"/>
      <c r="F134" s="651"/>
      <c r="G134" s="651"/>
      <c r="H134" s="651"/>
      <c r="I134" s="651"/>
      <c r="J134" s="651"/>
      <c r="K134" s="651"/>
      <c r="L134" s="651"/>
      <c r="M134" s="651"/>
      <c r="N134" s="651"/>
      <c r="O134" s="652"/>
      <c r="P134" s="648" t="s">
        <v>40</v>
      </c>
      <c r="Q134" s="649"/>
      <c r="R134" s="649"/>
      <c r="S134" s="649"/>
      <c r="T134" s="649"/>
      <c r="U134" s="649"/>
      <c r="V134" s="650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67" t="s">
        <v>259</v>
      </c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2"/>
      <c r="AB136" s="62"/>
      <c r="AC136" s="62"/>
    </row>
    <row r="137" spans="1:68" ht="14.25" hidden="1" customHeight="1" x14ac:dyDescent="0.25">
      <c r="A137" s="660" t="s">
        <v>121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1">
        <v>4680115882577</v>
      </c>
      <c r="E138" s="66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1">
        <v>4680115882577</v>
      </c>
      <c r="E139" s="661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76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1">
        <v>4680115883444</v>
      </c>
      <c r="E143" s="66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1">
        <v>4680115883444</v>
      </c>
      <c r="E144" s="661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60" t="s">
        <v>85</v>
      </c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1">
        <v>4680115882584</v>
      </c>
      <c r="E148" s="66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3"/>
      <c r="R148" s="663"/>
      <c r="S148" s="663"/>
      <c r="T148" s="664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1">
        <v>4680115882584</v>
      </c>
      <c r="E149" s="661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1"/>
      <c r="B150" s="651"/>
      <c r="C150" s="651"/>
      <c r="D150" s="651"/>
      <c r="E150" s="651"/>
      <c r="F150" s="651"/>
      <c r="G150" s="651"/>
      <c r="H150" s="651"/>
      <c r="I150" s="651"/>
      <c r="J150" s="651"/>
      <c r="K150" s="651"/>
      <c r="L150" s="651"/>
      <c r="M150" s="651"/>
      <c r="N150" s="651"/>
      <c r="O150" s="652"/>
      <c r="P150" s="648" t="s">
        <v>40</v>
      </c>
      <c r="Q150" s="649"/>
      <c r="R150" s="649"/>
      <c r="S150" s="649"/>
      <c r="T150" s="649"/>
      <c r="U150" s="649"/>
      <c r="V150" s="650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1"/>
      <c r="B151" s="651"/>
      <c r="C151" s="651"/>
      <c r="D151" s="651"/>
      <c r="E151" s="651"/>
      <c r="F151" s="651"/>
      <c r="G151" s="651"/>
      <c r="H151" s="651"/>
      <c r="I151" s="651"/>
      <c r="J151" s="651"/>
      <c r="K151" s="651"/>
      <c r="L151" s="651"/>
      <c r="M151" s="651"/>
      <c r="N151" s="651"/>
      <c r="O151" s="652"/>
      <c r="P151" s="648" t="s">
        <v>40</v>
      </c>
      <c r="Q151" s="649"/>
      <c r="R151" s="649"/>
      <c r="S151" s="649"/>
      <c r="T151" s="649"/>
      <c r="U151" s="649"/>
      <c r="V151" s="650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67" t="s">
        <v>272</v>
      </c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2"/>
      <c r="AB152" s="62"/>
      <c r="AC152" s="62"/>
    </row>
    <row r="153" spans="1:68" ht="14.25" hidden="1" customHeight="1" x14ac:dyDescent="0.25">
      <c r="A153" s="660" t="s">
        <v>85</v>
      </c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1">
        <v>4680115888203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1">
        <v>4680115888180</v>
      </c>
      <c r="E155" s="661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3"/>
      <c r="R155" s="663"/>
      <c r="S155" s="663"/>
      <c r="T155" s="664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1">
        <v>4680115888180</v>
      </c>
      <c r="E156" s="661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3"/>
      <c r="R156" s="663"/>
      <c r="S156" s="663"/>
      <c r="T156" s="664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1">
        <v>4680115888197</v>
      </c>
      <c r="E157" s="661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3"/>
      <c r="R157" s="663"/>
      <c r="S157" s="663"/>
      <c r="T157" s="664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1">
        <v>4680115888197</v>
      </c>
      <c r="E158" s="661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1">
        <v>4680115888210</v>
      </c>
      <c r="E159" s="661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3"/>
      <c r="R159" s="663"/>
      <c r="S159" s="663"/>
      <c r="T159" s="664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1">
        <v>4680115888210</v>
      </c>
      <c r="E160" s="661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3"/>
      <c r="R160" s="663"/>
      <c r="S160" s="663"/>
      <c r="T160" s="664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1"/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2"/>
      <c r="P162" s="648" t="s">
        <v>40</v>
      </c>
      <c r="Q162" s="649"/>
      <c r="R162" s="649"/>
      <c r="S162" s="649"/>
      <c r="T162" s="649"/>
      <c r="U162" s="649"/>
      <c r="V162" s="650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60" t="s">
        <v>288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1">
        <v>4680115889132</v>
      </c>
      <c r="E164" s="661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67" t="s">
        <v>119</v>
      </c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2"/>
      <c r="AB167" s="62"/>
      <c r="AC167" s="62"/>
    </row>
    <row r="168" spans="1:68" ht="14.25" hidden="1" customHeight="1" x14ac:dyDescent="0.25">
      <c r="A168" s="660" t="s">
        <v>121</v>
      </c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1">
        <v>4680115887374</v>
      </c>
      <c r="E169" s="661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3"/>
      <c r="R169" s="663"/>
      <c r="S169" s="663"/>
      <c r="T169" s="664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1">
        <v>4607091384604</v>
      </c>
      <c r="E170" s="661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1">
        <v>4680115888876</v>
      </c>
      <c r="E171" s="661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154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1">
        <v>4680115887695</v>
      </c>
      <c r="E175" s="661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1">
        <v>4680115889491</v>
      </c>
      <c r="E176" s="661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1"/>
      <c r="B177" s="651"/>
      <c r="C177" s="651"/>
      <c r="D177" s="651"/>
      <c r="E177" s="651"/>
      <c r="F177" s="651"/>
      <c r="G177" s="651"/>
      <c r="H177" s="651"/>
      <c r="I177" s="651"/>
      <c r="J177" s="651"/>
      <c r="K177" s="651"/>
      <c r="L177" s="651"/>
      <c r="M177" s="651"/>
      <c r="N177" s="651"/>
      <c r="O177" s="652"/>
      <c r="P177" s="648" t="s">
        <v>40</v>
      </c>
      <c r="Q177" s="649"/>
      <c r="R177" s="649"/>
      <c r="S177" s="649"/>
      <c r="T177" s="649"/>
      <c r="U177" s="649"/>
      <c r="V177" s="650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1"/>
      <c r="B178" s="651"/>
      <c r="C178" s="651"/>
      <c r="D178" s="651"/>
      <c r="E178" s="651"/>
      <c r="F178" s="651"/>
      <c r="G178" s="651"/>
      <c r="H178" s="651"/>
      <c r="I178" s="651"/>
      <c r="J178" s="651"/>
      <c r="K178" s="651"/>
      <c r="L178" s="651"/>
      <c r="M178" s="651"/>
      <c r="N178" s="651"/>
      <c r="O178" s="652"/>
      <c r="P178" s="648" t="s">
        <v>40</v>
      </c>
      <c r="Q178" s="649"/>
      <c r="R178" s="649"/>
      <c r="S178" s="649"/>
      <c r="T178" s="649"/>
      <c r="U178" s="649"/>
      <c r="V178" s="650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60" t="s">
        <v>76</v>
      </c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660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1">
        <v>4680115887428</v>
      </c>
      <c r="E180" s="661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1">
        <v>4680115889170</v>
      </c>
      <c r="E181" s="661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1">
        <v>4680115887398</v>
      </c>
      <c r="E182" s="661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1">
        <v>4680115887336</v>
      </c>
      <c r="E183" s="661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1">
        <v>4680115887336</v>
      </c>
      <c r="E184" s="661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2" t="s">
        <v>323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1">
        <v>4680115887787</v>
      </c>
      <c r="E185" s="661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1">
        <v>4680115887787</v>
      </c>
      <c r="E186" s="661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4" t="s">
        <v>329</v>
      </c>
      <c r="Q186" s="663"/>
      <c r="R186" s="663"/>
      <c r="S186" s="663"/>
      <c r="T186" s="664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1">
        <v>4680115887503</v>
      </c>
      <c r="E187" s="661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3"/>
      <c r="R187" s="663"/>
      <c r="S187" s="663"/>
      <c r="T187" s="664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1">
        <v>4680115887763</v>
      </c>
      <c r="E188" s="661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3"/>
      <c r="R188" s="663"/>
      <c r="S188" s="663"/>
      <c r="T188" s="664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1">
        <v>4680115887480</v>
      </c>
      <c r="E189" s="661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1">
        <v>4680115888067</v>
      </c>
      <c r="E190" s="661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1">
        <v>4680115887435</v>
      </c>
      <c r="E191" s="661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85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1">
        <v>4680115888395</v>
      </c>
      <c r="E195" s="661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1">
        <v>4680115888371</v>
      </c>
      <c r="E196" s="661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3"/>
      <c r="R196" s="663"/>
      <c r="S196" s="663"/>
      <c r="T196" s="664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1">
        <v>4680115887459</v>
      </c>
      <c r="E197" s="661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3"/>
      <c r="R197" s="663"/>
      <c r="S197" s="663"/>
      <c r="T197" s="664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60" t="s">
        <v>288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1">
        <v>4680115889026</v>
      </c>
      <c r="E201" s="661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3"/>
      <c r="R201" s="663"/>
      <c r="S201" s="663"/>
      <c r="T201" s="664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0" t="s">
        <v>355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1">
        <v>4680115889033</v>
      </c>
      <c r="E205" s="661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1"/>
      <c r="B206" s="651"/>
      <c r="C206" s="651"/>
      <c r="D206" s="651"/>
      <c r="E206" s="651"/>
      <c r="F206" s="651"/>
      <c r="G206" s="651"/>
      <c r="H206" s="651"/>
      <c r="I206" s="651"/>
      <c r="J206" s="651"/>
      <c r="K206" s="651"/>
      <c r="L206" s="651"/>
      <c r="M206" s="651"/>
      <c r="N206" s="651"/>
      <c r="O206" s="652"/>
      <c r="P206" s="648" t="s">
        <v>40</v>
      </c>
      <c r="Q206" s="649"/>
      <c r="R206" s="649"/>
      <c r="S206" s="649"/>
      <c r="T206" s="649"/>
      <c r="U206" s="649"/>
      <c r="V206" s="650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1"/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2"/>
      <c r="P207" s="648" t="s">
        <v>40</v>
      </c>
      <c r="Q207" s="649"/>
      <c r="R207" s="649"/>
      <c r="S207" s="649"/>
      <c r="T207" s="649"/>
      <c r="U207" s="649"/>
      <c r="V207" s="650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2"/>
      <c r="AB208" s="52"/>
      <c r="AC208" s="52"/>
    </row>
    <row r="209" spans="1:68" ht="16.5" hidden="1" customHeight="1" x14ac:dyDescent="0.25">
      <c r="A209" s="667" t="s">
        <v>360</v>
      </c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2"/>
      <c r="AB209" s="62"/>
      <c r="AC209" s="62"/>
    </row>
    <row r="210" spans="1:68" ht="14.25" hidden="1" customHeight="1" x14ac:dyDescent="0.25">
      <c r="A210" s="660" t="s">
        <v>121</v>
      </c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1">
        <v>4607091383423</v>
      </c>
      <c r="E211" s="661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1">
        <v>4680115888760</v>
      </c>
      <c r="E212" s="661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3"/>
      <c r="R212" s="663"/>
      <c r="S212" s="663"/>
      <c r="T212" s="664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1">
        <v>4680115888807</v>
      </c>
      <c r="E213" s="661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3"/>
      <c r="R213" s="663"/>
      <c r="S213" s="663"/>
      <c r="T213" s="664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1">
        <v>4680115888852</v>
      </c>
      <c r="E214" s="661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3"/>
      <c r="R214" s="663"/>
      <c r="S214" s="663"/>
      <c r="T214" s="664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1">
        <v>4680115886957</v>
      </c>
      <c r="E215" s="661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3"/>
      <c r="R215" s="663"/>
      <c r="S215" s="663"/>
      <c r="T215" s="664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1">
        <v>4680115885660</v>
      </c>
      <c r="E216" s="661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1">
        <v>4680115886773</v>
      </c>
      <c r="E217" s="661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3"/>
      <c r="R217" s="663"/>
      <c r="S217" s="663"/>
      <c r="T217" s="664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67" t="s">
        <v>381</v>
      </c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2"/>
      <c r="AB220" s="62"/>
      <c r="AC220" s="62"/>
    </row>
    <row r="221" spans="1:68" ht="14.25" hidden="1" customHeight="1" x14ac:dyDescent="0.25">
      <c r="A221" s="660" t="s">
        <v>154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1">
        <v>4680115886223</v>
      </c>
      <c r="E222" s="661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1"/>
      <c r="B223" s="651"/>
      <c r="C223" s="651"/>
      <c r="D223" s="651"/>
      <c r="E223" s="651"/>
      <c r="F223" s="651"/>
      <c r="G223" s="651"/>
      <c r="H223" s="651"/>
      <c r="I223" s="651"/>
      <c r="J223" s="651"/>
      <c r="K223" s="651"/>
      <c r="L223" s="651"/>
      <c r="M223" s="651"/>
      <c r="N223" s="651"/>
      <c r="O223" s="652"/>
      <c r="P223" s="648" t="s">
        <v>40</v>
      </c>
      <c r="Q223" s="649"/>
      <c r="R223" s="649"/>
      <c r="S223" s="649"/>
      <c r="T223" s="649"/>
      <c r="U223" s="649"/>
      <c r="V223" s="650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0" t="s">
        <v>76</v>
      </c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60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1">
        <v>4680115880993</v>
      </c>
      <c r="E226" s="661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1">
        <v>4680115881761</v>
      </c>
      <c r="E227" s="661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1">
        <v>4680115881563</v>
      </c>
      <c r="E228" s="661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1">
        <v>4680115887565</v>
      </c>
      <c r="E229" s="661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1">
        <v>4680115880986</v>
      </c>
      <c r="E230" s="661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1">
        <v>4680115887213</v>
      </c>
      <c r="E231" s="661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1">
        <v>4680115881785</v>
      </c>
      <c r="E232" s="661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1">
        <v>4680115888432</v>
      </c>
      <c r="E233" s="661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1">
        <v>4680115888104</v>
      </c>
      <c r="E234" s="661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1">
        <v>4680115886537</v>
      </c>
      <c r="E235" s="661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3"/>
      <c r="R235" s="663"/>
      <c r="S235" s="663"/>
      <c r="T235" s="664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1">
        <v>4680115887596</v>
      </c>
      <c r="E236" s="661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3"/>
      <c r="R236" s="663"/>
      <c r="S236" s="663"/>
      <c r="T236" s="664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1">
        <v>4680115881679</v>
      </c>
      <c r="E237" s="661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3"/>
      <c r="R237" s="663"/>
      <c r="S237" s="663"/>
      <c r="T237" s="664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1">
        <v>4680115880191</v>
      </c>
      <c r="E238" s="6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1">
        <v>4680115883963</v>
      </c>
      <c r="E239" s="661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1"/>
      <c r="B240" s="651"/>
      <c r="C240" s="651"/>
      <c r="D240" s="651"/>
      <c r="E240" s="651"/>
      <c r="F240" s="651"/>
      <c r="G240" s="651"/>
      <c r="H240" s="651"/>
      <c r="I240" s="651"/>
      <c r="J240" s="651"/>
      <c r="K240" s="651"/>
      <c r="L240" s="651"/>
      <c r="M240" s="651"/>
      <c r="N240" s="651"/>
      <c r="O240" s="652"/>
      <c r="P240" s="648" t="s">
        <v>40</v>
      </c>
      <c r="Q240" s="649"/>
      <c r="R240" s="649"/>
      <c r="S240" s="649"/>
      <c r="T240" s="649"/>
      <c r="U240" s="649"/>
      <c r="V240" s="650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1"/>
      <c r="B241" s="651"/>
      <c r="C241" s="651"/>
      <c r="D241" s="651"/>
      <c r="E241" s="651"/>
      <c r="F241" s="651"/>
      <c r="G241" s="651"/>
      <c r="H241" s="651"/>
      <c r="I241" s="651"/>
      <c r="J241" s="651"/>
      <c r="K241" s="651"/>
      <c r="L241" s="651"/>
      <c r="M241" s="651"/>
      <c r="N241" s="651"/>
      <c r="O241" s="652"/>
      <c r="P241" s="648" t="s">
        <v>40</v>
      </c>
      <c r="Q241" s="649"/>
      <c r="R241" s="649"/>
      <c r="S241" s="649"/>
      <c r="T241" s="649"/>
      <c r="U241" s="649"/>
      <c r="V241" s="650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0" t="s">
        <v>85</v>
      </c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60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1">
        <v>4680115888692</v>
      </c>
      <c r="E243" s="661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1">
        <v>4680115888722</v>
      </c>
      <c r="E244" s="661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1">
        <v>4680115888951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1">
        <v>4680115888975</v>
      </c>
      <c r="E246" s="661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1">
        <v>4680115888982</v>
      </c>
      <c r="E247" s="661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0" t="s">
        <v>288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1">
        <v>4680115886780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1">
        <v>4680115886742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1">
        <v>4680115886766</v>
      </c>
      <c r="E253" s="661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3"/>
      <c r="R253" s="663"/>
      <c r="S253" s="663"/>
      <c r="T253" s="664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1"/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2"/>
      <c r="P255" s="648" t="s">
        <v>40</v>
      </c>
      <c r="Q255" s="649"/>
      <c r="R255" s="649"/>
      <c r="S255" s="649"/>
      <c r="T255" s="649"/>
      <c r="U255" s="649"/>
      <c r="V255" s="650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0" t="s">
        <v>445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1">
        <v>4680115886797</v>
      </c>
      <c r="E257" s="661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3"/>
      <c r="R257" s="663"/>
      <c r="S257" s="663"/>
      <c r="T257" s="664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7" t="s">
        <v>448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2"/>
      <c r="AB260" s="62"/>
      <c r="AC260" s="62"/>
    </row>
    <row r="261" spans="1:68" ht="14.25" hidden="1" customHeight="1" x14ac:dyDescent="0.25">
      <c r="A261" s="660" t="s">
        <v>121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1">
        <v>4680115881402</v>
      </c>
      <c r="E262" s="6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1">
        <v>4680115881396</v>
      </c>
      <c r="E263" s="661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3"/>
      <c r="R263" s="663"/>
      <c r="S263" s="663"/>
      <c r="T263" s="664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0" t="s">
        <v>154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1">
        <v>4680115882935</v>
      </c>
      <c r="E267" s="661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1">
        <v>4680115880764</v>
      </c>
      <c r="E268" s="661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3"/>
      <c r="R268" s="663"/>
      <c r="S268" s="663"/>
      <c r="T268" s="664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0" t="s">
        <v>76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1">
        <v>4680115882683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1">
        <v>4680115882690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1">
        <v>4680115882669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1">
        <v>4680115882676</v>
      </c>
      <c r="E275" s="661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1">
        <v>4680115884014</v>
      </c>
      <c r="E276" s="661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1">
        <v>4680115884007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1">
        <v>4680115884038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1">
        <v>4680115884021</v>
      </c>
      <c r="E279" s="661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3"/>
      <c r="R279" s="663"/>
      <c r="S279" s="663"/>
      <c r="T279" s="664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1"/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2"/>
      <c r="P281" s="648" t="s">
        <v>40</v>
      </c>
      <c r="Q281" s="649"/>
      <c r="R281" s="649"/>
      <c r="S281" s="649"/>
      <c r="T281" s="649"/>
      <c r="U281" s="649"/>
      <c r="V281" s="650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60" t="s">
        <v>85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1">
        <v>4680115881594</v>
      </c>
      <c r="E283" s="661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1">
        <v>4680115881617</v>
      </c>
      <c r="E284" s="661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1">
        <v>4680115880573</v>
      </c>
      <c r="E285" s="661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1">
        <v>4680115882195</v>
      </c>
      <c r="E286" s="661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1">
        <v>4680115882607</v>
      </c>
      <c r="E288" s="661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1">
        <v>4680115880092</v>
      </c>
      <c r="E289" s="66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1">
        <v>4680115889064</v>
      </c>
      <c r="E290" s="661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1">
        <v>4680115880221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1">
        <v>4680115880504</v>
      </c>
      <c r="E292" s="661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1">
        <v>4680115882164</v>
      </c>
      <c r="E293" s="661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1">
        <v>4680115888340</v>
      </c>
      <c r="E294" s="66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7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3"/>
      <c r="R294" s="663"/>
      <c r="S294" s="663"/>
      <c r="T294" s="664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60" t="s">
        <v>172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1">
        <v>4680115880818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1">
        <v>4680115880801</v>
      </c>
      <c r="E299" s="661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3"/>
      <c r="R299" s="663"/>
      <c r="S299" s="663"/>
      <c r="T299" s="664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7" t="s">
        <v>516</v>
      </c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2"/>
      <c r="AB302" s="62"/>
      <c r="AC302" s="62"/>
    </row>
    <row r="303" spans="1:68" ht="14.25" hidden="1" customHeight="1" x14ac:dyDescent="0.25">
      <c r="A303" s="660" t="s">
        <v>121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1">
        <v>4680115884137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1">
        <v>4680115884236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1">
        <v>4680115884175</v>
      </c>
      <c r="E306" s="661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1">
        <v>4680115884144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1">
        <v>4680115886551</v>
      </c>
      <c r="E308" s="661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1">
        <v>4680115887282</v>
      </c>
      <c r="E309" s="661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1">
        <v>4680115884205</v>
      </c>
      <c r="E310" s="661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3"/>
      <c r="R310" s="663"/>
      <c r="S310" s="663"/>
      <c r="T310" s="664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1"/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2"/>
      <c r="P312" s="648" t="s">
        <v>40</v>
      </c>
      <c r="Q312" s="649"/>
      <c r="R312" s="649"/>
      <c r="S312" s="649"/>
      <c r="T312" s="649"/>
      <c r="U312" s="649"/>
      <c r="V312" s="650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0" t="s">
        <v>154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1">
        <v>4680115885981</v>
      </c>
      <c r="E314" s="661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3"/>
      <c r="R314" s="663"/>
      <c r="S314" s="663"/>
      <c r="T314" s="664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1"/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2"/>
      <c r="P316" s="648" t="s">
        <v>40</v>
      </c>
      <c r="Q316" s="649"/>
      <c r="R316" s="649"/>
      <c r="S316" s="649"/>
      <c r="T316" s="649"/>
      <c r="U316" s="649"/>
      <c r="V316" s="650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0" t="s">
        <v>538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1">
        <v>4680115886803</v>
      </c>
      <c r="E318" s="66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3"/>
      <c r="R318" s="663"/>
      <c r="S318" s="663"/>
      <c r="T318" s="664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0" t="s">
        <v>355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1">
        <v>4680115886704</v>
      </c>
      <c r="E322" s="661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3"/>
      <c r="R322" s="663"/>
      <c r="S322" s="663"/>
      <c r="T322" s="664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1">
        <v>4680115886681</v>
      </c>
      <c r="E323" s="661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1">
        <v>4680115886735</v>
      </c>
      <c r="E324" s="661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3"/>
      <c r="R324" s="663"/>
      <c r="S324" s="663"/>
      <c r="T324" s="664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1"/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2"/>
      <c r="P325" s="648" t="s">
        <v>40</v>
      </c>
      <c r="Q325" s="649"/>
      <c r="R325" s="649"/>
      <c r="S325" s="649"/>
      <c r="T325" s="649"/>
      <c r="U325" s="649"/>
      <c r="V325" s="650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1"/>
      <c r="B326" s="651"/>
      <c r="C326" s="651"/>
      <c r="D326" s="651"/>
      <c r="E326" s="651"/>
      <c r="F326" s="651"/>
      <c r="G326" s="651"/>
      <c r="H326" s="651"/>
      <c r="I326" s="651"/>
      <c r="J326" s="651"/>
      <c r="K326" s="651"/>
      <c r="L326" s="651"/>
      <c r="M326" s="651"/>
      <c r="N326" s="651"/>
      <c r="O326" s="652"/>
      <c r="P326" s="648" t="s">
        <v>40</v>
      </c>
      <c r="Q326" s="649"/>
      <c r="R326" s="649"/>
      <c r="S326" s="649"/>
      <c r="T326" s="649"/>
      <c r="U326" s="649"/>
      <c r="V326" s="650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67" t="s">
        <v>549</v>
      </c>
      <c r="B327" s="667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2"/>
      <c r="AB327" s="62"/>
      <c r="AC327" s="62"/>
    </row>
    <row r="328" spans="1:68" ht="14.25" hidden="1" customHeight="1" x14ac:dyDescent="0.25">
      <c r="A328" s="660" t="s">
        <v>121</v>
      </c>
      <c r="B328" s="660"/>
      <c r="C328" s="660"/>
      <c r="D328" s="660"/>
      <c r="E328" s="660"/>
      <c r="F328" s="660"/>
      <c r="G328" s="660"/>
      <c r="H328" s="660"/>
      <c r="I328" s="660"/>
      <c r="J328" s="660"/>
      <c r="K328" s="660"/>
      <c r="L328" s="660"/>
      <c r="M328" s="660"/>
      <c r="N328" s="660"/>
      <c r="O328" s="660"/>
      <c r="P328" s="660"/>
      <c r="Q328" s="660"/>
      <c r="R328" s="660"/>
      <c r="S328" s="660"/>
      <c r="T328" s="660"/>
      <c r="U328" s="660"/>
      <c r="V328" s="660"/>
      <c r="W328" s="660"/>
      <c r="X328" s="660"/>
      <c r="Y328" s="660"/>
      <c r="Z328" s="660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1">
        <v>4680115885837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1">
        <v>4680115887237</v>
      </c>
      <c r="E330" s="661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1">
        <v>4680115885806</v>
      </c>
      <c r="E331" s="661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1">
        <v>4680115885844</v>
      </c>
      <c r="E332" s="661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1">
        <v>4680115885820</v>
      </c>
      <c r="E333" s="661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1"/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2"/>
      <c r="P334" s="648" t="s">
        <v>40</v>
      </c>
      <c r="Q334" s="649"/>
      <c r="R334" s="649"/>
      <c r="S334" s="649"/>
      <c r="T334" s="649"/>
      <c r="U334" s="649"/>
      <c r="V334" s="650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7" t="s">
        <v>565</v>
      </c>
      <c r="B336" s="667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2"/>
      <c r="AB336" s="62"/>
      <c r="AC336" s="62"/>
    </row>
    <row r="337" spans="1:68" ht="14.25" hidden="1" customHeight="1" x14ac:dyDescent="0.25">
      <c r="A337" s="660" t="s">
        <v>85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1">
        <v>4680115886186</v>
      </c>
      <c r="E338" s="661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1">
        <v>4680115881228</v>
      </c>
      <c r="E339" s="661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1">
        <v>4680115881211</v>
      </c>
      <c r="E340" s="661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7" t="s">
        <v>574</v>
      </c>
      <c r="B343" s="667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2"/>
      <c r="AB343" s="62"/>
      <c r="AC343" s="62"/>
    </row>
    <row r="344" spans="1:68" ht="14.25" hidden="1" customHeight="1" x14ac:dyDescent="0.25">
      <c r="A344" s="660" t="s">
        <v>76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1">
        <v>4680115888319</v>
      </c>
      <c r="E345" s="661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1">
        <v>4680115884700</v>
      </c>
      <c r="E346" s="661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1">
        <v>4680115880344</v>
      </c>
      <c r="E347" s="661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1">
        <v>4680115886919</v>
      </c>
      <c r="E348" s="661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1">
        <v>4680115883970</v>
      </c>
      <c r="E349" s="661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60" t="s">
        <v>85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1">
        <v>4680115884618</v>
      </c>
      <c r="E353" s="661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1">
        <v>4680115887114</v>
      </c>
      <c r="E354" s="661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1"/>
      <c r="B356" s="651"/>
      <c r="C356" s="651"/>
      <c r="D356" s="651"/>
      <c r="E356" s="651"/>
      <c r="F356" s="651"/>
      <c r="G356" s="651"/>
      <c r="H356" s="651"/>
      <c r="I356" s="651"/>
      <c r="J356" s="651"/>
      <c r="K356" s="651"/>
      <c r="L356" s="651"/>
      <c r="M356" s="651"/>
      <c r="N356" s="651"/>
      <c r="O356" s="652"/>
      <c r="P356" s="648" t="s">
        <v>40</v>
      </c>
      <c r="Q356" s="649"/>
      <c r="R356" s="649"/>
      <c r="S356" s="649"/>
      <c r="T356" s="649"/>
      <c r="U356" s="649"/>
      <c r="V356" s="650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67" t="s">
        <v>595</v>
      </c>
      <c r="B357" s="667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2"/>
      <c r="AB357" s="62"/>
      <c r="AC357" s="62"/>
    </row>
    <row r="358" spans="1:68" ht="14.25" hidden="1" customHeight="1" x14ac:dyDescent="0.25">
      <c r="A358" s="660" t="s">
        <v>121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1">
        <v>4680115887947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1">
        <v>4680115887978</v>
      </c>
      <c r="E360" s="661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1">
        <v>4680115887992</v>
      </c>
      <c r="E361" s="661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1"/>
      <c r="B363" s="651"/>
      <c r="C363" s="651"/>
      <c r="D363" s="651"/>
      <c r="E363" s="651"/>
      <c r="F363" s="651"/>
      <c r="G363" s="651"/>
      <c r="H363" s="651"/>
      <c r="I363" s="651"/>
      <c r="J363" s="651"/>
      <c r="K363" s="651"/>
      <c r="L363" s="651"/>
      <c r="M363" s="651"/>
      <c r="N363" s="651"/>
      <c r="O363" s="652"/>
      <c r="P363" s="648" t="s">
        <v>40</v>
      </c>
      <c r="Q363" s="649"/>
      <c r="R363" s="649"/>
      <c r="S363" s="649"/>
      <c r="T363" s="649"/>
      <c r="U363" s="649"/>
      <c r="V363" s="650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67" t="s">
        <v>604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2"/>
      <c r="AB364" s="62"/>
      <c r="AC364" s="62"/>
    </row>
    <row r="365" spans="1:68" ht="14.25" hidden="1" customHeight="1" x14ac:dyDescent="0.25">
      <c r="A365" s="660" t="s">
        <v>121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607</v>
      </c>
      <c r="AG369" s="75"/>
      <c r="AJ369" s="79" t="s">
        <v>46</v>
      </c>
      <c r="AK369" s="79">
        <v>0</v>
      </c>
      <c r="BB369" s="466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616</v>
      </c>
      <c r="B370" s="60" t="s">
        <v>617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76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619</v>
      </c>
      <c r="B374" s="60" t="s">
        <v>620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624</v>
      </c>
      <c r="AG377" s="75"/>
      <c r="AJ377" s="79" t="s">
        <v>46</v>
      </c>
      <c r="AK377" s="79">
        <v>0</v>
      </c>
      <c r="BB377" s="476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627</v>
      </c>
      <c r="AG379" s="75"/>
      <c r="AJ379" s="79" t="s">
        <v>46</v>
      </c>
      <c r="AK379" s="79">
        <v>0</v>
      </c>
      <c r="BB379" s="480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635</v>
      </c>
      <c r="B380" s="60" t="s">
        <v>636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637</v>
      </c>
      <c r="AG380" s="75"/>
      <c r="AJ380" s="79" t="s">
        <v>46</v>
      </c>
      <c r="AK380" s="79">
        <v>0</v>
      </c>
      <c r="BB380" s="482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85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640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172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649</v>
      </c>
      <c r="B391" s="60" t="s">
        <v>650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288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658</v>
      </c>
      <c r="B397" s="60" t="s">
        <v>659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263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660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660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263</v>
      </c>
      <c r="N399" s="36"/>
      <c r="O399" s="35">
        <v>180</v>
      </c>
      <c r="P399" s="7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660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660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667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668</v>
      </c>
      <c r="B404" s="60" t="s">
        <v>669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671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670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671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670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674</v>
      </c>
      <c r="B406" s="60" t="s">
        <v>675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671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676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677</v>
      </c>
      <c r="B410" s="60" t="s">
        <v>678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671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679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671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671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679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685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85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686</v>
      </c>
      <c r="B417" s="60" t="s">
        <v>687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688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689</v>
      </c>
      <c r="B418" s="60" t="s">
        <v>690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692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85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693</v>
      </c>
      <c r="B423" s="60" t="s">
        <v>694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696</v>
      </c>
      <c r="B424" s="60" t="s">
        <v>697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702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703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121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704</v>
      </c>
      <c r="B431" s="60" t="s">
        <v>705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customHeight="1" x14ac:dyDescent="0.25">
      <c r="A432" s="60" t="s">
        <v>707</v>
      </c>
      <c r="B432" s="60" t="s">
        <v>708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350</v>
      </c>
      <c r="Y432" s="53">
        <f t="shared" si="63"/>
        <v>360</v>
      </c>
      <c r="Z432" s="39">
        <f>IFERROR(IF(Y432=0,"",ROUNDUP(Y432/H432,0)*0.02175),"")</f>
        <v>0.52200000000000002</v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4"/>
        <v>360.96666666666664</v>
      </c>
      <c r="BN432" s="75">
        <f t="shared" si="65"/>
        <v>371.28</v>
      </c>
      <c r="BO432" s="75">
        <f t="shared" si="66"/>
        <v>0.48611111111111105</v>
      </c>
      <c r="BP432" s="75">
        <f t="shared" si="67"/>
        <v>0.5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713</v>
      </c>
      <c r="B434" s="60" t="s">
        <v>714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400</v>
      </c>
      <c r="Y434" s="53">
        <f t="shared" si="63"/>
        <v>405</v>
      </c>
      <c r="Z434" s="39">
        <f>IFERROR(IF(Y434=0,"",ROUNDUP(Y434/H434,0)*0.02175),"")</f>
        <v>0.58724999999999994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4"/>
        <v>412.53333333333336</v>
      </c>
      <c r="BN434" s="75">
        <f t="shared" si="65"/>
        <v>417.69</v>
      </c>
      <c r="BO434" s="75">
        <f t="shared" si="66"/>
        <v>0.55555555555555558</v>
      </c>
      <c r="BP434" s="75">
        <f t="shared" si="67"/>
        <v>0.5625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725</v>
      </c>
      <c r="B438" s="60" t="s">
        <v>726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50</v>
      </c>
      <c r="Y439" s="41">
        <f>IFERROR(Y431/H431,"0")+IFERROR(Y432/H432,"0")+IFERROR(Y433/H433,"0")+IFERROR(Y434/H434,"0")+IFERROR(Y435/H435,"0")+IFERROR(Y436/H436,"0")+IFERROR(Y437/H437,"0")+IFERROR(Y438/H438,"0")</f>
        <v>51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1.1092499999999998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750</v>
      </c>
      <c r="Y440" s="41">
        <f>IFERROR(SUM(Y431:Y438),"0")</f>
        <v>765</v>
      </c>
      <c r="Z440" s="40"/>
      <c r="AA440" s="64"/>
      <c r="AB440" s="64"/>
      <c r="AC440" s="64"/>
    </row>
    <row r="441" spans="1:68" ht="14.25" hidden="1" customHeight="1" x14ac:dyDescent="0.25">
      <c r="A441" s="660" t="s">
        <v>154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customHeight="1" x14ac:dyDescent="0.25">
      <c r="A442" s="60" t="s">
        <v>728</v>
      </c>
      <c r="B442" s="60" t="s">
        <v>729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250</v>
      </c>
      <c r="Y442" s="53">
        <f>IFERROR(IF(X442="",0,CEILING((X442/$H442),1)*$H442),"")</f>
        <v>255</v>
      </c>
      <c r="Z442" s="39">
        <f>IFERROR(IF(Y442=0,"",ROUNDUP(Y442/H442,0)*0.02175),"")</f>
        <v>0.36974999999999997</v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257.83333333333331</v>
      </c>
      <c r="BN442" s="75">
        <f>IFERROR(Y442*I442/H442,"0")</f>
        <v>262.99</v>
      </c>
      <c r="BO442" s="75">
        <f>IFERROR(1/J442*(X442/H442),"0")</f>
        <v>0.34722222222222221</v>
      </c>
      <c r="BP442" s="75">
        <f>IFERROR(1/J442*(Y442/H442),"0")</f>
        <v>0.35416666666666663</v>
      </c>
    </row>
    <row r="443" spans="1:68" ht="27" hidden="1" customHeight="1" x14ac:dyDescent="0.25">
      <c r="A443" s="60" t="s">
        <v>731</v>
      </c>
      <c r="B443" s="60" t="s">
        <v>732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16.666666666666668</v>
      </c>
      <c r="Y445" s="41">
        <f>IFERROR(Y442/H442,"0")+IFERROR(Y443/H443,"0")+IFERROR(Y444/H444,"0")</f>
        <v>17</v>
      </c>
      <c r="Z445" s="41">
        <f>IFERROR(IF(Z442="",0,Z442),"0")+IFERROR(IF(Z443="",0,Z443),"0")+IFERROR(IF(Z444="",0,Z444),"0")</f>
        <v>0.36974999999999997</v>
      </c>
      <c r="AA445" s="64"/>
      <c r="AB445" s="64"/>
      <c r="AC445" s="64"/>
    </row>
    <row r="446" spans="1:68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250</v>
      </c>
      <c r="Y446" s="41">
        <f>IFERROR(SUM(Y442:Y444),"0")</f>
        <v>255</v>
      </c>
      <c r="Z446" s="40"/>
      <c r="AA446" s="64"/>
      <c r="AB446" s="64"/>
      <c r="AC446" s="64"/>
    </row>
    <row r="447" spans="1:68" ht="14.25" hidden="1" customHeight="1" x14ac:dyDescent="0.25">
      <c r="A447" s="660" t="s">
        <v>85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737</v>
      </c>
      <c r="B448" s="60" t="s">
        <v>738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740</v>
      </c>
      <c r="B449" s="60" t="s">
        <v>741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172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746</v>
      </c>
      <c r="B454" s="60" t="s">
        <v>747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748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749</v>
      </c>
      <c r="B455" s="60" t="s">
        <v>750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752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121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753</v>
      </c>
      <c r="B460" s="60" t="s">
        <v>754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755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756</v>
      </c>
      <c r="B461" s="60" t="s">
        <v>757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755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76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758</v>
      </c>
      <c r="B465" s="60" t="s">
        <v>759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760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85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761</v>
      </c>
      <c r="B469" s="60" t="s">
        <v>762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763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764</v>
      </c>
      <c r="B470" s="60" t="s">
        <v>765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763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764</v>
      </c>
      <c r="B471" s="60" t="s">
        <v>766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768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769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76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770</v>
      </c>
      <c r="B477" s="60" t="s">
        <v>771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772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772</v>
      </c>
      <c r="AG479" s="75"/>
      <c r="AJ479" s="79" t="s">
        <v>46</v>
      </c>
      <c r="AK479" s="79">
        <v>0</v>
      </c>
      <c r="BB479" s="576" t="s">
        <v>66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780</v>
      </c>
      <c r="AG480" s="75"/>
      <c r="AJ480" s="79" t="s">
        <v>46</v>
      </c>
      <c r="AK480" s="79">
        <v>0</v>
      </c>
      <c r="BB480" s="578" t="s">
        <v>66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784</v>
      </c>
      <c r="B482" s="60" t="s">
        <v>785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780</v>
      </c>
      <c r="AG482" s="75"/>
      <c r="AJ482" s="79" t="s">
        <v>46</v>
      </c>
      <c r="AK482" s="79">
        <v>0</v>
      </c>
      <c r="BB482" s="582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85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786</v>
      </c>
      <c r="B486" s="60" t="s">
        <v>787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788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789</v>
      </c>
      <c r="B487" s="60" t="s">
        <v>790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792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154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793</v>
      </c>
      <c r="B492" s="60" t="s">
        <v>794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795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76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796</v>
      </c>
      <c r="B496" s="60" t="s">
        <v>797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798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799</v>
      </c>
      <c r="B497" s="60" t="s">
        <v>800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801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804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804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121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805</v>
      </c>
      <c r="B504" s="60" t="s">
        <v>806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807</v>
      </c>
      <c r="B505" s="60" t="s">
        <v>808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810</v>
      </c>
      <c r="B506" s="60" t="s">
        <v>811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816</v>
      </c>
      <c r="B508" s="60" t="s">
        <v>817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826</v>
      </c>
      <c r="B512" s="60" t="s">
        <v>827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821</v>
      </c>
      <c r="AG512" s="75"/>
      <c r="AJ512" s="79" t="s">
        <v>46</v>
      </c>
      <c r="AK512" s="79">
        <v>0</v>
      </c>
      <c r="BB512" s="612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154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828</v>
      </c>
      <c r="B516" s="60" t="s">
        <v>829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830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831</v>
      </c>
      <c r="B517" s="60" t="s">
        <v>832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830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833</v>
      </c>
      <c r="B518" s="60" t="s">
        <v>834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830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76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835</v>
      </c>
      <c r="B522" s="60" t="s">
        <v>836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837</v>
      </c>
      <c r="AG525" s="75"/>
      <c r="AJ525" s="79" t="s">
        <v>46</v>
      </c>
      <c r="AK525" s="79">
        <v>0</v>
      </c>
      <c r="BB525" s="626" t="s">
        <v>66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846</v>
      </c>
      <c r="B526" s="60" t="s">
        <v>847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846</v>
      </c>
      <c r="B527" s="60" t="s">
        <v>848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840</v>
      </c>
      <c r="AG527" s="75"/>
      <c r="AJ527" s="79" t="s">
        <v>46</v>
      </c>
      <c r="AK527" s="79">
        <v>0</v>
      </c>
      <c r="BB527" s="630" t="s">
        <v>66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849</v>
      </c>
      <c r="B528" s="60" t="s">
        <v>850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851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851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121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854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154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4301020400</v>
      </c>
      <c r="D538" s="661">
        <v>4640242180519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125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76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860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85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861</v>
      </c>
      <c r="B546" s="60" t="s">
        <v>862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863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172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864</v>
      </c>
      <c r="B550" s="60" t="s">
        <v>865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866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867</v>
      </c>
      <c r="B551" s="60" t="s">
        <v>868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870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154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871</v>
      </c>
      <c r="B556" s="60" t="s">
        <v>872</v>
      </c>
      <c r="C556" s="34">
        <v>4301020428</v>
      </c>
      <c r="D556" s="661">
        <v>4640242180090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873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1000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1020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1031.3333333333333</v>
      </c>
      <c r="Y560" s="41">
        <f>IFERROR(SUM(BN22:BN556),"0")</f>
        <v>1051.96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1081.3333333333333</v>
      </c>
      <c r="Y562" s="41">
        <f>GrossWeightTotalR+PalletQtyTotalR*25</f>
        <v>1101.96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66.666666666666671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68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1.4789999999999999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75</v>
      </c>
      <c r="C566" s="80" t="s">
        <v>45</v>
      </c>
      <c r="D566" s="647" t="s">
        <v>119</v>
      </c>
      <c r="E566" s="647" t="s">
        <v>119</v>
      </c>
      <c r="F566" s="647" t="s">
        <v>119</v>
      </c>
      <c r="G566" s="647" t="s">
        <v>119</v>
      </c>
      <c r="H566" s="647" t="s">
        <v>119</v>
      </c>
      <c r="I566" s="647" t="s">
        <v>119</v>
      </c>
      <c r="J566" s="647" t="s">
        <v>119</v>
      </c>
      <c r="K566" s="647" t="s">
        <v>359</v>
      </c>
      <c r="L566" s="647" t="s">
        <v>359</v>
      </c>
      <c r="M566" s="647" t="s">
        <v>359</v>
      </c>
      <c r="N566" s="657"/>
      <c r="O566" s="647" t="s">
        <v>359</v>
      </c>
      <c r="P566" s="647" t="s">
        <v>359</v>
      </c>
      <c r="Q566" s="647" t="s">
        <v>359</v>
      </c>
      <c r="R566" s="647" t="s">
        <v>359</v>
      </c>
      <c r="S566" s="647" t="s">
        <v>359</v>
      </c>
      <c r="T566" s="647" t="s">
        <v>359</v>
      </c>
      <c r="U566" s="647" t="s">
        <v>359</v>
      </c>
      <c r="V566" s="647" t="s">
        <v>359</v>
      </c>
      <c r="W566" s="647" t="s">
        <v>702</v>
      </c>
      <c r="X566" s="647" t="s">
        <v>702</v>
      </c>
      <c r="Y566" s="647" t="s">
        <v>768</v>
      </c>
      <c r="Z566" s="647" t="s">
        <v>768</v>
      </c>
      <c r="AA566" s="80" t="s">
        <v>804</v>
      </c>
      <c r="AB566" s="647" t="s">
        <v>851</v>
      </c>
      <c r="AC566" s="647" t="s">
        <v>851</v>
      </c>
      <c r="AF566" s="1"/>
    </row>
    <row r="567" spans="1:32" ht="14.25" customHeight="1" thickTop="1" x14ac:dyDescent="0.2">
      <c r="A567" s="658" t="s">
        <v>10</v>
      </c>
      <c r="B567" s="647" t="s">
        <v>75</v>
      </c>
      <c r="C567" s="647" t="s">
        <v>103</v>
      </c>
      <c r="D567" s="647" t="s">
        <v>120</v>
      </c>
      <c r="E567" s="647" t="s">
        <v>136</v>
      </c>
      <c r="F567" s="647" t="s">
        <v>181</v>
      </c>
      <c r="G567" s="647" t="s">
        <v>208</v>
      </c>
      <c r="H567" s="647" t="s">
        <v>259</v>
      </c>
      <c r="I567" s="647" t="s">
        <v>272</v>
      </c>
      <c r="J567" s="647" t="s">
        <v>119</v>
      </c>
      <c r="K567" s="647" t="s">
        <v>360</v>
      </c>
      <c r="L567" s="647" t="s">
        <v>381</v>
      </c>
      <c r="M567" s="647" t="s">
        <v>448</v>
      </c>
      <c r="N567" s="1"/>
      <c r="O567" s="647" t="s">
        <v>516</v>
      </c>
      <c r="P567" s="647" t="s">
        <v>549</v>
      </c>
      <c r="Q567" s="647" t="s">
        <v>565</v>
      </c>
      <c r="R567" s="647" t="s">
        <v>574</v>
      </c>
      <c r="S567" s="647" t="s">
        <v>595</v>
      </c>
      <c r="T567" s="647" t="s">
        <v>604</v>
      </c>
      <c r="U567" s="647" t="s">
        <v>685</v>
      </c>
      <c r="V567" s="647" t="s">
        <v>692</v>
      </c>
      <c r="W567" s="647" t="s">
        <v>703</v>
      </c>
      <c r="X567" s="647" t="s">
        <v>752</v>
      </c>
      <c r="Y567" s="647" t="s">
        <v>769</v>
      </c>
      <c r="Z567" s="647" t="s">
        <v>792</v>
      </c>
      <c r="AA567" s="647" t="s">
        <v>804</v>
      </c>
      <c r="AB567" s="647" t="s">
        <v>851</v>
      </c>
      <c r="AC567" s="647" t="s">
        <v>870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1020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1,33"/>
        <filter val="1 081,33"/>
        <filter val="16,67"/>
        <filter val="2"/>
        <filter val="250,00"/>
        <filter val="350,00"/>
        <filter val="400,00"/>
        <filter val="50,00"/>
        <filter val="66,67"/>
        <filter val="75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">
      <c r="B8" s="51" t="s">
        <v>883</v>
      </c>
      <c r="C8" s="51" t="s">
        <v>884</v>
      </c>
      <c r="D8" s="51" t="s">
        <v>885</v>
      </c>
      <c r="E8" s="51" t="s">
        <v>46</v>
      </c>
    </row>
    <row r="9" spans="2:8" x14ac:dyDescent="0.2">
      <c r="B9" s="51" t="s">
        <v>886</v>
      </c>
      <c r="C9" s="51" t="s">
        <v>887</v>
      </c>
      <c r="D9" s="51" t="s">
        <v>888</v>
      </c>
      <c r="E9" s="51" t="s">
        <v>46</v>
      </c>
    </row>
    <row r="10" spans="2:8" x14ac:dyDescent="0.2">
      <c r="B10" s="51" t="s">
        <v>889</v>
      </c>
      <c r="C10" s="51" t="s">
        <v>890</v>
      </c>
      <c r="D10" s="51" t="s">
        <v>891</v>
      </c>
      <c r="E10" s="51" t="s">
        <v>46</v>
      </c>
    </row>
    <row r="11" spans="2:8" x14ac:dyDescent="0.2">
      <c r="B11" s="51" t="s">
        <v>892</v>
      </c>
      <c r="C11" s="51" t="s">
        <v>893</v>
      </c>
      <c r="D11" s="51" t="s">
        <v>894</v>
      </c>
      <c r="E11" s="51" t="s">
        <v>46</v>
      </c>
    </row>
    <row r="12" spans="2:8" x14ac:dyDescent="0.2">
      <c r="B12" s="51" t="s">
        <v>895</v>
      </c>
      <c r="C12" s="51" t="s">
        <v>896</v>
      </c>
      <c r="D12" s="51" t="s">
        <v>897</v>
      </c>
      <c r="E12" s="51" t="s">
        <v>46</v>
      </c>
    </row>
    <row r="14" spans="2:8" x14ac:dyDescent="0.2">
      <c r="B14" s="51" t="s">
        <v>898</v>
      </c>
      <c r="C14" s="51" t="s">
        <v>878</v>
      </c>
      <c r="D14" s="51" t="s">
        <v>46</v>
      </c>
      <c r="E14" s="51" t="s">
        <v>46</v>
      </c>
    </row>
    <row r="16" spans="2:8" x14ac:dyDescent="0.2">
      <c r="B16" s="51" t="s">
        <v>899</v>
      </c>
      <c r="C16" s="51" t="s">
        <v>881</v>
      </c>
      <c r="D16" s="51" t="s">
        <v>46</v>
      </c>
      <c r="E16" s="51" t="s">
        <v>46</v>
      </c>
    </row>
    <row r="18" spans="2:5" x14ac:dyDescent="0.2">
      <c r="B18" s="51" t="s">
        <v>900</v>
      </c>
      <c r="C18" s="51" t="s">
        <v>884</v>
      </c>
      <c r="D18" s="51" t="s">
        <v>46</v>
      </c>
      <c r="E18" s="51" t="s">
        <v>46</v>
      </c>
    </row>
    <row r="20" spans="2:5" x14ac:dyDescent="0.2">
      <c r="B20" s="51" t="s">
        <v>901</v>
      </c>
      <c r="C20" s="51" t="s">
        <v>887</v>
      </c>
      <c r="D20" s="51" t="s">
        <v>46</v>
      </c>
      <c r="E20" s="51" t="s">
        <v>46</v>
      </c>
    </row>
    <row r="22" spans="2:5" x14ac:dyDescent="0.2">
      <c r="B22" s="51" t="s">
        <v>902</v>
      </c>
      <c r="C22" s="51" t="s">
        <v>890</v>
      </c>
      <c r="D22" s="51" t="s">
        <v>46</v>
      </c>
      <c r="E22" s="51" t="s">
        <v>46</v>
      </c>
    </row>
    <row r="24" spans="2:5" x14ac:dyDescent="0.2">
      <c r="B24" s="51" t="s">
        <v>903</v>
      </c>
      <c r="C24" s="51" t="s">
        <v>893</v>
      </c>
      <c r="D24" s="51" t="s">
        <v>46</v>
      </c>
      <c r="E24" s="51" t="s">
        <v>46</v>
      </c>
    </row>
    <row r="26" spans="2:5" x14ac:dyDescent="0.2">
      <c r="B26" s="51" t="s">
        <v>904</v>
      </c>
      <c r="C26" s="51" t="s">
        <v>896</v>
      </c>
      <c r="D26" s="51" t="s">
        <v>46</v>
      </c>
      <c r="E26" s="51" t="s">
        <v>46</v>
      </c>
    </row>
    <row r="28" spans="2:5" x14ac:dyDescent="0.2">
      <c r="B28" s="51" t="s">
        <v>905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915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2026-09-02T16:15:45Z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