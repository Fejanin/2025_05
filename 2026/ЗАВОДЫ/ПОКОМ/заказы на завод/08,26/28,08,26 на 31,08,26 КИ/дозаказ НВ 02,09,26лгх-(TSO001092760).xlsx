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414D656-D08A-4F31-A54C-D22B4481AF1A}" xr6:coauthVersionLast="47" xr6:coauthVersionMax="47" xr10:uidLastSave="{00000000-0000-0000-0000-000000000000}"/>
  <bookViews>
    <workbookView xWindow="1830" yWindow="75" windowWidth="26370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Z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Z487" i="2" s="1"/>
  <c r="P487" i="2"/>
  <c r="BP486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Z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Z438" i="2"/>
  <c r="Y438" i="2"/>
  <c r="BN438" i="2" s="1"/>
  <c r="P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P417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P400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P374" i="2"/>
  <c r="BO374" i="2"/>
  <c r="BM374" i="2"/>
  <c r="Y374" i="2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BP346" i="2"/>
  <c r="BO346" i="2"/>
  <c r="BM346" i="2"/>
  <c r="Y346" i="2"/>
  <c r="P346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P304" i="2"/>
  <c r="BO304" i="2"/>
  <c r="BM304" i="2"/>
  <c r="Y304" i="2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P283" i="2"/>
  <c r="BO283" i="2"/>
  <c r="BN283" i="2"/>
  <c r="BM283" i="2"/>
  <c r="Z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Z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N217" i="2"/>
  <c r="BM217" i="2"/>
  <c r="Z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BO169" i="2"/>
  <c r="BM169" i="2"/>
  <c r="Y169" i="2"/>
  <c r="P169" i="2"/>
  <c r="X166" i="2"/>
  <c r="X165" i="2"/>
  <c r="BO164" i="2"/>
  <c r="BM164" i="2"/>
  <c r="Z164" i="2"/>
  <c r="Z165" i="2" s="1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N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N59" i="2"/>
  <c r="BM59" i="2"/>
  <c r="Z59" i="2"/>
  <c r="Y59" i="2"/>
  <c r="BP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P49" i="2"/>
  <c r="BO49" i="2"/>
  <c r="BM49" i="2"/>
  <c r="Z49" i="2"/>
  <c r="Y49" i="2"/>
  <c r="BN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C569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F10" i="2" s="1"/>
  <c r="D7" i="2"/>
  <c r="Q6" i="2"/>
  <c r="P2" i="2"/>
  <c r="Z103" i="2" l="1"/>
  <c r="BN201" i="2"/>
  <c r="Z229" i="2"/>
  <c r="BN272" i="2"/>
  <c r="Z354" i="2"/>
  <c r="Z392" i="2"/>
  <c r="Z170" i="2"/>
  <c r="Z185" i="2"/>
  <c r="Z201" i="2"/>
  <c r="Z202" i="2" s="1"/>
  <c r="BP201" i="2"/>
  <c r="Y269" i="2"/>
  <c r="Z272" i="2"/>
  <c r="Z294" i="2"/>
  <c r="Z314" i="2"/>
  <c r="Z315" i="2" s="1"/>
  <c r="Z406" i="2"/>
  <c r="Z449" i="2"/>
  <c r="Z451" i="2" s="1"/>
  <c r="Z462" i="2"/>
  <c r="Y483" i="2"/>
  <c r="Z498" i="2"/>
  <c r="Z512" i="2"/>
  <c r="Z22" i="2"/>
  <c r="Y25" i="2"/>
  <c r="BN23" i="2"/>
  <c r="BN39" i="2"/>
  <c r="BP39" i="2"/>
  <c r="BP47" i="2"/>
  <c r="BN47" i="2"/>
  <c r="Z47" i="2"/>
  <c r="Z51" i="2" s="1"/>
  <c r="BN67" i="2"/>
  <c r="Z67" i="2"/>
  <c r="BN80" i="2"/>
  <c r="BN96" i="2"/>
  <c r="Z96" i="2"/>
  <c r="BN110" i="2"/>
  <c r="BN144" i="2"/>
  <c r="Z144" i="2"/>
  <c r="BN157" i="2"/>
  <c r="BP195" i="2"/>
  <c r="BN195" i="2"/>
  <c r="Z195" i="2"/>
  <c r="BN305" i="2"/>
  <c r="BN332" i="2"/>
  <c r="BN347" i="2"/>
  <c r="Z347" i="2"/>
  <c r="BN359" i="2"/>
  <c r="BN384" i="2"/>
  <c r="BN399" i="2"/>
  <c r="BN412" i="2"/>
  <c r="BP425" i="2"/>
  <c r="BN425" i="2"/>
  <c r="Z425" i="2"/>
  <c r="BN437" i="2"/>
  <c r="Z437" i="2"/>
  <c r="BN469" i="2"/>
  <c r="BN487" i="2"/>
  <c r="BN522" i="2"/>
  <c r="Y540" i="2"/>
  <c r="Y539" i="2"/>
  <c r="Z538" i="2"/>
  <c r="Z539" i="2" s="1"/>
  <c r="Y24" i="2"/>
  <c r="BN50" i="2"/>
  <c r="BP56" i="2"/>
  <c r="BN56" i="2"/>
  <c r="Z56" i="2"/>
  <c r="BN97" i="2"/>
  <c r="BP106" i="2"/>
  <c r="BN106" i="2"/>
  <c r="Z106" i="2"/>
  <c r="BP126" i="2"/>
  <c r="BN126" i="2"/>
  <c r="Z126" i="2"/>
  <c r="BP171" i="2"/>
  <c r="BN171" i="2"/>
  <c r="Z171" i="2"/>
  <c r="BN182" i="2"/>
  <c r="BN190" i="2"/>
  <c r="BN212" i="2"/>
  <c r="BN230" i="2"/>
  <c r="Z230" i="2"/>
  <c r="BP238" i="2"/>
  <c r="BN238" i="2"/>
  <c r="Z238" i="2"/>
  <c r="BN278" i="2"/>
  <c r="BN291" i="2"/>
  <c r="BN304" i="2"/>
  <c r="Z304" i="2"/>
  <c r="BP345" i="2"/>
  <c r="BN345" i="2"/>
  <c r="Z345" i="2"/>
  <c r="BP347" i="2"/>
  <c r="BP348" i="2"/>
  <c r="BN348" i="2"/>
  <c r="Z348" i="2"/>
  <c r="BN366" i="2"/>
  <c r="BN376" i="2"/>
  <c r="Y420" i="2"/>
  <c r="Y427" i="2"/>
  <c r="BN435" i="2"/>
  <c r="Z435" i="2"/>
  <c r="BN486" i="2"/>
  <c r="Y488" i="2"/>
  <c r="Z486" i="2"/>
  <c r="Z488" i="2" s="1"/>
  <c r="Y493" i="2"/>
  <c r="Z492" i="2"/>
  <c r="Z493" i="2" s="1"/>
  <c r="BN510" i="2"/>
  <c r="Z510" i="2"/>
  <c r="BN526" i="2"/>
  <c r="BN31" i="2"/>
  <c r="BN40" i="2"/>
  <c r="Y52" i="2"/>
  <c r="BN71" i="2"/>
  <c r="Y112" i="2"/>
  <c r="BN115" i="2"/>
  <c r="Y161" i="2"/>
  <c r="BN176" i="2"/>
  <c r="BN183" i="2"/>
  <c r="BN186" i="2"/>
  <c r="BN191" i="2"/>
  <c r="BN231" i="2"/>
  <c r="BN245" i="2"/>
  <c r="BN253" i="2"/>
  <c r="BN268" i="2"/>
  <c r="BN276" i="2"/>
  <c r="BN286" i="2"/>
  <c r="BN330" i="2"/>
  <c r="BN378" i="2"/>
  <c r="BP392" i="2"/>
  <c r="BN393" i="2"/>
  <c r="BP438" i="2"/>
  <c r="BP461" i="2"/>
  <c r="BN479" i="2"/>
  <c r="BP498" i="2"/>
  <c r="BN525" i="2"/>
  <c r="BN534" i="2"/>
  <c r="Z432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Z68" i="2" s="1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Z350" i="2" s="1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254" i="2" l="1"/>
  <c r="Z145" i="2"/>
  <c r="Z426" i="2"/>
  <c r="Z240" i="2"/>
  <c r="Z150" i="2"/>
  <c r="Z264" i="2"/>
  <c r="Z388" i="2"/>
  <c r="Z325" i="2"/>
  <c r="Z129" i="2"/>
  <c r="Z134" i="2"/>
  <c r="Z111" i="2"/>
  <c r="Z407" i="2"/>
  <c r="Z341" i="2"/>
  <c r="Z198" i="2"/>
  <c r="Z401" i="2"/>
  <c r="Z61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<sst xmlns="http://schemas.openxmlformats.org/spreadsheetml/2006/main" count="4337" uniqueCount="918">
  <si>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</si>
  <si>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</si>
  <si>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</si>
  <si>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</si>
  <si>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</si>
  <si>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</si>
  <si>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</si>
  <si>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</si>
  <si>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</si>
  <si>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</si>
  <si>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</si>
  <si>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</si>
  <si>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</si>
  <si>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</si>
  <si>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</si>
  <si>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</si>
  <si>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</si>
  <si>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</si>
  <si>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</si>
  <si>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</si>
  <si>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</si>
  <si>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</si>
  <si>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</si>
  <si>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</si>
  <si>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</si>
  <si>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</si>
  <si>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</si>
  <si>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</si>
  <si>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</si>
  <si>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</si>
  <si>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</si>
  <si>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</si>
  <si>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</si>
  <si>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</si>
  <si>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</si>
  <si>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</si>
  <si>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</si>
  <si>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</si>
  <si>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</si>
  <si>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</si>
  <si>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</si>
  <si>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</si>
  <si>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</si>
  <si>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</si>
  <si>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</si>
  <si>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</si>
  <si>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</si>
  <si>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</si>
  <si>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</si>
  <si>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</si>
  <si>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</si>
  <si>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</si>
  <si>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</si>
  <si>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</si>
  <si>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</si>
  <si>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</si>
  <si>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</si>
  <si>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</si>
  <si>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</si>
  <si>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</si>
  <si>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</si>
  <si>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</si>
  <si>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</si>
  <si>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</si>
  <si>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</si>
  <si>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</si>
  <si>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</si>
  <si>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</si>
  <si>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</si>
  <si>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</si>
  <si>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</si>
  <si>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</si>
  <si>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</si>
  <si>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</si>
  <si>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</si>
  <si>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</si>
  <si>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</si>
  <si>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</si>
  <si>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</si>
  <si>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</si>
  <si>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</si>
  <si>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</si>
  <si>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</si>
  <si>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</si>
  <si>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</si>
  <si>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</si>
  <si>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</si>
  <si>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</si>
  <si>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</si>
  <si>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</si>
  <si>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</si>
  <si>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</si>
  <si>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</si>
  <si>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</si>
  <si>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</si>
  <si>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</si>
  <si>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</si>
  <si>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</si>
  <si>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</si>
  <si>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</si>
  <si>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</si>
  <si>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</si>
  <si>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</si>
  <si>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</si>
  <si>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</si>
  <si>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</si>
  <si>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</si>
  <si>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</si>
  <si>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</si>
  <si>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</si>
  <si>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</si>
  <si>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</si>
  <si>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</si>
  <si>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</si>
  <si>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</si>
  <si>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</si>
  <si>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</si>
  <si>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</si>
  <si>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</si>
  <si>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</si>
  <si>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</si>
  <si>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</si>
  <si>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</si>
  <si>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</si>
  <si>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</si>
  <si>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</si>
  <si>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</si>
  <si>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</si>
  <si>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</si>
  <si>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</si>
  <si>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</si>
  <si>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</si>
  <si>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</si>
  <si>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</si>
  <si>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</si>
  <si>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</si>
  <si>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</si>
  <si>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</si>
  <si>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</si>
  <si>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</si>
  <si>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</si>
  <si>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</si>
  <si>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</si>
  <si>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</si>
  <si>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</si>
  <si>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</si>
  <si>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</si>
  <si>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</si>
  <si>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</si>
  <si>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</si>
  <si>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</si>
  <si>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</si>
  <si>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</si>
  <si>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</si>
  <si>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</si>
  <si>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</si>
  <si>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</si>
  <si>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</si>
  <si>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</si>
  <si>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</si>
  <si>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</si>
  <si>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</si>
  <si>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</si>
  <si>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</si>
  <si>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</si>
  <si>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</si>
  <si>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</si>
  <si>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</si>
  <si>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</si>
  <si>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</si>
  <si>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</si>
  <si>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</si>
  <si>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</si>
  <si>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</si>
  <si>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</si>
  <si>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</si>
  <si>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</si>
  <si>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</si>
  <si>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</si>
  <si>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</si>
  <si>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</si>
  <si>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</si>
  <si>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</si>
  <si>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</si>
  <si>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</si>
  <si>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</si>
  <si>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</si>
  <si>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</si>
  <si>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</si>
  <si>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</si>
  <si>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</si>
  <si>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</si>
  <si>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</si>
  <si>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</si>
  <si>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</si>
  <si>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</si>
  <si>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</si>
  <si>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</si>
  <si>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</si>
  <si>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</si>
  <si>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</si>
  <si>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</si>
  <si>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</si>
  <si>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</si>
  <si>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</si>
  <si>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</si>
  <si>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</si>
  <si>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</si>
  <si>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</si>
  <si>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</si>
  <si>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</si>
  <si>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</si>
  <si>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</si>
  <si>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</si>
  <si>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</si>
  <si>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</si>
  <si>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</si>
  <si>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</si>
  <si>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</si>
  <si>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</si>
  <si>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</si>
  <si>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</si>
  <si>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</si>
  <si>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</si>
  <si>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</si>
  <si>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</si>
  <si>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</si>
  <si>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</si>
  <si>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</si>
  <si>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</si>
  <si>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</si>
  <si>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</si>
  <si>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</si>
  <si>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</si>
  <si>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</si>
  <si>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</si>
  <si>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</si>
  <si>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</si>
  <si>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</si>
  <si>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</si>
  <si>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</si>
  <si>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</si>
  <si>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</si>
  <si>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</si>
  <si>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</si>
  <si>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</si>
  <si>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</si>
  <si>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</si>
  <si>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</si>
  <si>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</si>
  <si>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</si>
  <si>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</si>
  <si>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</si>
  <si>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</si>
  <si>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</si>
  <si>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</si>
  <si>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</si>
  <si>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</si>
  <si>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</si>
  <si>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</si>
  <si>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</si>
  <si>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</si>
  <si>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</si>
  <si>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</si>
  <si>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</si>
  <si>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</si>
  <si>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</si>
  <si>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</si>
  <si>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</si>
  <si>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</si>
  <si>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</si>
  <si>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</si>
  <si>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</si>
  <si>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</si>
  <si>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</si>
  <si>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</si>
  <si>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</si>
  <si>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</si>
  <si>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</si>
  <si>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</si>
  <si>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</si>
  <si>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</si>
  <si>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</si>
  <si>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</si>
  <si>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</si>
  <si>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</si>
  <si>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</si>
  <si>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</si>
  <si>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</si>
  <si>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</si>
  <si>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</si>
  <si>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</si>
  <si>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</si>
  <si>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</si>
  <si>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</si>
  <si>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</si>
  <si>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</si>
  <si>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</si>
  <si>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</si>
  <si>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</si>
  <si>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</si>
  <si>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</si>
  <si>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</si>
  <si>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</si>
  <si>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</si>
  <si>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</si>
  <si>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</si>
  <si>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</si>
  <si>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</si>
  <si>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</si>
  <si>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</si>
  <si>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</si>
  <si>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</si>
  <si>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</si>
  <si>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</si>
  <si>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</si>
  <si>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</si>
  <si>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</si>
  <si>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</si>
  <si>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</si>
  <si>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</si>
  <si>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</si>
  <si>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</si>
  <si>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</si>
  <si>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</si>
  <si>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</si>
  <si>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</si>
  <si>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</si>
  <si>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</si>
  <si>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</si>
  <si>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</si>
  <si>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</si>
  <si>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</si>
  <si>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</si>
  <si>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</si>
  <si>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</si>
  <si>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</si>
  <si>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</si>
  <si>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</si>
  <si>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</si>
  <si>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</si>
  <si>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</si>
  <si>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</si>
  <si>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</si>
  <si>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</si>
  <si>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</si>
  <si>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</si>
  <si>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</si>
  <si>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</si>
  <si>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</si>
  <si>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</si>
  <si>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</si>
  <si>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</si>
  <si>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</si>
  <si>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</si>
  <si>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</si>
  <si>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</si>
  <si>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</si>
  <si>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</si>
  <si>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</si>
  <si>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</si>
  <si>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</si>
  <si>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</si>
  <si>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</si>
  <si>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</si>
  <si>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</si>
  <si>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</si>
  <si>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</si>
  <si>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</si>
  <si>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</si>
  <si>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</si>
  <si>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</si>
  <si>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</si>
  <si>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</si>
  <si>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</si>
  <si>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</si>
  <si>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</si>
  <si>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</si>
  <si>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</si>
  <si>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</si>
  <si>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</si>
  <si>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</si>
  <si>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</si>
  <si>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</si>
  <si>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</si>
  <si>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</si>
  <si>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</si>
  <si>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</si>
  <si>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</si>
  <si>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</si>
  <si>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</si>
  <si>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</si>
  <si>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</si>
  <si>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</si>
  <si>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</si>
  <si>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</si>
  <si>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</si>
  <si>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</si>
  <si>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</si>
  <si>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</si>
  <si>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</si>
  <si>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</si>
  <si>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</si>
  <si>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</si>
  <si>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</si>
  <si>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</si>
  <si>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</si>
  <si>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</si>
  <si>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</si>
  <si>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</si>
  <si>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</si>
  <si>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</si>
  <si>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</si>
  <si>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</si>
  <si>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</si>
  <si>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</si>
  <si>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</si>
  <si>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</si>
  <si>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</si>
  <si>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</si>
  <si>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</si>
  <si>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</si>
  <si>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</si>
  <si>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</si>
  <si>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</si>
  <si>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</si>
  <si>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</si>
  <si>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</si>
  <si>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</si>
  <si>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</si>
  <si>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</si>
  <si>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</si>
  <si>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</si>
  <si>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</si>
  <si>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</si>
  <si>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</si>
  <si>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</si>
  <si>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</si>
  <si>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</si>
  <si>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</si>
  <si>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</si>
  <si>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</si>
  <si>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</si>
  <si>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</si>
  <si>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</si>
  <si>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</si>
  <si>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</si>
  <si>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</si>
  <si>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</si>
  <si>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</si>
  <si>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</si>
  <si>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</si>
  <si>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</si>
  <si>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</si>
  <si>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</si>
  <si>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</si>
  <si>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</si>
  <si>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</si>
  <si>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</si>
  <si>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</si>
  <si>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</si>
  <si>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</si>
  <si>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</si>
  <si>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</si>
  <si>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</si>
  <si>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</si>
  <si>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</si>
  <si>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</si>
  <si>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</si>
  <si>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</si>
  <si>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</si>
  <si>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</si>
  <si>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</si>
  <si>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</si>
  <si>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</si>
  <si>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</si>
  <si>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</si>
  <si>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</si>
  <si>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</si>
  <si>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</si>
  <si>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</si>
  <si>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</si>
  <si>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</si>
  <si>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</si>
  <si>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</si>
  <si>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</si>
  <si>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</si>
  <si>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</si>
  <si>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</si>
  <si>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</si>
  <si>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</si>
  <si>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</si>
  <si>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</si>
  <si>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</si>
  <si>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</si>
  <si>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</si>
  <si>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</si>
  <si>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</si>
  <si>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</si>
  <si>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</si>
  <si>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</si>
  <si>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</si>
  <si>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</si>
  <si>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</si>
  <si>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</si>
  <si>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</si>
  <si>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</si>
  <si>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</si>
  <si>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</si>
  <si>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</si>
  <si>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</si>
  <si>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</si>
  <si>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</si>
  <si>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</si>
  <si>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</si>
  <si>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</si>
  <si>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</si>
  <si>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</si>
  <si>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</si>
  <si>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</si>
  <si>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</si>
  <si>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</si>
  <si>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</si>
  <si>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</si>
  <si>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</si>
  <si>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</si>
  <si>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</si>
  <si>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</si>
  <si>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</si>
  <si>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</si>
  <si>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</si>
  <si>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</si>
  <si>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</si>
  <si>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</si>
  <si>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</si>
  <si>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</si>
  <si>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</si>
  <si>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</si>
  <si>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</si>
  <si>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</si>
  <si>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</si>
  <si>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</si>
  <si>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</si>
  <si>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</si>
  <si>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</si>
  <si>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</si>
  <si>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</si>
  <si>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</si>
  <si>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</si>
  <si>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</si>
  <si>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</si>
  <si>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</si>
  <si>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</si>
  <si>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</si>
  <si>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</si>
  <si>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</si>
  <si>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</si>
  <si>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</si>
  <si>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</si>
  <si>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</si>
  <si>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</si>
  <si>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</si>
  <si>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</si>
  <si>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</si>
  <si>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</si>
  <si>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</si>
  <si>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</si>
  <si>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</si>
  <si>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</si>
  <si>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</si>
  <si>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</si>
  <si>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</si>
  <si>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</si>
  <si>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</si>
  <si>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</si>
  <si>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</si>
  <si>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</si>
  <si>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</si>
  <si>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</si>
  <si>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</si>
  <si>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</si>
  <si>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</si>
  <si>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</si>
  <si>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</si>
  <si>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</si>
  <si>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</si>
  <si>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</si>
  <si>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</si>
  <si>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</si>
  <si>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</si>
  <si>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</si>
  <si>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</si>
  <si>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</si>
  <si>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</si>
  <si>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</si>
  <si>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</si>
  <si>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</si>
  <si>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</si>
  <si>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</si>
  <si>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</si>
  <si>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</si>
  <si>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</si>
  <si>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</si>
  <si>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</si>
  <si>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</si>
  <si>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</si>
  <si>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</si>
  <si>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</si>
  <si>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</si>
  <si>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</si>
  <si>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</si>
  <si>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</si>
  <si>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</si>
  <si>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</si>
  <si>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</si>
  <si>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</si>
  <si>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</si>
  <si>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</si>
  <si>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</si>
  <si>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</si>
  <si>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</si>
  <si>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</si>
  <si>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</si>
  <si>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</si>
  <si>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</si>
  <si>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</si>
  <si>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</si>
  <si>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</si>
  <si>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</si>
  <si>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</si>
  <si>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</si>
  <si>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</si>
  <si>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</si>
  <si>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</si>
  <si>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</si>
  <si>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</si>
  <si>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</si>
  <si>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</si>
  <si>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</si>
  <si>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</si>
  <si>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</si>
  <si>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</si>
  <si>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</si>
  <si>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</si>
  <si>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</si>
  <si>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</si>
  <si>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</si>
  <si>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</si>
  <si>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</si>
  <si>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</si>
  <si>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</si>
  <si>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</si>
  <si>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</si>
  <si>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</si>
  <si>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</si>
  <si>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</si>
  <si>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</si>
  <si>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</si>
  <si>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</si>
  <si>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</si>
  <si>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</si>
  <si>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</si>
  <si>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</si>
  <si>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</si>
  <si>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</si>
  <si>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</si>
  <si>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</si>
  <si>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</si>
  <si>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</si>
  <si>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</si>
  <si>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</si>
  <si>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</si>
  <si>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</si>
  <si>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</si>
  <si>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</si>
  <si>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</si>
  <si>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</si>
  <si>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</si>
  <si>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</si>
  <si>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</si>
  <si>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</si>
  <si>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</si>
  <si>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</si>
  <si>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</si>
  <si>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</si>
  <si>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</si>
  <si>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</si>
  <si>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</si>
  <si>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</si>
  <si>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</si>
  <si>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</si>
  <si>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</si>
  <si>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</si>
  <si>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</si>
  <si>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</si>
  <si>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</si>
  <si>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</si>
  <si>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</si>
  <si>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</si>
  <si>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</si>
  <si>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</si>
  <si>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</si>
  <si>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</si>
  <si>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</si>
  <si>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</si>
  <si>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</si>
  <si>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</si>
  <si>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</si>
  <si>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</si>
  <si>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</si>
  <si>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</si>
  <si>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</si>
  <si>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</si>
  <si>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</si>
  <si>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</si>
  <si>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</si>
  <si>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</si>
  <si>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</si>
  <si>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</si>
  <si>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</si>
  <si>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</si>
  <si>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</si>
  <si>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</si>
  <si>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</si>
  <si>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</si>
  <si>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</si>
  <si>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</si>
  <si>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</si>
  <si>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</si>
  <si>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</si>
  <si>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</si>
  <si>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</si>
  <si>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</si>
  <si>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</si>
  <si>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</si>
  <si>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</si>
  <si>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</si>
  <si>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</si>
  <si>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</si>
  <si>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</si>
  <si>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</si>
  <si>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</si>
  <si>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</si>
  <si>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</si>
  <si>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</si>
  <si>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</si>
  <si>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</si>
  <si>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</si>
  <si>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</si>
  <si>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</si>
  <si>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</si>
  <si>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</si>
  <si>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</si>
  <si>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</si>
  <si>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</si>
  <si>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</si>
  <si>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</si>
  <si>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</si>
  <si>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</si>
  <si>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</si>
  <si>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</si>
  <si>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</si>
  <si>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</si>
  <si>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</si>
  <si>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</si>
  <si>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</si>
  <si>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</si>
  <si>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</si>
  <si>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</si>
  <si>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</si>
  <si>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</si>
  <si>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</si>
  <si>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</si>
  <si>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</si>
  <si>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</si>
  <si>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</si>
  <si>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</si>
  <si>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</si>
  <si>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</si>
  <si>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</si>
  <si>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</si>
  <si>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</si>
  <si>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</si>
  <si>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</si>
  <si>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</si>
  <si>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</si>
  <si>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</si>
  <si>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</si>
  <si>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</si>
  <si>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</si>
  <si>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</si>
  <si>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</si>
  <si>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</si>
  <si>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</si>
  <si>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</si>
  <si>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</si>
  <si>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</si>
  <si>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</si>
  <si>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</si>
  <si>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</si>
  <si>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</si>
  <si>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</si>
  <si>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</si>
  <si>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</si>
  <si>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</si>
  <si>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</si>
  <si>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</si>
  <si>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</si>
  <si>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</si>
  <si>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</si>
  <si>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</si>
  <si>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</si>
  <si>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</si>
  <si>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</si>
  <si>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</si>
  <si>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</si>
  <si>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</si>
  <si>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</si>
  <si>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</si>
  <si>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</si>
  <si>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</si>
  <si>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</si>
  <si>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</si>
  <si>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</si>
  <si>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</si>
  <si>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</si>
  <si>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</si>
  <si>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</si>
  <si>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</si>
  <si>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</si>
  <si>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</si>
  <si>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</si>
  <si>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</si>
  <si>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</si>
  <si>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</si>
  <si>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</si>
  <si>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</si>
  <si>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</si>
  <si>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</si>
  <si>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</si>
  <si>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</si>
  <si>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</si>
  <si>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</si>
  <si>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</si>
  <si>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</si>
  <si>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</si>
  <si>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</si>
  <si>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</si>
  <si>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</si>
  <si>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</si>
  <si>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</si>
  <si>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</si>
  <si>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</si>
  <si>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</si>
  <si>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</si>
  <si>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</si>
  <si>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</si>
  <si>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</si>
  <si>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</si>
  <si>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</si>
  <si>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</si>
  <si>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</si>
  <si>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</si>
  <si>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</si>
  <si>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</si>
  <si>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</si>
  <si>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</si>
  <si>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</si>
  <si>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</si>
  <si>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</si>
  <si>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</si>
  <si>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</si>
  <si>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</si>
  <si>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</si>
  <si>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</si>
  <si>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</si>
  <si>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</si>
  <si>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</si>
  <si>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</si>
  <si>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</si>
  <si>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</si>
  <si>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</si>
  <si>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</si>
  <si>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</si>
  <si>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</si>
  <si>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</si>
  <si>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</si>
  <si>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</si>
  <si>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</si>
  <si>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</si>
  <si>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</si>
  <si>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</si>
  <si>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</si>
  <si>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</si>
  <si>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</si>
  <si>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</si>
  <si>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</si>
  <si>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</si>
  <si>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</si>
  <si>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</si>
  <si>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</si>
  <si>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</si>
  <si>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</si>
  <si>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</si>
  <si>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</si>
  <si>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</si>
  <si>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</si>
  <si>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</si>
  <si>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</si>
  <si>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</si>
  <si>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</si>
  <si>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</si>
  <si>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</si>
  <si>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</si>
  <si>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</si>
  <si>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</si>
  <si>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</si>
  <si>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TSO001092760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</si>
</sst>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 t="s">
        <v>917</v>
      </c>
      <c r="I5" s="657"/>
      <c r="J5" s="657"/>
      <c r="K5" s="657"/>
      <c r="L5" s="657"/>
      <c r="M5" s="657"/>
      <c r="N5" s="72"/>
      <c r="P5" s="27" t="s">
        <v>4</v>
      </c>
      <c r="Q5" s="659">
        <v>46267</v>
      </c>
      <c r="R5" s="659"/>
      <c r="T5" s="660" t="s">
        <v>3</v>
      </c>
      <c r="U5" s="661"/>
      <c r="V5" s="662" t="s">
        <v>877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893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Среда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6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0.54166666666666663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3">
        <v>4680115880283</v>
      </c>
      <c r="E57" s="72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3">
        <v>4680115881525</v>
      </c>
      <c r="E58" s="72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3">
        <v>4680115885899</v>
      </c>
      <c r="E59" s="72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23">
        <v>4680115881419</v>
      </c>
      <c r="E60" s="72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1"/>
      <c r="B61" s="731"/>
      <c r="C61" s="731"/>
      <c r="D61" s="731"/>
      <c r="E61" s="731"/>
      <c r="F61" s="731"/>
      <c r="G61" s="731"/>
      <c r="H61" s="731"/>
      <c r="I61" s="731"/>
      <c r="J61" s="731"/>
      <c r="K61" s="731"/>
      <c r="L61" s="731"/>
      <c r="M61" s="731"/>
      <c r="N61" s="731"/>
      <c r="O61" s="732"/>
      <c r="P61" s="728" t="s">
        <v>40</v>
      </c>
      <c r="Q61" s="729"/>
      <c r="R61" s="729"/>
      <c r="S61" s="729"/>
      <c r="T61" s="729"/>
      <c r="U61" s="729"/>
      <c r="V61" s="73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1"/>
      <c r="B62" s="731"/>
      <c r="C62" s="731"/>
      <c r="D62" s="731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2"/>
      <c r="P62" s="728" t="s">
        <v>40</v>
      </c>
      <c r="Q62" s="729"/>
      <c r="R62" s="729"/>
      <c r="S62" s="729"/>
      <c r="T62" s="729"/>
      <c r="U62" s="729"/>
      <c r="V62" s="73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2" t="s">
        <v>155</v>
      </c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2"/>
      <c r="P63" s="722"/>
      <c r="Q63" s="722"/>
      <c r="R63" s="722"/>
      <c r="S63" s="722"/>
      <c r="T63" s="722"/>
      <c r="U63" s="722"/>
      <c r="V63" s="722"/>
      <c r="W63" s="722"/>
      <c r="X63" s="722"/>
      <c r="Y63" s="722"/>
      <c r="Z63" s="72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23">
        <v>4680115881440</v>
      </c>
      <c r="E64" s="72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5"/>
      <c r="R64" s="725"/>
      <c r="S64" s="725"/>
      <c r="T64" s="72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3">
        <v>4680115885950</v>
      </c>
      <c r="E65" s="72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5"/>
      <c r="R65" s="725"/>
      <c r="S65" s="725"/>
      <c r="T65" s="72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3">
        <v>4680115887688</v>
      </c>
      <c r="E66" s="72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5"/>
      <c r="R66" s="725"/>
      <c r="S66" s="725"/>
      <c r="T66" s="72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23">
        <v>4680115881433</v>
      </c>
      <c r="E67" s="72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1"/>
      <c r="B68" s="731"/>
      <c r="C68" s="731"/>
      <c r="D68" s="731"/>
      <c r="E68" s="731"/>
      <c r="F68" s="731"/>
      <c r="G68" s="731"/>
      <c r="H68" s="731"/>
      <c r="I68" s="731"/>
      <c r="J68" s="731"/>
      <c r="K68" s="731"/>
      <c r="L68" s="731"/>
      <c r="M68" s="731"/>
      <c r="N68" s="731"/>
      <c r="O68" s="732"/>
      <c r="P68" s="728" t="s">
        <v>40</v>
      </c>
      <c r="Q68" s="729"/>
      <c r="R68" s="729"/>
      <c r="S68" s="729"/>
      <c r="T68" s="729"/>
      <c r="U68" s="729"/>
      <c r="V68" s="73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1"/>
      <c r="B69" s="731"/>
      <c r="C69" s="731"/>
      <c r="D69" s="731"/>
      <c r="E69" s="731"/>
      <c r="F69" s="731"/>
      <c r="G69" s="731"/>
      <c r="H69" s="731"/>
      <c r="I69" s="731"/>
      <c r="J69" s="731"/>
      <c r="K69" s="731"/>
      <c r="L69" s="731"/>
      <c r="M69" s="731"/>
      <c r="N69" s="731"/>
      <c r="O69" s="732"/>
      <c r="P69" s="728" t="s">
        <v>40</v>
      </c>
      <c r="Q69" s="729"/>
      <c r="R69" s="729"/>
      <c r="S69" s="729"/>
      <c r="T69" s="729"/>
      <c r="U69" s="729"/>
      <c r="V69" s="73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2" t="s">
        <v>86</v>
      </c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2"/>
      <c r="P70" s="722"/>
      <c r="Q70" s="722"/>
      <c r="R70" s="722"/>
      <c r="S70" s="722"/>
      <c r="T70" s="722"/>
      <c r="U70" s="722"/>
      <c r="V70" s="722"/>
      <c r="W70" s="722"/>
      <c r="X70" s="722"/>
      <c r="Y70" s="722"/>
      <c r="Z70" s="72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3">
        <v>4680115884311</v>
      </c>
      <c r="E71" s="72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3">
        <v>4680115884403</v>
      </c>
      <c r="E72" s="72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5"/>
      <c r="R72" s="725"/>
      <c r="S72" s="725"/>
      <c r="T72" s="72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3">
        <v>4680115884403</v>
      </c>
      <c r="E73" s="72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5"/>
      <c r="R73" s="725"/>
      <c r="S73" s="725"/>
      <c r="T73" s="72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1"/>
      <c r="B74" s="731"/>
      <c r="C74" s="731"/>
      <c r="D74" s="731"/>
      <c r="E74" s="731"/>
      <c r="F74" s="731"/>
      <c r="G74" s="731"/>
      <c r="H74" s="731"/>
      <c r="I74" s="731"/>
      <c r="J74" s="731"/>
      <c r="K74" s="731"/>
      <c r="L74" s="731"/>
      <c r="M74" s="731"/>
      <c r="N74" s="731"/>
      <c r="O74" s="732"/>
      <c r="P74" s="728" t="s">
        <v>40</v>
      </c>
      <c r="Q74" s="729"/>
      <c r="R74" s="729"/>
      <c r="S74" s="729"/>
      <c r="T74" s="729"/>
      <c r="U74" s="729"/>
      <c r="V74" s="73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1"/>
      <c r="B75" s="731"/>
      <c r="C75" s="731"/>
      <c r="D75" s="731"/>
      <c r="E75" s="731"/>
      <c r="F75" s="731"/>
      <c r="G75" s="731"/>
      <c r="H75" s="731"/>
      <c r="I75" s="731"/>
      <c r="J75" s="731"/>
      <c r="K75" s="731"/>
      <c r="L75" s="731"/>
      <c r="M75" s="731"/>
      <c r="N75" s="731"/>
      <c r="O75" s="732"/>
      <c r="P75" s="728" t="s">
        <v>40</v>
      </c>
      <c r="Q75" s="729"/>
      <c r="R75" s="729"/>
      <c r="S75" s="729"/>
      <c r="T75" s="729"/>
      <c r="U75" s="729"/>
      <c r="V75" s="73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2" t="s">
        <v>173</v>
      </c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2"/>
      <c r="P76" s="722"/>
      <c r="Q76" s="722"/>
      <c r="R76" s="722"/>
      <c r="S76" s="722"/>
      <c r="T76" s="722"/>
      <c r="U76" s="722"/>
      <c r="V76" s="722"/>
      <c r="W76" s="722"/>
      <c r="X76" s="722"/>
      <c r="Y76" s="722"/>
      <c r="Z76" s="72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23">
        <v>4680115881532</v>
      </c>
      <c r="E77" s="72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5"/>
      <c r="R77" s="725"/>
      <c r="S77" s="725"/>
      <c r="T77" s="72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3">
        <v>4680115881532</v>
      </c>
      <c r="E78" s="72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5"/>
      <c r="R78" s="725"/>
      <c r="S78" s="725"/>
      <c r="T78" s="72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3">
        <v>4680115881464</v>
      </c>
      <c r="E79" s="72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5"/>
      <c r="R79" s="725"/>
      <c r="S79" s="725"/>
      <c r="T79" s="72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3">
        <v>4680115881464</v>
      </c>
      <c r="E80" s="7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1"/>
      <c r="B81" s="731"/>
      <c r="C81" s="731"/>
      <c r="D81" s="731"/>
      <c r="E81" s="731"/>
      <c r="F81" s="731"/>
      <c r="G81" s="731"/>
      <c r="H81" s="731"/>
      <c r="I81" s="731"/>
      <c r="J81" s="731"/>
      <c r="K81" s="731"/>
      <c r="L81" s="731"/>
      <c r="M81" s="731"/>
      <c r="N81" s="731"/>
      <c r="O81" s="732"/>
      <c r="P81" s="728" t="s">
        <v>40</v>
      </c>
      <c r="Q81" s="729"/>
      <c r="R81" s="729"/>
      <c r="S81" s="729"/>
      <c r="T81" s="729"/>
      <c r="U81" s="729"/>
      <c r="V81" s="73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1"/>
      <c r="B82" s="731"/>
      <c r="C82" s="731"/>
      <c r="D82" s="731"/>
      <c r="E82" s="731"/>
      <c r="F82" s="731"/>
      <c r="G82" s="731"/>
      <c r="H82" s="731"/>
      <c r="I82" s="731"/>
      <c r="J82" s="731"/>
      <c r="K82" s="731"/>
      <c r="L82" s="731"/>
      <c r="M82" s="731"/>
      <c r="N82" s="731"/>
      <c r="O82" s="732"/>
      <c r="P82" s="728" t="s">
        <v>40</v>
      </c>
      <c r="Q82" s="729"/>
      <c r="R82" s="729"/>
      <c r="S82" s="729"/>
      <c r="T82" s="729"/>
      <c r="U82" s="729"/>
      <c r="V82" s="73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1" t="s">
        <v>182</v>
      </c>
      <c r="B83" s="721"/>
      <c r="C83" s="721"/>
      <c r="D83" s="721"/>
      <c r="E83" s="721"/>
      <c r="F83" s="721"/>
      <c r="G83" s="721"/>
      <c r="H83" s="721"/>
      <c r="I83" s="721"/>
      <c r="J83" s="721"/>
      <c r="K83" s="721"/>
      <c r="L83" s="721"/>
      <c r="M83" s="721"/>
      <c r="N83" s="721"/>
      <c r="O83" s="721"/>
      <c r="P83" s="721"/>
      <c r="Q83" s="721"/>
      <c r="R83" s="721"/>
      <c r="S83" s="721"/>
      <c r="T83" s="721"/>
      <c r="U83" s="721"/>
      <c r="V83" s="721"/>
      <c r="W83" s="721"/>
      <c r="X83" s="721"/>
      <c r="Y83" s="721"/>
      <c r="Z83" s="721"/>
      <c r="AA83" s="65"/>
      <c r="AB83" s="65"/>
      <c r="AC83" s="79"/>
    </row>
    <row r="84" spans="1:68" ht="14.25" hidden="1" customHeight="1" x14ac:dyDescent="0.25">
      <c r="A84" s="722" t="s">
        <v>122</v>
      </c>
      <c r="B84" s="722"/>
      <c r="C84" s="722"/>
      <c r="D84" s="722"/>
      <c r="E84" s="722"/>
      <c r="F84" s="722"/>
      <c r="G84" s="722"/>
      <c r="H84" s="722"/>
      <c r="I84" s="722"/>
      <c r="J84" s="722"/>
      <c r="K84" s="722"/>
      <c r="L84" s="722"/>
      <c r="M84" s="722"/>
      <c r="N84" s="722"/>
      <c r="O84" s="722"/>
      <c r="P84" s="722"/>
      <c r="Q84" s="722"/>
      <c r="R84" s="722"/>
      <c r="S84" s="722"/>
      <c r="T84" s="722"/>
      <c r="U84" s="722"/>
      <c r="V84" s="722"/>
      <c r="W84" s="722"/>
      <c r="X84" s="722"/>
      <c r="Y84" s="722"/>
      <c r="Z84" s="72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23">
        <v>4680115881327</v>
      </c>
      <c r="E85" s="7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5"/>
      <c r="R85" s="725"/>
      <c r="S85" s="725"/>
      <c r="T85" s="72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3">
        <v>4680115887732</v>
      </c>
      <c r="E86" s="72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5"/>
      <c r="R86" s="725"/>
      <c r="S86" s="725"/>
      <c r="T86" s="72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3">
        <v>4680115887732</v>
      </c>
      <c r="E87" s="72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6" t="s">
        <v>190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3">
        <v>4680115881518</v>
      </c>
      <c r="E88" s="72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3">
        <v>4680115881303</v>
      </c>
      <c r="E89" s="72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1"/>
      <c r="B90" s="731"/>
      <c r="C90" s="731"/>
      <c r="D90" s="731"/>
      <c r="E90" s="731"/>
      <c r="F90" s="731"/>
      <c r="G90" s="731"/>
      <c r="H90" s="731"/>
      <c r="I90" s="731"/>
      <c r="J90" s="731"/>
      <c r="K90" s="731"/>
      <c r="L90" s="731"/>
      <c r="M90" s="731"/>
      <c r="N90" s="731"/>
      <c r="O90" s="732"/>
      <c r="P90" s="728" t="s">
        <v>40</v>
      </c>
      <c r="Q90" s="729"/>
      <c r="R90" s="729"/>
      <c r="S90" s="729"/>
      <c r="T90" s="729"/>
      <c r="U90" s="729"/>
      <c r="V90" s="73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1"/>
      <c r="B91" s="731"/>
      <c r="C91" s="731"/>
      <c r="D91" s="731"/>
      <c r="E91" s="731"/>
      <c r="F91" s="731"/>
      <c r="G91" s="731"/>
      <c r="H91" s="731"/>
      <c r="I91" s="731"/>
      <c r="J91" s="731"/>
      <c r="K91" s="731"/>
      <c r="L91" s="731"/>
      <c r="M91" s="731"/>
      <c r="N91" s="731"/>
      <c r="O91" s="732"/>
      <c r="P91" s="728" t="s">
        <v>40</v>
      </c>
      <c r="Q91" s="729"/>
      <c r="R91" s="729"/>
      <c r="S91" s="729"/>
      <c r="T91" s="729"/>
      <c r="U91" s="729"/>
      <c r="V91" s="73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2" t="s">
        <v>86</v>
      </c>
      <c r="B92" s="722"/>
      <c r="C92" s="722"/>
      <c r="D92" s="722"/>
      <c r="E92" s="722"/>
      <c r="F92" s="722"/>
      <c r="G92" s="722"/>
      <c r="H92" s="722"/>
      <c r="I92" s="722"/>
      <c r="J92" s="722"/>
      <c r="K92" s="722"/>
      <c r="L92" s="722"/>
      <c r="M92" s="722"/>
      <c r="N92" s="722"/>
      <c r="O92" s="722"/>
      <c r="P92" s="722"/>
      <c r="Q92" s="722"/>
      <c r="R92" s="722"/>
      <c r="S92" s="722"/>
      <c r="T92" s="722"/>
      <c r="U92" s="722"/>
      <c r="V92" s="722"/>
      <c r="W92" s="722"/>
      <c r="X92" s="722"/>
      <c r="Y92" s="722"/>
      <c r="Z92" s="72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23">
        <v>4607091386967</v>
      </c>
      <c r="E93" s="72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5"/>
      <c r="R93" s="725"/>
      <c r="S93" s="725"/>
      <c r="T93" s="72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3">
        <v>4607091386967</v>
      </c>
      <c r="E94" s="72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0" t="s">
        <v>199</v>
      </c>
      <c r="Q94" s="725"/>
      <c r="R94" s="725"/>
      <c r="S94" s="725"/>
      <c r="T94" s="72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3">
        <v>4680115884953</v>
      </c>
      <c r="E95" s="72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723">
        <v>4607091385731</v>
      </c>
      <c r="E96" s="72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">
        <v>205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3">
        <v>4680115887718</v>
      </c>
      <c r="E104" s="72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3">
        <v>4680115887718</v>
      </c>
      <c r="E105" s="723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3">
        <v>4680115887718</v>
      </c>
      <c r="E106" s="723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3">
        <v>4680115880429</v>
      </c>
      <c r="E109" s="72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1" t="s">
        <v>223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1"/>
      <c r="B111" s="731"/>
      <c r="C111" s="731"/>
      <c r="D111" s="731"/>
      <c r="E111" s="731"/>
      <c r="F111" s="731"/>
      <c r="G111" s="731"/>
      <c r="H111" s="731"/>
      <c r="I111" s="731"/>
      <c r="J111" s="731"/>
      <c r="K111" s="731"/>
      <c r="L111" s="731"/>
      <c r="M111" s="731"/>
      <c r="N111" s="731"/>
      <c r="O111" s="732"/>
      <c r="P111" s="728" t="s">
        <v>40</v>
      </c>
      <c r="Q111" s="729"/>
      <c r="R111" s="729"/>
      <c r="S111" s="729"/>
      <c r="T111" s="729"/>
      <c r="U111" s="729"/>
      <c r="V111" s="73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2" t="s">
        <v>155</v>
      </c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2"/>
      <c r="P113" s="722"/>
      <c r="Q113" s="722"/>
      <c r="R113" s="722"/>
      <c r="S113" s="722"/>
      <c r="T113" s="722"/>
      <c r="U113" s="722"/>
      <c r="V113" s="722"/>
      <c r="W113" s="722"/>
      <c r="X113" s="722"/>
      <c r="Y113" s="722"/>
      <c r="Z113" s="722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3">
        <v>4680115881488</v>
      </c>
      <c r="E114" s="723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5"/>
      <c r="R114" s="725"/>
      <c r="S114" s="725"/>
      <c r="T114" s="72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3">
        <v>4680115887664</v>
      </c>
      <c r="E115" s="723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3">
        <v>4680115887664</v>
      </c>
      <c r="E116" s="723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3">
        <v>4680115882775</v>
      </c>
      <c r="E117" s="723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3">
        <v>4680115880658</v>
      </c>
      <c r="E118" s="72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5"/>
      <c r="R118" s="725"/>
      <c r="S118" s="725"/>
      <c r="T118" s="72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1"/>
      <c r="B120" s="731"/>
      <c r="C120" s="731"/>
      <c r="D120" s="731"/>
      <c r="E120" s="731"/>
      <c r="F120" s="731"/>
      <c r="G120" s="731"/>
      <c r="H120" s="731"/>
      <c r="I120" s="731"/>
      <c r="J120" s="731"/>
      <c r="K120" s="731"/>
      <c r="L120" s="731"/>
      <c r="M120" s="731"/>
      <c r="N120" s="731"/>
      <c r="O120" s="732"/>
      <c r="P120" s="728" t="s">
        <v>40</v>
      </c>
      <c r="Q120" s="729"/>
      <c r="R120" s="729"/>
      <c r="S120" s="729"/>
      <c r="T120" s="729"/>
      <c r="U120" s="729"/>
      <c r="V120" s="73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2" t="s">
        <v>86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2"/>
      <c r="P121" s="722"/>
      <c r="Q121" s="722"/>
      <c r="R121" s="722"/>
      <c r="S121" s="722"/>
      <c r="T121" s="722"/>
      <c r="U121" s="722"/>
      <c r="V121" s="722"/>
      <c r="W121" s="722"/>
      <c r="X121" s="722"/>
      <c r="Y121" s="722"/>
      <c r="Z121" s="722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723">
        <v>4607091385168</v>
      </c>
      <c r="E122" s="72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3">
        <v>4607091385168</v>
      </c>
      <c r="E123" s="72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89" t="s">
        <v>243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3">
        <v>4607091383256</v>
      </c>
      <c r="E124" s="72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723">
        <v>4607091385748</v>
      </c>
      <c r="E125" s="72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5"/>
      <c r="R125" s="725"/>
      <c r="S125" s="725"/>
      <c r="T125" s="72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3">
        <v>4607091385748</v>
      </c>
      <c r="E126" s="723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2" t="s">
        <v>249</v>
      </c>
      <c r="Q126" s="725"/>
      <c r="R126" s="725"/>
      <c r="S126" s="725"/>
      <c r="T126" s="72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723">
        <v>4680115884533</v>
      </c>
      <c r="E127" s="723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5"/>
      <c r="R127" s="725"/>
      <c r="S127" s="725"/>
      <c r="T127" s="72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3">
        <v>4680115884533</v>
      </c>
      <c r="E128" s="723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4" t="s">
        <v>254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2" t="s">
        <v>173</v>
      </c>
      <c r="B131" s="722"/>
      <c r="C131" s="722"/>
      <c r="D131" s="722"/>
      <c r="E131" s="722"/>
      <c r="F131" s="722"/>
      <c r="G131" s="722"/>
      <c r="H131" s="722"/>
      <c r="I131" s="722"/>
      <c r="J131" s="722"/>
      <c r="K131" s="722"/>
      <c r="L131" s="722"/>
      <c r="M131" s="722"/>
      <c r="N131" s="722"/>
      <c r="O131" s="722"/>
      <c r="P131" s="722"/>
      <c r="Q131" s="722"/>
      <c r="R131" s="722"/>
      <c r="S131" s="722"/>
      <c r="T131" s="722"/>
      <c r="U131" s="722"/>
      <c r="V131" s="722"/>
      <c r="W131" s="722"/>
      <c r="X131" s="722"/>
      <c r="Y131" s="722"/>
      <c r="Z131" s="722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723">
        <v>4680115880238</v>
      </c>
      <c r="E132" s="723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5"/>
      <c r="R132" s="725"/>
      <c r="S132" s="725"/>
      <c r="T132" s="72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3">
        <v>4680115880238</v>
      </c>
      <c r="E133" s="723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6" t="s">
        <v>259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1"/>
      <c r="B134" s="731"/>
      <c r="C134" s="731"/>
      <c r="D134" s="731"/>
      <c r="E134" s="731"/>
      <c r="F134" s="731"/>
      <c r="G134" s="731"/>
      <c r="H134" s="731"/>
      <c r="I134" s="731"/>
      <c r="J134" s="731"/>
      <c r="K134" s="731"/>
      <c r="L134" s="731"/>
      <c r="M134" s="731"/>
      <c r="N134" s="731"/>
      <c r="O134" s="732"/>
      <c r="P134" s="728" t="s">
        <v>40</v>
      </c>
      <c r="Q134" s="729"/>
      <c r="R134" s="729"/>
      <c r="S134" s="729"/>
      <c r="T134" s="729"/>
      <c r="U134" s="729"/>
      <c r="V134" s="73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1" t="s">
        <v>260</v>
      </c>
      <c r="B136" s="721"/>
      <c r="C136" s="721"/>
      <c r="D136" s="721"/>
      <c r="E136" s="721"/>
      <c r="F136" s="721"/>
      <c r="G136" s="721"/>
      <c r="H136" s="721"/>
      <c r="I136" s="721"/>
      <c r="J136" s="721"/>
      <c r="K136" s="721"/>
      <c r="L136" s="721"/>
      <c r="M136" s="721"/>
      <c r="N136" s="721"/>
      <c r="O136" s="721"/>
      <c r="P136" s="721"/>
      <c r="Q136" s="721"/>
      <c r="R136" s="721"/>
      <c r="S136" s="721"/>
      <c r="T136" s="721"/>
      <c r="U136" s="721"/>
      <c r="V136" s="721"/>
      <c r="W136" s="721"/>
      <c r="X136" s="721"/>
      <c r="Y136" s="721"/>
      <c r="Z136" s="721"/>
      <c r="AA136" s="65"/>
      <c r="AB136" s="65"/>
      <c r="AC136" s="79"/>
    </row>
    <row r="137" spans="1:68" ht="14.25" hidden="1" customHeight="1" x14ac:dyDescent="0.25">
      <c r="A137" s="722" t="s">
        <v>122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3">
        <v>4680115882577</v>
      </c>
      <c r="E138" s="723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723">
        <v>4680115882577</v>
      </c>
      <c r="E139" s="723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2" t="s">
        <v>77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723">
        <v>4680115883444</v>
      </c>
      <c r="E143" s="723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3">
        <v>4680115883444</v>
      </c>
      <c r="E144" s="723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2" t="s">
        <v>86</v>
      </c>
      <c r="B147" s="722"/>
      <c r="C147" s="722"/>
      <c r="D147" s="722"/>
      <c r="E147" s="722"/>
      <c r="F147" s="722"/>
      <c r="G147" s="722"/>
      <c r="H147" s="722"/>
      <c r="I147" s="722"/>
      <c r="J147" s="722"/>
      <c r="K147" s="722"/>
      <c r="L147" s="722"/>
      <c r="M147" s="722"/>
      <c r="N147" s="722"/>
      <c r="O147" s="722"/>
      <c r="P147" s="722"/>
      <c r="Q147" s="722"/>
      <c r="R147" s="722"/>
      <c r="S147" s="722"/>
      <c r="T147" s="722"/>
      <c r="U147" s="722"/>
      <c r="V147" s="722"/>
      <c r="W147" s="722"/>
      <c r="X147" s="722"/>
      <c r="Y147" s="722"/>
      <c r="Z147" s="722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723">
        <v>4680115882584</v>
      </c>
      <c r="E148" s="723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5"/>
      <c r="R148" s="725"/>
      <c r="S148" s="725"/>
      <c r="T148" s="726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3">
        <v>4680115882584</v>
      </c>
      <c r="E149" s="723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1"/>
      <c r="B150" s="731"/>
      <c r="C150" s="731"/>
      <c r="D150" s="731"/>
      <c r="E150" s="731"/>
      <c r="F150" s="731"/>
      <c r="G150" s="731"/>
      <c r="H150" s="731"/>
      <c r="I150" s="731"/>
      <c r="J150" s="731"/>
      <c r="K150" s="731"/>
      <c r="L150" s="731"/>
      <c r="M150" s="731"/>
      <c r="N150" s="731"/>
      <c r="O150" s="732"/>
      <c r="P150" s="728" t="s">
        <v>40</v>
      </c>
      <c r="Q150" s="729"/>
      <c r="R150" s="729"/>
      <c r="S150" s="729"/>
      <c r="T150" s="729"/>
      <c r="U150" s="729"/>
      <c r="V150" s="73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1"/>
      <c r="B151" s="731"/>
      <c r="C151" s="731"/>
      <c r="D151" s="731"/>
      <c r="E151" s="731"/>
      <c r="F151" s="731"/>
      <c r="G151" s="731"/>
      <c r="H151" s="731"/>
      <c r="I151" s="731"/>
      <c r="J151" s="731"/>
      <c r="K151" s="731"/>
      <c r="L151" s="731"/>
      <c r="M151" s="731"/>
      <c r="N151" s="731"/>
      <c r="O151" s="732"/>
      <c r="P151" s="728" t="s">
        <v>40</v>
      </c>
      <c r="Q151" s="729"/>
      <c r="R151" s="729"/>
      <c r="S151" s="729"/>
      <c r="T151" s="729"/>
      <c r="U151" s="729"/>
      <c r="V151" s="73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1" t="s">
        <v>273</v>
      </c>
      <c r="B152" s="721"/>
      <c r="C152" s="721"/>
      <c r="D152" s="721"/>
      <c r="E152" s="721"/>
      <c r="F152" s="721"/>
      <c r="G152" s="721"/>
      <c r="H152" s="721"/>
      <c r="I152" s="721"/>
      <c r="J152" s="721"/>
      <c r="K152" s="721"/>
      <c r="L152" s="721"/>
      <c r="M152" s="721"/>
      <c r="N152" s="721"/>
      <c r="O152" s="721"/>
      <c r="P152" s="721"/>
      <c r="Q152" s="721"/>
      <c r="R152" s="721"/>
      <c r="S152" s="721"/>
      <c r="T152" s="721"/>
      <c r="U152" s="721"/>
      <c r="V152" s="721"/>
      <c r="W152" s="721"/>
      <c r="X152" s="721"/>
      <c r="Y152" s="721"/>
      <c r="Z152" s="721"/>
      <c r="AA152" s="65"/>
      <c r="AB152" s="65"/>
      <c r="AC152" s="79"/>
    </row>
    <row r="153" spans="1:68" ht="14.25" hidden="1" customHeight="1" x14ac:dyDescent="0.25">
      <c r="A153" s="722" t="s">
        <v>86</v>
      </c>
      <c r="B153" s="722"/>
      <c r="C153" s="722"/>
      <c r="D153" s="722"/>
      <c r="E153" s="722"/>
      <c r="F153" s="722"/>
      <c r="G153" s="722"/>
      <c r="H153" s="722"/>
      <c r="I153" s="722"/>
      <c r="J153" s="722"/>
      <c r="K153" s="722"/>
      <c r="L153" s="722"/>
      <c r="M153" s="722"/>
      <c r="N153" s="722"/>
      <c r="O153" s="722"/>
      <c r="P153" s="722"/>
      <c r="Q153" s="722"/>
      <c r="R153" s="722"/>
      <c r="S153" s="722"/>
      <c r="T153" s="722"/>
      <c r="U153" s="722"/>
      <c r="V153" s="722"/>
      <c r="W153" s="722"/>
      <c r="X153" s="722"/>
      <c r="Y153" s="722"/>
      <c r="Z153" s="722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3">
        <v>4680115888203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3">
        <v>4680115888180</v>
      </c>
      <c r="E155" s="723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5"/>
      <c r="R155" s="725"/>
      <c r="S155" s="725"/>
      <c r="T155" s="72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3">
        <v>4680115888180</v>
      </c>
      <c r="E156" s="72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5"/>
      <c r="R156" s="725"/>
      <c r="S156" s="725"/>
      <c r="T156" s="72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3">
        <v>4680115888197</v>
      </c>
      <c r="E157" s="72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5"/>
      <c r="R157" s="725"/>
      <c r="S157" s="725"/>
      <c r="T157" s="72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3">
        <v>4680115888197</v>
      </c>
      <c r="E158" s="72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3">
        <v>4680115888210</v>
      </c>
      <c r="E159" s="72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5"/>
      <c r="R159" s="725"/>
      <c r="S159" s="725"/>
      <c r="T159" s="72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3">
        <v>4680115888210</v>
      </c>
      <c r="E160" s="72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5"/>
      <c r="R160" s="725"/>
      <c r="S160" s="725"/>
      <c r="T160" s="72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1"/>
      <c r="B161" s="731"/>
      <c r="C161" s="731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2"/>
      <c r="P161" s="728" t="s">
        <v>40</v>
      </c>
      <c r="Q161" s="729"/>
      <c r="R161" s="729"/>
      <c r="S161" s="729"/>
      <c r="T161" s="729"/>
      <c r="U161" s="729"/>
      <c r="V161" s="73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1"/>
      <c r="B162" s="731"/>
      <c r="C162" s="731"/>
      <c r="D162" s="731"/>
      <c r="E162" s="731"/>
      <c r="F162" s="731"/>
      <c r="G162" s="731"/>
      <c r="H162" s="731"/>
      <c r="I162" s="731"/>
      <c r="J162" s="731"/>
      <c r="K162" s="731"/>
      <c r="L162" s="731"/>
      <c r="M162" s="731"/>
      <c r="N162" s="731"/>
      <c r="O162" s="732"/>
      <c r="P162" s="728" t="s">
        <v>40</v>
      </c>
      <c r="Q162" s="729"/>
      <c r="R162" s="729"/>
      <c r="S162" s="729"/>
      <c r="T162" s="729"/>
      <c r="U162" s="729"/>
      <c r="V162" s="73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2" t="s">
        <v>289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722"/>
      <c r="O163" s="722"/>
      <c r="P163" s="722"/>
      <c r="Q163" s="722"/>
      <c r="R163" s="722"/>
      <c r="S163" s="722"/>
      <c r="T163" s="722"/>
      <c r="U163" s="722"/>
      <c r="V163" s="722"/>
      <c r="W163" s="722"/>
      <c r="X163" s="722"/>
      <c r="Y163" s="722"/>
      <c r="Z163" s="72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3">
        <v>4680115889132</v>
      </c>
      <c r="E164" s="723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1"/>
      <c r="B165" s="731"/>
      <c r="C165" s="731"/>
      <c r="D165" s="731"/>
      <c r="E165" s="731"/>
      <c r="F165" s="731"/>
      <c r="G165" s="731"/>
      <c r="H165" s="731"/>
      <c r="I165" s="731"/>
      <c r="J165" s="731"/>
      <c r="K165" s="731"/>
      <c r="L165" s="731"/>
      <c r="M165" s="731"/>
      <c r="N165" s="731"/>
      <c r="O165" s="732"/>
      <c r="P165" s="728" t="s">
        <v>40</v>
      </c>
      <c r="Q165" s="729"/>
      <c r="R165" s="729"/>
      <c r="S165" s="729"/>
      <c r="T165" s="729"/>
      <c r="U165" s="729"/>
      <c r="V165" s="73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1"/>
      <c r="B166" s="731"/>
      <c r="C166" s="731"/>
      <c r="D166" s="731"/>
      <c r="E166" s="731"/>
      <c r="F166" s="731"/>
      <c r="G166" s="731"/>
      <c r="H166" s="731"/>
      <c r="I166" s="731"/>
      <c r="J166" s="731"/>
      <c r="K166" s="731"/>
      <c r="L166" s="731"/>
      <c r="M166" s="731"/>
      <c r="N166" s="731"/>
      <c r="O166" s="732"/>
      <c r="P166" s="728" t="s">
        <v>40</v>
      </c>
      <c r="Q166" s="729"/>
      <c r="R166" s="729"/>
      <c r="S166" s="729"/>
      <c r="T166" s="729"/>
      <c r="U166" s="729"/>
      <c r="V166" s="73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1" t="s">
        <v>120</v>
      </c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1"/>
      <c r="P167" s="721"/>
      <c r="Q167" s="721"/>
      <c r="R167" s="721"/>
      <c r="S167" s="721"/>
      <c r="T167" s="721"/>
      <c r="U167" s="721"/>
      <c r="V167" s="721"/>
      <c r="W167" s="721"/>
      <c r="X167" s="721"/>
      <c r="Y167" s="721"/>
      <c r="Z167" s="721"/>
      <c r="AA167" s="65"/>
      <c r="AB167" s="65"/>
      <c r="AC167" s="79"/>
    </row>
    <row r="168" spans="1:68" ht="14.25" hidden="1" customHeight="1" x14ac:dyDescent="0.25">
      <c r="A168" s="722" t="s">
        <v>122</v>
      </c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2"/>
      <c r="P168" s="722"/>
      <c r="Q168" s="722"/>
      <c r="R168" s="722"/>
      <c r="S168" s="722"/>
      <c r="T168" s="722"/>
      <c r="U168" s="722"/>
      <c r="V168" s="722"/>
      <c r="W168" s="722"/>
      <c r="X168" s="722"/>
      <c r="Y168" s="722"/>
      <c r="Z168" s="722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3">
        <v>4680115887374</v>
      </c>
      <c r="E169" s="723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5"/>
      <c r="R169" s="725"/>
      <c r="S169" s="725"/>
      <c r="T169" s="72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3">
        <v>4607091384604</v>
      </c>
      <c r="E170" s="723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3">
        <v>4680115888876</v>
      </c>
      <c r="E171" s="723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2" t="s">
        <v>155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723">
        <v>4680115887695</v>
      </c>
      <c r="E175" s="723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3">
        <v>4680115889491</v>
      </c>
      <c r="E176" s="723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1"/>
      <c r="B177" s="731"/>
      <c r="C177" s="731"/>
      <c r="D177" s="731"/>
      <c r="E177" s="731"/>
      <c r="F177" s="731"/>
      <c r="G177" s="731"/>
      <c r="H177" s="731"/>
      <c r="I177" s="731"/>
      <c r="J177" s="731"/>
      <c r="K177" s="731"/>
      <c r="L177" s="731"/>
      <c r="M177" s="731"/>
      <c r="N177" s="731"/>
      <c r="O177" s="732"/>
      <c r="P177" s="728" t="s">
        <v>40</v>
      </c>
      <c r="Q177" s="729"/>
      <c r="R177" s="729"/>
      <c r="S177" s="729"/>
      <c r="T177" s="729"/>
      <c r="U177" s="729"/>
      <c r="V177" s="73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1"/>
      <c r="B178" s="731"/>
      <c r="C178" s="731"/>
      <c r="D178" s="731"/>
      <c r="E178" s="731"/>
      <c r="F178" s="731"/>
      <c r="G178" s="731"/>
      <c r="H178" s="731"/>
      <c r="I178" s="731"/>
      <c r="J178" s="731"/>
      <c r="K178" s="731"/>
      <c r="L178" s="731"/>
      <c r="M178" s="731"/>
      <c r="N178" s="731"/>
      <c r="O178" s="732"/>
      <c r="P178" s="728" t="s">
        <v>40</v>
      </c>
      <c r="Q178" s="729"/>
      <c r="R178" s="729"/>
      <c r="S178" s="729"/>
      <c r="T178" s="729"/>
      <c r="U178" s="729"/>
      <c r="V178" s="73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2" t="s">
        <v>77</v>
      </c>
      <c r="B179" s="722"/>
      <c r="C179" s="722"/>
      <c r="D179" s="722"/>
      <c r="E179" s="722"/>
      <c r="F179" s="722"/>
      <c r="G179" s="722"/>
      <c r="H179" s="722"/>
      <c r="I179" s="722"/>
      <c r="J179" s="722"/>
      <c r="K179" s="722"/>
      <c r="L179" s="722"/>
      <c r="M179" s="722"/>
      <c r="N179" s="722"/>
      <c r="O179" s="722"/>
      <c r="P179" s="722"/>
      <c r="Q179" s="722"/>
      <c r="R179" s="722"/>
      <c r="S179" s="722"/>
      <c r="T179" s="722"/>
      <c r="U179" s="722"/>
      <c r="V179" s="722"/>
      <c r="W179" s="722"/>
      <c r="X179" s="722"/>
      <c r="Y179" s="722"/>
      <c r="Z179" s="722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723">
        <v>4680115887428</v>
      </c>
      <c r="E180" s="723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723">
        <v>4680115889170</v>
      </c>
      <c r="E181" s="723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723">
        <v>4680115887398</v>
      </c>
      <c r="E182" s="72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1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723">
        <v>4680115887336</v>
      </c>
      <c r="E183" s="723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1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3">
        <v>4680115887336</v>
      </c>
      <c r="E184" s="72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0" t="s">
        <v>324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723">
        <v>4680115887787</v>
      </c>
      <c r="E185" s="723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3">
        <v>4680115887787</v>
      </c>
      <c r="E186" s="723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2" t="s">
        <v>330</v>
      </c>
      <c r="Q186" s="725"/>
      <c r="R186" s="725"/>
      <c r="S186" s="725"/>
      <c r="T186" s="72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723">
        <v>4680115887503</v>
      </c>
      <c r="E187" s="723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5"/>
      <c r="R187" s="725"/>
      <c r="S187" s="725"/>
      <c r="T187" s="72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3">
        <v>4680115887763</v>
      </c>
      <c r="E188" s="72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5"/>
      <c r="R188" s="725"/>
      <c r="S188" s="725"/>
      <c r="T188" s="72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723">
        <v>4680115887480</v>
      </c>
      <c r="E189" s="723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3">
        <v>4680115888067</v>
      </c>
      <c r="E190" s="723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723">
        <v>4680115887435</v>
      </c>
      <c r="E191" s="72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86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3">
        <v>4680115888395</v>
      </c>
      <c r="E195" s="723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3">
        <v>4680115888371</v>
      </c>
      <c r="E196" s="723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5"/>
      <c r="R196" s="725"/>
      <c r="S196" s="725"/>
      <c r="T196" s="72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3">
        <v>4680115887459</v>
      </c>
      <c r="E197" s="723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5"/>
      <c r="R197" s="725"/>
      <c r="S197" s="725"/>
      <c r="T197" s="72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1"/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2"/>
      <c r="P198" s="728" t="s">
        <v>40</v>
      </c>
      <c r="Q198" s="729"/>
      <c r="R198" s="729"/>
      <c r="S198" s="729"/>
      <c r="T198" s="729"/>
      <c r="U198" s="729"/>
      <c r="V198" s="73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1"/>
      <c r="B199" s="731"/>
      <c r="C199" s="731"/>
      <c r="D199" s="731"/>
      <c r="E199" s="731"/>
      <c r="F199" s="731"/>
      <c r="G199" s="731"/>
      <c r="H199" s="731"/>
      <c r="I199" s="731"/>
      <c r="J199" s="731"/>
      <c r="K199" s="731"/>
      <c r="L199" s="731"/>
      <c r="M199" s="731"/>
      <c r="N199" s="731"/>
      <c r="O199" s="732"/>
      <c r="P199" s="728" t="s">
        <v>40</v>
      </c>
      <c r="Q199" s="729"/>
      <c r="R199" s="729"/>
      <c r="S199" s="729"/>
      <c r="T199" s="729"/>
      <c r="U199" s="729"/>
      <c r="V199" s="73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2" t="s">
        <v>289</v>
      </c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2"/>
      <c r="P200" s="722"/>
      <c r="Q200" s="722"/>
      <c r="R200" s="722"/>
      <c r="S200" s="722"/>
      <c r="T200" s="722"/>
      <c r="U200" s="722"/>
      <c r="V200" s="722"/>
      <c r="W200" s="722"/>
      <c r="X200" s="722"/>
      <c r="Y200" s="722"/>
      <c r="Z200" s="722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3">
        <v>4680115889026</v>
      </c>
      <c r="E201" s="723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5"/>
      <c r="R201" s="725"/>
      <c r="S201" s="725"/>
      <c r="T201" s="72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1"/>
      <c r="B202" s="731"/>
      <c r="C202" s="731"/>
      <c r="D202" s="731"/>
      <c r="E202" s="731"/>
      <c r="F202" s="731"/>
      <c r="G202" s="731"/>
      <c r="H202" s="731"/>
      <c r="I202" s="731"/>
      <c r="J202" s="731"/>
      <c r="K202" s="731"/>
      <c r="L202" s="731"/>
      <c r="M202" s="731"/>
      <c r="N202" s="731"/>
      <c r="O202" s="732"/>
      <c r="P202" s="728" t="s">
        <v>40</v>
      </c>
      <c r="Q202" s="729"/>
      <c r="R202" s="729"/>
      <c r="S202" s="729"/>
      <c r="T202" s="729"/>
      <c r="U202" s="729"/>
      <c r="V202" s="73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1"/>
      <c r="B203" s="731"/>
      <c r="C203" s="731"/>
      <c r="D203" s="731"/>
      <c r="E203" s="731"/>
      <c r="F203" s="731"/>
      <c r="G203" s="731"/>
      <c r="H203" s="731"/>
      <c r="I203" s="731"/>
      <c r="J203" s="731"/>
      <c r="K203" s="731"/>
      <c r="L203" s="731"/>
      <c r="M203" s="731"/>
      <c r="N203" s="731"/>
      <c r="O203" s="732"/>
      <c r="P203" s="728" t="s">
        <v>40</v>
      </c>
      <c r="Q203" s="729"/>
      <c r="R203" s="729"/>
      <c r="S203" s="729"/>
      <c r="T203" s="729"/>
      <c r="U203" s="729"/>
      <c r="V203" s="73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2" t="s">
        <v>356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3">
        <v>4680115889033</v>
      </c>
      <c r="E205" s="723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1"/>
      <c r="B206" s="731"/>
      <c r="C206" s="731"/>
      <c r="D206" s="731"/>
      <c r="E206" s="731"/>
      <c r="F206" s="731"/>
      <c r="G206" s="731"/>
      <c r="H206" s="731"/>
      <c r="I206" s="731"/>
      <c r="J206" s="731"/>
      <c r="K206" s="731"/>
      <c r="L206" s="731"/>
      <c r="M206" s="731"/>
      <c r="N206" s="731"/>
      <c r="O206" s="732"/>
      <c r="P206" s="728" t="s">
        <v>40</v>
      </c>
      <c r="Q206" s="729"/>
      <c r="R206" s="729"/>
      <c r="S206" s="729"/>
      <c r="T206" s="729"/>
      <c r="U206" s="729"/>
      <c r="V206" s="73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1"/>
      <c r="B207" s="731"/>
      <c r="C207" s="731"/>
      <c r="D207" s="731"/>
      <c r="E207" s="731"/>
      <c r="F207" s="731"/>
      <c r="G207" s="731"/>
      <c r="H207" s="731"/>
      <c r="I207" s="731"/>
      <c r="J207" s="731"/>
      <c r="K207" s="731"/>
      <c r="L207" s="731"/>
      <c r="M207" s="731"/>
      <c r="N207" s="731"/>
      <c r="O207" s="732"/>
      <c r="P207" s="728" t="s">
        <v>40</v>
      </c>
      <c r="Q207" s="729"/>
      <c r="R207" s="729"/>
      <c r="S207" s="729"/>
      <c r="T207" s="729"/>
      <c r="U207" s="729"/>
      <c r="V207" s="73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0" t="s">
        <v>360</v>
      </c>
      <c r="B208" s="720"/>
      <c r="C208" s="720"/>
      <c r="D208" s="720"/>
      <c r="E208" s="720"/>
      <c r="F208" s="720"/>
      <c r="G208" s="720"/>
      <c r="H208" s="720"/>
      <c r="I208" s="720"/>
      <c r="J208" s="720"/>
      <c r="K208" s="720"/>
      <c r="L208" s="720"/>
      <c r="M208" s="720"/>
      <c r="N208" s="720"/>
      <c r="O208" s="720"/>
      <c r="P208" s="720"/>
      <c r="Q208" s="720"/>
      <c r="R208" s="720"/>
      <c r="S208" s="720"/>
      <c r="T208" s="720"/>
      <c r="U208" s="720"/>
      <c r="V208" s="720"/>
      <c r="W208" s="720"/>
      <c r="X208" s="720"/>
      <c r="Y208" s="720"/>
      <c r="Z208" s="720"/>
      <c r="AA208" s="54"/>
      <c r="AB208" s="54"/>
      <c r="AC208" s="54"/>
    </row>
    <row r="209" spans="1:68" ht="16.5" hidden="1" customHeight="1" x14ac:dyDescent="0.25">
      <c r="A209" s="721" t="s">
        <v>361</v>
      </c>
      <c r="B209" s="721"/>
      <c r="C209" s="721"/>
      <c r="D209" s="721"/>
      <c r="E209" s="721"/>
      <c r="F209" s="721"/>
      <c r="G209" s="721"/>
      <c r="H209" s="721"/>
      <c r="I209" s="721"/>
      <c r="J209" s="721"/>
      <c r="K209" s="721"/>
      <c r="L209" s="721"/>
      <c r="M209" s="721"/>
      <c r="N209" s="721"/>
      <c r="O209" s="721"/>
      <c r="P209" s="721"/>
      <c r="Q209" s="721"/>
      <c r="R209" s="721"/>
      <c r="S209" s="721"/>
      <c r="T209" s="721"/>
      <c r="U209" s="721"/>
      <c r="V209" s="721"/>
      <c r="W209" s="721"/>
      <c r="X209" s="721"/>
      <c r="Y209" s="721"/>
      <c r="Z209" s="721"/>
      <c r="AA209" s="65"/>
      <c r="AB209" s="65"/>
      <c r="AC209" s="79"/>
    </row>
    <row r="210" spans="1:68" ht="14.25" hidden="1" customHeight="1" x14ac:dyDescent="0.25">
      <c r="A210" s="722" t="s">
        <v>122</v>
      </c>
      <c r="B210" s="722"/>
      <c r="C210" s="722"/>
      <c r="D210" s="722"/>
      <c r="E210" s="722"/>
      <c r="F210" s="722"/>
      <c r="G210" s="722"/>
      <c r="H210" s="722"/>
      <c r="I210" s="722"/>
      <c r="J210" s="722"/>
      <c r="K210" s="722"/>
      <c r="L210" s="722"/>
      <c r="M210" s="722"/>
      <c r="N210" s="722"/>
      <c r="O210" s="722"/>
      <c r="P210" s="722"/>
      <c r="Q210" s="722"/>
      <c r="R210" s="722"/>
      <c r="S210" s="722"/>
      <c r="T210" s="722"/>
      <c r="U210" s="722"/>
      <c r="V210" s="722"/>
      <c r="W210" s="722"/>
      <c r="X210" s="722"/>
      <c r="Y210" s="722"/>
      <c r="Z210" s="722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3">
        <v>4607091383423</v>
      </c>
      <c r="E211" s="723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3">
        <v>4680115888760</v>
      </c>
      <c r="E212" s="723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5"/>
      <c r="R212" s="725"/>
      <c r="S212" s="725"/>
      <c r="T212" s="72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3">
        <v>4680115888807</v>
      </c>
      <c r="E213" s="723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5"/>
      <c r="R213" s="725"/>
      <c r="S213" s="725"/>
      <c r="T213" s="72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3">
        <v>4680115888852</v>
      </c>
      <c r="E214" s="723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5"/>
      <c r="R214" s="725"/>
      <c r="S214" s="725"/>
      <c r="T214" s="72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3">
        <v>4680115886957</v>
      </c>
      <c r="E215" s="723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5"/>
      <c r="R215" s="725"/>
      <c r="S215" s="725"/>
      <c r="T215" s="72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3">
        <v>4680115885660</v>
      </c>
      <c r="E216" s="723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3">
        <v>4680115886773</v>
      </c>
      <c r="E217" s="723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5"/>
      <c r="R217" s="725"/>
      <c r="S217" s="725"/>
      <c r="T217" s="72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1"/>
      <c r="B219" s="731"/>
      <c r="C219" s="731"/>
      <c r="D219" s="731"/>
      <c r="E219" s="731"/>
      <c r="F219" s="731"/>
      <c r="G219" s="731"/>
      <c r="H219" s="731"/>
      <c r="I219" s="731"/>
      <c r="J219" s="731"/>
      <c r="K219" s="731"/>
      <c r="L219" s="731"/>
      <c r="M219" s="731"/>
      <c r="N219" s="731"/>
      <c r="O219" s="732"/>
      <c r="P219" s="728" t="s">
        <v>40</v>
      </c>
      <c r="Q219" s="729"/>
      <c r="R219" s="729"/>
      <c r="S219" s="729"/>
      <c r="T219" s="729"/>
      <c r="U219" s="729"/>
      <c r="V219" s="73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1" t="s">
        <v>382</v>
      </c>
      <c r="B220" s="721"/>
      <c r="C220" s="721"/>
      <c r="D220" s="721"/>
      <c r="E220" s="721"/>
      <c r="F220" s="721"/>
      <c r="G220" s="721"/>
      <c r="H220" s="721"/>
      <c r="I220" s="721"/>
      <c r="J220" s="721"/>
      <c r="K220" s="721"/>
      <c r="L220" s="721"/>
      <c r="M220" s="721"/>
      <c r="N220" s="721"/>
      <c r="O220" s="721"/>
      <c r="P220" s="721"/>
      <c r="Q220" s="721"/>
      <c r="R220" s="721"/>
      <c r="S220" s="721"/>
      <c r="T220" s="721"/>
      <c r="U220" s="721"/>
      <c r="V220" s="721"/>
      <c r="W220" s="721"/>
      <c r="X220" s="721"/>
      <c r="Y220" s="721"/>
      <c r="Z220" s="721"/>
      <c r="AA220" s="65"/>
      <c r="AB220" s="65"/>
      <c r="AC220" s="79"/>
    </row>
    <row r="221" spans="1:68" ht="14.25" hidden="1" customHeight="1" x14ac:dyDescent="0.25">
      <c r="A221" s="722" t="s">
        <v>155</v>
      </c>
      <c r="B221" s="722"/>
      <c r="C221" s="722"/>
      <c r="D221" s="722"/>
      <c r="E221" s="722"/>
      <c r="F221" s="722"/>
      <c r="G221" s="722"/>
      <c r="H221" s="722"/>
      <c r="I221" s="722"/>
      <c r="J221" s="722"/>
      <c r="K221" s="722"/>
      <c r="L221" s="722"/>
      <c r="M221" s="722"/>
      <c r="N221" s="722"/>
      <c r="O221" s="722"/>
      <c r="P221" s="722"/>
      <c r="Q221" s="722"/>
      <c r="R221" s="722"/>
      <c r="S221" s="722"/>
      <c r="T221" s="722"/>
      <c r="U221" s="722"/>
      <c r="V221" s="722"/>
      <c r="W221" s="722"/>
      <c r="X221" s="722"/>
      <c r="Y221" s="722"/>
      <c r="Z221" s="722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3">
        <v>4680115886223</v>
      </c>
      <c r="E222" s="723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1"/>
      <c r="B223" s="731"/>
      <c r="C223" s="731"/>
      <c r="D223" s="731"/>
      <c r="E223" s="731"/>
      <c r="F223" s="731"/>
      <c r="G223" s="731"/>
      <c r="H223" s="731"/>
      <c r="I223" s="731"/>
      <c r="J223" s="731"/>
      <c r="K223" s="731"/>
      <c r="L223" s="731"/>
      <c r="M223" s="731"/>
      <c r="N223" s="731"/>
      <c r="O223" s="732"/>
      <c r="P223" s="728" t="s">
        <v>40</v>
      </c>
      <c r="Q223" s="729"/>
      <c r="R223" s="729"/>
      <c r="S223" s="729"/>
      <c r="T223" s="729"/>
      <c r="U223" s="729"/>
      <c r="V223" s="73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1"/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2"/>
      <c r="P224" s="728" t="s">
        <v>40</v>
      </c>
      <c r="Q224" s="729"/>
      <c r="R224" s="729"/>
      <c r="S224" s="729"/>
      <c r="T224" s="729"/>
      <c r="U224" s="729"/>
      <c r="V224" s="73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2" t="s">
        <v>77</v>
      </c>
      <c r="B225" s="722"/>
      <c r="C225" s="722"/>
      <c r="D225" s="722"/>
      <c r="E225" s="722"/>
      <c r="F225" s="722"/>
      <c r="G225" s="722"/>
      <c r="H225" s="722"/>
      <c r="I225" s="722"/>
      <c r="J225" s="722"/>
      <c r="K225" s="722"/>
      <c r="L225" s="722"/>
      <c r="M225" s="722"/>
      <c r="N225" s="722"/>
      <c r="O225" s="722"/>
      <c r="P225" s="722"/>
      <c r="Q225" s="722"/>
      <c r="R225" s="722"/>
      <c r="S225" s="722"/>
      <c r="T225" s="722"/>
      <c r="U225" s="722"/>
      <c r="V225" s="722"/>
      <c r="W225" s="722"/>
      <c r="X225" s="722"/>
      <c r="Y225" s="722"/>
      <c r="Z225" s="722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723">
        <v>4680115880993</v>
      </c>
      <c r="E226" s="723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723">
        <v>4680115881761</v>
      </c>
      <c r="E227" s="723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723">
        <v>4680115881563</v>
      </c>
      <c r="E228" s="723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723">
        <v>4680115887565</v>
      </c>
      <c r="E229" s="723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723">
        <v>4680115880986</v>
      </c>
      <c r="E230" s="723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3">
        <v>4680115887213</v>
      </c>
      <c r="E231" s="723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723">
        <v>4680115881785</v>
      </c>
      <c r="E232" s="723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3">
        <v>4680115888432</v>
      </c>
      <c r="E233" s="723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3">
        <v>4680115888104</v>
      </c>
      <c r="E234" s="723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3">
        <v>4680115886537</v>
      </c>
      <c r="E235" s="723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5"/>
      <c r="R235" s="725"/>
      <c r="S235" s="725"/>
      <c r="T235" s="72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723">
        <v>4680115887596</v>
      </c>
      <c r="E236" s="723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5"/>
      <c r="R236" s="725"/>
      <c r="S236" s="725"/>
      <c r="T236" s="72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723">
        <v>4680115881679</v>
      </c>
      <c r="E237" s="723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5"/>
      <c r="R237" s="725"/>
      <c r="S237" s="725"/>
      <c r="T237" s="72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3">
        <v>4680115880191</v>
      </c>
      <c r="E238" s="723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3">
        <v>4680115883963</v>
      </c>
      <c r="E239" s="723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1"/>
      <c r="B240" s="731"/>
      <c r="C240" s="731"/>
      <c r="D240" s="731"/>
      <c r="E240" s="731"/>
      <c r="F240" s="731"/>
      <c r="G240" s="731"/>
      <c r="H240" s="731"/>
      <c r="I240" s="731"/>
      <c r="J240" s="731"/>
      <c r="K240" s="731"/>
      <c r="L240" s="731"/>
      <c r="M240" s="731"/>
      <c r="N240" s="731"/>
      <c r="O240" s="732"/>
      <c r="P240" s="728" t="s">
        <v>40</v>
      </c>
      <c r="Q240" s="729"/>
      <c r="R240" s="729"/>
      <c r="S240" s="729"/>
      <c r="T240" s="729"/>
      <c r="U240" s="729"/>
      <c r="V240" s="73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1"/>
      <c r="B241" s="731"/>
      <c r="C241" s="731"/>
      <c r="D241" s="731"/>
      <c r="E241" s="731"/>
      <c r="F241" s="731"/>
      <c r="G241" s="731"/>
      <c r="H241" s="731"/>
      <c r="I241" s="731"/>
      <c r="J241" s="731"/>
      <c r="K241" s="731"/>
      <c r="L241" s="731"/>
      <c r="M241" s="731"/>
      <c r="N241" s="731"/>
      <c r="O241" s="732"/>
      <c r="P241" s="728" t="s">
        <v>40</v>
      </c>
      <c r="Q241" s="729"/>
      <c r="R241" s="729"/>
      <c r="S241" s="729"/>
      <c r="T241" s="729"/>
      <c r="U241" s="729"/>
      <c r="V241" s="73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2" t="s">
        <v>86</v>
      </c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2"/>
      <c r="P242" s="722"/>
      <c r="Q242" s="722"/>
      <c r="R242" s="722"/>
      <c r="S242" s="722"/>
      <c r="T242" s="722"/>
      <c r="U242" s="722"/>
      <c r="V242" s="722"/>
      <c r="W242" s="722"/>
      <c r="X242" s="722"/>
      <c r="Y242" s="722"/>
      <c r="Z242" s="722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3">
        <v>4680115888692</v>
      </c>
      <c r="E243" s="723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3">
        <v>4680115888722</v>
      </c>
      <c r="E244" s="723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3">
        <v>4680115888951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3">
        <v>4680115888975</v>
      </c>
      <c r="E246" s="723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5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3">
        <v>4680115888982</v>
      </c>
      <c r="E247" s="723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5"/>
      <c r="R247" s="725"/>
      <c r="S247" s="725"/>
      <c r="T247" s="72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1"/>
      <c r="B249" s="731"/>
      <c r="C249" s="731"/>
      <c r="D249" s="731"/>
      <c r="E249" s="731"/>
      <c r="F249" s="731"/>
      <c r="G249" s="731"/>
      <c r="H249" s="731"/>
      <c r="I249" s="731"/>
      <c r="J249" s="731"/>
      <c r="K249" s="731"/>
      <c r="L249" s="731"/>
      <c r="M249" s="731"/>
      <c r="N249" s="731"/>
      <c r="O249" s="732"/>
      <c r="P249" s="728" t="s">
        <v>40</v>
      </c>
      <c r="Q249" s="729"/>
      <c r="R249" s="729"/>
      <c r="S249" s="729"/>
      <c r="T249" s="729"/>
      <c r="U249" s="729"/>
      <c r="V249" s="73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2" t="s">
        <v>289</v>
      </c>
      <c r="B250" s="722"/>
      <c r="C250" s="722"/>
      <c r="D250" s="722"/>
      <c r="E250" s="722"/>
      <c r="F250" s="722"/>
      <c r="G250" s="722"/>
      <c r="H250" s="722"/>
      <c r="I250" s="722"/>
      <c r="J250" s="722"/>
      <c r="K250" s="722"/>
      <c r="L250" s="722"/>
      <c r="M250" s="722"/>
      <c r="N250" s="722"/>
      <c r="O250" s="722"/>
      <c r="P250" s="722"/>
      <c r="Q250" s="722"/>
      <c r="R250" s="722"/>
      <c r="S250" s="722"/>
      <c r="T250" s="722"/>
      <c r="U250" s="722"/>
      <c r="V250" s="722"/>
      <c r="W250" s="722"/>
      <c r="X250" s="722"/>
      <c r="Y250" s="722"/>
      <c r="Z250" s="722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723">
        <v>4680115886780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723">
        <v>4680115886742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723">
        <v>4680115886766</v>
      </c>
      <c r="E253" s="723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5"/>
      <c r="R253" s="725"/>
      <c r="S253" s="725"/>
      <c r="T253" s="726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1"/>
      <c r="B255" s="731"/>
      <c r="C255" s="731"/>
      <c r="D255" s="731"/>
      <c r="E255" s="731"/>
      <c r="F255" s="731"/>
      <c r="G255" s="731"/>
      <c r="H255" s="731"/>
      <c r="I255" s="731"/>
      <c r="J255" s="731"/>
      <c r="K255" s="731"/>
      <c r="L255" s="731"/>
      <c r="M255" s="731"/>
      <c r="N255" s="731"/>
      <c r="O255" s="732"/>
      <c r="P255" s="728" t="s">
        <v>40</v>
      </c>
      <c r="Q255" s="729"/>
      <c r="R255" s="729"/>
      <c r="S255" s="729"/>
      <c r="T255" s="729"/>
      <c r="U255" s="729"/>
      <c r="V255" s="73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2" t="s">
        <v>446</v>
      </c>
      <c r="B256" s="722"/>
      <c r="C256" s="722"/>
      <c r="D256" s="722"/>
      <c r="E256" s="722"/>
      <c r="F256" s="722"/>
      <c r="G256" s="722"/>
      <c r="H256" s="722"/>
      <c r="I256" s="722"/>
      <c r="J256" s="722"/>
      <c r="K256" s="722"/>
      <c r="L256" s="722"/>
      <c r="M256" s="722"/>
      <c r="N256" s="722"/>
      <c r="O256" s="722"/>
      <c r="P256" s="722"/>
      <c r="Q256" s="722"/>
      <c r="R256" s="722"/>
      <c r="S256" s="722"/>
      <c r="T256" s="722"/>
      <c r="U256" s="722"/>
      <c r="V256" s="722"/>
      <c r="W256" s="722"/>
      <c r="X256" s="722"/>
      <c r="Y256" s="722"/>
      <c r="Z256" s="722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723">
        <v>4680115886797</v>
      </c>
      <c r="E257" s="72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5"/>
      <c r="R257" s="725"/>
      <c r="S257" s="725"/>
      <c r="T257" s="72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1"/>
      <c r="B259" s="731"/>
      <c r="C259" s="731"/>
      <c r="D259" s="731"/>
      <c r="E259" s="731"/>
      <c r="F259" s="731"/>
      <c r="G259" s="731"/>
      <c r="H259" s="731"/>
      <c r="I259" s="731"/>
      <c r="J259" s="731"/>
      <c r="K259" s="731"/>
      <c r="L259" s="731"/>
      <c r="M259" s="731"/>
      <c r="N259" s="731"/>
      <c r="O259" s="732"/>
      <c r="P259" s="728" t="s">
        <v>40</v>
      </c>
      <c r="Q259" s="729"/>
      <c r="R259" s="729"/>
      <c r="S259" s="729"/>
      <c r="T259" s="729"/>
      <c r="U259" s="729"/>
      <c r="V259" s="73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1" t="s">
        <v>449</v>
      </c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1"/>
      <c r="P260" s="721"/>
      <c r="Q260" s="721"/>
      <c r="R260" s="721"/>
      <c r="S260" s="721"/>
      <c r="T260" s="721"/>
      <c r="U260" s="721"/>
      <c r="V260" s="721"/>
      <c r="W260" s="721"/>
      <c r="X260" s="721"/>
      <c r="Y260" s="721"/>
      <c r="Z260" s="721"/>
      <c r="AA260" s="65"/>
      <c r="AB260" s="65"/>
      <c r="AC260" s="79"/>
    </row>
    <row r="261" spans="1:68" ht="14.25" hidden="1" customHeight="1" x14ac:dyDescent="0.25">
      <c r="A261" s="722" t="s">
        <v>122</v>
      </c>
      <c r="B261" s="722"/>
      <c r="C261" s="722"/>
      <c r="D261" s="722"/>
      <c r="E261" s="722"/>
      <c r="F261" s="722"/>
      <c r="G261" s="722"/>
      <c r="H261" s="722"/>
      <c r="I261" s="722"/>
      <c r="J261" s="722"/>
      <c r="K261" s="722"/>
      <c r="L261" s="722"/>
      <c r="M261" s="722"/>
      <c r="N261" s="722"/>
      <c r="O261" s="722"/>
      <c r="P261" s="722"/>
      <c r="Q261" s="722"/>
      <c r="R261" s="722"/>
      <c r="S261" s="722"/>
      <c r="T261" s="722"/>
      <c r="U261" s="722"/>
      <c r="V261" s="722"/>
      <c r="W261" s="722"/>
      <c r="X261" s="722"/>
      <c r="Y261" s="722"/>
      <c r="Z261" s="722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3">
        <v>4680115881402</v>
      </c>
      <c r="E262" s="7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3">
        <v>4680115881396</v>
      </c>
      <c r="E263" s="723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5"/>
      <c r="R263" s="725"/>
      <c r="S263" s="725"/>
      <c r="T263" s="72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1"/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2"/>
      <c r="P265" s="728" t="s">
        <v>40</v>
      </c>
      <c r="Q265" s="729"/>
      <c r="R265" s="729"/>
      <c r="S265" s="729"/>
      <c r="T265" s="729"/>
      <c r="U265" s="729"/>
      <c r="V265" s="73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2" t="s">
        <v>155</v>
      </c>
      <c r="B266" s="722"/>
      <c r="C266" s="722"/>
      <c r="D266" s="722"/>
      <c r="E266" s="722"/>
      <c r="F266" s="722"/>
      <c r="G266" s="722"/>
      <c r="H266" s="722"/>
      <c r="I266" s="722"/>
      <c r="J266" s="722"/>
      <c r="K266" s="722"/>
      <c r="L266" s="722"/>
      <c r="M266" s="722"/>
      <c r="N266" s="722"/>
      <c r="O266" s="722"/>
      <c r="P266" s="722"/>
      <c r="Q266" s="722"/>
      <c r="R266" s="722"/>
      <c r="S266" s="722"/>
      <c r="T266" s="722"/>
      <c r="U266" s="722"/>
      <c r="V266" s="722"/>
      <c r="W266" s="722"/>
      <c r="X266" s="722"/>
      <c r="Y266" s="722"/>
      <c r="Z266" s="722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3">
        <v>4680115882935</v>
      </c>
      <c r="E267" s="723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3">
        <v>4680115880764</v>
      </c>
      <c r="E268" s="723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5"/>
      <c r="R268" s="725"/>
      <c r="S268" s="725"/>
      <c r="T268" s="72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1"/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2"/>
      <c r="P270" s="728" t="s">
        <v>40</v>
      </c>
      <c r="Q270" s="729"/>
      <c r="R270" s="729"/>
      <c r="S270" s="729"/>
      <c r="T270" s="729"/>
      <c r="U270" s="729"/>
      <c r="V270" s="73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2" t="s">
        <v>77</v>
      </c>
      <c r="B271" s="722"/>
      <c r="C271" s="722"/>
      <c r="D271" s="722"/>
      <c r="E271" s="722"/>
      <c r="F271" s="722"/>
      <c r="G271" s="722"/>
      <c r="H271" s="722"/>
      <c r="I271" s="722"/>
      <c r="J271" s="722"/>
      <c r="K271" s="722"/>
      <c r="L271" s="722"/>
      <c r="M271" s="722"/>
      <c r="N271" s="722"/>
      <c r="O271" s="722"/>
      <c r="P271" s="722"/>
      <c r="Q271" s="722"/>
      <c r="R271" s="722"/>
      <c r="S271" s="722"/>
      <c r="T271" s="722"/>
      <c r="U271" s="722"/>
      <c r="V271" s="722"/>
      <c r="W271" s="722"/>
      <c r="X271" s="722"/>
      <c r="Y271" s="722"/>
      <c r="Z271" s="722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723">
        <v>4680115882683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3">
        <v>4680115882690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723">
        <v>4680115882669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723">
        <v>4680115882676</v>
      </c>
      <c r="E275" s="723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723">
        <v>4680115884014</v>
      </c>
      <c r="E276" s="723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723">
        <v>4680115884007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723">
        <v>4680115884038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723">
        <v>4680115884021</v>
      </c>
      <c r="E279" s="723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5"/>
      <c r="R279" s="725"/>
      <c r="S279" s="725"/>
      <c r="T279" s="72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1"/>
      <c r="B281" s="731"/>
      <c r="C281" s="731"/>
      <c r="D281" s="731"/>
      <c r="E281" s="731"/>
      <c r="F281" s="731"/>
      <c r="G281" s="731"/>
      <c r="H281" s="731"/>
      <c r="I281" s="731"/>
      <c r="J281" s="731"/>
      <c r="K281" s="731"/>
      <c r="L281" s="731"/>
      <c r="M281" s="731"/>
      <c r="N281" s="731"/>
      <c r="O281" s="732"/>
      <c r="P281" s="728" t="s">
        <v>40</v>
      </c>
      <c r="Q281" s="729"/>
      <c r="R281" s="729"/>
      <c r="S281" s="729"/>
      <c r="T281" s="729"/>
      <c r="U281" s="729"/>
      <c r="V281" s="73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2" t="s">
        <v>86</v>
      </c>
      <c r="B282" s="722"/>
      <c r="C282" s="722"/>
      <c r="D282" s="722"/>
      <c r="E282" s="722"/>
      <c r="F282" s="722"/>
      <c r="G282" s="722"/>
      <c r="H282" s="722"/>
      <c r="I282" s="722"/>
      <c r="J282" s="722"/>
      <c r="K282" s="722"/>
      <c r="L282" s="722"/>
      <c r="M282" s="722"/>
      <c r="N282" s="722"/>
      <c r="O282" s="722"/>
      <c r="P282" s="722"/>
      <c r="Q282" s="722"/>
      <c r="R282" s="722"/>
      <c r="S282" s="722"/>
      <c r="T282" s="722"/>
      <c r="U282" s="722"/>
      <c r="V282" s="722"/>
      <c r="W282" s="722"/>
      <c r="X282" s="722"/>
      <c r="Y282" s="722"/>
      <c r="Z282" s="722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723">
        <v>4680115881594</v>
      </c>
      <c r="E283" s="723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723">
        <v>4680115881617</v>
      </c>
      <c r="E284" s="723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723">
        <v>4680115880573</v>
      </c>
      <c r="E285" s="723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723">
        <v>4680115882195</v>
      </c>
      <c r="E286" s="723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3">
        <v>4680115882607</v>
      </c>
      <c r="E288" s="723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723">
        <v>4680115880092</v>
      </c>
      <c r="E289" s="72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3">
        <v>4680115889064</v>
      </c>
      <c r="E290" s="723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3">
        <v>4680115880221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723">
        <v>4680115880504</v>
      </c>
      <c r="E292" s="72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723">
        <v>4680115882164</v>
      </c>
      <c r="E293" s="723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3">
        <v>4680115888340</v>
      </c>
      <c r="E294" s="72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5"/>
      <c r="R294" s="725"/>
      <c r="S294" s="725"/>
      <c r="T294" s="72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1"/>
      <c r="B296" s="731"/>
      <c r="C296" s="731"/>
      <c r="D296" s="731"/>
      <c r="E296" s="731"/>
      <c r="F296" s="731"/>
      <c r="G296" s="731"/>
      <c r="H296" s="731"/>
      <c r="I296" s="731"/>
      <c r="J296" s="731"/>
      <c r="K296" s="731"/>
      <c r="L296" s="731"/>
      <c r="M296" s="731"/>
      <c r="N296" s="731"/>
      <c r="O296" s="732"/>
      <c r="P296" s="728" t="s">
        <v>40</v>
      </c>
      <c r="Q296" s="729"/>
      <c r="R296" s="729"/>
      <c r="S296" s="729"/>
      <c r="T296" s="729"/>
      <c r="U296" s="729"/>
      <c r="V296" s="73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2" t="s">
        <v>173</v>
      </c>
      <c r="B297" s="722"/>
      <c r="C297" s="722"/>
      <c r="D297" s="722"/>
      <c r="E297" s="722"/>
      <c r="F297" s="722"/>
      <c r="G297" s="722"/>
      <c r="H297" s="722"/>
      <c r="I297" s="722"/>
      <c r="J297" s="722"/>
      <c r="K297" s="722"/>
      <c r="L297" s="722"/>
      <c r="M297" s="722"/>
      <c r="N297" s="722"/>
      <c r="O297" s="722"/>
      <c r="P297" s="722"/>
      <c r="Q297" s="722"/>
      <c r="R297" s="722"/>
      <c r="S297" s="722"/>
      <c r="T297" s="722"/>
      <c r="U297" s="722"/>
      <c r="V297" s="722"/>
      <c r="W297" s="722"/>
      <c r="X297" s="722"/>
      <c r="Y297" s="722"/>
      <c r="Z297" s="722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723">
        <v>4680115880818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723">
        <v>4680115880801</v>
      </c>
      <c r="E299" s="723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5"/>
      <c r="R299" s="725"/>
      <c r="S299" s="725"/>
      <c r="T299" s="72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1"/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2"/>
      <c r="P301" s="728" t="s">
        <v>40</v>
      </c>
      <c r="Q301" s="729"/>
      <c r="R301" s="729"/>
      <c r="S301" s="729"/>
      <c r="T301" s="729"/>
      <c r="U301" s="729"/>
      <c r="V301" s="73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1" t="s">
        <v>517</v>
      </c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1"/>
      <c r="P302" s="721"/>
      <c r="Q302" s="721"/>
      <c r="R302" s="721"/>
      <c r="S302" s="721"/>
      <c r="T302" s="721"/>
      <c r="U302" s="721"/>
      <c r="V302" s="721"/>
      <c r="W302" s="721"/>
      <c r="X302" s="721"/>
      <c r="Y302" s="721"/>
      <c r="Z302" s="721"/>
      <c r="AA302" s="65"/>
      <c r="AB302" s="65"/>
      <c r="AC302" s="79"/>
    </row>
    <row r="303" spans="1:68" ht="14.25" hidden="1" customHeight="1" x14ac:dyDescent="0.25">
      <c r="A303" s="722" t="s">
        <v>122</v>
      </c>
      <c r="B303" s="722"/>
      <c r="C303" s="722"/>
      <c r="D303" s="722"/>
      <c r="E303" s="722"/>
      <c r="F303" s="722"/>
      <c r="G303" s="722"/>
      <c r="H303" s="722"/>
      <c r="I303" s="722"/>
      <c r="J303" s="722"/>
      <c r="K303" s="722"/>
      <c r="L303" s="722"/>
      <c r="M303" s="722"/>
      <c r="N303" s="722"/>
      <c r="O303" s="722"/>
      <c r="P303" s="722"/>
      <c r="Q303" s="722"/>
      <c r="R303" s="722"/>
      <c r="S303" s="722"/>
      <c r="T303" s="722"/>
      <c r="U303" s="722"/>
      <c r="V303" s="722"/>
      <c r="W303" s="722"/>
      <c r="X303" s="722"/>
      <c r="Y303" s="722"/>
      <c r="Z303" s="722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3">
        <v>4680115884137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3">
        <v>4680115884236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723">
        <v>4680115884175</v>
      </c>
      <c r="E306" s="723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723">
        <v>4680115884144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3">
        <v>4680115886551</v>
      </c>
      <c r="E308" s="723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3">
        <v>4680115887282</v>
      </c>
      <c r="E309" s="723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723">
        <v>4680115884205</v>
      </c>
      <c r="E310" s="723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5"/>
      <c r="R310" s="725"/>
      <c r="S310" s="725"/>
      <c r="T310" s="72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1"/>
      <c r="B312" s="731"/>
      <c r="C312" s="731"/>
      <c r="D312" s="731"/>
      <c r="E312" s="731"/>
      <c r="F312" s="731"/>
      <c r="G312" s="731"/>
      <c r="H312" s="731"/>
      <c r="I312" s="731"/>
      <c r="J312" s="731"/>
      <c r="K312" s="731"/>
      <c r="L312" s="731"/>
      <c r="M312" s="731"/>
      <c r="N312" s="731"/>
      <c r="O312" s="732"/>
      <c r="P312" s="728" t="s">
        <v>40</v>
      </c>
      <c r="Q312" s="729"/>
      <c r="R312" s="729"/>
      <c r="S312" s="729"/>
      <c r="T312" s="729"/>
      <c r="U312" s="729"/>
      <c r="V312" s="73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2" t="s">
        <v>155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2"/>
      <c r="P313" s="722"/>
      <c r="Q313" s="722"/>
      <c r="R313" s="722"/>
      <c r="S313" s="722"/>
      <c r="T313" s="722"/>
      <c r="U313" s="722"/>
      <c r="V313" s="722"/>
      <c r="W313" s="722"/>
      <c r="X313" s="722"/>
      <c r="Y313" s="722"/>
      <c r="Z313" s="722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3">
        <v>4680115885981</v>
      </c>
      <c r="E314" s="723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5"/>
      <c r="R314" s="725"/>
      <c r="S314" s="725"/>
      <c r="T314" s="72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1"/>
      <c r="B316" s="731"/>
      <c r="C316" s="731"/>
      <c r="D316" s="731"/>
      <c r="E316" s="731"/>
      <c r="F316" s="731"/>
      <c r="G316" s="731"/>
      <c r="H316" s="731"/>
      <c r="I316" s="731"/>
      <c r="J316" s="731"/>
      <c r="K316" s="731"/>
      <c r="L316" s="731"/>
      <c r="M316" s="731"/>
      <c r="N316" s="731"/>
      <c r="O316" s="732"/>
      <c r="P316" s="728" t="s">
        <v>40</v>
      </c>
      <c r="Q316" s="729"/>
      <c r="R316" s="729"/>
      <c r="S316" s="729"/>
      <c r="T316" s="729"/>
      <c r="U316" s="729"/>
      <c r="V316" s="73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2" t="s">
        <v>539</v>
      </c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2"/>
      <c r="P317" s="722"/>
      <c r="Q317" s="722"/>
      <c r="R317" s="722"/>
      <c r="S317" s="722"/>
      <c r="T317" s="722"/>
      <c r="U317" s="722"/>
      <c r="V317" s="722"/>
      <c r="W317" s="722"/>
      <c r="X317" s="722"/>
      <c r="Y317" s="722"/>
      <c r="Z317" s="722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723">
        <v>4680115886803</v>
      </c>
      <c r="E318" s="72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8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5"/>
      <c r="R318" s="725"/>
      <c r="S318" s="725"/>
      <c r="T318" s="72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1"/>
      <c r="B320" s="731"/>
      <c r="C320" s="731"/>
      <c r="D320" s="731"/>
      <c r="E320" s="731"/>
      <c r="F320" s="731"/>
      <c r="G320" s="731"/>
      <c r="H320" s="731"/>
      <c r="I320" s="731"/>
      <c r="J320" s="731"/>
      <c r="K320" s="731"/>
      <c r="L320" s="731"/>
      <c r="M320" s="731"/>
      <c r="N320" s="731"/>
      <c r="O320" s="732"/>
      <c r="P320" s="728" t="s">
        <v>40</v>
      </c>
      <c r="Q320" s="729"/>
      <c r="R320" s="729"/>
      <c r="S320" s="729"/>
      <c r="T320" s="729"/>
      <c r="U320" s="729"/>
      <c r="V320" s="73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2" t="s">
        <v>356</v>
      </c>
      <c r="B321" s="722"/>
      <c r="C321" s="722"/>
      <c r="D321" s="722"/>
      <c r="E321" s="722"/>
      <c r="F321" s="722"/>
      <c r="G321" s="722"/>
      <c r="H321" s="722"/>
      <c r="I321" s="722"/>
      <c r="J321" s="722"/>
      <c r="K321" s="722"/>
      <c r="L321" s="722"/>
      <c r="M321" s="722"/>
      <c r="N321" s="722"/>
      <c r="O321" s="722"/>
      <c r="P321" s="722"/>
      <c r="Q321" s="722"/>
      <c r="R321" s="722"/>
      <c r="S321" s="722"/>
      <c r="T321" s="722"/>
      <c r="U321" s="722"/>
      <c r="V321" s="722"/>
      <c r="W321" s="722"/>
      <c r="X321" s="722"/>
      <c r="Y321" s="722"/>
      <c r="Z321" s="722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3">
        <v>4680115886704</v>
      </c>
      <c r="E322" s="723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8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5"/>
      <c r="R322" s="725"/>
      <c r="S322" s="725"/>
      <c r="T322" s="72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3">
        <v>4680115886681</v>
      </c>
      <c r="E323" s="723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5"/>
      <c r="R323" s="725"/>
      <c r="S323" s="725"/>
      <c r="T323" s="72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3">
        <v>4680115886735</v>
      </c>
      <c r="E324" s="723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5"/>
      <c r="R324" s="725"/>
      <c r="S324" s="725"/>
      <c r="T324" s="72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1"/>
      <c r="B325" s="731"/>
      <c r="C325" s="731"/>
      <c r="D325" s="731"/>
      <c r="E325" s="731"/>
      <c r="F325" s="731"/>
      <c r="G325" s="731"/>
      <c r="H325" s="731"/>
      <c r="I325" s="731"/>
      <c r="J325" s="731"/>
      <c r="K325" s="731"/>
      <c r="L325" s="731"/>
      <c r="M325" s="731"/>
      <c r="N325" s="731"/>
      <c r="O325" s="732"/>
      <c r="P325" s="728" t="s">
        <v>40</v>
      </c>
      <c r="Q325" s="729"/>
      <c r="R325" s="729"/>
      <c r="S325" s="729"/>
      <c r="T325" s="729"/>
      <c r="U325" s="729"/>
      <c r="V325" s="73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1"/>
      <c r="B326" s="731"/>
      <c r="C326" s="731"/>
      <c r="D326" s="731"/>
      <c r="E326" s="731"/>
      <c r="F326" s="731"/>
      <c r="G326" s="731"/>
      <c r="H326" s="731"/>
      <c r="I326" s="731"/>
      <c r="J326" s="731"/>
      <c r="K326" s="731"/>
      <c r="L326" s="731"/>
      <c r="M326" s="731"/>
      <c r="N326" s="731"/>
      <c r="O326" s="732"/>
      <c r="P326" s="728" t="s">
        <v>40</v>
      </c>
      <c r="Q326" s="729"/>
      <c r="R326" s="729"/>
      <c r="S326" s="729"/>
      <c r="T326" s="729"/>
      <c r="U326" s="729"/>
      <c r="V326" s="73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1" t="s">
        <v>550</v>
      </c>
      <c r="B327" s="721"/>
      <c r="C327" s="721"/>
      <c r="D327" s="721"/>
      <c r="E327" s="721"/>
      <c r="F327" s="721"/>
      <c r="G327" s="721"/>
      <c r="H327" s="721"/>
      <c r="I327" s="721"/>
      <c r="J327" s="721"/>
      <c r="K327" s="721"/>
      <c r="L327" s="721"/>
      <c r="M327" s="721"/>
      <c r="N327" s="721"/>
      <c r="O327" s="721"/>
      <c r="P327" s="721"/>
      <c r="Q327" s="721"/>
      <c r="R327" s="721"/>
      <c r="S327" s="721"/>
      <c r="T327" s="721"/>
      <c r="U327" s="721"/>
      <c r="V327" s="721"/>
      <c r="W327" s="721"/>
      <c r="X327" s="721"/>
      <c r="Y327" s="721"/>
      <c r="Z327" s="721"/>
      <c r="AA327" s="65"/>
      <c r="AB327" s="65"/>
      <c r="AC327" s="79"/>
    </row>
    <row r="328" spans="1:68" ht="14.25" hidden="1" customHeight="1" x14ac:dyDescent="0.25">
      <c r="A328" s="722" t="s">
        <v>122</v>
      </c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2"/>
      <c r="P328" s="722"/>
      <c r="Q328" s="722"/>
      <c r="R328" s="722"/>
      <c r="S328" s="722"/>
      <c r="T328" s="722"/>
      <c r="U328" s="722"/>
      <c r="V328" s="722"/>
      <c r="W328" s="722"/>
      <c r="X328" s="722"/>
      <c r="Y328" s="722"/>
      <c r="Z328" s="722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3">
        <v>4680115885837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3">
        <v>4680115887237</v>
      </c>
      <c r="E330" s="723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3">
        <v>4680115885806</v>
      </c>
      <c r="E331" s="723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3">
        <v>4680115885844</v>
      </c>
      <c r="E332" s="723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5"/>
      <c r="R332" s="725"/>
      <c r="S332" s="725"/>
      <c r="T332" s="72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3">
        <v>4680115885820</v>
      </c>
      <c r="E333" s="723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5"/>
      <c r="R333" s="725"/>
      <c r="S333" s="725"/>
      <c r="T333" s="72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1"/>
      <c r="B334" s="731"/>
      <c r="C334" s="731"/>
      <c r="D334" s="731"/>
      <c r="E334" s="731"/>
      <c r="F334" s="731"/>
      <c r="G334" s="731"/>
      <c r="H334" s="731"/>
      <c r="I334" s="731"/>
      <c r="J334" s="731"/>
      <c r="K334" s="731"/>
      <c r="L334" s="731"/>
      <c r="M334" s="731"/>
      <c r="N334" s="731"/>
      <c r="O334" s="732"/>
      <c r="P334" s="728" t="s">
        <v>40</v>
      </c>
      <c r="Q334" s="729"/>
      <c r="R334" s="729"/>
      <c r="S334" s="729"/>
      <c r="T334" s="729"/>
      <c r="U334" s="729"/>
      <c r="V334" s="73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1"/>
      <c r="B335" s="731"/>
      <c r="C335" s="731"/>
      <c r="D335" s="731"/>
      <c r="E335" s="731"/>
      <c r="F335" s="731"/>
      <c r="G335" s="731"/>
      <c r="H335" s="731"/>
      <c r="I335" s="731"/>
      <c r="J335" s="731"/>
      <c r="K335" s="731"/>
      <c r="L335" s="731"/>
      <c r="M335" s="731"/>
      <c r="N335" s="731"/>
      <c r="O335" s="732"/>
      <c r="P335" s="728" t="s">
        <v>40</v>
      </c>
      <c r="Q335" s="729"/>
      <c r="R335" s="729"/>
      <c r="S335" s="729"/>
      <c r="T335" s="729"/>
      <c r="U335" s="729"/>
      <c r="V335" s="73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1" t="s">
        <v>566</v>
      </c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1"/>
      <c r="P336" s="721"/>
      <c r="Q336" s="721"/>
      <c r="R336" s="721"/>
      <c r="S336" s="721"/>
      <c r="T336" s="721"/>
      <c r="U336" s="721"/>
      <c r="V336" s="721"/>
      <c r="W336" s="721"/>
      <c r="X336" s="721"/>
      <c r="Y336" s="721"/>
      <c r="Z336" s="721"/>
      <c r="AA336" s="65"/>
      <c r="AB336" s="65"/>
      <c r="AC336" s="79"/>
    </row>
    <row r="337" spans="1:68" ht="14.25" hidden="1" customHeight="1" x14ac:dyDescent="0.25">
      <c r="A337" s="722" t="s">
        <v>86</v>
      </c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2"/>
      <c r="P337" s="722"/>
      <c r="Q337" s="722"/>
      <c r="R337" s="722"/>
      <c r="S337" s="722"/>
      <c r="T337" s="722"/>
      <c r="U337" s="722"/>
      <c r="V337" s="722"/>
      <c r="W337" s="722"/>
      <c r="X337" s="722"/>
      <c r="Y337" s="722"/>
      <c r="Z337" s="722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3">
        <v>4680115886186</v>
      </c>
      <c r="E338" s="723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723">
        <v>4680115881228</v>
      </c>
      <c r="E339" s="723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5"/>
      <c r="R339" s="725"/>
      <c r="S339" s="725"/>
      <c r="T339" s="72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723">
        <v>4680115881211</v>
      </c>
      <c r="E340" s="723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0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5"/>
      <c r="R340" s="725"/>
      <c r="S340" s="725"/>
      <c r="T340" s="72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1"/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2"/>
      <c r="P341" s="728" t="s">
        <v>40</v>
      </c>
      <c r="Q341" s="729"/>
      <c r="R341" s="729"/>
      <c r="S341" s="729"/>
      <c r="T341" s="729"/>
      <c r="U341" s="729"/>
      <c r="V341" s="73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1"/>
      <c r="B342" s="731"/>
      <c r="C342" s="731"/>
      <c r="D342" s="731"/>
      <c r="E342" s="731"/>
      <c r="F342" s="731"/>
      <c r="G342" s="731"/>
      <c r="H342" s="731"/>
      <c r="I342" s="731"/>
      <c r="J342" s="731"/>
      <c r="K342" s="731"/>
      <c r="L342" s="731"/>
      <c r="M342" s="731"/>
      <c r="N342" s="731"/>
      <c r="O342" s="732"/>
      <c r="P342" s="728" t="s">
        <v>40</v>
      </c>
      <c r="Q342" s="729"/>
      <c r="R342" s="729"/>
      <c r="S342" s="729"/>
      <c r="T342" s="729"/>
      <c r="U342" s="729"/>
      <c r="V342" s="73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1" t="s">
        <v>575</v>
      </c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1"/>
      <c r="P343" s="721"/>
      <c r="Q343" s="721"/>
      <c r="R343" s="721"/>
      <c r="S343" s="721"/>
      <c r="T343" s="721"/>
      <c r="U343" s="721"/>
      <c r="V343" s="721"/>
      <c r="W343" s="721"/>
      <c r="X343" s="721"/>
      <c r="Y343" s="721"/>
      <c r="Z343" s="721"/>
      <c r="AA343" s="65"/>
      <c r="AB343" s="65"/>
      <c r="AC343" s="79"/>
    </row>
    <row r="344" spans="1:68" ht="14.25" hidden="1" customHeight="1" x14ac:dyDescent="0.25">
      <c r="A344" s="722" t="s">
        <v>77</v>
      </c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2"/>
      <c r="P344" s="722"/>
      <c r="Q344" s="722"/>
      <c r="R344" s="722"/>
      <c r="S344" s="722"/>
      <c r="T344" s="722"/>
      <c r="U344" s="722"/>
      <c r="V344" s="722"/>
      <c r="W344" s="722"/>
      <c r="X344" s="722"/>
      <c r="Y344" s="722"/>
      <c r="Z344" s="722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3">
        <v>4680115888319</v>
      </c>
      <c r="E345" s="723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3">
        <v>4680115884700</v>
      </c>
      <c r="E346" s="723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3">
        <v>4680115880344</v>
      </c>
      <c r="E347" s="723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3">
        <v>4680115886919</v>
      </c>
      <c r="E348" s="723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5"/>
      <c r="R348" s="725"/>
      <c r="S348" s="725"/>
      <c r="T348" s="72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3">
        <v>4680115883970</v>
      </c>
      <c r="E349" s="723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5"/>
      <c r="R349" s="725"/>
      <c r="S349" s="725"/>
      <c r="T349" s="72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1"/>
      <c r="B350" s="731"/>
      <c r="C350" s="731"/>
      <c r="D350" s="731"/>
      <c r="E350" s="731"/>
      <c r="F350" s="731"/>
      <c r="G350" s="731"/>
      <c r="H350" s="731"/>
      <c r="I350" s="731"/>
      <c r="J350" s="731"/>
      <c r="K350" s="731"/>
      <c r="L350" s="731"/>
      <c r="M350" s="731"/>
      <c r="N350" s="731"/>
      <c r="O350" s="732"/>
      <c r="P350" s="728" t="s">
        <v>40</v>
      </c>
      <c r="Q350" s="729"/>
      <c r="R350" s="729"/>
      <c r="S350" s="729"/>
      <c r="T350" s="729"/>
      <c r="U350" s="729"/>
      <c r="V350" s="73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1"/>
      <c r="B351" s="731"/>
      <c r="C351" s="731"/>
      <c r="D351" s="731"/>
      <c r="E351" s="731"/>
      <c r="F351" s="731"/>
      <c r="G351" s="731"/>
      <c r="H351" s="731"/>
      <c r="I351" s="731"/>
      <c r="J351" s="731"/>
      <c r="K351" s="731"/>
      <c r="L351" s="731"/>
      <c r="M351" s="731"/>
      <c r="N351" s="731"/>
      <c r="O351" s="732"/>
      <c r="P351" s="728" t="s">
        <v>40</v>
      </c>
      <c r="Q351" s="729"/>
      <c r="R351" s="729"/>
      <c r="S351" s="729"/>
      <c r="T351" s="729"/>
      <c r="U351" s="729"/>
      <c r="V351" s="73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2" t="s">
        <v>86</v>
      </c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2"/>
      <c r="P352" s="722"/>
      <c r="Q352" s="722"/>
      <c r="R352" s="722"/>
      <c r="S352" s="722"/>
      <c r="T352" s="722"/>
      <c r="U352" s="722"/>
      <c r="V352" s="722"/>
      <c r="W352" s="722"/>
      <c r="X352" s="722"/>
      <c r="Y352" s="722"/>
      <c r="Z352" s="722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3">
        <v>4680115884618</v>
      </c>
      <c r="E353" s="723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5"/>
      <c r="R353" s="725"/>
      <c r="S353" s="725"/>
      <c r="T353" s="72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3">
        <v>4680115887114</v>
      </c>
      <c r="E354" s="723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5"/>
      <c r="R354" s="725"/>
      <c r="S354" s="725"/>
      <c r="T354" s="72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1"/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1"/>
      <c r="O355" s="732"/>
      <c r="P355" s="728" t="s">
        <v>40</v>
      </c>
      <c r="Q355" s="729"/>
      <c r="R355" s="729"/>
      <c r="S355" s="729"/>
      <c r="T355" s="729"/>
      <c r="U355" s="729"/>
      <c r="V355" s="73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1"/>
      <c r="B356" s="731"/>
      <c r="C356" s="731"/>
      <c r="D356" s="731"/>
      <c r="E356" s="731"/>
      <c r="F356" s="731"/>
      <c r="G356" s="731"/>
      <c r="H356" s="731"/>
      <c r="I356" s="731"/>
      <c r="J356" s="731"/>
      <c r="K356" s="731"/>
      <c r="L356" s="731"/>
      <c r="M356" s="731"/>
      <c r="N356" s="731"/>
      <c r="O356" s="732"/>
      <c r="P356" s="728" t="s">
        <v>40</v>
      </c>
      <c r="Q356" s="729"/>
      <c r="R356" s="729"/>
      <c r="S356" s="729"/>
      <c r="T356" s="729"/>
      <c r="U356" s="729"/>
      <c r="V356" s="73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1" t="s">
        <v>596</v>
      </c>
      <c r="B357" s="721"/>
      <c r="C357" s="721"/>
      <c r="D357" s="721"/>
      <c r="E357" s="721"/>
      <c r="F357" s="721"/>
      <c r="G357" s="721"/>
      <c r="H357" s="721"/>
      <c r="I357" s="721"/>
      <c r="J357" s="721"/>
      <c r="K357" s="721"/>
      <c r="L357" s="721"/>
      <c r="M357" s="721"/>
      <c r="N357" s="721"/>
      <c r="O357" s="721"/>
      <c r="P357" s="721"/>
      <c r="Q357" s="721"/>
      <c r="R357" s="721"/>
      <c r="S357" s="721"/>
      <c r="T357" s="721"/>
      <c r="U357" s="721"/>
      <c r="V357" s="721"/>
      <c r="W357" s="721"/>
      <c r="X357" s="721"/>
      <c r="Y357" s="721"/>
      <c r="Z357" s="721"/>
      <c r="AA357" s="65"/>
      <c r="AB357" s="65"/>
      <c r="AC357" s="79"/>
    </row>
    <row r="358" spans="1:68" ht="14.25" hidden="1" customHeight="1" x14ac:dyDescent="0.25">
      <c r="A358" s="722" t="s">
        <v>122</v>
      </c>
      <c r="B358" s="722"/>
      <c r="C358" s="722"/>
      <c r="D358" s="722"/>
      <c r="E358" s="722"/>
      <c r="F358" s="722"/>
      <c r="G358" s="722"/>
      <c r="H358" s="722"/>
      <c r="I358" s="722"/>
      <c r="J358" s="722"/>
      <c r="K358" s="722"/>
      <c r="L358" s="722"/>
      <c r="M358" s="722"/>
      <c r="N358" s="722"/>
      <c r="O358" s="722"/>
      <c r="P358" s="722"/>
      <c r="Q358" s="722"/>
      <c r="R358" s="722"/>
      <c r="S358" s="722"/>
      <c r="T358" s="722"/>
      <c r="U358" s="722"/>
      <c r="V358" s="722"/>
      <c r="W358" s="722"/>
      <c r="X358" s="722"/>
      <c r="Y358" s="722"/>
      <c r="Z358" s="722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723">
        <v>4680115887947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723">
        <v>4680115887978</v>
      </c>
      <c r="E360" s="723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5"/>
      <c r="R360" s="725"/>
      <c r="S360" s="725"/>
      <c r="T360" s="726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723">
        <v>4680115887992</v>
      </c>
      <c r="E361" s="723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1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5"/>
      <c r="R361" s="725"/>
      <c r="S361" s="725"/>
      <c r="T361" s="726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1"/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2"/>
      <c r="P362" s="728" t="s">
        <v>40</v>
      </c>
      <c r="Q362" s="729"/>
      <c r="R362" s="729"/>
      <c r="S362" s="729"/>
      <c r="T362" s="729"/>
      <c r="U362" s="729"/>
      <c r="V362" s="73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1"/>
      <c r="B363" s="731"/>
      <c r="C363" s="731"/>
      <c r="D363" s="731"/>
      <c r="E363" s="731"/>
      <c r="F363" s="731"/>
      <c r="G363" s="731"/>
      <c r="H363" s="731"/>
      <c r="I363" s="731"/>
      <c r="J363" s="731"/>
      <c r="K363" s="731"/>
      <c r="L363" s="731"/>
      <c r="M363" s="731"/>
      <c r="N363" s="731"/>
      <c r="O363" s="732"/>
      <c r="P363" s="728" t="s">
        <v>40</v>
      </c>
      <c r="Q363" s="729"/>
      <c r="R363" s="729"/>
      <c r="S363" s="729"/>
      <c r="T363" s="729"/>
      <c r="U363" s="729"/>
      <c r="V363" s="73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1" t="s">
        <v>605</v>
      </c>
      <c r="B364" s="721"/>
      <c r="C364" s="721"/>
      <c r="D364" s="721"/>
      <c r="E364" s="721"/>
      <c r="F364" s="721"/>
      <c r="G364" s="721"/>
      <c r="H364" s="721"/>
      <c r="I364" s="721"/>
      <c r="J364" s="721"/>
      <c r="K364" s="721"/>
      <c r="L364" s="721"/>
      <c r="M364" s="721"/>
      <c r="N364" s="721"/>
      <c r="O364" s="721"/>
      <c r="P364" s="721"/>
      <c r="Q364" s="721"/>
      <c r="R364" s="721"/>
      <c r="S364" s="721"/>
      <c r="T364" s="721"/>
      <c r="U364" s="721"/>
      <c r="V364" s="721"/>
      <c r="W364" s="721"/>
      <c r="X364" s="721"/>
      <c r="Y364" s="721"/>
      <c r="Z364" s="721"/>
      <c r="AA364" s="65"/>
      <c r="AB364" s="65"/>
      <c r="AC364" s="79"/>
    </row>
    <row r="365" spans="1:68" ht="14.25" hidden="1" customHeight="1" x14ac:dyDescent="0.25">
      <c r="A365" s="722" t="s">
        <v>122</v>
      </c>
      <c r="B365" s="722"/>
      <c r="C365" s="722"/>
      <c r="D365" s="722"/>
      <c r="E365" s="722"/>
      <c r="F365" s="722"/>
      <c r="G365" s="722"/>
      <c r="H365" s="722"/>
      <c r="I365" s="722"/>
      <c r="J365" s="722"/>
      <c r="K365" s="722"/>
      <c r="L365" s="722"/>
      <c r="M365" s="722"/>
      <c r="N365" s="722"/>
      <c r="O365" s="722"/>
      <c r="P365" s="722"/>
      <c r="Q365" s="722"/>
      <c r="R365" s="722"/>
      <c r="S365" s="722"/>
      <c r="T365" s="722"/>
      <c r="U365" s="722"/>
      <c r="V365" s="722"/>
      <c r="W365" s="722"/>
      <c r="X365" s="722"/>
      <c r="Y365" s="722"/>
      <c r="Z365" s="722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hidden="1" customHeight="1" x14ac:dyDescent="0.25">
      <c r="A367" s="63" t="s">
        <v>609</v>
      </c>
      <c r="B367" s="63" t="s">
        <v>610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612</v>
      </c>
      <c r="B368" s="63" t="s">
        <v>613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608</v>
      </c>
      <c r="AG369" s="78"/>
      <c r="AJ369" s="84" t="s">
        <v>46</v>
      </c>
      <c r="AK369" s="84">
        <v>0</v>
      </c>
      <c r="BB369" s="471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619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hidden="1" customHeight="1" x14ac:dyDescent="0.25">
      <c r="A374" s="63" t="s">
        <v>620</v>
      </c>
      <c r="B374" s="63" t="s">
        <v>621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67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633</v>
      </c>
      <c r="AG378" s="78"/>
      <c r="AJ378" s="84" t="s">
        <v>46</v>
      </c>
      <c r="AK378" s="84">
        <v>0</v>
      </c>
      <c r="BB378" s="483" t="s">
        <v>67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idden="1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hidden="1" customHeight="1" x14ac:dyDescent="0.25">
      <c r="A384" s="63" t="s">
        <v>639</v>
      </c>
      <c r="B384" s="63" t="s">
        <v>640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641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22" t="s">
        <v>173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hidden="1" customHeight="1" x14ac:dyDescent="0.25">
      <c r="A391" s="63" t="s">
        <v>650</v>
      </c>
      <c r="B391" s="63" t="s">
        <v>651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653</v>
      </c>
      <c r="B392" s="63" t="s">
        <v>654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722" t="s">
        <v>289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659</v>
      </c>
      <c r="B397" s="63" t="s">
        <v>660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264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661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662</v>
      </c>
      <c r="B398" s="63" t="s">
        <v>663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661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264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22" t="s">
        <v>668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669</v>
      </c>
      <c r="B404" s="63" t="s">
        <v>670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672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671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672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671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672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677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678</v>
      </c>
      <c r="B410" s="63" t="s">
        <v>679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672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680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681</v>
      </c>
      <c r="B411" s="63" t="s">
        <v>682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672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672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686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687</v>
      </c>
      <c r="B417" s="63" t="s">
        <v>688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689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690</v>
      </c>
      <c r="B418" s="63" t="s">
        <v>691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693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hidden="1" customHeight="1" x14ac:dyDescent="0.25">
      <c r="A423" s="63" t="s">
        <v>694</v>
      </c>
      <c r="B423" s="63" t="s">
        <v>695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697</v>
      </c>
      <c r="B424" s="63" t="s">
        <v>698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720" t="s">
        <v>703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704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hidden="1" customHeight="1" x14ac:dyDescent="0.25">
      <c r="A431" s="63" t="s">
        <v>705</v>
      </c>
      <c r="B431" s="63" t="s">
        <v>706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customHeight="1" x14ac:dyDescent="0.25">
      <c r="A432" s="63" t="s">
        <v>708</v>
      </c>
      <c r="B432" s="63" t="s">
        <v>709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700</v>
      </c>
      <c r="Y432" s="55">
        <f t="shared" si="63"/>
        <v>705</v>
      </c>
      <c r="Z432" s="41">
        <f>IFERROR(IF(Y432=0,"",ROUNDUP(Y432/H432,0)*0.02175),"")</f>
        <v>1.0222499999999999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4"/>
        <v>721.93333333333328</v>
      </c>
      <c r="BN432" s="78">
        <f t="shared" si="65"/>
        <v>727.09</v>
      </c>
      <c r="BO432" s="78">
        <f t="shared" si="66"/>
        <v>0.9722222222222221</v>
      </c>
      <c r="BP432" s="78">
        <f t="shared" si="67"/>
        <v>0.97916666666666663</v>
      </c>
    </row>
    <row r="433" spans="1:68" ht="27" customHeight="1" x14ac:dyDescent="0.25">
      <c r="A433" s="63" t="s">
        <v>711</v>
      </c>
      <c r="B433" s="63" t="s">
        <v>712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1000</v>
      </c>
      <c r="Y433" s="55">
        <f t="shared" si="63"/>
        <v>1005</v>
      </c>
      <c r="Z433" s="41">
        <f>IFERROR(IF(Y433=0,"",ROUNDUP(Y433/H433,0)*0.02175),"")</f>
        <v>1.4572499999999999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4"/>
        <v>1031.3333333333333</v>
      </c>
      <c r="BN433" s="78">
        <f t="shared" si="65"/>
        <v>1036.49</v>
      </c>
      <c r="BO433" s="78">
        <f t="shared" si="66"/>
        <v>1.3888888888888888</v>
      </c>
      <c r="BP433" s="78">
        <f t="shared" si="67"/>
        <v>1.3958333333333333</v>
      </c>
    </row>
    <row r="434" spans="1:68" ht="27" customHeight="1" x14ac:dyDescent="0.25">
      <c r="A434" s="63" t="s">
        <v>714</v>
      </c>
      <c r="B434" s="63" t="s">
        <v>715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600</v>
      </c>
      <c r="Y434" s="55">
        <f t="shared" si="63"/>
        <v>600</v>
      </c>
      <c r="Z434" s="41">
        <f>IFERROR(IF(Y434=0,"",ROUNDUP(Y434/H434,0)*0.02175),"")</f>
        <v>0.86999999999999988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4"/>
        <v>618.79999999999995</v>
      </c>
      <c r="BN434" s="78">
        <f t="shared" si="65"/>
        <v>618.79999999999995</v>
      </c>
      <c r="BO434" s="78">
        <f t="shared" si="66"/>
        <v>0.83333333333333326</v>
      </c>
      <c r="BP434" s="78">
        <f t="shared" si="67"/>
        <v>0.83333333333333326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hidden="1" customHeight="1" x14ac:dyDescent="0.25">
      <c r="A438" s="63" t="s">
        <v>726</v>
      </c>
      <c r="B438" s="63" t="s">
        <v>727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153.33333333333334</v>
      </c>
      <c r="Y439" s="43">
        <f>IFERROR(Y431/H431,"0")+IFERROR(Y432/H432,"0")+IFERROR(Y433/H433,"0")+IFERROR(Y434/H434,"0")+IFERROR(Y435/H435,"0")+IFERROR(Y436/H436,"0")+IFERROR(Y437/H437,"0")+IFERROR(Y438/H438,"0")</f>
        <v>154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3.3494999999999999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2300</v>
      </c>
      <c r="Y440" s="43">
        <f>IFERROR(SUM(Y431:Y438),"0")</f>
        <v>2310</v>
      </c>
      <c r="Z440" s="42"/>
      <c r="AA440" s="67"/>
      <c r="AB440" s="67"/>
      <c r="AC440" s="67"/>
    </row>
    <row r="441" spans="1:68" ht="14.25" hidden="1" customHeight="1" x14ac:dyDescent="0.25">
      <c r="A441" s="722" t="s">
        <v>155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729</v>
      </c>
      <c r="B442" s="63" t="s">
        <v>730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1500</v>
      </c>
      <c r="Y442" s="55">
        <f>IFERROR(IF(X442="",0,CEILING((X442/$H442),1)*$H442),"")</f>
        <v>1500</v>
      </c>
      <c r="Z442" s="41">
        <f>IFERROR(IF(Y442=0,"",ROUNDUP(Y442/H442,0)*0.02175),"")</f>
        <v>2.1749999999999998</v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1547</v>
      </c>
      <c r="BN442" s="78">
        <f>IFERROR(Y442*I442/H442,"0")</f>
        <v>1547</v>
      </c>
      <c r="BO442" s="78">
        <f>IFERROR(1/J442*(X442/H442),"0")</f>
        <v>2.083333333333333</v>
      </c>
      <c r="BP442" s="78">
        <f>IFERROR(1/J442*(Y442/H442),"0")</f>
        <v>2.083333333333333</v>
      </c>
    </row>
    <row r="443" spans="1:68" ht="27" hidden="1" customHeight="1" x14ac:dyDescent="0.25">
      <c r="A443" s="63" t="s">
        <v>732</v>
      </c>
      <c r="B443" s="63" t="s">
        <v>733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100</v>
      </c>
      <c r="Y445" s="43">
        <f>IFERROR(Y442/H442,"0")+IFERROR(Y443/H443,"0")+IFERROR(Y444/H444,"0")</f>
        <v>100</v>
      </c>
      <c r="Z445" s="43">
        <f>IFERROR(IF(Z442="",0,Z442),"0")+IFERROR(IF(Z443="",0,Z443),"0")+IFERROR(IF(Z444="",0,Z444),"0")</f>
        <v>2.1749999999999998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1500</v>
      </c>
      <c r="Y446" s="43">
        <f>IFERROR(SUM(Y442:Y444),"0")</f>
        <v>1500</v>
      </c>
      <c r="Z446" s="42"/>
      <c r="AA446" s="67"/>
      <c r="AB446" s="67"/>
      <c r="AC446" s="67"/>
    </row>
    <row r="447" spans="1:68" ht="14.25" hidden="1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hidden="1" customHeight="1" x14ac:dyDescent="0.25">
      <c r="A448" s="63" t="s">
        <v>738</v>
      </c>
      <c r="B448" s="63" t="s">
        <v>739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741</v>
      </c>
      <c r="B449" s="63" t="s">
        <v>742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722" t="s">
        <v>173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747</v>
      </c>
      <c r="B454" s="63" t="s">
        <v>748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749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750</v>
      </c>
      <c r="B455" s="63" t="s">
        <v>751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721" t="s">
        <v>753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756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757</v>
      </c>
      <c r="B461" s="63" t="s">
        <v>758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756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759</v>
      </c>
      <c r="B465" s="63" t="s">
        <v>760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hidden="1" customHeight="1" x14ac:dyDescent="0.25">
      <c r="A469" s="63" t="s">
        <v>762</v>
      </c>
      <c r="B469" s="63" t="s">
        <v>763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764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765</v>
      </c>
      <c r="B470" s="63" t="s">
        <v>766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764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765</v>
      </c>
      <c r="B471" s="63" t="s">
        <v>767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768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720" t="s">
        <v>769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770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hidden="1" customHeight="1" x14ac:dyDescent="0.25">
      <c r="A477" s="63" t="s">
        <v>771</v>
      </c>
      <c r="B477" s="63" t="s">
        <v>772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773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hidden="1" customHeight="1" x14ac:dyDescent="0.25">
      <c r="A478" s="63" t="s">
        <v>774</v>
      </c>
      <c r="B478" s="63" t="s">
        <v>775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781</v>
      </c>
      <c r="AG480" s="78"/>
      <c r="AJ480" s="84" t="s">
        <v>46</v>
      </c>
      <c r="AK480" s="84">
        <v>0</v>
      </c>
      <c r="BB480" s="583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hidden="1" customHeight="1" x14ac:dyDescent="0.25">
      <c r="A482" s="63" t="s">
        <v>785</v>
      </c>
      <c r="B482" s="63" t="s">
        <v>786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787</v>
      </c>
      <c r="B486" s="63" t="s">
        <v>788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789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790</v>
      </c>
      <c r="B487" s="63" t="s">
        <v>791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793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155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794</v>
      </c>
      <c r="B492" s="63" t="s">
        <v>795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796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hidden="1" customHeight="1" x14ac:dyDescent="0.25">
      <c r="A496" s="63" t="s">
        <v>797</v>
      </c>
      <c r="B496" s="63" t="s">
        <v>798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799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800</v>
      </c>
      <c r="B497" s="63" t="s">
        <v>801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720" t="s">
        <v>805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805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806</v>
      </c>
      <c r="B504" s="63" t="s">
        <v>807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hidden="1" customHeight="1" x14ac:dyDescent="0.25">
      <c r="A505" s="63" t="s">
        <v>808</v>
      </c>
      <c r="B505" s="63" t="s">
        <v>809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hidden="1" customHeight="1" x14ac:dyDescent="0.25">
      <c r="A506" s="63" t="s">
        <v>811</v>
      </c>
      <c r="B506" s="63" t="s">
        <v>812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3"/>
        <v>0</v>
      </c>
      <c r="Z507" s="41" t="str">
        <f t="shared" si="74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75"/>
        <v>0</v>
      </c>
      <c r="BN507" s="78">
        <f t="shared" si="76"/>
        <v>0</v>
      </c>
      <c r="BO507" s="78">
        <f t="shared" si="77"/>
        <v>0</v>
      </c>
      <c r="BP507" s="78">
        <f t="shared" si="78"/>
        <v>0</v>
      </c>
    </row>
    <row r="508" spans="1:68" ht="16.5" hidden="1" customHeight="1" x14ac:dyDescent="0.25">
      <c r="A508" s="63" t="s">
        <v>817</v>
      </c>
      <c r="B508" s="63" t="s">
        <v>818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hidden="1" customHeight="1" x14ac:dyDescent="0.25">
      <c r="A509" s="63" t="s">
        <v>820</v>
      </c>
      <c r="B509" s="63" t="s">
        <v>821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822</v>
      </c>
      <c r="AG512" s="78"/>
      <c r="AJ512" s="84" t="s">
        <v>46</v>
      </c>
      <c r="AK512" s="84">
        <v>0</v>
      </c>
      <c r="BB512" s="617" t="s">
        <v>67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hidden="1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722" t="s">
        <v>155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hidden="1" customHeight="1" x14ac:dyDescent="0.25">
      <c r="A516" s="63" t="s">
        <v>829</v>
      </c>
      <c r="B516" s="63" t="s">
        <v>830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831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832</v>
      </c>
      <c r="B517" s="63" t="s">
        <v>833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831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idden="1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hidden="1" customHeight="1" x14ac:dyDescent="0.25">
      <c r="A522" s="63" t="s">
        <v>836</v>
      </c>
      <c r="B522" s="63" t="s">
        <v>837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838</v>
      </c>
      <c r="AG525" s="78"/>
      <c r="AJ525" s="84" t="s">
        <v>46</v>
      </c>
      <c r="AK525" s="84">
        <v>0</v>
      </c>
      <c r="BB525" s="631" t="s">
        <v>67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hidden="1" customHeight="1" x14ac:dyDescent="0.25">
      <c r="A527" s="63" t="s">
        <v>847</v>
      </c>
      <c r="B527" s="63" t="s">
        <v>849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hidden="1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720" t="s">
        <v>852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852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855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22" t="s">
        <v>155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4301020400</v>
      </c>
      <c r="D538" s="723">
        <v>4640242180519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861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hidden="1" customHeight="1" x14ac:dyDescent="0.25">
      <c r="A546" s="63" t="s">
        <v>862</v>
      </c>
      <c r="B546" s="63" t="s">
        <v>863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864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22" t="s">
        <v>173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865</v>
      </c>
      <c r="B550" s="63" t="s">
        <v>866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867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868</v>
      </c>
      <c r="B551" s="63" t="s">
        <v>869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871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155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872</v>
      </c>
      <c r="B556" s="63" t="s">
        <v>873</v>
      </c>
      <c r="C556" s="36">
        <v>4301020428</v>
      </c>
      <c r="D556" s="723">
        <v>4640242180090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874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3800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3810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3919.0666666666666</v>
      </c>
      <c r="Y560" s="43">
        <f>IFERROR(SUM(BN22:BN556),"0")</f>
        <v>3929.38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6</v>
      </c>
      <c r="Y561" s="44">
        <f>ROUNDUP(SUM(BP22:BP556),0)</f>
        <v>6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4069.0666666666666</v>
      </c>
      <c r="Y562" s="43">
        <f>GrossWeightTotalR+PalletQtyTotalR*25</f>
        <v>4079.38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253.33333333333334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254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5.5244999999999997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360</v>
      </c>
      <c r="L566" s="1010" t="s">
        <v>360</v>
      </c>
      <c r="M566" s="1010" t="s">
        <v>360</v>
      </c>
      <c r="N566" s="1019"/>
      <c r="O566" s="1010" t="s">
        <v>360</v>
      </c>
      <c r="P566" s="1010" t="s">
        <v>360</v>
      </c>
      <c r="Q566" s="1010" t="s">
        <v>360</v>
      </c>
      <c r="R566" s="1010" t="s">
        <v>360</v>
      </c>
      <c r="S566" s="1010" t="s">
        <v>360</v>
      </c>
      <c r="T566" s="1010" t="s">
        <v>360</v>
      </c>
      <c r="U566" s="1010" t="s">
        <v>360</v>
      </c>
      <c r="V566" s="1010" t="s">
        <v>360</v>
      </c>
      <c r="W566" s="1010" t="s">
        <v>703</v>
      </c>
      <c r="X566" s="1010" t="s">
        <v>703</v>
      </c>
      <c r="Y566" s="1010" t="s">
        <v>769</v>
      </c>
      <c r="Z566" s="1010" t="s">
        <v>769</v>
      </c>
      <c r="AA566" s="85" t="s">
        <v>805</v>
      </c>
      <c r="AB566" s="1010" t="s">
        <v>852</v>
      </c>
      <c r="AC566" s="1010" t="s">
        <v>852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182</v>
      </c>
      <c r="G567" s="1010" t="s">
        <v>209</v>
      </c>
      <c r="H567" s="1010" t="s">
        <v>260</v>
      </c>
      <c r="I567" s="1010" t="s">
        <v>273</v>
      </c>
      <c r="J567" s="1010" t="s">
        <v>120</v>
      </c>
      <c r="K567" s="1010" t="s">
        <v>361</v>
      </c>
      <c r="L567" s="1010" t="s">
        <v>382</v>
      </c>
      <c r="M567" s="1010" t="s">
        <v>449</v>
      </c>
      <c r="N567" s="1"/>
      <c r="O567" s="1010" t="s">
        <v>517</v>
      </c>
      <c r="P567" s="1010" t="s">
        <v>550</v>
      </c>
      <c r="Q567" s="1010" t="s">
        <v>566</v>
      </c>
      <c r="R567" s="1010" t="s">
        <v>575</v>
      </c>
      <c r="S567" s="1010" t="s">
        <v>596</v>
      </c>
      <c r="T567" s="1010" t="s">
        <v>605</v>
      </c>
      <c r="U567" s="1010" t="s">
        <v>686</v>
      </c>
      <c r="V567" s="1010" t="s">
        <v>693</v>
      </c>
      <c r="W567" s="1010" t="s">
        <v>704</v>
      </c>
      <c r="X567" s="1010" t="s">
        <v>753</v>
      </c>
      <c r="Y567" s="1010" t="s">
        <v>770</v>
      </c>
      <c r="Z567" s="1010" t="s">
        <v>793</v>
      </c>
      <c r="AA567" s="1010" t="s">
        <v>805</v>
      </c>
      <c r="AB567" s="1010" t="s">
        <v>852</v>
      </c>
      <c r="AC567" s="1010" t="s">
        <v>871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3810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153,33"/>
        <filter val="2 300,00"/>
        <filter val="253,33"/>
        <filter val="3 800,00"/>
        <filter val="3 919,07"/>
        <filter val="4 069,07"/>
        <filter val="6"/>
        <filter val="600,00"/>
        <filter val="700,00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2" spans="2:8" x14ac:dyDescent="0.2">
      <c r="B12" s="53" t="s">
        <v>896</v>
      </c>
      <c r="C12" s="53" t="s">
        <v>897</v>
      </c>
      <c r="D12" s="53" t="s">
        <v>898</v>
      </c>
      <c r="E12" s="53" t="s">
        <v>46</v>
      </c>
    </row>
    <row r="14" spans="2:8" x14ac:dyDescent="0.2">
      <c r="B14" s="53" t="s">
        <v>899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900</v>
      </c>
      <c r="C16" s="53" t="s">
        <v>882</v>
      </c>
      <c r="D16" s="53" t="s">
        <v>46</v>
      </c>
      <c r="E16" s="53" t="s">
        <v>46</v>
      </c>
    </row>
    <row r="18" spans="2:5" x14ac:dyDescent="0.2">
      <c r="B18" s="53" t="s">
        <v>901</v>
      </c>
      <c r="C18" s="53" t="s">
        <v>885</v>
      </c>
      <c r="D18" s="53" t="s">
        <v>46</v>
      </c>
      <c r="E18" s="53" t="s">
        <v>46</v>
      </c>
    </row>
    <row r="20" spans="2:5" x14ac:dyDescent="0.2">
      <c r="B20" s="53" t="s">
        <v>902</v>
      </c>
      <c r="C20" s="53" t="s">
        <v>888</v>
      </c>
      <c r="D20" s="53" t="s">
        <v>46</v>
      </c>
      <c r="E20" s="53" t="s">
        <v>46</v>
      </c>
    </row>
    <row r="22" spans="2:5" x14ac:dyDescent="0.2">
      <c r="B22" s="53" t="s">
        <v>903</v>
      </c>
      <c r="C22" s="53" t="s">
        <v>891</v>
      </c>
      <c r="D22" s="53" t="s">
        <v>46</v>
      </c>
      <c r="E22" s="53" t="s">
        <v>46</v>
      </c>
    </row>
    <row r="24" spans="2:5" x14ac:dyDescent="0.2">
      <c r="B24" s="53" t="s">
        <v>904</v>
      </c>
      <c r="C24" s="53" t="s">
        <v>894</v>
      </c>
      <c r="D24" s="53" t="s">
        <v>46</v>
      </c>
      <c r="E24" s="53" t="s">
        <v>46</v>
      </c>
    </row>
    <row r="26" spans="2:5" x14ac:dyDescent="0.2">
      <c r="B26" s="53" t="s">
        <v>905</v>
      </c>
      <c r="C26" s="53" t="s">
        <v>897</v>
      </c>
      <c r="D26" s="53" t="s">
        <v>46</v>
      </c>
      <c r="E26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916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2026-09-02T09:07:11Z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