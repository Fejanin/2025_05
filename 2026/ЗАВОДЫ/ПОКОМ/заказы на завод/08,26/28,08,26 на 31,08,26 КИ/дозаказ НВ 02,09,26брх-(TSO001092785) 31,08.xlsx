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F7D4E09-A9A1-4157-AB9E-6697A73CB311}" xr6:coauthVersionLast="47" xr6:coauthVersionMax="47" xr10:uidLastSave="{00000000-0000-0000-0000-000000000000}"/>
  <bookViews>
    <workbookView xWindow="135" yWindow="75" windowWidth="25605" windowHeight="1552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Z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Z487" i="2" s="1"/>
  <c r="P487" i="2"/>
  <c r="BP486" i="2"/>
  <c r="BO486" i="2"/>
  <c r="BM486" i="2"/>
  <c r="Y486" i="2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P465" i="2"/>
  <c r="BO465" i="2"/>
  <c r="BM465" i="2"/>
  <c r="Y465" i="2"/>
  <c r="P465" i="2"/>
  <c r="X463" i="2"/>
  <c r="X462" i="2"/>
  <c r="BO461" i="2"/>
  <c r="BM461" i="2"/>
  <c r="Z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Z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Y446" i="2" s="1"/>
  <c r="P442" i="2"/>
  <c r="X440" i="2"/>
  <c r="X439" i="2"/>
  <c r="BO438" i="2"/>
  <c r="BM438" i="2"/>
  <c r="Y438" i="2"/>
  <c r="BN438" i="2" s="1"/>
  <c r="P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Z432" i="2"/>
  <c r="Y432" i="2"/>
  <c r="BN432" i="2" s="1"/>
  <c r="P432" i="2"/>
  <c r="BO431" i="2"/>
  <c r="BM431" i="2"/>
  <c r="Y431" i="2"/>
  <c r="P431" i="2"/>
  <c r="X427" i="2"/>
  <c r="X426" i="2"/>
  <c r="BP425" i="2"/>
  <c r="BO425" i="2"/>
  <c r="BN425" i="2"/>
  <c r="BM425" i="2"/>
  <c r="Z425" i="2"/>
  <c r="Y425" i="2"/>
  <c r="P425" i="2"/>
  <c r="BO424" i="2"/>
  <c r="BM424" i="2"/>
  <c r="Y424" i="2"/>
  <c r="BP424" i="2" s="1"/>
  <c r="P424" i="2"/>
  <c r="BO423" i="2"/>
  <c r="BM423" i="2"/>
  <c r="Y423" i="2"/>
  <c r="Y427" i="2" s="1"/>
  <c r="P423" i="2"/>
  <c r="Y420" i="2"/>
  <c r="X420" i="2"/>
  <c r="X419" i="2"/>
  <c r="BO418" i="2"/>
  <c r="BM418" i="2"/>
  <c r="Y418" i="2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P392" i="2"/>
  <c r="BO392" i="2"/>
  <c r="BM392" i="2"/>
  <c r="Y392" i="2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Y354" i="2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P348" i="2"/>
  <c r="BO348" i="2"/>
  <c r="BM348" i="2"/>
  <c r="Z348" i="2"/>
  <c r="Y348" i="2"/>
  <c r="BN348" i="2" s="1"/>
  <c r="P348" i="2"/>
  <c r="BO347" i="2"/>
  <c r="BM347" i="2"/>
  <c r="Z347" i="2"/>
  <c r="Y347" i="2"/>
  <c r="BN347" i="2" s="1"/>
  <c r="P347" i="2"/>
  <c r="BO346" i="2"/>
  <c r="BM346" i="2"/>
  <c r="Y346" i="2"/>
  <c r="BP346" i="2" s="1"/>
  <c r="P346" i="2"/>
  <c r="BP345" i="2"/>
  <c r="BO345" i="2"/>
  <c r="BM345" i="2"/>
  <c r="Z345" i="2"/>
  <c r="Y345" i="2"/>
  <c r="BN345" i="2" s="1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Y314" i="2"/>
  <c r="Z314" i="2" s="1"/>
  <c r="Z315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P274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X270" i="2"/>
  <c r="X269" i="2"/>
  <c r="BO268" i="2"/>
  <c r="BM268" i="2"/>
  <c r="Y268" i="2"/>
  <c r="BP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N238" i="2"/>
  <c r="BM238" i="2"/>
  <c r="Z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P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Y185" i="2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N171" i="2"/>
  <c r="BM171" i="2"/>
  <c r="Y171" i="2"/>
  <c r="BP171" i="2" s="1"/>
  <c r="P171" i="2"/>
  <c r="BO170" i="2"/>
  <c r="BM170" i="2"/>
  <c r="Y170" i="2"/>
  <c r="P170" i="2"/>
  <c r="BO169" i="2"/>
  <c r="BM169" i="2"/>
  <c r="Y169" i="2"/>
  <c r="P169" i="2"/>
  <c r="X166" i="2"/>
  <c r="X165" i="2"/>
  <c r="BO164" i="2"/>
  <c r="BM164" i="2"/>
  <c r="Y164" i="2"/>
  <c r="Z164" i="2" s="1"/>
  <c r="Z165" i="2" s="1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Z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Z67" i="2"/>
  <c r="Y67" i="2"/>
  <c r="BN67" i="2" s="1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N56" i="2"/>
  <c r="BM56" i="2"/>
  <c r="Y56" i="2"/>
  <c r="BP56" i="2" s="1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M49" i="2"/>
  <c r="Y49" i="2"/>
  <c r="P49" i="2"/>
  <c r="BO48" i="2"/>
  <c r="BM48" i="2"/>
  <c r="Y48" i="2"/>
  <c r="Y52" i="2" s="1"/>
  <c r="P48" i="2"/>
  <c r="BO47" i="2"/>
  <c r="BN47" i="2"/>
  <c r="BM47" i="2"/>
  <c r="Y47" i="2"/>
  <c r="BP47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P39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Y24" i="2" l="1"/>
  <c r="Z126" i="2"/>
  <c r="BP126" i="2"/>
  <c r="Z195" i="2"/>
  <c r="BP195" i="2"/>
  <c r="Y316" i="2"/>
  <c r="Y161" i="2"/>
  <c r="Z47" i="2"/>
  <c r="Z171" i="2"/>
  <c r="Z230" i="2"/>
  <c r="Z304" i="2"/>
  <c r="Z438" i="2"/>
  <c r="Z509" i="2"/>
  <c r="Z106" i="2"/>
  <c r="BP106" i="2"/>
  <c r="Y25" i="2"/>
  <c r="Z56" i="2"/>
  <c r="Z96" i="2"/>
  <c r="Y166" i="2"/>
  <c r="Z462" i="2"/>
  <c r="Y483" i="2"/>
  <c r="Z498" i="2"/>
  <c r="BN31" i="2"/>
  <c r="BN40" i="2"/>
  <c r="BP49" i="2"/>
  <c r="BN49" i="2"/>
  <c r="Z49" i="2"/>
  <c r="BN71" i="2"/>
  <c r="BN170" i="2"/>
  <c r="Z170" i="2"/>
  <c r="BN183" i="2"/>
  <c r="BN185" i="2"/>
  <c r="Z185" i="2"/>
  <c r="BN191" i="2"/>
  <c r="Y203" i="2"/>
  <c r="BP201" i="2"/>
  <c r="BN201" i="2"/>
  <c r="Z201" i="2"/>
  <c r="Z202" i="2" s="1"/>
  <c r="BP217" i="2"/>
  <c r="BN217" i="2"/>
  <c r="Z217" i="2"/>
  <c r="BN227" i="2"/>
  <c r="Z227" i="2"/>
  <c r="BN229" i="2"/>
  <c r="Z229" i="2"/>
  <c r="BN245" i="2"/>
  <c r="BN253" i="2"/>
  <c r="BP272" i="2"/>
  <c r="BN272" i="2"/>
  <c r="Z272" i="2"/>
  <c r="BP283" i="2"/>
  <c r="BN283" i="2"/>
  <c r="Z283" i="2"/>
  <c r="BN294" i="2"/>
  <c r="Z294" i="2"/>
  <c r="BN330" i="2"/>
  <c r="BN378" i="2"/>
  <c r="BN393" i="2"/>
  <c r="BN423" i="2"/>
  <c r="BN437" i="2"/>
  <c r="Z437" i="2"/>
  <c r="BN469" i="2"/>
  <c r="BN487" i="2"/>
  <c r="Z522" i="2"/>
  <c r="BN522" i="2"/>
  <c r="BP59" i="2"/>
  <c r="BN59" i="2"/>
  <c r="Z59" i="2"/>
  <c r="Y112" i="2"/>
  <c r="BP103" i="2"/>
  <c r="BN103" i="2"/>
  <c r="Z103" i="2"/>
  <c r="BN115" i="2"/>
  <c r="BN176" i="2"/>
  <c r="BN186" i="2"/>
  <c r="BN231" i="2"/>
  <c r="BN267" i="2"/>
  <c r="Y269" i="2"/>
  <c r="BN268" i="2"/>
  <c r="BN276" i="2"/>
  <c r="BN286" i="2"/>
  <c r="BN354" i="2"/>
  <c r="Z354" i="2"/>
  <c r="BN392" i="2"/>
  <c r="Z392" i="2"/>
  <c r="BN406" i="2"/>
  <c r="Z406" i="2"/>
  <c r="BN435" i="2"/>
  <c r="Z435" i="2"/>
  <c r="BN486" i="2"/>
  <c r="Y488" i="2"/>
  <c r="Z486" i="2"/>
  <c r="Z488" i="2" s="1"/>
  <c r="Y493" i="2"/>
  <c r="Z492" i="2"/>
  <c r="Z493" i="2" s="1"/>
  <c r="BN510" i="2"/>
  <c r="Z510" i="2"/>
  <c r="BN526" i="2"/>
  <c r="BN23" i="2"/>
  <c r="C569" i="2"/>
  <c r="BN50" i="2"/>
  <c r="BN80" i="2"/>
  <c r="BN97" i="2"/>
  <c r="BN110" i="2"/>
  <c r="BN157" i="2"/>
  <c r="BN182" i="2"/>
  <c r="BN190" i="2"/>
  <c r="BN212" i="2"/>
  <c r="BN278" i="2"/>
  <c r="BN291" i="2"/>
  <c r="BP304" i="2"/>
  <c r="BN305" i="2"/>
  <c r="BN332" i="2"/>
  <c r="BP347" i="2"/>
  <c r="BN359" i="2"/>
  <c r="BN366" i="2"/>
  <c r="BN376" i="2"/>
  <c r="BN384" i="2"/>
  <c r="BN399" i="2"/>
  <c r="BN412" i="2"/>
  <c r="BP438" i="2"/>
  <c r="BP461" i="2"/>
  <c r="BN479" i="2"/>
  <c r="BP498" i="2"/>
  <c r="BN525" i="2"/>
  <c r="BN534" i="2"/>
  <c r="Z538" i="2"/>
  <c r="Z539" i="2" s="1"/>
  <c r="Y539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Z51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BP361" i="2"/>
  <c r="Z361" i="2"/>
  <c r="Z391" i="2"/>
  <c r="Y408" i="2"/>
  <c r="Y407" i="2"/>
  <c r="BP404" i="2"/>
  <c r="Z404" i="2"/>
  <c r="Z417" i="2"/>
  <c r="BN417" i="2"/>
  <c r="BP437" i="2"/>
  <c r="Z450" i="2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Z350" i="2" s="1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Z451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5" i="2"/>
  <c r="BP354" i="2"/>
  <c r="Z362" i="2"/>
  <c r="BP384" i="2"/>
  <c r="Y394" i="2"/>
  <c r="Z393" i="2"/>
  <c r="Z399" i="2"/>
  <c r="Y419" i="2"/>
  <c r="Z423" i="2"/>
  <c r="Z426" i="2" s="1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Z198" i="2" s="1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Z341" i="2" s="1"/>
  <c r="BN353" i="2"/>
  <c r="BP367" i="2"/>
  <c r="Z375" i="2"/>
  <c r="BP377" i="2"/>
  <c r="Z385" i="2"/>
  <c r="BP387" i="2"/>
  <c r="BN397" i="2"/>
  <c r="Z418" i="2"/>
  <c r="Z419" i="2" s="1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Z145" i="2" s="1"/>
  <c r="BN156" i="2"/>
  <c r="BP169" i="2"/>
  <c r="BP184" i="2"/>
  <c r="BN187" i="2"/>
  <c r="BN197" i="2"/>
  <c r="BN211" i="2"/>
  <c r="BN222" i="2"/>
  <c r="BN232" i="2"/>
  <c r="BN252" i="2"/>
  <c r="Z263" i="2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Z407" i="2" s="1"/>
  <c r="BN418" i="2"/>
  <c r="Z431" i="2"/>
  <c r="Z439" i="2" s="1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11" i="2" s="1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34" i="2" s="1"/>
  <c r="Z157" i="2"/>
  <c r="Z180" i="2"/>
  <c r="Z188" i="2"/>
  <c r="Z212" i="2"/>
  <c r="Z233" i="2"/>
  <c r="Z243" i="2"/>
  <c r="Z253" i="2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29" i="2" s="1"/>
  <c r="Z183" i="2"/>
  <c r="Z191" i="2"/>
  <c r="Z215" i="2"/>
  <c r="Z236" i="2"/>
  <c r="Z246" i="2"/>
  <c r="Z279" i="2"/>
  <c r="Z289" i="2"/>
  <c r="Z299" i="2"/>
  <c r="Z310" i="2"/>
  <c r="Z322" i="2"/>
  <c r="Z325" i="2" s="1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Z172" i="2" s="1"/>
  <c r="Y192" i="2"/>
  <c r="BN277" i="2"/>
  <c r="BN308" i="2"/>
  <c r="BN331" i="2"/>
  <c r="BN480" i="2"/>
  <c r="AB569" i="2"/>
  <c r="Z401" i="2" l="1"/>
  <c r="Z61" i="2"/>
  <c r="Z552" i="2"/>
  <c r="Z254" i="2"/>
  <c r="Z240" i="2"/>
  <c r="Z150" i="2"/>
  <c r="Z264" i="2"/>
  <c r="Z388" i="2"/>
  <c r="Z68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<sst xmlns="http://schemas.openxmlformats.org/spreadsheetml/2006/main" count="4337" uniqueCount="918">
  <si>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</si>
  <si>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</si>
  <si>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</si>
  <si>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</si>
  <si>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</si>
  <si>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</si>
  <si>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</si>
  <si>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</si>
  <si>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</si>
  <si>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</si>
  <si>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</si>
  <si>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</si>
  <si>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</si>
  <si>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</si>
  <si>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</si>
  <si>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</si>
  <si>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</si>
  <si>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</si>
  <si>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</si>
  <si>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</si>
  <si>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</si>
  <si>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</si>
  <si>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</si>
  <si>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</si>
  <si>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</si>
  <si>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</si>
  <si>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</si>
  <si>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</si>
  <si>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</si>
  <si>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</si>
  <si>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</si>
  <si>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</si>
  <si>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</si>
  <si>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</si>
  <si>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</si>
  <si>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</si>
  <si>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</si>
  <si>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</si>
  <si>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</si>
  <si>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</si>
  <si>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</si>
  <si>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</si>
  <si>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</si>
  <si>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</si>
  <si>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</si>
  <si>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</si>
  <si>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</si>
  <si>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</si>
  <si>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</si>
  <si>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</si>
  <si>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</si>
  <si>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</si>
  <si>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</si>
  <si>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</si>
  <si>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</si>
  <si>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</si>
  <si>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</si>
  <si>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</si>
  <si>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</si>
  <si>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</si>
  <si>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</si>
  <si>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</si>
  <si>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</si>
  <si>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</si>
  <si>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</si>
  <si>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</si>
  <si>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</si>
  <si>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</si>
  <si>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</si>
  <si>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</si>
  <si>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</si>
  <si>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</si>
  <si>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</si>
  <si>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</si>
  <si>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</si>
  <si>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</si>
  <si>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</si>
  <si>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</si>
  <si>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</si>
  <si>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</si>
  <si>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</si>
  <si>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</si>
  <si>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</si>
  <si>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</si>
  <si>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</si>
  <si>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</si>
  <si>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</si>
  <si>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</si>
  <si>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</si>
  <si>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</si>
  <si>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</si>
  <si>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</si>
  <si>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</si>
  <si>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</si>
  <si>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</si>
  <si>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</si>
  <si>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</si>
  <si>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</si>
  <si>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</si>
  <si>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</si>
  <si>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</si>
  <si>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</si>
  <si>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</si>
  <si>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</si>
  <si>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</si>
  <si>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</si>
  <si>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</si>
  <si>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</si>
  <si>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</si>
  <si>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</si>
  <si>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</si>
  <si>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</si>
  <si>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</si>
  <si>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</si>
  <si>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</si>
  <si>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</si>
  <si>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</si>
  <si>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</si>
  <si>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</si>
  <si>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</si>
  <si>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</si>
  <si>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</si>
  <si>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</si>
  <si>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</si>
  <si>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</si>
  <si>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</si>
  <si>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</si>
  <si>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</si>
  <si>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</si>
  <si>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</si>
  <si>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</si>
  <si>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</si>
  <si>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</si>
  <si>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</si>
  <si>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</si>
  <si>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</si>
  <si>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</si>
  <si>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</si>
  <si>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</si>
  <si>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</si>
  <si>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</si>
  <si>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</si>
  <si>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</si>
  <si>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</si>
  <si>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</si>
  <si>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</si>
  <si>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</si>
  <si>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</si>
  <si>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</si>
  <si>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</si>
  <si>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</si>
  <si>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</si>
  <si>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</si>
  <si>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</si>
  <si>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</si>
  <si>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</si>
  <si>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</si>
  <si>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</si>
  <si>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</si>
  <si>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</si>
  <si>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</si>
  <si>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</si>
  <si>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</si>
  <si>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</si>
  <si>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</si>
  <si>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</si>
  <si>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</si>
  <si>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</si>
  <si>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</si>
  <si>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</si>
  <si>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</si>
  <si>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</si>
  <si>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</si>
  <si>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</si>
  <si>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</si>
  <si>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</si>
  <si>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</si>
  <si>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</si>
  <si>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</si>
  <si>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</si>
  <si>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</si>
  <si>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</si>
  <si>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</si>
  <si>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</si>
  <si>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</si>
  <si>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</si>
  <si>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</si>
  <si>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</si>
  <si>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</si>
  <si>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</si>
  <si>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</si>
  <si>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</si>
  <si>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</si>
  <si>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</si>
  <si>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</si>
  <si>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</si>
  <si>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</si>
  <si>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</si>
  <si>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</si>
  <si>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</si>
  <si>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</si>
  <si>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</si>
  <si>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</si>
  <si>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</si>
  <si>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</si>
  <si>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</si>
  <si>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</si>
  <si>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</si>
  <si>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</si>
  <si>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</si>
  <si>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</si>
  <si>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</si>
  <si>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</si>
  <si>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</si>
  <si>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</si>
  <si>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</si>
  <si>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</si>
  <si>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</si>
  <si>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</si>
  <si>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</si>
  <si>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</si>
  <si>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</si>
  <si>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</si>
  <si>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</si>
  <si>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</si>
  <si>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</si>
  <si>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</si>
  <si>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</si>
  <si>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</si>
  <si>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</si>
  <si>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</si>
  <si>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</si>
  <si>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</si>
  <si>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</si>
  <si>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</si>
  <si>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</si>
  <si>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</si>
  <si>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</si>
  <si>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</si>
  <si>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</si>
  <si>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</si>
  <si>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</si>
  <si>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</si>
  <si>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</si>
  <si>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</si>
  <si>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</si>
  <si>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</si>
  <si>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</si>
  <si>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</si>
  <si>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</si>
  <si>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</si>
  <si>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</si>
  <si>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</si>
  <si>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</si>
  <si>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</si>
  <si>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</si>
  <si>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</si>
  <si>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</si>
  <si>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</si>
  <si>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</si>
  <si>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</si>
  <si>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</si>
  <si>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</si>
  <si>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</si>
  <si>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</si>
  <si>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</si>
  <si>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</si>
  <si>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</si>
  <si>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</si>
  <si>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</si>
  <si>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</si>
  <si>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</si>
  <si>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</si>
  <si>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</si>
  <si>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</si>
  <si>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</si>
  <si>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</si>
  <si>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</si>
  <si>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</si>
  <si>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</si>
  <si>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</si>
  <si>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</si>
  <si>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</si>
  <si>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</si>
  <si>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</si>
  <si>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</si>
  <si>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</si>
  <si>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</si>
  <si>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</si>
  <si>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</si>
  <si>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</si>
  <si>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</si>
  <si>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</si>
  <si>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</si>
  <si>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</si>
  <si>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</si>
  <si>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</si>
  <si>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</si>
  <si>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</si>
  <si>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</si>
  <si>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</si>
  <si>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</si>
  <si>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</si>
  <si>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</si>
  <si>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</si>
  <si>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</si>
  <si>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</si>
  <si>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</si>
  <si>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</si>
  <si>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</si>
  <si>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</si>
  <si>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</si>
  <si>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</si>
  <si>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</si>
  <si>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</si>
  <si>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</si>
  <si>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</si>
  <si>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</si>
  <si>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</si>
  <si>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</si>
  <si>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</si>
  <si>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</si>
  <si>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</si>
  <si>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</si>
  <si>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</si>
  <si>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</si>
  <si>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</si>
  <si>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</si>
  <si>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</si>
  <si>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</si>
  <si>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</si>
  <si>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</si>
  <si>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</si>
  <si>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</si>
  <si>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</si>
  <si>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</si>
  <si>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</si>
  <si>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</si>
  <si>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</si>
  <si>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</si>
  <si>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</si>
  <si>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</si>
  <si>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</si>
  <si>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</si>
  <si>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</si>
  <si>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</si>
  <si>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</si>
  <si>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</si>
  <si>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</si>
  <si>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</si>
  <si>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</si>
  <si>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</si>
  <si>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</si>
  <si>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</si>
  <si>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</si>
  <si>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</si>
  <si>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</si>
  <si>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</si>
  <si>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</si>
  <si>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</si>
  <si>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</si>
  <si>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</si>
  <si>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</si>
  <si>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</si>
  <si>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</si>
  <si>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</si>
  <si>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</si>
  <si>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</si>
  <si>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</si>
  <si>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</si>
  <si>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</si>
  <si>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</si>
  <si>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</si>
  <si>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</si>
  <si>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</si>
  <si>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</si>
  <si>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</si>
  <si>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</si>
  <si>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</si>
  <si>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</si>
  <si>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</si>
  <si>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</si>
  <si>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</si>
  <si>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</si>
  <si>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</si>
  <si>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</si>
  <si>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</si>
  <si>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</si>
  <si>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</si>
  <si>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</si>
  <si>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</si>
  <si>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</si>
  <si>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</si>
  <si>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</si>
  <si>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</si>
  <si>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</si>
  <si>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</si>
  <si>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</si>
  <si>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</si>
  <si>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</si>
  <si>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</si>
  <si>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</si>
  <si>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</si>
  <si>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</si>
  <si>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</si>
  <si>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</si>
  <si>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</si>
  <si>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</si>
  <si>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</si>
  <si>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</si>
  <si>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</si>
  <si>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</si>
  <si>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</si>
  <si>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</si>
  <si>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</si>
  <si>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</si>
  <si>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</si>
  <si>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</si>
  <si>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</si>
  <si>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</si>
  <si>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</si>
  <si>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</si>
  <si>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</si>
  <si>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</si>
  <si>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</si>
  <si>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</si>
  <si>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</si>
  <si>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</si>
  <si>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</si>
  <si>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</si>
  <si>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</si>
  <si>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</si>
  <si>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</si>
  <si>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</si>
  <si>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</si>
  <si>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</si>
  <si>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</si>
  <si>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</si>
  <si>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</si>
  <si>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</si>
  <si>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</si>
  <si>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</si>
  <si>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</si>
  <si>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</si>
  <si>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</si>
  <si>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</si>
  <si>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</si>
  <si>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</si>
  <si>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</si>
  <si>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</si>
  <si>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</si>
  <si>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</si>
  <si>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</si>
  <si>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</si>
  <si>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</si>
  <si>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</si>
  <si>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</si>
  <si>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</si>
  <si>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</si>
  <si>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</si>
  <si>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</si>
  <si>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</si>
  <si>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</si>
  <si>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</si>
  <si>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</si>
  <si>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</si>
  <si>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</si>
  <si>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</si>
  <si>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</si>
  <si>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</si>
  <si>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</si>
  <si>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</si>
  <si>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</si>
  <si>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</si>
  <si>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</si>
  <si>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</si>
  <si>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</si>
  <si>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</si>
  <si>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</si>
  <si>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</si>
  <si>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</si>
  <si>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</si>
  <si>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</si>
  <si>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</si>
  <si>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</si>
  <si>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</si>
  <si>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</si>
  <si>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</si>
  <si>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</si>
  <si>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</si>
  <si>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</si>
  <si>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</si>
  <si>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</si>
  <si>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</si>
  <si>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</si>
  <si>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</si>
  <si>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</si>
  <si>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</si>
  <si>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</si>
  <si>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</si>
  <si>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</si>
  <si>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</si>
  <si>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</si>
  <si>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</si>
  <si>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</si>
  <si>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</si>
  <si>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</si>
  <si>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</si>
  <si>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</si>
  <si>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</si>
  <si>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</si>
  <si>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</si>
  <si>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</si>
  <si>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</si>
  <si>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</si>
  <si>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</si>
  <si>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</si>
  <si>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</si>
  <si>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</si>
  <si>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</si>
  <si>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</si>
  <si>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</si>
  <si>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</si>
  <si>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</si>
  <si>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</si>
  <si>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</si>
  <si>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</si>
  <si>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</si>
  <si>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</si>
  <si>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</si>
  <si>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</si>
  <si>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</si>
  <si>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</si>
  <si>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</si>
  <si>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</si>
  <si>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</si>
  <si>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</si>
  <si>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</si>
  <si>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</si>
  <si>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</si>
  <si>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</si>
  <si>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</si>
  <si>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</si>
  <si>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</si>
  <si>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</si>
  <si>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</si>
  <si>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</si>
  <si>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</si>
  <si>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</si>
  <si>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</si>
  <si>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</si>
  <si>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</si>
  <si>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</si>
  <si>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</si>
  <si>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</si>
  <si>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</si>
  <si>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</si>
  <si>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</si>
  <si>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</si>
  <si>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</si>
  <si>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</si>
  <si>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</si>
  <si>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</si>
  <si>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</si>
  <si>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</si>
  <si>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</si>
  <si>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</si>
  <si>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</si>
  <si>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</si>
  <si>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</si>
  <si>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</si>
  <si>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</si>
  <si>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</si>
  <si>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</si>
  <si>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</si>
  <si>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</si>
  <si>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</si>
  <si>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</si>
  <si>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</si>
  <si>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</si>
  <si>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</si>
  <si>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</si>
  <si>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</si>
  <si>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</si>
  <si>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</si>
  <si>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</si>
  <si>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</si>
  <si>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</si>
  <si>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</si>
  <si>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</si>
  <si>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</si>
  <si>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</si>
  <si>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</si>
  <si>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</si>
  <si>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</si>
  <si>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</si>
  <si>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</si>
  <si>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</si>
  <si>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</si>
  <si>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</si>
  <si>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</si>
  <si>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</si>
  <si>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</si>
  <si>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</si>
  <si>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</si>
  <si>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</si>
  <si>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</si>
  <si>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</si>
  <si>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</si>
  <si>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</si>
  <si>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</si>
  <si>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</si>
  <si>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</si>
  <si>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</si>
  <si>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</si>
  <si>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</si>
  <si>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</si>
  <si>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</si>
  <si>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</si>
  <si>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</si>
  <si>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</si>
  <si>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</si>
  <si>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</si>
  <si>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</si>
  <si>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</si>
  <si>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</si>
  <si>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</si>
  <si>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</si>
  <si>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</si>
  <si>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</si>
  <si>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</si>
  <si>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</si>
  <si>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</si>
  <si>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</si>
  <si>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</si>
  <si>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</si>
  <si>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</si>
  <si>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</si>
  <si>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</si>
  <si>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</si>
  <si>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</si>
  <si>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</si>
  <si>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</si>
  <si>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</si>
  <si>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</si>
  <si>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</si>
  <si>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</si>
  <si>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</si>
  <si>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</si>
  <si>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</si>
  <si>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</si>
  <si>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</si>
  <si>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</si>
  <si>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</si>
  <si>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</si>
  <si>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</si>
  <si>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</si>
  <si>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</si>
  <si>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</si>
  <si>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</si>
  <si>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</si>
  <si>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</si>
  <si>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</si>
  <si>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</si>
  <si>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</si>
  <si>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</si>
  <si>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</si>
  <si>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</si>
  <si>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</si>
  <si>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</si>
  <si>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</si>
  <si>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</si>
  <si>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</si>
  <si>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</si>
  <si>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</si>
  <si>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</si>
  <si>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</si>
  <si>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</si>
  <si>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</si>
  <si>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</si>
  <si>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</si>
  <si>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</si>
  <si>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</si>
  <si>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</si>
  <si>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</si>
  <si>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</si>
  <si>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</si>
  <si>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</si>
  <si>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</si>
  <si>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</si>
  <si>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</si>
  <si>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</si>
  <si>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</si>
  <si>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</si>
  <si>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</si>
  <si>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</si>
  <si>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</si>
  <si>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</si>
  <si>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</si>
  <si>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</si>
  <si>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</si>
  <si>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</si>
  <si>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</si>
  <si>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</si>
  <si>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</si>
  <si>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</si>
  <si>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</si>
  <si>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</si>
  <si>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</si>
  <si>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</si>
  <si>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</si>
  <si>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</si>
  <si>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</si>
  <si>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</si>
  <si>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</si>
  <si>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</si>
  <si>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</si>
  <si>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</si>
  <si>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</si>
  <si>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</si>
  <si>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</si>
  <si>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</si>
  <si>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</si>
  <si>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</si>
  <si>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</si>
  <si>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</si>
  <si>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</si>
  <si>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</si>
  <si>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</si>
  <si>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</si>
  <si>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</si>
  <si>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</si>
  <si>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</si>
  <si>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</si>
  <si>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</si>
  <si>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</si>
  <si>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</si>
  <si>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</si>
  <si>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</si>
  <si>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</si>
  <si>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</si>
  <si>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</si>
  <si>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</si>
  <si>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</si>
  <si>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</si>
  <si>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</si>
  <si>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</si>
  <si>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</si>
  <si>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</si>
  <si>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</si>
  <si>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</si>
  <si>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</si>
  <si>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</si>
  <si>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</si>
  <si>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</si>
  <si>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</si>
  <si>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</si>
  <si>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</si>
  <si>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</si>
  <si>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</si>
  <si>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</si>
  <si>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</si>
  <si>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</si>
  <si>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</si>
  <si>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</si>
  <si>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</si>
  <si>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</si>
  <si>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</si>
  <si>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</si>
  <si>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</si>
  <si>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</si>
  <si>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</si>
  <si>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</si>
  <si>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</si>
  <si>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</si>
  <si>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</si>
  <si>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</si>
  <si>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</si>
  <si>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</si>
  <si>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</si>
  <si>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</si>
  <si>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</si>
  <si>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</si>
  <si>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</si>
  <si>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</si>
  <si>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</si>
  <si>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</si>
  <si>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</si>
  <si>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</si>
  <si>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</si>
  <si>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</si>
  <si>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</si>
  <si>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</si>
  <si>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</si>
  <si>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</si>
  <si>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</si>
  <si>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</si>
  <si>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</si>
  <si>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</si>
  <si>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</si>
  <si>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</si>
  <si>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</si>
  <si>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</si>
  <si>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</si>
  <si>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</si>
  <si>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</si>
  <si>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</si>
  <si>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</si>
  <si>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</si>
  <si>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</si>
  <si>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</si>
  <si>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</si>
  <si>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</si>
  <si>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</si>
  <si>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</si>
  <si>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</si>
  <si>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</si>
  <si>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</si>
  <si>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</si>
  <si>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</si>
  <si>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</si>
  <si>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</si>
  <si>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</si>
  <si>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</si>
  <si>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</si>
  <si>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</si>
  <si>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</si>
  <si>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</si>
  <si>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</si>
  <si>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</si>
  <si>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</si>
  <si>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</si>
  <si>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</si>
  <si>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</si>
  <si>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</si>
  <si>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</si>
  <si>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</si>
  <si>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</si>
  <si>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</si>
  <si>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</si>
  <si>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</si>
  <si>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</si>
  <si>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</si>
  <si>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</si>
  <si>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</si>
  <si>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</si>
  <si>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</si>
  <si>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</si>
  <si>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</si>
  <si>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</si>
  <si>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</si>
  <si>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</si>
  <si>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</si>
  <si>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</si>
  <si>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</si>
  <si>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</si>
  <si>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</si>
  <si>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</si>
  <si>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</si>
  <si>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</si>
  <si>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</si>
  <si>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</si>
  <si>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</si>
  <si>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</si>
  <si>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</si>
  <si>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</si>
  <si>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</si>
  <si>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</si>
  <si>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</si>
  <si>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</si>
  <si>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</si>
  <si>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</si>
  <si>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</si>
  <si>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</si>
  <si>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</si>
  <si>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</si>
  <si>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</si>
  <si>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</si>
  <si>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</si>
  <si>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</si>
  <si>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</si>
  <si>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</si>
  <si>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</si>
  <si>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</si>
  <si>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</si>
  <si>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</si>
  <si>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</si>
  <si>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</si>
  <si>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</si>
  <si>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</si>
  <si>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</si>
  <si>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</si>
  <si>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</si>
  <si>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</si>
  <si>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</si>
  <si>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</si>
  <si>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</si>
  <si>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</si>
  <si>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</si>
  <si>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</si>
  <si>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</si>
  <si>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</si>
  <si>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</si>
  <si>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</si>
  <si>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</si>
  <si>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</si>
  <si>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</si>
  <si>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</si>
  <si>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</si>
  <si>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</si>
  <si>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</si>
  <si>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</si>
  <si>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</si>
  <si>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</si>
  <si>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</si>
  <si>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</si>
  <si>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TSO001092785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</si>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</sst>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66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67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7" t="s">
        <v>8</v>
      </c>
      <c r="B5" s="997"/>
      <c r="C5" s="997"/>
      <c r="D5" s="998"/>
      <c r="E5" s="998"/>
      <c r="F5" s="999" t="s">
        <v>14</v>
      </c>
      <c r="G5" s="999"/>
      <c r="H5" s="998" t="s">
        <v>916</v>
      </c>
      <c r="I5" s="998"/>
      <c r="J5" s="998"/>
      <c r="K5" s="998"/>
      <c r="L5" s="998"/>
      <c r="M5" s="998"/>
      <c r="N5" s="72"/>
      <c r="P5" s="27" t="s">
        <v>4</v>
      </c>
      <c r="Q5" s="1000">
        <v>46267</v>
      </c>
      <c r="R5" s="1000"/>
      <c r="T5" s="1001" t="s">
        <v>3</v>
      </c>
      <c r="U5" s="1002"/>
      <c r="V5" s="1003" t="s">
        <v>876</v>
      </c>
      <c r="W5" s="1004"/>
      <c r="AB5" s="59"/>
      <c r="AC5" s="59"/>
      <c r="AD5" s="59"/>
      <c r="AE5" s="59"/>
    </row>
    <row r="6" spans="1:32" s="17" customFormat="1" ht="24" customHeight="1" x14ac:dyDescent="0.2">
      <c r="A6" s="997" t="s">
        <v>1</v>
      </c>
      <c r="B6" s="997"/>
      <c r="C6" s="997"/>
      <c r="D6" s="1005" t="s">
        <v>877</v>
      </c>
      <c r="E6" s="1005"/>
      <c r="F6" s="1005"/>
      <c r="G6" s="1005"/>
      <c r="H6" s="1005"/>
      <c r="I6" s="1005"/>
      <c r="J6" s="1005"/>
      <c r="K6" s="1005"/>
      <c r="L6" s="1005"/>
      <c r="M6" s="1005"/>
      <c r="N6" s="73"/>
      <c r="P6" s="27" t="s">
        <v>27</v>
      </c>
      <c r="Q6" s="1006" t="str">
        <f>IF(Q5=0," ",CHOOSE(WEEKDAY(Q5,2),"Понедельник","Вторник","Среда","Четверг","Пятница","Суббота","Воскресенье"))</f>
        <v>Среда</v>
      </c>
      <c r="R6" s="1006"/>
      <c r="T6" s="1007" t="s">
        <v>5</v>
      </c>
      <c r="U6" s="1008"/>
      <c r="V6" s="1009" t="s">
        <v>69</v>
      </c>
      <c r="W6" s="101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5" t="str">
        <f>IFERROR(VLOOKUP(DeliveryAddress,Table,3,0),1)</f>
        <v>1</v>
      </c>
      <c r="E7" s="1016"/>
      <c r="F7" s="1016"/>
      <c r="G7" s="1016"/>
      <c r="H7" s="1016"/>
      <c r="I7" s="1016"/>
      <c r="J7" s="1016"/>
      <c r="K7" s="1016"/>
      <c r="L7" s="1016"/>
      <c r="M7" s="1017"/>
      <c r="N7" s="74"/>
      <c r="P7" s="29"/>
      <c r="Q7" s="48"/>
      <c r="R7" s="48"/>
      <c r="T7" s="1007"/>
      <c r="U7" s="1008"/>
      <c r="V7" s="1011"/>
      <c r="W7" s="1012"/>
      <c r="AB7" s="59"/>
      <c r="AC7" s="59"/>
      <c r="AD7" s="59"/>
      <c r="AE7" s="59"/>
    </row>
    <row r="8" spans="1:32" s="17" customFormat="1" ht="25.5" customHeight="1" x14ac:dyDescent="0.2">
      <c r="A8" s="1018" t="s">
        <v>57</v>
      </c>
      <c r="B8" s="1018"/>
      <c r="C8" s="1018"/>
      <c r="D8" s="1019"/>
      <c r="E8" s="1019"/>
      <c r="F8" s="1019"/>
      <c r="G8" s="1019"/>
      <c r="H8" s="1019"/>
      <c r="I8" s="1019"/>
      <c r="J8" s="1019"/>
      <c r="K8" s="1019"/>
      <c r="L8" s="1019"/>
      <c r="M8" s="1019"/>
      <c r="N8" s="75"/>
      <c r="P8" s="27" t="s">
        <v>11</v>
      </c>
      <c r="Q8" s="978">
        <v>0.625</v>
      </c>
      <c r="R8" s="978"/>
      <c r="T8" s="1007"/>
      <c r="U8" s="1008"/>
      <c r="V8" s="1011"/>
      <c r="W8" s="1012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1020" t="str">
        <f>IF(AND($A$9="Тип доверенности/получателя при получении в адресе перегруза:",$D$9="Разовая доверенность"),"Введите ФИО","")</f>
        <v/>
      </c>
      <c r="I9" s="1020"/>
      <c r="J9" s="10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0"/>
      <c r="L9" s="1020"/>
      <c r="M9" s="1020"/>
      <c r="N9" s="70"/>
      <c r="P9" s="31" t="s">
        <v>15</v>
      </c>
      <c r="Q9" s="1021"/>
      <c r="R9" s="1021"/>
      <c r="T9" s="1007"/>
      <c r="U9" s="1008"/>
      <c r="V9" s="1013"/>
      <c r="W9" s="101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70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76" t="s">
        <v>917</v>
      </c>
      <c r="W11" s="9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7" t="s">
        <v>71</v>
      </c>
      <c r="B12" s="977"/>
      <c r="C12" s="977"/>
      <c r="D12" s="977"/>
      <c r="E12" s="977"/>
      <c r="F12" s="977"/>
      <c r="G12" s="977"/>
      <c r="H12" s="977"/>
      <c r="I12" s="977"/>
      <c r="J12" s="977"/>
      <c r="K12" s="977"/>
      <c r="L12" s="977"/>
      <c r="M12" s="977"/>
      <c r="N12" s="76"/>
      <c r="P12" s="27" t="s">
        <v>30</v>
      </c>
      <c r="Q12" s="978"/>
      <c r="R12" s="978"/>
      <c r="S12" s="28"/>
      <c r="T12"/>
      <c r="U12" s="29" t="s">
        <v>46</v>
      </c>
      <c r="V12" s="979"/>
      <c r="W12" s="979"/>
      <c r="X12"/>
      <c r="AB12" s="59"/>
      <c r="AC12" s="59"/>
      <c r="AD12" s="59"/>
      <c r="AE12" s="59"/>
    </row>
    <row r="13" spans="1:32" s="17" customFormat="1" ht="23.25" customHeight="1" x14ac:dyDescent="0.2">
      <c r="A13" s="977" t="s">
        <v>72</v>
      </c>
      <c r="B13" s="977"/>
      <c r="C13" s="977"/>
      <c r="D13" s="977"/>
      <c r="E13" s="977"/>
      <c r="F13" s="977"/>
      <c r="G13" s="977"/>
      <c r="H13" s="977"/>
      <c r="I13" s="977"/>
      <c r="J13" s="977"/>
      <c r="K13" s="977"/>
      <c r="L13" s="977"/>
      <c r="M13" s="977"/>
      <c r="N13" s="76"/>
      <c r="O13" s="31"/>
      <c r="P13" s="31" t="s">
        <v>31</v>
      </c>
      <c r="Q13" s="976"/>
      <c r="R13" s="9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7" t="s">
        <v>73</v>
      </c>
      <c r="B14" s="977"/>
      <c r="C14" s="977"/>
      <c r="D14" s="977"/>
      <c r="E14" s="977"/>
      <c r="F14" s="977"/>
      <c r="G14" s="977"/>
      <c r="H14" s="977"/>
      <c r="I14" s="977"/>
      <c r="J14" s="977"/>
      <c r="K14" s="977"/>
      <c r="L14" s="977"/>
      <c r="M14" s="9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0" t="s">
        <v>74</v>
      </c>
      <c r="B15" s="980"/>
      <c r="C15" s="980"/>
      <c r="D15" s="980"/>
      <c r="E15" s="980"/>
      <c r="F15" s="980"/>
      <c r="G15" s="980"/>
      <c r="H15" s="980"/>
      <c r="I15" s="980"/>
      <c r="J15" s="980"/>
      <c r="K15" s="980"/>
      <c r="L15" s="980"/>
      <c r="M15" s="980"/>
      <c r="N15" s="77"/>
      <c r="O15"/>
      <c r="P15" s="981" t="s">
        <v>60</v>
      </c>
      <c r="Q15" s="981"/>
      <c r="R15" s="981"/>
      <c r="S15" s="981"/>
      <c r="T15" s="98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2"/>
      <c r="Q16" s="982"/>
      <c r="R16" s="982"/>
      <c r="S16" s="982"/>
      <c r="T16" s="98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2" t="s">
        <v>58</v>
      </c>
      <c r="B17" s="952" t="s">
        <v>49</v>
      </c>
      <c r="C17" s="985" t="s">
        <v>48</v>
      </c>
      <c r="D17" s="987" t="s">
        <v>50</v>
      </c>
      <c r="E17" s="988"/>
      <c r="F17" s="952" t="s">
        <v>21</v>
      </c>
      <c r="G17" s="952" t="s">
        <v>24</v>
      </c>
      <c r="H17" s="952" t="s">
        <v>22</v>
      </c>
      <c r="I17" s="952" t="s">
        <v>23</v>
      </c>
      <c r="J17" s="952" t="s">
        <v>16</v>
      </c>
      <c r="K17" s="952" t="s">
        <v>65</v>
      </c>
      <c r="L17" s="952" t="s">
        <v>63</v>
      </c>
      <c r="M17" s="952" t="s">
        <v>2</v>
      </c>
      <c r="N17" s="952" t="s">
        <v>62</v>
      </c>
      <c r="O17" s="952" t="s">
        <v>25</v>
      </c>
      <c r="P17" s="987" t="s">
        <v>17</v>
      </c>
      <c r="Q17" s="991"/>
      <c r="R17" s="991"/>
      <c r="S17" s="991"/>
      <c r="T17" s="988"/>
      <c r="U17" s="983" t="s">
        <v>55</v>
      </c>
      <c r="V17" s="984"/>
      <c r="W17" s="952" t="s">
        <v>6</v>
      </c>
      <c r="X17" s="952" t="s">
        <v>41</v>
      </c>
      <c r="Y17" s="954" t="s">
        <v>54</v>
      </c>
      <c r="Z17" s="956" t="s">
        <v>18</v>
      </c>
      <c r="AA17" s="958" t="s">
        <v>59</v>
      </c>
      <c r="AB17" s="958" t="s">
        <v>19</v>
      </c>
      <c r="AC17" s="958" t="s">
        <v>64</v>
      </c>
      <c r="AD17" s="960" t="s">
        <v>56</v>
      </c>
      <c r="AE17" s="961"/>
      <c r="AF17" s="962"/>
      <c r="AG17" s="82"/>
      <c r="BD17" s="81" t="s">
        <v>61</v>
      </c>
    </row>
    <row r="18" spans="1:68" ht="14.25" customHeight="1" x14ac:dyDescent="0.2">
      <c r="A18" s="953"/>
      <c r="B18" s="953"/>
      <c r="C18" s="986"/>
      <c r="D18" s="989"/>
      <c r="E18" s="990"/>
      <c r="F18" s="953"/>
      <c r="G18" s="953"/>
      <c r="H18" s="953"/>
      <c r="I18" s="953"/>
      <c r="J18" s="953"/>
      <c r="K18" s="953"/>
      <c r="L18" s="953"/>
      <c r="M18" s="953"/>
      <c r="N18" s="953"/>
      <c r="O18" s="953"/>
      <c r="P18" s="989"/>
      <c r="Q18" s="992"/>
      <c r="R18" s="992"/>
      <c r="S18" s="992"/>
      <c r="T18" s="990"/>
      <c r="U18" s="83" t="s">
        <v>44</v>
      </c>
      <c r="V18" s="83" t="s">
        <v>43</v>
      </c>
      <c r="W18" s="953"/>
      <c r="X18" s="953"/>
      <c r="Y18" s="955"/>
      <c r="Z18" s="957"/>
      <c r="AA18" s="959"/>
      <c r="AB18" s="959"/>
      <c r="AC18" s="959"/>
      <c r="AD18" s="963"/>
      <c r="AE18" s="964"/>
      <c r="AF18" s="965"/>
      <c r="AG18" s="82"/>
      <c r="BD18" s="81"/>
    </row>
    <row r="19" spans="1:68" ht="27.75" hidden="1" customHeight="1" x14ac:dyDescent="0.2">
      <c r="A19" s="683" t="s">
        <v>75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54"/>
      <c r="AB19" s="54"/>
      <c r="AC19" s="54"/>
    </row>
    <row r="20" spans="1:68" ht="16.5" hidden="1" customHeight="1" x14ac:dyDescent="0.25">
      <c r="A20" s="672" t="s">
        <v>75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5"/>
      <c r="AB20" s="65"/>
      <c r="AC20" s="79"/>
    </row>
    <row r="21" spans="1:68" ht="14.25" hidden="1" customHeight="1" x14ac:dyDescent="0.25">
      <c r="A21" s="665" t="s">
        <v>76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66">
        <v>4680115886643</v>
      </c>
      <c r="E22" s="666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66">
        <v>4680115889071</v>
      </c>
      <c r="E23" s="666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6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5" t="s">
        <v>85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66">
        <v>4680115885912</v>
      </c>
      <c r="E27" s="66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4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66">
        <v>4607091388237</v>
      </c>
      <c r="E28" s="66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4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66">
        <v>4680115887350</v>
      </c>
      <c r="E29" s="66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4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66">
        <v>4680115885905</v>
      </c>
      <c r="E30" s="66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66">
        <v>4680115887619</v>
      </c>
      <c r="E31" s="666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3" t="s">
        <v>45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54"/>
      <c r="AB34" s="54"/>
      <c r="AC34" s="54"/>
    </row>
    <row r="35" spans="1:68" ht="16.5" hidden="1" customHeight="1" x14ac:dyDescent="0.25">
      <c r="A35" s="672" t="s">
        <v>103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5"/>
      <c r="AB35" s="65"/>
      <c r="AC35" s="79"/>
    </row>
    <row r="36" spans="1:68" ht="14.25" hidden="1" customHeight="1" x14ac:dyDescent="0.25">
      <c r="A36" s="665" t="s">
        <v>85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66">
        <v>4680115889354</v>
      </c>
      <c r="E37" s="666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66">
        <v>4680115888463</v>
      </c>
      <c r="E38" s="666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66">
        <v>4680115889590</v>
      </c>
      <c r="E39" s="666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66">
        <v>4680115888272</v>
      </c>
      <c r="E40" s="666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66">
        <v>4680115888364</v>
      </c>
      <c r="E41" s="666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3" t="s">
        <v>119</v>
      </c>
      <c r="B44" s="683"/>
      <c r="C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P44" s="683"/>
      <c r="Q44" s="683"/>
      <c r="R44" s="683"/>
      <c r="S44" s="683"/>
      <c r="T44" s="683"/>
      <c r="U44" s="683"/>
      <c r="V44" s="683"/>
      <c r="W44" s="683"/>
      <c r="X44" s="683"/>
      <c r="Y44" s="683"/>
      <c r="Z44" s="683"/>
      <c r="AA44" s="54"/>
      <c r="AB44" s="54"/>
      <c r="AC44" s="54"/>
    </row>
    <row r="45" spans="1:68" ht="16.5" hidden="1" customHeight="1" x14ac:dyDescent="0.25">
      <c r="A45" s="672" t="s">
        <v>120</v>
      </c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Y45" s="672"/>
      <c r="Z45" s="672"/>
      <c r="AA45" s="65"/>
      <c r="AB45" s="65"/>
      <c r="AC45" s="79"/>
    </row>
    <row r="46" spans="1:68" ht="14.25" hidden="1" customHeight="1" x14ac:dyDescent="0.25">
      <c r="A46" s="665" t="s">
        <v>121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66">
        <v>4607091385670</v>
      </c>
      <c r="E47" s="666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66">
        <v>4680115887725</v>
      </c>
      <c r="E48" s="666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66">
        <v>4607091385687</v>
      </c>
      <c r="E49" s="666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66">
        <v>4680115882539</v>
      </c>
      <c r="E50" s="666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2" t="s">
        <v>136</v>
      </c>
      <c r="B53" s="672"/>
      <c r="C53" s="672"/>
      <c r="D53" s="672"/>
      <c r="E53" s="672"/>
      <c r="F53" s="672"/>
      <c r="G53" s="672"/>
      <c r="H53" s="672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Y53" s="672"/>
      <c r="Z53" s="672"/>
      <c r="AA53" s="65"/>
      <c r="AB53" s="65"/>
      <c r="AC53" s="79"/>
    </row>
    <row r="54" spans="1:68" ht="14.25" hidden="1" customHeight="1" x14ac:dyDescent="0.25">
      <c r="A54" s="665" t="s">
        <v>121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66">
        <v>4680115885882</v>
      </c>
      <c r="E55" s="666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66">
        <v>4680115881426</v>
      </c>
      <c r="E56" s="666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66">
        <v>4680115880283</v>
      </c>
      <c r="E57" s="666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9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8"/>
      <c r="R57" s="668"/>
      <c r="S57" s="668"/>
      <c r="T57" s="669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66">
        <v>4680115881525</v>
      </c>
      <c r="E58" s="666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8"/>
      <c r="R58" s="668"/>
      <c r="S58" s="668"/>
      <c r="T58" s="669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666">
        <v>4680115885899</v>
      </c>
      <c r="E59" s="666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8"/>
      <c r="R59" s="668"/>
      <c r="S59" s="668"/>
      <c r="T59" s="669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666">
        <v>4680115881419</v>
      </c>
      <c r="E60" s="666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8"/>
      <c r="R60" s="668"/>
      <c r="S60" s="668"/>
      <c r="T60" s="669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56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3" t="s">
        <v>40</v>
      </c>
      <c r="Q61" s="654"/>
      <c r="R61" s="654"/>
      <c r="S61" s="654"/>
      <c r="T61" s="654"/>
      <c r="U61" s="654"/>
      <c r="V61" s="655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5" t="s">
        <v>154</v>
      </c>
      <c r="B63" s="665"/>
      <c r="C63" s="665"/>
      <c r="D63" s="665"/>
      <c r="E63" s="665"/>
      <c r="F63" s="665"/>
      <c r="G63" s="665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666">
        <v>4680115881440</v>
      </c>
      <c r="E64" s="666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93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8"/>
      <c r="R64" s="668"/>
      <c r="S64" s="668"/>
      <c r="T64" s="669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666">
        <v>4680115885950</v>
      </c>
      <c r="E65" s="666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93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8"/>
      <c r="R65" s="668"/>
      <c r="S65" s="668"/>
      <c r="T65" s="669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666">
        <v>4680115887688</v>
      </c>
      <c r="E66" s="666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9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8"/>
      <c r="R66" s="668"/>
      <c r="S66" s="668"/>
      <c r="T66" s="669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666">
        <v>4680115881433</v>
      </c>
      <c r="E67" s="666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93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8"/>
      <c r="R67" s="668"/>
      <c r="S67" s="668"/>
      <c r="T67" s="669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56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3" t="s">
        <v>40</v>
      </c>
      <c r="Q68" s="654"/>
      <c r="R68" s="654"/>
      <c r="S68" s="654"/>
      <c r="T68" s="654"/>
      <c r="U68" s="654"/>
      <c r="V68" s="655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5" t="s">
        <v>85</v>
      </c>
      <c r="B70" s="665"/>
      <c r="C70" s="665"/>
      <c r="D70" s="665"/>
      <c r="E70" s="665"/>
      <c r="F70" s="665"/>
      <c r="G70" s="665"/>
      <c r="H70" s="665"/>
      <c r="I70" s="665"/>
      <c r="J70" s="665"/>
      <c r="K70" s="665"/>
      <c r="L70" s="665"/>
      <c r="M70" s="665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666">
        <v>4680115884311</v>
      </c>
      <c r="E71" s="666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92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8"/>
      <c r="R71" s="668"/>
      <c r="S71" s="668"/>
      <c r="T71" s="669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666">
        <v>4680115884403</v>
      </c>
      <c r="E72" s="666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2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8"/>
      <c r="R72" s="668"/>
      <c r="S72" s="668"/>
      <c r="T72" s="669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666">
        <v>4680115884403</v>
      </c>
      <c r="E73" s="666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2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8"/>
      <c r="R73" s="668"/>
      <c r="S73" s="668"/>
      <c r="T73" s="669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56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3" t="s">
        <v>40</v>
      </c>
      <c r="Q74" s="654"/>
      <c r="R74" s="654"/>
      <c r="S74" s="654"/>
      <c r="T74" s="654"/>
      <c r="U74" s="654"/>
      <c r="V74" s="655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5" t="s">
        <v>172</v>
      </c>
      <c r="B76" s="665"/>
      <c r="C76" s="665"/>
      <c r="D76" s="665"/>
      <c r="E76" s="665"/>
      <c r="F76" s="665"/>
      <c r="G76" s="665"/>
      <c r="H76" s="665"/>
      <c r="I76" s="665"/>
      <c r="J76" s="665"/>
      <c r="K76" s="665"/>
      <c r="L76" s="665"/>
      <c r="M76" s="665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66">
        <v>4680115881532</v>
      </c>
      <c r="E77" s="666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9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8"/>
      <c r="R77" s="668"/>
      <c r="S77" s="668"/>
      <c r="T77" s="669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66">
        <v>4680115881532</v>
      </c>
      <c r="E78" s="666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2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8"/>
      <c r="R78" s="668"/>
      <c r="S78" s="668"/>
      <c r="T78" s="669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666">
        <v>4680115881464</v>
      </c>
      <c r="E79" s="666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1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8"/>
      <c r="R79" s="668"/>
      <c r="S79" s="668"/>
      <c r="T79" s="669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666">
        <v>4680115881464</v>
      </c>
      <c r="E80" s="666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91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8"/>
      <c r="R80" s="668"/>
      <c r="S80" s="668"/>
      <c r="T80" s="669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2" t="s">
        <v>181</v>
      </c>
      <c r="B83" s="672"/>
      <c r="C83" s="672"/>
      <c r="D83" s="672"/>
      <c r="E83" s="672"/>
      <c r="F83" s="672"/>
      <c r="G83" s="672"/>
      <c r="H83" s="672"/>
      <c r="I83" s="672"/>
      <c r="J83" s="672"/>
      <c r="K83" s="672"/>
      <c r="L83" s="672"/>
      <c r="M83" s="672"/>
      <c r="N83" s="672"/>
      <c r="O83" s="672"/>
      <c r="P83" s="672"/>
      <c r="Q83" s="672"/>
      <c r="R83" s="672"/>
      <c r="S83" s="672"/>
      <c r="T83" s="672"/>
      <c r="U83" s="672"/>
      <c r="V83" s="672"/>
      <c r="W83" s="672"/>
      <c r="X83" s="672"/>
      <c r="Y83" s="672"/>
      <c r="Z83" s="672"/>
      <c r="AA83" s="65"/>
      <c r="AB83" s="65"/>
      <c r="AC83" s="79"/>
    </row>
    <row r="84" spans="1:68" ht="14.25" hidden="1" customHeight="1" x14ac:dyDescent="0.25">
      <c r="A84" s="665" t="s">
        <v>121</v>
      </c>
      <c r="B84" s="665"/>
      <c r="C84" s="665"/>
      <c r="D84" s="665"/>
      <c r="E84" s="665"/>
      <c r="F84" s="665"/>
      <c r="G84" s="665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666">
        <v>4680115881327</v>
      </c>
      <c r="E85" s="666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9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8"/>
      <c r="R85" s="668"/>
      <c r="S85" s="668"/>
      <c r="T85" s="669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666">
        <v>4680115887732</v>
      </c>
      <c r="E86" s="666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92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8"/>
      <c r="R86" s="668"/>
      <c r="S86" s="668"/>
      <c r="T86" s="669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666">
        <v>4680115887732</v>
      </c>
      <c r="E87" s="666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921" t="s">
        <v>189</v>
      </c>
      <c r="Q87" s="668"/>
      <c r="R87" s="668"/>
      <c r="S87" s="668"/>
      <c r="T87" s="669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666">
        <v>4680115881518</v>
      </c>
      <c r="E88" s="666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9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666">
        <v>4680115881303</v>
      </c>
      <c r="E89" s="666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9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5" t="s">
        <v>85</v>
      </c>
      <c r="B92" s="665"/>
      <c r="C92" s="665"/>
      <c r="D92" s="665"/>
      <c r="E92" s="665"/>
      <c r="F92" s="665"/>
      <c r="G92" s="665"/>
      <c r="H92" s="665"/>
      <c r="I92" s="665"/>
      <c r="J92" s="665"/>
      <c r="K92" s="665"/>
      <c r="L92" s="665"/>
      <c r="M92" s="665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666">
        <v>4607091386967</v>
      </c>
      <c r="E93" s="666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9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8"/>
      <c r="R93" s="668"/>
      <c r="S93" s="668"/>
      <c r="T93" s="669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666">
        <v>4607091386967</v>
      </c>
      <c r="E94" s="666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912" t="s">
        <v>198</v>
      </c>
      <c r="Q94" s="668"/>
      <c r="R94" s="668"/>
      <c r="S94" s="668"/>
      <c r="T94" s="669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666">
        <v>4680115884953</v>
      </c>
      <c r="E95" s="666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9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8"/>
      <c r="R95" s="668"/>
      <c r="S95" s="668"/>
      <c r="T95" s="669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666">
        <v>4607091385731</v>
      </c>
      <c r="E96" s="666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9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8"/>
      <c r="R96" s="668"/>
      <c r="S96" s="668"/>
      <c r="T96" s="669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666">
        <v>4607091385731</v>
      </c>
      <c r="E97" s="666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15" t="s">
        <v>204</v>
      </c>
      <c r="Q97" s="668"/>
      <c r="R97" s="668"/>
      <c r="S97" s="668"/>
      <c r="T97" s="669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66">
        <v>4680115880894</v>
      </c>
      <c r="E98" s="666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1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8"/>
      <c r="R98" s="668"/>
      <c r="S98" s="668"/>
      <c r="T98" s="669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72" t="s">
        <v>208</v>
      </c>
      <c r="B101" s="672"/>
      <c r="C101" s="672"/>
      <c r="D101" s="672"/>
      <c r="E101" s="672"/>
      <c r="F101" s="672"/>
      <c r="G101" s="672"/>
      <c r="H101" s="672"/>
      <c r="I101" s="672"/>
      <c r="J101" s="672"/>
      <c r="K101" s="672"/>
      <c r="L101" s="672"/>
      <c r="M101" s="672"/>
      <c r="N101" s="672"/>
      <c r="O101" s="672"/>
      <c r="P101" s="672"/>
      <c r="Q101" s="672"/>
      <c r="R101" s="672"/>
      <c r="S101" s="672"/>
      <c r="T101" s="672"/>
      <c r="U101" s="672"/>
      <c r="V101" s="672"/>
      <c r="W101" s="672"/>
      <c r="X101" s="672"/>
      <c r="Y101" s="672"/>
      <c r="Z101" s="672"/>
      <c r="AA101" s="65"/>
      <c r="AB101" s="65"/>
      <c r="AC101" s="79"/>
    </row>
    <row r="102" spans="1:68" ht="14.25" hidden="1" customHeight="1" x14ac:dyDescent="0.25">
      <c r="A102" s="665" t="s">
        <v>121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66">
        <v>4680115882133</v>
      </c>
      <c r="E103" s="666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8"/>
      <c r="R103" s="668"/>
      <c r="S103" s="668"/>
      <c r="T103" s="669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66">
        <v>4680115887718</v>
      </c>
      <c r="E104" s="666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90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8"/>
      <c r="R104" s="668"/>
      <c r="S104" s="668"/>
      <c r="T104" s="669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66">
        <v>4680115887718</v>
      </c>
      <c r="E105" s="666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0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666">
        <v>4680115887718</v>
      </c>
      <c r="E106" s="666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0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8"/>
      <c r="R106" s="668"/>
      <c r="S106" s="668"/>
      <c r="T106" s="669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666">
        <v>4680115880269</v>
      </c>
      <c r="E107" s="666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9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666">
        <v>4680115880429</v>
      </c>
      <c r="E108" s="666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9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666">
        <v>4680115880429</v>
      </c>
      <c r="E109" s="666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897" t="s">
        <v>222</v>
      </c>
      <c r="Q109" s="668"/>
      <c r="R109" s="668"/>
      <c r="S109" s="668"/>
      <c r="T109" s="669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6">
        <v>4680115881457</v>
      </c>
      <c r="E110" s="666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89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8"/>
      <c r="R110" s="668"/>
      <c r="S110" s="668"/>
      <c r="T110" s="669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56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3" t="s">
        <v>40</v>
      </c>
      <c r="Q111" s="654"/>
      <c r="R111" s="654"/>
      <c r="S111" s="654"/>
      <c r="T111" s="654"/>
      <c r="U111" s="654"/>
      <c r="V111" s="655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5" t="s">
        <v>154</v>
      </c>
      <c r="B113" s="665"/>
      <c r="C113" s="665"/>
      <c r="D113" s="665"/>
      <c r="E113" s="665"/>
      <c r="F113" s="665"/>
      <c r="G113" s="665"/>
      <c r="H113" s="665"/>
      <c r="I113" s="665"/>
      <c r="J113" s="665"/>
      <c r="K113" s="665"/>
      <c r="L113" s="665"/>
      <c r="M113" s="665"/>
      <c r="N113" s="665"/>
      <c r="O113" s="665"/>
      <c r="P113" s="665"/>
      <c r="Q113" s="665"/>
      <c r="R113" s="665"/>
      <c r="S113" s="665"/>
      <c r="T113" s="665"/>
      <c r="U113" s="665"/>
      <c r="V113" s="665"/>
      <c r="W113" s="665"/>
      <c r="X113" s="665"/>
      <c r="Y113" s="665"/>
      <c r="Z113" s="665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666">
        <v>4680115881488</v>
      </c>
      <c r="E114" s="666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8"/>
      <c r="R114" s="668"/>
      <c r="S114" s="668"/>
      <c r="T114" s="669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666">
        <v>4680115887664</v>
      </c>
      <c r="E115" s="666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90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8"/>
      <c r="R115" s="668"/>
      <c r="S115" s="668"/>
      <c r="T115" s="669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666">
        <v>4680115887664</v>
      </c>
      <c r="E116" s="666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90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8"/>
      <c r="R116" s="668"/>
      <c r="S116" s="668"/>
      <c r="T116" s="669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666">
        <v>4680115882775</v>
      </c>
      <c r="E117" s="666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90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8"/>
      <c r="R117" s="668"/>
      <c r="S117" s="668"/>
      <c r="T117" s="669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666">
        <v>4680115880658</v>
      </c>
      <c r="E118" s="666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90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8"/>
      <c r="R118" s="668"/>
      <c r="S118" s="668"/>
      <c r="T118" s="669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3" t="s">
        <v>40</v>
      </c>
      <c r="Q120" s="654"/>
      <c r="R120" s="654"/>
      <c r="S120" s="654"/>
      <c r="T120" s="654"/>
      <c r="U120" s="654"/>
      <c r="V120" s="655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5" t="s">
        <v>85</v>
      </c>
      <c r="B121" s="665"/>
      <c r="C121" s="665"/>
      <c r="D121" s="665"/>
      <c r="E121" s="665"/>
      <c r="F121" s="665"/>
      <c r="G121" s="665"/>
      <c r="H121" s="665"/>
      <c r="I121" s="665"/>
      <c r="J121" s="665"/>
      <c r="K121" s="665"/>
      <c r="L121" s="665"/>
      <c r="M121" s="665"/>
      <c r="N121" s="665"/>
      <c r="O121" s="665"/>
      <c r="P121" s="665"/>
      <c r="Q121" s="665"/>
      <c r="R121" s="665"/>
      <c r="S121" s="665"/>
      <c r="T121" s="665"/>
      <c r="U121" s="665"/>
      <c r="V121" s="665"/>
      <c r="W121" s="665"/>
      <c r="X121" s="665"/>
      <c r="Y121" s="665"/>
      <c r="Z121" s="665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666">
        <v>4607091385168</v>
      </c>
      <c r="E122" s="666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8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8"/>
      <c r="R122" s="668"/>
      <c r="S122" s="668"/>
      <c r="T122" s="669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666">
        <v>4607091385168</v>
      </c>
      <c r="E123" s="666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1" t="s">
        <v>242</v>
      </c>
      <c r="Q123" s="668"/>
      <c r="R123" s="668"/>
      <c r="S123" s="668"/>
      <c r="T123" s="669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666">
        <v>4607091383256</v>
      </c>
      <c r="E124" s="666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8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8"/>
      <c r="R124" s="668"/>
      <c r="S124" s="668"/>
      <c r="T124" s="669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666">
        <v>4607091385748</v>
      </c>
      <c r="E125" s="666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8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8"/>
      <c r="R125" s="668"/>
      <c r="S125" s="668"/>
      <c r="T125" s="669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666">
        <v>4607091385748</v>
      </c>
      <c r="E126" s="666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894" t="s">
        <v>248</v>
      </c>
      <c r="Q126" s="668"/>
      <c r="R126" s="668"/>
      <c r="S126" s="668"/>
      <c r="T126" s="669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666">
        <v>4680115884533</v>
      </c>
      <c r="E127" s="666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8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8"/>
      <c r="R127" s="668"/>
      <c r="S127" s="668"/>
      <c r="T127" s="669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666">
        <v>4680115884533</v>
      </c>
      <c r="E128" s="666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896" t="s">
        <v>253</v>
      </c>
      <c r="Q128" s="668"/>
      <c r="R128" s="668"/>
      <c r="S128" s="668"/>
      <c r="T128" s="669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5" t="s">
        <v>172</v>
      </c>
      <c r="B131" s="665"/>
      <c r="C131" s="665"/>
      <c r="D131" s="665"/>
      <c r="E131" s="665"/>
      <c r="F131" s="665"/>
      <c r="G131" s="665"/>
      <c r="H131" s="665"/>
      <c r="I131" s="665"/>
      <c r="J131" s="665"/>
      <c r="K131" s="665"/>
      <c r="L131" s="665"/>
      <c r="M131" s="665"/>
      <c r="N131" s="665"/>
      <c r="O131" s="665"/>
      <c r="P131" s="665"/>
      <c r="Q131" s="665"/>
      <c r="R131" s="665"/>
      <c r="S131" s="665"/>
      <c r="T131" s="665"/>
      <c r="U131" s="665"/>
      <c r="V131" s="665"/>
      <c r="W131" s="665"/>
      <c r="X131" s="665"/>
      <c r="Y131" s="665"/>
      <c r="Z131" s="665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666">
        <v>4680115880238</v>
      </c>
      <c r="E132" s="666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8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666">
        <v>4680115880238</v>
      </c>
      <c r="E133" s="666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887" t="s">
        <v>258</v>
      </c>
      <c r="Q133" s="668"/>
      <c r="R133" s="668"/>
      <c r="S133" s="668"/>
      <c r="T133" s="669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72" t="s">
        <v>259</v>
      </c>
      <c r="B136" s="672"/>
      <c r="C136" s="672"/>
      <c r="D136" s="672"/>
      <c r="E136" s="672"/>
      <c r="F136" s="672"/>
      <c r="G136" s="672"/>
      <c r="H136" s="672"/>
      <c r="I136" s="672"/>
      <c r="J136" s="672"/>
      <c r="K136" s="672"/>
      <c r="L136" s="672"/>
      <c r="M136" s="672"/>
      <c r="N136" s="672"/>
      <c r="O136" s="672"/>
      <c r="P136" s="672"/>
      <c r="Q136" s="672"/>
      <c r="R136" s="672"/>
      <c r="S136" s="672"/>
      <c r="T136" s="672"/>
      <c r="U136" s="672"/>
      <c r="V136" s="672"/>
      <c r="W136" s="672"/>
      <c r="X136" s="672"/>
      <c r="Y136" s="672"/>
      <c r="Z136" s="672"/>
      <c r="AA136" s="65"/>
      <c r="AB136" s="65"/>
      <c r="AC136" s="79"/>
    </row>
    <row r="137" spans="1:68" ht="14.25" hidden="1" customHeight="1" x14ac:dyDescent="0.25">
      <c r="A137" s="665" t="s">
        <v>121</v>
      </c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666">
        <v>4680115882577</v>
      </c>
      <c r="E138" s="666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8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8"/>
      <c r="R138" s="668"/>
      <c r="S138" s="668"/>
      <c r="T138" s="669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666">
        <v>4680115882577</v>
      </c>
      <c r="E139" s="666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8"/>
      <c r="R139" s="668"/>
      <c r="S139" s="668"/>
      <c r="T139" s="669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5" t="s">
        <v>76</v>
      </c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666">
        <v>4680115883444</v>
      </c>
      <c r="E143" s="666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666">
        <v>4680115883444</v>
      </c>
      <c r="E144" s="666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8"/>
      <c r="R144" s="668"/>
      <c r="S144" s="668"/>
      <c r="T144" s="669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5" t="s">
        <v>85</v>
      </c>
      <c r="B147" s="665"/>
      <c r="C147" s="665"/>
      <c r="D147" s="665"/>
      <c r="E147" s="665"/>
      <c r="F147" s="665"/>
      <c r="G147" s="665"/>
      <c r="H147" s="665"/>
      <c r="I147" s="665"/>
      <c r="J147" s="665"/>
      <c r="K147" s="665"/>
      <c r="L147" s="665"/>
      <c r="M147" s="665"/>
      <c r="N147" s="665"/>
      <c r="O147" s="665"/>
      <c r="P147" s="665"/>
      <c r="Q147" s="665"/>
      <c r="R147" s="665"/>
      <c r="S147" s="665"/>
      <c r="T147" s="665"/>
      <c r="U147" s="665"/>
      <c r="V147" s="665"/>
      <c r="W147" s="665"/>
      <c r="X147" s="665"/>
      <c r="Y147" s="665"/>
      <c r="Z147" s="665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666">
        <v>4680115882584</v>
      </c>
      <c r="E148" s="666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666">
        <v>4680115882584</v>
      </c>
      <c r="E149" s="666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8"/>
      <c r="R149" s="668"/>
      <c r="S149" s="668"/>
      <c r="T149" s="669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72" t="s">
        <v>272</v>
      </c>
      <c r="B152" s="672"/>
      <c r="C152" s="672"/>
      <c r="D152" s="672"/>
      <c r="E152" s="672"/>
      <c r="F152" s="672"/>
      <c r="G152" s="672"/>
      <c r="H152" s="672"/>
      <c r="I152" s="672"/>
      <c r="J152" s="672"/>
      <c r="K152" s="672"/>
      <c r="L152" s="672"/>
      <c r="M152" s="672"/>
      <c r="N152" s="672"/>
      <c r="O152" s="672"/>
      <c r="P152" s="672"/>
      <c r="Q152" s="672"/>
      <c r="R152" s="672"/>
      <c r="S152" s="672"/>
      <c r="T152" s="672"/>
      <c r="U152" s="672"/>
      <c r="V152" s="672"/>
      <c r="W152" s="672"/>
      <c r="X152" s="672"/>
      <c r="Y152" s="672"/>
      <c r="Z152" s="672"/>
      <c r="AA152" s="65"/>
      <c r="AB152" s="65"/>
      <c r="AC152" s="79"/>
    </row>
    <row r="153" spans="1:68" ht="14.25" hidden="1" customHeight="1" x14ac:dyDescent="0.25">
      <c r="A153" s="665" t="s">
        <v>85</v>
      </c>
      <c r="B153" s="665"/>
      <c r="C153" s="665"/>
      <c r="D153" s="665"/>
      <c r="E153" s="665"/>
      <c r="F153" s="665"/>
      <c r="G153" s="665"/>
      <c r="H153" s="665"/>
      <c r="I153" s="665"/>
      <c r="J153" s="665"/>
      <c r="K153" s="665"/>
      <c r="L153" s="665"/>
      <c r="M153" s="665"/>
      <c r="N153" s="665"/>
      <c r="O153" s="665"/>
      <c r="P153" s="665"/>
      <c r="Q153" s="665"/>
      <c r="R153" s="665"/>
      <c r="S153" s="665"/>
      <c r="T153" s="665"/>
      <c r="U153" s="665"/>
      <c r="V153" s="665"/>
      <c r="W153" s="665"/>
      <c r="X153" s="665"/>
      <c r="Y153" s="665"/>
      <c r="Z153" s="665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666">
        <v>4680115888203</v>
      </c>
      <c r="E154" s="666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7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8"/>
      <c r="R154" s="668"/>
      <c r="S154" s="668"/>
      <c r="T154" s="669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666">
        <v>4680115888180</v>
      </c>
      <c r="E155" s="666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7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8"/>
      <c r="R155" s="668"/>
      <c r="S155" s="668"/>
      <c r="T155" s="669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666">
        <v>4680115888180</v>
      </c>
      <c r="E156" s="666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7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8"/>
      <c r="R156" s="668"/>
      <c r="S156" s="668"/>
      <c r="T156" s="669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666">
        <v>4680115888197</v>
      </c>
      <c r="E157" s="666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7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8"/>
      <c r="R157" s="668"/>
      <c r="S157" s="668"/>
      <c r="T157" s="669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666">
        <v>4680115888197</v>
      </c>
      <c r="E158" s="666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7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8"/>
      <c r="R158" s="668"/>
      <c r="S158" s="668"/>
      <c r="T158" s="669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666">
        <v>4680115888210</v>
      </c>
      <c r="E159" s="666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8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8"/>
      <c r="R159" s="668"/>
      <c r="S159" s="668"/>
      <c r="T159" s="669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666">
        <v>4680115888210</v>
      </c>
      <c r="E160" s="666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8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8"/>
      <c r="R160" s="668"/>
      <c r="S160" s="668"/>
      <c r="T160" s="669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56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3" t="s">
        <v>40</v>
      </c>
      <c r="Q161" s="654"/>
      <c r="R161" s="654"/>
      <c r="S161" s="654"/>
      <c r="T161" s="654"/>
      <c r="U161" s="654"/>
      <c r="V161" s="655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5" t="s">
        <v>288</v>
      </c>
      <c r="B163" s="665"/>
      <c r="C163" s="665"/>
      <c r="D163" s="665"/>
      <c r="E163" s="665"/>
      <c r="F163" s="665"/>
      <c r="G163" s="665"/>
      <c r="H163" s="665"/>
      <c r="I163" s="665"/>
      <c r="J163" s="665"/>
      <c r="K163" s="665"/>
      <c r="L163" s="665"/>
      <c r="M163" s="665"/>
      <c r="N163" s="665"/>
      <c r="O163" s="665"/>
      <c r="P163" s="665"/>
      <c r="Q163" s="665"/>
      <c r="R163" s="665"/>
      <c r="S163" s="665"/>
      <c r="T163" s="665"/>
      <c r="U163" s="665"/>
      <c r="V163" s="665"/>
      <c r="W163" s="665"/>
      <c r="X163" s="665"/>
      <c r="Y163" s="665"/>
      <c r="Z163" s="665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666">
        <v>4680115889132</v>
      </c>
      <c r="E164" s="666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8"/>
      <c r="R164" s="668"/>
      <c r="S164" s="668"/>
      <c r="T164" s="669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72" t="s">
        <v>119</v>
      </c>
      <c r="B167" s="672"/>
      <c r="C167" s="672"/>
      <c r="D167" s="672"/>
      <c r="E167" s="672"/>
      <c r="F167" s="672"/>
      <c r="G167" s="672"/>
      <c r="H167" s="672"/>
      <c r="I167" s="672"/>
      <c r="J167" s="672"/>
      <c r="K167" s="672"/>
      <c r="L167" s="672"/>
      <c r="M167" s="672"/>
      <c r="N167" s="672"/>
      <c r="O167" s="672"/>
      <c r="P167" s="672"/>
      <c r="Q167" s="672"/>
      <c r="R167" s="672"/>
      <c r="S167" s="672"/>
      <c r="T167" s="672"/>
      <c r="U167" s="672"/>
      <c r="V167" s="672"/>
      <c r="W167" s="672"/>
      <c r="X167" s="672"/>
      <c r="Y167" s="672"/>
      <c r="Z167" s="672"/>
      <c r="AA167" s="65"/>
      <c r="AB167" s="65"/>
      <c r="AC167" s="79"/>
    </row>
    <row r="168" spans="1:68" ht="14.25" hidden="1" customHeight="1" x14ac:dyDescent="0.25">
      <c r="A168" s="665" t="s">
        <v>121</v>
      </c>
      <c r="B168" s="665"/>
      <c r="C168" s="665"/>
      <c r="D168" s="665"/>
      <c r="E168" s="665"/>
      <c r="F168" s="665"/>
      <c r="G168" s="665"/>
      <c r="H168" s="665"/>
      <c r="I168" s="665"/>
      <c r="J168" s="665"/>
      <c r="K168" s="665"/>
      <c r="L168" s="665"/>
      <c r="M168" s="665"/>
      <c r="N168" s="665"/>
      <c r="O168" s="665"/>
      <c r="P168" s="665"/>
      <c r="Q168" s="665"/>
      <c r="R168" s="665"/>
      <c r="S168" s="665"/>
      <c r="T168" s="665"/>
      <c r="U168" s="665"/>
      <c r="V168" s="665"/>
      <c r="W168" s="665"/>
      <c r="X168" s="665"/>
      <c r="Y168" s="665"/>
      <c r="Z168" s="665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666">
        <v>4680115887374</v>
      </c>
      <c r="E169" s="666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8"/>
      <c r="R169" s="668"/>
      <c r="S169" s="668"/>
      <c r="T169" s="669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666">
        <v>4607091384604</v>
      </c>
      <c r="E170" s="666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8"/>
      <c r="R170" s="668"/>
      <c r="S170" s="668"/>
      <c r="T170" s="669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666">
        <v>4680115888876</v>
      </c>
      <c r="E171" s="666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8"/>
      <c r="R171" s="668"/>
      <c r="S171" s="668"/>
      <c r="T171" s="669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5" t="s">
        <v>154</v>
      </c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65"/>
      <c r="P174" s="665"/>
      <c r="Q174" s="665"/>
      <c r="R174" s="665"/>
      <c r="S174" s="665"/>
      <c r="T174" s="665"/>
      <c r="U174" s="665"/>
      <c r="V174" s="665"/>
      <c r="W174" s="665"/>
      <c r="X174" s="665"/>
      <c r="Y174" s="665"/>
      <c r="Z174" s="665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666">
        <v>4680115887695</v>
      </c>
      <c r="E175" s="666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8"/>
      <c r="R175" s="668"/>
      <c r="S175" s="668"/>
      <c r="T175" s="669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666">
        <v>4680115889491</v>
      </c>
      <c r="E176" s="666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8"/>
      <c r="R176" s="668"/>
      <c r="S176" s="668"/>
      <c r="T176" s="669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56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3" t="s">
        <v>40</v>
      </c>
      <c r="Q177" s="654"/>
      <c r="R177" s="654"/>
      <c r="S177" s="654"/>
      <c r="T177" s="654"/>
      <c r="U177" s="654"/>
      <c r="V177" s="655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3" t="s">
        <v>40</v>
      </c>
      <c r="Q178" s="654"/>
      <c r="R178" s="654"/>
      <c r="S178" s="654"/>
      <c r="T178" s="654"/>
      <c r="U178" s="654"/>
      <c r="V178" s="655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5" t="s">
        <v>76</v>
      </c>
      <c r="B179" s="665"/>
      <c r="C179" s="665"/>
      <c r="D179" s="665"/>
      <c r="E179" s="665"/>
      <c r="F179" s="665"/>
      <c r="G179" s="665"/>
      <c r="H179" s="665"/>
      <c r="I179" s="665"/>
      <c r="J179" s="665"/>
      <c r="K179" s="665"/>
      <c r="L179" s="665"/>
      <c r="M179" s="665"/>
      <c r="N179" s="665"/>
      <c r="O179" s="665"/>
      <c r="P179" s="665"/>
      <c r="Q179" s="665"/>
      <c r="R179" s="665"/>
      <c r="S179" s="665"/>
      <c r="T179" s="665"/>
      <c r="U179" s="665"/>
      <c r="V179" s="665"/>
      <c r="W179" s="665"/>
      <c r="X179" s="665"/>
      <c r="Y179" s="665"/>
      <c r="Z179" s="665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666">
        <v>4680115887428</v>
      </c>
      <c r="E180" s="666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6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8"/>
      <c r="R180" s="668"/>
      <c r="S180" s="668"/>
      <c r="T180" s="669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666">
        <v>4680115889170</v>
      </c>
      <c r="E181" s="666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6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8"/>
      <c r="R181" s="668"/>
      <c r="S181" s="668"/>
      <c r="T181" s="669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666">
        <v>4680115887398</v>
      </c>
      <c r="E182" s="666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6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8"/>
      <c r="R182" s="668"/>
      <c r="S182" s="668"/>
      <c r="T182" s="669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666">
        <v>4680115887336</v>
      </c>
      <c r="E183" s="666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7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8"/>
      <c r="R183" s="668"/>
      <c r="S183" s="668"/>
      <c r="T183" s="669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666">
        <v>4680115887336</v>
      </c>
      <c r="E184" s="666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57" t="s">
        <v>323</v>
      </c>
      <c r="Q184" s="668"/>
      <c r="R184" s="668"/>
      <c r="S184" s="668"/>
      <c r="T184" s="669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666">
        <v>4680115887787</v>
      </c>
      <c r="E185" s="666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5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8"/>
      <c r="R185" s="668"/>
      <c r="S185" s="668"/>
      <c r="T185" s="669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666">
        <v>4680115887787</v>
      </c>
      <c r="E186" s="666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59" t="s">
        <v>329</v>
      </c>
      <c r="Q186" s="668"/>
      <c r="R186" s="668"/>
      <c r="S186" s="668"/>
      <c r="T186" s="669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666">
        <v>4680115887503</v>
      </c>
      <c r="E187" s="666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6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8"/>
      <c r="R187" s="668"/>
      <c r="S187" s="668"/>
      <c r="T187" s="669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666">
        <v>4680115887763</v>
      </c>
      <c r="E188" s="666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6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8"/>
      <c r="R188" s="668"/>
      <c r="S188" s="668"/>
      <c r="T188" s="669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666">
        <v>4680115887480</v>
      </c>
      <c r="E189" s="666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6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8"/>
      <c r="R189" s="668"/>
      <c r="S189" s="668"/>
      <c r="T189" s="669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666">
        <v>4680115888067</v>
      </c>
      <c r="E190" s="666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6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8"/>
      <c r="R190" s="668"/>
      <c r="S190" s="668"/>
      <c r="T190" s="669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666">
        <v>4680115887435</v>
      </c>
      <c r="E191" s="666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6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8"/>
      <c r="R191" s="668"/>
      <c r="S191" s="668"/>
      <c r="T191" s="669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5" t="s">
        <v>85</v>
      </c>
      <c r="B194" s="665"/>
      <c r="C194" s="665"/>
      <c r="D194" s="665"/>
      <c r="E194" s="665"/>
      <c r="F194" s="665"/>
      <c r="G194" s="665"/>
      <c r="H194" s="665"/>
      <c r="I194" s="665"/>
      <c r="J194" s="665"/>
      <c r="K194" s="665"/>
      <c r="L194" s="665"/>
      <c r="M194" s="665"/>
      <c r="N194" s="665"/>
      <c r="O194" s="665"/>
      <c r="P194" s="665"/>
      <c r="Q194" s="665"/>
      <c r="R194" s="665"/>
      <c r="S194" s="665"/>
      <c r="T194" s="665"/>
      <c r="U194" s="665"/>
      <c r="V194" s="665"/>
      <c r="W194" s="665"/>
      <c r="X194" s="665"/>
      <c r="Y194" s="665"/>
      <c r="Z194" s="665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666">
        <v>4680115888395</v>
      </c>
      <c r="E195" s="666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5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8"/>
      <c r="R195" s="668"/>
      <c r="S195" s="668"/>
      <c r="T195" s="669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666">
        <v>4680115888371</v>
      </c>
      <c r="E196" s="666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8"/>
      <c r="R196" s="668"/>
      <c r="S196" s="668"/>
      <c r="T196" s="669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666">
        <v>4680115887459</v>
      </c>
      <c r="E197" s="666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8"/>
      <c r="R197" s="668"/>
      <c r="S197" s="668"/>
      <c r="T197" s="669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56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3" t="s">
        <v>40</v>
      </c>
      <c r="Q198" s="654"/>
      <c r="R198" s="654"/>
      <c r="S198" s="654"/>
      <c r="T198" s="654"/>
      <c r="U198" s="654"/>
      <c r="V198" s="655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3" t="s">
        <v>40</v>
      </c>
      <c r="Q199" s="654"/>
      <c r="R199" s="654"/>
      <c r="S199" s="654"/>
      <c r="T199" s="654"/>
      <c r="U199" s="654"/>
      <c r="V199" s="655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5" t="s">
        <v>288</v>
      </c>
      <c r="B200" s="665"/>
      <c r="C200" s="665"/>
      <c r="D200" s="665"/>
      <c r="E200" s="665"/>
      <c r="F200" s="665"/>
      <c r="G200" s="665"/>
      <c r="H200" s="665"/>
      <c r="I200" s="665"/>
      <c r="J200" s="665"/>
      <c r="K200" s="665"/>
      <c r="L200" s="665"/>
      <c r="M200" s="665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666">
        <v>4680115889026</v>
      </c>
      <c r="E201" s="666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5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8"/>
      <c r="R201" s="668"/>
      <c r="S201" s="668"/>
      <c r="T201" s="669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56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3" t="s">
        <v>40</v>
      </c>
      <c r="Q202" s="654"/>
      <c r="R202" s="654"/>
      <c r="S202" s="654"/>
      <c r="T202" s="654"/>
      <c r="U202" s="654"/>
      <c r="V202" s="655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3" t="s">
        <v>40</v>
      </c>
      <c r="Q203" s="654"/>
      <c r="R203" s="654"/>
      <c r="S203" s="654"/>
      <c r="T203" s="654"/>
      <c r="U203" s="654"/>
      <c r="V203" s="655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5" t="s">
        <v>355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666">
        <v>4680115889033</v>
      </c>
      <c r="E205" s="666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8"/>
      <c r="R205" s="668"/>
      <c r="S205" s="668"/>
      <c r="T205" s="669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83" t="s">
        <v>359</v>
      </c>
      <c r="B208" s="683"/>
      <c r="C208" s="683"/>
      <c r="D208" s="683"/>
      <c r="E208" s="683"/>
      <c r="F208" s="683"/>
      <c r="G208" s="683"/>
      <c r="H208" s="683"/>
      <c r="I208" s="683"/>
      <c r="J208" s="683"/>
      <c r="K208" s="683"/>
      <c r="L208" s="683"/>
      <c r="M208" s="683"/>
      <c r="N208" s="683"/>
      <c r="O208" s="683"/>
      <c r="P208" s="683"/>
      <c r="Q208" s="683"/>
      <c r="R208" s="683"/>
      <c r="S208" s="683"/>
      <c r="T208" s="683"/>
      <c r="U208" s="683"/>
      <c r="V208" s="683"/>
      <c r="W208" s="683"/>
      <c r="X208" s="683"/>
      <c r="Y208" s="683"/>
      <c r="Z208" s="683"/>
      <c r="AA208" s="54"/>
      <c r="AB208" s="54"/>
      <c r="AC208" s="54"/>
    </row>
    <row r="209" spans="1:68" ht="16.5" hidden="1" customHeight="1" x14ac:dyDescent="0.25">
      <c r="A209" s="672" t="s">
        <v>360</v>
      </c>
      <c r="B209" s="672"/>
      <c r="C209" s="672"/>
      <c r="D209" s="672"/>
      <c r="E209" s="672"/>
      <c r="F209" s="672"/>
      <c r="G209" s="672"/>
      <c r="H209" s="672"/>
      <c r="I209" s="672"/>
      <c r="J209" s="672"/>
      <c r="K209" s="672"/>
      <c r="L209" s="672"/>
      <c r="M209" s="672"/>
      <c r="N209" s="672"/>
      <c r="O209" s="672"/>
      <c r="P209" s="672"/>
      <c r="Q209" s="672"/>
      <c r="R209" s="672"/>
      <c r="S209" s="672"/>
      <c r="T209" s="672"/>
      <c r="U209" s="672"/>
      <c r="V209" s="672"/>
      <c r="W209" s="672"/>
      <c r="X209" s="672"/>
      <c r="Y209" s="672"/>
      <c r="Z209" s="672"/>
      <c r="AA209" s="65"/>
      <c r="AB209" s="65"/>
      <c r="AC209" s="79"/>
    </row>
    <row r="210" spans="1:68" ht="14.25" hidden="1" customHeight="1" x14ac:dyDescent="0.25">
      <c r="A210" s="665" t="s">
        <v>121</v>
      </c>
      <c r="B210" s="665"/>
      <c r="C210" s="665"/>
      <c r="D210" s="665"/>
      <c r="E210" s="665"/>
      <c r="F210" s="665"/>
      <c r="G210" s="665"/>
      <c r="H210" s="665"/>
      <c r="I210" s="665"/>
      <c r="J210" s="665"/>
      <c r="K210" s="665"/>
      <c r="L210" s="665"/>
      <c r="M210" s="665"/>
      <c r="N210" s="665"/>
      <c r="O210" s="665"/>
      <c r="P210" s="665"/>
      <c r="Q210" s="665"/>
      <c r="R210" s="665"/>
      <c r="S210" s="665"/>
      <c r="T210" s="665"/>
      <c r="U210" s="665"/>
      <c r="V210" s="665"/>
      <c r="W210" s="665"/>
      <c r="X210" s="665"/>
      <c r="Y210" s="665"/>
      <c r="Z210" s="665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666">
        <v>4607091383423</v>
      </c>
      <c r="E211" s="666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8"/>
      <c r="R211" s="668"/>
      <c r="S211" s="668"/>
      <c r="T211" s="669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666">
        <v>4680115888760</v>
      </c>
      <c r="E212" s="666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8"/>
      <c r="R212" s="668"/>
      <c r="S212" s="668"/>
      <c r="T212" s="669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666">
        <v>4680115888807</v>
      </c>
      <c r="E213" s="666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8"/>
      <c r="R213" s="668"/>
      <c r="S213" s="668"/>
      <c r="T213" s="669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666">
        <v>4680115888852</v>
      </c>
      <c r="E214" s="666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8"/>
      <c r="R214" s="668"/>
      <c r="S214" s="668"/>
      <c r="T214" s="669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666">
        <v>4680115886957</v>
      </c>
      <c r="E215" s="666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8"/>
      <c r="R215" s="668"/>
      <c r="S215" s="668"/>
      <c r="T215" s="669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666">
        <v>4680115885660</v>
      </c>
      <c r="E216" s="666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8"/>
      <c r="R216" s="668"/>
      <c r="S216" s="668"/>
      <c r="T216" s="669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666">
        <v>4680115886773</v>
      </c>
      <c r="E217" s="666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8"/>
      <c r="R217" s="668"/>
      <c r="S217" s="668"/>
      <c r="T217" s="669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3" t="s">
        <v>40</v>
      </c>
      <c r="Q219" s="654"/>
      <c r="R219" s="654"/>
      <c r="S219" s="654"/>
      <c r="T219" s="654"/>
      <c r="U219" s="654"/>
      <c r="V219" s="655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72" t="s">
        <v>381</v>
      </c>
      <c r="B220" s="672"/>
      <c r="C220" s="672"/>
      <c r="D220" s="672"/>
      <c r="E220" s="672"/>
      <c r="F220" s="672"/>
      <c r="G220" s="672"/>
      <c r="H220" s="672"/>
      <c r="I220" s="672"/>
      <c r="J220" s="672"/>
      <c r="K220" s="672"/>
      <c r="L220" s="672"/>
      <c r="M220" s="672"/>
      <c r="N220" s="672"/>
      <c r="O220" s="672"/>
      <c r="P220" s="672"/>
      <c r="Q220" s="672"/>
      <c r="R220" s="672"/>
      <c r="S220" s="672"/>
      <c r="T220" s="672"/>
      <c r="U220" s="672"/>
      <c r="V220" s="672"/>
      <c r="W220" s="672"/>
      <c r="X220" s="672"/>
      <c r="Y220" s="672"/>
      <c r="Z220" s="672"/>
      <c r="AA220" s="65"/>
      <c r="AB220" s="65"/>
      <c r="AC220" s="79"/>
    </row>
    <row r="221" spans="1:68" ht="14.25" hidden="1" customHeight="1" x14ac:dyDescent="0.25">
      <c r="A221" s="665" t="s">
        <v>154</v>
      </c>
      <c r="B221" s="665"/>
      <c r="C221" s="665"/>
      <c r="D221" s="665"/>
      <c r="E221" s="665"/>
      <c r="F221" s="665"/>
      <c r="G221" s="665"/>
      <c r="H221" s="665"/>
      <c r="I221" s="665"/>
      <c r="J221" s="665"/>
      <c r="K221" s="665"/>
      <c r="L221" s="665"/>
      <c r="M221" s="665"/>
      <c r="N221" s="665"/>
      <c r="O221" s="665"/>
      <c r="P221" s="665"/>
      <c r="Q221" s="665"/>
      <c r="R221" s="665"/>
      <c r="S221" s="665"/>
      <c r="T221" s="665"/>
      <c r="U221" s="665"/>
      <c r="V221" s="665"/>
      <c r="W221" s="665"/>
      <c r="X221" s="665"/>
      <c r="Y221" s="665"/>
      <c r="Z221" s="665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666">
        <v>4680115886223</v>
      </c>
      <c r="E222" s="666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8"/>
      <c r="R222" s="668"/>
      <c r="S222" s="668"/>
      <c r="T222" s="669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56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3" t="s">
        <v>40</v>
      </c>
      <c r="Q223" s="654"/>
      <c r="R223" s="654"/>
      <c r="S223" s="654"/>
      <c r="T223" s="654"/>
      <c r="U223" s="654"/>
      <c r="V223" s="655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3" t="s">
        <v>40</v>
      </c>
      <c r="Q224" s="654"/>
      <c r="R224" s="654"/>
      <c r="S224" s="654"/>
      <c r="T224" s="654"/>
      <c r="U224" s="654"/>
      <c r="V224" s="655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5" t="s">
        <v>76</v>
      </c>
      <c r="B225" s="665"/>
      <c r="C225" s="665"/>
      <c r="D225" s="665"/>
      <c r="E225" s="665"/>
      <c r="F225" s="665"/>
      <c r="G225" s="665"/>
      <c r="H225" s="665"/>
      <c r="I225" s="665"/>
      <c r="J225" s="665"/>
      <c r="K225" s="665"/>
      <c r="L225" s="665"/>
      <c r="M225" s="665"/>
      <c r="N225" s="665"/>
      <c r="O225" s="665"/>
      <c r="P225" s="665"/>
      <c r="Q225" s="665"/>
      <c r="R225" s="665"/>
      <c r="S225" s="665"/>
      <c r="T225" s="665"/>
      <c r="U225" s="665"/>
      <c r="V225" s="665"/>
      <c r="W225" s="665"/>
      <c r="X225" s="665"/>
      <c r="Y225" s="665"/>
      <c r="Z225" s="665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666">
        <v>4680115880993</v>
      </c>
      <c r="E226" s="666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8"/>
      <c r="R226" s="668"/>
      <c r="S226" s="668"/>
      <c r="T226" s="669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666">
        <v>4680115881761</v>
      </c>
      <c r="E227" s="666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8"/>
      <c r="R227" s="668"/>
      <c r="S227" s="668"/>
      <c r="T227" s="669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666">
        <v>4680115881563</v>
      </c>
      <c r="E228" s="666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3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8"/>
      <c r="R228" s="668"/>
      <c r="S228" s="668"/>
      <c r="T228" s="669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666">
        <v>4680115887565</v>
      </c>
      <c r="E229" s="666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8"/>
      <c r="R229" s="668"/>
      <c r="S229" s="668"/>
      <c r="T229" s="669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666">
        <v>4680115880986</v>
      </c>
      <c r="E230" s="666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8"/>
      <c r="R230" s="668"/>
      <c r="S230" s="668"/>
      <c r="T230" s="669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666">
        <v>4680115887213</v>
      </c>
      <c r="E231" s="666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8"/>
      <c r="R231" s="668"/>
      <c r="S231" s="668"/>
      <c r="T231" s="669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666">
        <v>4680115881785</v>
      </c>
      <c r="E232" s="666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8"/>
      <c r="R232" s="668"/>
      <c r="S232" s="668"/>
      <c r="T232" s="669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666">
        <v>4680115888432</v>
      </c>
      <c r="E233" s="666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8"/>
      <c r="R233" s="668"/>
      <c r="S233" s="668"/>
      <c r="T233" s="669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666">
        <v>4680115888104</v>
      </c>
      <c r="E234" s="666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8"/>
      <c r="R234" s="668"/>
      <c r="S234" s="668"/>
      <c r="T234" s="669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666">
        <v>4680115886537</v>
      </c>
      <c r="E235" s="666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8"/>
      <c r="R235" s="668"/>
      <c r="S235" s="668"/>
      <c r="T235" s="669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666">
        <v>4680115887596</v>
      </c>
      <c r="E236" s="666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8"/>
      <c r="R236" s="668"/>
      <c r="S236" s="668"/>
      <c r="T236" s="669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666">
        <v>4680115881679</v>
      </c>
      <c r="E237" s="666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2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8"/>
      <c r="R237" s="668"/>
      <c r="S237" s="668"/>
      <c r="T237" s="669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666">
        <v>4680115880191</v>
      </c>
      <c r="E238" s="666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2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8"/>
      <c r="R238" s="668"/>
      <c r="S238" s="668"/>
      <c r="T238" s="669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666">
        <v>4680115883963</v>
      </c>
      <c r="E239" s="666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8"/>
      <c r="R239" s="668"/>
      <c r="S239" s="668"/>
      <c r="T239" s="669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56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3" t="s">
        <v>40</v>
      </c>
      <c r="Q240" s="654"/>
      <c r="R240" s="654"/>
      <c r="S240" s="654"/>
      <c r="T240" s="654"/>
      <c r="U240" s="654"/>
      <c r="V240" s="655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5" t="s">
        <v>85</v>
      </c>
      <c r="B242" s="665"/>
      <c r="C242" s="665"/>
      <c r="D242" s="665"/>
      <c r="E242" s="665"/>
      <c r="F242" s="665"/>
      <c r="G242" s="665"/>
      <c r="H242" s="665"/>
      <c r="I242" s="665"/>
      <c r="J242" s="665"/>
      <c r="K242" s="665"/>
      <c r="L242" s="665"/>
      <c r="M242" s="665"/>
      <c r="N242" s="665"/>
      <c r="O242" s="665"/>
      <c r="P242" s="665"/>
      <c r="Q242" s="665"/>
      <c r="R242" s="665"/>
      <c r="S242" s="665"/>
      <c r="T242" s="665"/>
      <c r="U242" s="665"/>
      <c r="V242" s="665"/>
      <c r="W242" s="665"/>
      <c r="X242" s="665"/>
      <c r="Y242" s="665"/>
      <c r="Z242" s="665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666">
        <v>4680115888692</v>
      </c>
      <c r="E243" s="666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3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8"/>
      <c r="R243" s="668"/>
      <c r="S243" s="668"/>
      <c r="T243" s="669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666">
        <v>4680115888722</v>
      </c>
      <c r="E244" s="666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3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8"/>
      <c r="R244" s="668"/>
      <c r="S244" s="668"/>
      <c r="T244" s="669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666">
        <v>4680115888951</v>
      </c>
      <c r="E245" s="666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3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8"/>
      <c r="R245" s="668"/>
      <c r="S245" s="668"/>
      <c r="T245" s="669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666">
        <v>4680115888975</v>
      </c>
      <c r="E246" s="666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2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8"/>
      <c r="R246" s="668"/>
      <c r="S246" s="668"/>
      <c r="T246" s="669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666">
        <v>4680115888982</v>
      </c>
      <c r="E247" s="666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8"/>
      <c r="R247" s="668"/>
      <c r="S247" s="668"/>
      <c r="T247" s="669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5" t="s">
        <v>288</v>
      </c>
      <c r="B250" s="665"/>
      <c r="C250" s="665"/>
      <c r="D250" s="665"/>
      <c r="E250" s="665"/>
      <c r="F250" s="665"/>
      <c r="G250" s="665"/>
      <c r="H250" s="665"/>
      <c r="I250" s="665"/>
      <c r="J250" s="665"/>
      <c r="K250" s="665"/>
      <c r="L250" s="665"/>
      <c r="M250" s="665"/>
      <c r="N250" s="665"/>
      <c r="O250" s="665"/>
      <c r="P250" s="665"/>
      <c r="Q250" s="665"/>
      <c r="R250" s="665"/>
      <c r="S250" s="665"/>
      <c r="T250" s="665"/>
      <c r="U250" s="665"/>
      <c r="V250" s="665"/>
      <c r="W250" s="665"/>
      <c r="X250" s="665"/>
      <c r="Y250" s="665"/>
      <c r="Z250" s="665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666">
        <v>4680115886780</v>
      </c>
      <c r="E251" s="666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8"/>
      <c r="R251" s="668"/>
      <c r="S251" s="668"/>
      <c r="T251" s="669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666">
        <v>4680115886742</v>
      </c>
      <c r="E252" s="666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8"/>
      <c r="R252" s="668"/>
      <c r="S252" s="668"/>
      <c r="T252" s="669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666">
        <v>4680115886766</v>
      </c>
      <c r="E253" s="666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2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8"/>
      <c r="R253" s="668"/>
      <c r="S253" s="668"/>
      <c r="T253" s="669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3" t="s">
        <v>40</v>
      </c>
      <c r="Q255" s="654"/>
      <c r="R255" s="654"/>
      <c r="S255" s="654"/>
      <c r="T255" s="654"/>
      <c r="U255" s="654"/>
      <c r="V255" s="655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5" t="s">
        <v>445</v>
      </c>
      <c r="B256" s="665"/>
      <c r="C256" s="665"/>
      <c r="D256" s="665"/>
      <c r="E256" s="665"/>
      <c r="F256" s="665"/>
      <c r="G256" s="665"/>
      <c r="H256" s="665"/>
      <c r="I256" s="665"/>
      <c r="J256" s="665"/>
      <c r="K256" s="665"/>
      <c r="L256" s="665"/>
      <c r="M256" s="665"/>
      <c r="N256" s="665"/>
      <c r="O256" s="665"/>
      <c r="P256" s="665"/>
      <c r="Q256" s="665"/>
      <c r="R256" s="665"/>
      <c r="S256" s="665"/>
      <c r="T256" s="665"/>
      <c r="U256" s="665"/>
      <c r="V256" s="665"/>
      <c r="W256" s="665"/>
      <c r="X256" s="665"/>
      <c r="Y256" s="665"/>
      <c r="Z256" s="665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666">
        <v>4680115886797</v>
      </c>
      <c r="E257" s="666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8"/>
      <c r="R257" s="668"/>
      <c r="S257" s="668"/>
      <c r="T257" s="669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72" t="s">
        <v>448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5"/>
      <c r="AB260" s="65"/>
      <c r="AC260" s="79"/>
    </row>
    <row r="261" spans="1:68" ht="14.25" hidden="1" customHeight="1" x14ac:dyDescent="0.25">
      <c r="A261" s="665" t="s">
        <v>121</v>
      </c>
      <c r="B261" s="665"/>
      <c r="C261" s="665"/>
      <c r="D261" s="665"/>
      <c r="E261" s="665"/>
      <c r="F261" s="665"/>
      <c r="G261" s="665"/>
      <c r="H261" s="665"/>
      <c r="I261" s="665"/>
      <c r="J261" s="665"/>
      <c r="K261" s="665"/>
      <c r="L261" s="665"/>
      <c r="M261" s="665"/>
      <c r="N261" s="665"/>
      <c r="O261" s="665"/>
      <c r="P261" s="665"/>
      <c r="Q261" s="665"/>
      <c r="R261" s="665"/>
      <c r="S261" s="665"/>
      <c r="T261" s="665"/>
      <c r="U261" s="665"/>
      <c r="V261" s="665"/>
      <c r="W261" s="665"/>
      <c r="X261" s="665"/>
      <c r="Y261" s="665"/>
      <c r="Z261" s="665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666">
        <v>4680115881402</v>
      </c>
      <c r="E262" s="666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8"/>
      <c r="R262" s="668"/>
      <c r="S262" s="668"/>
      <c r="T262" s="669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666">
        <v>4680115881396</v>
      </c>
      <c r="E263" s="666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8"/>
      <c r="R263" s="668"/>
      <c r="S263" s="668"/>
      <c r="T263" s="669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3" t="s">
        <v>40</v>
      </c>
      <c r="Q265" s="654"/>
      <c r="R265" s="654"/>
      <c r="S265" s="654"/>
      <c r="T265" s="654"/>
      <c r="U265" s="654"/>
      <c r="V265" s="655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5" t="s">
        <v>154</v>
      </c>
      <c r="B266" s="665"/>
      <c r="C266" s="665"/>
      <c r="D266" s="665"/>
      <c r="E266" s="665"/>
      <c r="F266" s="665"/>
      <c r="G266" s="665"/>
      <c r="H266" s="665"/>
      <c r="I266" s="665"/>
      <c r="J266" s="665"/>
      <c r="K266" s="665"/>
      <c r="L266" s="665"/>
      <c r="M266" s="665"/>
      <c r="N266" s="665"/>
      <c r="O266" s="665"/>
      <c r="P266" s="665"/>
      <c r="Q266" s="665"/>
      <c r="R266" s="665"/>
      <c r="S266" s="665"/>
      <c r="T266" s="665"/>
      <c r="U266" s="665"/>
      <c r="V266" s="665"/>
      <c r="W266" s="665"/>
      <c r="X266" s="665"/>
      <c r="Y266" s="665"/>
      <c r="Z266" s="665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666">
        <v>4680115882935</v>
      </c>
      <c r="E267" s="666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8"/>
      <c r="R267" s="668"/>
      <c r="S267" s="668"/>
      <c r="T267" s="669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666">
        <v>4680115880764</v>
      </c>
      <c r="E268" s="666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1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8"/>
      <c r="R268" s="668"/>
      <c r="S268" s="668"/>
      <c r="T268" s="669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3" t="s">
        <v>40</v>
      </c>
      <c r="Q270" s="654"/>
      <c r="R270" s="654"/>
      <c r="S270" s="654"/>
      <c r="T270" s="654"/>
      <c r="U270" s="654"/>
      <c r="V270" s="655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5" t="s">
        <v>76</v>
      </c>
      <c r="B271" s="665"/>
      <c r="C271" s="665"/>
      <c r="D271" s="665"/>
      <c r="E271" s="665"/>
      <c r="F271" s="665"/>
      <c r="G271" s="665"/>
      <c r="H271" s="665"/>
      <c r="I271" s="665"/>
      <c r="J271" s="665"/>
      <c r="K271" s="665"/>
      <c r="L271" s="665"/>
      <c r="M271" s="665"/>
      <c r="N271" s="665"/>
      <c r="O271" s="665"/>
      <c r="P271" s="665"/>
      <c r="Q271" s="665"/>
      <c r="R271" s="665"/>
      <c r="S271" s="665"/>
      <c r="T271" s="665"/>
      <c r="U271" s="665"/>
      <c r="V271" s="665"/>
      <c r="W271" s="665"/>
      <c r="X271" s="665"/>
      <c r="Y271" s="665"/>
      <c r="Z271" s="665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666">
        <v>4680115882683</v>
      </c>
      <c r="E272" s="666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1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8"/>
      <c r="R272" s="668"/>
      <c r="S272" s="668"/>
      <c r="T272" s="669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666">
        <v>4680115882690</v>
      </c>
      <c r="E273" s="666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8"/>
      <c r="R273" s="668"/>
      <c r="S273" s="668"/>
      <c r="T273" s="669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666">
        <v>4680115882669</v>
      </c>
      <c r="E274" s="666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8"/>
      <c r="R274" s="668"/>
      <c r="S274" s="668"/>
      <c r="T274" s="669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666">
        <v>4680115882676</v>
      </c>
      <c r="E275" s="666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8"/>
      <c r="R275" s="668"/>
      <c r="S275" s="668"/>
      <c r="T275" s="669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666">
        <v>4680115884014</v>
      </c>
      <c r="E276" s="666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1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8"/>
      <c r="R276" s="668"/>
      <c r="S276" s="668"/>
      <c r="T276" s="669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666">
        <v>4680115884007</v>
      </c>
      <c r="E277" s="666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1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8"/>
      <c r="R277" s="668"/>
      <c r="S277" s="668"/>
      <c r="T277" s="669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666">
        <v>4680115884038</v>
      </c>
      <c r="E278" s="666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8"/>
      <c r="R278" s="668"/>
      <c r="S278" s="668"/>
      <c r="T278" s="669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666">
        <v>4680115884021</v>
      </c>
      <c r="E279" s="666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8"/>
      <c r="R279" s="668"/>
      <c r="S279" s="668"/>
      <c r="T279" s="669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3" t="s">
        <v>40</v>
      </c>
      <c r="Q281" s="654"/>
      <c r="R281" s="654"/>
      <c r="S281" s="654"/>
      <c r="T281" s="654"/>
      <c r="U281" s="654"/>
      <c r="V281" s="655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5" t="s">
        <v>85</v>
      </c>
      <c r="B282" s="665"/>
      <c r="C282" s="665"/>
      <c r="D282" s="665"/>
      <c r="E282" s="665"/>
      <c r="F282" s="665"/>
      <c r="G282" s="665"/>
      <c r="H282" s="665"/>
      <c r="I282" s="665"/>
      <c r="J282" s="665"/>
      <c r="K282" s="665"/>
      <c r="L282" s="665"/>
      <c r="M282" s="665"/>
      <c r="N282" s="665"/>
      <c r="O282" s="665"/>
      <c r="P282" s="665"/>
      <c r="Q282" s="665"/>
      <c r="R282" s="665"/>
      <c r="S282" s="665"/>
      <c r="T282" s="665"/>
      <c r="U282" s="665"/>
      <c r="V282" s="665"/>
      <c r="W282" s="665"/>
      <c r="X282" s="665"/>
      <c r="Y282" s="665"/>
      <c r="Z282" s="665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666">
        <v>4680115881594</v>
      </c>
      <c r="E283" s="666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8"/>
      <c r="R283" s="668"/>
      <c r="S283" s="668"/>
      <c r="T283" s="669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666">
        <v>4680115881617</v>
      </c>
      <c r="E284" s="666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8"/>
      <c r="R284" s="668"/>
      <c r="S284" s="668"/>
      <c r="T284" s="669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666">
        <v>4680115880573</v>
      </c>
      <c r="E285" s="666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8"/>
      <c r="R285" s="668"/>
      <c r="S285" s="668"/>
      <c r="T285" s="669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666">
        <v>4680115882195</v>
      </c>
      <c r="E286" s="666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8"/>
      <c r="R286" s="668"/>
      <c r="S286" s="668"/>
      <c r="T286" s="669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666">
        <v>4680115882607</v>
      </c>
      <c r="E287" s="666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1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8"/>
      <c r="R287" s="668"/>
      <c r="S287" s="668"/>
      <c r="T287" s="669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666">
        <v>4680115882607</v>
      </c>
      <c r="E288" s="666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79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8"/>
      <c r="R288" s="668"/>
      <c r="S288" s="668"/>
      <c r="T288" s="669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666">
        <v>4680115880092</v>
      </c>
      <c r="E289" s="666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7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8"/>
      <c r="R289" s="668"/>
      <c r="S289" s="668"/>
      <c r="T289" s="669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666">
        <v>4680115889064</v>
      </c>
      <c r="E290" s="666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79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8"/>
      <c r="R290" s="668"/>
      <c r="S290" s="668"/>
      <c r="T290" s="669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666">
        <v>4680115880221</v>
      </c>
      <c r="E291" s="666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0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8"/>
      <c r="R291" s="668"/>
      <c r="S291" s="668"/>
      <c r="T291" s="669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666">
        <v>4680115880504</v>
      </c>
      <c r="E292" s="666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0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8"/>
      <c r="R292" s="668"/>
      <c r="S292" s="668"/>
      <c r="T292" s="669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666">
        <v>4680115882164</v>
      </c>
      <c r="E293" s="666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0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8"/>
      <c r="R293" s="668"/>
      <c r="S293" s="668"/>
      <c r="T293" s="669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666">
        <v>4680115888340</v>
      </c>
      <c r="E294" s="666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8"/>
      <c r="R294" s="668"/>
      <c r="S294" s="668"/>
      <c r="T294" s="669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3" t="s">
        <v>40</v>
      </c>
      <c r="Q296" s="654"/>
      <c r="R296" s="654"/>
      <c r="S296" s="654"/>
      <c r="T296" s="654"/>
      <c r="U296" s="654"/>
      <c r="V296" s="655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5" t="s">
        <v>172</v>
      </c>
      <c r="B297" s="665"/>
      <c r="C297" s="665"/>
      <c r="D297" s="665"/>
      <c r="E297" s="665"/>
      <c r="F297" s="665"/>
      <c r="G297" s="665"/>
      <c r="H297" s="665"/>
      <c r="I297" s="665"/>
      <c r="J297" s="665"/>
      <c r="K297" s="665"/>
      <c r="L297" s="665"/>
      <c r="M297" s="665"/>
      <c r="N297" s="665"/>
      <c r="O297" s="665"/>
      <c r="P297" s="665"/>
      <c r="Q297" s="665"/>
      <c r="R297" s="665"/>
      <c r="S297" s="665"/>
      <c r="T297" s="665"/>
      <c r="U297" s="665"/>
      <c r="V297" s="665"/>
      <c r="W297" s="665"/>
      <c r="X297" s="665"/>
      <c r="Y297" s="665"/>
      <c r="Z297" s="665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666">
        <v>4680115880818</v>
      </c>
      <c r="E298" s="666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79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8"/>
      <c r="R298" s="668"/>
      <c r="S298" s="668"/>
      <c r="T298" s="669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666">
        <v>4680115880801</v>
      </c>
      <c r="E299" s="666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8"/>
      <c r="R299" s="668"/>
      <c r="S299" s="668"/>
      <c r="T299" s="669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3" t="s">
        <v>40</v>
      </c>
      <c r="Q301" s="654"/>
      <c r="R301" s="654"/>
      <c r="S301" s="654"/>
      <c r="T301" s="654"/>
      <c r="U301" s="654"/>
      <c r="V301" s="655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72" t="s">
        <v>516</v>
      </c>
      <c r="B302" s="672"/>
      <c r="C302" s="672"/>
      <c r="D302" s="672"/>
      <c r="E302" s="672"/>
      <c r="F302" s="672"/>
      <c r="G302" s="672"/>
      <c r="H302" s="672"/>
      <c r="I302" s="672"/>
      <c r="J302" s="672"/>
      <c r="K302" s="672"/>
      <c r="L302" s="672"/>
      <c r="M302" s="672"/>
      <c r="N302" s="672"/>
      <c r="O302" s="672"/>
      <c r="P302" s="672"/>
      <c r="Q302" s="672"/>
      <c r="R302" s="672"/>
      <c r="S302" s="672"/>
      <c r="T302" s="672"/>
      <c r="U302" s="672"/>
      <c r="V302" s="672"/>
      <c r="W302" s="672"/>
      <c r="X302" s="672"/>
      <c r="Y302" s="672"/>
      <c r="Z302" s="672"/>
      <c r="AA302" s="65"/>
      <c r="AB302" s="65"/>
      <c r="AC302" s="79"/>
    </row>
    <row r="303" spans="1:68" ht="14.25" hidden="1" customHeight="1" x14ac:dyDescent="0.25">
      <c r="A303" s="665" t="s">
        <v>121</v>
      </c>
      <c r="B303" s="665"/>
      <c r="C303" s="665"/>
      <c r="D303" s="665"/>
      <c r="E303" s="665"/>
      <c r="F303" s="665"/>
      <c r="G303" s="665"/>
      <c r="H303" s="665"/>
      <c r="I303" s="665"/>
      <c r="J303" s="665"/>
      <c r="K303" s="665"/>
      <c r="L303" s="665"/>
      <c r="M303" s="665"/>
      <c r="N303" s="665"/>
      <c r="O303" s="665"/>
      <c r="P303" s="665"/>
      <c r="Q303" s="665"/>
      <c r="R303" s="665"/>
      <c r="S303" s="665"/>
      <c r="T303" s="665"/>
      <c r="U303" s="665"/>
      <c r="V303" s="665"/>
      <c r="W303" s="665"/>
      <c r="X303" s="665"/>
      <c r="Y303" s="665"/>
      <c r="Z303" s="665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666">
        <v>4680115884137</v>
      </c>
      <c r="E304" s="666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7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8"/>
      <c r="R304" s="668"/>
      <c r="S304" s="668"/>
      <c r="T304" s="669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666">
        <v>4680115884236</v>
      </c>
      <c r="E305" s="666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8"/>
      <c r="R305" s="668"/>
      <c r="S305" s="668"/>
      <c r="T305" s="669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666">
        <v>4680115884175</v>
      </c>
      <c r="E306" s="666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8"/>
      <c r="R306" s="668"/>
      <c r="S306" s="668"/>
      <c r="T306" s="669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666">
        <v>4680115884144</v>
      </c>
      <c r="E307" s="666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79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8"/>
      <c r="R307" s="668"/>
      <c r="S307" s="668"/>
      <c r="T307" s="669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666">
        <v>4680115886551</v>
      </c>
      <c r="E308" s="666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78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8"/>
      <c r="R308" s="668"/>
      <c r="S308" s="668"/>
      <c r="T308" s="669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666">
        <v>4680115887282</v>
      </c>
      <c r="E309" s="666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78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8"/>
      <c r="R309" s="668"/>
      <c r="S309" s="668"/>
      <c r="T309" s="669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666">
        <v>4680115884205</v>
      </c>
      <c r="E310" s="666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78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8"/>
      <c r="R310" s="668"/>
      <c r="S310" s="668"/>
      <c r="T310" s="669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3" t="s">
        <v>40</v>
      </c>
      <c r="Q312" s="654"/>
      <c r="R312" s="654"/>
      <c r="S312" s="654"/>
      <c r="T312" s="654"/>
      <c r="U312" s="654"/>
      <c r="V312" s="655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5" t="s">
        <v>154</v>
      </c>
      <c r="B313" s="665"/>
      <c r="C313" s="665"/>
      <c r="D313" s="665"/>
      <c r="E313" s="665"/>
      <c r="F313" s="665"/>
      <c r="G313" s="665"/>
      <c r="H313" s="665"/>
      <c r="I313" s="665"/>
      <c r="J313" s="665"/>
      <c r="K313" s="665"/>
      <c r="L313" s="665"/>
      <c r="M313" s="665"/>
      <c r="N313" s="665"/>
      <c r="O313" s="665"/>
      <c r="P313" s="665"/>
      <c r="Q313" s="665"/>
      <c r="R313" s="665"/>
      <c r="S313" s="665"/>
      <c r="T313" s="665"/>
      <c r="U313" s="665"/>
      <c r="V313" s="665"/>
      <c r="W313" s="665"/>
      <c r="X313" s="665"/>
      <c r="Y313" s="665"/>
      <c r="Z313" s="665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666">
        <v>4680115885981</v>
      </c>
      <c r="E314" s="666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7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8"/>
      <c r="R314" s="668"/>
      <c r="S314" s="668"/>
      <c r="T314" s="669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3" t="s">
        <v>40</v>
      </c>
      <c r="Q316" s="654"/>
      <c r="R316" s="654"/>
      <c r="S316" s="654"/>
      <c r="T316" s="654"/>
      <c r="U316" s="654"/>
      <c r="V316" s="655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5" t="s">
        <v>538</v>
      </c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666">
        <v>4680115886803</v>
      </c>
      <c r="E318" s="666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79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8"/>
      <c r="R318" s="668"/>
      <c r="S318" s="668"/>
      <c r="T318" s="669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3" t="s">
        <v>40</v>
      </c>
      <c r="Q320" s="654"/>
      <c r="R320" s="654"/>
      <c r="S320" s="654"/>
      <c r="T320" s="654"/>
      <c r="U320" s="654"/>
      <c r="V320" s="655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5" t="s">
        <v>355</v>
      </c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666">
        <v>4680115886704</v>
      </c>
      <c r="E322" s="666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8"/>
      <c r="R322" s="668"/>
      <c r="S322" s="668"/>
      <c r="T322" s="669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666">
        <v>4680115886681</v>
      </c>
      <c r="E323" s="666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78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8"/>
      <c r="R323" s="668"/>
      <c r="S323" s="668"/>
      <c r="T323" s="669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666">
        <v>4680115886735</v>
      </c>
      <c r="E324" s="666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78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8"/>
      <c r="R324" s="668"/>
      <c r="S324" s="668"/>
      <c r="T324" s="669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56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3" t="s">
        <v>40</v>
      </c>
      <c r="Q325" s="654"/>
      <c r="R325" s="654"/>
      <c r="S325" s="654"/>
      <c r="T325" s="654"/>
      <c r="U325" s="654"/>
      <c r="V325" s="655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72" t="s">
        <v>549</v>
      </c>
      <c r="B327" s="672"/>
      <c r="C327" s="672"/>
      <c r="D327" s="672"/>
      <c r="E327" s="672"/>
      <c r="F327" s="672"/>
      <c r="G327" s="672"/>
      <c r="H327" s="672"/>
      <c r="I327" s="672"/>
      <c r="J327" s="672"/>
      <c r="K327" s="672"/>
      <c r="L327" s="672"/>
      <c r="M327" s="672"/>
      <c r="N327" s="672"/>
      <c r="O327" s="672"/>
      <c r="P327" s="672"/>
      <c r="Q327" s="672"/>
      <c r="R327" s="672"/>
      <c r="S327" s="672"/>
      <c r="T327" s="672"/>
      <c r="U327" s="672"/>
      <c r="V327" s="672"/>
      <c r="W327" s="672"/>
      <c r="X327" s="672"/>
      <c r="Y327" s="672"/>
      <c r="Z327" s="672"/>
      <c r="AA327" s="65"/>
      <c r="AB327" s="65"/>
      <c r="AC327" s="79"/>
    </row>
    <row r="328" spans="1:68" ht="14.25" hidden="1" customHeight="1" x14ac:dyDescent="0.25">
      <c r="A328" s="665" t="s">
        <v>121</v>
      </c>
      <c r="B328" s="665"/>
      <c r="C328" s="665"/>
      <c r="D328" s="665"/>
      <c r="E328" s="665"/>
      <c r="F328" s="665"/>
      <c r="G328" s="665"/>
      <c r="H328" s="665"/>
      <c r="I328" s="665"/>
      <c r="J328" s="665"/>
      <c r="K328" s="665"/>
      <c r="L328" s="665"/>
      <c r="M328" s="665"/>
      <c r="N328" s="665"/>
      <c r="O328" s="665"/>
      <c r="P328" s="665"/>
      <c r="Q328" s="665"/>
      <c r="R328" s="665"/>
      <c r="S328" s="665"/>
      <c r="T328" s="665"/>
      <c r="U328" s="665"/>
      <c r="V328" s="665"/>
      <c r="W328" s="665"/>
      <c r="X328" s="665"/>
      <c r="Y328" s="665"/>
      <c r="Z328" s="665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666">
        <v>4680115885837</v>
      </c>
      <c r="E329" s="666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8"/>
      <c r="R329" s="668"/>
      <c r="S329" s="668"/>
      <c r="T329" s="669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666">
        <v>4680115887237</v>
      </c>
      <c r="E330" s="666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8"/>
      <c r="R330" s="668"/>
      <c r="S330" s="668"/>
      <c r="T330" s="669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666">
        <v>4680115885806</v>
      </c>
      <c r="E331" s="666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8"/>
      <c r="R331" s="668"/>
      <c r="S331" s="668"/>
      <c r="T331" s="669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666">
        <v>4680115885844</v>
      </c>
      <c r="E332" s="666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8"/>
      <c r="R332" s="668"/>
      <c r="S332" s="668"/>
      <c r="T332" s="669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666">
        <v>4680115885820</v>
      </c>
      <c r="E333" s="666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8"/>
      <c r="R333" s="668"/>
      <c r="S333" s="668"/>
      <c r="T333" s="669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72" t="s">
        <v>565</v>
      </c>
      <c r="B336" s="672"/>
      <c r="C336" s="672"/>
      <c r="D336" s="672"/>
      <c r="E336" s="672"/>
      <c r="F336" s="672"/>
      <c r="G336" s="672"/>
      <c r="H336" s="672"/>
      <c r="I336" s="672"/>
      <c r="J336" s="672"/>
      <c r="K336" s="672"/>
      <c r="L336" s="672"/>
      <c r="M336" s="672"/>
      <c r="N336" s="672"/>
      <c r="O336" s="672"/>
      <c r="P336" s="672"/>
      <c r="Q336" s="672"/>
      <c r="R336" s="672"/>
      <c r="S336" s="672"/>
      <c r="T336" s="672"/>
      <c r="U336" s="672"/>
      <c r="V336" s="672"/>
      <c r="W336" s="672"/>
      <c r="X336" s="672"/>
      <c r="Y336" s="672"/>
      <c r="Z336" s="672"/>
      <c r="AA336" s="65"/>
      <c r="AB336" s="65"/>
      <c r="AC336" s="79"/>
    </row>
    <row r="337" spans="1:68" ht="14.25" hidden="1" customHeight="1" x14ac:dyDescent="0.25">
      <c r="A337" s="665" t="s">
        <v>85</v>
      </c>
      <c r="B337" s="665"/>
      <c r="C337" s="665"/>
      <c r="D337" s="665"/>
      <c r="E337" s="665"/>
      <c r="F337" s="665"/>
      <c r="G337" s="665"/>
      <c r="H337" s="665"/>
      <c r="I337" s="665"/>
      <c r="J337" s="665"/>
      <c r="K337" s="665"/>
      <c r="L337" s="665"/>
      <c r="M337" s="665"/>
      <c r="N337" s="665"/>
      <c r="O337" s="665"/>
      <c r="P337" s="665"/>
      <c r="Q337" s="665"/>
      <c r="R337" s="665"/>
      <c r="S337" s="665"/>
      <c r="T337" s="665"/>
      <c r="U337" s="665"/>
      <c r="V337" s="665"/>
      <c r="W337" s="665"/>
      <c r="X337" s="665"/>
      <c r="Y337" s="665"/>
      <c r="Z337" s="665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666">
        <v>4680115886186</v>
      </c>
      <c r="E338" s="666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8"/>
      <c r="R338" s="668"/>
      <c r="S338" s="668"/>
      <c r="T338" s="669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666">
        <v>4680115881228</v>
      </c>
      <c r="E339" s="666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8"/>
      <c r="R339" s="668"/>
      <c r="S339" s="668"/>
      <c r="T339" s="669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666">
        <v>4680115881211</v>
      </c>
      <c r="E340" s="666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8"/>
      <c r="R340" s="668"/>
      <c r="S340" s="668"/>
      <c r="T340" s="669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72" t="s">
        <v>574</v>
      </c>
      <c r="B343" s="672"/>
      <c r="C343" s="672"/>
      <c r="D343" s="672"/>
      <c r="E343" s="672"/>
      <c r="F343" s="672"/>
      <c r="G343" s="672"/>
      <c r="H343" s="672"/>
      <c r="I343" s="672"/>
      <c r="J343" s="672"/>
      <c r="K343" s="672"/>
      <c r="L343" s="672"/>
      <c r="M343" s="672"/>
      <c r="N343" s="672"/>
      <c r="O343" s="672"/>
      <c r="P343" s="672"/>
      <c r="Q343" s="672"/>
      <c r="R343" s="672"/>
      <c r="S343" s="672"/>
      <c r="T343" s="672"/>
      <c r="U343" s="672"/>
      <c r="V343" s="672"/>
      <c r="W343" s="672"/>
      <c r="X343" s="672"/>
      <c r="Y343" s="672"/>
      <c r="Z343" s="672"/>
      <c r="AA343" s="65"/>
      <c r="AB343" s="65"/>
      <c r="AC343" s="79"/>
    </row>
    <row r="344" spans="1:68" ht="14.25" hidden="1" customHeight="1" x14ac:dyDescent="0.25">
      <c r="A344" s="665" t="s">
        <v>76</v>
      </c>
      <c r="B344" s="665"/>
      <c r="C344" s="665"/>
      <c r="D344" s="665"/>
      <c r="E344" s="665"/>
      <c r="F344" s="665"/>
      <c r="G344" s="665"/>
      <c r="H344" s="665"/>
      <c r="I344" s="665"/>
      <c r="J344" s="665"/>
      <c r="K344" s="665"/>
      <c r="L344" s="665"/>
      <c r="M344" s="665"/>
      <c r="N344" s="665"/>
      <c r="O344" s="665"/>
      <c r="P344" s="665"/>
      <c r="Q344" s="665"/>
      <c r="R344" s="665"/>
      <c r="S344" s="665"/>
      <c r="T344" s="665"/>
      <c r="U344" s="665"/>
      <c r="V344" s="665"/>
      <c r="W344" s="665"/>
      <c r="X344" s="665"/>
      <c r="Y344" s="665"/>
      <c r="Z344" s="665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666">
        <v>4680115888319</v>
      </c>
      <c r="E345" s="666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8"/>
      <c r="R345" s="668"/>
      <c r="S345" s="668"/>
      <c r="T345" s="669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666">
        <v>4680115884700</v>
      </c>
      <c r="E346" s="666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8"/>
      <c r="R346" s="668"/>
      <c r="S346" s="668"/>
      <c r="T346" s="669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666">
        <v>4680115880344</v>
      </c>
      <c r="E347" s="666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8"/>
      <c r="R347" s="668"/>
      <c r="S347" s="668"/>
      <c r="T347" s="669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666">
        <v>4680115886919</v>
      </c>
      <c r="E348" s="666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8"/>
      <c r="R348" s="668"/>
      <c r="S348" s="668"/>
      <c r="T348" s="669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666">
        <v>4680115883970</v>
      </c>
      <c r="E349" s="666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8"/>
      <c r="R349" s="668"/>
      <c r="S349" s="668"/>
      <c r="T349" s="669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6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3" t="s">
        <v>40</v>
      </c>
      <c r="Q350" s="654"/>
      <c r="R350" s="654"/>
      <c r="S350" s="654"/>
      <c r="T350" s="654"/>
      <c r="U350" s="654"/>
      <c r="V350" s="655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3" t="s">
        <v>40</v>
      </c>
      <c r="Q351" s="654"/>
      <c r="R351" s="654"/>
      <c r="S351" s="654"/>
      <c r="T351" s="654"/>
      <c r="U351" s="654"/>
      <c r="V351" s="655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5" t="s">
        <v>85</v>
      </c>
      <c r="B352" s="665"/>
      <c r="C352" s="665"/>
      <c r="D352" s="665"/>
      <c r="E352" s="665"/>
      <c r="F352" s="665"/>
      <c r="G352" s="665"/>
      <c r="H352" s="665"/>
      <c r="I352" s="665"/>
      <c r="J352" s="665"/>
      <c r="K352" s="665"/>
      <c r="L352" s="665"/>
      <c r="M352" s="665"/>
      <c r="N352" s="665"/>
      <c r="O352" s="665"/>
      <c r="P352" s="665"/>
      <c r="Q352" s="665"/>
      <c r="R352" s="665"/>
      <c r="S352" s="665"/>
      <c r="T352" s="665"/>
      <c r="U352" s="665"/>
      <c r="V352" s="665"/>
      <c r="W352" s="665"/>
      <c r="X352" s="665"/>
      <c r="Y352" s="665"/>
      <c r="Z352" s="665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666">
        <v>4680115884618</v>
      </c>
      <c r="E353" s="666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8"/>
      <c r="R353" s="668"/>
      <c r="S353" s="668"/>
      <c r="T353" s="669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666">
        <v>4680115887114</v>
      </c>
      <c r="E354" s="666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8"/>
      <c r="R354" s="668"/>
      <c r="S354" s="668"/>
      <c r="T354" s="669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72" t="s">
        <v>595</v>
      </c>
      <c r="B357" s="672"/>
      <c r="C357" s="672"/>
      <c r="D357" s="672"/>
      <c r="E357" s="672"/>
      <c r="F357" s="672"/>
      <c r="G357" s="672"/>
      <c r="H357" s="672"/>
      <c r="I357" s="672"/>
      <c r="J357" s="672"/>
      <c r="K357" s="672"/>
      <c r="L357" s="672"/>
      <c r="M357" s="672"/>
      <c r="N357" s="672"/>
      <c r="O357" s="672"/>
      <c r="P357" s="672"/>
      <c r="Q357" s="672"/>
      <c r="R357" s="672"/>
      <c r="S357" s="672"/>
      <c r="T357" s="672"/>
      <c r="U357" s="672"/>
      <c r="V357" s="672"/>
      <c r="W357" s="672"/>
      <c r="X357" s="672"/>
      <c r="Y357" s="672"/>
      <c r="Z357" s="672"/>
      <c r="AA357" s="65"/>
      <c r="AB357" s="65"/>
      <c r="AC357" s="79"/>
    </row>
    <row r="358" spans="1:68" ht="14.25" hidden="1" customHeight="1" x14ac:dyDescent="0.25">
      <c r="A358" s="665" t="s">
        <v>121</v>
      </c>
      <c r="B358" s="665"/>
      <c r="C358" s="665"/>
      <c r="D358" s="665"/>
      <c r="E358" s="665"/>
      <c r="F358" s="665"/>
      <c r="G358" s="665"/>
      <c r="H358" s="665"/>
      <c r="I358" s="665"/>
      <c r="J358" s="665"/>
      <c r="K358" s="665"/>
      <c r="L358" s="665"/>
      <c r="M358" s="665"/>
      <c r="N358" s="665"/>
      <c r="O358" s="665"/>
      <c r="P358" s="665"/>
      <c r="Q358" s="665"/>
      <c r="R358" s="665"/>
      <c r="S358" s="665"/>
      <c r="T358" s="665"/>
      <c r="U358" s="665"/>
      <c r="V358" s="665"/>
      <c r="W358" s="665"/>
      <c r="X358" s="665"/>
      <c r="Y358" s="665"/>
      <c r="Z358" s="665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666">
        <v>4680115887947</v>
      </c>
      <c r="E359" s="666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8"/>
      <c r="R359" s="668"/>
      <c r="S359" s="668"/>
      <c r="T359" s="669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666">
        <v>4680115887978</v>
      </c>
      <c r="E360" s="666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8"/>
      <c r="R360" s="668"/>
      <c r="S360" s="668"/>
      <c r="T360" s="669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666">
        <v>4680115887992</v>
      </c>
      <c r="E361" s="666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6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8"/>
      <c r="R361" s="668"/>
      <c r="S361" s="668"/>
      <c r="T361" s="669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56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3" t="s">
        <v>40</v>
      </c>
      <c r="Q362" s="654"/>
      <c r="R362" s="654"/>
      <c r="S362" s="654"/>
      <c r="T362" s="654"/>
      <c r="U362" s="654"/>
      <c r="V362" s="655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72" t="s">
        <v>604</v>
      </c>
      <c r="B364" s="672"/>
      <c r="C364" s="672"/>
      <c r="D364" s="672"/>
      <c r="E364" s="672"/>
      <c r="F364" s="672"/>
      <c r="G364" s="672"/>
      <c r="H364" s="672"/>
      <c r="I364" s="672"/>
      <c r="J364" s="672"/>
      <c r="K364" s="672"/>
      <c r="L364" s="672"/>
      <c r="M364" s="672"/>
      <c r="N364" s="672"/>
      <c r="O364" s="672"/>
      <c r="P364" s="672"/>
      <c r="Q364" s="672"/>
      <c r="R364" s="672"/>
      <c r="S364" s="672"/>
      <c r="T364" s="672"/>
      <c r="U364" s="672"/>
      <c r="V364" s="672"/>
      <c r="W364" s="672"/>
      <c r="X364" s="672"/>
      <c r="Y364" s="672"/>
      <c r="Z364" s="672"/>
      <c r="AA364" s="65"/>
      <c r="AB364" s="65"/>
      <c r="AC364" s="79"/>
    </row>
    <row r="365" spans="1:68" ht="14.25" hidden="1" customHeight="1" x14ac:dyDescent="0.25">
      <c r="A365" s="665" t="s">
        <v>121</v>
      </c>
      <c r="B365" s="665"/>
      <c r="C365" s="665"/>
      <c r="D365" s="665"/>
      <c r="E365" s="665"/>
      <c r="F365" s="665"/>
      <c r="G365" s="665"/>
      <c r="H365" s="665"/>
      <c r="I365" s="665"/>
      <c r="J365" s="665"/>
      <c r="K365" s="665"/>
      <c r="L365" s="665"/>
      <c r="M365" s="665"/>
      <c r="N365" s="665"/>
      <c r="O365" s="665"/>
      <c r="P365" s="665"/>
      <c r="Q365" s="665"/>
      <c r="R365" s="665"/>
      <c r="S365" s="665"/>
      <c r="T365" s="665"/>
      <c r="U365" s="665"/>
      <c r="V365" s="665"/>
      <c r="W365" s="665"/>
      <c r="X365" s="665"/>
      <c r="Y365" s="665"/>
      <c r="Z365" s="665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4301012235</v>
      </c>
      <c r="D366" s="666">
        <v>4680115887190</v>
      </c>
      <c r="E366" s="666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8"/>
      <c r="R366" s="668"/>
      <c r="S366" s="668"/>
      <c r="T366" s="669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37.5" hidden="1" customHeight="1" x14ac:dyDescent="0.25">
      <c r="A367" s="63" t="s">
        <v>608</v>
      </c>
      <c r="B367" s="63" t="s">
        <v>609</v>
      </c>
      <c r="C367" s="36">
        <v>4301012233</v>
      </c>
      <c r="D367" s="666">
        <v>4680115887138</v>
      </c>
      <c r="E367" s="666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8"/>
      <c r="R367" s="668"/>
      <c r="S367" s="668"/>
      <c r="T367" s="669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4301012016</v>
      </c>
      <c r="D368" s="666">
        <v>4680115885554</v>
      </c>
      <c r="E368" s="666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89</v>
      </c>
      <c r="N368" s="38"/>
      <c r="O368" s="37">
        <v>55</v>
      </c>
      <c r="P368" s="7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8"/>
      <c r="R368" s="668"/>
      <c r="S368" s="668"/>
      <c r="T368" s="669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4301012236</v>
      </c>
      <c r="D369" s="666">
        <v>4680115887220</v>
      </c>
      <c r="E369" s="666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133</v>
      </c>
      <c r="L369" s="37" t="s">
        <v>46</v>
      </c>
      <c r="M369" s="38" t="s">
        <v>125</v>
      </c>
      <c r="N369" s="38"/>
      <c r="O369" s="37">
        <v>55</v>
      </c>
      <c r="P369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8"/>
      <c r="R369" s="668"/>
      <c r="S369" s="668"/>
      <c r="T369" s="669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607</v>
      </c>
      <c r="AG369" s="78"/>
      <c r="AJ369" s="84" t="s">
        <v>46</v>
      </c>
      <c r="AK369" s="84">
        <v>0</v>
      </c>
      <c r="BB369" s="471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hidden="1" customHeight="1" x14ac:dyDescent="0.25">
      <c r="A370" s="63" t="s">
        <v>616</v>
      </c>
      <c r="B370" s="63" t="s">
        <v>617</v>
      </c>
      <c r="C370" s="36">
        <v>4301011859</v>
      </c>
      <c r="D370" s="666">
        <v>4680115885608</v>
      </c>
      <c r="E370" s="666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76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8"/>
      <c r="R370" s="668"/>
      <c r="S370" s="668"/>
      <c r="T370" s="669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idden="1" x14ac:dyDescent="0.2">
      <c r="A371" s="656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3" t="s">
        <v>40</v>
      </c>
      <c r="Q371" s="654"/>
      <c r="R371" s="654"/>
      <c r="S371" s="654"/>
      <c r="T371" s="654"/>
      <c r="U371" s="654"/>
      <c r="V371" s="655"/>
      <c r="W371" s="42" t="s">
        <v>39</v>
      </c>
      <c r="X371" s="43">
        <f>IFERROR(X366/H366,"0")+IFERROR(X367/H367,"0")+IFERROR(X368/H368,"0")+IFERROR(X369/H369,"0")+IFERROR(X370/H370,"0")</f>
        <v>0</v>
      </c>
      <c r="Y371" s="43">
        <f>IFERROR(Y366/H366,"0")+IFERROR(Y367/H367,"0")+IFERROR(Y368/H368,"0")+IFERROR(Y369/H369,"0")+IFERROR(Y370/H370,"0")</f>
        <v>0</v>
      </c>
      <c r="Z371" s="43">
        <f>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2" t="s">
        <v>0</v>
      </c>
      <c r="X372" s="43">
        <f>IFERROR(SUM(X366:X370),"0")</f>
        <v>0</v>
      </c>
      <c r="Y372" s="43">
        <f>IFERROR(SUM(Y366:Y370),"0")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665" t="s">
        <v>76</v>
      </c>
      <c r="B373" s="665"/>
      <c r="C373" s="665"/>
      <c r="D373" s="665"/>
      <c r="E373" s="665"/>
      <c r="F373" s="665"/>
      <c r="G373" s="665"/>
      <c r="H373" s="665"/>
      <c r="I373" s="665"/>
      <c r="J373" s="665"/>
      <c r="K373" s="665"/>
      <c r="L373" s="665"/>
      <c r="M373" s="665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"/>
      <c r="AB373" s="66"/>
      <c r="AC373" s="80"/>
    </row>
    <row r="374" spans="1:68" ht="27" hidden="1" customHeight="1" x14ac:dyDescent="0.25">
      <c r="A374" s="63" t="s">
        <v>619</v>
      </c>
      <c r="B374" s="63" t="s">
        <v>620</v>
      </c>
      <c r="C374" s="36">
        <v>4301030878</v>
      </c>
      <c r="D374" s="666">
        <v>4607091387193</v>
      </c>
      <c r="E374" s="666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133</v>
      </c>
      <c r="L374" s="37" t="s">
        <v>46</v>
      </c>
      <c r="M374" s="38" t="s">
        <v>80</v>
      </c>
      <c r="N374" s="38"/>
      <c r="O374" s="37">
        <v>35</v>
      </c>
      <c r="P374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8"/>
      <c r="R374" s="668"/>
      <c r="S374" s="668"/>
      <c r="T374" s="669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58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621</v>
      </c>
      <c r="AG374" s="78"/>
      <c r="AJ374" s="84" t="s">
        <v>46</v>
      </c>
      <c r="AK374" s="84">
        <v>0</v>
      </c>
      <c r="BB374" s="475" t="s">
        <v>66</v>
      </c>
      <c r="BM374" s="78">
        <f t="shared" ref="BM374:BM380" si="59">IFERROR(X374*I374/H374,"0")</f>
        <v>0</v>
      </c>
      <c r="BN374" s="78">
        <f t="shared" ref="BN374:BN380" si="60">IFERROR(Y374*I374/H374,"0")</f>
        <v>0</v>
      </c>
      <c r="BO374" s="78">
        <f t="shared" ref="BO374:BO380" si="61">IFERROR(1/J374*(X374/H374),"0")</f>
        <v>0</v>
      </c>
      <c r="BP374" s="78">
        <f t="shared" ref="BP374:BP380" si="62">IFERROR(1/J374*(Y374/H374),"0")</f>
        <v>0</v>
      </c>
    </row>
    <row r="375" spans="1:68" ht="27" hidden="1" customHeight="1" x14ac:dyDescent="0.25">
      <c r="A375" s="63" t="s">
        <v>622</v>
      </c>
      <c r="B375" s="63" t="s">
        <v>623</v>
      </c>
      <c r="C375" s="36">
        <v>4301031153</v>
      </c>
      <c r="D375" s="666">
        <v>4607091387230</v>
      </c>
      <c r="E375" s="666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40</v>
      </c>
      <c r="P375" s="7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8"/>
      <c r="R375" s="668"/>
      <c r="S375" s="668"/>
      <c r="T375" s="669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8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si="59"/>
        <v>0</v>
      </c>
      <c r="BN375" s="78">
        <f t="shared" si="60"/>
        <v>0</v>
      </c>
      <c r="BO375" s="78">
        <f t="shared" si="61"/>
        <v>0</v>
      </c>
      <c r="BP375" s="78">
        <f t="shared" si="62"/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4301031154</v>
      </c>
      <c r="D376" s="666">
        <v>4607091387292</v>
      </c>
      <c r="E376" s="666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45</v>
      </c>
      <c r="P376" s="7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8"/>
      <c r="R376" s="668"/>
      <c r="S376" s="668"/>
      <c r="T376" s="669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59"/>
        <v>0</v>
      </c>
      <c r="BN376" s="78">
        <f t="shared" si="60"/>
        <v>0</v>
      </c>
      <c r="BO376" s="78">
        <f t="shared" si="61"/>
        <v>0</v>
      </c>
      <c r="BP376" s="78">
        <f t="shared" si="62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4301031152</v>
      </c>
      <c r="D377" s="666">
        <v>4607091387285</v>
      </c>
      <c r="E377" s="666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81</v>
      </c>
      <c r="L377" s="37" t="s">
        <v>46</v>
      </c>
      <c r="M377" s="38" t="s">
        <v>80</v>
      </c>
      <c r="N377" s="38"/>
      <c r="O377" s="37">
        <v>40</v>
      </c>
      <c r="P377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8"/>
      <c r="R377" s="668"/>
      <c r="S377" s="668"/>
      <c r="T377" s="669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8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624</v>
      </c>
      <c r="AG377" s="78"/>
      <c r="AJ377" s="84" t="s">
        <v>46</v>
      </c>
      <c r="AK377" s="84">
        <v>0</v>
      </c>
      <c r="BB377" s="481" t="s">
        <v>66</v>
      </c>
      <c r="BM377" s="78">
        <f t="shared" si="59"/>
        <v>0</v>
      </c>
      <c r="BN377" s="78">
        <f t="shared" si="60"/>
        <v>0</v>
      </c>
      <c r="BO377" s="78">
        <f t="shared" si="61"/>
        <v>0</v>
      </c>
      <c r="BP377" s="78">
        <f t="shared" si="62"/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4301031305</v>
      </c>
      <c r="D378" s="666">
        <v>4607091389845</v>
      </c>
      <c r="E378" s="666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8"/>
      <c r="R378" s="668"/>
      <c r="S378" s="668"/>
      <c r="T378" s="669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66</v>
      </c>
      <c r="BM378" s="78">
        <f t="shared" si="59"/>
        <v>0</v>
      </c>
      <c r="BN378" s="78">
        <f t="shared" si="60"/>
        <v>0</v>
      </c>
      <c r="BO378" s="78">
        <f t="shared" si="61"/>
        <v>0</v>
      </c>
      <c r="BP378" s="78">
        <f t="shared" si="62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4301031460</v>
      </c>
      <c r="D379" s="666">
        <v>4680115887442</v>
      </c>
      <c r="E379" s="666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133</v>
      </c>
      <c r="L379" s="37" t="s">
        <v>46</v>
      </c>
      <c r="M379" s="38" t="s">
        <v>80</v>
      </c>
      <c r="N379" s="38"/>
      <c r="O379" s="37">
        <v>45</v>
      </c>
      <c r="P379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8"/>
      <c r="R379" s="668"/>
      <c r="S379" s="668"/>
      <c r="T379" s="669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8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627</v>
      </c>
      <c r="AG379" s="78"/>
      <c r="AJ379" s="84" t="s">
        <v>46</v>
      </c>
      <c r="AK379" s="84">
        <v>0</v>
      </c>
      <c r="BB379" s="485" t="s">
        <v>66</v>
      </c>
      <c r="BM379" s="78">
        <f t="shared" si="59"/>
        <v>0</v>
      </c>
      <c r="BN379" s="78">
        <f t="shared" si="60"/>
        <v>0</v>
      </c>
      <c r="BO379" s="78">
        <f t="shared" si="61"/>
        <v>0</v>
      </c>
      <c r="BP379" s="78">
        <f t="shared" si="62"/>
        <v>0</v>
      </c>
    </row>
    <row r="380" spans="1:68" ht="27" hidden="1" customHeight="1" x14ac:dyDescent="0.25">
      <c r="A380" s="63" t="s">
        <v>635</v>
      </c>
      <c r="B380" s="63" t="s">
        <v>636</v>
      </c>
      <c r="C380" s="36">
        <v>4301031066</v>
      </c>
      <c r="D380" s="666">
        <v>4607091383836</v>
      </c>
      <c r="E380" s="666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90</v>
      </c>
      <c r="L380" s="37" t="s">
        <v>46</v>
      </c>
      <c r="M380" s="38" t="s">
        <v>80</v>
      </c>
      <c r="N380" s="38"/>
      <c r="O380" s="37">
        <v>40</v>
      </c>
      <c r="P380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8"/>
      <c r="R380" s="668"/>
      <c r="S380" s="668"/>
      <c r="T380" s="669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8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637</v>
      </c>
      <c r="AG380" s="78"/>
      <c r="AJ380" s="84" t="s">
        <v>46</v>
      </c>
      <c r="AK380" s="84">
        <v>0</v>
      </c>
      <c r="BB380" s="487" t="s">
        <v>66</v>
      </c>
      <c r="BM380" s="78">
        <f t="shared" si="59"/>
        <v>0</v>
      </c>
      <c r="BN380" s="78">
        <f t="shared" si="60"/>
        <v>0</v>
      </c>
      <c r="BO380" s="78">
        <f t="shared" si="61"/>
        <v>0</v>
      </c>
      <c r="BP380" s="78">
        <f t="shared" si="62"/>
        <v>0</v>
      </c>
    </row>
    <row r="381" spans="1:68" hidden="1" x14ac:dyDescent="0.2">
      <c r="A381" s="656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3" t="s">
        <v>40</v>
      </c>
      <c r="Q381" s="654"/>
      <c r="R381" s="654"/>
      <c r="S381" s="654"/>
      <c r="T381" s="654"/>
      <c r="U381" s="654"/>
      <c r="V381" s="655"/>
      <c r="W381" s="42" t="s">
        <v>39</v>
      </c>
      <c r="X381" s="43">
        <f>IFERROR(X374/H374,"0")+IFERROR(X375/H375,"0")+IFERROR(X376/H376,"0")+IFERROR(X377/H377,"0")+IFERROR(X378/H378,"0")+IFERROR(X379/H379,"0")+IFERROR(X380/H380,"0")</f>
        <v>0</v>
      </c>
      <c r="Y381" s="43">
        <f>IFERROR(Y374/H374,"0")+IFERROR(Y375/H375,"0")+IFERROR(Y376/H376,"0")+IFERROR(Y377/H377,"0")+IFERROR(Y378/H378,"0")+IFERROR(Y379/H379,"0")+IFERROR(Y380/H380,"0")</f>
        <v>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hidden="1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2" t="s">
        <v>0</v>
      </c>
      <c r="X382" s="43">
        <f>IFERROR(SUM(X374:X380),"0")</f>
        <v>0</v>
      </c>
      <c r="Y382" s="43">
        <f>IFERROR(SUM(Y374:Y380),"0")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665" t="s">
        <v>85</v>
      </c>
      <c r="B383" s="665"/>
      <c r="C383" s="665"/>
      <c r="D383" s="665"/>
      <c r="E383" s="665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"/>
      <c r="AB383" s="66"/>
      <c r="AC383" s="80"/>
    </row>
    <row r="384" spans="1:68" ht="27" hidden="1" customHeight="1" x14ac:dyDescent="0.25">
      <c r="A384" s="63" t="s">
        <v>638</v>
      </c>
      <c r="B384" s="63" t="s">
        <v>639</v>
      </c>
      <c r="C384" s="36">
        <v>4301051100</v>
      </c>
      <c r="D384" s="666">
        <v>4607091387766</v>
      </c>
      <c r="E384" s="666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126</v>
      </c>
      <c r="L384" s="37" t="s">
        <v>46</v>
      </c>
      <c r="M384" s="38" t="s">
        <v>89</v>
      </c>
      <c r="N384" s="38"/>
      <c r="O384" s="37">
        <v>40</v>
      </c>
      <c r="P384" s="7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8"/>
      <c r="R384" s="668"/>
      <c r="S384" s="668"/>
      <c r="T384" s="669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640</v>
      </c>
      <c r="AG384" s="78"/>
      <c r="AJ384" s="84" t="s">
        <v>46</v>
      </c>
      <c r="AK384" s="84">
        <v>0</v>
      </c>
      <c r="BB384" s="489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641</v>
      </c>
      <c r="B385" s="63" t="s">
        <v>642</v>
      </c>
      <c r="C385" s="36">
        <v>4301051818</v>
      </c>
      <c r="D385" s="666">
        <v>4607091387957</v>
      </c>
      <c r="E385" s="666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7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8"/>
      <c r="R385" s="668"/>
      <c r="S385" s="668"/>
      <c r="T385" s="669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4301051819</v>
      </c>
      <c r="D386" s="666">
        <v>4607091387964</v>
      </c>
      <c r="E386" s="666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8"/>
      <c r="R386" s="668"/>
      <c r="S386" s="668"/>
      <c r="T386" s="669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4301051734</v>
      </c>
      <c r="D387" s="666">
        <v>4680115884588</v>
      </c>
      <c r="E387" s="666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90</v>
      </c>
      <c r="L387" s="37" t="s">
        <v>46</v>
      </c>
      <c r="M387" s="38" t="s">
        <v>89</v>
      </c>
      <c r="N387" s="38"/>
      <c r="O387" s="37">
        <v>40</v>
      </c>
      <c r="P387" s="7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8"/>
      <c r="R387" s="668"/>
      <c r="S387" s="668"/>
      <c r="T387" s="669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640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656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3" t="s">
        <v>40</v>
      </c>
      <c r="Q388" s="654"/>
      <c r="R388" s="654"/>
      <c r="S388" s="654"/>
      <c r="T388" s="654"/>
      <c r="U388" s="654"/>
      <c r="V388" s="655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65" t="s">
        <v>172</v>
      </c>
      <c r="B390" s="665"/>
      <c r="C390" s="665"/>
      <c r="D390" s="665"/>
      <c r="E390" s="665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"/>
      <c r="AB390" s="66"/>
      <c r="AC390" s="80"/>
    </row>
    <row r="391" spans="1:68" ht="27" hidden="1" customHeight="1" x14ac:dyDescent="0.25">
      <c r="A391" s="63" t="s">
        <v>649</v>
      </c>
      <c r="B391" s="63" t="s">
        <v>650</v>
      </c>
      <c r="C391" s="36">
        <v>4301060387</v>
      </c>
      <c r="D391" s="666">
        <v>4607091380880</v>
      </c>
      <c r="E391" s="666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126</v>
      </c>
      <c r="L391" s="37" t="s">
        <v>46</v>
      </c>
      <c r="M391" s="38" t="s">
        <v>89</v>
      </c>
      <c r="N391" s="38"/>
      <c r="O391" s="37">
        <v>30</v>
      </c>
      <c r="P391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8"/>
      <c r="R391" s="668"/>
      <c r="S391" s="668"/>
      <c r="T391" s="669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651</v>
      </c>
      <c r="AG391" s="78"/>
      <c r="AJ391" s="84" t="s">
        <v>46</v>
      </c>
      <c r="AK391" s="84">
        <v>0</v>
      </c>
      <c r="BB391" s="497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652</v>
      </c>
      <c r="B392" s="63" t="s">
        <v>653</v>
      </c>
      <c r="C392" s="36">
        <v>4301060406</v>
      </c>
      <c r="D392" s="666">
        <v>4607091384482</v>
      </c>
      <c r="E392" s="666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74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8"/>
      <c r="R392" s="668"/>
      <c r="S392" s="668"/>
      <c r="T392" s="669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4301060484</v>
      </c>
      <c r="D393" s="666">
        <v>4607091380897</v>
      </c>
      <c r="E393" s="666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126</v>
      </c>
      <c r="L393" s="37" t="s">
        <v>46</v>
      </c>
      <c r="M393" s="38" t="s">
        <v>96</v>
      </c>
      <c r="N393" s="38"/>
      <c r="O393" s="37">
        <v>30</v>
      </c>
      <c r="P393" s="7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8"/>
      <c r="R393" s="668"/>
      <c r="S393" s="668"/>
      <c r="T393" s="669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656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3" t="s">
        <v>40</v>
      </c>
      <c r="Q394" s="654"/>
      <c r="R394" s="654"/>
      <c r="S394" s="654"/>
      <c r="T394" s="654"/>
      <c r="U394" s="654"/>
      <c r="V394" s="655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665" t="s">
        <v>288</v>
      </c>
      <c r="B396" s="665"/>
      <c r="C396" s="665"/>
      <c r="D396" s="665"/>
      <c r="E396" s="665"/>
      <c r="F396" s="665"/>
      <c r="G396" s="665"/>
      <c r="H396" s="665"/>
      <c r="I396" s="665"/>
      <c r="J396" s="665"/>
      <c r="K396" s="665"/>
      <c r="L396" s="665"/>
      <c r="M396" s="665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"/>
      <c r="AB396" s="66"/>
      <c r="AC396" s="80"/>
    </row>
    <row r="397" spans="1:68" ht="27" hidden="1" customHeight="1" x14ac:dyDescent="0.25">
      <c r="A397" s="63" t="s">
        <v>658</v>
      </c>
      <c r="B397" s="63" t="s">
        <v>659</v>
      </c>
      <c r="C397" s="36">
        <v>4301030235</v>
      </c>
      <c r="D397" s="666">
        <v>4607091388381</v>
      </c>
      <c r="E397" s="666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133</v>
      </c>
      <c r="L397" s="37" t="s">
        <v>46</v>
      </c>
      <c r="M397" s="38" t="s">
        <v>263</v>
      </c>
      <c r="N397" s="38"/>
      <c r="O397" s="37">
        <v>180</v>
      </c>
      <c r="P397" s="74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8"/>
      <c r="R397" s="668"/>
      <c r="S397" s="668"/>
      <c r="T397" s="669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660</v>
      </c>
      <c r="AG397" s="78"/>
      <c r="AJ397" s="84" t="s">
        <v>46</v>
      </c>
      <c r="AK397" s="84">
        <v>0</v>
      </c>
      <c r="BB397" s="50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661</v>
      </c>
      <c r="B398" s="63" t="s">
        <v>662</v>
      </c>
      <c r="C398" s="36">
        <v>4301030232</v>
      </c>
      <c r="D398" s="666">
        <v>4607091388374</v>
      </c>
      <c r="E398" s="666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8"/>
      <c r="R398" s="668"/>
      <c r="S398" s="668"/>
      <c r="T398" s="669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660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663</v>
      </c>
      <c r="B399" s="63" t="s">
        <v>664</v>
      </c>
      <c r="C399" s="36">
        <v>4301032015</v>
      </c>
      <c r="D399" s="666">
        <v>4607091383102</v>
      </c>
      <c r="E399" s="666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90</v>
      </c>
      <c r="L399" s="37" t="s">
        <v>46</v>
      </c>
      <c r="M399" s="38" t="s">
        <v>263</v>
      </c>
      <c r="N399" s="38"/>
      <c r="O399" s="37">
        <v>180</v>
      </c>
      <c r="P399" s="74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8"/>
      <c r="R399" s="668"/>
      <c r="S399" s="668"/>
      <c r="T399" s="669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660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4301030233</v>
      </c>
      <c r="D400" s="666">
        <v>4607091388404</v>
      </c>
      <c r="E400" s="666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74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8"/>
      <c r="R400" s="668"/>
      <c r="S400" s="668"/>
      <c r="T400" s="669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660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56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3" t="s">
        <v>40</v>
      </c>
      <c r="Q401" s="654"/>
      <c r="R401" s="654"/>
      <c r="S401" s="654"/>
      <c r="T401" s="654"/>
      <c r="U401" s="654"/>
      <c r="V401" s="655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65" t="s">
        <v>667</v>
      </c>
      <c r="B403" s="665"/>
      <c r="C403" s="665"/>
      <c r="D403" s="665"/>
      <c r="E403" s="665"/>
      <c r="F403" s="665"/>
      <c r="G403" s="665"/>
      <c r="H403" s="665"/>
      <c r="I403" s="665"/>
      <c r="J403" s="665"/>
      <c r="K403" s="665"/>
      <c r="L403" s="665"/>
      <c r="M403" s="665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"/>
      <c r="AB403" s="66"/>
      <c r="AC403" s="80"/>
    </row>
    <row r="404" spans="1:68" ht="16.5" hidden="1" customHeight="1" x14ac:dyDescent="0.25">
      <c r="A404" s="63" t="s">
        <v>668</v>
      </c>
      <c r="B404" s="63" t="s">
        <v>669</v>
      </c>
      <c r="C404" s="36">
        <v>4301180007</v>
      </c>
      <c r="D404" s="666">
        <v>4680115881808</v>
      </c>
      <c r="E404" s="666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671</v>
      </c>
      <c r="N404" s="38"/>
      <c r="O404" s="37">
        <v>731</v>
      </c>
      <c r="P404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8"/>
      <c r="R404" s="668"/>
      <c r="S404" s="668"/>
      <c r="T404" s="669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670</v>
      </c>
      <c r="AG404" s="78"/>
      <c r="AJ404" s="84" t="s">
        <v>46</v>
      </c>
      <c r="AK404" s="84">
        <v>0</v>
      </c>
      <c r="BB404" s="511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672</v>
      </c>
      <c r="B405" s="63" t="s">
        <v>673</v>
      </c>
      <c r="C405" s="36">
        <v>4301180006</v>
      </c>
      <c r="D405" s="666">
        <v>4680115881822</v>
      </c>
      <c r="E405" s="666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671</v>
      </c>
      <c r="N405" s="38"/>
      <c r="O405" s="37">
        <v>731</v>
      </c>
      <c r="P405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8"/>
      <c r="R405" s="668"/>
      <c r="S405" s="668"/>
      <c r="T405" s="669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670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674</v>
      </c>
      <c r="B406" s="63" t="s">
        <v>675</v>
      </c>
      <c r="C406" s="36">
        <v>4301180001</v>
      </c>
      <c r="D406" s="666">
        <v>4680115880016</v>
      </c>
      <c r="E406" s="666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671</v>
      </c>
      <c r="N406" s="38"/>
      <c r="O406" s="37">
        <v>731</v>
      </c>
      <c r="P406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8"/>
      <c r="R406" s="668"/>
      <c r="S406" s="668"/>
      <c r="T406" s="669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670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56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3" t="s">
        <v>40</v>
      </c>
      <c r="Q407" s="654"/>
      <c r="R407" s="654"/>
      <c r="S407" s="654"/>
      <c r="T407" s="654"/>
      <c r="U407" s="654"/>
      <c r="V407" s="655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665" t="s">
        <v>676</v>
      </c>
      <c r="B409" s="665"/>
      <c r="C409" s="665"/>
      <c r="D409" s="665"/>
      <c r="E409" s="665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"/>
      <c r="AB409" s="66"/>
      <c r="AC409" s="80"/>
    </row>
    <row r="410" spans="1:68" ht="27" hidden="1" customHeight="1" x14ac:dyDescent="0.25">
      <c r="A410" s="63" t="s">
        <v>677</v>
      </c>
      <c r="B410" s="63" t="s">
        <v>678</v>
      </c>
      <c r="C410" s="36">
        <v>4301220003</v>
      </c>
      <c r="D410" s="666">
        <v>4680115888678</v>
      </c>
      <c r="E410" s="666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671</v>
      </c>
      <c r="N410" s="38"/>
      <c r="O410" s="37">
        <v>1096</v>
      </c>
      <c r="P410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8"/>
      <c r="R410" s="668"/>
      <c r="S410" s="668"/>
      <c r="T410" s="669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679</v>
      </c>
      <c r="AG410" s="78"/>
      <c r="AJ410" s="84" t="s">
        <v>46</v>
      </c>
      <c r="AK410" s="84">
        <v>0</v>
      </c>
      <c r="BB410" s="517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680</v>
      </c>
      <c r="B411" s="63" t="s">
        <v>681</v>
      </c>
      <c r="C411" s="36">
        <v>4301220001</v>
      </c>
      <c r="D411" s="666">
        <v>4680115888654</v>
      </c>
      <c r="E411" s="666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133</v>
      </c>
      <c r="L411" s="37" t="s">
        <v>46</v>
      </c>
      <c r="M411" s="38" t="s">
        <v>671</v>
      </c>
      <c r="N411" s="38"/>
      <c r="O411" s="37">
        <v>1096</v>
      </c>
      <c r="P411" s="74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8"/>
      <c r="R411" s="668"/>
      <c r="S411" s="668"/>
      <c r="T411" s="669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4301220002</v>
      </c>
      <c r="D412" s="666">
        <v>4680115888753</v>
      </c>
      <c r="E412" s="666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90</v>
      </c>
      <c r="L412" s="37" t="s">
        <v>46</v>
      </c>
      <c r="M412" s="38" t="s">
        <v>671</v>
      </c>
      <c r="N412" s="38"/>
      <c r="O412" s="37">
        <v>1096</v>
      </c>
      <c r="P412" s="74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8"/>
      <c r="R412" s="668"/>
      <c r="S412" s="668"/>
      <c r="T412" s="669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679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56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3" t="s">
        <v>40</v>
      </c>
      <c r="Q413" s="654"/>
      <c r="R413" s="654"/>
      <c r="S413" s="654"/>
      <c r="T413" s="654"/>
      <c r="U413" s="654"/>
      <c r="V413" s="655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72" t="s">
        <v>685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5"/>
      <c r="AB415" s="65"/>
      <c r="AC415" s="79"/>
    </row>
    <row r="416" spans="1:68" ht="14.25" hidden="1" customHeight="1" x14ac:dyDescent="0.25">
      <c r="A416" s="665" t="s">
        <v>85</v>
      </c>
      <c r="B416" s="665"/>
      <c r="C416" s="665"/>
      <c r="D416" s="665"/>
      <c r="E416" s="665"/>
      <c r="F416" s="665"/>
      <c r="G416" s="665"/>
      <c r="H416" s="665"/>
      <c r="I416" s="665"/>
      <c r="J416" s="665"/>
      <c r="K416" s="665"/>
      <c r="L416" s="665"/>
      <c r="M416" s="665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"/>
      <c r="AB416" s="66"/>
      <c r="AC416" s="80"/>
    </row>
    <row r="417" spans="1:68" ht="16.5" hidden="1" customHeight="1" x14ac:dyDescent="0.25">
      <c r="A417" s="63" t="s">
        <v>686</v>
      </c>
      <c r="B417" s="63" t="s">
        <v>687</v>
      </c>
      <c r="C417" s="36">
        <v>4301052235</v>
      </c>
      <c r="D417" s="666">
        <v>4680115889415</v>
      </c>
      <c r="E417" s="666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126</v>
      </c>
      <c r="L417" s="37" t="s">
        <v>46</v>
      </c>
      <c r="M417" s="38" t="s">
        <v>89</v>
      </c>
      <c r="N417" s="38"/>
      <c r="O417" s="37">
        <v>40</v>
      </c>
      <c r="P417" s="73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8"/>
      <c r="R417" s="668"/>
      <c r="S417" s="668"/>
      <c r="T417" s="669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688</v>
      </c>
      <c r="AG417" s="78"/>
      <c r="AJ417" s="84" t="s">
        <v>46</v>
      </c>
      <c r="AK417" s="84">
        <v>0</v>
      </c>
      <c r="BB417" s="523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689</v>
      </c>
      <c r="B418" s="63" t="s">
        <v>690</v>
      </c>
      <c r="C418" s="36">
        <v>4301052236</v>
      </c>
      <c r="D418" s="666">
        <v>4680115889422</v>
      </c>
      <c r="E418" s="666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73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8"/>
      <c r="R418" s="668"/>
      <c r="S418" s="668"/>
      <c r="T418" s="669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656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3" t="s">
        <v>40</v>
      </c>
      <c r="Q419" s="654"/>
      <c r="R419" s="654"/>
      <c r="S419" s="654"/>
      <c r="T419" s="654"/>
      <c r="U419" s="654"/>
      <c r="V419" s="655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672" t="s">
        <v>692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5"/>
      <c r="AB421" s="65"/>
      <c r="AC421" s="79"/>
    </row>
    <row r="422" spans="1:68" ht="14.25" hidden="1" customHeight="1" x14ac:dyDescent="0.25">
      <c r="A422" s="665" t="s">
        <v>85</v>
      </c>
      <c r="B422" s="665"/>
      <c r="C422" s="665"/>
      <c r="D422" s="665"/>
      <c r="E422" s="665"/>
      <c r="F422" s="665"/>
      <c r="G422" s="665"/>
      <c r="H422" s="665"/>
      <c r="I422" s="665"/>
      <c r="J422" s="665"/>
      <c r="K422" s="665"/>
      <c r="L422" s="665"/>
      <c r="M422" s="665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"/>
      <c r="AB422" s="66"/>
      <c r="AC422" s="80"/>
    </row>
    <row r="423" spans="1:68" ht="27" hidden="1" customHeight="1" x14ac:dyDescent="0.25">
      <c r="A423" s="63" t="s">
        <v>693</v>
      </c>
      <c r="B423" s="63" t="s">
        <v>694</v>
      </c>
      <c r="C423" s="36">
        <v>4301051489</v>
      </c>
      <c r="D423" s="666">
        <v>4607091387919</v>
      </c>
      <c r="E423" s="666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126</v>
      </c>
      <c r="L423" s="37" t="s">
        <v>46</v>
      </c>
      <c r="M423" s="38" t="s">
        <v>96</v>
      </c>
      <c r="N423" s="38"/>
      <c r="O423" s="37">
        <v>45</v>
      </c>
      <c r="P423" s="7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8"/>
      <c r="R423" s="668"/>
      <c r="S423" s="668"/>
      <c r="T423" s="669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695</v>
      </c>
      <c r="AG423" s="78"/>
      <c r="AJ423" s="84" t="s">
        <v>46</v>
      </c>
      <c r="AK423" s="84">
        <v>0</v>
      </c>
      <c r="BB423" s="527" t="s">
        <v>66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696</v>
      </c>
      <c r="B424" s="63" t="s">
        <v>697</v>
      </c>
      <c r="C424" s="36">
        <v>4301051461</v>
      </c>
      <c r="D424" s="666">
        <v>4680115883604</v>
      </c>
      <c r="E424" s="666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90</v>
      </c>
      <c r="L424" s="37" t="s">
        <v>46</v>
      </c>
      <c r="M424" s="38" t="s">
        <v>89</v>
      </c>
      <c r="N424" s="38"/>
      <c r="O424" s="37">
        <v>45</v>
      </c>
      <c r="P424" s="7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8"/>
      <c r="R424" s="668"/>
      <c r="S424" s="668"/>
      <c r="T424" s="669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4301051864</v>
      </c>
      <c r="D425" s="666">
        <v>4680115883567</v>
      </c>
      <c r="E425" s="666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90</v>
      </c>
      <c r="L425" s="37" t="s">
        <v>46</v>
      </c>
      <c r="M425" s="38" t="s">
        <v>96</v>
      </c>
      <c r="N425" s="38"/>
      <c r="O425" s="37">
        <v>40</v>
      </c>
      <c r="P425" s="7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8"/>
      <c r="R425" s="668"/>
      <c r="S425" s="668"/>
      <c r="T425" s="669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56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3" t="s">
        <v>40</v>
      </c>
      <c r="Q426" s="654"/>
      <c r="R426" s="654"/>
      <c r="S426" s="654"/>
      <c r="T426" s="654"/>
      <c r="U426" s="654"/>
      <c r="V426" s="655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hidden="1" customHeight="1" x14ac:dyDescent="0.2">
      <c r="A428" s="683" t="s">
        <v>702</v>
      </c>
      <c r="B428" s="683"/>
      <c r="C428" s="683"/>
      <c r="D428" s="683"/>
      <c r="E428" s="683"/>
      <c r="F428" s="683"/>
      <c r="G428" s="683"/>
      <c r="H428" s="683"/>
      <c r="I428" s="683"/>
      <c r="J428" s="683"/>
      <c r="K428" s="683"/>
      <c r="L428" s="683"/>
      <c r="M428" s="683"/>
      <c r="N428" s="683"/>
      <c r="O428" s="683"/>
      <c r="P428" s="683"/>
      <c r="Q428" s="683"/>
      <c r="R428" s="683"/>
      <c r="S428" s="683"/>
      <c r="T428" s="683"/>
      <c r="U428" s="683"/>
      <c r="V428" s="683"/>
      <c r="W428" s="683"/>
      <c r="X428" s="683"/>
      <c r="Y428" s="683"/>
      <c r="Z428" s="683"/>
      <c r="AA428" s="54"/>
      <c r="AB428" s="54"/>
      <c r="AC428" s="54"/>
    </row>
    <row r="429" spans="1:68" ht="16.5" hidden="1" customHeight="1" x14ac:dyDescent="0.25">
      <c r="A429" s="672" t="s">
        <v>703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5"/>
      <c r="AB429" s="65"/>
      <c r="AC429" s="79"/>
    </row>
    <row r="430" spans="1:68" ht="14.25" hidden="1" customHeight="1" x14ac:dyDescent="0.25">
      <c r="A430" s="665" t="s">
        <v>121</v>
      </c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"/>
      <c r="AB430" s="66"/>
      <c r="AC430" s="80"/>
    </row>
    <row r="431" spans="1:68" ht="27" hidden="1" customHeight="1" x14ac:dyDescent="0.25">
      <c r="A431" s="63" t="s">
        <v>704</v>
      </c>
      <c r="B431" s="63" t="s">
        <v>705</v>
      </c>
      <c r="C431" s="36">
        <v>4301012332</v>
      </c>
      <c r="D431" s="666">
        <v>4680115888401</v>
      </c>
      <c r="E431" s="666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126</v>
      </c>
      <c r="L431" s="37" t="s">
        <v>46</v>
      </c>
      <c r="M431" s="38" t="s">
        <v>96</v>
      </c>
      <c r="N431" s="38"/>
      <c r="O431" s="37">
        <v>60</v>
      </c>
      <c r="P431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8"/>
      <c r="R431" s="668"/>
      <c r="S431" s="668"/>
      <c r="T431" s="669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3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706</v>
      </c>
      <c r="AG431" s="78"/>
      <c r="AJ431" s="84" t="s">
        <v>46</v>
      </c>
      <c r="AK431" s="84">
        <v>0</v>
      </c>
      <c r="BB431" s="533" t="s">
        <v>66</v>
      </c>
      <c r="BM431" s="78">
        <f t="shared" ref="BM431:BM438" si="64">IFERROR(X431*I431/H431,"0")</f>
        <v>0</v>
      </c>
      <c r="BN431" s="78">
        <f t="shared" ref="BN431:BN438" si="65">IFERROR(Y431*I431/H431,"0")</f>
        <v>0</v>
      </c>
      <c r="BO431" s="78">
        <f t="shared" ref="BO431:BO438" si="66">IFERROR(1/J431*(X431/H431),"0")</f>
        <v>0</v>
      </c>
      <c r="BP431" s="78">
        <f t="shared" ref="BP431:BP438" si="67">IFERROR(1/J431*(Y431/H431),"0")</f>
        <v>0</v>
      </c>
    </row>
    <row r="432" spans="1:68" ht="37.5" hidden="1" customHeight="1" x14ac:dyDescent="0.25">
      <c r="A432" s="63" t="s">
        <v>707</v>
      </c>
      <c r="B432" s="63" t="s">
        <v>708</v>
      </c>
      <c r="C432" s="36">
        <v>4301011869</v>
      </c>
      <c r="D432" s="666">
        <v>4680115884847</v>
      </c>
      <c r="E432" s="666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80</v>
      </c>
      <c r="N432" s="38"/>
      <c r="O432" s="37">
        <v>60</v>
      </c>
      <c r="P432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8"/>
      <c r="R432" s="668"/>
      <c r="S432" s="668"/>
      <c r="T432" s="669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3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si="64"/>
        <v>0</v>
      </c>
      <c r="BN432" s="78">
        <f t="shared" si="65"/>
        <v>0</v>
      </c>
      <c r="BO432" s="78">
        <f t="shared" si="66"/>
        <v>0</v>
      </c>
      <c r="BP432" s="78">
        <f t="shared" si="67"/>
        <v>0</v>
      </c>
    </row>
    <row r="433" spans="1:68" ht="27" customHeight="1" x14ac:dyDescent="0.25">
      <c r="A433" s="63" t="s">
        <v>710</v>
      </c>
      <c r="B433" s="63" t="s">
        <v>711</v>
      </c>
      <c r="C433" s="36">
        <v>4301012083</v>
      </c>
      <c r="D433" s="666">
        <v>4680115884854</v>
      </c>
      <c r="E433" s="666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125</v>
      </c>
      <c r="N433" s="38"/>
      <c r="O433" s="37">
        <v>60</v>
      </c>
      <c r="P433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8"/>
      <c r="R433" s="668"/>
      <c r="S433" s="668"/>
      <c r="T433" s="669"/>
      <c r="U433" s="39" t="s">
        <v>46</v>
      </c>
      <c r="V433" s="39" t="s">
        <v>46</v>
      </c>
      <c r="W433" s="40" t="s">
        <v>0</v>
      </c>
      <c r="X433" s="58">
        <v>1000</v>
      </c>
      <c r="Y433" s="55">
        <f t="shared" si="63"/>
        <v>1005</v>
      </c>
      <c r="Z433" s="41">
        <f>IFERROR(IF(Y433=0,"",ROUNDUP(Y433/H433,0)*0.02175),"")</f>
        <v>1.4572499999999999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4"/>
        <v>1031.3333333333333</v>
      </c>
      <c r="BN433" s="78">
        <f t="shared" si="65"/>
        <v>1036.49</v>
      </c>
      <c r="BO433" s="78">
        <f t="shared" si="66"/>
        <v>1.3888888888888888</v>
      </c>
      <c r="BP433" s="78">
        <f t="shared" si="67"/>
        <v>1.3958333333333333</v>
      </c>
    </row>
    <row r="434" spans="1:68" ht="27" customHeight="1" x14ac:dyDescent="0.25">
      <c r="A434" s="63" t="s">
        <v>713</v>
      </c>
      <c r="B434" s="63" t="s">
        <v>714</v>
      </c>
      <c r="C434" s="36">
        <v>4301011867</v>
      </c>
      <c r="D434" s="666">
        <v>4680115884830</v>
      </c>
      <c r="E434" s="666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80</v>
      </c>
      <c r="N434" s="38"/>
      <c r="O434" s="37">
        <v>60</v>
      </c>
      <c r="P434" s="7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8"/>
      <c r="R434" s="668"/>
      <c r="S434" s="668"/>
      <c r="T434" s="669"/>
      <c r="U434" s="39" t="s">
        <v>46</v>
      </c>
      <c r="V434" s="39" t="s">
        <v>46</v>
      </c>
      <c r="W434" s="40" t="s">
        <v>0</v>
      </c>
      <c r="X434" s="58">
        <v>900</v>
      </c>
      <c r="Y434" s="55">
        <f t="shared" si="63"/>
        <v>900</v>
      </c>
      <c r="Z434" s="41">
        <f>IFERROR(IF(Y434=0,"",ROUNDUP(Y434/H434,0)*0.02175),"")</f>
        <v>1.3049999999999999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4"/>
        <v>928.2</v>
      </c>
      <c r="BN434" s="78">
        <f t="shared" si="65"/>
        <v>928.2</v>
      </c>
      <c r="BO434" s="78">
        <f t="shared" si="66"/>
        <v>1.25</v>
      </c>
      <c r="BP434" s="78">
        <f t="shared" si="67"/>
        <v>1.25</v>
      </c>
    </row>
    <row r="435" spans="1:68" ht="27" hidden="1" customHeight="1" x14ac:dyDescent="0.25">
      <c r="A435" s="63" t="s">
        <v>716</v>
      </c>
      <c r="B435" s="63" t="s">
        <v>717</v>
      </c>
      <c r="C435" s="36">
        <v>4301012356</v>
      </c>
      <c r="D435" s="666">
        <v>4680115889231</v>
      </c>
      <c r="E435" s="666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96</v>
      </c>
      <c r="N435" s="38"/>
      <c r="O435" s="37">
        <v>60</v>
      </c>
      <c r="P435" s="73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8"/>
      <c r="R435" s="668"/>
      <c r="S435" s="668"/>
      <c r="T435" s="669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4"/>
        <v>0</v>
      </c>
      <c r="BN435" s="78">
        <f t="shared" si="65"/>
        <v>0</v>
      </c>
      <c r="BO435" s="78">
        <f t="shared" si="66"/>
        <v>0</v>
      </c>
      <c r="BP435" s="78">
        <f t="shared" si="67"/>
        <v>0</v>
      </c>
    </row>
    <row r="436" spans="1:68" ht="27" hidden="1" customHeight="1" x14ac:dyDescent="0.25">
      <c r="A436" s="63" t="s">
        <v>719</v>
      </c>
      <c r="B436" s="63" t="s">
        <v>720</v>
      </c>
      <c r="C436" s="36">
        <v>4301011433</v>
      </c>
      <c r="D436" s="666">
        <v>4680115882638</v>
      </c>
      <c r="E436" s="666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133</v>
      </c>
      <c r="L436" s="37" t="s">
        <v>46</v>
      </c>
      <c r="M436" s="38" t="s">
        <v>125</v>
      </c>
      <c r="N436" s="38"/>
      <c r="O436" s="37">
        <v>90</v>
      </c>
      <c r="P436" s="72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8"/>
      <c r="R436" s="668"/>
      <c r="S436" s="668"/>
      <c r="T436" s="669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3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4"/>
        <v>0</v>
      </c>
      <c r="BN436" s="78">
        <f t="shared" si="65"/>
        <v>0</v>
      </c>
      <c r="BO436" s="78">
        <f t="shared" si="66"/>
        <v>0</v>
      </c>
      <c r="BP436" s="78">
        <f t="shared" si="67"/>
        <v>0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4301011952</v>
      </c>
      <c r="D437" s="666">
        <v>4680115884922</v>
      </c>
      <c r="E437" s="666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133</v>
      </c>
      <c r="L437" s="37" t="s">
        <v>46</v>
      </c>
      <c r="M437" s="38" t="s">
        <v>80</v>
      </c>
      <c r="N437" s="38"/>
      <c r="O437" s="37">
        <v>60</v>
      </c>
      <c r="P437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8"/>
      <c r="R437" s="668"/>
      <c r="S437" s="668"/>
      <c r="T437" s="669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4"/>
        <v>0</v>
      </c>
      <c r="BN437" s="78">
        <f t="shared" si="65"/>
        <v>0</v>
      </c>
      <c r="BO437" s="78">
        <f t="shared" si="66"/>
        <v>0</v>
      </c>
      <c r="BP437" s="78">
        <f t="shared" si="67"/>
        <v>0</v>
      </c>
    </row>
    <row r="438" spans="1:68" ht="37.5" hidden="1" customHeight="1" x14ac:dyDescent="0.25">
      <c r="A438" s="63" t="s">
        <v>725</v>
      </c>
      <c r="B438" s="63" t="s">
        <v>726</v>
      </c>
      <c r="C438" s="36">
        <v>4301011868</v>
      </c>
      <c r="D438" s="666">
        <v>4680115884861</v>
      </c>
      <c r="E438" s="666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7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8"/>
      <c r="R438" s="668"/>
      <c r="S438" s="668"/>
      <c r="T438" s="669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4"/>
        <v>0</v>
      </c>
      <c r="BN438" s="78">
        <f t="shared" si="65"/>
        <v>0</v>
      </c>
      <c r="BO438" s="78">
        <f t="shared" si="66"/>
        <v>0</v>
      </c>
      <c r="BP438" s="78">
        <f t="shared" si="67"/>
        <v>0</v>
      </c>
    </row>
    <row r="439" spans="1:68" x14ac:dyDescent="0.2">
      <c r="A439" s="656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3" t="s">
        <v>40</v>
      </c>
      <c r="Q439" s="654"/>
      <c r="R439" s="654"/>
      <c r="S439" s="654"/>
      <c r="T439" s="654"/>
      <c r="U439" s="654"/>
      <c r="V439" s="655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126.66666666666667</v>
      </c>
      <c r="Y439" s="43">
        <f>IFERROR(Y431/H431,"0")+IFERROR(Y432/H432,"0")+IFERROR(Y433/H433,"0")+IFERROR(Y434/H434,"0")+IFERROR(Y435/H435,"0")+IFERROR(Y436/H436,"0")+IFERROR(Y437/H437,"0")+IFERROR(Y438/H438,"0")</f>
        <v>127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2.7622499999999999</v>
      </c>
      <c r="AA439" s="67"/>
      <c r="AB439" s="67"/>
      <c r="AC439" s="67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2" t="s">
        <v>0</v>
      </c>
      <c r="X440" s="43">
        <f>IFERROR(SUM(X431:X438),"0")</f>
        <v>1900</v>
      </c>
      <c r="Y440" s="43">
        <f>IFERROR(SUM(Y431:Y438),"0")</f>
        <v>1905</v>
      </c>
      <c r="Z440" s="42"/>
      <c r="AA440" s="67"/>
      <c r="AB440" s="67"/>
      <c r="AC440" s="67"/>
    </row>
    <row r="441" spans="1:68" ht="14.25" hidden="1" customHeight="1" x14ac:dyDescent="0.25">
      <c r="A441" s="665" t="s">
        <v>154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"/>
      <c r="AB441" s="66"/>
      <c r="AC441" s="80"/>
    </row>
    <row r="442" spans="1:68" ht="27" customHeight="1" x14ac:dyDescent="0.25">
      <c r="A442" s="63" t="s">
        <v>728</v>
      </c>
      <c r="B442" s="63" t="s">
        <v>729</v>
      </c>
      <c r="C442" s="36">
        <v>4301020178</v>
      </c>
      <c r="D442" s="666">
        <v>4607091383980</v>
      </c>
      <c r="E442" s="666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126</v>
      </c>
      <c r="L442" s="37" t="s">
        <v>46</v>
      </c>
      <c r="M442" s="38" t="s">
        <v>125</v>
      </c>
      <c r="N442" s="38"/>
      <c r="O442" s="37">
        <v>50</v>
      </c>
      <c r="P442" s="72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8"/>
      <c r="R442" s="668"/>
      <c r="S442" s="668"/>
      <c r="T442" s="669"/>
      <c r="U442" s="39" t="s">
        <v>46</v>
      </c>
      <c r="V442" s="39" t="s">
        <v>46</v>
      </c>
      <c r="W442" s="40" t="s">
        <v>0</v>
      </c>
      <c r="X442" s="58">
        <v>400</v>
      </c>
      <c r="Y442" s="55">
        <f>IFERROR(IF(X442="",0,CEILING((X442/$H442),1)*$H442),"")</f>
        <v>405</v>
      </c>
      <c r="Z442" s="41">
        <f>IFERROR(IF(Y442=0,"",ROUNDUP(Y442/H442,0)*0.02175),"")</f>
        <v>0.58724999999999994</v>
      </c>
      <c r="AA442" s="68" t="s">
        <v>46</v>
      </c>
      <c r="AB442" s="69" t="s">
        <v>46</v>
      </c>
      <c r="AC442" s="548" t="s">
        <v>730</v>
      </c>
      <c r="AG442" s="78"/>
      <c r="AJ442" s="84" t="s">
        <v>46</v>
      </c>
      <c r="AK442" s="84">
        <v>0</v>
      </c>
      <c r="BB442" s="549" t="s">
        <v>66</v>
      </c>
      <c r="BM442" s="78">
        <f>IFERROR(X442*I442/H442,"0")</f>
        <v>412.53333333333336</v>
      </c>
      <c r="BN442" s="78">
        <f>IFERROR(Y442*I442/H442,"0")</f>
        <v>417.69</v>
      </c>
      <c r="BO442" s="78">
        <f>IFERROR(1/J442*(X442/H442),"0")</f>
        <v>0.55555555555555558</v>
      </c>
      <c r="BP442" s="78">
        <f>IFERROR(1/J442*(Y442/H442),"0")</f>
        <v>0.5625</v>
      </c>
    </row>
    <row r="443" spans="1:68" ht="27" hidden="1" customHeight="1" x14ac:dyDescent="0.25">
      <c r="A443" s="63" t="s">
        <v>731</v>
      </c>
      <c r="B443" s="63" t="s">
        <v>732</v>
      </c>
      <c r="C443" s="36">
        <v>4301020355</v>
      </c>
      <c r="D443" s="666">
        <v>4680115888425</v>
      </c>
      <c r="E443" s="666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72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8"/>
      <c r="R443" s="668"/>
      <c r="S443" s="668"/>
      <c r="T443" s="669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4301020179</v>
      </c>
      <c r="D444" s="666">
        <v>4607091384178</v>
      </c>
      <c r="E444" s="666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133</v>
      </c>
      <c r="L444" s="37" t="s">
        <v>46</v>
      </c>
      <c r="M444" s="38" t="s">
        <v>125</v>
      </c>
      <c r="N444" s="38"/>
      <c r="O444" s="37">
        <v>50</v>
      </c>
      <c r="P444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8"/>
      <c r="R444" s="668"/>
      <c r="S444" s="668"/>
      <c r="T444" s="669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39</v>
      </c>
      <c r="X445" s="43">
        <f>IFERROR(X442/H442,"0")+IFERROR(X443/H443,"0")+IFERROR(X444/H444,"0")</f>
        <v>26.666666666666668</v>
      </c>
      <c r="Y445" s="43">
        <f>IFERROR(Y442/H442,"0")+IFERROR(Y443/H443,"0")+IFERROR(Y444/H444,"0")</f>
        <v>27</v>
      </c>
      <c r="Z445" s="43">
        <f>IFERROR(IF(Z442="",0,Z442),"0")+IFERROR(IF(Z443="",0,Z443),"0")+IFERROR(IF(Z444="",0,Z444),"0")</f>
        <v>0.58724999999999994</v>
      </c>
      <c r="AA445" s="67"/>
      <c r="AB445" s="67"/>
      <c r="AC445" s="67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2" t="s">
        <v>0</v>
      </c>
      <c r="X446" s="43">
        <f>IFERROR(SUM(X442:X444),"0")</f>
        <v>400</v>
      </c>
      <c r="Y446" s="43">
        <f>IFERROR(SUM(Y442:Y444),"0")</f>
        <v>405</v>
      </c>
      <c r="Z446" s="42"/>
      <c r="AA446" s="67"/>
      <c r="AB446" s="67"/>
      <c r="AC446" s="67"/>
    </row>
    <row r="447" spans="1:68" ht="14.25" hidden="1" customHeight="1" x14ac:dyDescent="0.25">
      <c r="A447" s="665" t="s">
        <v>85</v>
      </c>
      <c r="B447" s="665"/>
      <c r="C447" s="665"/>
      <c r="D447" s="665"/>
      <c r="E447" s="665"/>
      <c r="F447" s="665"/>
      <c r="G447" s="665"/>
      <c r="H447" s="665"/>
      <c r="I447" s="665"/>
      <c r="J447" s="665"/>
      <c r="K447" s="665"/>
      <c r="L447" s="665"/>
      <c r="M447" s="665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"/>
      <c r="AB447" s="66"/>
      <c r="AC447" s="80"/>
    </row>
    <row r="448" spans="1:68" ht="27" hidden="1" customHeight="1" x14ac:dyDescent="0.25">
      <c r="A448" s="63" t="s">
        <v>737</v>
      </c>
      <c r="B448" s="63" t="s">
        <v>738</v>
      </c>
      <c r="C448" s="36">
        <v>4301051903</v>
      </c>
      <c r="D448" s="666">
        <v>4607091383928</v>
      </c>
      <c r="E448" s="666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126</v>
      </c>
      <c r="L448" s="37" t="s">
        <v>46</v>
      </c>
      <c r="M448" s="38" t="s">
        <v>89</v>
      </c>
      <c r="N448" s="38"/>
      <c r="O448" s="37">
        <v>40</v>
      </c>
      <c r="P448" s="71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8"/>
      <c r="R448" s="668"/>
      <c r="S448" s="668"/>
      <c r="T448" s="669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739</v>
      </c>
      <c r="AG448" s="78"/>
      <c r="AJ448" s="84" t="s">
        <v>46</v>
      </c>
      <c r="AK448" s="84">
        <v>0</v>
      </c>
      <c r="BB448" s="555" t="s">
        <v>66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740</v>
      </c>
      <c r="B449" s="63" t="s">
        <v>741</v>
      </c>
      <c r="C449" s="36">
        <v>4301051897</v>
      </c>
      <c r="D449" s="666">
        <v>4607091384260</v>
      </c>
      <c r="E449" s="666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71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8"/>
      <c r="R449" s="668"/>
      <c r="S449" s="668"/>
      <c r="T449" s="669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4301052220</v>
      </c>
      <c r="D450" s="666">
        <v>4680115889538</v>
      </c>
      <c r="E450" s="666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126</v>
      </c>
      <c r="L450" s="37" t="s">
        <v>46</v>
      </c>
      <c r="M450" s="38" t="s">
        <v>89</v>
      </c>
      <c r="N450" s="38"/>
      <c r="O450" s="37">
        <v>45</v>
      </c>
      <c r="P450" s="71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8"/>
      <c r="R450" s="668"/>
      <c r="S450" s="668"/>
      <c r="T450" s="669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39</v>
      </c>
      <c r="X451" s="43">
        <f>IFERROR(X448/H448,"0")+IFERROR(X449/H449,"0")+IFERROR(X450/H450,"0")</f>
        <v>0</v>
      </c>
      <c r="Y451" s="43">
        <f>IFERROR(Y448/H448,"0")+IFERROR(Y449/H449,"0")+IFERROR(Y450/H450,"0")</f>
        <v>0</v>
      </c>
      <c r="Z451" s="43">
        <f>IFERROR(IF(Z448="",0,Z448),"0")+IFERROR(IF(Z449="",0,Z449),"0")+IFERROR(IF(Z450="",0,Z450),"0")</f>
        <v>0</v>
      </c>
      <c r="AA451" s="67"/>
      <c r="AB451" s="67"/>
      <c r="AC451" s="67"/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2" t="s">
        <v>0</v>
      </c>
      <c r="X452" s="43">
        <f>IFERROR(SUM(X448:X450),"0")</f>
        <v>0</v>
      </c>
      <c r="Y452" s="43">
        <f>IFERROR(SUM(Y448:Y450),"0")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65" t="s">
        <v>172</v>
      </c>
      <c r="B453" s="665"/>
      <c r="C453" s="665"/>
      <c r="D453" s="665"/>
      <c r="E453" s="665"/>
      <c r="F453" s="665"/>
      <c r="G453" s="665"/>
      <c r="H453" s="665"/>
      <c r="I453" s="665"/>
      <c r="J453" s="665"/>
      <c r="K453" s="665"/>
      <c r="L453" s="665"/>
      <c r="M453" s="665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4301060537</v>
      </c>
      <c r="D454" s="666">
        <v>4680115889545</v>
      </c>
      <c r="E454" s="666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126</v>
      </c>
      <c r="L454" s="37" t="s">
        <v>46</v>
      </c>
      <c r="M454" s="38" t="s">
        <v>89</v>
      </c>
      <c r="N454" s="38"/>
      <c r="O454" s="37">
        <v>30</v>
      </c>
      <c r="P454" s="71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8"/>
      <c r="R454" s="668"/>
      <c r="S454" s="668"/>
      <c r="T454" s="669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748</v>
      </c>
      <c r="AG454" s="78"/>
      <c r="AJ454" s="84" t="s">
        <v>46</v>
      </c>
      <c r="AK454" s="84">
        <v>0</v>
      </c>
      <c r="BB454" s="561" t="s">
        <v>66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749</v>
      </c>
      <c r="B455" s="63" t="s">
        <v>750</v>
      </c>
      <c r="C455" s="36">
        <v>4301060524</v>
      </c>
      <c r="D455" s="666">
        <v>4607091384673</v>
      </c>
      <c r="E455" s="666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126</v>
      </c>
      <c r="L455" s="37" t="s">
        <v>46</v>
      </c>
      <c r="M455" s="38" t="s">
        <v>89</v>
      </c>
      <c r="N455" s="38"/>
      <c r="O455" s="37">
        <v>40</v>
      </c>
      <c r="P455" s="71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8"/>
      <c r="R455" s="668"/>
      <c r="S455" s="668"/>
      <c r="T455" s="669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672" t="s">
        <v>752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5"/>
      <c r="AB458" s="65"/>
      <c r="AC458" s="79"/>
    </row>
    <row r="459" spans="1:68" ht="14.25" hidden="1" customHeight="1" x14ac:dyDescent="0.25">
      <c r="A459" s="665" t="s">
        <v>121</v>
      </c>
      <c r="B459" s="665"/>
      <c r="C459" s="665"/>
      <c r="D459" s="665"/>
      <c r="E459" s="665"/>
      <c r="F459" s="665"/>
      <c r="G459" s="665"/>
      <c r="H459" s="665"/>
      <c r="I459" s="665"/>
      <c r="J459" s="665"/>
      <c r="K459" s="665"/>
      <c r="L459" s="665"/>
      <c r="M459" s="665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"/>
      <c r="AB459" s="66"/>
      <c r="AC459" s="80"/>
    </row>
    <row r="460" spans="1:68" ht="27" hidden="1" customHeight="1" x14ac:dyDescent="0.25">
      <c r="A460" s="63" t="s">
        <v>753</v>
      </c>
      <c r="B460" s="63" t="s">
        <v>754</v>
      </c>
      <c r="C460" s="36">
        <v>4301011875</v>
      </c>
      <c r="D460" s="666">
        <v>4680115884885</v>
      </c>
      <c r="E460" s="666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126</v>
      </c>
      <c r="L460" s="37" t="s">
        <v>46</v>
      </c>
      <c r="M460" s="38" t="s">
        <v>80</v>
      </c>
      <c r="N460" s="38"/>
      <c r="O460" s="37">
        <v>60</v>
      </c>
      <c r="P460" s="71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8"/>
      <c r="R460" s="668"/>
      <c r="S460" s="668"/>
      <c r="T460" s="669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755</v>
      </c>
      <c r="AG460" s="78"/>
      <c r="AJ460" s="84" t="s">
        <v>46</v>
      </c>
      <c r="AK460" s="84">
        <v>0</v>
      </c>
      <c r="BB460" s="56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756</v>
      </c>
      <c r="B461" s="63" t="s">
        <v>757</v>
      </c>
      <c r="C461" s="36">
        <v>4301011871</v>
      </c>
      <c r="D461" s="666">
        <v>4680115884908</v>
      </c>
      <c r="E461" s="666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133</v>
      </c>
      <c r="L461" s="37" t="s">
        <v>46</v>
      </c>
      <c r="M461" s="38" t="s">
        <v>80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8"/>
      <c r="R461" s="668"/>
      <c r="S461" s="668"/>
      <c r="T461" s="669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755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5" t="s">
        <v>76</v>
      </c>
      <c r="B464" s="665"/>
      <c r="C464" s="665"/>
      <c r="D464" s="665"/>
      <c r="E464" s="665"/>
      <c r="F464" s="665"/>
      <c r="G464" s="665"/>
      <c r="H464" s="665"/>
      <c r="I464" s="665"/>
      <c r="J464" s="665"/>
      <c r="K464" s="665"/>
      <c r="L464" s="665"/>
      <c r="M464" s="665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"/>
      <c r="AB464" s="66"/>
      <c r="AC464" s="80"/>
    </row>
    <row r="465" spans="1:68" ht="27" hidden="1" customHeight="1" x14ac:dyDescent="0.25">
      <c r="A465" s="63" t="s">
        <v>758</v>
      </c>
      <c r="B465" s="63" t="s">
        <v>759</v>
      </c>
      <c r="C465" s="36">
        <v>4301031457</v>
      </c>
      <c r="D465" s="666">
        <v>4607091384802</v>
      </c>
      <c r="E465" s="666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133</v>
      </c>
      <c r="L465" s="37" t="s">
        <v>46</v>
      </c>
      <c r="M465" s="38" t="s">
        <v>80</v>
      </c>
      <c r="N465" s="38"/>
      <c r="O465" s="37">
        <v>50</v>
      </c>
      <c r="P465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8"/>
      <c r="R465" s="668"/>
      <c r="S465" s="668"/>
      <c r="T465" s="669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760</v>
      </c>
      <c r="AG465" s="78"/>
      <c r="AJ465" s="84" t="s">
        <v>46</v>
      </c>
      <c r="AK465" s="84">
        <v>0</v>
      </c>
      <c r="BB465" s="56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56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3" t="s">
        <v>40</v>
      </c>
      <c r="Q466" s="654"/>
      <c r="R466" s="654"/>
      <c r="S466" s="654"/>
      <c r="T466" s="654"/>
      <c r="U466" s="654"/>
      <c r="V466" s="655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665" t="s">
        <v>85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"/>
      <c r="AB468" s="66"/>
      <c r="AC468" s="80"/>
    </row>
    <row r="469" spans="1:68" ht="27" hidden="1" customHeight="1" x14ac:dyDescent="0.25">
      <c r="A469" s="63" t="s">
        <v>761</v>
      </c>
      <c r="B469" s="63" t="s">
        <v>762</v>
      </c>
      <c r="C469" s="36">
        <v>4301051899</v>
      </c>
      <c r="D469" s="666">
        <v>4607091384246</v>
      </c>
      <c r="E469" s="666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126</v>
      </c>
      <c r="L469" s="37" t="s">
        <v>46</v>
      </c>
      <c r="M469" s="38" t="s">
        <v>89</v>
      </c>
      <c r="N469" s="38"/>
      <c r="O469" s="37">
        <v>40</v>
      </c>
      <c r="P469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8"/>
      <c r="R469" s="668"/>
      <c r="S469" s="668"/>
      <c r="T469" s="669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763</v>
      </c>
      <c r="AG469" s="78"/>
      <c r="AJ469" s="84" t="s">
        <v>46</v>
      </c>
      <c r="AK469" s="84">
        <v>0</v>
      </c>
      <c r="BB469" s="571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764</v>
      </c>
      <c r="B470" s="63" t="s">
        <v>765</v>
      </c>
      <c r="C470" s="36">
        <v>4301051660</v>
      </c>
      <c r="D470" s="666">
        <v>4607091384253</v>
      </c>
      <c r="E470" s="666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90</v>
      </c>
      <c r="L470" s="37" t="s">
        <v>46</v>
      </c>
      <c r="M470" s="38" t="s">
        <v>89</v>
      </c>
      <c r="N470" s="38"/>
      <c r="O470" s="37">
        <v>40</v>
      </c>
      <c r="P470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8"/>
      <c r="R470" s="668"/>
      <c r="S470" s="668"/>
      <c r="T470" s="669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763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764</v>
      </c>
      <c r="B471" s="63" t="s">
        <v>766</v>
      </c>
      <c r="C471" s="36">
        <v>4301052069</v>
      </c>
      <c r="D471" s="666">
        <v>4607091384253</v>
      </c>
      <c r="E471" s="666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8"/>
      <c r="R471" s="668"/>
      <c r="S471" s="668"/>
      <c r="T471" s="669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683" t="s">
        <v>768</v>
      </c>
      <c r="B474" s="683"/>
      <c r="C474" s="683"/>
      <c r="D474" s="683"/>
      <c r="E474" s="683"/>
      <c r="F474" s="683"/>
      <c r="G474" s="683"/>
      <c r="H474" s="683"/>
      <c r="I474" s="683"/>
      <c r="J474" s="683"/>
      <c r="K474" s="683"/>
      <c r="L474" s="683"/>
      <c r="M474" s="683"/>
      <c r="N474" s="683"/>
      <c r="O474" s="683"/>
      <c r="P474" s="683"/>
      <c r="Q474" s="683"/>
      <c r="R474" s="683"/>
      <c r="S474" s="683"/>
      <c r="T474" s="683"/>
      <c r="U474" s="683"/>
      <c r="V474" s="683"/>
      <c r="W474" s="683"/>
      <c r="X474" s="683"/>
      <c r="Y474" s="683"/>
      <c r="Z474" s="683"/>
      <c r="AA474" s="54"/>
      <c r="AB474" s="54"/>
      <c r="AC474" s="54"/>
    </row>
    <row r="475" spans="1:68" ht="16.5" hidden="1" customHeight="1" x14ac:dyDescent="0.25">
      <c r="A475" s="672" t="s">
        <v>769</v>
      </c>
      <c r="B475" s="672"/>
      <c r="C475" s="672"/>
      <c r="D475" s="672"/>
      <c r="E475" s="672"/>
      <c r="F475" s="672"/>
      <c r="G475" s="672"/>
      <c r="H475" s="672"/>
      <c r="I475" s="672"/>
      <c r="J475" s="672"/>
      <c r="K475" s="672"/>
      <c r="L475" s="672"/>
      <c r="M475" s="672"/>
      <c r="N475" s="672"/>
      <c r="O475" s="672"/>
      <c r="P475" s="672"/>
      <c r="Q475" s="672"/>
      <c r="R475" s="672"/>
      <c r="S475" s="672"/>
      <c r="T475" s="672"/>
      <c r="U475" s="672"/>
      <c r="V475" s="672"/>
      <c r="W475" s="672"/>
      <c r="X475" s="672"/>
      <c r="Y475" s="672"/>
      <c r="Z475" s="672"/>
      <c r="AA475" s="65"/>
      <c r="AB475" s="65"/>
      <c r="AC475" s="79"/>
    </row>
    <row r="476" spans="1:68" ht="14.25" hidden="1" customHeight="1" x14ac:dyDescent="0.25">
      <c r="A476" s="665" t="s">
        <v>76</v>
      </c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"/>
      <c r="AB476" s="66"/>
      <c r="AC476" s="80"/>
    </row>
    <row r="477" spans="1:68" ht="27" hidden="1" customHeight="1" x14ac:dyDescent="0.25">
      <c r="A477" s="63" t="s">
        <v>770</v>
      </c>
      <c r="B477" s="63" t="s">
        <v>771</v>
      </c>
      <c r="C477" s="36">
        <v>4301031405</v>
      </c>
      <c r="D477" s="666">
        <v>4680115886100</v>
      </c>
      <c r="E477" s="666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133</v>
      </c>
      <c r="L477" s="37" t="s">
        <v>46</v>
      </c>
      <c r="M477" s="38" t="s">
        <v>80</v>
      </c>
      <c r="N477" s="38"/>
      <c r="O477" s="37">
        <v>50</v>
      </c>
      <c r="P477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8"/>
      <c r="R477" s="668"/>
      <c r="S477" s="668"/>
      <c r="T477" s="669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68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772</v>
      </c>
      <c r="AG477" s="78"/>
      <c r="AJ477" s="84" t="s">
        <v>46</v>
      </c>
      <c r="AK477" s="84">
        <v>0</v>
      </c>
      <c r="BB477" s="577" t="s">
        <v>66</v>
      </c>
      <c r="BM477" s="78">
        <f t="shared" ref="BM477:BM482" si="69">IFERROR(X477*I477/H477,"0")</f>
        <v>0</v>
      </c>
      <c r="BN477" s="78">
        <f t="shared" ref="BN477:BN482" si="70">IFERROR(Y477*I477/H477,"0")</f>
        <v>0</v>
      </c>
      <c r="BO477" s="78">
        <f t="shared" ref="BO477:BO482" si="71">IFERROR(1/J477*(X477/H477),"0")</f>
        <v>0</v>
      </c>
      <c r="BP477" s="78">
        <f t="shared" ref="BP477:BP482" si="72">IFERROR(1/J477*(Y477/H477),"0")</f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4301031402</v>
      </c>
      <c r="D478" s="666">
        <v>4680115886124</v>
      </c>
      <c r="E478" s="666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8"/>
      <c r="R478" s="668"/>
      <c r="S478" s="668"/>
      <c r="T478" s="669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8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4301031362</v>
      </c>
      <c r="D479" s="666">
        <v>4607091384338</v>
      </c>
      <c r="E479" s="666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81</v>
      </c>
      <c r="L479" s="37" t="s">
        <v>46</v>
      </c>
      <c r="M479" s="38" t="s">
        <v>80</v>
      </c>
      <c r="N479" s="38"/>
      <c r="O479" s="37">
        <v>50</v>
      </c>
      <c r="P479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8"/>
      <c r="R479" s="668"/>
      <c r="S479" s="668"/>
      <c r="T479" s="669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8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772</v>
      </c>
      <c r="AG479" s="78"/>
      <c r="AJ479" s="84" t="s">
        <v>46</v>
      </c>
      <c r="AK479" s="84">
        <v>0</v>
      </c>
      <c r="BB479" s="581" t="s">
        <v>66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778</v>
      </c>
      <c r="B480" s="63" t="s">
        <v>779</v>
      </c>
      <c r="C480" s="36">
        <v>4301031364</v>
      </c>
      <c r="D480" s="666">
        <v>4680115883161</v>
      </c>
      <c r="E480" s="666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8"/>
      <c r="R480" s="668"/>
      <c r="S480" s="668"/>
      <c r="T480" s="669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780</v>
      </c>
      <c r="AG480" s="78"/>
      <c r="AJ480" s="84" t="s">
        <v>46</v>
      </c>
      <c r="AK480" s="84">
        <v>0</v>
      </c>
      <c r="BB480" s="583" t="s">
        <v>66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4301031358</v>
      </c>
      <c r="D481" s="666">
        <v>4607091389531</v>
      </c>
      <c r="E481" s="666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8"/>
      <c r="R481" s="668"/>
      <c r="S481" s="668"/>
      <c r="T481" s="669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37.5" hidden="1" customHeight="1" x14ac:dyDescent="0.25">
      <c r="A482" s="63" t="s">
        <v>784</v>
      </c>
      <c r="B482" s="63" t="s">
        <v>785</v>
      </c>
      <c r="C482" s="36">
        <v>4301031360</v>
      </c>
      <c r="D482" s="666">
        <v>4607091384345</v>
      </c>
      <c r="E482" s="666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8"/>
      <c r="R482" s="668"/>
      <c r="S482" s="668"/>
      <c r="T482" s="669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780</v>
      </c>
      <c r="AG482" s="78"/>
      <c r="AJ482" s="84" t="s">
        <v>46</v>
      </c>
      <c r="AK482" s="84">
        <v>0</v>
      </c>
      <c r="BB482" s="587" t="s">
        <v>66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665" t="s">
        <v>85</v>
      </c>
      <c r="B485" s="665"/>
      <c r="C485" s="665"/>
      <c r="D485" s="665"/>
      <c r="E485" s="665"/>
      <c r="F485" s="665"/>
      <c r="G485" s="665"/>
      <c r="H485" s="665"/>
      <c r="I485" s="665"/>
      <c r="J485" s="665"/>
      <c r="K485" s="665"/>
      <c r="L485" s="665"/>
      <c r="M485" s="665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4301051284</v>
      </c>
      <c r="D486" s="666">
        <v>4607091384352</v>
      </c>
      <c r="E486" s="666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133</v>
      </c>
      <c r="L486" s="37" t="s">
        <v>46</v>
      </c>
      <c r="M486" s="38" t="s">
        <v>89</v>
      </c>
      <c r="N486" s="38"/>
      <c r="O486" s="37">
        <v>45</v>
      </c>
      <c r="P486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8"/>
      <c r="R486" s="668"/>
      <c r="S486" s="668"/>
      <c r="T486" s="669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788</v>
      </c>
      <c r="AG486" s="78"/>
      <c r="AJ486" s="84" t="s">
        <v>46</v>
      </c>
      <c r="AK486" s="84">
        <v>0</v>
      </c>
      <c r="BB486" s="58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789</v>
      </c>
      <c r="B487" s="63" t="s">
        <v>790</v>
      </c>
      <c r="C487" s="36">
        <v>4301051431</v>
      </c>
      <c r="D487" s="666">
        <v>4607091389654</v>
      </c>
      <c r="E487" s="666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90</v>
      </c>
      <c r="L487" s="37" t="s">
        <v>46</v>
      </c>
      <c r="M487" s="38" t="s">
        <v>89</v>
      </c>
      <c r="N487" s="38"/>
      <c r="O487" s="37">
        <v>45</v>
      </c>
      <c r="P487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8"/>
      <c r="R487" s="668"/>
      <c r="S487" s="668"/>
      <c r="T487" s="669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672" t="s">
        <v>792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5"/>
      <c r="AB490" s="65"/>
      <c r="AC490" s="79"/>
    </row>
    <row r="491" spans="1:68" ht="14.25" hidden="1" customHeight="1" x14ac:dyDescent="0.25">
      <c r="A491" s="665" t="s">
        <v>154</v>
      </c>
      <c r="B491" s="665"/>
      <c r="C491" s="665"/>
      <c r="D491" s="665"/>
      <c r="E491" s="665"/>
      <c r="F491" s="665"/>
      <c r="G491" s="665"/>
      <c r="H491" s="665"/>
      <c r="I491" s="665"/>
      <c r="J491" s="665"/>
      <c r="K491" s="665"/>
      <c r="L491" s="665"/>
      <c r="M491" s="665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"/>
      <c r="AB491" s="66"/>
      <c r="AC491" s="80"/>
    </row>
    <row r="492" spans="1:68" ht="27" hidden="1" customHeight="1" x14ac:dyDescent="0.25">
      <c r="A492" s="63" t="s">
        <v>793</v>
      </c>
      <c r="B492" s="63" t="s">
        <v>794</v>
      </c>
      <c r="C492" s="36">
        <v>4301020416</v>
      </c>
      <c r="D492" s="666">
        <v>4680115885240</v>
      </c>
      <c r="E492" s="666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90</v>
      </c>
      <c r="L492" s="37" t="s">
        <v>46</v>
      </c>
      <c r="M492" s="38" t="s">
        <v>80</v>
      </c>
      <c r="N492" s="38"/>
      <c r="O492" s="37">
        <v>40</v>
      </c>
      <c r="P492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8"/>
      <c r="R492" s="668"/>
      <c r="S492" s="668"/>
      <c r="T492" s="669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795</v>
      </c>
      <c r="AG492" s="78"/>
      <c r="AJ492" s="84" t="s">
        <v>46</v>
      </c>
      <c r="AK492" s="84">
        <v>0</v>
      </c>
      <c r="BB492" s="593" t="s">
        <v>66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65" t="s">
        <v>76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"/>
      <c r="AB495" s="66"/>
      <c r="AC495" s="80"/>
    </row>
    <row r="496" spans="1:68" ht="27" hidden="1" customHeight="1" x14ac:dyDescent="0.25">
      <c r="A496" s="63" t="s">
        <v>796</v>
      </c>
      <c r="B496" s="63" t="s">
        <v>797</v>
      </c>
      <c r="C496" s="36">
        <v>4301031407</v>
      </c>
      <c r="D496" s="666">
        <v>4680115886094</v>
      </c>
      <c r="E496" s="666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133</v>
      </c>
      <c r="L496" s="37" t="s">
        <v>46</v>
      </c>
      <c r="M496" s="38" t="s">
        <v>80</v>
      </c>
      <c r="N496" s="38"/>
      <c r="O496" s="37">
        <v>50</v>
      </c>
      <c r="P496" s="69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8"/>
      <c r="R496" s="668"/>
      <c r="S496" s="668"/>
      <c r="T496" s="669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798</v>
      </c>
      <c r="AG496" s="78"/>
      <c r="AJ496" s="84" t="s">
        <v>46</v>
      </c>
      <c r="AK496" s="84">
        <v>0</v>
      </c>
      <c r="BB496" s="595" t="s">
        <v>66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799</v>
      </c>
      <c r="B497" s="63" t="s">
        <v>800</v>
      </c>
      <c r="C497" s="36">
        <v>4301031373</v>
      </c>
      <c r="D497" s="666">
        <v>4680115880771</v>
      </c>
      <c r="E497" s="666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81</v>
      </c>
      <c r="L497" s="37" t="s">
        <v>46</v>
      </c>
      <c r="M497" s="38" t="s">
        <v>80</v>
      </c>
      <c r="N497" s="38"/>
      <c r="O497" s="37">
        <v>50</v>
      </c>
      <c r="P497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8"/>
      <c r="R497" s="668"/>
      <c r="S497" s="668"/>
      <c r="T497" s="669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4301031359</v>
      </c>
      <c r="D498" s="666">
        <v>4607091389500</v>
      </c>
      <c r="E498" s="666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70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8"/>
      <c r="R498" s="668"/>
      <c r="S498" s="668"/>
      <c r="T498" s="669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801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56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3" t="s">
        <v>40</v>
      </c>
      <c r="Q499" s="654"/>
      <c r="R499" s="654"/>
      <c r="S499" s="654"/>
      <c r="T499" s="654"/>
      <c r="U499" s="654"/>
      <c r="V499" s="655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hidden="1" customHeight="1" x14ac:dyDescent="0.2">
      <c r="A501" s="683" t="s">
        <v>804</v>
      </c>
      <c r="B501" s="683"/>
      <c r="C501" s="683"/>
      <c r="D501" s="683"/>
      <c r="E501" s="683"/>
      <c r="F501" s="683"/>
      <c r="G501" s="683"/>
      <c r="H501" s="683"/>
      <c r="I501" s="683"/>
      <c r="J501" s="683"/>
      <c r="K501" s="683"/>
      <c r="L501" s="683"/>
      <c r="M501" s="683"/>
      <c r="N501" s="683"/>
      <c r="O501" s="683"/>
      <c r="P501" s="683"/>
      <c r="Q501" s="683"/>
      <c r="R501" s="683"/>
      <c r="S501" s="683"/>
      <c r="T501" s="683"/>
      <c r="U501" s="683"/>
      <c r="V501" s="683"/>
      <c r="W501" s="683"/>
      <c r="X501" s="683"/>
      <c r="Y501" s="683"/>
      <c r="Z501" s="683"/>
      <c r="AA501" s="54"/>
      <c r="AB501" s="54"/>
      <c r="AC501" s="54"/>
    </row>
    <row r="502" spans="1:68" ht="16.5" hidden="1" customHeight="1" x14ac:dyDescent="0.25">
      <c r="A502" s="672" t="s">
        <v>804</v>
      </c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72"/>
      <c r="P502" s="672"/>
      <c r="Q502" s="672"/>
      <c r="R502" s="672"/>
      <c r="S502" s="672"/>
      <c r="T502" s="672"/>
      <c r="U502" s="672"/>
      <c r="V502" s="672"/>
      <c r="W502" s="672"/>
      <c r="X502" s="672"/>
      <c r="Y502" s="672"/>
      <c r="Z502" s="672"/>
      <c r="AA502" s="65"/>
      <c r="AB502" s="65"/>
      <c r="AC502" s="79"/>
    </row>
    <row r="503" spans="1:68" ht="14.25" hidden="1" customHeight="1" x14ac:dyDescent="0.25">
      <c r="A503" s="665" t="s">
        <v>121</v>
      </c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6"/>
      <c r="AB503" s="66"/>
      <c r="AC503" s="80"/>
    </row>
    <row r="504" spans="1:68" ht="27" hidden="1" customHeight="1" x14ac:dyDescent="0.25">
      <c r="A504" s="63" t="s">
        <v>805</v>
      </c>
      <c r="B504" s="63" t="s">
        <v>806</v>
      </c>
      <c r="C504" s="36">
        <v>4301011769</v>
      </c>
      <c r="D504" s="666">
        <v>4607091389067</v>
      </c>
      <c r="E504" s="666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126</v>
      </c>
      <c r="L504" s="37" t="s">
        <v>46</v>
      </c>
      <c r="M504" s="38" t="s">
        <v>89</v>
      </c>
      <c r="N504" s="38"/>
      <c r="O504" s="37">
        <v>60</v>
      </c>
      <c r="P504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8"/>
      <c r="R504" s="668"/>
      <c r="S504" s="668"/>
      <c r="T504" s="669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3">IFERROR(IF(X504="",0,CEILING((X504/$H504),1)*$H504),"")</f>
        <v>0</v>
      </c>
      <c r="Z504" s="41" t="str">
        <f t="shared" ref="Z504:Z509" si="74">IFERROR(IF(Y504=0,"",ROUNDUP(Y504/H504,0)*0.01196),"")</f>
        <v/>
      </c>
      <c r="AA504" s="68" t="s">
        <v>46</v>
      </c>
      <c r="AB504" s="69" t="s">
        <v>46</v>
      </c>
      <c r="AC504" s="600" t="s">
        <v>124</v>
      </c>
      <c r="AG504" s="78"/>
      <c r="AJ504" s="84" t="s">
        <v>46</v>
      </c>
      <c r="AK504" s="84">
        <v>0</v>
      </c>
      <c r="BB504" s="601" t="s">
        <v>66</v>
      </c>
      <c r="BM504" s="78">
        <f t="shared" ref="BM504:BM512" si="75">IFERROR(X504*I504/H504,"0")</f>
        <v>0</v>
      </c>
      <c r="BN504" s="78">
        <f t="shared" ref="BN504:BN512" si="76">IFERROR(Y504*I504/H504,"0")</f>
        <v>0</v>
      </c>
      <c r="BO504" s="78">
        <f t="shared" ref="BO504:BO512" si="77">IFERROR(1/J504*(X504/H504),"0")</f>
        <v>0</v>
      </c>
      <c r="BP504" s="78">
        <f t="shared" ref="BP504:BP512" si="78">IFERROR(1/J504*(Y504/H504),"0")</f>
        <v>0</v>
      </c>
    </row>
    <row r="505" spans="1:68" ht="16.5" hidden="1" customHeight="1" x14ac:dyDescent="0.25">
      <c r="A505" s="63" t="s">
        <v>807</v>
      </c>
      <c r="B505" s="63" t="s">
        <v>808</v>
      </c>
      <c r="C505" s="36">
        <v>4301012380</v>
      </c>
      <c r="D505" s="666">
        <v>4680115889576</v>
      </c>
      <c r="E505" s="666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125</v>
      </c>
      <c r="N505" s="38"/>
      <c r="O505" s="37">
        <v>60</v>
      </c>
      <c r="P505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8"/>
      <c r="R505" s="668"/>
      <c r="S505" s="668"/>
      <c r="T505" s="669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3"/>
        <v>0</v>
      </c>
      <c r="Z505" s="41" t="str">
        <f t="shared" si="74"/>
        <v/>
      </c>
      <c r="AA505" s="68" t="s">
        <v>46</v>
      </c>
      <c r="AB505" s="69" t="s">
        <v>46</v>
      </c>
      <c r="AC505" s="602" t="s">
        <v>809</v>
      </c>
      <c r="AG505" s="78"/>
      <c r="AJ505" s="84" t="s">
        <v>46</v>
      </c>
      <c r="AK505" s="84">
        <v>0</v>
      </c>
      <c r="BB505" s="603" t="s">
        <v>66</v>
      </c>
      <c r="BM505" s="78">
        <f t="shared" si="75"/>
        <v>0</v>
      </c>
      <c r="BN505" s="78">
        <f t="shared" si="76"/>
        <v>0</v>
      </c>
      <c r="BO505" s="78">
        <f t="shared" si="77"/>
        <v>0</v>
      </c>
      <c r="BP505" s="78">
        <f t="shared" si="78"/>
        <v>0</v>
      </c>
    </row>
    <row r="506" spans="1:68" ht="27" hidden="1" customHeight="1" x14ac:dyDescent="0.25">
      <c r="A506" s="63" t="s">
        <v>810</v>
      </c>
      <c r="B506" s="63" t="s">
        <v>811</v>
      </c>
      <c r="C506" s="36">
        <v>4301011961</v>
      </c>
      <c r="D506" s="666">
        <v>4680115885271</v>
      </c>
      <c r="E506" s="666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8"/>
      <c r="R506" s="668"/>
      <c r="S506" s="668"/>
      <c r="T506" s="669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3"/>
        <v>0</v>
      </c>
      <c r="Z506" s="41" t="str">
        <f t="shared" si="74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75"/>
        <v>0</v>
      </c>
      <c r="BN506" s="78">
        <f t="shared" si="76"/>
        <v>0</v>
      </c>
      <c r="BO506" s="78">
        <f t="shared" si="77"/>
        <v>0</v>
      </c>
      <c r="BP506" s="78">
        <f t="shared" si="78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4301011369</v>
      </c>
      <c r="D507" s="666">
        <v>4680115885226</v>
      </c>
      <c r="E507" s="666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8"/>
      <c r="R507" s="668"/>
      <c r="S507" s="668"/>
      <c r="T507" s="669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3"/>
        <v>0</v>
      </c>
      <c r="Z507" s="41" t="str">
        <f t="shared" si="74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75"/>
        <v>0</v>
      </c>
      <c r="BN507" s="78">
        <f t="shared" si="76"/>
        <v>0</v>
      </c>
      <c r="BO507" s="78">
        <f t="shared" si="77"/>
        <v>0</v>
      </c>
      <c r="BP507" s="78">
        <f t="shared" si="78"/>
        <v>0</v>
      </c>
    </row>
    <row r="508" spans="1:68" ht="16.5" hidden="1" customHeight="1" x14ac:dyDescent="0.25">
      <c r="A508" s="63" t="s">
        <v>816</v>
      </c>
      <c r="B508" s="63" t="s">
        <v>817</v>
      </c>
      <c r="C508" s="36">
        <v>4301011797</v>
      </c>
      <c r="D508" s="666">
        <v>4680115884502</v>
      </c>
      <c r="E508" s="666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89</v>
      </c>
      <c r="N508" s="38"/>
      <c r="O508" s="37">
        <v>60</v>
      </c>
      <c r="P508" s="6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8"/>
      <c r="R508" s="668"/>
      <c r="S508" s="668"/>
      <c r="T508" s="669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3"/>
        <v>0</v>
      </c>
      <c r="Z508" s="41" t="str">
        <f t="shared" si="74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75"/>
        <v>0</v>
      </c>
      <c r="BN508" s="78">
        <f t="shared" si="76"/>
        <v>0</v>
      </c>
      <c r="BO508" s="78">
        <f t="shared" si="77"/>
        <v>0</v>
      </c>
      <c r="BP508" s="78">
        <f t="shared" si="78"/>
        <v>0</v>
      </c>
    </row>
    <row r="509" spans="1:68" ht="27" hidden="1" customHeight="1" x14ac:dyDescent="0.25">
      <c r="A509" s="63" t="s">
        <v>819</v>
      </c>
      <c r="B509" s="63" t="s">
        <v>820</v>
      </c>
      <c r="C509" s="36">
        <v>4301011771</v>
      </c>
      <c r="D509" s="666">
        <v>4607091389104</v>
      </c>
      <c r="E509" s="666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125</v>
      </c>
      <c r="N509" s="38"/>
      <c r="O509" s="37">
        <v>60</v>
      </c>
      <c r="P509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8"/>
      <c r="R509" s="668"/>
      <c r="S509" s="668"/>
      <c r="T509" s="669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3"/>
        <v>0</v>
      </c>
      <c r="Z509" s="41" t="str">
        <f t="shared" si="74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75"/>
        <v>0</v>
      </c>
      <c r="BN509" s="78">
        <f t="shared" si="76"/>
        <v>0</v>
      </c>
      <c r="BO509" s="78">
        <f t="shared" si="77"/>
        <v>0</v>
      </c>
      <c r="BP509" s="78">
        <f t="shared" si="78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4301012125</v>
      </c>
      <c r="D510" s="666">
        <v>4680115886391</v>
      </c>
      <c r="E510" s="666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90</v>
      </c>
      <c r="L510" s="37" t="s">
        <v>46</v>
      </c>
      <c r="M510" s="38" t="s">
        <v>89</v>
      </c>
      <c r="N510" s="38"/>
      <c r="O510" s="37">
        <v>60</v>
      </c>
      <c r="P510" s="6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8"/>
      <c r="R510" s="668"/>
      <c r="S510" s="668"/>
      <c r="T510" s="669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3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124</v>
      </c>
      <c r="AG510" s="78"/>
      <c r="AJ510" s="84" t="s">
        <v>46</v>
      </c>
      <c r="AK510" s="84">
        <v>0</v>
      </c>
      <c r="BB510" s="613" t="s">
        <v>66</v>
      </c>
      <c r="BM510" s="78">
        <f t="shared" si="75"/>
        <v>0</v>
      </c>
      <c r="BN510" s="78">
        <f t="shared" si="76"/>
        <v>0</v>
      </c>
      <c r="BO510" s="78">
        <f t="shared" si="77"/>
        <v>0</v>
      </c>
      <c r="BP510" s="78">
        <f t="shared" si="78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4301012048</v>
      </c>
      <c r="D511" s="666">
        <v>4680115880603</v>
      </c>
      <c r="E511" s="666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133</v>
      </c>
      <c r="L511" s="37" t="s">
        <v>46</v>
      </c>
      <c r="M511" s="38" t="s">
        <v>89</v>
      </c>
      <c r="N511" s="38"/>
      <c r="O511" s="37">
        <v>60</v>
      </c>
      <c r="P511" s="6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8"/>
      <c r="R511" s="668"/>
      <c r="S511" s="668"/>
      <c r="T511" s="669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3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75"/>
        <v>0</v>
      </c>
      <c r="BN511" s="78">
        <f t="shared" si="76"/>
        <v>0</v>
      </c>
      <c r="BO511" s="78">
        <f t="shared" si="77"/>
        <v>0</v>
      </c>
      <c r="BP511" s="78">
        <f t="shared" si="78"/>
        <v>0</v>
      </c>
    </row>
    <row r="512" spans="1:68" ht="27" hidden="1" customHeight="1" x14ac:dyDescent="0.25">
      <c r="A512" s="63" t="s">
        <v>826</v>
      </c>
      <c r="B512" s="63" t="s">
        <v>827</v>
      </c>
      <c r="C512" s="36">
        <v>4301012034</v>
      </c>
      <c r="D512" s="666">
        <v>4607091389982</v>
      </c>
      <c r="E512" s="666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125</v>
      </c>
      <c r="N512" s="38"/>
      <c r="O512" s="37">
        <v>60</v>
      </c>
      <c r="P512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8"/>
      <c r="R512" s="668"/>
      <c r="S512" s="668"/>
      <c r="T512" s="669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821</v>
      </c>
      <c r="AG512" s="78"/>
      <c r="AJ512" s="84" t="s">
        <v>46</v>
      </c>
      <c r="AK512" s="84">
        <v>0</v>
      </c>
      <c r="BB512" s="617" t="s">
        <v>66</v>
      </c>
      <c r="BM512" s="78">
        <f t="shared" si="75"/>
        <v>0</v>
      </c>
      <c r="BN512" s="78">
        <f t="shared" si="76"/>
        <v>0</v>
      </c>
      <c r="BO512" s="78">
        <f t="shared" si="77"/>
        <v>0</v>
      </c>
      <c r="BP512" s="78">
        <f t="shared" si="78"/>
        <v>0</v>
      </c>
    </row>
    <row r="513" spans="1:68" hidden="1" x14ac:dyDescent="0.2">
      <c r="A513" s="656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3" t="s">
        <v>40</v>
      </c>
      <c r="Q513" s="654"/>
      <c r="R513" s="654"/>
      <c r="S513" s="654"/>
      <c r="T513" s="654"/>
      <c r="U513" s="654"/>
      <c r="V513" s="655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0</v>
      </c>
      <c r="Y513" s="43">
        <f>IFERROR(Y504/H504,"0")+IFERROR(Y505/H505,"0")+IFERROR(Y506/H506,"0")+IFERROR(Y507/H507,"0")+IFERROR(Y508/H508,"0")+IFERROR(Y509/H509,"0")+IFERROR(Y510/H510,"0")+IFERROR(Y511/H511,"0")+IFERROR(Y512/H512,"0")</f>
        <v>0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2" t="s">
        <v>0</v>
      </c>
      <c r="X514" s="43">
        <f>IFERROR(SUM(X504:X512),"0")</f>
        <v>0</v>
      </c>
      <c r="Y514" s="43">
        <f>IFERROR(SUM(Y504:Y512),"0")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65" t="s">
        <v>154</v>
      </c>
      <c r="B515" s="665"/>
      <c r="C515" s="665"/>
      <c r="D515" s="665"/>
      <c r="E515" s="665"/>
      <c r="F515" s="665"/>
      <c r="G515" s="665"/>
      <c r="H515" s="665"/>
      <c r="I515" s="665"/>
      <c r="J515" s="665"/>
      <c r="K515" s="665"/>
      <c r="L515" s="665"/>
      <c r="M515" s="665"/>
      <c r="N515" s="665"/>
      <c r="O515" s="665"/>
      <c r="P515" s="665"/>
      <c r="Q515" s="665"/>
      <c r="R515" s="665"/>
      <c r="S515" s="665"/>
      <c r="T515" s="665"/>
      <c r="U515" s="665"/>
      <c r="V515" s="665"/>
      <c r="W515" s="665"/>
      <c r="X515" s="665"/>
      <c r="Y515" s="665"/>
      <c r="Z515" s="665"/>
      <c r="AA515" s="66"/>
      <c r="AB515" s="66"/>
      <c r="AC515" s="80"/>
    </row>
    <row r="516" spans="1:68" ht="16.5" hidden="1" customHeight="1" x14ac:dyDescent="0.25">
      <c r="A516" s="63" t="s">
        <v>828</v>
      </c>
      <c r="B516" s="63" t="s">
        <v>829</v>
      </c>
      <c r="C516" s="36">
        <v>4301020334</v>
      </c>
      <c r="D516" s="666">
        <v>4607091388930</v>
      </c>
      <c r="E516" s="666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126</v>
      </c>
      <c r="L516" s="37" t="s">
        <v>46</v>
      </c>
      <c r="M516" s="38" t="s">
        <v>89</v>
      </c>
      <c r="N516" s="38"/>
      <c r="O516" s="37">
        <v>70</v>
      </c>
      <c r="P516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8"/>
      <c r="R516" s="668"/>
      <c r="S516" s="668"/>
      <c r="T516" s="669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8" t="s">
        <v>830</v>
      </c>
      <c r="AG516" s="78"/>
      <c r="AJ516" s="84" t="s">
        <v>46</v>
      </c>
      <c r="AK516" s="84">
        <v>0</v>
      </c>
      <c r="BB516" s="619" t="s">
        <v>66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16.5" hidden="1" customHeight="1" x14ac:dyDescent="0.25">
      <c r="A517" s="63" t="s">
        <v>831</v>
      </c>
      <c r="B517" s="63" t="s">
        <v>832</v>
      </c>
      <c r="C517" s="36">
        <v>4301020374</v>
      </c>
      <c r="D517" s="666">
        <v>4680115886407</v>
      </c>
      <c r="E517" s="666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90</v>
      </c>
      <c r="L517" s="37" t="s">
        <v>46</v>
      </c>
      <c r="M517" s="38" t="s">
        <v>125</v>
      </c>
      <c r="N517" s="38"/>
      <c r="O517" s="37">
        <v>70</v>
      </c>
      <c r="P517" s="6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8"/>
      <c r="R517" s="668"/>
      <c r="S517" s="668"/>
      <c r="T517" s="669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830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833</v>
      </c>
      <c r="B518" s="63" t="s">
        <v>834</v>
      </c>
      <c r="C518" s="36">
        <v>4301020385</v>
      </c>
      <c r="D518" s="666">
        <v>4680115880054</v>
      </c>
      <c r="E518" s="666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133</v>
      </c>
      <c r="L518" s="37" t="s">
        <v>46</v>
      </c>
      <c r="M518" s="38" t="s">
        <v>125</v>
      </c>
      <c r="N518" s="38"/>
      <c r="O518" s="37">
        <v>70</v>
      </c>
      <c r="P518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8"/>
      <c r="R518" s="668"/>
      <c r="S518" s="668"/>
      <c r="T518" s="669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830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idden="1" x14ac:dyDescent="0.2">
      <c r="A519" s="656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3" t="s">
        <v>40</v>
      </c>
      <c r="Q519" s="654"/>
      <c r="R519" s="654"/>
      <c r="S519" s="654"/>
      <c r="T519" s="654"/>
      <c r="U519" s="654"/>
      <c r="V519" s="655"/>
      <c r="W519" s="42" t="s">
        <v>39</v>
      </c>
      <c r="X519" s="43">
        <f>IFERROR(X516/H516,"0")+IFERROR(X517/H517,"0")+IFERROR(X518/H518,"0")</f>
        <v>0</v>
      </c>
      <c r="Y519" s="43">
        <f>IFERROR(Y516/H516,"0")+IFERROR(Y517/H517,"0")+IFERROR(Y518/H518,"0")</f>
        <v>0</v>
      </c>
      <c r="Z519" s="43">
        <f>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2" t="s">
        <v>0</v>
      </c>
      <c r="X520" s="43">
        <f>IFERROR(SUM(X516:X518),"0")</f>
        <v>0</v>
      </c>
      <c r="Y520" s="43">
        <f>IFERROR(SUM(Y516:Y518),"0")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665" t="s">
        <v>76</v>
      </c>
      <c r="B521" s="665"/>
      <c r="C521" s="665"/>
      <c r="D521" s="665"/>
      <c r="E521" s="665"/>
      <c r="F521" s="665"/>
      <c r="G521" s="665"/>
      <c r="H521" s="665"/>
      <c r="I521" s="665"/>
      <c r="J521" s="665"/>
      <c r="K521" s="665"/>
      <c r="L521" s="665"/>
      <c r="M521" s="665"/>
      <c r="N521" s="665"/>
      <c r="O521" s="665"/>
      <c r="P521" s="665"/>
      <c r="Q521" s="665"/>
      <c r="R521" s="665"/>
      <c r="S521" s="665"/>
      <c r="T521" s="665"/>
      <c r="U521" s="665"/>
      <c r="V521" s="665"/>
      <c r="W521" s="665"/>
      <c r="X521" s="665"/>
      <c r="Y521" s="665"/>
      <c r="Z521" s="665"/>
      <c r="AA521" s="66"/>
      <c r="AB521" s="66"/>
      <c r="AC521" s="80"/>
    </row>
    <row r="522" spans="1:68" ht="27" hidden="1" customHeight="1" x14ac:dyDescent="0.25">
      <c r="A522" s="63" t="s">
        <v>835</v>
      </c>
      <c r="B522" s="63" t="s">
        <v>836</v>
      </c>
      <c r="C522" s="36">
        <v>4301031349</v>
      </c>
      <c r="D522" s="666">
        <v>4680115883116</v>
      </c>
      <c r="E522" s="666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126</v>
      </c>
      <c r="L522" s="37" t="s">
        <v>46</v>
      </c>
      <c r="M522" s="38" t="s">
        <v>125</v>
      </c>
      <c r="N522" s="38"/>
      <c r="O522" s="37">
        <v>70</v>
      </c>
      <c r="P522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8"/>
      <c r="R522" s="668"/>
      <c r="S522" s="668"/>
      <c r="T522" s="669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79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837</v>
      </c>
      <c r="AG522" s="78"/>
      <c r="AJ522" s="84" t="s">
        <v>46</v>
      </c>
      <c r="AK522" s="84">
        <v>0</v>
      </c>
      <c r="BB522" s="625" t="s">
        <v>66</v>
      </c>
      <c r="BM522" s="78">
        <f t="shared" ref="BM522:BM528" si="80">IFERROR(X522*I522/H522,"0")</f>
        <v>0</v>
      </c>
      <c r="BN522" s="78">
        <f t="shared" ref="BN522:BN528" si="81">IFERROR(Y522*I522/H522,"0")</f>
        <v>0</v>
      </c>
      <c r="BO522" s="78">
        <f t="shared" ref="BO522:BO528" si="82">IFERROR(1/J522*(X522/H522),"0")</f>
        <v>0</v>
      </c>
      <c r="BP522" s="78">
        <f t="shared" ref="BP522:BP528" si="83">IFERROR(1/J522*(Y522/H522),"0")</f>
        <v>0</v>
      </c>
    </row>
    <row r="523" spans="1:68" ht="27" hidden="1" customHeight="1" x14ac:dyDescent="0.25">
      <c r="A523" s="63" t="s">
        <v>838</v>
      </c>
      <c r="B523" s="63" t="s">
        <v>839</v>
      </c>
      <c r="C523" s="36">
        <v>4301031350</v>
      </c>
      <c r="D523" s="666">
        <v>4680115883093</v>
      </c>
      <c r="E523" s="666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80</v>
      </c>
      <c r="N523" s="38"/>
      <c r="O523" s="37">
        <v>70</v>
      </c>
      <c r="P523" s="6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8"/>
      <c r="R523" s="668"/>
      <c r="S523" s="668"/>
      <c r="T523" s="669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9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si="80"/>
        <v>0</v>
      </c>
      <c r="BN523" s="78">
        <f t="shared" si="81"/>
        <v>0</v>
      </c>
      <c r="BO523" s="78">
        <f t="shared" si="82"/>
        <v>0</v>
      </c>
      <c r="BP523" s="78">
        <f t="shared" si="83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4301031353</v>
      </c>
      <c r="D524" s="666">
        <v>4680115883109</v>
      </c>
      <c r="E524" s="666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6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8"/>
      <c r="R524" s="668"/>
      <c r="S524" s="668"/>
      <c r="T524" s="669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0"/>
        <v>0</v>
      </c>
      <c r="BN524" s="78">
        <f t="shared" si="81"/>
        <v>0</v>
      </c>
      <c r="BO524" s="78">
        <f t="shared" si="82"/>
        <v>0</v>
      </c>
      <c r="BP524" s="78">
        <f t="shared" si="83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4301031419</v>
      </c>
      <c r="D525" s="666">
        <v>4680115882072</v>
      </c>
      <c r="E525" s="666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133</v>
      </c>
      <c r="L525" s="37" t="s">
        <v>46</v>
      </c>
      <c r="M525" s="38" t="s">
        <v>125</v>
      </c>
      <c r="N525" s="38"/>
      <c r="O525" s="37">
        <v>70</v>
      </c>
      <c r="P525" s="6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8"/>
      <c r="R525" s="668"/>
      <c r="S525" s="668"/>
      <c r="T525" s="669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79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837</v>
      </c>
      <c r="AG525" s="78"/>
      <c r="AJ525" s="84" t="s">
        <v>46</v>
      </c>
      <c r="AK525" s="84">
        <v>0</v>
      </c>
      <c r="BB525" s="631" t="s">
        <v>66</v>
      </c>
      <c r="BM525" s="78">
        <f t="shared" si="80"/>
        <v>0</v>
      </c>
      <c r="BN525" s="78">
        <f t="shared" si="81"/>
        <v>0</v>
      </c>
      <c r="BO525" s="78">
        <f t="shared" si="82"/>
        <v>0</v>
      </c>
      <c r="BP525" s="78">
        <f t="shared" si="83"/>
        <v>0</v>
      </c>
    </row>
    <row r="526" spans="1:68" ht="27" hidden="1" customHeight="1" x14ac:dyDescent="0.25">
      <c r="A526" s="63" t="s">
        <v>846</v>
      </c>
      <c r="B526" s="63" t="s">
        <v>847</v>
      </c>
      <c r="C526" s="36">
        <v>4301031352</v>
      </c>
      <c r="D526" s="666">
        <v>4680115882102</v>
      </c>
      <c r="E526" s="666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133</v>
      </c>
      <c r="L526" s="37" t="s">
        <v>46</v>
      </c>
      <c r="M526" s="38" t="s">
        <v>80</v>
      </c>
      <c r="N526" s="38"/>
      <c r="O526" s="37">
        <v>70</v>
      </c>
      <c r="P526" s="6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8"/>
      <c r="R526" s="668"/>
      <c r="S526" s="668"/>
      <c r="T526" s="669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0"/>
        <v>0</v>
      </c>
      <c r="BN526" s="78">
        <f t="shared" si="81"/>
        <v>0</v>
      </c>
      <c r="BO526" s="78">
        <f t="shared" si="82"/>
        <v>0</v>
      </c>
      <c r="BP526" s="78">
        <f t="shared" si="83"/>
        <v>0</v>
      </c>
    </row>
    <row r="527" spans="1:68" ht="27" hidden="1" customHeight="1" x14ac:dyDescent="0.25">
      <c r="A527" s="63" t="s">
        <v>846</v>
      </c>
      <c r="B527" s="63" t="s">
        <v>848</v>
      </c>
      <c r="C527" s="36">
        <v>4301031418</v>
      </c>
      <c r="D527" s="666">
        <v>4680115882102</v>
      </c>
      <c r="E527" s="666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6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8"/>
      <c r="R527" s="668"/>
      <c r="S527" s="668"/>
      <c r="T527" s="669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7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840</v>
      </c>
      <c r="AG527" s="78"/>
      <c r="AJ527" s="84" t="s">
        <v>46</v>
      </c>
      <c r="AK527" s="84">
        <v>0</v>
      </c>
      <c r="BB527" s="635" t="s">
        <v>66</v>
      </c>
      <c r="BM527" s="78">
        <f t="shared" si="80"/>
        <v>0</v>
      </c>
      <c r="BN527" s="78">
        <f t="shared" si="81"/>
        <v>0</v>
      </c>
      <c r="BO527" s="78">
        <f t="shared" si="82"/>
        <v>0</v>
      </c>
      <c r="BP527" s="78">
        <f t="shared" si="83"/>
        <v>0</v>
      </c>
    </row>
    <row r="528" spans="1:68" ht="27" hidden="1" customHeight="1" x14ac:dyDescent="0.25">
      <c r="A528" s="63" t="s">
        <v>849</v>
      </c>
      <c r="B528" s="63" t="s">
        <v>850</v>
      </c>
      <c r="C528" s="36">
        <v>4301031417</v>
      </c>
      <c r="D528" s="666">
        <v>4680115882096</v>
      </c>
      <c r="E528" s="666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8"/>
      <c r="R528" s="668"/>
      <c r="S528" s="668"/>
      <c r="T528" s="669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0"/>
        <v>0</v>
      </c>
      <c r="BN528" s="78">
        <f t="shared" si="81"/>
        <v>0</v>
      </c>
      <c r="BO528" s="78">
        <f t="shared" si="82"/>
        <v>0</v>
      </c>
      <c r="BP528" s="78">
        <f t="shared" si="83"/>
        <v>0</v>
      </c>
    </row>
    <row r="529" spans="1:68" hidden="1" x14ac:dyDescent="0.2">
      <c r="A529" s="656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3" t="s">
        <v>40</v>
      </c>
      <c r="Q529" s="654"/>
      <c r="R529" s="654"/>
      <c r="S529" s="654"/>
      <c r="T529" s="654"/>
      <c r="U529" s="654"/>
      <c r="V529" s="655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hidden="1" customHeight="1" x14ac:dyDescent="0.2">
      <c r="A531" s="683" t="s">
        <v>851</v>
      </c>
      <c r="B531" s="683"/>
      <c r="C531" s="683"/>
      <c r="D531" s="683"/>
      <c r="E531" s="683"/>
      <c r="F531" s="683"/>
      <c r="G531" s="683"/>
      <c r="H531" s="683"/>
      <c r="I531" s="683"/>
      <c r="J531" s="683"/>
      <c r="K531" s="683"/>
      <c r="L531" s="683"/>
      <c r="M531" s="683"/>
      <c r="N531" s="683"/>
      <c r="O531" s="683"/>
      <c r="P531" s="683"/>
      <c r="Q531" s="683"/>
      <c r="R531" s="683"/>
      <c r="S531" s="683"/>
      <c r="T531" s="683"/>
      <c r="U531" s="683"/>
      <c r="V531" s="683"/>
      <c r="W531" s="683"/>
      <c r="X531" s="683"/>
      <c r="Y531" s="683"/>
      <c r="Z531" s="683"/>
      <c r="AA531" s="54"/>
      <c r="AB531" s="54"/>
      <c r="AC531" s="54"/>
    </row>
    <row r="532" spans="1:68" ht="16.5" hidden="1" customHeight="1" x14ac:dyDescent="0.25">
      <c r="A532" s="672" t="s">
        <v>851</v>
      </c>
      <c r="B532" s="672"/>
      <c r="C532" s="672"/>
      <c r="D532" s="672"/>
      <c r="E532" s="672"/>
      <c r="F532" s="672"/>
      <c r="G532" s="672"/>
      <c r="H532" s="672"/>
      <c r="I532" s="672"/>
      <c r="J532" s="672"/>
      <c r="K532" s="672"/>
      <c r="L532" s="672"/>
      <c r="M532" s="672"/>
      <c r="N532" s="672"/>
      <c r="O532" s="672"/>
      <c r="P532" s="672"/>
      <c r="Q532" s="672"/>
      <c r="R532" s="672"/>
      <c r="S532" s="672"/>
      <c r="T532" s="672"/>
      <c r="U532" s="672"/>
      <c r="V532" s="672"/>
      <c r="W532" s="672"/>
      <c r="X532" s="672"/>
      <c r="Y532" s="672"/>
      <c r="Z532" s="672"/>
      <c r="AA532" s="65"/>
      <c r="AB532" s="65"/>
      <c r="AC532" s="79"/>
    </row>
    <row r="533" spans="1:68" ht="14.25" hidden="1" customHeight="1" x14ac:dyDescent="0.25">
      <c r="A533" s="665" t="s">
        <v>121</v>
      </c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65"/>
      <c r="P533" s="665"/>
      <c r="Q533" s="665"/>
      <c r="R533" s="665"/>
      <c r="S533" s="665"/>
      <c r="T533" s="665"/>
      <c r="U533" s="665"/>
      <c r="V533" s="665"/>
      <c r="W533" s="665"/>
      <c r="X533" s="665"/>
      <c r="Y533" s="665"/>
      <c r="Z533" s="665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4301011584</v>
      </c>
      <c r="D534" s="666">
        <v>4640242180564</v>
      </c>
      <c r="E534" s="666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126</v>
      </c>
      <c r="L534" s="37" t="s">
        <v>46</v>
      </c>
      <c r="M534" s="38" t="s">
        <v>125</v>
      </c>
      <c r="N534" s="38"/>
      <c r="O534" s="37">
        <v>50</v>
      </c>
      <c r="P534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8"/>
      <c r="R534" s="668"/>
      <c r="S534" s="668"/>
      <c r="T534" s="669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854</v>
      </c>
      <c r="AG534" s="78"/>
      <c r="AJ534" s="84" t="s">
        <v>46</v>
      </c>
      <c r="AK534" s="84">
        <v>0</v>
      </c>
      <c r="BB534" s="63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5" t="s">
        <v>154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4301020400</v>
      </c>
      <c r="D538" s="666">
        <v>4640242180519</v>
      </c>
      <c r="E538" s="666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126</v>
      </c>
      <c r="L538" s="37" t="s">
        <v>46</v>
      </c>
      <c r="M538" s="38" t="s">
        <v>125</v>
      </c>
      <c r="N538" s="38"/>
      <c r="O538" s="37">
        <v>50</v>
      </c>
      <c r="P538" s="6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68"/>
      <c r="R538" s="668"/>
      <c r="S538" s="668"/>
      <c r="T538" s="669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857</v>
      </c>
      <c r="AG538" s="78"/>
      <c r="AJ538" s="84" t="s">
        <v>46</v>
      </c>
      <c r="AK538" s="84">
        <v>0</v>
      </c>
      <c r="BB538" s="64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5" t="s">
        <v>76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4301031500</v>
      </c>
      <c r="D542" s="666">
        <v>4640242180595</v>
      </c>
      <c r="E542" s="666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133</v>
      </c>
      <c r="L542" s="37" t="s">
        <v>46</v>
      </c>
      <c r="M542" s="38" t="s">
        <v>80</v>
      </c>
      <c r="N542" s="38"/>
      <c r="O542" s="37">
        <v>40</v>
      </c>
      <c r="P542" s="67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8"/>
      <c r="R542" s="668"/>
      <c r="S542" s="668"/>
      <c r="T542" s="669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IFERROR(IF(Y542=0,"",ROUNDUP(Y542/H542,0)*0.00902),"")</f>
        <v/>
      </c>
      <c r="AA542" s="68" t="s">
        <v>46</v>
      </c>
      <c r="AB542" s="69" t="s">
        <v>46</v>
      </c>
      <c r="AC542" s="642" t="s">
        <v>860</v>
      </c>
      <c r="AG542" s="78"/>
      <c r="AJ542" s="84" t="s">
        <v>46</v>
      </c>
      <c r="AK542" s="84">
        <v>0</v>
      </c>
      <c r="BB542" s="64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5" t="s">
        <v>85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6"/>
      <c r="AB545" s="66"/>
      <c r="AC545" s="80"/>
    </row>
    <row r="546" spans="1:68" ht="27" hidden="1" customHeight="1" x14ac:dyDescent="0.25">
      <c r="A546" s="63" t="s">
        <v>861</v>
      </c>
      <c r="B546" s="63" t="s">
        <v>862</v>
      </c>
      <c r="C546" s="36">
        <v>4301052043</v>
      </c>
      <c r="D546" s="666">
        <v>4640242180533</v>
      </c>
      <c r="E546" s="666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126</v>
      </c>
      <c r="L546" s="37" t="s">
        <v>46</v>
      </c>
      <c r="M546" s="38" t="s">
        <v>89</v>
      </c>
      <c r="N546" s="38"/>
      <c r="O546" s="37">
        <v>45</v>
      </c>
      <c r="P546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8"/>
      <c r="R546" s="668"/>
      <c r="S546" s="668"/>
      <c r="T546" s="669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863</v>
      </c>
      <c r="AG546" s="78"/>
      <c r="AJ546" s="84" t="s">
        <v>46</v>
      </c>
      <c r="AK546" s="84">
        <v>0</v>
      </c>
      <c r="BB546" s="645" t="s">
        <v>66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665" t="s">
        <v>172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4301060535</v>
      </c>
      <c r="D550" s="666">
        <v>4640242180120</v>
      </c>
      <c r="E550" s="666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126</v>
      </c>
      <c r="L550" s="37" t="s">
        <v>46</v>
      </c>
      <c r="M550" s="38" t="s">
        <v>89</v>
      </c>
      <c r="N550" s="38"/>
      <c r="O550" s="37">
        <v>40</v>
      </c>
      <c r="P550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8"/>
      <c r="R550" s="668"/>
      <c r="S550" s="668"/>
      <c r="T550" s="669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866</v>
      </c>
      <c r="AG550" s="78"/>
      <c r="AJ550" s="84" t="s">
        <v>46</v>
      </c>
      <c r="AK550" s="84">
        <v>0</v>
      </c>
      <c r="BB550" s="647" t="s">
        <v>66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867</v>
      </c>
      <c r="B551" s="63" t="s">
        <v>868</v>
      </c>
      <c r="C551" s="36">
        <v>4301060536</v>
      </c>
      <c r="D551" s="666">
        <v>4640242180137</v>
      </c>
      <c r="E551" s="666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8"/>
      <c r="R551" s="668"/>
      <c r="S551" s="668"/>
      <c r="T551" s="669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672" t="s">
        <v>870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5"/>
      <c r="AB554" s="65"/>
      <c r="AC554" s="79"/>
    </row>
    <row r="555" spans="1:68" ht="14.25" hidden="1" customHeight="1" x14ac:dyDescent="0.25">
      <c r="A555" s="665" t="s">
        <v>154</v>
      </c>
      <c r="B555" s="665"/>
      <c r="C555" s="665"/>
      <c r="D555" s="665"/>
      <c r="E555" s="665"/>
      <c r="F555" s="665"/>
      <c r="G555" s="665"/>
      <c r="H555" s="665"/>
      <c r="I555" s="665"/>
      <c r="J555" s="665"/>
      <c r="K555" s="665"/>
      <c r="L555" s="665"/>
      <c r="M555" s="665"/>
      <c r="N555" s="665"/>
      <c r="O555" s="665"/>
      <c r="P555" s="665"/>
      <c r="Q555" s="665"/>
      <c r="R555" s="665"/>
      <c r="S555" s="665"/>
      <c r="T555" s="665"/>
      <c r="U555" s="665"/>
      <c r="V555" s="665"/>
      <c r="W555" s="665"/>
      <c r="X555" s="665"/>
      <c r="Y555" s="665"/>
      <c r="Z555" s="665"/>
      <c r="AA555" s="66"/>
      <c r="AB555" s="66"/>
      <c r="AC555" s="80"/>
    </row>
    <row r="556" spans="1:68" ht="27" hidden="1" customHeight="1" x14ac:dyDescent="0.25">
      <c r="A556" s="63" t="s">
        <v>871</v>
      </c>
      <c r="B556" s="63" t="s">
        <v>872</v>
      </c>
      <c r="C556" s="36">
        <v>4301020428</v>
      </c>
      <c r="D556" s="666">
        <v>4640242180090</v>
      </c>
      <c r="E556" s="666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126</v>
      </c>
      <c r="L556" s="37" t="s">
        <v>46</v>
      </c>
      <c r="M556" s="38" t="s">
        <v>125</v>
      </c>
      <c r="N556" s="38"/>
      <c r="O556" s="37">
        <v>50</v>
      </c>
      <c r="P556" s="67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68"/>
      <c r="R556" s="668"/>
      <c r="S556" s="668"/>
      <c r="T556" s="669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873</v>
      </c>
      <c r="AG556" s="78"/>
      <c r="AJ556" s="84" t="s">
        <v>46</v>
      </c>
      <c r="AK556" s="84">
        <v>0</v>
      </c>
      <c r="BB556" s="651" t="s">
        <v>66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3" t="s">
        <v>40</v>
      </c>
      <c r="Q557" s="654"/>
      <c r="R557" s="654"/>
      <c r="S557" s="654"/>
      <c r="T557" s="654"/>
      <c r="U557" s="654"/>
      <c r="V557" s="655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33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2300</v>
      </c>
      <c r="Y559" s="43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2310</v>
      </c>
      <c r="Z559" s="42"/>
      <c r="AA559" s="67"/>
      <c r="AB559" s="67"/>
      <c r="AC559" s="67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1"/>
      <c r="P560" s="658" t="s">
        <v>34</v>
      </c>
      <c r="Q560" s="659"/>
      <c r="R560" s="659"/>
      <c r="S560" s="659"/>
      <c r="T560" s="659"/>
      <c r="U560" s="659"/>
      <c r="V560" s="660"/>
      <c r="W560" s="42" t="s">
        <v>0</v>
      </c>
      <c r="X560" s="43">
        <f>IFERROR(SUM(BM22:BM556),"0")</f>
        <v>2372.0666666666666</v>
      </c>
      <c r="Y560" s="43">
        <f>IFERROR(SUM(BN22:BN556),"0")</f>
        <v>2382.38</v>
      </c>
      <c r="Z560" s="42"/>
      <c r="AA560" s="67"/>
      <c r="AB560" s="67"/>
      <c r="AC560" s="67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1"/>
      <c r="P561" s="658" t="s">
        <v>35</v>
      </c>
      <c r="Q561" s="659"/>
      <c r="R561" s="659"/>
      <c r="S561" s="659"/>
      <c r="T561" s="659"/>
      <c r="U561" s="659"/>
      <c r="V561" s="660"/>
      <c r="W561" s="42" t="s">
        <v>20</v>
      </c>
      <c r="X561" s="44">
        <f>ROUNDUP(SUM(BO22:BO556),0)</f>
        <v>4</v>
      </c>
      <c r="Y561" s="44">
        <f>ROUNDUP(SUM(BP22:BP556),0)</f>
        <v>4</v>
      </c>
      <c r="Z561" s="42"/>
      <c r="AA561" s="67"/>
      <c r="AB561" s="67"/>
      <c r="AC561" s="67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36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GrossWeightTotal+PalletQtyTotal*25</f>
        <v>2472.0666666666666</v>
      </c>
      <c r="Y562" s="43">
        <f>GrossWeightTotalR+PalletQtyTotalR*25</f>
        <v>2482.38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37</v>
      </c>
      <c r="Q563" s="659"/>
      <c r="R563" s="659"/>
      <c r="S563" s="659"/>
      <c r="T563" s="659"/>
      <c r="U563" s="659"/>
      <c r="V563" s="660"/>
      <c r="W563" s="42" t="s">
        <v>20</v>
      </c>
      <c r="X563" s="43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153.33333333333334</v>
      </c>
      <c r="Y563" s="43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154</v>
      </c>
      <c r="Z563" s="42"/>
      <c r="AA563" s="67"/>
      <c r="AB563" s="67"/>
      <c r="AC563" s="67"/>
    </row>
    <row r="564" spans="1:32" ht="14.25" hidden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38</v>
      </c>
      <c r="Q564" s="659"/>
      <c r="R564" s="659"/>
      <c r="S564" s="659"/>
      <c r="T564" s="659"/>
      <c r="U564" s="659"/>
      <c r="V564" s="660"/>
      <c r="W564" s="45" t="s">
        <v>52</v>
      </c>
      <c r="X564" s="42"/>
      <c r="Y564" s="42"/>
      <c r="Z564" s="42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3.3494999999999999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75</v>
      </c>
      <c r="C566" s="85" t="s">
        <v>45</v>
      </c>
      <c r="D566" s="652" t="s">
        <v>119</v>
      </c>
      <c r="E566" s="652" t="s">
        <v>119</v>
      </c>
      <c r="F566" s="652" t="s">
        <v>119</v>
      </c>
      <c r="G566" s="652" t="s">
        <v>119</v>
      </c>
      <c r="H566" s="652" t="s">
        <v>119</v>
      </c>
      <c r="I566" s="652" t="s">
        <v>119</v>
      </c>
      <c r="J566" s="652" t="s">
        <v>119</v>
      </c>
      <c r="K566" s="652" t="s">
        <v>359</v>
      </c>
      <c r="L566" s="652" t="s">
        <v>359</v>
      </c>
      <c r="M566" s="652" t="s">
        <v>359</v>
      </c>
      <c r="N566" s="662"/>
      <c r="O566" s="652" t="s">
        <v>359</v>
      </c>
      <c r="P566" s="652" t="s">
        <v>359</v>
      </c>
      <c r="Q566" s="652" t="s">
        <v>359</v>
      </c>
      <c r="R566" s="652" t="s">
        <v>359</v>
      </c>
      <c r="S566" s="652" t="s">
        <v>359</v>
      </c>
      <c r="T566" s="652" t="s">
        <v>359</v>
      </c>
      <c r="U566" s="652" t="s">
        <v>359</v>
      </c>
      <c r="V566" s="652" t="s">
        <v>359</v>
      </c>
      <c r="W566" s="652" t="s">
        <v>702</v>
      </c>
      <c r="X566" s="652" t="s">
        <v>702</v>
      </c>
      <c r="Y566" s="652" t="s">
        <v>768</v>
      </c>
      <c r="Z566" s="652" t="s">
        <v>768</v>
      </c>
      <c r="AA566" s="85" t="s">
        <v>804</v>
      </c>
      <c r="AB566" s="652" t="s">
        <v>851</v>
      </c>
      <c r="AC566" s="652" t="s">
        <v>851</v>
      </c>
      <c r="AF566" s="1"/>
    </row>
    <row r="567" spans="1:32" ht="14.25" customHeight="1" thickTop="1" x14ac:dyDescent="0.2">
      <c r="A567" s="663" t="s">
        <v>10</v>
      </c>
      <c r="B567" s="652" t="s">
        <v>75</v>
      </c>
      <c r="C567" s="652" t="s">
        <v>103</v>
      </c>
      <c r="D567" s="652" t="s">
        <v>120</v>
      </c>
      <c r="E567" s="652" t="s">
        <v>136</v>
      </c>
      <c r="F567" s="652" t="s">
        <v>181</v>
      </c>
      <c r="G567" s="652" t="s">
        <v>208</v>
      </c>
      <c r="H567" s="652" t="s">
        <v>259</v>
      </c>
      <c r="I567" s="652" t="s">
        <v>272</v>
      </c>
      <c r="J567" s="652" t="s">
        <v>119</v>
      </c>
      <c r="K567" s="652" t="s">
        <v>360</v>
      </c>
      <c r="L567" s="652" t="s">
        <v>381</v>
      </c>
      <c r="M567" s="652" t="s">
        <v>448</v>
      </c>
      <c r="N567" s="1"/>
      <c r="O567" s="652" t="s">
        <v>516</v>
      </c>
      <c r="P567" s="652" t="s">
        <v>549</v>
      </c>
      <c r="Q567" s="652" t="s">
        <v>565</v>
      </c>
      <c r="R567" s="652" t="s">
        <v>574</v>
      </c>
      <c r="S567" s="652" t="s">
        <v>595</v>
      </c>
      <c r="T567" s="652" t="s">
        <v>604</v>
      </c>
      <c r="U567" s="652" t="s">
        <v>685</v>
      </c>
      <c r="V567" s="652" t="s">
        <v>692</v>
      </c>
      <c r="W567" s="652" t="s">
        <v>703</v>
      </c>
      <c r="X567" s="652" t="s">
        <v>752</v>
      </c>
      <c r="Y567" s="652" t="s">
        <v>769</v>
      </c>
      <c r="Z567" s="652" t="s">
        <v>792</v>
      </c>
      <c r="AA567" s="652" t="s">
        <v>804</v>
      </c>
      <c r="AB567" s="652" t="s">
        <v>851</v>
      </c>
      <c r="AC567" s="652" t="s">
        <v>870</v>
      </c>
      <c r="AF567" s="1"/>
    </row>
    <row r="568" spans="1:32" ht="13.5" thickBot="1" x14ac:dyDescent="0.25">
      <c r="A568" s="664"/>
      <c r="B568" s="652"/>
      <c r="C568" s="652"/>
      <c r="D568" s="652"/>
      <c r="E568" s="652"/>
      <c r="F568" s="652"/>
      <c r="G568" s="652"/>
      <c r="H568" s="652"/>
      <c r="I568" s="652"/>
      <c r="J568" s="652"/>
      <c r="K568" s="652"/>
      <c r="L568" s="652"/>
      <c r="M568" s="652"/>
      <c r="N568" s="1"/>
      <c r="O568" s="652"/>
      <c r="P568" s="652"/>
      <c r="Q568" s="652"/>
      <c r="R568" s="652"/>
      <c r="S568" s="652"/>
      <c r="T568" s="652"/>
      <c r="U568" s="652"/>
      <c r="V568" s="652"/>
      <c r="W568" s="652"/>
      <c r="X568" s="652"/>
      <c r="Y568" s="652"/>
      <c r="Z568" s="652"/>
      <c r="AA568" s="652"/>
      <c r="AB568" s="652"/>
      <c r="AC568" s="652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0</v>
      </c>
      <c r="E569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2">
        <f>IFERROR(Y85*1,"0")+IFERROR(Y86*1,"0")+IFERROR(Y87*1,"0")+IFERROR(Y88*1,"0")+IFERROR(Y89*1,"0")+IFERROR(Y93*1,"0")+IFERROR(Y94*1,"0")+IFERROR(Y95*1,"0")+IFERROR(Y96*1,"0")+IFERROR(Y97*1,"0")+IFERROR(Y98*1,"0")</f>
        <v>0</v>
      </c>
      <c r="G569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2">
        <f>IFERROR(Y138*1,"0")+IFERROR(Y139*1,"0")+IFERROR(Y143*1,"0")+IFERROR(Y144*1,"0")+IFERROR(Y148*1,"0")+IFERROR(Y149*1,"0")</f>
        <v>0</v>
      </c>
      <c r="I569" s="52">
        <f>IFERROR(Y154*1,"0")+IFERROR(Y155*1,"0")+IFERROR(Y156*1,"0")+IFERROR(Y157*1,"0")+IFERROR(Y158*1,"0")+IFERROR(Y159*1,"0")+IFERROR(Y160*1,"0")+IFERROR(Y164*1,"0")</f>
        <v>0</v>
      </c>
      <c r="J569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2">
        <f>IFERROR(Y211*1,"0")+IFERROR(Y212*1,"0")+IFERROR(Y213*1,"0")+IFERROR(Y214*1,"0")+IFERROR(Y215*1,"0")+IFERROR(Y216*1,"0")+IFERROR(Y217*1,"0")</f>
        <v>0</v>
      </c>
      <c r="L569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2">
        <f>IFERROR(Y329*1,"0")+IFERROR(Y330*1,"0")+IFERROR(Y331*1,"0")+IFERROR(Y332*1,"0")+IFERROR(Y333*1,"0")</f>
        <v>0</v>
      </c>
      <c r="Q569" s="52">
        <f>IFERROR(Y338*1,"0")+IFERROR(Y339*1,"0")+IFERROR(Y340*1,"0")</f>
        <v>0</v>
      </c>
      <c r="R569" s="52">
        <f>IFERROR(Y345*1,"0")+IFERROR(Y346*1,"0")+IFERROR(Y347*1,"0")+IFERROR(Y348*1,"0")+IFERROR(Y349*1,"0")+IFERROR(Y353*1,"0")+IFERROR(Y354*1,"0")</f>
        <v>0</v>
      </c>
      <c r="S569" s="52">
        <f>IFERROR(Y359*1,"0")+IFERROR(Y360*1,"0")+IFERROR(Y361*1,"0")</f>
        <v>0</v>
      </c>
      <c r="T569" s="52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2310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2">
        <f>IFERROR(Y534*1,"0")+IFERROR(Y538*1,"0")+IFERROR(Y542*1,"0")+IFERROR(Y546*1,"0")+IFERROR(Y550*1,"0")+IFERROR(Y551*1,"0")</f>
        <v>0</v>
      </c>
      <c r="AC569" s="52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900,00"/>
        <filter val="126,67"/>
        <filter val="153,33"/>
        <filter val="2 300,00"/>
        <filter val="2 372,07"/>
        <filter val="2 472,07"/>
        <filter val="26,67"/>
        <filter val="4"/>
        <filter val="400,00"/>
        <filter val="900,00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9" spans="2:8" x14ac:dyDescent="0.2">
      <c r="B9" s="53" t="s">
        <v>886</v>
      </c>
      <c r="C9" s="53" t="s">
        <v>887</v>
      </c>
      <c r="D9" s="53" t="s">
        <v>888</v>
      </c>
      <c r="E9" s="53" t="s">
        <v>46</v>
      </c>
    </row>
    <row r="10" spans="2:8" x14ac:dyDescent="0.2">
      <c r="B10" s="53" t="s">
        <v>889</v>
      </c>
      <c r="C10" s="53" t="s">
        <v>890</v>
      </c>
      <c r="D10" s="53" t="s">
        <v>891</v>
      </c>
      <c r="E10" s="53" t="s">
        <v>46</v>
      </c>
    </row>
    <row r="11" spans="2:8" x14ac:dyDescent="0.2">
      <c r="B11" s="53" t="s">
        <v>892</v>
      </c>
      <c r="C11" s="53" t="s">
        <v>893</v>
      </c>
      <c r="D11" s="53" t="s">
        <v>894</v>
      </c>
      <c r="E11" s="53" t="s">
        <v>46</v>
      </c>
    </row>
    <row r="12" spans="2:8" x14ac:dyDescent="0.2">
      <c r="B12" s="53" t="s">
        <v>895</v>
      </c>
      <c r="C12" s="53" t="s">
        <v>896</v>
      </c>
      <c r="D12" s="53" t="s">
        <v>897</v>
      </c>
      <c r="E12" s="53" t="s">
        <v>46</v>
      </c>
    </row>
    <row r="14" spans="2:8" x14ac:dyDescent="0.2">
      <c r="B14" s="53" t="s">
        <v>898</v>
      </c>
      <c r="C14" s="53" t="s">
        <v>878</v>
      </c>
      <c r="D14" s="53" t="s">
        <v>46</v>
      </c>
      <c r="E14" s="53" t="s">
        <v>46</v>
      </c>
    </row>
    <row r="16" spans="2:8" x14ac:dyDescent="0.2">
      <c r="B16" s="53" t="s">
        <v>899</v>
      </c>
      <c r="C16" s="53" t="s">
        <v>881</v>
      </c>
      <c r="D16" s="53" t="s">
        <v>46</v>
      </c>
      <c r="E16" s="53" t="s">
        <v>46</v>
      </c>
    </row>
    <row r="18" spans="2:5" x14ac:dyDescent="0.2">
      <c r="B18" s="53" t="s">
        <v>900</v>
      </c>
      <c r="C18" s="53" t="s">
        <v>884</v>
      </c>
      <c r="D18" s="53" t="s">
        <v>46</v>
      </c>
      <c r="E18" s="53" t="s">
        <v>46</v>
      </c>
    </row>
    <row r="20" spans="2:5" x14ac:dyDescent="0.2">
      <c r="B20" s="53" t="s">
        <v>901</v>
      </c>
      <c r="C20" s="53" t="s">
        <v>887</v>
      </c>
      <c r="D20" s="53" t="s">
        <v>46</v>
      </c>
      <c r="E20" s="53" t="s">
        <v>46</v>
      </c>
    </row>
    <row r="22" spans="2:5" x14ac:dyDescent="0.2">
      <c r="B22" s="53" t="s">
        <v>902</v>
      </c>
      <c r="C22" s="53" t="s">
        <v>890</v>
      </c>
      <c r="D22" s="53" t="s">
        <v>46</v>
      </c>
      <c r="E22" s="53" t="s">
        <v>46</v>
      </c>
    </row>
    <row r="24" spans="2:5" x14ac:dyDescent="0.2">
      <c r="B24" s="53" t="s">
        <v>903</v>
      </c>
      <c r="C24" s="53" t="s">
        <v>893</v>
      </c>
      <c r="D24" s="53" t="s">
        <v>46</v>
      </c>
      <c r="E24" s="53" t="s">
        <v>46</v>
      </c>
    </row>
    <row r="26" spans="2:5" x14ac:dyDescent="0.2">
      <c r="B26" s="53" t="s">
        <v>904</v>
      </c>
      <c r="C26" s="53" t="s">
        <v>896</v>
      </c>
      <c r="D26" s="53" t="s">
        <v>46</v>
      </c>
      <c r="E26" s="53" t="s">
        <v>46</v>
      </c>
    </row>
    <row r="28" spans="2:5" x14ac:dyDescent="0.2">
      <c r="B28" s="53" t="s">
        <v>905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909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910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911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912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913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914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915</v>
      </c>
      <c r="C38" s="53" t="s">
        <v>46</v>
      </c>
      <c r="D38" s="53" t="s">
        <v>46</v>
      </c>
      <c r="E38" s="53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2026-09-02T11:19:36Z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