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A387B9E-E3F0-4F98-A1F1-BB304F1FB1A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P478" i="2"/>
  <c r="BO478" i="2"/>
  <c r="BM478" i="2"/>
  <c r="Y478" i="2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N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N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N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P39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P95" i="2" l="1"/>
  <c r="BN115" i="2"/>
  <c r="BN128" i="2"/>
  <c r="BN263" i="2"/>
  <c r="BN480" i="2"/>
  <c r="Z37" i="2"/>
  <c r="Z59" i="2"/>
  <c r="BN59" i="2"/>
  <c r="Z95" i="2"/>
  <c r="BN107" i="2"/>
  <c r="BN411" i="2"/>
  <c r="BP418" i="2"/>
  <c r="BP523" i="2"/>
  <c r="Z49" i="2"/>
  <c r="BN93" i="2"/>
  <c r="BN513" i="2"/>
  <c r="BN482" i="2"/>
  <c r="BP450" i="2"/>
  <c r="Y447" i="2"/>
  <c r="Y341" i="2"/>
  <c r="Y315" i="2"/>
  <c r="BN314" i="2"/>
  <c r="Z310" i="2"/>
  <c r="BN306" i="2"/>
  <c r="BP291" i="2"/>
  <c r="Z291" i="2"/>
  <c r="BN289" i="2"/>
  <c r="BN184" i="2"/>
  <c r="BN157" i="2"/>
  <c r="BN133" i="2"/>
  <c r="BP98" i="2"/>
  <c r="Z56" i="2"/>
  <c r="D570" i="2"/>
  <c r="BP27" i="2"/>
  <c r="BN23" i="2"/>
  <c r="BN40" i="2"/>
  <c r="BN236" i="2"/>
  <c r="BN279" i="2"/>
  <c r="BN293" i="2"/>
  <c r="Z299" i="2"/>
  <c r="Z67" i="2"/>
  <c r="BN393" i="2"/>
  <c r="BN525" i="2"/>
  <c r="BN125" i="2"/>
  <c r="Z551" i="2"/>
  <c r="BP535" i="2"/>
  <c r="BN527" i="2"/>
  <c r="Z519" i="2"/>
  <c r="BN517" i="2"/>
  <c r="BN511" i="2"/>
  <c r="BP510" i="2"/>
  <c r="BN506" i="2"/>
  <c r="Y463" i="2"/>
  <c r="BN462" i="2"/>
  <c r="BN461" i="2"/>
  <c r="BN456" i="2"/>
  <c r="BN438" i="2"/>
  <c r="BN437" i="2"/>
  <c r="BN426" i="2"/>
  <c r="BN425" i="2"/>
  <c r="BN401" i="2"/>
  <c r="BN392" i="2"/>
  <c r="Y396" i="2"/>
  <c r="BN387" i="2"/>
  <c r="BP385" i="2"/>
  <c r="Z379" i="2"/>
  <c r="BN375" i="2"/>
  <c r="BN371" i="2"/>
  <c r="BN367" i="2"/>
  <c r="BN360" i="2"/>
  <c r="BN349" i="2"/>
  <c r="Z349" i="2"/>
  <c r="BN347" i="2"/>
  <c r="BN331" i="2"/>
  <c r="Z324" i="2"/>
  <c r="BP324" i="2"/>
  <c r="Y326" i="2"/>
  <c r="BN310" i="2"/>
  <c r="BN299" i="2"/>
  <c r="Y300" i="2"/>
  <c r="BN285" i="2"/>
  <c r="BN283" i="2"/>
  <c r="Z283" i="2"/>
  <c r="Z279" i="2"/>
  <c r="BN277" i="2"/>
  <c r="BP275" i="2"/>
  <c r="Y280" i="2"/>
  <c r="Z272" i="2"/>
  <c r="BP272" i="2"/>
  <c r="BP262" i="2"/>
  <c r="BN257" i="2"/>
  <c r="BN252" i="2"/>
  <c r="BN246" i="2"/>
  <c r="Y249" i="2"/>
  <c r="BN244" i="2"/>
  <c r="BN238" i="2"/>
  <c r="Z236" i="2"/>
  <c r="BN232" i="2"/>
  <c r="Y241" i="2"/>
  <c r="BN229" i="2"/>
  <c r="Z215" i="2"/>
  <c r="BN211" i="2"/>
  <c r="BN195" i="2"/>
  <c r="Y198" i="2"/>
  <c r="Z195" i="2"/>
  <c r="BN187" i="2"/>
  <c r="Z184" i="2"/>
  <c r="Z183" i="2"/>
  <c r="BN181" i="2"/>
  <c r="BP169" i="2"/>
  <c r="Z169" i="2"/>
  <c r="BN143" i="2"/>
  <c r="BP139" i="2"/>
  <c r="Z139" i="2"/>
  <c r="Y135" i="2"/>
  <c r="Z126" i="2"/>
  <c r="BN116" i="2"/>
  <c r="Z106" i="2"/>
  <c r="G570" i="2"/>
  <c r="BP106" i="2"/>
  <c r="BN86" i="2"/>
  <c r="BP85" i="2"/>
  <c r="BN80" i="2"/>
  <c r="BN77" i="2"/>
  <c r="Y81" i="2"/>
  <c r="BP64" i="2"/>
  <c r="Z64" i="2"/>
  <c r="BN60" i="2"/>
  <c r="BP58" i="2"/>
  <c r="Z58" i="2"/>
  <c r="BN49" i="2"/>
  <c r="Z48" i="2"/>
  <c r="BP48" i="2"/>
  <c r="X562" i="2"/>
  <c r="BP37" i="2"/>
  <c r="Z31" i="2"/>
  <c r="BN30" i="2"/>
  <c r="X560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6" i="2" s="1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463" i="2" l="1"/>
  <c r="Z420" i="2"/>
  <c r="Z300" i="2"/>
  <c r="Z264" i="2"/>
  <c r="Z198" i="2"/>
  <c r="Z81" i="2"/>
  <c r="Z68" i="2"/>
  <c r="Z51" i="2"/>
  <c r="Z134" i="2"/>
  <c r="Z530" i="2"/>
  <c r="Z520" i="2"/>
  <c r="Z489" i="2"/>
  <c r="Z484" i="2"/>
  <c r="Z452" i="2"/>
  <c r="Z440" i="2"/>
  <c r="Z402" i="2"/>
  <c r="Z395" i="2"/>
  <c r="Z382" i="2"/>
  <c r="Z341" i="2"/>
  <c r="Z325" i="2"/>
  <c r="Z269" i="2"/>
  <c r="Z218" i="2"/>
  <c r="Z177" i="2"/>
  <c r="Z161" i="2"/>
  <c r="Z119" i="2"/>
  <c r="Z99" i="2"/>
  <c r="Z61" i="2"/>
  <c r="X563" i="2"/>
  <c r="Z32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<sst xmlns="http://schemas.openxmlformats.org/spreadsheetml/2006/main" count="4310" uniqueCount="900">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</sst>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67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68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46265</v>
      </c>
      <c r="R5" s="661"/>
      <c r="T5" s="662" t="s">
        <v>3</v>
      </c>
      <c r="U5" s="663"/>
      <c r="V5" s="664" t="s">
        <v>880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881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Понедельник</v>
      </c>
      <c r="R6" s="667"/>
      <c r="T6" s="668" t="s">
        <v>5</v>
      </c>
      <c r="U6" s="669"/>
      <c r="V6" s="670" t="s">
        <v>70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58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0.41666666666666669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71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55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72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73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74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75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61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59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66</v>
      </c>
      <c r="L17" s="700" t="s">
        <v>64</v>
      </c>
      <c r="M17" s="700" t="s">
        <v>2</v>
      </c>
      <c r="N17" s="700" t="s">
        <v>63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56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60</v>
      </c>
      <c r="AB17" s="714" t="s">
        <v>19</v>
      </c>
      <c r="AC17" s="714" t="s">
        <v>65</v>
      </c>
      <c r="AD17" s="716" t="s">
        <v>57</v>
      </c>
      <c r="AE17" s="717"/>
      <c r="AF17" s="718"/>
      <c r="AG17" s="82"/>
      <c r="BD17" s="81" t="s">
        <v>62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76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76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77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86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104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86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64</v>
      </c>
      <c r="Y40" s="55">
        <f>IFERROR(IF(X40="",0,CEILING((X40/$H40),1)*$H40),"")</f>
        <v>65.28</v>
      </c>
      <c r="Z40" s="41">
        <f>IFERROR(IF(Y40=0,"",ROUNDUP(Y40/H40,0)*0.00651),"")</f>
        <v>0.22134000000000001</v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70</v>
      </c>
      <c r="BN40" s="78">
        <f>IFERROR(Y40*I40/H40,"0")</f>
        <v>71.40000000000002</v>
      </c>
      <c r="BO40" s="78">
        <f>IFERROR(1/J40*(X40/H40),"0")</f>
        <v>0.18315018315018317</v>
      </c>
      <c r="BP40" s="78">
        <f>IFERROR(1/J40*(Y40/H40),"0")</f>
        <v>0.18681318681318682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33.333333333333336</v>
      </c>
      <c r="Y42" s="43">
        <f>IFERROR(Y37/H37,"0")+IFERROR(Y38/H38,"0")+IFERROR(Y39/H39,"0")+IFERROR(Y40/H40,"0")+IFERROR(Y41/H41,"0")</f>
        <v>34</v>
      </c>
      <c r="Z42" s="43">
        <f>IFERROR(IF(Z37="",0,Z37),"0")+IFERROR(IF(Z38="",0,Z38),"0")+IFERROR(IF(Z39="",0,Z39),"0")+IFERROR(IF(Z40="",0,Z40),"0")+IFERROR(IF(Z41="",0,Z41),"0")</f>
        <v>0.22134000000000001</v>
      </c>
      <c r="AA42" s="67"/>
      <c r="AB42" s="67"/>
      <c r="AC42" s="67"/>
    </row>
    <row r="43" spans="1:68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64</v>
      </c>
      <c r="Y43" s="43">
        <f>IFERROR(SUM(Y37:Y41),"0")</f>
        <v>65.28</v>
      </c>
      <c r="Z43" s="42"/>
      <c r="AA43" s="67"/>
      <c r="AB43" s="67"/>
      <c r="AC43" s="67"/>
    </row>
    <row r="44" spans="1:68" ht="27.75" hidden="1" customHeight="1" x14ac:dyDescent="0.2">
      <c r="A44" s="722" t="s">
        <v>120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121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122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350</v>
      </c>
      <c r="Y47" s="55">
        <f>IFERROR(IF(X47="",0,CEILING((X47/$H47),1)*$H47),"")</f>
        <v>356.40000000000003</v>
      </c>
      <c r="Z47" s="41">
        <f>IFERROR(IF(Y47=0,"",ROUNDUP(Y47/H47,0)*0.01898),"")</f>
        <v>0.62634000000000001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363.28703703703707</v>
      </c>
      <c r="BN47" s="78">
        <f>IFERROR(Y47*I47/H47,"0")</f>
        <v>369.93</v>
      </c>
      <c r="BO47" s="78">
        <f>IFERROR(1/J47*(X47/H47),"0")</f>
        <v>0.5063657407407407</v>
      </c>
      <c r="BP47" s="78">
        <f>IFERROR(1/J47*(Y47/H47),"0")</f>
        <v>0.515625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400</v>
      </c>
      <c r="Y49" s="55">
        <f>IFERROR(IF(X49="",0,CEILING((X49/$H49),1)*$H49),"")</f>
        <v>400</v>
      </c>
      <c r="Z49" s="41">
        <f>IFERROR(IF(Y49=0,"",ROUNDUP(Y49/H49,0)*0.00902),"")</f>
        <v>0.90200000000000002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419.00000000000006</v>
      </c>
      <c r="BN49" s="78">
        <f>IFERROR(Y49*I49/H49,"0")</f>
        <v>419.00000000000006</v>
      </c>
      <c r="BO49" s="78">
        <f>IFERROR(1/J49*(X49/H49),"0")</f>
        <v>0.75757575757575757</v>
      </c>
      <c r="BP49" s="78">
        <f>IFERROR(1/J49*(Y49/H49),"0")</f>
        <v>0.75757575757575757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132.40740740740739</v>
      </c>
      <c r="Y51" s="43">
        <f>IFERROR(Y47/H47,"0")+IFERROR(Y48/H48,"0")+IFERROR(Y49/H49,"0")+IFERROR(Y50/H50,"0")</f>
        <v>133</v>
      </c>
      <c r="Z51" s="43">
        <f>IFERROR(IF(Z47="",0,Z47),"0")+IFERROR(IF(Z48="",0,Z48),"0")+IFERROR(IF(Z49="",0,Z49),"0")+IFERROR(IF(Z50="",0,Z50),"0")</f>
        <v>1.52834</v>
      </c>
      <c r="AA51" s="67"/>
      <c r="AB51" s="67"/>
      <c r="AC51" s="67"/>
    </row>
    <row r="52" spans="1:68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750</v>
      </c>
      <c r="Y52" s="43">
        <f>IFERROR(SUM(Y47:Y50),"0")</f>
        <v>756.40000000000009</v>
      </c>
      <c r="Z52" s="42"/>
      <c r="AA52" s="67"/>
      <c r="AB52" s="67"/>
      <c r="AC52" s="67"/>
    </row>
    <row r="53" spans="1:68" ht="16.5" hidden="1" customHeight="1" x14ac:dyDescent="0.25">
      <c r="A53" s="723" t="s">
        <v>137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122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225</v>
      </c>
      <c r="Y60" s="55">
        <f t="shared" si="0"/>
        <v>225</v>
      </c>
      <c r="Z60" s="41">
        <f>IFERROR(IF(Y60=0,"",ROUNDUP(Y60/H60,0)*0.00902),"")</f>
        <v>0.45100000000000001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234.5</v>
      </c>
      <c r="BN60" s="78">
        <f t="shared" si="2"/>
        <v>234.5</v>
      </c>
      <c r="BO60" s="78">
        <f t="shared" si="3"/>
        <v>0.37878787878787878</v>
      </c>
      <c r="BP60" s="78">
        <f t="shared" si="4"/>
        <v>0.37878787878787878</v>
      </c>
    </row>
    <row r="61" spans="1:68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50</v>
      </c>
      <c r="Y61" s="43">
        <f>IFERROR(Y55/H55,"0")+IFERROR(Y56/H56,"0")+IFERROR(Y57/H57,"0")+IFERROR(Y58/H58,"0")+IFERROR(Y59/H59,"0")+IFERROR(Y60/H60,"0")</f>
        <v>50</v>
      </c>
      <c r="Z61" s="43">
        <f>IFERROR(IF(Z55="",0,Z55),"0")+IFERROR(IF(Z56="",0,Z56),"0")+IFERROR(IF(Z57="",0,Z57),"0")+IFERROR(IF(Z58="",0,Z58),"0")+IFERROR(IF(Z59="",0,Z59),"0")+IFERROR(IF(Z60="",0,Z60),"0")</f>
        <v>0.45100000000000001</v>
      </c>
      <c r="AA61" s="67"/>
      <c r="AB61" s="67"/>
      <c r="AC61" s="67"/>
    </row>
    <row r="62" spans="1:68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225</v>
      </c>
      <c r="Y62" s="43">
        <f>IFERROR(SUM(Y55:Y60),"0")</f>
        <v>225</v>
      </c>
      <c r="Z62" s="42"/>
      <c r="AA62" s="67"/>
      <c r="AB62" s="67"/>
      <c r="AC62" s="67"/>
    </row>
    <row r="63" spans="1:68" ht="14.25" hidden="1" customHeight="1" x14ac:dyDescent="0.25">
      <c r="A63" s="724" t="s">
        <v>155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112</v>
      </c>
      <c r="Y67" s="55">
        <f>IFERROR(IF(X67="",0,CEILING((X67/$H67),1)*$H67),"")</f>
        <v>113.4</v>
      </c>
      <c r="Z67" s="41">
        <f>IFERROR(IF(Y67=0,"",ROUNDUP(Y67/H67,0)*0.00651),"")</f>
        <v>0.27342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119.46666666666665</v>
      </c>
      <c r="BN67" s="78">
        <f>IFERROR(Y67*I67/H67,"0")</f>
        <v>120.95999999999998</v>
      </c>
      <c r="BO67" s="78">
        <f>IFERROR(1/J67*(X67/H67),"0")</f>
        <v>0.22792022792022792</v>
      </c>
      <c r="BP67" s="78">
        <f>IFERROR(1/J67*(Y67/H67),"0")</f>
        <v>0.23076923076923078</v>
      </c>
    </row>
    <row r="68" spans="1:68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41.481481481481481</v>
      </c>
      <c r="Y68" s="43">
        <f>IFERROR(Y64/H64,"0")+IFERROR(Y65/H65,"0")+IFERROR(Y66/H66,"0")+IFERROR(Y67/H67,"0")</f>
        <v>42</v>
      </c>
      <c r="Z68" s="43">
        <f>IFERROR(IF(Z64="",0,Z64),"0")+IFERROR(IF(Z65="",0,Z65),"0")+IFERROR(IF(Z66="",0,Z66),"0")+IFERROR(IF(Z67="",0,Z67),"0")</f>
        <v>0.27342</v>
      </c>
      <c r="AA68" s="67"/>
      <c r="AB68" s="67"/>
      <c r="AC68" s="67"/>
    </row>
    <row r="69" spans="1:68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112</v>
      </c>
      <c r="Y69" s="43">
        <f>IFERROR(SUM(Y64:Y67),"0")</f>
        <v>113.4</v>
      </c>
      <c r="Z69" s="42"/>
      <c r="AA69" s="67"/>
      <c r="AB69" s="67"/>
      <c r="AC69" s="67"/>
    </row>
    <row r="70" spans="1:68" ht="14.25" hidden="1" customHeight="1" x14ac:dyDescent="0.25">
      <c r="A70" s="724" t="s">
        <v>86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173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40</v>
      </c>
      <c r="Y77" s="55">
        <f>IFERROR(IF(X77="",0,CEILING((X77/$H77),1)*$H77),"")</f>
        <v>46.8</v>
      </c>
      <c r="Z77" s="41">
        <f>IFERROR(IF(Y77=0,"",ROUNDUP(Y77/H77,0)*0.01898),"")</f>
        <v>0.11388000000000001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42.102564102564109</v>
      </c>
      <c r="BN77" s="78">
        <f>IFERROR(Y77*I77/H77,"0")</f>
        <v>49.260000000000005</v>
      </c>
      <c r="BO77" s="78">
        <f>IFERROR(1/J77*(X77/H77),"0")</f>
        <v>8.0128205128205135E-2</v>
      </c>
      <c r="BP77" s="78">
        <f>IFERROR(1/J77*(Y77/H77),"0")</f>
        <v>9.375E-2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5.1282051282051286</v>
      </c>
      <c r="Y81" s="43">
        <f>IFERROR(Y77/H77,"0")+IFERROR(Y78/H78,"0")+IFERROR(Y79/H79,"0")+IFERROR(Y80/H80,"0")</f>
        <v>6</v>
      </c>
      <c r="Z81" s="43">
        <f>IFERROR(IF(Z77="",0,Z77),"0")+IFERROR(IF(Z78="",0,Z78),"0")+IFERROR(IF(Z79="",0,Z79),"0")+IFERROR(IF(Z80="",0,Z80),"0")</f>
        <v>0.11388000000000001</v>
      </c>
      <c r="AA81" s="67"/>
      <c r="AB81" s="67"/>
      <c r="AC81" s="67"/>
    </row>
    <row r="82" spans="1:68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40</v>
      </c>
      <c r="Y82" s="43">
        <f>IFERROR(SUM(Y77:Y80),"0")</f>
        <v>46.8</v>
      </c>
      <c r="Z82" s="42"/>
      <c r="AA82" s="67"/>
      <c r="AB82" s="67"/>
      <c r="AC82" s="67"/>
    </row>
    <row r="83" spans="1:68" ht="16.5" hidden="1" customHeight="1" x14ac:dyDescent="0.25">
      <c r="A83" s="723" t="s">
        <v>182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122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8" t="s">
        <v>190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270</v>
      </c>
      <c r="Y89" s="55">
        <f>IFERROR(IF(X89="",0,CEILING((X89/$H89),1)*$H89),"")</f>
        <v>270</v>
      </c>
      <c r="Z89" s="41">
        <f>IFERROR(IF(Y89=0,"",ROUNDUP(Y89/H89,0)*0.00902),"")</f>
        <v>0.54120000000000001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281.40000000000003</v>
      </c>
      <c r="BN89" s="78">
        <f>IFERROR(Y89*I89/H89,"0")</f>
        <v>281.40000000000003</v>
      </c>
      <c r="BO89" s="78">
        <f>IFERROR(1/J89*(X89/H89),"0")</f>
        <v>0.45454545454545459</v>
      </c>
      <c r="BP89" s="78">
        <f>IFERROR(1/J89*(Y89/H89),"0")</f>
        <v>0.45454545454545459</v>
      </c>
    </row>
    <row r="90" spans="1:68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60</v>
      </c>
      <c r="Y90" s="43">
        <f>IFERROR(Y85/H85,"0")+IFERROR(Y86/H86,"0")+IFERROR(Y87/H87,"0")+IFERROR(Y88/H88,"0")+IFERROR(Y89/H89,"0")</f>
        <v>60</v>
      </c>
      <c r="Z90" s="43">
        <f>IFERROR(IF(Z85="",0,Z85),"0")+IFERROR(IF(Z86="",0,Z86),"0")+IFERROR(IF(Z87="",0,Z87),"0")+IFERROR(IF(Z88="",0,Z88),"0")+IFERROR(IF(Z89="",0,Z89),"0")</f>
        <v>0.54120000000000001</v>
      </c>
      <c r="AA90" s="67"/>
      <c r="AB90" s="67"/>
      <c r="AC90" s="67"/>
    </row>
    <row r="91" spans="1:68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270</v>
      </c>
      <c r="Y91" s="43">
        <f>IFERROR(SUM(Y85:Y89),"0")</f>
        <v>270</v>
      </c>
      <c r="Z91" s="42"/>
      <c r="AA91" s="67"/>
      <c r="AB91" s="67"/>
      <c r="AC91" s="67"/>
    </row>
    <row r="92" spans="1:68" ht="14.25" hidden="1" customHeight="1" x14ac:dyDescent="0.25">
      <c r="A92" s="724" t="s">
        <v>86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800</v>
      </c>
      <c r="Y93" s="55">
        <f t="shared" ref="Y93:Y98" si="5">IFERROR(IF(X93="",0,CEILING((X93/$H93),1)*$H93),"")</f>
        <v>801.9</v>
      </c>
      <c r="Z93" s="41">
        <f>IFERROR(IF(Y93=0,"",ROUNDUP(Y93/H93,0)*0.01898),"")</f>
        <v>1.8790200000000001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848.79012345679018</v>
      </c>
      <c r="BN93" s="78">
        <f t="shared" ref="BN93:BN98" si="7">IFERROR(Y93*I93/H93,"0")</f>
        <v>850.80600000000004</v>
      </c>
      <c r="BO93" s="78">
        <f t="shared" ref="BO93:BO98" si="8">IFERROR(1/J93*(X93/H93),"0")</f>
        <v>1.5432098765432098</v>
      </c>
      <c r="BP93" s="78">
        <f t="shared" ref="BP93:BP98" si="9">IFERROR(1/J93*(Y93/H93),"0")</f>
        <v>1.546875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72" t="s">
        <v>199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810</v>
      </c>
      <c r="Y96" s="55">
        <f t="shared" si="5"/>
        <v>810</v>
      </c>
      <c r="Z96" s="41">
        <f>IFERROR(IF(Y96=0,"",ROUNDUP(Y96/H96,0)*0.00651),"")</f>
        <v>1.9530000000000001</v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885.59999999999991</v>
      </c>
      <c r="BN96" s="78">
        <f t="shared" si="7"/>
        <v>885.59999999999991</v>
      </c>
      <c r="BO96" s="78">
        <f t="shared" si="8"/>
        <v>1.6483516483516485</v>
      </c>
      <c r="BP96" s="78">
        <f t="shared" si="9"/>
        <v>1.6483516483516485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5" t="s">
        <v>205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398.76543209876542</v>
      </c>
      <c r="Y99" s="43">
        <f>IFERROR(Y93/H93,"0")+IFERROR(Y94/H94,"0")+IFERROR(Y95/H95,"0")+IFERROR(Y96/H96,"0")+IFERROR(Y97/H97,"0")+IFERROR(Y98/H98,"0")</f>
        <v>399</v>
      </c>
      <c r="Z99" s="43">
        <f>IFERROR(IF(Z93="",0,Z93),"0")+IFERROR(IF(Z94="",0,Z94),"0")+IFERROR(IF(Z95="",0,Z95),"0")+IFERROR(IF(Z96="",0,Z96),"0")+IFERROR(IF(Z97="",0,Z97),"0")+IFERROR(IF(Z98="",0,Z98),"0")</f>
        <v>3.83202</v>
      </c>
      <c r="AA99" s="67"/>
      <c r="AB99" s="67"/>
      <c r="AC99" s="67"/>
    </row>
    <row r="100" spans="1:68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1610</v>
      </c>
      <c r="Y100" s="43">
        <f>IFERROR(SUM(Y93:Y98),"0")</f>
        <v>1611.9</v>
      </c>
      <c r="Z100" s="42"/>
      <c r="AA100" s="67"/>
      <c r="AB100" s="67"/>
      <c r="AC100" s="67"/>
    </row>
    <row r="101" spans="1:68" ht="16.5" hidden="1" customHeight="1" x14ac:dyDescent="0.25">
      <c r="A101" s="723" t="s">
        <v>209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122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220</v>
      </c>
      <c r="B108" s="63" t="s">
        <v>221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675</v>
      </c>
      <c r="Y108" s="55">
        <f t="shared" si="10"/>
        <v>675</v>
      </c>
      <c r="Z108" s="41">
        <f>IFERROR(IF(Y108=0,"",ROUNDUP(Y108/H108,0)*0.00902),"")</f>
        <v>1.353</v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703.50000000000011</v>
      </c>
      <c r="BN108" s="78">
        <f t="shared" si="12"/>
        <v>703.50000000000011</v>
      </c>
      <c r="BO108" s="78">
        <f t="shared" si="13"/>
        <v>1.1363636363636365</v>
      </c>
      <c r="BP108" s="78">
        <f t="shared" si="14"/>
        <v>1.1363636363636365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3" t="s">
        <v>223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150</v>
      </c>
      <c r="Y111" s="43">
        <f>IFERROR(Y103/H103,"0")+IFERROR(Y104/H104,"0")+IFERROR(Y105/H105,"0")+IFERROR(Y106/H106,"0")+IFERROR(Y107/H107,"0")+IFERROR(Y108/H108,"0")+IFERROR(Y109/H109,"0")+IFERROR(Y110/H110,"0")</f>
        <v>150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1.353</v>
      </c>
      <c r="AA111" s="67"/>
      <c r="AB111" s="67"/>
      <c r="AC111" s="67"/>
    </row>
    <row r="112" spans="1:68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675</v>
      </c>
      <c r="Y112" s="43">
        <f>IFERROR(SUM(Y103:Y110),"0")</f>
        <v>675</v>
      </c>
      <c r="Z112" s="42"/>
      <c r="AA112" s="67"/>
      <c r="AB112" s="67"/>
      <c r="AC112" s="67"/>
    </row>
    <row r="113" spans="1:68" ht="14.25" hidden="1" customHeight="1" x14ac:dyDescent="0.25">
      <c r="A113" s="724" t="s">
        <v>155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86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1000</v>
      </c>
      <c r="Y122" s="55">
        <f t="shared" ref="Y122:Y128" si="15">IFERROR(IF(X122="",0,CEILING((X122/$H122),1)*$H122),"")</f>
        <v>1004.4</v>
      </c>
      <c r="Z122" s="41">
        <f>IFERROR(IF(Y122=0,"",ROUNDUP(Y122/H122,0)*0.01898),"")</f>
        <v>2.3535200000000001</v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1060.2469135802469</v>
      </c>
      <c r="BN122" s="78">
        <f t="shared" ref="BN122:BN128" si="17">IFERROR(Y122*I122/H122,"0")</f>
        <v>1064.9119999999998</v>
      </c>
      <c r="BO122" s="78">
        <f t="shared" ref="BO122:BO128" si="18">IFERROR(1/J122*(X122/H122),"0")</f>
        <v>1.9290123456790125</v>
      </c>
      <c r="BP122" s="78">
        <f t="shared" ref="BP122:BP128" si="19">IFERROR(1/J122*(Y122/H122),"0")</f>
        <v>1.9375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791" t="s">
        <v>243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246</v>
      </c>
      <c r="B125" s="63" t="s">
        <v>247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990</v>
      </c>
      <c r="Y125" s="55">
        <f t="shared" si="15"/>
        <v>990.90000000000009</v>
      </c>
      <c r="Z125" s="41">
        <f>IFERROR(IF(Y125=0,"",ROUNDUP(Y125/H125,0)*0.00651),"")</f>
        <v>2.38917</v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1082.3999999999999</v>
      </c>
      <c r="BN125" s="78">
        <f t="shared" si="17"/>
        <v>1083.384</v>
      </c>
      <c r="BO125" s="78">
        <f t="shared" si="18"/>
        <v>2.0146520146520146</v>
      </c>
      <c r="BP125" s="78">
        <f t="shared" si="19"/>
        <v>2.0164835164835164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94" t="s">
        <v>249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796" t="s">
        <v>254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490.12345679012344</v>
      </c>
      <c r="Y129" s="43">
        <f>IFERROR(Y122/H122,"0")+IFERROR(Y123/H123,"0")+IFERROR(Y124/H124,"0")+IFERROR(Y125/H125,"0")+IFERROR(Y126/H126,"0")+IFERROR(Y127/H127,"0")+IFERROR(Y128/H128,"0")</f>
        <v>491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4.7426899999999996</v>
      </c>
      <c r="AA129" s="67"/>
      <c r="AB129" s="67"/>
      <c r="AC129" s="67"/>
    </row>
    <row r="130" spans="1:68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1990</v>
      </c>
      <c r="Y130" s="43">
        <f>IFERROR(SUM(Y122:Y128),"0")</f>
        <v>1995.3000000000002</v>
      </c>
      <c r="Z130" s="42"/>
      <c r="AA130" s="67"/>
      <c r="AB130" s="67"/>
      <c r="AC130" s="67"/>
    </row>
    <row r="131" spans="1:68" ht="14.25" hidden="1" customHeight="1" x14ac:dyDescent="0.25">
      <c r="A131" s="724" t="s">
        <v>173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customHeight="1" x14ac:dyDescent="0.25">
      <c r="A132" s="63" t="s">
        <v>255</v>
      </c>
      <c r="B132" s="63" t="s">
        <v>256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50</v>
      </c>
      <c r="Y132" s="55">
        <f>IFERROR(IF(X132="",0,CEILING((X132/$H132),1)*$H132),"")</f>
        <v>51.48</v>
      </c>
      <c r="Z132" s="41">
        <f>IFERROR(IF(Y132=0,"",ROUNDUP(Y132/H132,0)*0.00651),"")</f>
        <v>0.16925999999999999</v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56.515151515151516</v>
      </c>
      <c r="BN132" s="78">
        <f>IFERROR(Y132*I132/H132,"0")</f>
        <v>58.187999999999995</v>
      </c>
      <c r="BO132" s="78">
        <f>IFERROR(1/J132*(X132/H132),"0")</f>
        <v>0.13875013875013875</v>
      </c>
      <c r="BP132" s="78">
        <f>IFERROR(1/J132*(Y132/H132),"0")</f>
        <v>0.14285714285714288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798" t="s">
        <v>259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25.252525252525253</v>
      </c>
      <c r="Y134" s="43">
        <f>IFERROR(Y132/H132,"0")+IFERROR(Y133/H133,"0")</f>
        <v>26</v>
      </c>
      <c r="Z134" s="43">
        <f>IFERROR(IF(Z132="",0,Z132),"0")+IFERROR(IF(Z133="",0,Z133),"0")</f>
        <v>0.16925999999999999</v>
      </c>
      <c r="AA134" s="67"/>
      <c r="AB134" s="67"/>
      <c r="AC134" s="67"/>
    </row>
    <row r="135" spans="1:68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50</v>
      </c>
      <c r="Y135" s="43">
        <f>IFERROR(SUM(Y132:Y133),"0")</f>
        <v>51.48</v>
      </c>
      <c r="Z135" s="42"/>
      <c r="AA135" s="67"/>
      <c r="AB135" s="67"/>
      <c r="AC135" s="67"/>
    </row>
    <row r="136" spans="1:68" ht="16.5" hidden="1" customHeight="1" x14ac:dyDescent="0.25">
      <c r="A136" s="723" t="s">
        <v>260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122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261</v>
      </c>
      <c r="B139" s="63" t="s">
        <v>265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40</v>
      </c>
      <c r="Y139" s="55">
        <f>IFERROR(IF(X139="",0,CEILING((X139/$H139),1)*$H139),"")</f>
        <v>41.6</v>
      </c>
      <c r="Z139" s="41">
        <f>IFERROR(IF(Y139=0,"",ROUNDUP(Y139/H139,0)*0.00651),"")</f>
        <v>8.4629999999999997E-2</v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42.249999999999993</v>
      </c>
      <c r="BN139" s="78">
        <f>IFERROR(Y139*I139/H139,"0")</f>
        <v>43.94</v>
      </c>
      <c r="BO139" s="78">
        <f>IFERROR(1/J139*(X139/H139),"0")</f>
        <v>6.8681318681318687E-2</v>
      </c>
      <c r="BP139" s="78">
        <f>IFERROR(1/J139*(Y139/H139),"0")</f>
        <v>7.1428571428571438E-2</v>
      </c>
    </row>
    <row r="140" spans="1:68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12.5</v>
      </c>
      <c r="Y140" s="43">
        <f>IFERROR(Y138/H138,"0")+IFERROR(Y139/H139,"0")</f>
        <v>13</v>
      </c>
      <c r="Z140" s="43">
        <f>IFERROR(IF(Z138="",0,Z138),"0")+IFERROR(IF(Z139="",0,Z139),"0")</f>
        <v>8.4629999999999997E-2</v>
      </c>
      <c r="AA140" s="67"/>
      <c r="AB140" s="67"/>
      <c r="AC140" s="67"/>
    </row>
    <row r="141" spans="1:68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40</v>
      </c>
      <c r="Y141" s="43">
        <f>IFERROR(SUM(Y138:Y139),"0")</f>
        <v>41.6</v>
      </c>
      <c r="Z141" s="42"/>
      <c r="AA141" s="67"/>
      <c r="AB141" s="67"/>
      <c r="AC141" s="67"/>
    </row>
    <row r="142" spans="1:68" ht="14.25" hidden="1" customHeight="1" x14ac:dyDescent="0.25">
      <c r="A142" s="724" t="s">
        <v>77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customHeight="1" x14ac:dyDescent="0.25">
      <c r="A143" s="63" t="s">
        <v>266</v>
      </c>
      <c r="B143" s="63" t="s">
        <v>267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42</v>
      </c>
      <c r="Y143" s="55">
        <f>IFERROR(IF(X143="",0,CEILING((X143/$H143),1)*$H143),"")</f>
        <v>42</v>
      </c>
      <c r="Z143" s="41">
        <f>IFERROR(IF(Y143=0,"",ROUNDUP(Y143/H143,0)*0.00651),"")</f>
        <v>9.7650000000000001E-2</v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46.02</v>
      </c>
      <c r="BN143" s="78">
        <f>IFERROR(Y143*I143/H143,"0")</f>
        <v>46.02</v>
      </c>
      <c r="BO143" s="78">
        <f>IFERROR(1/J143*(X143/H143),"0")</f>
        <v>8.241758241758243E-2</v>
      </c>
      <c r="BP143" s="78">
        <f>IFERROR(1/J143*(Y143/H143),"0")</f>
        <v>8.241758241758243E-2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15.000000000000002</v>
      </c>
      <c r="Y145" s="43">
        <f>IFERROR(Y143/H143,"0")+IFERROR(Y144/H144,"0")</f>
        <v>15.000000000000002</v>
      </c>
      <c r="Z145" s="43">
        <f>IFERROR(IF(Z143="",0,Z143),"0")+IFERROR(IF(Z144="",0,Z144),"0")</f>
        <v>9.7650000000000001E-2</v>
      </c>
      <c r="AA145" s="67"/>
      <c r="AB145" s="67"/>
      <c r="AC145" s="67"/>
    </row>
    <row r="146" spans="1:68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42</v>
      </c>
      <c r="Y146" s="43">
        <f>IFERROR(SUM(Y143:Y144),"0")</f>
        <v>42</v>
      </c>
      <c r="Z146" s="42"/>
      <c r="AA146" s="67"/>
      <c r="AB146" s="67"/>
      <c r="AC146" s="67"/>
    </row>
    <row r="147" spans="1:68" ht="14.25" hidden="1" customHeight="1" x14ac:dyDescent="0.25">
      <c r="A147" s="724" t="s">
        <v>86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customHeight="1" x14ac:dyDescent="0.25">
      <c r="A148" s="63" t="s">
        <v>270</v>
      </c>
      <c r="B148" s="63" t="s">
        <v>271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82</v>
      </c>
      <c r="Y148" s="55">
        <f>IFERROR(IF(X148="",0,CEILING((X148/$H148),1)*$H148),"")</f>
        <v>84.48</v>
      </c>
      <c r="Z148" s="41">
        <f>IFERROR(IF(Y148=0,"",ROUNDUP(Y148/H148,0)*0.00651),"")</f>
        <v>0.20832000000000001</v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90.324242424242414</v>
      </c>
      <c r="BN148" s="78">
        <f>IFERROR(Y148*I148/H148,"0")</f>
        <v>93.055999999999997</v>
      </c>
      <c r="BO148" s="78">
        <f>IFERROR(1/J148*(X148/H148),"0")</f>
        <v>0.17066267066267066</v>
      </c>
      <c r="BP148" s="78">
        <f>IFERROR(1/J148*(Y148/H148),"0")</f>
        <v>0.17582417582417584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31.060606060606059</v>
      </c>
      <c r="Y150" s="43">
        <f>IFERROR(Y148/H148,"0")+IFERROR(Y149/H149,"0")</f>
        <v>32</v>
      </c>
      <c r="Z150" s="43">
        <f>IFERROR(IF(Z148="",0,Z148),"0")+IFERROR(IF(Z149="",0,Z149),"0")</f>
        <v>0.20832000000000001</v>
      </c>
      <c r="AA150" s="67"/>
      <c r="AB150" s="67"/>
      <c r="AC150" s="67"/>
    </row>
    <row r="151" spans="1:68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82</v>
      </c>
      <c r="Y151" s="43">
        <f>IFERROR(SUM(Y148:Y149),"0")</f>
        <v>84.48</v>
      </c>
      <c r="Z151" s="42"/>
      <c r="AA151" s="67"/>
      <c r="AB151" s="67"/>
      <c r="AC151" s="67"/>
    </row>
    <row r="152" spans="1:68" ht="16.5" hidden="1" customHeight="1" x14ac:dyDescent="0.25">
      <c r="A152" s="723" t="s">
        <v>273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86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289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120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122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155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77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customHeight="1" x14ac:dyDescent="0.25">
      <c r="A180" s="63" t="s">
        <v>311</v>
      </c>
      <c r="B180" s="63" t="s">
        <v>312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200</v>
      </c>
      <c r="Y180" s="55">
        <f t="shared" ref="Y180:Y191" si="26">IFERROR(IF(X180="",0,CEILING((X180/$H180),1)*$H180),"")</f>
        <v>203</v>
      </c>
      <c r="Z180" s="41">
        <f>IFERROR(IF(Y180=0,"",ROUNDUP(Y180/H180,0)*0.00902),"")</f>
        <v>0.52316000000000007</v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210.85714285714286</v>
      </c>
      <c r="BN180" s="78">
        <f t="shared" ref="BN180:BN191" si="28">IFERROR(Y180*I180/H180,"0")</f>
        <v>214.01999999999998</v>
      </c>
      <c r="BO180" s="78">
        <f t="shared" ref="BO180:BO191" si="29">IFERROR(1/J180*(X180/H180),"0")</f>
        <v>0.43290043290043295</v>
      </c>
      <c r="BP180" s="78">
        <f t="shared" ref="BP180:BP191" si="30">IFERROR(1/J180*(Y180/H180),"0")</f>
        <v>0.43939393939393939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300</v>
      </c>
      <c r="Y182" s="55">
        <f t="shared" si="26"/>
        <v>301</v>
      </c>
      <c r="Z182" s="41">
        <f>IFERROR(IF(Y182=0,"",ROUNDUP(Y182/H182,0)*0.00902),"")</f>
        <v>0.77571999999999997</v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316.28571428571428</v>
      </c>
      <c r="BN182" s="78">
        <f t="shared" si="28"/>
        <v>317.34000000000003</v>
      </c>
      <c r="BO182" s="78">
        <f t="shared" si="29"/>
        <v>0.64935064935064934</v>
      </c>
      <c r="BP182" s="78">
        <f t="shared" si="30"/>
        <v>0.65151515151515149</v>
      </c>
    </row>
    <row r="183" spans="1:68" ht="27" customHeight="1" x14ac:dyDescent="0.25">
      <c r="A183" s="63" t="s">
        <v>320</v>
      </c>
      <c r="B183" s="63" t="s">
        <v>321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300</v>
      </c>
      <c r="Y183" s="55">
        <f t="shared" si="26"/>
        <v>301</v>
      </c>
      <c r="Z183" s="41">
        <f>IFERROR(IF(Y183=0,"",ROUNDUP(Y183/H183,0)*0.00902),"")</f>
        <v>0.77571999999999997</v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316.28571428571428</v>
      </c>
      <c r="BN183" s="78">
        <f t="shared" si="28"/>
        <v>317.34000000000003</v>
      </c>
      <c r="BO183" s="78">
        <f t="shared" si="29"/>
        <v>0.64935064935064934</v>
      </c>
      <c r="BP183" s="78">
        <f t="shared" si="30"/>
        <v>0.65151515151515149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22" t="s">
        <v>324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customHeight="1" x14ac:dyDescent="0.25">
      <c r="A185" s="63" t="s">
        <v>326</v>
      </c>
      <c r="B185" s="63" t="s">
        <v>327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9</v>
      </c>
      <c r="Y185" s="55">
        <f t="shared" si="26"/>
        <v>9</v>
      </c>
      <c r="Z185" s="41">
        <f>IFERROR(IF(Y185=0,"",ROUNDUP(Y185/H185,0)*0.00417),"")</f>
        <v>4.1700000000000001E-2</v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11.1</v>
      </c>
      <c r="BN185" s="78">
        <f t="shared" si="28"/>
        <v>11.1</v>
      </c>
      <c r="BO185" s="78">
        <f t="shared" si="29"/>
        <v>2.976190476190476E-2</v>
      </c>
      <c r="BP185" s="78">
        <f t="shared" si="30"/>
        <v>2.976190476190476E-2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24" t="s">
        <v>330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customHeight="1" x14ac:dyDescent="0.25">
      <c r="A187" s="63" t="s">
        <v>331</v>
      </c>
      <c r="B187" s="63" t="s">
        <v>332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84</v>
      </c>
      <c r="Y187" s="55">
        <f t="shared" si="26"/>
        <v>84</v>
      </c>
      <c r="Z187" s="41">
        <f>IFERROR(IF(Y187=0,"",ROUNDUP(Y187/H187,0)*0.00502),"")</f>
        <v>0.251</v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89.000000000000014</v>
      </c>
      <c r="BN187" s="78">
        <f t="shared" si="28"/>
        <v>89.000000000000014</v>
      </c>
      <c r="BO187" s="78">
        <f t="shared" si="29"/>
        <v>0.21367521367521369</v>
      </c>
      <c r="BP187" s="78">
        <f t="shared" si="30"/>
        <v>0.21367521367521369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customHeight="1" x14ac:dyDescent="0.25">
      <c r="A189" s="63" t="s">
        <v>336</v>
      </c>
      <c r="B189" s="63" t="s">
        <v>337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84</v>
      </c>
      <c r="Y189" s="55">
        <f t="shared" si="26"/>
        <v>84</v>
      </c>
      <c r="Z189" s="41">
        <f>IFERROR(IF(Y189=0,"",ROUNDUP(Y189/H189,0)*0.00502),"")</f>
        <v>0.251</v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89.000000000000014</v>
      </c>
      <c r="BN189" s="78">
        <f t="shared" si="28"/>
        <v>89.000000000000014</v>
      </c>
      <c r="BO189" s="78">
        <f t="shared" si="29"/>
        <v>0.21367521367521369</v>
      </c>
      <c r="BP189" s="78">
        <f t="shared" si="30"/>
        <v>0.21367521367521369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84</v>
      </c>
      <c r="Y191" s="55">
        <f t="shared" si="26"/>
        <v>84</v>
      </c>
      <c r="Z191" s="41">
        <f>IFERROR(IF(Y191=0,"",ROUNDUP(Y191/H191,0)*0.00502),"")</f>
        <v>0.251</v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89.000000000000014</v>
      </c>
      <c r="BN191" s="78">
        <f t="shared" si="28"/>
        <v>89.000000000000014</v>
      </c>
      <c r="BO191" s="78">
        <f t="shared" si="29"/>
        <v>0.21367521367521369</v>
      </c>
      <c r="BP191" s="78">
        <f t="shared" si="30"/>
        <v>0.21367521367521369</v>
      </c>
    </row>
    <row r="192" spans="1:68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388.57142857142856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390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2.8693</v>
      </c>
      <c r="AA192" s="67"/>
      <c r="AB192" s="67"/>
      <c r="AC192" s="67"/>
    </row>
    <row r="193" spans="1:68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1061</v>
      </c>
      <c r="Y193" s="43">
        <f>IFERROR(SUM(Y180:Y191),"0")</f>
        <v>1066</v>
      </c>
      <c r="Z193" s="42"/>
      <c r="AA193" s="67"/>
      <c r="AB193" s="67"/>
      <c r="AC193" s="67"/>
    </row>
    <row r="194" spans="1:68" ht="14.25" hidden="1" customHeight="1" x14ac:dyDescent="0.25">
      <c r="A194" s="724" t="s">
        <v>86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customHeight="1" x14ac:dyDescent="0.25">
      <c r="A196" s="63" t="s">
        <v>346</v>
      </c>
      <c r="B196" s="63" t="s">
        <v>347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8</v>
      </c>
      <c r="Y196" s="55">
        <f>IFERROR(IF(X196="",0,CEILING((X196/$H196),1)*$H196),"")</f>
        <v>10.08</v>
      </c>
      <c r="Z196" s="41">
        <f>IFERROR(IF(Y196=0,"",ROUNDUP(Y196/H196,0)*0.00651),"")</f>
        <v>2.6040000000000001E-2</v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8.7809523809523817</v>
      </c>
      <c r="BN196" s="78">
        <f>IFERROR(Y196*I196/H196,"0")</f>
        <v>11.064</v>
      </c>
      <c r="BO196" s="78">
        <f>IFERROR(1/J196*(X196/H196),"0")</f>
        <v>1.7442874585731728E-2</v>
      </c>
      <c r="BP196" s="78">
        <f>IFERROR(1/J196*(Y196/H196),"0")</f>
        <v>2.197802197802198E-2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3.1746031746031744</v>
      </c>
      <c r="Y198" s="43">
        <f>IFERROR(Y195/H195,"0")+IFERROR(Y196/H196,"0")+IFERROR(Y197/H197,"0")</f>
        <v>4</v>
      </c>
      <c r="Z198" s="43">
        <f>IFERROR(IF(Z195="",0,Z195),"0")+IFERROR(IF(Z196="",0,Z196),"0")+IFERROR(IF(Z197="",0,Z197),"0")</f>
        <v>2.6040000000000001E-2</v>
      </c>
      <c r="AA198" s="67"/>
      <c r="AB198" s="67"/>
      <c r="AC198" s="67"/>
    </row>
    <row r="199" spans="1:68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8</v>
      </c>
      <c r="Y199" s="43">
        <f>IFERROR(SUM(Y195:Y197),"0")</f>
        <v>10.08</v>
      </c>
      <c r="Z199" s="42"/>
      <c r="AA199" s="67"/>
      <c r="AB199" s="67"/>
      <c r="AC199" s="67"/>
    </row>
    <row r="200" spans="1:68" ht="14.25" hidden="1" customHeight="1" x14ac:dyDescent="0.25">
      <c r="A200" s="724" t="s">
        <v>289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356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360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361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122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customHeight="1" x14ac:dyDescent="0.25">
      <c r="A216" s="63" t="s">
        <v>376</v>
      </c>
      <c r="B216" s="63" t="s">
        <v>377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100</v>
      </c>
      <c r="Y216" s="55">
        <f t="shared" si="31"/>
        <v>108</v>
      </c>
      <c r="Z216" s="41">
        <f t="shared" si="32"/>
        <v>0.1898</v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103.79629629629629</v>
      </c>
      <c r="BN216" s="78">
        <f t="shared" si="34"/>
        <v>112.1</v>
      </c>
      <c r="BO216" s="78">
        <f t="shared" si="35"/>
        <v>0.14467592592592593</v>
      </c>
      <c r="BP216" s="78">
        <f t="shared" si="36"/>
        <v>0.15625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9.2592592592592595</v>
      </c>
      <c r="Y218" s="43">
        <f>IFERROR(Y211/H211,"0")+IFERROR(Y212/H212,"0")+IFERROR(Y213/H213,"0")+IFERROR(Y214/H214,"0")+IFERROR(Y215/H215,"0")+IFERROR(Y216/H216,"0")+IFERROR(Y217/H217,"0")</f>
        <v>10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0.1898</v>
      </c>
      <c r="AA218" s="67"/>
      <c r="AB218" s="67"/>
      <c r="AC218" s="67"/>
    </row>
    <row r="219" spans="1:68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100</v>
      </c>
      <c r="Y219" s="43">
        <f>IFERROR(SUM(Y211:Y217),"0")</f>
        <v>108</v>
      </c>
      <c r="Z219" s="42"/>
      <c r="AA219" s="67"/>
      <c r="AB219" s="67"/>
      <c r="AC219" s="67"/>
    </row>
    <row r="220" spans="1:68" ht="16.5" hidden="1" customHeight="1" x14ac:dyDescent="0.25">
      <c r="A220" s="723" t="s">
        <v>382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155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77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customHeight="1" x14ac:dyDescent="0.25">
      <c r="A227" s="63" t="s">
        <v>389</v>
      </c>
      <c r="B227" s="63" t="s">
        <v>390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50</v>
      </c>
      <c r="Y227" s="55">
        <f t="shared" si="37"/>
        <v>50.400000000000006</v>
      </c>
      <c r="Z227" s="41">
        <f>IFERROR(IF(Y227=0,"",ROUNDUP(Y227/H227,0)*0.00902),"")</f>
        <v>0.10824</v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52.976190476190474</v>
      </c>
      <c r="BN227" s="78">
        <f t="shared" si="39"/>
        <v>53.400000000000006</v>
      </c>
      <c r="BO227" s="78">
        <f t="shared" si="40"/>
        <v>9.0187590187590191E-2</v>
      </c>
      <c r="BP227" s="78">
        <f t="shared" si="41"/>
        <v>9.0909090909090912E-2</v>
      </c>
    </row>
    <row r="228" spans="1:68" ht="27" customHeight="1" x14ac:dyDescent="0.25">
      <c r="A228" s="63" t="s">
        <v>392</v>
      </c>
      <c r="B228" s="63" t="s">
        <v>393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200</v>
      </c>
      <c r="Y228" s="55">
        <f t="shared" si="37"/>
        <v>201.60000000000002</v>
      </c>
      <c r="Z228" s="41">
        <f>IFERROR(IF(Y228=0,"",ROUNDUP(Y228/H228,0)*0.00902),"")</f>
        <v>0.43296000000000001</v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209.04761904761901</v>
      </c>
      <c r="BN228" s="78">
        <f t="shared" si="39"/>
        <v>210.72</v>
      </c>
      <c r="BO228" s="78">
        <f t="shared" si="40"/>
        <v>0.36075036075036077</v>
      </c>
      <c r="BP228" s="78">
        <f t="shared" si="41"/>
        <v>0.36363636363636365</v>
      </c>
    </row>
    <row r="229" spans="1:68" ht="37.5" customHeight="1" x14ac:dyDescent="0.25">
      <c r="A229" s="63" t="s">
        <v>395</v>
      </c>
      <c r="B229" s="63" t="s">
        <v>396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8</v>
      </c>
      <c r="Y229" s="55">
        <f t="shared" si="37"/>
        <v>8</v>
      </c>
      <c r="Z229" s="41">
        <f>IFERROR(IF(Y229=0,"",ROUNDUP(Y229/H229,0)*0.00556),"")</f>
        <v>5.5599999999999997E-2</v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9.3000000000000007</v>
      </c>
      <c r="BN229" s="78">
        <f t="shared" si="39"/>
        <v>9.3000000000000007</v>
      </c>
      <c r="BO229" s="78">
        <f t="shared" si="40"/>
        <v>3.968253968253968E-2</v>
      </c>
      <c r="BP229" s="78">
        <f t="shared" si="41"/>
        <v>3.968253968253968E-2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customHeight="1" x14ac:dyDescent="0.25">
      <c r="A236" s="63" t="s">
        <v>414</v>
      </c>
      <c r="B236" s="63" t="s">
        <v>415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8</v>
      </c>
      <c r="Y236" s="55">
        <f t="shared" si="37"/>
        <v>8</v>
      </c>
      <c r="Z236" s="41">
        <f>IFERROR(IF(Y236=0,"",ROUNDUP(Y236/H236,0)*0.00417),"")</f>
        <v>4.1700000000000001E-2</v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10.1</v>
      </c>
      <c r="BN236" s="78">
        <f t="shared" si="39"/>
        <v>10.1</v>
      </c>
      <c r="BO236" s="78">
        <f t="shared" si="40"/>
        <v>2.976190476190476E-2</v>
      </c>
      <c r="BP236" s="78">
        <f t="shared" si="41"/>
        <v>2.976190476190476E-2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79.523809523809518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80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0.63849999999999996</v>
      </c>
      <c r="AA240" s="67"/>
      <c r="AB240" s="67"/>
      <c r="AC240" s="67"/>
    </row>
    <row r="241" spans="1:68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266</v>
      </c>
      <c r="Y241" s="43">
        <f>IFERROR(SUM(Y226:Y239),"0")</f>
        <v>268</v>
      </c>
      <c r="Z241" s="42"/>
      <c r="AA241" s="67"/>
      <c r="AB241" s="67"/>
      <c r="AC241" s="67"/>
    </row>
    <row r="242" spans="1:68" ht="14.25" hidden="1" customHeight="1" x14ac:dyDescent="0.25">
      <c r="A242" s="724" t="s">
        <v>86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289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446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customHeight="1" x14ac:dyDescent="0.25">
      <c r="A257" s="63" t="s">
        <v>447</v>
      </c>
      <c r="B257" s="63" t="s">
        <v>448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7</v>
      </c>
      <c r="Y257" s="55">
        <f>IFERROR(IF(X257="",0,CEILING((X257/$H257),1)*$H257),"")</f>
        <v>7.5600000000000005</v>
      </c>
      <c r="Z257" s="41">
        <f>IFERROR(IF(Y257=0,"",ROUNDUP(Y257/H257,0)*0.0059),"")</f>
        <v>3.5400000000000001E-2</v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8.0555555555555554</v>
      </c>
      <c r="BN257" s="78">
        <f>IFERROR(Y257*I257/H257,"0")</f>
        <v>8.6999999999999993</v>
      </c>
      <c r="BO257" s="78">
        <f>IFERROR(1/J257*(X257/H257),"0")</f>
        <v>2.5720164609053495E-2</v>
      </c>
      <c r="BP257" s="78">
        <f>IFERROR(1/J257*(Y257/H257),"0")</f>
        <v>2.7777777777777776E-2</v>
      </c>
    </row>
    <row r="258" spans="1:68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5.5555555555555554</v>
      </c>
      <c r="Y258" s="43">
        <f>IFERROR(Y257/H257,"0")</f>
        <v>6</v>
      </c>
      <c r="Z258" s="43">
        <f>IFERROR(IF(Z257="",0,Z257),"0")</f>
        <v>3.5400000000000001E-2</v>
      </c>
      <c r="AA258" s="67"/>
      <c r="AB258" s="67"/>
      <c r="AC258" s="67"/>
    </row>
    <row r="259" spans="1:68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7</v>
      </c>
      <c r="Y259" s="43">
        <f>IFERROR(SUM(Y257:Y257),"0")</f>
        <v>7.5600000000000005</v>
      </c>
      <c r="Z259" s="42"/>
      <c r="AA259" s="67"/>
      <c r="AB259" s="67"/>
      <c r="AC259" s="67"/>
    </row>
    <row r="260" spans="1:68" ht="16.5" hidden="1" customHeight="1" x14ac:dyDescent="0.25">
      <c r="A260" s="723" t="s">
        <v>449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122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155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77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customHeight="1" x14ac:dyDescent="0.25">
      <c r="A272" s="63" t="s">
        <v>460</v>
      </c>
      <c r="B272" s="63" t="s">
        <v>461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400</v>
      </c>
      <c r="Y272" s="55">
        <f t="shared" ref="Y272:Y279" si="43">IFERROR(IF(X272="",0,CEILING((X272/$H272),1)*$H272),"")</f>
        <v>405</v>
      </c>
      <c r="Z272" s="41">
        <f>IFERROR(IF(Y272=0,"",ROUNDUP(Y272/H272,0)*0.00902),"")</f>
        <v>0.67649999999999999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414.07407407407402</v>
      </c>
      <c r="BN272" s="78">
        <f t="shared" ref="BN272:BN279" si="45">IFERROR(Y272*I272/H272,"0")</f>
        <v>419.24999999999994</v>
      </c>
      <c r="BO272" s="78">
        <f t="shared" ref="BO272:BO279" si="46">IFERROR(1/J272*(X272/H272),"0")</f>
        <v>0.5611672278338945</v>
      </c>
      <c r="BP272" s="78">
        <f t="shared" ref="BP272:BP279" si="47">IFERROR(1/J272*(Y272/H272),"0")</f>
        <v>0.56818181818181823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180</v>
      </c>
      <c r="Y276" s="55">
        <f t="shared" si="43"/>
        <v>180</v>
      </c>
      <c r="Z276" s="41">
        <f>IFERROR(IF(Y276=0,"",ROUNDUP(Y276/H276,0)*0.00502),"")</f>
        <v>0.502</v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192.99999999999997</v>
      </c>
      <c r="BN276" s="78">
        <f t="shared" si="45"/>
        <v>192.99999999999997</v>
      </c>
      <c r="BO276" s="78">
        <f t="shared" si="46"/>
        <v>0.42735042735042739</v>
      </c>
      <c r="BP276" s="78">
        <f t="shared" si="47"/>
        <v>0.42735042735042739</v>
      </c>
    </row>
    <row r="277" spans="1:68" ht="27" customHeight="1" x14ac:dyDescent="0.25">
      <c r="A277" s="63" t="s">
        <v>474</v>
      </c>
      <c r="B277" s="63" t="s">
        <v>475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180</v>
      </c>
      <c r="Y277" s="55">
        <f t="shared" si="43"/>
        <v>180</v>
      </c>
      <c r="Z277" s="41">
        <f>IFERROR(IF(Y277=0,"",ROUNDUP(Y277/H277,0)*0.00502),"")</f>
        <v>0.502</v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190</v>
      </c>
      <c r="BN277" s="78">
        <f t="shared" si="45"/>
        <v>190</v>
      </c>
      <c r="BO277" s="78">
        <f t="shared" si="46"/>
        <v>0.42735042735042739</v>
      </c>
      <c r="BP277" s="78">
        <f t="shared" si="47"/>
        <v>0.42735042735042739</v>
      </c>
    </row>
    <row r="278" spans="1:68" ht="27" customHeight="1" x14ac:dyDescent="0.25">
      <c r="A278" s="63" t="s">
        <v>476</v>
      </c>
      <c r="B278" s="63" t="s">
        <v>477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180</v>
      </c>
      <c r="Y278" s="55">
        <f t="shared" si="43"/>
        <v>180</v>
      </c>
      <c r="Z278" s="41">
        <f>IFERROR(IF(Y278=0,"",ROUNDUP(Y278/H278,0)*0.00502),"")</f>
        <v>0.502</v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190</v>
      </c>
      <c r="BN278" s="78">
        <f t="shared" si="45"/>
        <v>190</v>
      </c>
      <c r="BO278" s="78">
        <f t="shared" si="46"/>
        <v>0.42735042735042739</v>
      </c>
      <c r="BP278" s="78">
        <f t="shared" si="47"/>
        <v>0.42735042735042739</v>
      </c>
    </row>
    <row r="279" spans="1:68" ht="27" customHeight="1" x14ac:dyDescent="0.25">
      <c r="A279" s="63" t="s">
        <v>478</v>
      </c>
      <c r="B279" s="63" t="s">
        <v>479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120</v>
      </c>
      <c r="Y279" s="55">
        <f t="shared" si="43"/>
        <v>120.60000000000001</v>
      </c>
      <c r="Z279" s="41">
        <f>IFERROR(IF(Y279=0,"",ROUNDUP(Y279/H279,0)*0.00502),"")</f>
        <v>0.33634000000000003</v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126.66666666666666</v>
      </c>
      <c r="BN279" s="78">
        <f t="shared" si="45"/>
        <v>127.30000000000001</v>
      </c>
      <c r="BO279" s="78">
        <f t="shared" si="46"/>
        <v>0.28490028490028496</v>
      </c>
      <c r="BP279" s="78">
        <f t="shared" si="47"/>
        <v>0.28632478632478636</v>
      </c>
    </row>
    <row r="280" spans="1:68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440.74074074074076</v>
      </c>
      <c r="Y280" s="43">
        <f>IFERROR(Y272/H272,"0")+IFERROR(Y273/H273,"0")+IFERROR(Y274/H274,"0")+IFERROR(Y275/H275,"0")+IFERROR(Y276/H276,"0")+IFERROR(Y277/H277,"0")+IFERROR(Y278/H278,"0")+IFERROR(Y279/H279,"0")</f>
        <v>442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2.51884</v>
      </c>
      <c r="AA280" s="67"/>
      <c r="AB280" s="67"/>
      <c r="AC280" s="67"/>
    </row>
    <row r="281" spans="1:68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1060</v>
      </c>
      <c r="Y281" s="43">
        <f>IFERROR(SUM(Y272:Y279),"0")</f>
        <v>1065.5999999999999</v>
      </c>
      <c r="Z281" s="42"/>
      <c r="AA281" s="67"/>
      <c r="AB281" s="67"/>
      <c r="AC281" s="67"/>
    </row>
    <row r="282" spans="1:68" ht="14.25" hidden="1" customHeight="1" x14ac:dyDescent="0.25">
      <c r="A282" s="724" t="s">
        <v>86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customHeight="1" x14ac:dyDescent="0.25">
      <c r="A283" s="63" t="s">
        <v>480</v>
      </c>
      <c r="B283" s="63" t="s">
        <v>481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600</v>
      </c>
      <c r="Y283" s="55">
        <f t="shared" ref="Y283:Y294" si="48">IFERROR(IF(X283="",0,CEILING((X283/$H283),1)*$H283),"")</f>
        <v>607.5</v>
      </c>
      <c r="Z283" s="41">
        <f>IFERROR(IF(Y283=0,"",ROUNDUP(Y283/H283,0)*0.01898),"")</f>
        <v>1.4235</v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636.59259259259261</v>
      </c>
      <c r="BN283" s="78">
        <f t="shared" ref="BN283:BN294" si="50">IFERROR(Y283*I283/H283,"0")</f>
        <v>644.54999999999995</v>
      </c>
      <c r="BO283" s="78">
        <f t="shared" ref="BO283:BO294" si="51">IFERROR(1/J283*(X283/H283),"0")</f>
        <v>1.1574074074074074</v>
      </c>
      <c r="BP283" s="78">
        <f t="shared" ref="BP283:BP294" si="52">IFERROR(1/J283*(Y283/H283),"0")</f>
        <v>1.171875</v>
      </c>
    </row>
    <row r="284" spans="1:68" ht="27" customHeight="1" x14ac:dyDescent="0.25">
      <c r="A284" s="63" t="s">
        <v>483</v>
      </c>
      <c r="B284" s="63" t="s">
        <v>484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250</v>
      </c>
      <c r="Y284" s="55">
        <f t="shared" si="48"/>
        <v>251.1</v>
      </c>
      <c r="Z284" s="41">
        <f>IFERROR(IF(Y284=0,"",ROUNDUP(Y284/H284,0)*0.01898),"")</f>
        <v>0.58838000000000001</v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264.6913580246914</v>
      </c>
      <c r="BN284" s="78">
        <f t="shared" si="50"/>
        <v>265.85600000000005</v>
      </c>
      <c r="BO284" s="78">
        <f t="shared" si="51"/>
        <v>0.48225308641975312</v>
      </c>
      <c r="BP284" s="78">
        <f t="shared" si="52"/>
        <v>0.484375</v>
      </c>
    </row>
    <row r="285" spans="1:68" ht="27" customHeight="1" x14ac:dyDescent="0.25">
      <c r="A285" s="63" t="s">
        <v>486</v>
      </c>
      <c r="B285" s="63" t="s">
        <v>487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200</v>
      </c>
      <c r="Y285" s="55">
        <f t="shared" si="48"/>
        <v>200.1</v>
      </c>
      <c r="Z285" s="41">
        <f>IFERROR(IF(Y285=0,"",ROUNDUP(Y285/H285,0)*0.01898),"")</f>
        <v>0.43653999999999998</v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211.35632183908049</v>
      </c>
      <c r="BN285" s="78">
        <f t="shared" si="50"/>
        <v>211.46200000000005</v>
      </c>
      <c r="BO285" s="78">
        <f t="shared" si="51"/>
        <v>0.35919540229885061</v>
      </c>
      <c r="BP285" s="78">
        <f t="shared" si="52"/>
        <v>0.359375</v>
      </c>
    </row>
    <row r="286" spans="1:68" ht="27" customHeight="1" x14ac:dyDescent="0.25">
      <c r="A286" s="63" t="s">
        <v>489</v>
      </c>
      <c r="B286" s="63" t="s">
        <v>490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640</v>
      </c>
      <c r="Y286" s="55">
        <f t="shared" si="48"/>
        <v>640.79999999999995</v>
      </c>
      <c r="Z286" s="41">
        <f>IFERROR(IF(Y286=0,"",ROUNDUP(Y286/H286,0)*0.00651),"")</f>
        <v>1.73817</v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712</v>
      </c>
      <c r="BN286" s="78">
        <f t="shared" si="50"/>
        <v>712.89</v>
      </c>
      <c r="BO286" s="78">
        <f t="shared" si="51"/>
        <v>1.4652014652014653</v>
      </c>
      <c r="BP286" s="78">
        <f t="shared" si="52"/>
        <v>1.4670329670329672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600</v>
      </c>
      <c r="Y289" s="55">
        <f t="shared" si="48"/>
        <v>600</v>
      </c>
      <c r="Z289" s="41">
        <f>IFERROR(IF(Y289=0,"",ROUNDUP(Y289/H289,0)*0.00651),"")</f>
        <v>1.6274999999999999</v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663</v>
      </c>
      <c r="BN289" s="78">
        <f t="shared" si="50"/>
        <v>663</v>
      </c>
      <c r="BO289" s="78">
        <f t="shared" si="51"/>
        <v>1.3736263736263736</v>
      </c>
      <c r="BP289" s="78">
        <f t="shared" si="52"/>
        <v>1.3736263736263736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502</v>
      </c>
      <c r="B292" s="63" t="s">
        <v>503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120</v>
      </c>
      <c r="Y292" s="55">
        <f t="shared" si="48"/>
        <v>120</v>
      </c>
      <c r="Z292" s="41">
        <f>IFERROR(IF(Y292=0,"",ROUNDUP(Y292/H292,0)*0.00651),"")</f>
        <v>0.32550000000000001</v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132.60000000000002</v>
      </c>
      <c r="BN292" s="78">
        <f t="shared" si="50"/>
        <v>132.60000000000002</v>
      </c>
      <c r="BO292" s="78">
        <f t="shared" si="51"/>
        <v>0.27472527472527475</v>
      </c>
      <c r="BP292" s="78">
        <f t="shared" si="52"/>
        <v>0.27472527472527475</v>
      </c>
    </row>
    <row r="293" spans="1:68" ht="27" customHeight="1" x14ac:dyDescent="0.25">
      <c r="A293" s="63" t="s">
        <v>505</v>
      </c>
      <c r="B293" s="63" t="s">
        <v>506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440</v>
      </c>
      <c r="Y293" s="55">
        <f t="shared" si="48"/>
        <v>441.59999999999997</v>
      </c>
      <c r="Z293" s="41">
        <f>IFERROR(IF(Y293=0,"",ROUNDUP(Y293/H293,0)*0.00651),"")</f>
        <v>1.19784</v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487.3</v>
      </c>
      <c r="BN293" s="78">
        <f t="shared" si="50"/>
        <v>489.072</v>
      </c>
      <c r="BO293" s="78">
        <f t="shared" si="51"/>
        <v>1.0073260073260075</v>
      </c>
      <c r="BP293" s="78">
        <f t="shared" si="52"/>
        <v>1.0109890109890112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877.92677735206473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880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7.3374300000000003</v>
      </c>
      <c r="AA295" s="67"/>
      <c r="AB295" s="67"/>
      <c r="AC295" s="67"/>
    </row>
    <row r="296" spans="1:68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2850</v>
      </c>
      <c r="Y296" s="43">
        <f>IFERROR(SUM(Y283:Y294),"0")</f>
        <v>2861.1</v>
      </c>
      <c r="Z296" s="42"/>
      <c r="AA296" s="67"/>
      <c r="AB296" s="67"/>
      <c r="AC296" s="67"/>
    </row>
    <row r="297" spans="1:68" ht="14.25" hidden="1" customHeight="1" x14ac:dyDescent="0.25">
      <c r="A297" s="724" t="s">
        <v>173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customHeight="1" x14ac:dyDescent="0.25">
      <c r="A298" s="63" t="s">
        <v>511</v>
      </c>
      <c r="B298" s="63" t="s">
        <v>512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40</v>
      </c>
      <c r="Y298" s="55">
        <f>IFERROR(IF(X298="",0,CEILING((X298/$H298),1)*$H298),"")</f>
        <v>40.799999999999997</v>
      </c>
      <c r="Z298" s="41">
        <f>IFERROR(IF(Y298=0,"",ROUNDUP(Y298/H298,0)*0.00651),"")</f>
        <v>0.11067</v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44.20000000000001</v>
      </c>
      <c r="BN298" s="78">
        <f>IFERROR(Y298*I298/H298,"0")</f>
        <v>45.084000000000003</v>
      </c>
      <c r="BO298" s="78">
        <f>IFERROR(1/J298*(X298/H298),"0")</f>
        <v>9.1575091575091583E-2</v>
      </c>
      <c r="BP298" s="78">
        <f>IFERROR(1/J298*(Y298/H298),"0")</f>
        <v>9.3406593406593408E-2</v>
      </c>
    </row>
    <row r="299" spans="1:68" ht="27" customHeight="1" x14ac:dyDescent="0.25">
      <c r="A299" s="63" t="s">
        <v>514</v>
      </c>
      <c r="B299" s="63" t="s">
        <v>515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120</v>
      </c>
      <c r="Y299" s="55">
        <f>IFERROR(IF(X299="",0,CEILING((X299/$H299),1)*$H299),"")</f>
        <v>120</v>
      </c>
      <c r="Z299" s="41">
        <f>IFERROR(IF(Y299=0,"",ROUNDUP(Y299/H299,0)*0.00651),"")</f>
        <v>0.32550000000000001</v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132.60000000000002</v>
      </c>
      <c r="BN299" s="78">
        <f>IFERROR(Y299*I299/H299,"0")</f>
        <v>132.60000000000002</v>
      </c>
      <c r="BO299" s="78">
        <f>IFERROR(1/J299*(X299/H299),"0")</f>
        <v>0.27472527472527475</v>
      </c>
      <c r="BP299" s="78">
        <f>IFERROR(1/J299*(Y299/H299),"0")</f>
        <v>0.27472527472527475</v>
      </c>
    </row>
    <row r="300" spans="1:68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66.666666666666671</v>
      </c>
      <c r="Y300" s="43">
        <f>IFERROR(Y298/H298,"0")+IFERROR(Y299/H299,"0")</f>
        <v>67</v>
      </c>
      <c r="Z300" s="43">
        <f>IFERROR(IF(Z298="",0,Z298),"0")+IFERROR(IF(Z299="",0,Z299),"0")</f>
        <v>0.43617</v>
      </c>
      <c r="AA300" s="67"/>
      <c r="AB300" s="67"/>
      <c r="AC300" s="67"/>
    </row>
    <row r="301" spans="1:68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160</v>
      </c>
      <c r="Y301" s="43">
        <f>IFERROR(SUM(Y298:Y299),"0")</f>
        <v>160.80000000000001</v>
      </c>
      <c r="Z301" s="42"/>
      <c r="AA301" s="67"/>
      <c r="AB301" s="67"/>
      <c r="AC301" s="67"/>
    </row>
    <row r="302" spans="1:68" ht="16.5" hidden="1" customHeight="1" x14ac:dyDescent="0.25">
      <c r="A302" s="723" t="s">
        <v>517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122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155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539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356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550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122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566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86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570</v>
      </c>
      <c r="B339" s="63" t="s">
        <v>571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80</v>
      </c>
      <c r="Y339" s="55">
        <f>IFERROR(IF(X339="",0,CEILING((X339/$H339),1)*$H339),"")</f>
        <v>81.599999999999994</v>
      </c>
      <c r="Z339" s="41">
        <f>IFERROR(IF(Y339=0,"",ROUNDUP(Y339/H339,0)*0.00651),"")</f>
        <v>0.22134000000000001</v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88.40000000000002</v>
      </c>
      <c r="BN339" s="78">
        <f>IFERROR(Y339*I339/H339,"0")</f>
        <v>90.168000000000006</v>
      </c>
      <c r="BO339" s="78">
        <f>IFERROR(1/J339*(X339/H339),"0")</f>
        <v>0.18315018315018317</v>
      </c>
      <c r="BP339" s="78">
        <f>IFERROR(1/J339*(Y339/H339),"0")</f>
        <v>0.18681318681318682</v>
      </c>
    </row>
    <row r="340" spans="1:68" ht="27" customHeight="1" x14ac:dyDescent="0.25">
      <c r="A340" s="63" t="s">
        <v>573</v>
      </c>
      <c r="B340" s="63" t="s">
        <v>574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600</v>
      </c>
      <c r="Y340" s="55">
        <f>IFERROR(IF(X340="",0,CEILING((X340/$H340),1)*$H340),"")</f>
        <v>600</v>
      </c>
      <c r="Z340" s="41">
        <f>IFERROR(IF(Y340=0,"",ROUNDUP(Y340/H340,0)*0.00651),"")</f>
        <v>1.6274999999999999</v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645</v>
      </c>
      <c r="BN340" s="78">
        <f>IFERROR(Y340*I340/H340,"0")</f>
        <v>645</v>
      </c>
      <c r="BO340" s="78">
        <f>IFERROR(1/J340*(X340/H340),"0")</f>
        <v>1.3736263736263736</v>
      </c>
      <c r="BP340" s="78">
        <f>IFERROR(1/J340*(Y340/H340),"0")</f>
        <v>1.3736263736263736</v>
      </c>
    </row>
    <row r="341" spans="1:68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283.33333333333331</v>
      </c>
      <c r="Y341" s="43">
        <f>IFERROR(Y338/H338,"0")+IFERROR(Y339/H339,"0")+IFERROR(Y340/H340,"0")</f>
        <v>284</v>
      </c>
      <c r="Z341" s="43">
        <f>IFERROR(IF(Z338="",0,Z338),"0")+IFERROR(IF(Z339="",0,Z339),"0")+IFERROR(IF(Z340="",0,Z340),"0")</f>
        <v>1.84884</v>
      </c>
      <c r="AA341" s="67"/>
      <c r="AB341" s="67"/>
      <c r="AC341" s="67"/>
    </row>
    <row r="342" spans="1:68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680</v>
      </c>
      <c r="Y342" s="43">
        <f>IFERROR(SUM(Y338:Y340),"0")</f>
        <v>681.6</v>
      </c>
      <c r="Z342" s="42"/>
      <c r="AA342" s="67"/>
      <c r="AB342" s="67"/>
      <c r="AC342" s="67"/>
    </row>
    <row r="343" spans="1:68" ht="16.5" hidden="1" customHeight="1" x14ac:dyDescent="0.25">
      <c r="A343" s="723" t="s">
        <v>575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77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86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596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122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customHeight="1" x14ac:dyDescent="0.25">
      <c r="A359" s="63" t="s">
        <v>597</v>
      </c>
      <c r="B359" s="63" t="s">
        <v>598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200</v>
      </c>
      <c r="Y359" s="55">
        <f>IFERROR(IF(X359="",0,CEILING((X359/$H359),1)*$H359),"")</f>
        <v>202.79999999999998</v>
      </c>
      <c r="Z359" s="41">
        <f>IFERROR(IF(Y359=0,"",ROUNDUP(Y359/H359,0)*0.01898),"")</f>
        <v>0.49348000000000003</v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210.51282051282055</v>
      </c>
      <c r="BN359" s="78">
        <f>IFERROR(Y359*I359/H359,"0")</f>
        <v>213.46</v>
      </c>
      <c r="BO359" s="78">
        <f>IFERROR(1/J359*(X359/H359),"0")</f>
        <v>0.40064102564102566</v>
      </c>
      <c r="BP359" s="78">
        <f>IFERROR(1/J359*(Y359/H359),"0")</f>
        <v>0.40625</v>
      </c>
    </row>
    <row r="360" spans="1:68" ht="27" customHeight="1" x14ac:dyDescent="0.25">
      <c r="A360" s="63" t="s">
        <v>599</v>
      </c>
      <c r="B360" s="63" t="s">
        <v>600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200</v>
      </c>
      <c r="Y360" s="55">
        <f>IFERROR(IF(X360="",0,CEILING((X360/$H360),1)*$H360),"")</f>
        <v>202.79999999999998</v>
      </c>
      <c r="Z360" s="41">
        <f>IFERROR(IF(Y360=0,"",ROUNDUP(Y360/H360,0)*0.01898),"")</f>
        <v>0.49348000000000003</v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210.51282051282055</v>
      </c>
      <c r="BN360" s="78">
        <f>IFERROR(Y360*I360/H360,"0")</f>
        <v>213.46</v>
      </c>
      <c r="BO360" s="78">
        <f>IFERROR(1/J360*(X360/H360),"0")</f>
        <v>0.40064102564102566</v>
      </c>
      <c r="BP360" s="78">
        <f>IFERROR(1/J360*(Y360/H360),"0")</f>
        <v>0.40625</v>
      </c>
    </row>
    <row r="361" spans="1:68" ht="27" customHeight="1" x14ac:dyDescent="0.25">
      <c r="A361" s="63" t="s">
        <v>602</v>
      </c>
      <c r="B361" s="63" t="s">
        <v>603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150</v>
      </c>
      <c r="Y361" s="55">
        <f>IFERROR(IF(X361="",0,CEILING((X361/$H361),1)*$H361),"")</f>
        <v>156</v>
      </c>
      <c r="Z361" s="41">
        <f>IFERROR(IF(Y361=0,"",ROUNDUP(Y361/H361,0)*0.01898),"")</f>
        <v>0.37959999999999999</v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157.88461538461542</v>
      </c>
      <c r="BN361" s="78">
        <f>IFERROR(Y361*I361/H361,"0")</f>
        <v>164.20000000000005</v>
      </c>
      <c r="BO361" s="78">
        <f>IFERROR(1/J361*(X361/H361),"0")</f>
        <v>0.30048076923076922</v>
      </c>
      <c r="BP361" s="78">
        <f>IFERROR(1/J361*(Y361/H361),"0")</f>
        <v>0.3125</v>
      </c>
    </row>
    <row r="362" spans="1:68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70.512820512820511</v>
      </c>
      <c r="Y362" s="43">
        <f>IFERROR(Y359/H359,"0")+IFERROR(Y360/H360,"0")+IFERROR(Y361/H361,"0")</f>
        <v>72</v>
      </c>
      <c r="Z362" s="43">
        <f>IFERROR(IF(Z359="",0,Z359),"0")+IFERROR(IF(Z360="",0,Z360),"0")+IFERROR(IF(Z361="",0,Z361),"0")</f>
        <v>1.36656</v>
      </c>
      <c r="AA362" s="67"/>
      <c r="AB362" s="67"/>
      <c r="AC362" s="67"/>
    </row>
    <row r="363" spans="1:68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550</v>
      </c>
      <c r="Y363" s="43">
        <f>IFERROR(SUM(Y359:Y361),"0")</f>
        <v>561.59999999999991</v>
      </c>
      <c r="Z363" s="42"/>
      <c r="AA363" s="67"/>
      <c r="AB363" s="67"/>
      <c r="AC363" s="67"/>
    </row>
    <row r="364" spans="1:68" ht="16.5" hidden="1" customHeight="1" x14ac:dyDescent="0.25">
      <c r="A364" s="723" t="s">
        <v>605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122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customHeight="1" x14ac:dyDescent="0.25">
      <c r="A366" s="63" t="s">
        <v>606</v>
      </c>
      <c r="B366" s="63" t="s">
        <v>607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50</v>
      </c>
      <c r="Y366" s="55">
        <f t="shared" ref="Y366:Y371" si="58">IFERROR(IF(X366="",0,CEILING((X366/$H366),1)*$H366),"")</f>
        <v>54</v>
      </c>
      <c r="Z366" s="41">
        <f>IFERROR(IF(Y366=0,"",ROUNDUP(Y366/H366,0)*0.01898),"")</f>
        <v>9.4899999999999998E-2</v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51.898148148148145</v>
      </c>
      <c r="BN366" s="78">
        <f t="shared" ref="BN366:BN371" si="60">IFERROR(Y366*I366/H366,"0")</f>
        <v>56.05</v>
      </c>
      <c r="BO366" s="78">
        <f t="shared" ref="BO366:BO371" si="61">IFERROR(1/J366*(X366/H366),"0")</f>
        <v>7.2337962962962965E-2</v>
      </c>
      <c r="BP366" s="78">
        <f t="shared" ref="BP366:BP371" si="62">IFERROR(1/J366*(Y366/H366),"0")</f>
        <v>7.8125E-2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4.6296296296296298</v>
      </c>
      <c r="Y372" s="43">
        <f>IFERROR(Y366/H366,"0")+IFERROR(Y367/H367,"0")+IFERROR(Y368/H368,"0")+IFERROR(Y369/H369,"0")+IFERROR(Y370/H370,"0")+IFERROR(Y371/H371,"0")</f>
        <v>5</v>
      </c>
      <c r="Z372" s="43">
        <f>IFERROR(IF(Z366="",0,Z366),"0")+IFERROR(IF(Z367="",0,Z367),"0")+IFERROR(IF(Z368="",0,Z368),"0")+IFERROR(IF(Z369="",0,Z369),"0")+IFERROR(IF(Z370="",0,Z370),"0")+IFERROR(IF(Z371="",0,Z371),"0")</f>
        <v>9.4899999999999998E-2</v>
      </c>
      <c r="AA372" s="67"/>
      <c r="AB372" s="67"/>
      <c r="AC372" s="67"/>
    </row>
    <row r="373" spans="1:68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50</v>
      </c>
      <c r="Y373" s="43">
        <f>IFERROR(SUM(Y366:Y371),"0")</f>
        <v>54</v>
      </c>
      <c r="Z373" s="42"/>
      <c r="AA373" s="67"/>
      <c r="AB373" s="67"/>
      <c r="AC373" s="67"/>
    </row>
    <row r="374" spans="1:68" ht="14.25" hidden="1" customHeight="1" x14ac:dyDescent="0.25">
      <c r="A374" s="724" t="s">
        <v>77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623</v>
      </c>
      <c r="B375" s="63" t="s">
        <v>624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632</v>
      </c>
      <c r="B378" s="63" t="s">
        <v>633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customHeight="1" x14ac:dyDescent="0.25">
      <c r="A379" s="63" t="s">
        <v>634</v>
      </c>
      <c r="B379" s="63" t="s">
        <v>635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350</v>
      </c>
      <c r="Y379" s="55">
        <f t="shared" si="63"/>
        <v>350.7</v>
      </c>
      <c r="Z379" s="41">
        <f>IFERROR(IF(Y379=0,"",ROUNDUP(Y379/H379,0)*0.00502),"")</f>
        <v>0.83833999999999997</v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366.66666666666669</v>
      </c>
      <c r="BN379" s="78">
        <f t="shared" si="65"/>
        <v>367.40000000000003</v>
      </c>
      <c r="BO379" s="78">
        <f t="shared" si="66"/>
        <v>0.71225071225071224</v>
      </c>
      <c r="BP379" s="78">
        <f t="shared" si="67"/>
        <v>0.71367521367521369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166.66666666666666</v>
      </c>
      <c r="Y382" s="43">
        <f>IFERROR(Y375/H375,"0")+IFERROR(Y376/H376,"0")+IFERROR(Y377/H377,"0")+IFERROR(Y378/H378,"0")+IFERROR(Y379/H379,"0")+IFERROR(Y380/H380,"0")+IFERROR(Y381/H381,"0")</f>
        <v>167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0.83833999999999997</v>
      </c>
      <c r="AA382" s="67"/>
      <c r="AB382" s="67"/>
      <c r="AC382" s="67"/>
    </row>
    <row r="383" spans="1:68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350</v>
      </c>
      <c r="Y383" s="43">
        <f>IFERROR(SUM(Y375:Y381),"0")</f>
        <v>350.7</v>
      </c>
      <c r="Z383" s="42"/>
      <c r="AA383" s="67"/>
      <c r="AB383" s="67"/>
      <c r="AC383" s="67"/>
    </row>
    <row r="384" spans="1:68" ht="14.25" hidden="1" customHeight="1" x14ac:dyDescent="0.25">
      <c r="A384" s="724" t="s">
        <v>86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651</v>
      </c>
      <c r="B388" s="63" t="s">
        <v>652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173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customHeight="1" x14ac:dyDescent="0.25">
      <c r="A392" s="63" t="s">
        <v>653</v>
      </c>
      <c r="B392" s="63" t="s">
        <v>654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400</v>
      </c>
      <c r="Y392" s="55">
        <f>IFERROR(IF(X392="",0,CEILING((X392/$H392),1)*$H392),"")</f>
        <v>403.20000000000005</v>
      </c>
      <c r="Z392" s="41">
        <f>IFERROR(IF(Y392=0,"",ROUNDUP(Y392/H392,0)*0.01898),"")</f>
        <v>0.91104000000000007</v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423.52380952380952</v>
      </c>
      <c r="BN392" s="78">
        <f>IFERROR(Y392*I392/H392,"0")</f>
        <v>426.91200000000003</v>
      </c>
      <c r="BO392" s="78">
        <f>IFERROR(1/J392*(X392/H392),"0")</f>
        <v>0.74404761904761907</v>
      </c>
      <c r="BP392" s="78">
        <f>IFERROR(1/J392*(Y392/H392),"0")</f>
        <v>0.75</v>
      </c>
    </row>
    <row r="393" spans="1:68" ht="27" customHeight="1" x14ac:dyDescent="0.25">
      <c r="A393" s="63" t="s">
        <v>656</v>
      </c>
      <c r="B393" s="63" t="s">
        <v>657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700</v>
      </c>
      <c r="Y393" s="55">
        <f>IFERROR(IF(X393="",0,CEILING((X393/$H393),1)*$H393),"")</f>
        <v>702</v>
      </c>
      <c r="Z393" s="41">
        <f>IFERROR(IF(Y393=0,"",ROUNDUP(Y393/H393,0)*0.01898),"")</f>
        <v>1.7081999999999999</v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744.33333333333337</v>
      </c>
      <c r="BN393" s="78">
        <f>IFERROR(Y393*I393/H393,"0")</f>
        <v>746.46</v>
      </c>
      <c r="BO393" s="78">
        <f>IFERROR(1/J393*(X393/H393),"0")</f>
        <v>1.4022435897435899</v>
      </c>
      <c r="BP393" s="78">
        <f>IFERROR(1/J393*(Y393/H393),"0")</f>
        <v>1.40625</v>
      </c>
    </row>
    <row r="394" spans="1:68" ht="27" customHeight="1" x14ac:dyDescent="0.25">
      <c r="A394" s="63" t="s">
        <v>659</v>
      </c>
      <c r="B394" s="63" t="s">
        <v>660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50</v>
      </c>
      <c r="Y394" s="55">
        <f>IFERROR(IF(X394="",0,CEILING((X394/$H394),1)*$H394),"")</f>
        <v>50.400000000000006</v>
      </c>
      <c r="Z394" s="41">
        <f>IFERROR(IF(Y394=0,"",ROUNDUP(Y394/H394,0)*0.01898),"")</f>
        <v>0.11388000000000001</v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52.94047619047619</v>
      </c>
      <c r="BN394" s="78">
        <f>IFERROR(Y394*I394/H394,"0")</f>
        <v>53.364000000000004</v>
      </c>
      <c r="BO394" s="78">
        <f>IFERROR(1/J394*(X394/H394),"0")</f>
        <v>9.3005952380952384E-2</v>
      </c>
      <c r="BP394" s="78">
        <f>IFERROR(1/J394*(Y394/H394),"0")</f>
        <v>9.375E-2</v>
      </c>
    </row>
    <row r="395" spans="1:68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143.31501831501834</v>
      </c>
      <c r="Y395" s="43">
        <f>IFERROR(Y392/H392,"0")+IFERROR(Y393/H393,"0")+IFERROR(Y394/H394,"0")</f>
        <v>144</v>
      </c>
      <c r="Z395" s="43">
        <f>IFERROR(IF(Z392="",0,Z392),"0")+IFERROR(IF(Z393="",0,Z393),"0")+IFERROR(IF(Z394="",0,Z394),"0")</f>
        <v>2.73312</v>
      </c>
      <c r="AA395" s="67"/>
      <c r="AB395" s="67"/>
      <c r="AC395" s="67"/>
    </row>
    <row r="396" spans="1:68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1150</v>
      </c>
      <c r="Y396" s="43">
        <f>IFERROR(SUM(Y392:Y394),"0")</f>
        <v>1155.6000000000001</v>
      </c>
      <c r="Z396" s="42"/>
      <c r="AA396" s="67"/>
      <c r="AB396" s="67"/>
      <c r="AC396" s="67"/>
    </row>
    <row r="397" spans="1:68" ht="14.25" hidden="1" customHeight="1" x14ac:dyDescent="0.25">
      <c r="A397" s="724" t="s">
        <v>289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671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678</v>
      </c>
      <c r="B407" s="63" t="s">
        <v>679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680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689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86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690</v>
      </c>
      <c r="B418" s="63" t="s">
        <v>691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693</v>
      </c>
      <c r="B419" s="63" t="s">
        <v>694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696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86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697</v>
      </c>
      <c r="B424" s="63" t="s">
        <v>698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703</v>
      </c>
      <c r="B426" s="63" t="s">
        <v>704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706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707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122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customHeight="1" x14ac:dyDescent="0.25">
      <c r="A432" s="63" t="s">
        <v>708</v>
      </c>
      <c r="B432" s="63" t="s">
        <v>709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300</v>
      </c>
      <c r="Y432" s="55">
        <f t="shared" ref="Y432:Y439" si="68">IFERROR(IF(X432="",0,CEILING((X432/$H432),1)*$H432),"")</f>
        <v>300</v>
      </c>
      <c r="Z432" s="41">
        <f>IFERROR(IF(Y432=0,"",ROUNDUP(Y432/H432,0)*0.02175),"")</f>
        <v>0.43499999999999994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309.39999999999998</v>
      </c>
      <c r="BN432" s="78">
        <f t="shared" ref="BN432:BN439" si="70">IFERROR(Y432*I432/H432,"0")</f>
        <v>309.39999999999998</v>
      </c>
      <c r="BO432" s="78">
        <f t="shared" ref="BO432:BO439" si="71">IFERROR(1/J432*(X432/H432),"0")</f>
        <v>0.41666666666666663</v>
      </c>
      <c r="BP432" s="78">
        <f t="shared" ref="BP432:BP439" si="72">IFERROR(1/J432*(Y432/H432),"0")</f>
        <v>0.41666666666666663</v>
      </c>
    </row>
    <row r="433" spans="1:68" ht="37.5" hidden="1" customHeight="1" x14ac:dyDescent="0.25">
      <c r="A433" s="63" t="s">
        <v>711</v>
      </c>
      <c r="B433" s="63" t="s">
        <v>712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20</v>
      </c>
      <c r="Y440" s="43">
        <f>IFERROR(Y432/H432,"0")+IFERROR(Y433/H433,"0")+IFERROR(Y434/H434,"0")+IFERROR(Y435/H435,"0")+IFERROR(Y436/H436,"0")+IFERROR(Y437/H437,"0")+IFERROR(Y438/H438,"0")+IFERROR(Y439/H439,"0")</f>
        <v>20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0.43499999999999994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300</v>
      </c>
      <c r="Y441" s="43">
        <f>IFERROR(SUM(Y432:Y439),"0")</f>
        <v>300</v>
      </c>
      <c r="Z441" s="42"/>
      <c r="AA441" s="67"/>
      <c r="AB441" s="67"/>
      <c r="AC441" s="67"/>
    </row>
    <row r="442" spans="1:68" ht="14.25" hidden="1" customHeight="1" x14ac:dyDescent="0.25">
      <c r="A442" s="724" t="s">
        <v>155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732</v>
      </c>
      <c r="B443" s="63" t="s">
        <v>733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1200</v>
      </c>
      <c r="Y443" s="55">
        <f>IFERROR(IF(X443="",0,CEILING((X443/$H443),1)*$H443),"")</f>
        <v>1200</v>
      </c>
      <c r="Z443" s="41">
        <f>IFERROR(IF(Y443=0,"",ROUNDUP(Y443/H443,0)*0.02175),"")</f>
        <v>1.7399999999999998</v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1237.5999999999999</v>
      </c>
      <c r="BN443" s="78">
        <f>IFERROR(Y443*I443/H443,"0")</f>
        <v>1237.5999999999999</v>
      </c>
      <c r="BO443" s="78">
        <f>IFERROR(1/J443*(X443/H443),"0")</f>
        <v>1.6666666666666665</v>
      </c>
      <c r="BP443" s="78">
        <f>IFERROR(1/J443*(Y443/H443),"0")</f>
        <v>1.6666666666666665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80</v>
      </c>
      <c r="Y446" s="43">
        <f>IFERROR(Y443/H443,"0")+IFERROR(Y444/H444,"0")+IFERROR(Y445/H445,"0")</f>
        <v>80</v>
      </c>
      <c r="Z446" s="43">
        <f>IFERROR(IF(Z443="",0,Z443),"0")+IFERROR(IF(Z444="",0,Z444),"0")+IFERROR(IF(Z445="",0,Z445),"0")</f>
        <v>1.7399999999999998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1200</v>
      </c>
      <c r="Y447" s="43">
        <f>IFERROR(SUM(Y443:Y445),"0")</f>
        <v>1200</v>
      </c>
      <c r="Z447" s="42"/>
      <c r="AA447" s="67"/>
      <c r="AB447" s="67"/>
      <c r="AC447" s="67"/>
    </row>
    <row r="448" spans="1:68" ht="14.25" hidden="1" customHeight="1" x14ac:dyDescent="0.25">
      <c r="A448" s="724" t="s">
        <v>86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741</v>
      </c>
      <c r="B449" s="63" t="s">
        <v>742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173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customHeight="1" x14ac:dyDescent="0.25">
      <c r="A456" s="63" t="s">
        <v>753</v>
      </c>
      <c r="B456" s="63" t="s">
        <v>754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50</v>
      </c>
      <c r="Y456" s="55">
        <f>IFERROR(IF(X456="",0,CEILING((X456/$H456),1)*$H456),"")</f>
        <v>54</v>
      </c>
      <c r="Z456" s="41">
        <f>IFERROR(IF(Y456=0,"",ROUNDUP(Y456/H456,0)*0.01898),"")</f>
        <v>0.11388000000000001</v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52.74444444444444</v>
      </c>
      <c r="BN456" s="78">
        <f>IFERROR(Y456*I456/H456,"0")</f>
        <v>56.963999999999992</v>
      </c>
      <c r="BO456" s="78">
        <f>IFERROR(1/J456*(X456/H456),"0")</f>
        <v>8.6805555555555552E-2</v>
      </c>
      <c r="BP456" s="78">
        <f>IFERROR(1/J456*(Y456/H456),"0")</f>
        <v>9.375E-2</v>
      </c>
    </row>
    <row r="457" spans="1:68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5.5555555555555554</v>
      </c>
      <c r="Y457" s="43">
        <f>IFERROR(Y455/H455,"0")+IFERROR(Y456/H456,"0")</f>
        <v>6</v>
      </c>
      <c r="Z457" s="43">
        <f>IFERROR(IF(Z455="",0,Z455),"0")+IFERROR(IF(Z456="",0,Z456),"0")</f>
        <v>0.11388000000000001</v>
      </c>
      <c r="AA457" s="67"/>
      <c r="AB457" s="67"/>
      <c r="AC457" s="67"/>
    </row>
    <row r="458" spans="1:68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50</v>
      </c>
      <c r="Y458" s="43">
        <f>IFERROR(SUM(Y455:Y456),"0")</f>
        <v>54</v>
      </c>
      <c r="Z458" s="42"/>
      <c r="AA458" s="67"/>
      <c r="AB458" s="67"/>
      <c r="AC458" s="67"/>
    </row>
    <row r="459" spans="1:68" ht="16.5" hidden="1" customHeight="1" x14ac:dyDescent="0.25">
      <c r="A459" s="723" t="s">
        <v>756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122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77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86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customHeight="1" x14ac:dyDescent="0.25">
      <c r="A470" s="63" t="s">
        <v>765</v>
      </c>
      <c r="B470" s="63" t="s">
        <v>766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50</v>
      </c>
      <c r="Y470" s="55">
        <f>IFERROR(IF(X470="",0,CEILING((X470/$H470),1)*$H470),"")</f>
        <v>54</v>
      </c>
      <c r="Z470" s="41">
        <f>IFERROR(IF(Y470=0,"",ROUNDUP(Y470/H470,0)*0.01898),"")</f>
        <v>0.11388000000000001</v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52.74444444444444</v>
      </c>
      <c r="BN470" s="78">
        <f>IFERROR(Y470*I470/H470,"0")</f>
        <v>56.963999999999992</v>
      </c>
      <c r="BO470" s="78">
        <f>IFERROR(1/J470*(X470/H470),"0")</f>
        <v>8.6805555555555552E-2</v>
      </c>
      <c r="BP470" s="78">
        <f>IFERROR(1/J470*(Y470/H470),"0")</f>
        <v>9.375E-2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5.5555555555555554</v>
      </c>
      <c r="Y473" s="43">
        <f>IFERROR(Y470/H470,"0")+IFERROR(Y471/H471,"0")+IFERROR(Y472/H472,"0")</f>
        <v>6</v>
      </c>
      <c r="Z473" s="43">
        <f>IFERROR(IF(Z470="",0,Z470),"0")+IFERROR(IF(Z471="",0,Z471),"0")+IFERROR(IF(Z472="",0,Z472),"0")</f>
        <v>0.11388000000000001</v>
      </c>
      <c r="AA473" s="67"/>
      <c r="AB473" s="67"/>
      <c r="AC473" s="67"/>
    </row>
    <row r="474" spans="1:68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50</v>
      </c>
      <c r="Y474" s="43">
        <f>IFERROR(SUM(Y470:Y472),"0")</f>
        <v>54</v>
      </c>
      <c r="Z474" s="42"/>
      <c r="AA474" s="67"/>
      <c r="AB474" s="67"/>
      <c r="AC474" s="67"/>
    </row>
    <row r="475" spans="1:68" ht="27.75" hidden="1" customHeight="1" x14ac:dyDescent="0.2">
      <c r="A475" s="722" t="s">
        <v>772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773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77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774</v>
      </c>
      <c r="B478" s="63" t="s">
        <v>775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86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796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155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77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800</v>
      </c>
      <c r="B497" s="63" t="s">
        <v>801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808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808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122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customHeight="1" x14ac:dyDescent="0.25">
      <c r="A505" s="63" t="s">
        <v>809</v>
      </c>
      <c r="B505" s="63" t="s">
        <v>810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70</v>
      </c>
      <c r="Y505" s="55">
        <f t="shared" ref="Y505:Y513" si="78">IFERROR(IF(X505="",0,CEILING((X505/$H505),1)*$H505),"")</f>
        <v>73.92</v>
      </c>
      <c r="Z505" s="41">
        <f t="shared" ref="Z505:Z510" si="79">IFERROR(IF(Y505=0,"",ROUNDUP(Y505/H505,0)*0.01196),"")</f>
        <v>0.16744000000000001</v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74.640151515151501</v>
      </c>
      <c r="BN505" s="78">
        <f t="shared" ref="BN505:BN513" si="81">IFERROR(Y505*I505/H505,"0")</f>
        <v>78.819999999999993</v>
      </c>
      <c r="BO505" s="78">
        <f t="shared" ref="BO505:BO513" si="82">IFERROR(1/J505*(X505/H505),"0")</f>
        <v>0.12747668997668998</v>
      </c>
      <c r="BP505" s="78">
        <f t="shared" ref="BP505:BP513" si="83">IFERROR(1/J505*(Y505/H505),"0")</f>
        <v>0.13461538461538464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823</v>
      </c>
      <c r="B510" s="63" t="s">
        <v>824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200</v>
      </c>
      <c r="Y510" s="55">
        <f t="shared" si="78"/>
        <v>200.64000000000001</v>
      </c>
      <c r="Z510" s="41">
        <f t="shared" si="79"/>
        <v>0.45448</v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213.25757575757575</v>
      </c>
      <c r="BN510" s="78">
        <f t="shared" si="81"/>
        <v>213.94</v>
      </c>
      <c r="BO510" s="78">
        <f t="shared" si="82"/>
        <v>0.36421911421911418</v>
      </c>
      <c r="BP510" s="78">
        <f t="shared" si="83"/>
        <v>0.36538461538461542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customHeight="1" x14ac:dyDescent="0.25">
      <c r="A512" s="63" t="s">
        <v>828</v>
      </c>
      <c r="B512" s="63" t="s">
        <v>829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66</v>
      </c>
      <c r="Y512" s="55">
        <f t="shared" si="78"/>
        <v>67.2</v>
      </c>
      <c r="Z512" s="41">
        <f>IFERROR(IF(Y512=0,"",ROUNDUP(Y512/H512,0)*0.00902),"")</f>
        <v>0.12628</v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95.012500000000003</v>
      </c>
      <c r="BN512" s="78">
        <f t="shared" si="81"/>
        <v>96.740000000000009</v>
      </c>
      <c r="BO512" s="78">
        <f t="shared" si="82"/>
        <v>0.10416666666666667</v>
      </c>
      <c r="BP512" s="78">
        <f t="shared" si="83"/>
        <v>0.10606060606060608</v>
      </c>
    </row>
    <row r="513" spans="1:68" ht="27" customHeight="1" x14ac:dyDescent="0.25">
      <c r="A513" s="63" t="s">
        <v>830</v>
      </c>
      <c r="B513" s="63" t="s">
        <v>831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300</v>
      </c>
      <c r="Y513" s="55">
        <f t="shared" si="78"/>
        <v>302.39999999999998</v>
      </c>
      <c r="Z513" s="41">
        <f>IFERROR(IF(Y513=0,"",ROUNDUP(Y513/H513,0)*0.00902),"")</f>
        <v>0.56825999999999999</v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431.875</v>
      </c>
      <c r="BN513" s="78">
        <f t="shared" si="81"/>
        <v>435.33</v>
      </c>
      <c r="BO513" s="78">
        <f t="shared" si="82"/>
        <v>0.47348484848484851</v>
      </c>
      <c r="BP513" s="78">
        <f t="shared" si="83"/>
        <v>0.47727272727272729</v>
      </c>
    </row>
    <row r="514" spans="1:68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127.38636363636363</v>
      </c>
      <c r="Y514" s="43">
        <f>IFERROR(Y505/H505,"0")+IFERROR(Y506/H506,"0")+IFERROR(Y507/H507,"0")+IFERROR(Y508/H508,"0")+IFERROR(Y509/H509,"0")+IFERROR(Y510/H510,"0")+IFERROR(Y511/H511,"0")+IFERROR(Y512/H512,"0")+IFERROR(Y513/H513,"0")</f>
        <v>129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1.31646</v>
      </c>
      <c r="AA514" s="67"/>
      <c r="AB514" s="67"/>
      <c r="AC514" s="67"/>
    </row>
    <row r="515" spans="1:68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636</v>
      </c>
      <c r="Y515" s="43">
        <f>IFERROR(SUM(Y505:Y513),"0")</f>
        <v>644.16</v>
      </c>
      <c r="Z515" s="42"/>
      <c r="AA515" s="67"/>
      <c r="AB515" s="67"/>
      <c r="AC515" s="67"/>
    </row>
    <row r="516" spans="1:68" ht="14.25" hidden="1" customHeight="1" x14ac:dyDescent="0.25">
      <c r="A516" s="724" t="s">
        <v>155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customHeight="1" x14ac:dyDescent="0.25">
      <c r="A517" s="63" t="s">
        <v>832</v>
      </c>
      <c r="B517" s="63" t="s">
        <v>833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100</v>
      </c>
      <c r="Y517" s="55">
        <f>IFERROR(IF(X517="",0,CEILING((X517/$H517),1)*$H517),"")</f>
        <v>100.32000000000001</v>
      </c>
      <c r="Z517" s="41">
        <f>IFERROR(IF(Y517=0,"",ROUNDUP(Y517/H517,0)*0.01196),"")</f>
        <v>0.22724</v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106.62878787878788</v>
      </c>
      <c r="BN517" s="78">
        <f>IFERROR(Y517*I517/H517,"0")</f>
        <v>106.97</v>
      </c>
      <c r="BO517" s="78">
        <f>IFERROR(1/J517*(X517/H517),"0")</f>
        <v>0.18210955710955709</v>
      </c>
      <c r="BP517" s="78">
        <f>IFERROR(1/J517*(Y517/H517),"0")</f>
        <v>0.18269230769230771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customHeight="1" x14ac:dyDescent="0.25">
      <c r="A519" s="63" t="s">
        <v>837</v>
      </c>
      <c r="B519" s="63" t="s">
        <v>838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72</v>
      </c>
      <c r="Y519" s="55">
        <f>IFERROR(IF(X519="",0,CEILING((X519/$H519),1)*$H519),"")</f>
        <v>72</v>
      </c>
      <c r="Z519" s="41">
        <f>IFERROR(IF(Y519=0,"",ROUNDUP(Y519/H519,0)*0.00902),"")</f>
        <v>0.1353</v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103.65</v>
      </c>
      <c r="BN519" s="78">
        <f>IFERROR(Y519*I519/H519,"0")</f>
        <v>103.65</v>
      </c>
      <c r="BO519" s="78">
        <f>IFERROR(1/J519*(X519/H519),"0")</f>
        <v>0.11363636363636365</v>
      </c>
      <c r="BP519" s="78">
        <f>IFERROR(1/J519*(Y519/H519),"0")</f>
        <v>0.11363636363636365</v>
      </c>
    </row>
    <row r="520" spans="1:68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33.939393939393938</v>
      </c>
      <c r="Y520" s="43">
        <f>IFERROR(Y517/H517,"0")+IFERROR(Y518/H518,"0")+IFERROR(Y519/H519,"0")</f>
        <v>34</v>
      </c>
      <c r="Z520" s="43">
        <f>IFERROR(IF(Z517="",0,Z517),"0")+IFERROR(IF(Z518="",0,Z518),"0")+IFERROR(IF(Z519="",0,Z519),"0")</f>
        <v>0.36253999999999997</v>
      </c>
      <c r="AA520" s="67"/>
      <c r="AB520" s="67"/>
      <c r="AC520" s="67"/>
    </row>
    <row r="521" spans="1:68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172</v>
      </c>
      <c r="Y521" s="43">
        <f>IFERROR(SUM(Y517:Y519),"0")</f>
        <v>172.32</v>
      </c>
      <c r="Z521" s="42"/>
      <c r="AA521" s="67"/>
      <c r="AB521" s="67"/>
      <c r="AC521" s="67"/>
    </row>
    <row r="522" spans="1:68" ht="14.25" hidden="1" customHeight="1" x14ac:dyDescent="0.25">
      <c r="A522" s="724" t="s">
        <v>77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customHeight="1" x14ac:dyDescent="0.25">
      <c r="A523" s="63" t="s">
        <v>839</v>
      </c>
      <c r="B523" s="63" t="s">
        <v>840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50</v>
      </c>
      <c r="Y523" s="55">
        <f t="shared" ref="Y523:Y529" si="84">IFERROR(IF(X523="",0,CEILING((X523/$H523),1)*$H523),"")</f>
        <v>52.800000000000004</v>
      </c>
      <c r="Z523" s="41">
        <f>IFERROR(IF(Y523=0,"",ROUNDUP(Y523/H523,0)*0.01196),"")</f>
        <v>0.1196</v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53.314393939393938</v>
      </c>
      <c r="BN523" s="78">
        <f t="shared" ref="BN523:BN529" si="86">IFERROR(Y523*I523/H523,"0")</f>
        <v>56.3</v>
      </c>
      <c r="BO523" s="78">
        <f t="shared" ref="BO523:BO529" si="87">IFERROR(1/J523*(X523/H523),"0")</f>
        <v>9.1054778554778545E-2</v>
      </c>
      <c r="BP523" s="78">
        <f t="shared" ref="BP523:BP529" si="88">IFERROR(1/J523*(Y523/H523),"0")</f>
        <v>9.6153846153846159E-2</v>
      </c>
    </row>
    <row r="524" spans="1:68" ht="27" customHeight="1" x14ac:dyDescent="0.25">
      <c r="A524" s="63" t="s">
        <v>842</v>
      </c>
      <c r="B524" s="63" t="s">
        <v>843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50</v>
      </c>
      <c r="Y524" s="55">
        <f t="shared" si="84"/>
        <v>52.800000000000004</v>
      </c>
      <c r="Z524" s="41">
        <f>IFERROR(IF(Y524=0,"",ROUNDUP(Y524/H524,0)*0.01196),"")</f>
        <v>0.1196</v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53.314393939393938</v>
      </c>
      <c r="BN524" s="78">
        <f t="shared" si="86"/>
        <v>56.3</v>
      </c>
      <c r="BO524" s="78">
        <f t="shared" si="87"/>
        <v>9.1054778554778545E-2</v>
      </c>
      <c r="BP524" s="78">
        <f t="shared" si="88"/>
        <v>9.6153846153846159E-2</v>
      </c>
    </row>
    <row r="525" spans="1:68" ht="27" customHeight="1" x14ac:dyDescent="0.25">
      <c r="A525" s="63" t="s">
        <v>845</v>
      </c>
      <c r="B525" s="63" t="s">
        <v>846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250</v>
      </c>
      <c r="Y525" s="55">
        <f t="shared" si="84"/>
        <v>253.44</v>
      </c>
      <c r="Z525" s="41">
        <f>IFERROR(IF(Y525=0,"",ROUNDUP(Y525/H525,0)*0.01196),"")</f>
        <v>0.57408000000000003</v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266.57196969696969</v>
      </c>
      <c r="BN525" s="78">
        <f t="shared" si="86"/>
        <v>270.23999999999995</v>
      </c>
      <c r="BO525" s="78">
        <f t="shared" si="87"/>
        <v>0.45527389277389274</v>
      </c>
      <c r="BP525" s="78">
        <f t="shared" si="88"/>
        <v>0.46153846153846156</v>
      </c>
    </row>
    <row r="526" spans="1:68" ht="27" customHeight="1" x14ac:dyDescent="0.25">
      <c r="A526" s="63" t="s">
        <v>848</v>
      </c>
      <c r="B526" s="63" t="s">
        <v>849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60</v>
      </c>
      <c r="Y526" s="55">
        <f t="shared" si="84"/>
        <v>62.4</v>
      </c>
      <c r="Z526" s="41">
        <f>IFERROR(IF(Y526=0,"",ROUNDUP(Y526/H526,0)*0.00902),"")</f>
        <v>0.11726</v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86.375000000000014</v>
      </c>
      <c r="BN526" s="78">
        <f t="shared" si="86"/>
        <v>89.830000000000013</v>
      </c>
      <c r="BO526" s="78">
        <f t="shared" si="87"/>
        <v>9.4696969696969696E-2</v>
      </c>
      <c r="BP526" s="78">
        <f t="shared" si="88"/>
        <v>9.8484848484848481E-2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customHeight="1" x14ac:dyDescent="0.25">
      <c r="A529" s="63" t="s">
        <v>853</v>
      </c>
      <c r="B529" s="63" t="s">
        <v>854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150</v>
      </c>
      <c r="Y529" s="55">
        <f t="shared" si="84"/>
        <v>153.6</v>
      </c>
      <c r="Z529" s="41">
        <f>IFERROR(IF(Y529=0,"",ROUNDUP(Y529/H529,0)*0.00902),"")</f>
        <v>0.28864000000000001</v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208.4375</v>
      </c>
      <c r="BN529" s="78">
        <f t="shared" si="86"/>
        <v>213.44</v>
      </c>
      <c r="BO529" s="78">
        <f t="shared" si="87"/>
        <v>0.23674242424242425</v>
      </c>
      <c r="BP529" s="78">
        <f t="shared" si="88"/>
        <v>0.24242424242424243</v>
      </c>
    </row>
    <row r="530" spans="1:68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110.03787878787878</v>
      </c>
      <c r="Y530" s="43">
        <f>IFERROR(Y523/H523,"0")+IFERROR(Y524/H524,"0")+IFERROR(Y525/H525,"0")+IFERROR(Y526/H526,"0")+IFERROR(Y527/H527,"0")+IFERROR(Y528/H528,"0")+IFERROR(Y529/H529,"0")</f>
        <v>113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1.2191800000000002</v>
      </c>
      <c r="AA530" s="67"/>
      <c r="AB530" s="67"/>
      <c r="AC530" s="67"/>
    </row>
    <row r="531" spans="1:68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560</v>
      </c>
      <c r="Y531" s="43">
        <f>IFERROR(SUM(Y523:Y529),"0")</f>
        <v>575.04</v>
      </c>
      <c r="Z531" s="42"/>
      <c r="AA531" s="67"/>
      <c r="AB531" s="67"/>
      <c r="AC531" s="67"/>
    </row>
    <row r="532" spans="1:68" ht="27.75" hidden="1" customHeight="1" x14ac:dyDescent="0.2">
      <c r="A532" s="722" t="s">
        <v>855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855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122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customHeight="1" x14ac:dyDescent="0.25">
      <c r="A535" s="63" t="s">
        <v>856</v>
      </c>
      <c r="B535" s="63" t="s">
        <v>857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220</v>
      </c>
      <c r="Y535" s="55">
        <f>IFERROR(IF(X535="",0,CEILING((X535/$H535),1)*$H535),"")</f>
        <v>228</v>
      </c>
      <c r="Z535" s="41">
        <f>IFERROR(IF(Y535=0,"",ROUNDUP(Y535/H535,0)*0.01898),"")</f>
        <v>0.36062</v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227.51666666666665</v>
      </c>
      <c r="BN535" s="78">
        <f>IFERROR(Y535*I535/H535,"0")</f>
        <v>235.79</v>
      </c>
      <c r="BO535" s="78">
        <f>IFERROR(1/J535*(X535/H535),"0")</f>
        <v>0.28645833333333331</v>
      </c>
      <c r="BP535" s="78">
        <f>IFERROR(1/J535*(Y535/H535),"0")</f>
        <v>0.296875</v>
      </c>
    </row>
    <row r="536" spans="1:68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18.333333333333332</v>
      </c>
      <c r="Y536" s="43">
        <f>IFERROR(Y535/H535,"0")</f>
        <v>19</v>
      </c>
      <c r="Z536" s="43">
        <f>IFERROR(IF(Z535="",0,Z535),"0")</f>
        <v>0.36062</v>
      </c>
      <c r="AA536" s="67"/>
      <c r="AB536" s="67"/>
      <c r="AC536" s="67"/>
    </row>
    <row r="537" spans="1:68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220</v>
      </c>
      <c r="Y537" s="43">
        <f>IFERROR(SUM(Y535:Y535),"0")</f>
        <v>228</v>
      </c>
      <c r="Z537" s="42"/>
      <c r="AA537" s="67"/>
      <c r="AB537" s="67"/>
      <c r="AC537" s="67"/>
    </row>
    <row r="538" spans="1:68" ht="14.25" hidden="1" customHeight="1" x14ac:dyDescent="0.25">
      <c r="A538" s="724" t="s">
        <v>155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77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862</v>
      </c>
      <c r="B543" s="63" t="s">
        <v>863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86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customHeight="1" x14ac:dyDescent="0.25">
      <c r="A547" s="63" t="s">
        <v>865</v>
      </c>
      <c r="B547" s="63" t="s">
        <v>866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20</v>
      </c>
      <c r="Y547" s="55">
        <f>IFERROR(IF(X547="",0,CEILING((X547/$H547),1)*$H547),"")</f>
        <v>27</v>
      </c>
      <c r="Z547" s="41">
        <f>IFERROR(IF(Y547=0,"",ROUNDUP(Y547/H547,0)*0.01898),"")</f>
        <v>5.6940000000000004E-2</v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21.097777777777779</v>
      </c>
      <c r="BN547" s="78">
        <f>IFERROR(Y547*I547/H547,"0")</f>
        <v>28.481999999999996</v>
      </c>
      <c r="BO547" s="78">
        <f>IFERROR(1/J547*(X547/H547),"0")</f>
        <v>3.4722222222222224E-2</v>
      </c>
      <c r="BP547" s="78">
        <f>IFERROR(1/J547*(Y547/H547),"0")</f>
        <v>4.6875E-2</v>
      </c>
    </row>
    <row r="548" spans="1:68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2.2222222222222223</v>
      </c>
      <c r="Y548" s="43">
        <f>IFERROR(Y547/H547,"0")</f>
        <v>3</v>
      </c>
      <c r="Z548" s="43">
        <f>IFERROR(IF(Z547="",0,Z547),"0")</f>
        <v>5.6940000000000004E-2</v>
      </c>
      <c r="AA548" s="67"/>
      <c r="AB548" s="67"/>
      <c r="AC548" s="67"/>
    </row>
    <row r="549" spans="1:68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20</v>
      </c>
      <c r="Y549" s="43">
        <f>IFERROR(SUM(Y547:Y547),"0")</f>
        <v>27</v>
      </c>
      <c r="Z549" s="42"/>
      <c r="AA549" s="67"/>
      <c r="AB549" s="67"/>
      <c r="AC549" s="67"/>
    </row>
    <row r="550" spans="1:68" ht="14.25" hidden="1" customHeight="1" x14ac:dyDescent="0.25">
      <c r="A550" s="724" t="s">
        <v>173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874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155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17450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17583.800000000003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18812.922193498285</v>
      </c>
      <c r="Y561" s="43">
        <f>IFERROR(SUM(BN22:BN557),"0")</f>
        <v>18957.938000000002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34</v>
      </c>
      <c r="Y562" s="44">
        <f>ROUNDUP(SUM(BP22:BP557),0)</f>
        <v>34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19662.922193498285</v>
      </c>
      <c r="Y563" s="43">
        <f>GrossWeightTotalR+PalletQtyTotalR*25</f>
        <v>19807.938000000002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4387.9590598843479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4412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40.268490000000007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1016" t="s">
        <v>120</v>
      </c>
      <c r="E567" s="1016" t="s">
        <v>120</v>
      </c>
      <c r="F567" s="1016" t="s">
        <v>120</v>
      </c>
      <c r="G567" s="1016" t="s">
        <v>120</v>
      </c>
      <c r="H567" s="1016" t="s">
        <v>120</v>
      </c>
      <c r="I567" s="1016" t="s">
        <v>120</v>
      </c>
      <c r="J567" s="1016" t="s">
        <v>120</v>
      </c>
      <c r="K567" s="1016" t="s">
        <v>360</v>
      </c>
      <c r="L567" s="1016" t="s">
        <v>360</v>
      </c>
      <c r="M567" s="1016" t="s">
        <v>360</v>
      </c>
      <c r="N567" s="1022"/>
      <c r="O567" s="1016" t="s">
        <v>360</v>
      </c>
      <c r="P567" s="1016" t="s">
        <v>360</v>
      </c>
      <c r="Q567" s="1016" t="s">
        <v>360</v>
      </c>
      <c r="R567" s="1016" t="s">
        <v>360</v>
      </c>
      <c r="S567" s="1016" t="s">
        <v>360</v>
      </c>
      <c r="T567" s="1016" t="s">
        <v>360</v>
      </c>
      <c r="U567" s="1016" t="s">
        <v>360</v>
      </c>
      <c r="V567" s="1016" t="s">
        <v>360</v>
      </c>
      <c r="W567" s="1016" t="s">
        <v>706</v>
      </c>
      <c r="X567" s="1016" t="s">
        <v>706</v>
      </c>
      <c r="Y567" s="1016" t="s">
        <v>772</v>
      </c>
      <c r="Z567" s="1016" t="s">
        <v>772</v>
      </c>
      <c r="AA567" s="85" t="s">
        <v>808</v>
      </c>
      <c r="AB567" s="1016" t="s">
        <v>855</v>
      </c>
      <c r="AC567" s="1016" t="s">
        <v>855</v>
      </c>
      <c r="AF567" s="1"/>
    </row>
    <row r="568" spans="1:32" ht="14.25" customHeight="1" thickTop="1" x14ac:dyDescent="0.2">
      <c r="A568" s="1023" t="s">
        <v>10</v>
      </c>
      <c r="B568" s="1016" t="s">
        <v>76</v>
      </c>
      <c r="C568" s="1016" t="s">
        <v>104</v>
      </c>
      <c r="D568" s="1016" t="s">
        <v>121</v>
      </c>
      <c r="E568" s="1016" t="s">
        <v>137</v>
      </c>
      <c r="F568" s="1016" t="s">
        <v>182</v>
      </c>
      <c r="G568" s="1016" t="s">
        <v>209</v>
      </c>
      <c r="H568" s="1016" t="s">
        <v>260</v>
      </c>
      <c r="I568" s="1016" t="s">
        <v>273</v>
      </c>
      <c r="J568" s="1016" t="s">
        <v>120</v>
      </c>
      <c r="K568" s="1016" t="s">
        <v>361</v>
      </c>
      <c r="L568" s="1016" t="s">
        <v>382</v>
      </c>
      <c r="M568" s="1016" t="s">
        <v>449</v>
      </c>
      <c r="N568" s="1"/>
      <c r="O568" s="1016" t="s">
        <v>517</v>
      </c>
      <c r="P568" s="1016" t="s">
        <v>550</v>
      </c>
      <c r="Q568" s="1016" t="s">
        <v>566</v>
      </c>
      <c r="R568" s="1016" t="s">
        <v>575</v>
      </c>
      <c r="S568" s="1016" t="s">
        <v>596</v>
      </c>
      <c r="T568" s="1016" t="s">
        <v>605</v>
      </c>
      <c r="U568" s="1016" t="s">
        <v>689</v>
      </c>
      <c r="V568" s="1016" t="s">
        <v>696</v>
      </c>
      <c r="W568" s="1016" t="s">
        <v>707</v>
      </c>
      <c r="X568" s="1016" t="s">
        <v>756</v>
      </c>
      <c r="Y568" s="1016" t="s">
        <v>773</v>
      </c>
      <c r="Z568" s="1016" t="s">
        <v>796</v>
      </c>
      <c r="AA568" s="1016" t="s">
        <v>808</v>
      </c>
      <c r="AB568" s="1016" t="s">
        <v>855</v>
      </c>
      <c r="AC568" s="1016" t="s">
        <v>874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65.28</v>
      </c>
      <c r="D570" s="52">
        <f>IFERROR(Y47*1,"0")+IFERROR(Y48*1,"0")+IFERROR(Y49*1,"0")+IFERROR(Y50*1,"0")</f>
        <v>756.40000000000009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385.2</v>
      </c>
      <c r="F570" s="52">
        <f>IFERROR(Y85*1,"0")+IFERROR(Y86*1,"0")+IFERROR(Y87*1,"0")+IFERROR(Y88*1,"0")+IFERROR(Y89*1,"0")+IFERROR(Y93*1,"0")+IFERROR(Y94*1,"0")+IFERROR(Y95*1,"0")+IFERROR(Y96*1,"0")+IFERROR(Y97*1,"0")+IFERROR(Y98*1,"0")</f>
        <v>1881.9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2721.78</v>
      </c>
      <c r="H570" s="52">
        <f>IFERROR(Y138*1,"0")+IFERROR(Y139*1,"0")+IFERROR(Y143*1,"0")+IFERROR(Y144*1,"0")+IFERROR(Y148*1,"0")+IFERROR(Y149*1,"0")</f>
        <v>168.07999999999998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1076.08</v>
      </c>
      <c r="K570" s="52">
        <f>IFERROR(Y211*1,"0")+IFERROR(Y212*1,"0")+IFERROR(Y213*1,"0")+IFERROR(Y214*1,"0")+IFERROR(Y215*1,"0")+IFERROR(Y216*1,"0")+IFERROR(Y217*1,"0")</f>
        <v>108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275.56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4087.4999999999995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681.6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561.59999999999991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1560.3000000000002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1554</v>
      </c>
      <c r="X570" s="52">
        <f>IFERROR(Y461*1,"0")+IFERROR(Y462*1,"0")+IFERROR(Y466*1,"0")+IFERROR(Y470*1,"0")+IFERROR(Y471*1,"0")+IFERROR(Y472*1,"0")</f>
        <v>54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1391.52</v>
      </c>
      <c r="AB570" s="52">
        <f>IFERROR(Y535*1,"0")+IFERROR(Y539*1,"0")+IFERROR(Y543*1,"0")+IFERROR(Y547*1,"0")+IFERROR(Y551*1,"0")+IFERROR(Y552*1,"0")</f>
        <v>255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60,00"/>
        <filter val="1 061,00"/>
        <filter val="1 150,00"/>
        <filter val="1 200,00"/>
        <filter val="1 610,00"/>
        <filter val="1 990,00"/>
        <filter val="100,00"/>
        <filter val="110,04"/>
        <filter val="112,00"/>
        <filter val="12,50"/>
        <filter val="120,00"/>
        <filter val="127,39"/>
        <filter val="132,41"/>
        <filter val="143,32"/>
        <filter val="15,00"/>
        <filter val="150,00"/>
        <filter val="160,00"/>
        <filter val="166,67"/>
        <filter val="17 450,00"/>
        <filter val="172,00"/>
        <filter val="18 812,92"/>
        <filter val="18,33"/>
        <filter val="180,00"/>
        <filter val="19 662,92"/>
        <filter val="2 850,00"/>
        <filter val="2,22"/>
        <filter val="20,00"/>
        <filter val="200,00"/>
        <filter val="220,00"/>
        <filter val="225,00"/>
        <filter val="25,25"/>
        <filter val="250,00"/>
        <filter val="266,00"/>
        <filter val="270,00"/>
        <filter val="283,33"/>
        <filter val="3,17"/>
        <filter val="300,00"/>
        <filter val="31,06"/>
        <filter val="33,33"/>
        <filter val="33,94"/>
        <filter val="34"/>
        <filter val="350,00"/>
        <filter val="388,57"/>
        <filter val="398,77"/>
        <filter val="4 387,96"/>
        <filter val="4,63"/>
        <filter val="40,00"/>
        <filter val="400,00"/>
        <filter val="41,48"/>
        <filter val="42,00"/>
        <filter val="440,00"/>
        <filter val="440,74"/>
        <filter val="490,12"/>
        <filter val="5,13"/>
        <filter val="5,56"/>
        <filter val="50,00"/>
        <filter val="550,00"/>
        <filter val="560,00"/>
        <filter val="60,00"/>
        <filter val="600,00"/>
        <filter val="636,00"/>
        <filter val="64,00"/>
        <filter val="640,00"/>
        <filter val="66,00"/>
        <filter val="66,67"/>
        <filter val="675,00"/>
        <filter val="680,00"/>
        <filter val="7,00"/>
        <filter val="70,00"/>
        <filter val="70,51"/>
        <filter val="700,00"/>
        <filter val="72,00"/>
        <filter val="750,00"/>
        <filter val="79,52"/>
        <filter val="8,00"/>
        <filter val="80,00"/>
        <filter val="800,00"/>
        <filter val="810,00"/>
        <filter val="82,00"/>
        <filter val="84,00"/>
        <filter val="877,93"/>
        <filter val="9,00"/>
        <filter val="9,26"/>
        <filter val="99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9" spans="2:8" x14ac:dyDescent="0.2">
      <c r="B9" s="53" t="s">
        <v>887</v>
      </c>
      <c r="C9" s="53" t="s">
        <v>882</v>
      </c>
      <c r="D9" s="53" t="s">
        <v>46</v>
      </c>
      <c r="E9" s="53" t="s">
        <v>46</v>
      </c>
    </row>
    <row r="11" spans="2:8" x14ac:dyDescent="0.2">
      <c r="B11" s="53" t="s">
        <v>887</v>
      </c>
      <c r="C11" s="53" t="s">
        <v>885</v>
      </c>
      <c r="D11" s="53" t="s">
        <v>46</v>
      </c>
      <c r="E11" s="53" t="s">
        <v>46</v>
      </c>
    </row>
    <row r="13" spans="2:8" x14ac:dyDescent="0.2">
      <c r="B13" s="53" t="s">
        <v>888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898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2026-08-28T13:30:40Z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