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B331110-08B8-4CBF-8181-1CF957E7CFB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Z487" i="2" s="1"/>
  <c r="P487" i="2"/>
  <c r="BP486" i="2"/>
  <c r="BO486" i="2"/>
  <c r="BM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Z460" i="2"/>
  <c r="Y460" i="2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O435" i="2"/>
  <c r="BM435" i="2"/>
  <c r="Z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P417" i="2"/>
  <c r="BO417" i="2"/>
  <c r="BM417" i="2"/>
  <c r="Y417" i="2"/>
  <c r="Y420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P345" i="2"/>
  <c r="BO345" i="2"/>
  <c r="BN345" i="2"/>
  <c r="BM345" i="2"/>
  <c r="Z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Z314" i="2" s="1"/>
  <c r="Z315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P284" i="2"/>
  <c r="BO284" i="2"/>
  <c r="BM284" i="2"/>
  <c r="Y284" i="2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Z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P169" i="2"/>
  <c r="X166" i="2"/>
  <c r="X165" i="2"/>
  <c r="BO164" i="2"/>
  <c r="BM164" i="2"/>
  <c r="Y164" i="2"/>
  <c r="Z164" i="2" s="1"/>
  <c r="Z165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Y112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Z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N23" i="2" l="1"/>
  <c r="BN40" i="2"/>
  <c r="Z56" i="2"/>
  <c r="BN56" i="2"/>
  <c r="BN80" i="2"/>
  <c r="Z96" i="2"/>
  <c r="BP106" i="2"/>
  <c r="Y166" i="2"/>
  <c r="Z171" i="2"/>
  <c r="BN171" i="2"/>
  <c r="BN182" i="2"/>
  <c r="BN191" i="2"/>
  <c r="BP201" i="2"/>
  <c r="Z229" i="2"/>
  <c r="BN245" i="2"/>
  <c r="Y269" i="2"/>
  <c r="Z272" i="2"/>
  <c r="BN272" i="2"/>
  <c r="BN278" i="2"/>
  <c r="Z283" i="2"/>
  <c r="BN283" i="2"/>
  <c r="BP304" i="2"/>
  <c r="Y316" i="2"/>
  <c r="BN330" i="2"/>
  <c r="BN378" i="2"/>
  <c r="BN412" i="2"/>
  <c r="Y427" i="2"/>
  <c r="BN479" i="2"/>
  <c r="BN487" i="2"/>
  <c r="BN534" i="2"/>
  <c r="Y24" i="2"/>
  <c r="Y25" i="2"/>
  <c r="BN31" i="2"/>
  <c r="BN47" i="2"/>
  <c r="BP47" i="2"/>
  <c r="Z67" i="2"/>
  <c r="BN71" i="2"/>
  <c r="BN97" i="2"/>
  <c r="Z106" i="2"/>
  <c r="Y161" i="2"/>
  <c r="Z170" i="2"/>
  <c r="BN186" i="2"/>
  <c r="BN238" i="2"/>
  <c r="BN268" i="2"/>
  <c r="BN276" i="2"/>
  <c r="BN286" i="2"/>
  <c r="Z304" i="2"/>
  <c r="BN332" i="2"/>
  <c r="Z348" i="2"/>
  <c r="BN348" i="2"/>
  <c r="BN359" i="2"/>
  <c r="BN384" i="2"/>
  <c r="Z425" i="2"/>
  <c r="BN425" i="2"/>
  <c r="Z432" i="2"/>
  <c r="BP435" i="2"/>
  <c r="Z461" i="2"/>
  <c r="Z462" i="2" s="1"/>
  <c r="BN469" i="2"/>
  <c r="Y488" i="2"/>
  <c r="BN525" i="2"/>
  <c r="Z49" i="2"/>
  <c r="Z227" i="2"/>
  <c r="Z294" i="2"/>
  <c r="BN231" i="2"/>
  <c r="BN393" i="2"/>
  <c r="Z438" i="2"/>
  <c r="Z498" i="2"/>
  <c r="BN49" i="2"/>
  <c r="BN110" i="2"/>
  <c r="Z201" i="2"/>
  <c r="Z202" i="2" s="1"/>
  <c r="BN212" i="2"/>
  <c r="Z217" i="2"/>
  <c r="Z512" i="2"/>
  <c r="BN526" i="2"/>
  <c r="C569" i="2"/>
  <c r="BN201" i="2"/>
  <c r="BN217" i="2"/>
  <c r="BN305" i="2"/>
  <c r="BP438" i="2"/>
  <c r="Z492" i="2"/>
  <c r="Z493" i="2" s="1"/>
  <c r="BP498" i="2"/>
  <c r="Z538" i="2"/>
  <c r="Z539" i="2" s="1"/>
  <c r="Z126" i="2"/>
  <c r="Z144" i="2"/>
  <c r="BN176" i="2"/>
  <c r="BN183" i="2"/>
  <c r="Z195" i="2"/>
  <c r="BN522" i="2"/>
  <c r="BN126" i="2"/>
  <c r="BN195" i="2"/>
  <c r="Z449" i="2"/>
  <c r="BN50" i="2"/>
  <c r="Z103" i="2"/>
  <c r="BN291" i="2"/>
  <c r="BN376" i="2"/>
  <c r="Y539" i="2"/>
  <c r="Z238" i="2"/>
  <c r="Z347" i="2"/>
  <c r="Z509" i="2"/>
  <c r="BN103" i="2"/>
  <c r="Z486" i="2"/>
  <c r="Z488" i="2" s="1"/>
  <c r="BP103" i="2"/>
  <c r="Z185" i="2"/>
  <c r="BP347" i="2"/>
  <c r="Z354" i="2"/>
  <c r="BN115" i="2"/>
  <c r="BN190" i="2"/>
  <c r="Z392" i="2"/>
  <c r="Z510" i="2"/>
  <c r="Z59" i="2"/>
  <c r="BP39" i="2"/>
  <c r="BN253" i="2"/>
  <c r="Y483" i="2"/>
  <c r="Y52" i="2"/>
  <c r="BN59" i="2"/>
  <c r="BN157" i="2"/>
  <c r="BN366" i="2"/>
  <c r="BN399" i="2"/>
  <c r="Z406" i="2"/>
  <c r="Z437" i="2"/>
  <c r="BP461" i="2"/>
  <c r="BP392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Z51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Z68" i="2" s="1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Z198" i="2" s="1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Z264" i="2" s="1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BN418" i="2"/>
  <c r="Z431" i="2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54" i="2" s="1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29" i="2" s="1"/>
  <c r="Z183" i="2"/>
  <c r="Z191" i="2"/>
  <c r="Z215" i="2"/>
  <c r="Z236" i="2"/>
  <c r="Z246" i="2"/>
  <c r="Z279" i="2"/>
  <c r="Z289" i="2"/>
  <c r="Z299" i="2"/>
  <c r="Z310" i="2"/>
  <c r="Z322" i="2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362" i="2" l="1"/>
  <c r="Z350" i="2"/>
  <c r="Z61" i="2"/>
  <c r="Z240" i="2"/>
  <c r="Z419" i="2"/>
  <c r="Z401" i="2"/>
  <c r="Z388" i="2"/>
  <c r="Z407" i="2"/>
  <c r="Z426" i="2"/>
  <c r="Z325" i="2"/>
  <c r="Z150" i="2"/>
  <c r="Z341" i="2"/>
  <c r="Z439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<sst xmlns="http://schemas.openxmlformats.org/spreadsheetml/2006/main" count="4337" uniqueCount="918">
  <si>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</si>
  <si>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</si>
  <si>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</si>
  <si>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</si>
  <si>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</si>
  <si>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</si>
  <si>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</si>
  <si>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</si>
  <si>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</si>
  <si>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</si>
  <si>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</si>
  <si>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</si>
  <si>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</si>
  <si>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</si>
  <si>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</si>
  <si>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</si>
  <si>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</si>
  <si>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</si>
  <si>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</si>
  <si>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</si>
  <si>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</si>
  <si>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</si>
  <si>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</si>
  <si>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</si>
  <si>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</si>
  <si>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</si>
  <si>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</si>
  <si>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</si>
  <si>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</si>
  <si>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</si>
  <si>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</si>
  <si>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</si>
  <si>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</si>
  <si>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</si>
  <si>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</si>
  <si>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</si>
  <si>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</si>
  <si>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</si>
  <si>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</si>
  <si>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</si>
  <si>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</si>
  <si>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</si>
  <si>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</si>
  <si>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</si>
  <si>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</si>
  <si>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</si>
  <si>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</si>
  <si>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</si>
  <si>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</si>
  <si>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</si>
  <si>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</si>
  <si>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</si>
  <si>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</si>
  <si>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</si>
  <si>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</si>
  <si>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</si>
  <si>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</si>
  <si>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</si>
  <si>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</si>
  <si>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</si>
  <si>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</si>
  <si>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</si>
  <si>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</si>
  <si>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</si>
  <si>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</si>
  <si>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</si>
  <si>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</si>
  <si>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</si>
  <si>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</si>
  <si>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</si>
  <si>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</si>
  <si>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</si>
  <si>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</si>
  <si>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</si>
  <si>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</si>
  <si>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</si>
  <si>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</si>
  <si>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</si>
  <si>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</si>
  <si>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</si>
  <si>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</si>
  <si>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</si>
  <si>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</si>
  <si>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</si>
  <si>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</si>
  <si>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</si>
  <si>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</si>
  <si>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</si>
  <si>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</si>
  <si>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</si>
  <si>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</si>
  <si>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</si>
  <si>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</si>
  <si>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</si>
  <si>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</si>
  <si>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</si>
  <si>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</si>
  <si>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</si>
  <si>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</si>
  <si>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</si>
  <si>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</si>
  <si>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</si>
  <si>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</si>
  <si>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</si>
  <si>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</si>
  <si>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</si>
  <si>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</si>
  <si>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</si>
  <si>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</si>
  <si>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</si>
  <si>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</si>
  <si>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</si>
  <si>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</si>
  <si>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</si>
  <si>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</si>
  <si>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</si>
  <si>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</si>
  <si>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</si>
  <si>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</si>
  <si>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</si>
  <si>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</si>
  <si>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</si>
  <si>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</si>
  <si>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</si>
  <si>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</si>
  <si>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</si>
  <si>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</si>
  <si>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</si>
  <si>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</si>
  <si>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</si>
  <si>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</si>
  <si>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</si>
  <si>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</si>
  <si>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</si>
  <si>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</si>
  <si>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</si>
  <si>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</si>
  <si>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</si>
  <si>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</si>
  <si>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</si>
  <si>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</si>
  <si>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</si>
  <si>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</si>
  <si>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</si>
  <si>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</si>
  <si>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</si>
  <si>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</si>
  <si>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</si>
  <si>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</si>
  <si>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</si>
  <si>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</si>
  <si>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</si>
  <si>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</si>
  <si>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</si>
  <si>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</si>
  <si>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</si>
  <si>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</si>
  <si>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</si>
  <si>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</si>
  <si>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</si>
  <si>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</si>
  <si>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</si>
  <si>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</si>
  <si>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</si>
  <si>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</si>
  <si>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</si>
  <si>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</si>
  <si>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</si>
  <si>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</si>
  <si>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</si>
  <si>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</si>
  <si>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</si>
  <si>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</si>
  <si>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</si>
  <si>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</si>
  <si>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</si>
  <si>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</si>
  <si>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</si>
  <si>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</si>
  <si>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</si>
  <si>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</si>
  <si>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</si>
  <si>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</si>
  <si>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</si>
  <si>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</si>
  <si>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</si>
  <si>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</si>
  <si>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</si>
  <si>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</si>
  <si>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</si>
  <si>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</si>
  <si>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</si>
  <si>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</si>
  <si>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</si>
  <si>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</si>
  <si>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</si>
  <si>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</si>
  <si>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</si>
  <si>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</si>
  <si>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</si>
  <si>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</si>
  <si>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</si>
  <si>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</si>
  <si>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</si>
  <si>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</si>
  <si>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</si>
  <si>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</si>
  <si>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</si>
  <si>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</si>
  <si>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</si>
  <si>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</si>
  <si>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</si>
  <si>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</si>
  <si>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</si>
  <si>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</si>
  <si>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</si>
  <si>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</si>
  <si>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</si>
  <si>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</si>
  <si>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</si>
  <si>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</si>
  <si>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</si>
  <si>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</si>
  <si>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</si>
  <si>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</si>
  <si>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</si>
  <si>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</si>
  <si>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</si>
  <si>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</si>
  <si>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</si>
  <si>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</si>
  <si>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</si>
  <si>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</si>
  <si>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</si>
  <si>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</si>
  <si>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</si>
  <si>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</si>
  <si>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</si>
  <si>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</si>
  <si>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</si>
  <si>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</si>
  <si>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</si>
  <si>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</si>
  <si>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</si>
  <si>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</si>
  <si>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</si>
  <si>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</si>
  <si>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</si>
  <si>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</si>
  <si>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</si>
  <si>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</si>
  <si>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</si>
  <si>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</si>
  <si>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</si>
  <si>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</si>
  <si>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</si>
  <si>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</si>
  <si>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</si>
  <si>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</si>
  <si>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</si>
  <si>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</si>
  <si>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</si>
  <si>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</si>
  <si>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</si>
  <si>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</si>
  <si>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</si>
  <si>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</si>
  <si>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</si>
  <si>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</si>
  <si>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</si>
  <si>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</si>
  <si>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</si>
  <si>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</si>
  <si>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</si>
  <si>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</si>
  <si>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</si>
  <si>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</si>
  <si>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</si>
  <si>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</si>
  <si>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</si>
  <si>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</si>
  <si>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</si>
  <si>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</si>
  <si>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</si>
  <si>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</si>
  <si>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</si>
  <si>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</si>
  <si>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</si>
  <si>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</si>
  <si>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</si>
  <si>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</si>
  <si>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</si>
  <si>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</si>
  <si>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</si>
  <si>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</si>
  <si>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</si>
  <si>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</si>
  <si>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</si>
  <si>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</si>
  <si>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</si>
  <si>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</si>
  <si>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</si>
  <si>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</si>
  <si>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</si>
  <si>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</si>
  <si>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</si>
  <si>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</si>
  <si>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</si>
  <si>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</si>
  <si>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</si>
  <si>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</si>
  <si>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</si>
  <si>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</si>
  <si>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</si>
  <si>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</si>
  <si>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</si>
  <si>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</si>
  <si>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</si>
  <si>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</si>
  <si>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</si>
  <si>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</si>
  <si>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</si>
  <si>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</si>
  <si>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</si>
  <si>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</si>
  <si>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</si>
  <si>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</si>
  <si>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</si>
  <si>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</si>
  <si>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</si>
  <si>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</si>
  <si>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</si>
  <si>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</si>
  <si>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</si>
  <si>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</si>
  <si>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</si>
  <si>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</si>
  <si>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</si>
  <si>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</si>
  <si>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</si>
  <si>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</si>
  <si>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</si>
  <si>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</si>
  <si>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</si>
  <si>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</si>
  <si>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</si>
  <si>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</si>
  <si>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</si>
  <si>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</si>
  <si>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</si>
  <si>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</si>
  <si>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</si>
  <si>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</si>
  <si>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</si>
  <si>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</si>
  <si>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</si>
  <si>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</si>
  <si>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</si>
  <si>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</si>
  <si>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</si>
  <si>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</si>
  <si>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</si>
  <si>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</si>
  <si>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</si>
  <si>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</si>
  <si>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</si>
  <si>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</si>
  <si>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</si>
  <si>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</si>
  <si>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</si>
  <si>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</si>
  <si>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</si>
  <si>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</si>
  <si>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</si>
  <si>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</si>
  <si>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</si>
  <si>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</si>
  <si>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</si>
  <si>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</si>
  <si>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</si>
  <si>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</si>
  <si>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</si>
  <si>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</si>
  <si>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</si>
  <si>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</si>
  <si>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</si>
  <si>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</si>
  <si>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</si>
  <si>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</si>
  <si>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</si>
  <si>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</si>
  <si>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</si>
  <si>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</si>
  <si>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</si>
  <si>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</si>
  <si>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</si>
  <si>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</si>
  <si>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</si>
  <si>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</si>
  <si>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</si>
  <si>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</si>
  <si>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</si>
  <si>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</si>
  <si>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</si>
  <si>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</si>
  <si>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</si>
  <si>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</si>
  <si>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</si>
  <si>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</si>
  <si>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</si>
  <si>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</si>
  <si>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</si>
  <si>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</si>
  <si>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</si>
  <si>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</si>
  <si>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</si>
  <si>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</si>
  <si>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</si>
  <si>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</si>
  <si>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</si>
  <si>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</si>
  <si>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</si>
  <si>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</si>
  <si>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</si>
  <si>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</si>
  <si>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</si>
  <si>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</si>
  <si>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</si>
  <si>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</si>
  <si>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</si>
  <si>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</si>
  <si>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</si>
  <si>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</si>
  <si>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</si>
  <si>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</si>
  <si>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</si>
  <si>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</si>
  <si>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</si>
  <si>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</si>
  <si>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</si>
  <si>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</si>
  <si>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</si>
  <si>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</si>
  <si>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</si>
  <si>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</si>
  <si>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</si>
  <si>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</si>
  <si>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</si>
  <si>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</si>
  <si>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</si>
  <si>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</si>
  <si>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</si>
  <si>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</si>
  <si>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</si>
  <si>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</si>
  <si>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</si>
  <si>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</si>
  <si>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</si>
  <si>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</si>
  <si>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</si>
  <si>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</si>
  <si>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</si>
  <si>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</si>
  <si>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</si>
  <si>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</si>
  <si>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</si>
  <si>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</si>
  <si>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</si>
  <si>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</si>
  <si>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</si>
  <si>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</si>
  <si>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</si>
  <si>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</si>
  <si>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</si>
  <si>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</si>
  <si>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</si>
  <si>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</si>
  <si>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</si>
  <si>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</si>
  <si>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</si>
  <si>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</si>
  <si>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</si>
  <si>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</si>
  <si>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</si>
  <si>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</si>
  <si>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</si>
  <si>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</si>
  <si>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</si>
  <si>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</si>
  <si>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</si>
  <si>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</si>
  <si>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</si>
  <si>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</si>
  <si>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</si>
  <si>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</si>
  <si>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</si>
  <si>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</si>
  <si>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</si>
  <si>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</si>
  <si>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</si>
  <si>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</si>
  <si>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</si>
  <si>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</si>
  <si>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</si>
  <si>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</si>
  <si>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</si>
  <si>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</si>
  <si>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</si>
  <si>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</si>
  <si>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</si>
  <si>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</si>
  <si>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</si>
  <si>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</si>
  <si>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</si>
  <si>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</si>
  <si>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</si>
  <si>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</si>
  <si>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</si>
  <si>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</si>
  <si>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</si>
  <si>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</si>
  <si>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</si>
  <si>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</si>
  <si>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</si>
  <si>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</si>
  <si>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</si>
  <si>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</si>
  <si>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</si>
  <si>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</si>
  <si>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</si>
  <si>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</si>
  <si>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</si>
  <si>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</si>
  <si>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</si>
  <si>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</si>
  <si>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</si>
  <si>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</si>
  <si>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</si>
  <si>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</si>
  <si>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</si>
  <si>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</si>
  <si>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</si>
  <si>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</si>
  <si>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</si>
  <si>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</si>
  <si>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</si>
  <si>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</si>
  <si>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</si>
  <si>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</si>
  <si>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</si>
  <si>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</si>
  <si>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</si>
  <si>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</si>
  <si>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</si>
  <si>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</si>
  <si>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</si>
  <si>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</si>
  <si>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</si>
  <si>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</si>
  <si>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</si>
  <si>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</si>
  <si>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</si>
  <si>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</si>
  <si>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</si>
  <si>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</si>
  <si>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</si>
  <si>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</si>
  <si>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</si>
  <si>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</si>
  <si>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</si>
  <si>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</si>
  <si>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</si>
  <si>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</si>
  <si>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</si>
  <si>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</si>
  <si>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</si>
  <si>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</si>
  <si>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</si>
  <si>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</si>
  <si>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</si>
  <si>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</si>
  <si>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</si>
  <si>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</si>
  <si>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</si>
  <si>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</si>
  <si>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</si>
  <si>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</si>
  <si>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</si>
  <si>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</si>
  <si>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</si>
  <si>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</si>
  <si>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</si>
  <si>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</si>
  <si>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</si>
  <si>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</si>
  <si>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</si>
  <si>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</si>
  <si>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</si>
  <si>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</si>
  <si>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</si>
  <si>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</si>
  <si>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</si>
  <si>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</si>
  <si>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</si>
  <si>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</si>
  <si>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</si>
  <si>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</si>
  <si>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</si>
  <si>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</si>
  <si>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</si>
  <si>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</si>
  <si>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</si>
  <si>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</si>
  <si>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</si>
  <si>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</si>
  <si>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</si>
  <si>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</si>
  <si>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</si>
  <si>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</si>
  <si>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</si>
  <si>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</si>
  <si>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</si>
  <si>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</si>
  <si>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</si>
  <si>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</si>
  <si>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</si>
  <si>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</si>
  <si>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</si>
  <si>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</si>
  <si>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</si>
  <si>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</si>
  <si>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</si>
  <si>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</si>
  <si>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</si>
  <si>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</si>
  <si>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</si>
  <si>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</si>
  <si>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</si>
  <si>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</si>
  <si>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</si>
  <si>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</si>
  <si>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</si>
  <si>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</si>
  <si>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</si>
  <si>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</si>
  <si>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</si>
  <si>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</si>
  <si>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</si>
  <si>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</si>
  <si>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</si>
  <si>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</si>
  <si>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</si>
  <si>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</si>
  <si>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</si>
  <si>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</si>
  <si>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</si>
  <si>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</si>
  <si>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</si>
  <si>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</si>
  <si>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</si>
  <si>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</si>
  <si>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</si>
  <si>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</si>
  <si>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</si>
  <si>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</si>
  <si>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</si>
  <si>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</si>
  <si>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</si>
  <si>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</si>
  <si>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</si>
  <si>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</si>
  <si>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</si>
  <si>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</si>
  <si>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</si>
  <si>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</si>
  <si>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</si>
  <si>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</si>
  <si>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</si>
  <si>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</si>
  <si>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</si>
  <si>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</si>
  <si>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</si>
  <si>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</si>
  <si>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</si>
  <si>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</si>
  <si>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</si>
  <si>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</si>
  <si>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</si>
  <si>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</si>
  <si>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</si>
  <si>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</si>
  <si>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</si>
  <si>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</si>
  <si>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</si>
  <si>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</si>
  <si>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</si>
  <si>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</si>
  <si>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</si>
  <si>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</si>
  <si>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</si>
  <si>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</si>
  <si>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</si>
  <si>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</si>
  <si>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</si>
  <si>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</si>
  <si>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</si>
  <si>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</si>
  <si>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</si>
  <si>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</si>
  <si>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</si>
  <si>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</si>
  <si>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</si>
  <si>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</si>
  <si>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</si>
  <si>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</si>
  <si>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</si>
  <si>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</si>
  <si>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</si>
  <si>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</si>
  <si>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</si>
  <si>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</si>
  <si>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</si>
  <si>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</si>
  <si>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</si>
  <si>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</si>
  <si>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</si>
  <si>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</si>
  <si>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</si>
  <si>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</si>
  <si>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</si>
  <si>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</si>
  <si>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</si>
  <si>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</si>
  <si>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</si>
  <si>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</si>
  <si>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</si>
  <si>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</si>
  <si>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</si>
  <si>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</si>
  <si>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</si>
  <si>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</si>
  <si>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</si>
  <si>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</si>
  <si>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</si>
  <si>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</si>
  <si>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</si>
  <si>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</si>
  <si>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</si>
  <si>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</si>
  <si>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</si>
  <si>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</si>
  <si>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</si>
  <si>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</si>
  <si>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</si>
  <si>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</si>
  <si>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</si>
  <si>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</si>
  <si>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</si>
  <si>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</si>
  <si>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</si>
  <si>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</si>
  <si>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</si>
  <si>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</si>
  <si>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</si>
  <si>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</si>
  <si>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</si>
  <si>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</si>
  <si>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</si>
  <si>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</si>
  <si>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</si>
  <si>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</si>
  <si>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</si>
  <si>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</si>
  <si>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</si>
  <si>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</si>
  <si>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</si>
  <si>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</si>
  <si>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</si>
  <si>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</si>
  <si>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</si>
  <si>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</si>
  <si>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</si>
  <si>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</si>
  <si>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</si>
  <si>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</si>
  <si>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</si>
  <si>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</si>
  <si>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</si>
  <si>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</si>
  <si>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</si>
  <si>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</si>
  <si>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</si>
  <si>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</si>
  <si>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</si>
  <si>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</si>
  <si>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</si>
  <si>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</si>
  <si>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</si>
  <si>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</si>
  <si>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</si>
  <si>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</si>
  <si>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</si>
  <si>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</si>
  <si>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</si>
  <si>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</si>
  <si>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</si>
  <si>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</si>
  <si>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</si>
  <si>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</si>
  <si>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</si>
  <si>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</si>
  <si>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</si>
  <si>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</si>
  <si>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</si>
  <si>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</si>
  <si>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</si>
  <si>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</si>
  <si>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</si>
  <si>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</si>
  <si>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</si>
  <si>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</si>
  <si>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</si>
  <si>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</si>
  <si>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</si>
  <si>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</si>
  <si>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</si>
  <si>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</si>
  <si>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</si>
  <si>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</si>
  <si>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</si>
  <si>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</si>
  <si>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</si>
  <si>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</si>
  <si>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</si>
  <si>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</si>
  <si>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</si>
  <si>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</si>
  <si>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</si>
  <si>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</si>
  <si>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</si>
  <si>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</si>
  <si>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</si>
  <si>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</si>
  <si>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</si>
  <si>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</si>
  <si>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</si>
  <si>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</si>
  <si>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</si>
  <si>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</si>
  <si>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</si>
  <si>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</si>
  <si>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</si>
  <si>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</si>
  <si>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</si>
  <si>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</si>
  <si>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</si>
  <si>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</si>
  <si>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</si>
  <si>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</si>
  <si>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</si>
  <si>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</si>
  <si>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</si>
  <si>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</si>
  <si>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</si>
  <si>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</si>
  <si>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</si>
  <si>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</si>
  <si>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</si>
  <si>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</si>
  <si>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</si>
  <si>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</si>
  <si>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</si>
  <si>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</si>
  <si>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</si>
  <si>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</si>
  <si>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</si>
  <si>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</si>
  <si>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</si>
  <si>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</si>
  <si>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</si>
  <si>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</si>
  <si>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</si>
  <si>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</si>
  <si>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</si>
  <si>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</si>
  <si>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</si>
  <si>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</si>
  <si>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</si>
  <si>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</si>
  <si>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</si>
  <si>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</si>
  <si>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</si>
  <si>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</si>
  <si>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</si>
  <si>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</si>
  <si>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</si>
  <si>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</si>
  <si>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</si>
  <si>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</si>
  <si>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</si>
  <si>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</si>
  <si>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</si>
  <si>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</si>
  <si>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</si>
  <si>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</si>
  <si>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</si>
  <si>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</si>
  <si>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</si>
  <si>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</si>
  <si>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</si>
  <si>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</si>
  <si>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</si>
  <si>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</si>
  <si>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</si>
  <si>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</si>
  <si>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</si>
  <si>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TSO001092749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</si>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</sst>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563" sqref="AA56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8" t="s">
        <v>26</v>
      </c>
      <c r="E1" s="988"/>
      <c r="F1" s="988"/>
      <c r="G1" s="14" t="s">
        <v>66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67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2" t="s">
        <v>8</v>
      </c>
      <c r="B5" s="992"/>
      <c r="C5" s="992"/>
      <c r="D5" s="993"/>
      <c r="E5" s="993"/>
      <c r="F5" s="994" t="s">
        <v>14</v>
      </c>
      <c r="G5" s="994"/>
      <c r="H5" s="993" t="s">
        <v>916</v>
      </c>
      <c r="I5" s="993"/>
      <c r="J5" s="993"/>
      <c r="K5" s="993"/>
      <c r="L5" s="993"/>
      <c r="M5" s="993"/>
      <c r="N5" s="69"/>
      <c r="P5" s="26" t="s">
        <v>4</v>
      </c>
      <c r="Q5" s="995">
        <v>46266</v>
      </c>
      <c r="R5" s="995"/>
      <c r="T5" s="996" t="s">
        <v>3</v>
      </c>
      <c r="U5" s="997"/>
      <c r="V5" s="998" t="s">
        <v>876</v>
      </c>
      <c r="W5" s="999"/>
      <c r="AB5" s="57"/>
      <c r="AC5" s="57"/>
      <c r="AD5" s="57"/>
      <c r="AE5" s="57"/>
    </row>
    <row r="6" spans="1:32" s="17" customFormat="1" ht="24" customHeight="1" x14ac:dyDescent="0.2">
      <c r="A6" s="992" t="s">
        <v>1</v>
      </c>
      <c r="B6" s="992"/>
      <c r="C6" s="992"/>
      <c r="D6" s="1000" t="s">
        <v>889</v>
      </c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Вторник</v>
      </c>
      <c r="R6" s="1001"/>
      <c r="T6" s="1002" t="s">
        <v>5</v>
      </c>
      <c r="U6" s="1003"/>
      <c r="V6" s="1004" t="s">
        <v>69</v>
      </c>
      <c r="W6" s="100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0" t="str">
        <f>IFERROR(VLOOKUP(DeliveryAddress,Table,3,0),1)</f>
        <v>5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">
      <c r="A8" s="1013" t="s">
        <v>57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0.79166666666666663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50000000000003" customHeight="1" x14ac:dyDescent="0.2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70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917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2" t="s">
        <v>71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">
      <c r="A13" s="972" t="s">
        <v>72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2" t="s">
        <v>73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5" t="s">
        <v>74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60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7" t="s">
        <v>58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65</v>
      </c>
      <c r="L17" s="947" t="s">
        <v>63</v>
      </c>
      <c r="M17" s="947" t="s">
        <v>2</v>
      </c>
      <c r="N17" s="947" t="s">
        <v>62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55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59</v>
      </c>
      <c r="AB17" s="953" t="s">
        <v>19</v>
      </c>
      <c r="AC17" s="953" t="s">
        <v>64</v>
      </c>
      <c r="AD17" s="955" t="s">
        <v>56</v>
      </c>
      <c r="AE17" s="956"/>
      <c r="AF17" s="957"/>
      <c r="AG17" s="77"/>
      <c r="BD17" s="76" t="s">
        <v>61</v>
      </c>
    </row>
    <row r="18" spans="1:68" ht="14.25" customHeight="1" x14ac:dyDescent="0.2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75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76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85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103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85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120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121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136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121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61">
        <v>4680115880283</v>
      </c>
      <c r="E57" s="661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61">
        <v>4680115881525</v>
      </c>
      <c r="E58" s="661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661">
        <v>4680115885899</v>
      </c>
      <c r="E59" s="661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661">
        <v>4680115881419</v>
      </c>
      <c r="E60" s="661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51"/>
      <c r="B61" s="651"/>
      <c r="C61" s="651"/>
      <c r="D61" s="651"/>
      <c r="E61" s="651"/>
      <c r="F61" s="651"/>
      <c r="G61" s="651"/>
      <c r="H61" s="651"/>
      <c r="I61" s="651"/>
      <c r="J61" s="651"/>
      <c r="K61" s="651"/>
      <c r="L61" s="651"/>
      <c r="M61" s="651"/>
      <c r="N61" s="651"/>
      <c r="O61" s="652"/>
      <c r="P61" s="648" t="s">
        <v>40</v>
      </c>
      <c r="Q61" s="649"/>
      <c r="R61" s="649"/>
      <c r="S61" s="649"/>
      <c r="T61" s="649"/>
      <c r="U61" s="649"/>
      <c r="V61" s="650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51"/>
      <c r="B62" s="651"/>
      <c r="C62" s="651"/>
      <c r="D62" s="651"/>
      <c r="E62" s="651"/>
      <c r="F62" s="651"/>
      <c r="G62" s="651"/>
      <c r="H62" s="651"/>
      <c r="I62" s="651"/>
      <c r="J62" s="651"/>
      <c r="K62" s="651"/>
      <c r="L62" s="651"/>
      <c r="M62" s="651"/>
      <c r="N62" s="651"/>
      <c r="O62" s="652"/>
      <c r="P62" s="648" t="s">
        <v>40</v>
      </c>
      <c r="Q62" s="649"/>
      <c r="R62" s="649"/>
      <c r="S62" s="649"/>
      <c r="T62" s="649"/>
      <c r="U62" s="649"/>
      <c r="V62" s="650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60" t="s">
        <v>154</v>
      </c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0"/>
      <c r="P63" s="660"/>
      <c r="Q63" s="660"/>
      <c r="R63" s="660"/>
      <c r="S63" s="660"/>
      <c r="T63" s="660"/>
      <c r="U63" s="660"/>
      <c r="V63" s="660"/>
      <c r="W63" s="660"/>
      <c r="X63" s="660"/>
      <c r="Y63" s="660"/>
      <c r="Z63" s="660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661">
        <v>4680115881440</v>
      </c>
      <c r="E64" s="661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92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3"/>
      <c r="R64" s="663"/>
      <c r="S64" s="663"/>
      <c r="T64" s="664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661">
        <v>4680115885950</v>
      </c>
      <c r="E65" s="661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3"/>
      <c r="R65" s="663"/>
      <c r="S65" s="663"/>
      <c r="T65" s="664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661">
        <v>4680115887688</v>
      </c>
      <c r="E66" s="661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3"/>
      <c r="R66" s="663"/>
      <c r="S66" s="663"/>
      <c r="T66" s="664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661">
        <v>4680115881433</v>
      </c>
      <c r="E67" s="661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9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51"/>
      <c r="B68" s="651"/>
      <c r="C68" s="651"/>
      <c r="D68" s="651"/>
      <c r="E68" s="651"/>
      <c r="F68" s="651"/>
      <c r="G68" s="651"/>
      <c r="H68" s="651"/>
      <c r="I68" s="651"/>
      <c r="J68" s="651"/>
      <c r="K68" s="651"/>
      <c r="L68" s="651"/>
      <c r="M68" s="651"/>
      <c r="N68" s="651"/>
      <c r="O68" s="652"/>
      <c r="P68" s="648" t="s">
        <v>40</v>
      </c>
      <c r="Q68" s="649"/>
      <c r="R68" s="649"/>
      <c r="S68" s="649"/>
      <c r="T68" s="649"/>
      <c r="U68" s="649"/>
      <c r="V68" s="650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51"/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2"/>
      <c r="P69" s="648" t="s">
        <v>40</v>
      </c>
      <c r="Q69" s="649"/>
      <c r="R69" s="649"/>
      <c r="S69" s="649"/>
      <c r="T69" s="649"/>
      <c r="U69" s="649"/>
      <c r="V69" s="650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60" t="s">
        <v>85</v>
      </c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0"/>
      <c r="P70" s="660"/>
      <c r="Q70" s="660"/>
      <c r="R70" s="660"/>
      <c r="S70" s="660"/>
      <c r="T70" s="660"/>
      <c r="U70" s="660"/>
      <c r="V70" s="660"/>
      <c r="W70" s="660"/>
      <c r="X70" s="660"/>
      <c r="Y70" s="660"/>
      <c r="Z70" s="660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661">
        <v>4680115884311</v>
      </c>
      <c r="E71" s="661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9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661">
        <v>4680115884403</v>
      </c>
      <c r="E72" s="661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3"/>
      <c r="R72" s="663"/>
      <c r="S72" s="663"/>
      <c r="T72" s="664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661">
        <v>4680115884403</v>
      </c>
      <c r="E73" s="661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2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3"/>
      <c r="R73" s="663"/>
      <c r="S73" s="663"/>
      <c r="T73" s="664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60" t="s">
        <v>172</v>
      </c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0"/>
      <c r="P76" s="660"/>
      <c r="Q76" s="660"/>
      <c r="R76" s="660"/>
      <c r="S76" s="660"/>
      <c r="T76" s="660"/>
      <c r="U76" s="660"/>
      <c r="V76" s="660"/>
      <c r="W76" s="660"/>
      <c r="X76" s="660"/>
      <c r="Y76" s="660"/>
      <c r="Z76" s="660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61">
        <v>4680115881532</v>
      </c>
      <c r="E77" s="661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9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3"/>
      <c r="R77" s="663"/>
      <c r="S77" s="663"/>
      <c r="T77" s="664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61">
        <v>4680115881532</v>
      </c>
      <c r="E78" s="661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2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3"/>
      <c r="R78" s="663"/>
      <c r="S78" s="663"/>
      <c r="T78" s="664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661">
        <v>4680115881464</v>
      </c>
      <c r="E79" s="661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9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3"/>
      <c r="R79" s="663"/>
      <c r="S79" s="663"/>
      <c r="T79" s="664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661">
        <v>4680115881464</v>
      </c>
      <c r="E80" s="661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1"/>
      <c r="B82" s="651"/>
      <c r="C82" s="651"/>
      <c r="D82" s="651"/>
      <c r="E82" s="651"/>
      <c r="F82" s="651"/>
      <c r="G82" s="651"/>
      <c r="H82" s="651"/>
      <c r="I82" s="651"/>
      <c r="J82" s="651"/>
      <c r="K82" s="651"/>
      <c r="L82" s="651"/>
      <c r="M82" s="651"/>
      <c r="N82" s="651"/>
      <c r="O82" s="652"/>
      <c r="P82" s="648" t="s">
        <v>40</v>
      </c>
      <c r="Q82" s="649"/>
      <c r="R82" s="649"/>
      <c r="S82" s="649"/>
      <c r="T82" s="649"/>
      <c r="U82" s="649"/>
      <c r="V82" s="650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67" t="s">
        <v>181</v>
      </c>
      <c r="B83" s="667"/>
      <c r="C83" s="667"/>
      <c r="D83" s="667"/>
      <c r="E83" s="667"/>
      <c r="F83" s="667"/>
      <c r="G83" s="667"/>
      <c r="H83" s="667"/>
      <c r="I83" s="667"/>
      <c r="J83" s="667"/>
      <c r="K83" s="667"/>
      <c r="L83" s="667"/>
      <c r="M83" s="667"/>
      <c r="N83" s="667"/>
      <c r="O83" s="667"/>
      <c r="P83" s="667"/>
      <c r="Q83" s="667"/>
      <c r="R83" s="667"/>
      <c r="S83" s="667"/>
      <c r="T83" s="667"/>
      <c r="U83" s="667"/>
      <c r="V83" s="667"/>
      <c r="W83" s="667"/>
      <c r="X83" s="667"/>
      <c r="Y83" s="667"/>
      <c r="Z83" s="667"/>
      <c r="AA83" s="62"/>
      <c r="AB83" s="62"/>
      <c r="AC83" s="62"/>
    </row>
    <row r="84" spans="1:68" ht="14.25" hidden="1" customHeight="1" x14ac:dyDescent="0.25">
      <c r="A84" s="660" t="s">
        <v>121</v>
      </c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0"/>
      <c r="P84" s="660"/>
      <c r="Q84" s="660"/>
      <c r="R84" s="660"/>
      <c r="S84" s="660"/>
      <c r="T84" s="660"/>
      <c r="U84" s="660"/>
      <c r="V84" s="660"/>
      <c r="W84" s="660"/>
      <c r="X84" s="660"/>
      <c r="Y84" s="660"/>
      <c r="Z84" s="660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661">
        <v>4680115881327</v>
      </c>
      <c r="E85" s="661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3"/>
      <c r="R85" s="663"/>
      <c r="S85" s="663"/>
      <c r="T85" s="664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661">
        <v>4680115887732</v>
      </c>
      <c r="E86" s="661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3"/>
      <c r="R86" s="663"/>
      <c r="S86" s="663"/>
      <c r="T86" s="664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661">
        <v>4680115887732</v>
      </c>
      <c r="E87" s="661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6" t="s">
        <v>189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61">
        <v>4680115881518</v>
      </c>
      <c r="E88" s="661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1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61">
        <v>4680115881303</v>
      </c>
      <c r="E89" s="661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1"/>
      <c r="B90" s="651"/>
      <c r="C90" s="651"/>
      <c r="D90" s="651"/>
      <c r="E90" s="651"/>
      <c r="F90" s="651"/>
      <c r="G90" s="651"/>
      <c r="H90" s="651"/>
      <c r="I90" s="651"/>
      <c r="J90" s="651"/>
      <c r="K90" s="651"/>
      <c r="L90" s="651"/>
      <c r="M90" s="651"/>
      <c r="N90" s="651"/>
      <c r="O90" s="652"/>
      <c r="P90" s="648" t="s">
        <v>40</v>
      </c>
      <c r="Q90" s="649"/>
      <c r="R90" s="649"/>
      <c r="S90" s="649"/>
      <c r="T90" s="649"/>
      <c r="U90" s="649"/>
      <c r="V90" s="650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1"/>
      <c r="B91" s="651"/>
      <c r="C91" s="651"/>
      <c r="D91" s="651"/>
      <c r="E91" s="651"/>
      <c r="F91" s="651"/>
      <c r="G91" s="651"/>
      <c r="H91" s="651"/>
      <c r="I91" s="651"/>
      <c r="J91" s="651"/>
      <c r="K91" s="651"/>
      <c r="L91" s="651"/>
      <c r="M91" s="651"/>
      <c r="N91" s="651"/>
      <c r="O91" s="652"/>
      <c r="P91" s="648" t="s">
        <v>40</v>
      </c>
      <c r="Q91" s="649"/>
      <c r="R91" s="649"/>
      <c r="S91" s="649"/>
      <c r="T91" s="649"/>
      <c r="U91" s="649"/>
      <c r="V91" s="650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60" t="s">
        <v>85</v>
      </c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0"/>
      <c r="P92" s="660"/>
      <c r="Q92" s="660"/>
      <c r="R92" s="660"/>
      <c r="S92" s="660"/>
      <c r="T92" s="660"/>
      <c r="U92" s="660"/>
      <c r="V92" s="660"/>
      <c r="W92" s="660"/>
      <c r="X92" s="660"/>
      <c r="Y92" s="660"/>
      <c r="Z92" s="660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661">
        <v>4607091386967</v>
      </c>
      <c r="E93" s="661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3"/>
      <c r="R93" s="663"/>
      <c r="S93" s="663"/>
      <c r="T93" s="664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661">
        <v>4607091386967</v>
      </c>
      <c r="E94" s="661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07" t="s">
        <v>198</v>
      </c>
      <c r="Q94" s="663"/>
      <c r="R94" s="663"/>
      <c r="S94" s="663"/>
      <c r="T94" s="664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661">
        <v>4680115884953</v>
      </c>
      <c r="E95" s="661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661">
        <v>4607091385731</v>
      </c>
      <c r="E96" s="661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10" t="s">
        <v>204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91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121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61">
        <v>4680115887718</v>
      </c>
      <c r="E104" s="661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90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61">
        <v>4680115887718</v>
      </c>
      <c r="E105" s="661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9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661">
        <v>4680115887718</v>
      </c>
      <c r="E106" s="661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9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661">
        <v>4680115880429</v>
      </c>
      <c r="E109" s="661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892" t="s">
        <v>222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8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651"/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2"/>
      <c r="P111" s="648" t="s">
        <v>40</v>
      </c>
      <c r="Q111" s="649"/>
      <c r="R111" s="649"/>
      <c r="S111" s="649"/>
      <c r="T111" s="649"/>
      <c r="U111" s="649"/>
      <c r="V111" s="650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60" t="s">
        <v>154</v>
      </c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0"/>
      <c r="P113" s="660"/>
      <c r="Q113" s="660"/>
      <c r="R113" s="660"/>
      <c r="S113" s="660"/>
      <c r="T113" s="660"/>
      <c r="U113" s="660"/>
      <c r="V113" s="660"/>
      <c r="W113" s="660"/>
      <c r="X113" s="660"/>
      <c r="Y113" s="660"/>
      <c r="Z113" s="660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661">
        <v>4680115881488</v>
      </c>
      <c r="E114" s="661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3"/>
      <c r="R114" s="663"/>
      <c r="S114" s="663"/>
      <c r="T114" s="664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661">
        <v>4680115887664</v>
      </c>
      <c r="E115" s="661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8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661">
        <v>4680115887664</v>
      </c>
      <c r="E116" s="661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8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661">
        <v>4680115882775</v>
      </c>
      <c r="E117" s="661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661">
        <v>4680115880658</v>
      </c>
      <c r="E118" s="661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8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3"/>
      <c r="R118" s="663"/>
      <c r="S118" s="663"/>
      <c r="T118" s="664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1"/>
      <c r="B120" s="651"/>
      <c r="C120" s="651"/>
      <c r="D120" s="651"/>
      <c r="E120" s="651"/>
      <c r="F120" s="651"/>
      <c r="G120" s="651"/>
      <c r="H120" s="651"/>
      <c r="I120" s="651"/>
      <c r="J120" s="651"/>
      <c r="K120" s="651"/>
      <c r="L120" s="651"/>
      <c r="M120" s="651"/>
      <c r="N120" s="651"/>
      <c r="O120" s="652"/>
      <c r="P120" s="648" t="s">
        <v>40</v>
      </c>
      <c r="Q120" s="649"/>
      <c r="R120" s="649"/>
      <c r="S120" s="649"/>
      <c r="T120" s="649"/>
      <c r="U120" s="649"/>
      <c r="V120" s="650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0" t="s">
        <v>85</v>
      </c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0"/>
      <c r="P121" s="660"/>
      <c r="Q121" s="660"/>
      <c r="R121" s="660"/>
      <c r="S121" s="660"/>
      <c r="T121" s="660"/>
      <c r="U121" s="660"/>
      <c r="V121" s="660"/>
      <c r="W121" s="660"/>
      <c r="X121" s="660"/>
      <c r="Y121" s="660"/>
      <c r="Z121" s="660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661">
        <v>4607091385168</v>
      </c>
      <c r="E122" s="661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8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661">
        <v>4607091385168</v>
      </c>
      <c r="E123" s="661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886" t="s">
        <v>242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661">
        <v>4607091383256</v>
      </c>
      <c r="E124" s="661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8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661">
        <v>4607091385748</v>
      </c>
      <c r="E125" s="661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8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3"/>
      <c r="R125" s="663"/>
      <c r="S125" s="663"/>
      <c r="T125" s="664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661">
        <v>4607091385748</v>
      </c>
      <c r="E126" s="661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889" t="s">
        <v>248</v>
      </c>
      <c r="Q126" s="663"/>
      <c r="R126" s="663"/>
      <c r="S126" s="663"/>
      <c r="T126" s="664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661">
        <v>4680115884533</v>
      </c>
      <c r="E127" s="661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8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3"/>
      <c r="R127" s="663"/>
      <c r="S127" s="663"/>
      <c r="T127" s="664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661">
        <v>4680115884533</v>
      </c>
      <c r="E128" s="661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891" t="s">
        <v>253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60" t="s">
        <v>172</v>
      </c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0"/>
      <c r="P131" s="660"/>
      <c r="Q131" s="660"/>
      <c r="R131" s="660"/>
      <c r="S131" s="660"/>
      <c r="T131" s="660"/>
      <c r="U131" s="660"/>
      <c r="V131" s="660"/>
      <c r="W131" s="660"/>
      <c r="X131" s="660"/>
      <c r="Y131" s="660"/>
      <c r="Z131" s="660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661">
        <v>4680115880238</v>
      </c>
      <c r="E132" s="661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3"/>
      <c r="R132" s="663"/>
      <c r="S132" s="663"/>
      <c r="T132" s="664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661">
        <v>4680115880238</v>
      </c>
      <c r="E133" s="661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882" t="s">
        <v>258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1"/>
      <c r="B134" s="651"/>
      <c r="C134" s="651"/>
      <c r="D134" s="651"/>
      <c r="E134" s="651"/>
      <c r="F134" s="651"/>
      <c r="G134" s="651"/>
      <c r="H134" s="651"/>
      <c r="I134" s="651"/>
      <c r="J134" s="651"/>
      <c r="K134" s="651"/>
      <c r="L134" s="651"/>
      <c r="M134" s="651"/>
      <c r="N134" s="651"/>
      <c r="O134" s="652"/>
      <c r="P134" s="648" t="s">
        <v>40</v>
      </c>
      <c r="Q134" s="649"/>
      <c r="R134" s="649"/>
      <c r="S134" s="649"/>
      <c r="T134" s="649"/>
      <c r="U134" s="649"/>
      <c r="V134" s="650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67" t="s">
        <v>259</v>
      </c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7"/>
      <c r="P136" s="667"/>
      <c r="Q136" s="667"/>
      <c r="R136" s="667"/>
      <c r="S136" s="667"/>
      <c r="T136" s="667"/>
      <c r="U136" s="667"/>
      <c r="V136" s="667"/>
      <c r="W136" s="667"/>
      <c r="X136" s="667"/>
      <c r="Y136" s="667"/>
      <c r="Z136" s="667"/>
      <c r="AA136" s="62"/>
      <c r="AB136" s="62"/>
      <c r="AC136" s="62"/>
    </row>
    <row r="137" spans="1:68" ht="14.25" hidden="1" customHeight="1" x14ac:dyDescent="0.25">
      <c r="A137" s="660" t="s">
        <v>121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661">
        <v>4680115882577</v>
      </c>
      <c r="E138" s="661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661">
        <v>4680115882577</v>
      </c>
      <c r="E139" s="661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76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661">
        <v>4680115883444</v>
      </c>
      <c r="E143" s="661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661">
        <v>4680115883444</v>
      </c>
      <c r="E144" s="661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60" t="s">
        <v>85</v>
      </c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0"/>
      <c r="P147" s="660"/>
      <c r="Q147" s="660"/>
      <c r="R147" s="660"/>
      <c r="S147" s="660"/>
      <c r="T147" s="660"/>
      <c r="U147" s="660"/>
      <c r="V147" s="660"/>
      <c r="W147" s="660"/>
      <c r="X147" s="660"/>
      <c r="Y147" s="660"/>
      <c r="Z147" s="660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661">
        <v>4680115882584</v>
      </c>
      <c r="E148" s="661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8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3"/>
      <c r="R148" s="663"/>
      <c r="S148" s="663"/>
      <c r="T148" s="664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661">
        <v>4680115882584</v>
      </c>
      <c r="E149" s="661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8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51"/>
      <c r="B150" s="651"/>
      <c r="C150" s="651"/>
      <c r="D150" s="651"/>
      <c r="E150" s="651"/>
      <c r="F150" s="651"/>
      <c r="G150" s="651"/>
      <c r="H150" s="651"/>
      <c r="I150" s="651"/>
      <c r="J150" s="651"/>
      <c r="K150" s="651"/>
      <c r="L150" s="651"/>
      <c r="M150" s="651"/>
      <c r="N150" s="651"/>
      <c r="O150" s="652"/>
      <c r="P150" s="648" t="s">
        <v>40</v>
      </c>
      <c r="Q150" s="649"/>
      <c r="R150" s="649"/>
      <c r="S150" s="649"/>
      <c r="T150" s="649"/>
      <c r="U150" s="649"/>
      <c r="V150" s="650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651"/>
      <c r="B151" s="651"/>
      <c r="C151" s="651"/>
      <c r="D151" s="651"/>
      <c r="E151" s="651"/>
      <c r="F151" s="651"/>
      <c r="G151" s="651"/>
      <c r="H151" s="651"/>
      <c r="I151" s="651"/>
      <c r="J151" s="651"/>
      <c r="K151" s="651"/>
      <c r="L151" s="651"/>
      <c r="M151" s="651"/>
      <c r="N151" s="651"/>
      <c r="O151" s="652"/>
      <c r="P151" s="648" t="s">
        <v>40</v>
      </c>
      <c r="Q151" s="649"/>
      <c r="R151" s="649"/>
      <c r="S151" s="649"/>
      <c r="T151" s="649"/>
      <c r="U151" s="649"/>
      <c r="V151" s="650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67" t="s">
        <v>272</v>
      </c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7"/>
      <c r="P152" s="667"/>
      <c r="Q152" s="667"/>
      <c r="R152" s="667"/>
      <c r="S152" s="667"/>
      <c r="T152" s="667"/>
      <c r="U152" s="667"/>
      <c r="V152" s="667"/>
      <c r="W152" s="667"/>
      <c r="X152" s="667"/>
      <c r="Y152" s="667"/>
      <c r="Z152" s="667"/>
      <c r="AA152" s="62"/>
      <c r="AB152" s="62"/>
      <c r="AC152" s="62"/>
    </row>
    <row r="153" spans="1:68" ht="14.25" hidden="1" customHeight="1" x14ac:dyDescent="0.25">
      <c r="A153" s="660" t="s">
        <v>85</v>
      </c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0"/>
      <c r="P153" s="660"/>
      <c r="Q153" s="660"/>
      <c r="R153" s="660"/>
      <c r="S153" s="660"/>
      <c r="T153" s="660"/>
      <c r="U153" s="660"/>
      <c r="V153" s="660"/>
      <c r="W153" s="660"/>
      <c r="X153" s="660"/>
      <c r="Y153" s="660"/>
      <c r="Z153" s="660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661">
        <v>4680115888203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661">
        <v>4680115888180</v>
      </c>
      <c r="E155" s="661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7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3"/>
      <c r="R155" s="663"/>
      <c r="S155" s="663"/>
      <c r="T155" s="664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661">
        <v>4680115888180</v>
      </c>
      <c r="E156" s="661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3"/>
      <c r="R156" s="663"/>
      <c r="S156" s="663"/>
      <c r="T156" s="664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661">
        <v>4680115888197</v>
      </c>
      <c r="E157" s="661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3"/>
      <c r="R157" s="663"/>
      <c r="S157" s="663"/>
      <c r="T157" s="664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661">
        <v>4680115888197</v>
      </c>
      <c r="E158" s="661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7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661">
        <v>4680115888210</v>
      </c>
      <c r="E159" s="661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3"/>
      <c r="R159" s="663"/>
      <c r="S159" s="663"/>
      <c r="T159" s="664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661">
        <v>4680115888210</v>
      </c>
      <c r="E160" s="661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3"/>
      <c r="R160" s="663"/>
      <c r="S160" s="663"/>
      <c r="T160" s="664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51"/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2"/>
      <c r="P162" s="648" t="s">
        <v>40</v>
      </c>
      <c r="Q162" s="649"/>
      <c r="R162" s="649"/>
      <c r="S162" s="649"/>
      <c r="T162" s="649"/>
      <c r="U162" s="649"/>
      <c r="V162" s="650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60" t="s">
        <v>288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661">
        <v>4680115889132</v>
      </c>
      <c r="E164" s="661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67" t="s">
        <v>119</v>
      </c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2"/>
      <c r="AB167" s="62"/>
      <c r="AC167" s="62"/>
    </row>
    <row r="168" spans="1:68" ht="14.25" hidden="1" customHeight="1" x14ac:dyDescent="0.25">
      <c r="A168" s="660" t="s">
        <v>121</v>
      </c>
      <c r="B168" s="660"/>
      <c r="C168" s="660"/>
      <c r="D168" s="660"/>
      <c r="E168" s="660"/>
      <c r="F168" s="660"/>
      <c r="G168" s="660"/>
      <c r="H168" s="660"/>
      <c r="I168" s="660"/>
      <c r="J168" s="660"/>
      <c r="K168" s="660"/>
      <c r="L168" s="660"/>
      <c r="M168" s="660"/>
      <c r="N168" s="660"/>
      <c r="O168" s="660"/>
      <c r="P168" s="660"/>
      <c r="Q168" s="660"/>
      <c r="R168" s="660"/>
      <c r="S168" s="660"/>
      <c r="T168" s="660"/>
      <c r="U168" s="660"/>
      <c r="V168" s="660"/>
      <c r="W168" s="660"/>
      <c r="X168" s="660"/>
      <c r="Y168" s="660"/>
      <c r="Z168" s="660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661">
        <v>4680115887374</v>
      </c>
      <c r="E169" s="661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3"/>
      <c r="R169" s="663"/>
      <c r="S169" s="663"/>
      <c r="T169" s="664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661">
        <v>4607091384604</v>
      </c>
      <c r="E170" s="661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661">
        <v>4680115888876</v>
      </c>
      <c r="E171" s="661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154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661">
        <v>4680115887695</v>
      </c>
      <c r="E175" s="661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661">
        <v>4680115889491</v>
      </c>
      <c r="E176" s="661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51"/>
      <c r="B177" s="651"/>
      <c r="C177" s="651"/>
      <c r="D177" s="651"/>
      <c r="E177" s="651"/>
      <c r="F177" s="651"/>
      <c r="G177" s="651"/>
      <c r="H177" s="651"/>
      <c r="I177" s="651"/>
      <c r="J177" s="651"/>
      <c r="K177" s="651"/>
      <c r="L177" s="651"/>
      <c r="M177" s="651"/>
      <c r="N177" s="651"/>
      <c r="O177" s="652"/>
      <c r="P177" s="648" t="s">
        <v>40</v>
      </c>
      <c r="Q177" s="649"/>
      <c r="R177" s="649"/>
      <c r="S177" s="649"/>
      <c r="T177" s="649"/>
      <c r="U177" s="649"/>
      <c r="V177" s="650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651"/>
      <c r="B178" s="651"/>
      <c r="C178" s="651"/>
      <c r="D178" s="651"/>
      <c r="E178" s="651"/>
      <c r="F178" s="651"/>
      <c r="G178" s="651"/>
      <c r="H178" s="651"/>
      <c r="I178" s="651"/>
      <c r="J178" s="651"/>
      <c r="K178" s="651"/>
      <c r="L178" s="651"/>
      <c r="M178" s="651"/>
      <c r="N178" s="651"/>
      <c r="O178" s="652"/>
      <c r="P178" s="648" t="s">
        <v>40</v>
      </c>
      <c r="Q178" s="649"/>
      <c r="R178" s="649"/>
      <c r="S178" s="649"/>
      <c r="T178" s="649"/>
      <c r="U178" s="649"/>
      <c r="V178" s="650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60" t="s">
        <v>76</v>
      </c>
      <c r="B179" s="660"/>
      <c r="C179" s="660"/>
      <c r="D179" s="660"/>
      <c r="E179" s="660"/>
      <c r="F179" s="660"/>
      <c r="G179" s="660"/>
      <c r="H179" s="660"/>
      <c r="I179" s="660"/>
      <c r="J179" s="660"/>
      <c r="K179" s="660"/>
      <c r="L179" s="660"/>
      <c r="M179" s="660"/>
      <c r="N179" s="660"/>
      <c r="O179" s="660"/>
      <c r="P179" s="660"/>
      <c r="Q179" s="660"/>
      <c r="R179" s="660"/>
      <c r="S179" s="660"/>
      <c r="T179" s="660"/>
      <c r="U179" s="660"/>
      <c r="V179" s="660"/>
      <c r="W179" s="660"/>
      <c r="X179" s="660"/>
      <c r="Y179" s="660"/>
      <c r="Z179" s="660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661">
        <v>4680115887428</v>
      </c>
      <c r="E180" s="661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661">
        <v>4680115889170</v>
      </c>
      <c r="E181" s="661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6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661">
        <v>4680115887398</v>
      </c>
      <c r="E182" s="661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661">
        <v>4680115887336</v>
      </c>
      <c r="E183" s="661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661">
        <v>4680115887336</v>
      </c>
      <c r="E184" s="661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52" t="s">
        <v>323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661">
        <v>4680115887787</v>
      </c>
      <c r="E185" s="661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5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661">
        <v>4680115887787</v>
      </c>
      <c r="E186" s="661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54" t="s">
        <v>329</v>
      </c>
      <c r="Q186" s="663"/>
      <c r="R186" s="663"/>
      <c r="S186" s="663"/>
      <c r="T186" s="664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661">
        <v>4680115887503</v>
      </c>
      <c r="E187" s="661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3"/>
      <c r="R187" s="663"/>
      <c r="S187" s="663"/>
      <c r="T187" s="664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661">
        <v>4680115887763</v>
      </c>
      <c r="E188" s="661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3"/>
      <c r="R188" s="663"/>
      <c r="S188" s="663"/>
      <c r="T188" s="664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661">
        <v>4680115887480</v>
      </c>
      <c r="E189" s="661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5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661">
        <v>4680115888067</v>
      </c>
      <c r="E190" s="661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661">
        <v>4680115887435</v>
      </c>
      <c r="E191" s="661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85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661">
        <v>4680115888395</v>
      </c>
      <c r="E195" s="661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661">
        <v>4680115888371</v>
      </c>
      <c r="E196" s="661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3"/>
      <c r="R196" s="663"/>
      <c r="S196" s="663"/>
      <c r="T196" s="664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661">
        <v>4680115887459</v>
      </c>
      <c r="E197" s="661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3"/>
      <c r="R197" s="663"/>
      <c r="S197" s="663"/>
      <c r="T197" s="664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60" t="s">
        <v>288</v>
      </c>
      <c r="B200" s="660"/>
      <c r="C200" s="660"/>
      <c r="D200" s="660"/>
      <c r="E200" s="660"/>
      <c r="F200" s="660"/>
      <c r="G200" s="660"/>
      <c r="H200" s="660"/>
      <c r="I200" s="660"/>
      <c r="J200" s="660"/>
      <c r="K200" s="660"/>
      <c r="L200" s="660"/>
      <c r="M200" s="660"/>
      <c r="N200" s="660"/>
      <c r="O200" s="660"/>
      <c r="P200" s="660"/>
      <c r="Q200" s="660"/>
      <c r="R200" s="660"/>
      <c r="S200" s="660"/>
      <c r="T200" s="660"/>
      <c r="U200" s="660"/>
      <c r="V200" s="660"/>
      <c r="W200" s="660"/>
      <c r="X200" s="660"/>
      <c r="Y200" s="660"/>
      <c r="Z200" s="660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661">
        <v>4680115889026</v>
      </c>
      <c r="E201" s="661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5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3"/>
      <c r="R201" s="663"/>
      <c r="S201" s="663"/>
      <c r="T201" s="664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60" t="s">
        <v>355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661">
        <v>4680115889033</v>
      </c>
      <c r="E205" s="661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51"/>
      <c r="B206" s="651"/>
      <c r="C206" s="651"/>
      <c r="D206" s="651"/>
      <c r="E206" s="651"/>
      <c r="F206" s="651"/>
      <c r="G206" s="651"/>
      <c r="H206" s="651"/>
      <c r="I206" s="651"/>
      <c r="J206" s="651"/>
      <c r="K206" s="651"/>
      <c r="L206" s="651"/>
      <c r="M206" s="651"/>
      <c r="N206" s="651"/>
      <c r="O206" s="652"/>
      <c r="P206" s="648" t="s">
        <v>40</v>
      </c>
      <c r="Q206" s="649"/>
      <c r="R206" s="649"/>
      <c r="S206" s="649"/>
      <c r="T206" s="649"/>
      <c r="U206" s="649"/>
      <c r="V206" s="650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51"/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2"/>
      <c r="P207" s="648" t="s">
        <v>40</v>
      </c>
      <c r="Q207" s="649"/>
      <c r="R207" s="649"/>
      <c r="S207" s="649"/>
      <c r="T207" s="649"/>
      <c r="U207" s="649"/>
      <c r="V207" s="650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2"/>
      <c r="AB208" s="52"/>
      <c r="AC208" s="52"/>
    </row>
    <row r="209" spans="1:68" ht="16.5" hidden="1" customHeight="1" x14ac:dyDescent="0.25">
      <c r="A209" s="667" t="s">
        <v>360</v>
      </c>
      <c r="B209" s="667"/>
      <c r="C209" s="667"/>
      <c r="D209" s="667"/>
      <c r="E209" s="667"/>
      <c r="F209" s="667"/>
      <c r="G209" s="667"/>
      <c r="H209" s="667"/>
      <c r="I209" s="667"/>
      <c r="J209" s="667"/>
      <c r="K209" s="667"/>
      <c r="L209" s="667"/>
      <c r="M209" s="667"/>
      <c r="N209" s="667"/>
      <c r="O209" s="667"/>
      <c r="P209" s="667"/>
      <c r="Q209" s="667"/>
      <c r="R209" s="667"/>
      <c r="S209" s="667"/>
      <c r="T209" s="667"/>
      <c r="U209" s="667"/>
      <c r="V209" s="667"/>
      <c r="W209" s="667"/>
      <c r="X209" s="667"/>
      <c r="Y209" s="667"/>
      <c r="Z209" s="667"/>
      <c r="AA209" s="62"/>
      <c r="AB209" s="62"/>
      <c r="AC209" s="62"/>
    </row>
    <row r="210" spans="1:68" ht="14.25" hidden="1" customHeight="1" x14ac:dyDescent="0.25">
      <c r="A210" s="660" t="s">
        <v>121</v>
      </c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0"/>
      <c r="P210" s="660"/>
      <c r="Q210" s="660"/>
      <c r="R210" s="660"/>
      <c r="S210" s="660"/>
      <c r="T210" s="660"/>
      <c r="U210" s="660"/>
      <c r="V210" s="660"/>
      <c r="W210" s="660"/>
      <c r="X210" s="660"/>
      <c r="Y210" s="660"/>
      <c r="Z210" s="660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661">
        <v>4607091383423</v>
      </c>
      <c r="E211" s="661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661">
        <v>4680115888760</v>
      </c>
      <c r="E212" s="661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3"/>
      <c r="R212" s="663"/>
      <c r="S212" s="663"/>
      <c r="T212" s="664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661">
        <v>4680115888807</v>
      </c>
      <c r="E213" s="661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3"/>
      <c r="R213" s="663"/>
      <c r="S213" s="663"/>
      <c r="T213" s="664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661">
        <v>4680115888852</v>
      </c>
      <c r="E214" s="661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3"/>
      <c r="R214" s="663"/>
      <c r="S214" s="663"/>
      <c r="T214" s="664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661">
        <v>4680115886957</v>
      </c>
      <c r="E215" s="661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3"/>
      <c r="R215" s="663"/>
      <c r="S215" s="663"/>
      <c r="T215" s="664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661">
        <v>4680115885660</v>
      </c>
      <c r="E216" s="661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661">
        <v>4680115886773</v>
      </c>
      <c r="E217" s="661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3"/>
      <c r="R217" s="663"/>
      <c r="S217" s="663"/>
      <c r="T217" s="664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67" t="s">
        <v>381</v>
      </c>
      <c r="B220" s="667"/>
      <c r="C220" s="667"/>
      <c r="D220" s="667"/>
      <c r="E220" s="667"/>
      <c r="F220" s="667"/>
      <c r="G220" s="667"/>
      <c r="H220" s="667"/>
      <c r="I220" s="667"/>
      <c r="J220" s="667"/>
      <c r="K220" s="667"/>
      <c r="L220" s="667"/>
      <c r="M220" s="667"/>
      <c r="N220" s="667"/>
      <c r="O220" s="667"/>
      <c r="P220" s="667"/>
      <c r="Q220" s="667"/>
      <c r="R220" s="667"/>
      <c r="S220" s="667"/>
      <c r="T220" s="667"/>
      <c r="U220" s="667"/>
      <c r="V220" s="667"/>
      <c r="W220" s="667"/>
      <c r="X220" s="667"/>
      <c r="Y220" s="667"/>
      <c r="Z220" s="667"/>
      <c r="AA220" s="62"/>
      <c r="AB220" s="62"/>
      <c r="AC220" s="62"/>
    </row>
    <row r="221" spans="1:68" ht="14.25" hidden="1" customHeight="1" x14ac:dyDescent="0.25">
      <c r="A221" s="660" t="s">
        <v>154</v>
      </c>
      <c r="B221" s="660"/>
      <c r="C221" s="660"/>
      <c r="D221" s="660"/>
      <c r="E221" s="660"/>
      <c r="F221" s="660"/>
      <c r="G221" s="660"/>
      <c r="H221" s="660"/>
      <c r="I221" s="660"/>
      <c r="J221" s="660"/>
      <c r="K221" s="660"/>
      <c r="L221" s="660"/>
      <c r="M221" s="660"/>
      <c r="N221" s="660"/>
      <c r="O221" s="660"/>
      <c r="P221" s="660"/>
      <c r="Q221" s="660"/>
      <c r="R221" s="660"/>
      <c r="S221" s="660"/>
      <c r="T221" s="660"/>
      <c r="U221" s="660"/>
      <c r="V221" s="660"/>
      <c r="W221" s="660"/>
      <c r="X221" s="660"/>
      <c r="Y221" s="660"/>
      <c r="Z221" s="660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661">
        <v>4680115886223</v>
      </c>
      <c r="E222" s="661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651"/>
      <c r="B223" s="651"/>
      <c r="C223" s="651"/>
      <c r="D223" s="651"/>
      <c r="E223" s="651"/>
      <c r="F223" s="651"/>
      <c r="G223" s="651"/>
      <c r="H223" s="651"/>
      <c r="I223" s="651"/>
      <c r="J223" s="651"/>
      <c r="K223" s="651"/>
      <c r="L223" s="651"/>
      <c r="M223" s="651"/>
      <c r="N223" s="651"/>
      <c r="O223" s="652"/>
      <c r="P223" s="648" t="s">
        <v>40</v>
      </c>
      <c r="Q223" s="649"/>
      <c r="R223" s="649"/>
      <c r="S223" s="649"/>
      <c r="T223" s="649"/>
      <c r="U223" s="649"/>
      <c r="V223" s="650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60" t="s">
        <v>76</v>
      </c>
      <c r="B225" s="660"/>
      <c r="C225" s="660"/>
      <c r="D225" s="660"/>
      <c r="E225" s="660"/>
      <c r="F225" s="660"/>
      <c r="G225" s="660"/>
      <c r="H225" s="660"/>
      <c r="I225" s="660"/>
      <c r="J225" s="660"/>
      <c r="K225" s="660"/>
      <c r="L225" s="660"/>
      <c r="M225" s="660"/>
      <c r="N225" s="660"/>
      <c r="O225" s="660"/>
      <c r="P225" s="660"/>
      <c r="Q225" s="660"/>
      <c r="R225" s="660"/>
      <c r="S225" s="660"/>
      <c r="T225" s="660"/>
      <c r="U225" s="660"/>
      <c r="V225" s="660"/>
      <c r="W225" s="660"/>
      <c r="X225" s="660"/>
      <c r="Y225" s="660"/>
      <c r="Z225" s="660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661">
        <v>4680115880993</v>
      </c>
      <c r="E226" s="661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661">
        <v>4680115881761</v>
      </c>
      <c r="E227" s="661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661">
        <v>4680115881563</v>
      </c>
      <c r="E228" s="661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661">
        <v>4680115887565</v>
      </c>
      <c r="E229" s="661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661">
        <v>4680115880986</v>
      </c>
      <c r="E230" s="661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661">
        <v>4680115887213</v>
      </c>
      <c r="E231" s="661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661">
        <v>4680115881785</v>
      </c>
      <c r="E232" s="661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661">
        <v>4680115888432</v>
      </c>
      <c r="E233" s="661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661">
        <v>4680115888104</v>
      </c>
      <c r="E234" s="661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661">
        <v>4680115886537</v>
      </c>
      <c r="E235" s="661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3"/>
      <c r="R235" s="663"/>
      <c r="S235" s="663"/>
      <c r="T235" s="664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661">
        <v>4680115887596</v>
      </c>
      <c r="E236" s="661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3"/>
      <c r="R236" s="663"/>
      <c r="S236" s="663"/>
      <c r="T236" s="664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661">
        <v>4680115881679</v>
      </c>
      <c r="E237" s="661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3"/>
      <c r="R237" s="663"/>
      <c r="S237" s="663"/>
      <c r="T237" s="664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661">
        <v>4680115880191</v>
      </c>
      <c r="E238" s="661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2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661">
        <v>4680115883963</v>
      </c>
      <c r="E239" s="661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651"/>
      <c r="B240" s="651"/>
      <c r="C240" s="651"/>
      <c r="D240" s="651"/>
      <c r="E240" s="651"/>
      <c r="F240" s="651"/>
      <c r="G240" s="651"/>
      <c r="H240" s="651"/>
      <c r="I240" s="651"/>
      <c r="J240" s="651"/>
      <c r="K240" s="651"/>
      <c r="L240" s="651"/>
      <c r="M240" s="651"/>
      <c r="N240" s="651"/>
      <c r="O240" s="652"/>
      <c r="P240" s="648" t="s">
        <v>40</v>
      </c>
      <c r="Q240" s="649"/>
      <c r="R240" s="649"/>
      <c r="S240" s="649"/>
      <c r="T240" s="649"/>
      <c r="U240" s="649"/>
      <c r="V240" s="650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651"/>
      <c r="B241" s="651"/>
      <c r="C241" s="651"/>
      <c r="D241" s="651"/>
      <c r="E241" s="651"/>
      <c r="F241" s="651"/>
      <c r="G241" s="651"/>
      <c r="H241" s="651"/>
      <c r="I241" s="651"/>
      <c r="J241" s="651"/>
      <c r="K241" s="651"/>
      <c r="L241" s="651"/>
      <c r="M241" s="651"/>
      <c r="N241" s="651"/>
      <c r="O241" s="652"/>
      <c r="P241" s="648" t="s">
        <v>40</v>
      </c>
      <c r="Q241" s="649"/>
      <c r="R241" s="649"/>
      <c r="S241" s="649"/>
      <c r="T241" s="649"/>
      <c r="U241" s="649"/>
      <c r="V241" s="650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60" t="s">
        <v>85</v>
      </c>
      <c r="B242" s="660"/>
      <c r="C242" s="660"/>
      <c r="D242" s="660"/>
      <c r="E242" s="660"/>
      <c r="F242" s="660"/>
      <c r="G242" s="660"/>
      <c r="H242" s="660"/>
      <c r="I242" s="660"/>
      <c r="J242" s="660"/>
      <c r="K242" s="660"/>
      <c r="L242" s="660"/>
      <c r="M242" s="660"/>
      <c r="N242" s="660"/>
      <c r="O242" s="660"/>
      <c r="P242" s="660"/>
      <c r="Q242" s="660"/>
      <c r="R242" s="660"/>
      <c r="S242" s="660"/>
      <c r="T242" s="660"/>
      <c r="U242" s="660"/>
      <c r="V242" s="660"/>
      <c r="W242" s="660"/>
      <c r="X242" s="660"/>
      <c r="Y242" s="660"/>
      <c r="Z242" s="660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661">
        <v>4680115888692</v>
      </c>
      <c r="E243" s="661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661">
        <v>4680115888722</v>
      </c>
      <c r="E244" s="661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661">
        <v>4680115888951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2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661">
        <v>4680115888975</v>
      </c>
      <c r="E246" s="661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1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661">
        <v>4680115888982</v>
      </c>
      <c r="E247" s="661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1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3"/>
      <c r="R247" s="663"/>
      <c r="S247" s="663"/>
      <c r="T247" s="664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0" t="s">
        <v>288</v>
      </c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0"/>
      <c r="P250" s="660"/>
      <c r="Q250" s="660"/>
      <c r="R250" s="660"/>
      <c r="S250" s="660"/>
      <c r="T250" s="660"/>
      <c r="U250" s="660"/>
      <c r="V250" s="660"/>
      <c r="W250" s="660"/>
      <c r="X250" s="660"/>
      <c r="Y250" s="660"/>
      <c r="Z250" s="660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661">
        <v>4680115886780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661">
        <v>4680115886742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661">
        <v>4680115886766</v>
      </c>
      <c r="E253" s="661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3"/>
      <c r="R253" s="663"/>
      <c r="S253" s="663"/>
      <c r="T253" s="664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1"/>
      <c r="B255" s="651"/>
      <c r="C255" s="651"/>
      <c r="D255" s="651"/>
      <c r="E255" s="651"/>
      <c r="F255" s="651"/>
      <c r="G255" s="651"/>
      <c r="H255" s="651"/>
      <c r="I255" s="651"/>
      <c r="J255" s="651"/>
      <c r="K255" s="651"/>
      <c r="L255" s="651"/>
      <c r="M255" s="651"/>
      <c r="N255" s="651"/>
      <c r="O255" s="652"/>
      <c r="P255" s="648" t="s">
        <v>40</v>
      </c>
      <c r="Q255" s="649"/>
      <c r="R255" s="649"/>
      <c r="S255" s="649"/>
      <c r="T255" s="649"/>
      <c r="U255" s="649"/>
      <c r="V255" s="650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60" t="s">
        <v>445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661">
        <v>4680115886797</v>
      </c>
      <c r="E257" s="661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3"/>
      <c r="R257" s="663"/>
      <c r="S257" s="663"/>
      <c r="T257" s="664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67" t="s">
        <v>448</v>
      </c>
      <c r="B260" s="667"/>
      <c r="C260" s="667"/>
      <c r="D260" s="667"/>
      <c r="E260" s="667"/>
      <c r="F260" s="667"/>
      <c r="G260" s="667"/>
      <c r="H260" s="667"/>
      <c r="I260" s="667"/>
      <c r="J260" s="667"/>
      <c r="K260" s="667"/>
      <c r="L260" s="667"/>
      <c r="M260" s="667"/>
      <c r="N260" s="667"/>
      <c r="O260" s="667"/>
      <c r="P260" s="667"/>
      <c r="Q260" s="667"/>
      <c r="R260" s="667"/>
      <c r="S260" s="667"/>
      <c r="T260" s="667"/>
      <c r="U260" s="667"/>
      <c r="V260" s="667"/>
      <c r="W260" s="667"/>
      <c r="X260" s="667"/>
      <c r="Y260" s="667"/>
      <c r="Z260" s="667"/>
      <c r="AA260" s="62"/>
      <c r="AB260" s="62"/>
      <c r="AC260" s="62"/>
    </row>
    <row r="261" spans="1:68" ht="14.25" hidden="1" customHeight="1" x14ac:dyDescent="0.25">
      <c r="A261" s="660" t="s">
        <v>121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661">
        <v>4680115881402</v>
      </c>
      <c r="E262" s="66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661">
        <v>4680115881396</v>
      </c>
      <c r="E263" s="661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3"/>
      <c r="R263" s="663"/>
      <c r="S263" s="663"/>
      <c r="T263" s="664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60" t="s">
        <v>154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661">
        <v>4680115882935</v>
      </c>
      <c r="E267" s="661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661">
        <v>4680115880764</v>
      </c>
      <c r="E268" s="661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3"/>
      <c r="R268" s="663"/>
      <c r="S268" s="663"/>
      <c r="T268" s="664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60" t="s">
        <v>76</v>
      </c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0"/>
      <c r="P271" s="660"/>
      <c r="Q271" s="660"/>
      <c r="R271" s="660"/>
      <c r="S271" s="660"/>
      <c r="T271" s="660"/>
      <c r="U271" s="660"/>
      <c r="V271" s="660"/>
      <c r="W271" s="660"/>
      <c r="X271" s="660"/>
      <c r="Y271" s="660"/>
      <c r="Z271" s="660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661">
        <v>4680115882683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661">
        <v>4680115882690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661">
        <v>4680115882669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661">
        <v>4680115882676</v>
      </c>
      <c r="E275" s="661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661">
        <v>4680115884014</v>
      </c>
      <c r="E276" s="661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661">
        <v>4680115884007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661">
        <v>4680115884038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7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661">
        <v>4680115884021</v>
      </c>
      <c r="E279" s="661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3"/>
      <c r="R279" s="663"/>
      <c r="S279" s="663"/>
      <c r="T279" s="664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651"/>
      <c r="B281" s="651"/>
      <c r="C281" s="651"/>
      <c r="D281" s="651"/>
      <c r="E281" s="651"/>
      <c r="F281" s="651"/>
      <c r="G281" s="651"/>
      <c r="H281" s="651"/>
      <c r="I281" s="651"/>
      <c r="J281" s="651"/>
      <c r="K281" s="651"/>
      <c r="L281" s="651"/>
      <c r="M281" s="651"/>
      <c r="N281" s="651"/>
      <c r="O281" s="652"/>
      <c r="P281" s="648" t="s">
        <v>40</v>
      </c>
      <c r="Q281" s="649"/>
      <c r="R281" s="649"/>
      <c r="S281" s="649"/>
      <c r="T281" s="649"/>
      <c r="U281" s="649"/>
      <c r="V281" s="650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60" t="s">
        <v>85</v>
      </c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0"/>
      <c r="P282" s="660"/>
      <c r="Q282" s="660"/>
      <c r="R282" s="660"/>
      <c r="S282" s="660"/>
      <c r="T282" s="660"/>
      <c r="U282" s="660"/>
      <c r="V282" s="660"/>
      <c r="W282" s="660"/>
      <c r="X282" s="660"/>
      <c r="Y282" s="660"/>
      <c r="Z282" s="660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661">
        <v>4680115881594</v>
      </c>
      <c r="E283" s="661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661">
        <v>4680115881617</v>
      </c>
      <c r="E284" s="661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661">
        <v>4680115880573</v>
      </c>
      <c r="E285" s="661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661">
        <v>4680115882195</v>
      </c>
      <c r="E286" s="661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661">
        <v>4680115882607</v>
      </c>
      <c r="E288" s="661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7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661">
        <v>4680115880092</v>
      </c>
      <c r="E289" s="661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79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661">
        <v>4680115889064</v>
      </c>
      <c r="E290" s="661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79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661">
        <v>4680115880221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661">
        <v>4680115880504</v>
      </c>
      <c r="E292" s="661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661">
        <v>4680115882164</v>
      </c>
      <c r="E293" s="661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661">
        <v>4680115888340</v>
      </c>
      <c r="E294" s="661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7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3"/>
      <c r="R294" s="663"/>
      <c r="S294" s="663"/>
      <c r="T294" s="664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60" t="s">
        <v>172</v>
      </c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0"/>
      <c r="P297" s="660"/>
      <c r="Q297" s="660"/>
      <c r="R297" s="660"/>
      <c r="S297" s="660"/>
      <c r="T297" s="660"/>
      <c r="U297" s="660"/>
      <c r="V297" s="660"/>
      <c r="W297" s="660"/>
      <c r="X297" s="660"/>
      <c r="Y297" s="660"/>
      <c r="Z297" s="660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661">
        <v>4680115880818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661">
        <v>4680115880801</v>
      </c>
      <c r="E299" s="661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3"/>
      <c r="R299" s="663"/>
      <c r="S299" s="663"/>
      <c r="T299" s="664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67" t="s">
        <v>516</v>
      </c>
      <c r="B302" s="667"/>
      <c r="C302" s="667"/>
      <c r="D302" s="667"/>
      <c r="E302" s="667"/>
      <c r="F302" s="667"/>
      <c r="G302" s="667"/>
      <c r="H302" s="667"/>
      <c r="I302" s="667"/>
      <c r="J302" s="667"/>
      <c r="K302" s="667"/>
      <c r="L302" s="667"/>
      <c r="M302" s="667"/>
      <c r="N302" s="667"/>
      <c r="O302" s="667"/>
      <c r="P302" s="667"/>
      <c r="Q302" s="667"/>
      <c r="R302" s="667"/>
      <c r="S302" s="667"/>
      <c r="T302" s="667"/>
      <c r="U302" s="667"/>
      <c r="V302" s="667"/>
      <c r="W302" s="667"/>
      <c r="X302" s="667"/>
      <c r="Y302" s="667"/>
      <c r="Z302" s="667"/>
      <c r="AA302" s="62"/>
      <c r="AB302" s="62"/>
      <c r="AC302" s="62"/>
    </row>
    <row r="303" spans="1:68" ht="14.25" hidden="1" customHeight="1" x14ac:dyDescent="0.25">
      <c r="A303" s="660" t="s">
        <v>121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661">
        <v>4680115884137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661">
        <v>4680115884236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661">
        <v>4680115884175</v>
      </c>
      <c r="E306" s="661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661">
        <v>4680115884144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661">
        <v>4680115886551</v>
      </c>
      <c r="E308" s="661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661">
        <v>4680115887282</v>
      </c>
      <c r="E309" s="661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661">
        <v>4680115884205</v>
      </c>
      <c r="E310" s="661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3"/>
      <c r="R310" s="663"/>
      <c r="S310" s="663"/>
      <c r="T310" s="664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1"/>
      <c r="B312" s="651"/>
      <c r="C312" s="651"/>
      <c r="D312" s="651"/>
      <c r="E312" s="651"/>
      <c r="F312" s="651"/>
      <c r="G312" s="651"/>
      <c r="H312" s="651"/>
      <c r="I312" s="651"/>
      <c r="J312" s="651"/>
      <c r="K312" s="651"/>
      <c r="L312" s="651"/>
      <c r="M312" s="651"/>
      <c r="N312" s="651"/>
      <c r="O312" s="652"/>
      <c r="P312" s="648" t="s">
        <v>40</v>
      </c>
      <c r="Q312" s="649"/>
      <c r="R312" s="649"/>
      <c r="S312" s="649"/>
      <c r="T312" s="649"/>
      <c r="U312" s="649"/>
      <c r="V312" s="650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60" t="s">
        <v>154</v>
      </c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0"/>
      <c r="P313" s="660"/>
      <c r="Q313" s="660"/>
      <c r="R313" s="660"/>
      <c r="S313" s="660"/>
      <c r="T313" s="660"/>
      <c r="U313" s="660"/>
      <c r="V313" s="660"/>
      <c r="W313" s="660"/>
      <c r="X313" s="660"/>
      <c r="Y313" s="660"/>
      <c r="Z313" s="660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661">
        <v>4680115885981</v>
      </c>
      <c r="E314" s="661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3"/>
      <c r="R314" s="663"/>
      <c r="S314" s="663"/>
      <c r="T314" s="664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1"/>
      <c r="B316" s="651"/>
      <c r="C316" s="651"/>
      <c r="D316" s="651"/>
      <c r="E316" s="651"/>
      <c r="F316" s="651"/>
      <c r="G316" s="651"/>
      <c r="H316" s="651"/>
      <c r="I316" s="651"/>
      <c r="J316" s="651"/>
      <c r="K316" s="651"/>
      <c r="L316" s="651"/>
      <c r="M316" s="651"/>
      <c r="N316" s="651"/>
      <c r="O316" s="652"/>
      <c r="P316" s="648" t="s">
        <v>40</v>
      </c>
      <c r="Q316" s="649"/>
      <c r="R316" s="649"/>
      <c r="S316" s="649"/>
      <c r="T316" s="649"/>
      <c r="U316" s="649"/>
      <c r="V316" s="650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0" t="s">
        <v>538</v>
      </c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0"/>
      <c r="P317" s="660"/>
      <c r="Q317" s="660"/>
      <c r="R317" s="660"/>
      <c r="S317" s="660"/>
      <c r="T317" s="660"/>
      <c r="U317" s="660"/>
      <c r="V317" s="660"/>
      <c r="W317" s="660"/>
      <c r="X317" s="660"/>
      <c r="Y317" s="660"/>
      <c r="Z317" s="660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661">
        <v>4680115886803</v>
      </c>
      <c r="E318" s="661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3"/>
      <c r="R318" s="663"/>
      <c r="S318" s="663"/>
      <c r="T318" s="664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0" t="s">
        <v>355</v>
      </c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0"/>
      <c r="P321" s="660"/>
      <c r="Q321" s="660"/>
      <c r="R321" s="660"/>
      <c r="S321" s="660"/>
      <c r="T321" s="660"/>
      <c r="U321" s="660"/>
      <c r="V321" s="660"/>
      <c r="W321" s="660"/>
      <c r="X321" s="660"/>
      <c r="Y321" s="660"/>
      <c r="Z321" s="660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661">
        <v>4680115886704</v>
      </c>
      <c r="E322" s="661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7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3"/>
      <c r="R322" s="663"/>
      <c r="S322" s="663"/>
      <c r="T322" s="664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661">
        <v>4680115886681</v>
      </c>
      <c r="E323" s="661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7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3"/>
      <c r="R323" s="663"/>
      <c r="S323" s="663"/>
      <c r="T323" s="664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661">
        <v>4680115886735</v>
      </c>
      <c r="E324" s="661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3"/>
      <c r="R324" s="663"/>
      <c r="S324" s="663"/>
      <c r="T324" s="664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51"/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2"/>
      <c r="P325" s="648" t="s">
        <v>40</v>
      </c>
      <c r="Q325" s="649"/>
      <c r="R325" s="649"/>
      <c r="S325" s="649"/>
      <c r="T325" s="649"/>
      <c r="U325" s="649"/>
      <c r="V325" s="650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51"/>
      <c r="B326" s="651"/>
      <c r="C326" s="651"/>
      <c r="D326" s="651"/>
      <c r="E326" s="651"/>
      <c r="F326" s="651"/>
      <c r="G326" s="651"/>
      <c r="H326" s="651"/>
      <c r="I326" s="651"/>
      <c r="J326" s="651"/>
      <c r="K326" s="651"/>
      <c r="L326" s="651"/>
      <c r="M326" s="651"/>
      <c r="N326" s="651"/>
      <c r="O326" s="652"/>
      <c r="P326" s="648" t="s">
        <v>40</v>
      </c>
      <c r="Q326" s="649"/>
      <c r="R326" s="649"/>
      <c r="S326" s="649"/>
      <c r="T326" s="649"/>
      <c r="U326" s="649"/>
      <c r="V326" s="650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67" t="s">
        <v>549</v>
      </c>
      <c r="B327" s="667"/>
      <c r="C327" s="667"/>
      <c r="D327" s="667"/>
      <c r="E327" s="667"/>
      <c r="F327" s="667"/>
      <c r="G327" s="667"/>
      <c r="H327" s="667"/>
      <c r="I327" s="667"/>
      <c r="J327" s="667"/>
      <c r="K327" s="667"/>
      <c r="L327" s="667"/>
      <c r="M327" s="667"/>
      <c r="N327" s="667"/>
      <c r="O327" s="667"/>
      <c r="P327" s="667"/>
      <c r="Q327" s="667"/>
      <c r="R327" s="667"/>
      <c r="S327" s="667"/>
      <c r="T327" s="667"/>
      <c r="U327" s="667"/>
      <c r="V327" s="667"/>
      <c r="W327" s="667"/>
      <c r="X327" s="667"/>
      <c r="Y327" s="667"/>
      <c r="Z327" s="667"/>
      <c r="AA327" s="62"/>
      <c r="AB327" s="62"/>
      <c r="AC327" s="62"/>
    </row>
    <row r="328" spans="1:68" ht="14.25" hidden="1" customHeight="1" x14ac:dyDescent="0.25">
      <c r="A328" s="660" t="s">
        <v>121</v>
      </c>
      <c r="B328" s="660"/>
      <c r="C328" s="660"/>
      <c r="D328" s="660"/>
      <c r="E328" s="660"/>
      <c r="F328" s="660"/>
      <c r="G328" s="660"/>
      <c r="H328" s="660"/>
      <c r="I328" s="660"/>
      <c r="J328" s="660"/>
      <c r="K328" s="660"/>
      <c r="L328" s="660"/>
      <c r="M328" s="660"/>
      <c r="N328" s="660"/>
      <c r="O328" s="660"/>
      <c r="P328" s="660"/>
      <c r="Q328" s="660"/>
      <c r="R328" s="660"/>
      <c r="S328" s="660"/>
      <c r="T328" s="660"/>
      <c r="U328" s="660"/>
      <c r="V328" s="660"/>
      <c r="W328" s="660"/>
      <c r="X328" s="660"/>
      <c r="Y328" s="660"/>
      <c r="Z328" s="660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661">
        <v>4680115885837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661">
        <v>4680115887237</v>
      </c>
      <c r="E330" s="661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661">
        <v>4680115885806</v>
      </c>
      <c r="E331" s="661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661">
        <v>4680115885844</v>
      </c>
      <c r="E332" s="661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7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3"/>
      <c r="R332" s="663"/>
      <c r="S332" s="663"/>
      <c r="T332" s="664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661">
        <v>4680115885820</v>
      </c>
      <c r="E333" s="661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7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3"/>
      <c r="R333" s="663"/>
      <c r="S333" s="663"/>
      <c r="T333" s="664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1"/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2"/>
      <c r="P334" s="648" t="s">
        <v>40</v>
      </c>
      <c r="Q334" s="649"/>
      <c r="R334" s="649"/>
      <c r="S334" s="649"/>
      <c r="T334" s="649"/>
      <c r="U334" s="649"/>
      <c r="V334" s="650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7" t="s">
        <v>565</v>
      </c>
      <c r="B336" s="667"/>
      <c r="C336" s="667"/>
      <c r="D336" s="667"/>
      <c r="E336" s="667"/>
      <c r="F336" s="667"/>
      <c r="G336" s="667"/>
      <c r="H336" s="667"/>
      <c r="I336" s="667"/>
      <c r="J336" s="667"/>
      <c r="K336" s="667"/>
      <c r="L336" s="667"/>
      <c r="M336" s="667"/>
      <c r="N336" s="667"/>
      <c r="O336" s="667"/>
      <c r="P336" s="667"/>
      <c r="Q336" s="667"/>
      <c r="R336" s="667"/>
      <c r="S336" s="667"/>
      <c r="T336" s="667"/>
      <c r="U336" s="667"/>
      <c r="V336" s="667"/>
      <c r="W336" s="667"/>
      <c r="X336" s="667"/>
      <c r="Y336" s="667"/>
      <c r="Z336" s="667"/>
      <c r="AA336" s="62"/>
      <c r="AB336" s="62"/>
      <c r="AC336" s="62"/>
    </row>
    <row r="337" spans="1:68" ht="14.25" hidden="1" customHeight="1" x14ac:dyDescent="0.25">
      <c r="A337" s="660" t="s">
        <v>85</v>
      </c>
      <c r="B337" s="660"/>
      <c r="C337" s="660"/>
      <c r="D337" s="660"/>
      <c r="E337" s="660"/>
      <c r="F337" s="660"/>
      <c r="G337" s="660"/>
      <c r="H337" s="660"/>
      <c r="I337" s="660"/>
      <c r="J337" s="660"/>
      <c r="K337" s="660"/>
      <c r="L337" s="660"/>
      <c r="M337" s="660"/>
      <c r="N337" s="660"/>
      <c r="O337" s="660"/>
      <c r="P337" s="660"/>
      <c r="Q337" s="660"/>
      <c r="R337" s="660"/>
      <c r="S337" s="660"/>
      <c r="T337" s="660"/>
      <c r="U337" s="660"/>
      <c r="V337" s="660"/>
      <c r="W337" s="660"/>
      <c r="X337" s="660"/>
      <c r="Y337" s="660"/>
      <c r="Z337" s="660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661">
        <v>4680115886186</v>
      </c>
      <c r="E338" s="661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661">
        <v>4680115881228</v>
      </c>
      <c r="E339" s="661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77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3"/>
      <c r="R339" s="663"/>
      <c r="S339" s="663"/>
      <c r="T339" s="664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661">
        <v>4680115881211</v>
      </c>
      <c r="E340" s="661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3"/>
      <c r="R340" s="663"/>
      <c r="S340" s="663"/>
      <c r="T340" s="664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7" t="s">
        <v>574</v>
      </c>
      <c r="B343" s="667"/>
      <c r="C343" s="667"/>
      <c r="D343" s="667"/>
      <c r="E343" s="667"/>
      <c r="F343" s="667"/>
      <c r="G343" s="667"/>
      <c r="H343" s="667"/>
      <c r="I343" s="667"/>
      <c r="J343" s="667"/>
      <c r="K343" s="667"/>
      <c r="L343" s="667"/>
      <c r="M343" s="667"/>
      <c r="N343" s="667"/>
      <c r="O343" s="667"/>
      <c r="P343" s="667"/>
      <c r="Q343" s="667"/>
      <c r="R343" s="667"/>
      <c r="S343" s="667"/>
      <c r="T343" s="667"/>
      <c r="U343" s="667"/>
      <c r="V343" s="667"/>
      <c r="W343" s="667"/>
      <c r="X343" s="667"/>
      <c r="Y343" s="667"/>
      <c r="Z343" s="667"/>
      <c r="AA343" s="62"/>
      <c r="AB343" s="62"/>
      <c r="AC343" s="62"/>
    </row>
    <row r="344" spans="1:68" ht="14.25" hidden="1" customHeight="1" x14ac:dyDescent="0.25">
      <c r="A344" s="660" t="s">
        <v>76</v>
      </c>
      <c r="B344" s="660"/>
      <c r="C344" s="660"/>
      <c r="D344" s="660"/>
      <c r="E344" s="660"/>
      <c r="F344" s="660"/>
      <c r="G344" s="660"/>
      <c r="H344" s="660"/>
      <c r="I344" s="660"/>
      <c r="J344" s="660"/>
      <c r="K344" s="660"/>
      <c r="L344" s="660"/>
      <c r="M344" s="660"/>
      <c r="N344" s="660"/>
      <c r="O344" s="660"/>
      <c r="P344" s="660"/>
      <c r="Q344" s="660"/>
      <c r="R344" s="660"/>
      <c r="S344" s="660"/>
      <c r="T344" s="660"/>
      <c r="U344" s="660"/>
      <c r="V344" s="660"/>
      <c r="W344" s="660"/>
      <c r="X344" s="660"/>
      <c r="Y344" s="660"/>
      <c r="Z344" s="660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661">
        <v>4680115888319</v>
      </c>
      <c r="E345" s="661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661">
        <v>4680115884700</v>
      </c>
      <c r="E346" s="661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661">
        <v>4680115880344</v>
      </c>
      <c r="E347" s="661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661">
        <v>4680115886919</v>
      </c>
      <c r="E348" s="661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3"/>
      <c r="R348" s="663"/>
      <c r="S348" s="663"/>
      <c r="T348" s="664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661">
        <v>4680115883970</v>
      </c>
      <c r="E349" s="661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3"/>
      <c r="R349" s="663"/>
      <c r="S349" s="663"/>
      <c r="T349" s="664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60" t="s">
        <v>85</v>
      </c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0"/>
      <c r="P352" s="660"/>
      <c r="Q352" s="660"/>
      <c r="R352" s="660"/>
      <c r="S352" s="660"/>
      <c r="T352" s="660"/>
      <c r="U352" s="660"/>
      <c r="V352" s="660"/>
      <c r="W352" s="660"/>
      <c r="X352" s="660"/>
      <c r="Y352" s="660"/>
      <c r="Z352" s="660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661">
        <v>4680115884618</v>
      </c>
      <c r="E353" s="661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3"/>
      <c r="R353" s="663"/>
      <c r="S353" s="663"/>
      <c r="T353" s="664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661">
        <v>4680115887114</v>
      </c>
      <c r="E354" s="661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3"/>
      <c r="R354" s="663"/>
      <c r="S354" s="663"/>
      <c r="T354" s="664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651"/>
      <c r="B356" s="651"/>
      <c r="C356" s="651"/>
      <c r="D356" s="651"/>
      <c r="E356" s="651"/>
      <c r="F356" s="651"/>
      <c r="G356" s="651"/>
      <c r="H356" s="651"/>
      <c r="I356" s="651"/>
      <c r="J356" s="651"/>
      <c r="K356" s="651"/>
      <c r="L356" s="651"/>
      <c r="M356" s="651"/>
      <c r="N356" s="651"/>
      <c r="O356" s="652"/>
      <c r="P356" s="648" t="s">
        <v>40</v>
      </c>
      <c r="Q356" s="649"/>
      <c r="R356" s="649"/>
      <c r="S356" s="649"/>
      <c r="T356" s="649"/>
      <c r="U356" s="649"/>
      <c r="V356" s="650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67" t="s">
        <v>595</v>
      </c>
      <c r="B357" s="667"/>
      <c r="C357" s="667"/>
      <c r="D357" s="667"/>
      <c r="E357" s="667"/>
      <c r="F357" s="667"/>
      <c r="G357" s="667"/>
      <c r="H357" s="667"/>
      <c r="I357" s="667"/>
      <c r="J357" s="667"/>
      <c r="K357" s="667"/>
      <c r="L357" s="667"/>
      <c r="M357" s="667"/>
      <c r="N357" s="667"/>
      <c r="O357" s="667"/>
      <c r="P357" s="667"/>
      <c r="Q357" s="667"/>
      <c r="R357" s="667"/>
      <c r="S357" s="667"/>
      <c r="T357" s="667"/>
      <c r="U357" s="667"/>
      <c r="V357" s="667"/>
      <c r="W357" s="667"/>
      <c r="X357" s="667"/>
      <c r="Y357" s="667"/>
      <c r="Z357" s="667"/>
      <c r="AA357" s="62"/>
      <c r="AB357" s="62"/>
      <c r="AC357" s="62"/>
    </row>
    <row r="358" spans="1:68" ht="14.25" hidden="1" customHeight="1" x14ac:dyDescent="0.25">
      <c r="A358" s="660" t="s">
        <v>121</v>
      </c>
      <c r="B358" s="660"/>
      <c r="C358" s="660"/>
      <c r="D358" s="660"/>
      <c r="E358" s="660"/>
      <c r="F358" s="660"/>
      <c r="G358" s="660"/>
      <c r="H358" s="660"/>
      <c r="I358" s="660"/>
      <c r="J358" s="660"/>
      <c r="K358" s="660"/>
      <c r="L358" s="660"/>
      <c r="M358" s="660"/>
      <c r="N358" s="660"/>
      <c r="O358" s="660"/>
      <c r="P358" s="660"/>
      <c r="Q358" s="660"/>
      <c r="R358" s="660"/>
      <c r="S358" s="660"/>
      <c r="T358" s="660"/>
      <c r="U358" s="660"/>
      <c r="V358" s="660"/>
      <c r="W358" s="660"/>
      <c r="X358" s="660"/>
      <c r="Y358" s="660"/>
      <c r="Z358" s="660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661">
        <v>4680115887947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661">
        <v>4680115887978</v>
      </c>
      <c r="E360" s="661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3"/>
      <c r="R360" s="663"/>
      <c r="S360" s="663"/>
      <c r="T360" s="664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661">
        <v>4680115887992</v>
      </c>
      <c r="E361" s="661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75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3"/>
      <c r="R361" s="663"/>
      <c r="S361" s="663"/>
      <c r="T361" s="664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51"/>
      <c r="B363" s="651"/>
      <c r="C363" s="651"/>
      <c r="D363" s="651"/>
      <c r="E363" s="651"/>
      <c r="F363" s="651"/>
      <c r="G363" s="651"/>
      <c r="H363" s="651"/>
      <c r="I363" s="651"/>
      <c r="J363" s="651"/>
      <c r="K363" s="651"/>
      <c r="L363" s="651"/>
      <c r="M363" s="651"/>
      <c r="N363" s="651"/>
      <c r="O363" s="652"/>
      <c r="P363" s="648" t="s">
        <v>40</v>
      </c>
      <c r="Q363" s="649"/>
      <c r="R363" s="649"/>
      <c r="S363" s="649"/>
      <c r="T363" s="649"/>
      <c r="U363" s="649"/>
      <c r="V363" s="650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67" t="s">
        <v>604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2"/>
      <c r="AB364" s="62"/>
      <c r="AC364" s="62"/>
    </row>
    <row r="365" spans="1:68" ht="14.25" hidden="1" customHeight="1" x14ac:dyDescent="0.25">
      <c r="A365" s="660" t="s">
        <v>121</v>
      </c>
      <c r="B365" s="660"/>
      <c r="C365" s="660"/>
      <c r="D365" s="660"/>
      <c r="E365" s="660"/>
      <c r="F365" s="660"/>
      <c r="G365" s="660"/>
      <c r="H365" s="660"/>
      <c r="I365" s="660"/>
      <c r="J365" s="660"/>
      <c r="K365" s="660"/>
      <c r="L365" s="660"/>
      <c r="M365" s="660"/>
      <c r="N365" s="660"/>
      <c r="O365" s="660"/>
      <c r="P365" s="660"/>
      <c r="Q365" s="660"/>
      <c r="R365" s="660"/>
      <c r="S365" s="660"/>
      <c r="T365" s="660"/>
      <c r="U365" s="660"/>
      <c r="V365" s="660"/>
      <c r="W365" s="660"/>
      <c r="X365" s="660"/>
      <c r="Y365" s="660"/>
      <c r="Z365" s="660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7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89</v>
      </c>
      <c r="N368" s="36"/>
      <c r="O368" s="35">
        <v>55</v>
      </c>
      <c r="P368" s="7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133</v>
      </c>
      <c r="L369" s="35" t="s">
        <v>46</v>
      </c>
      <c r="M369" s="36" t="s">
        <v>125</v>
      </c>
      <c r="N369" s="36"/>
      <c r="O369" s="35">
        <v>55</v>
      </c>
      <c r="P369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607</v>
      </c>
      <c r="AG369" s="75"/>
      <c r="AJ369" s="79" t="s">
        <v>46</v>
      </c>
      <c r="AK369" s="79">
        <v>0</v>
      </c>
      <c r="BB369" s="466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616</v>
      </c>
      <c r="B370" s="60" t="s">
        <v>617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66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IFERROR(X366/H366,"0")+IFERROR(X367/H367,"0")+IFERROR(X368/H368,"0")+IFERROR(X369/H369,"0")+IFERROR(X370/H370,"0")</f>
        <v>0</v>
      </c>
      <c r="Y371" s="41">
        <f>IFERROR(Y366/H366,"0")+IFERROR(Y367/H367,"0")+IFERROR(Y368/H368,"0")+IFERROR(Y369/H369,"0")+IFERROR(Y370/H370,"0")</f>
        <v>0</v>
      </c>
      <c r="Z371" s="41">
        <f>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IFERROR(SUM(X366:X370),"0")</f>
        <v>0</v>
      </c>
      <c r="Y372" s="41">
        <f>IFERROR(SUM(Y366:Y370),"0")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76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619</v>
      </c>
      <c r="B374" s="60" t="s">
        <v>620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58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ref="BM374:BM380" si="59">IFERROR(X374*I374/H374,"0")</f>
        <v>0</v>
      </c>
      <c r="BN374" s="75">
        <f t="shared" ref="BN374:BN380" si="60">IFERROR(Y374*I374/H374,"0")</f>
        <v>0</v>
      </c>
      <c r="BO374" s="75">
        <f t="shared" ref="BO374:BO380" si="61">IFERROR(1/J374*(X374/H374),"0")</f>
        <v>0</v>
      </c>
      <c r="BP374" s="75">
        <f t="shared" ref="BP374:BP380" si="62">IFERROR(1/J374*(Y374/H374),"0")</f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8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si="59"/>
        <v>0</v>
      </c>
      <c r="BN375" s="75">
        <f t="shared" si="60"/>
        <v>0</v>
      </c>
      <c r="BO375" s="75">
        <f t="shared" si="61"/>
        <v>0</v>
      </c>
      <c r="BP375" s="75">
        <f t="shared" si="62"/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81</v>
      </c>
      <c r="L377" s="35" t="s">
        <v>46</v>
      </c>
      <c r="M377" s="36" t="s">
        <v>80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624</v>
      </c>
      <c r="AG377" s="75"/>
      <c r="AJ377" s="79" t="s">
        <v>46</v>
      </c>
      <c r="AK377" s="79">
        <v>0</v>
      </c>
      <c r="BB377" s="476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66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133</v>
      </c>
      <c r="L379" s="35" t="s">
        <v>46</v>
      </c>
      <c r="M379" s="36" t="s">
        <v>80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627</v>
      </c>
      <c r="AG379" s="75"/>
      <c r="AJ379" s="79" t="s">
        <v>46</v>
      </c>
      <c r="AK379" s="79">
        <v>0</v>
      </c>
      <c r="BB379" s="480" t="s">
        <v>66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27" hidden="1" customHeight="1" x14ac:dyDescent="0.25">
      <c r="A380" s="60" t="s">
        <v>635</v>
      </c>
      <c r="B380" s="60" t="s">
        <v>636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90</v>
      </c>
      <c r="L380" s="35" t="s">
        <v>46</v>
      </c>
      <c r="M380" s="36" t="s">
        <v>80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637</v>
      </c>
      <c r="AG380" s="75"/>
      <c r="AJ380" s="79" t="s">
        <v>46</v>
      </c>
      <c r="AK380" s="79">
        <v>0</v>
      </c>
      <c r="BB380" s="482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idden="1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0" t="s">
        <v>85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638</v>
      </c>
      <c r="B384" s="60" t="s">
        <v>639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90</v>
      </c>
      <c r="L387" s="35" t="s">
        <v>46</v>
      </c>
      <c r="M387" s="36" t="s">
        <v>89</v>
      </c>
      <c r="N387" s="36"/>
      <c r="O387" s="35">
        <v>40</v>
      </c>
      <c r="P387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640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172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649</v>
      </c>
      <c r="B391" s="60" t="s">
        <v>650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89</v>
      </c>
      <c r="N391" s="36"/>
      <c r="O391" s="35">
        <v>30</v>
      </c>
      <c r="P391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652</v>
      </c>
      <c r="B392" s="60" t="s">
        <v>653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126</v>
      </c>
      <c r="L393" s="35" t="s">
        <v>46</v>
      </c>
      <c r="M393" s="36" t="s">
        <v>96</v>
      </c>
      <c r="N393" s="36"/>
      <c r="O393" s="35">
        <v>30</v>
      </c>
      <c r="P393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288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658</v>
      </c>
      <c r="B397" s="60" t="s">
        <v>659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133</v>
      </c>
      <c r="L397" s="35" t="s">
        <v>46</v>
      </c>
      <c r="M397" s="36" t="s">
        <v>263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660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661</v>
      </c>
      <c r="B398" s="60" t="s">
        <v>662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660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663</v>
      </c>
      <c r="B399" s="60" t="s">
        <v>664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90</v>
      </c>
      <c r="L399" s="35" t="s">
        <v>46</v>
      </c>
      <c r="M399" s="36" t="s">
        <v>263</v>
      </c>
      <c r="N399" s="36"/>
      <c r="O399" s="35">
        <v>180</v>
      </c>
      <c r="P399" s="7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660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665</v>
      </c>
      <c r="B400" s="60" t="s">
        <v>666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660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667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668</v>
      </c>
      <c r="B404" s="60" t="s">
        <v>669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671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670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671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670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674</v>
      </c>
      <c r="B406" s="60" t="s">
        <v>675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671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676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677</v>
      </c>
      <c r="B410" s="60" t="s">
        <v>678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671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679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680</v>
      </c>
      <c r="B411" s="60" t="s">
        <v>681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133</v>
      </c>
      <c r="L411" s="35" t="s">
        <v>46</v>
      </c>
      <c r="M411" s="36" t="s">
        <v>671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90</v>
      </c>
      <c r="L412" s="35" t="s">
        <v>46</v>
      </c>
      <c r="M412" s="36" t="s">
        <v>671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679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685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85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686</v>
      </c>
      <c r="B417" s="60" t="s">
        <v>687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126</v>
      </c>
      <c r="L417" s="35" t="s">
        <v>46</v>
      </c>
      <c r="M417" s="36" t="s">
        <v>89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688</v>
      </c>
      <c r="AG417" s="75"/>
      <c r="AJ417" s="79" t="s">
        <v>46</v>
      </c>
      <c r="AK417" s="79">
        <v>0</v>
      </c>
      <c r="BB417" s="518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689</v>
      </c>
      <c r="B418" s="60" t="s">
        <v>690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692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85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693</v>
      </c>
      <c r="B423" s="60" t="s">
        <v>694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126</v>
      </c>
      <c r="L423" s="35" t="s">
        <v>46</v>
      </c>
      <c r="M423" s="36" t="s">
        <v>96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696</v>
      </c>
      <c r="B424" s="60" t="s">
        <v>697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90</v>
      </c>
      <c r="L424" s="35" t="s">
        <v>46</v>
      </c>
      <c r="M424" s="36" t="s">
        <v>89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90</v>
      </c>
      <c r="L425" s="35" t="s">
        <v>46</v>
      </c>
      <c r="M425" s="36" t="s">
        <v>96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678" t="s">
        <v>702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703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121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704</v>
      </c>
      <c r="B431" s="60" t="s">
        <v>705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96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3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ref="BM431:BM438" si="64">IFERROR(X431*I431/H431,"0")</f>
        <v>0</v>
      </c>
      <c r="BN431" s="75">
        <f t="shared" ref="BN431:BN438" si="65">IFERROR(Y431*I431/H431,"0")</f>
        <v>0</v>
      </c>
      <c r="BO431" s="75">
        <f t="shared" ref="BO431:BO438" si="66">IFERROR(1/J431*(X431/H431),"0")</f>
        <v>0</v>
      </c>
      <c r="BP431" s="75">
        <f t="shared" ref="BP431:BP438" si="67">IFERROR(1/J431*(Y431/H431),"0")</f>
        <v>0</v>
      </c>
    </row>
    <row r="432" spans="1:68" ht="37.5" hidden="1" customHeight="1" x14ac:dyDescent="0.25">
      <c r="A432" s="60" t="s">
        <v>707</v>
      </c>
      <c r="B432" s="60" t="s">
        <v>708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125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customHeight="1" x14ac:dyDescent="0.25">
      <c r="A434" s="60" t="s">
        <v>713</v>
      </c>
      <c r="B434" s="60" t="s">
        <v>714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80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1500</v>
      </c>
      <c r="Y434" s="53">
        <f t="shared" si="63"/>
        <v>1500</v>
      </c>
      <c r="Z434" s="39">
        <f>IFERROR(IF(Y434=0,"",ROUNDUP(Y434/H434,0)*0.02175),"")</f>
        <v>2.1749999999999998</v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4"/>
        <v>1547</v>
      </c>
      <c r="BN434" s="75">
        <f t="shared" si="65"/>
        <v>1547</v>
      </c>
      <c r="BO434" s="75">
        <f t="shared" si="66"/>
        <v>2.083333333333333</v>
      </c>
      <c r="BP434" s="75">
        <f t="shared" si="67"/>
        <v>2.083333333333333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96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719</v>
      </c>
      <c r="B436" s="60" t="s">
        <v>720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133</v>
      </c>
      <c r="L436" s="35" t="s">
        <v>46</v>
      </c>
      <c r="M436" s="36" t="s">
        <v>125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3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133</v>
      </c>
      <c r="L437" s="35" t="s">
        <v>46</v>
      </c>
      <c r="M437" s="36" t="s">
        <v>80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37.5" hidden="1" customHeight="1" x14ac:dyDescent="0.25">
      <c r="A438" s="60" t="s">
        <v>725</v>
      </c>
      <c r="B438" s="60" t="s">
        <v>726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100</v>
      </c>
      <c r="Y439" s="41">
        <f>IFERROR(Y431/H431,"0")+IFERROR(Y432/H432,"0")+IFERROR(Y433/H433,"0")+IFERROR(Y434/H434,"0")+IFERROR(Y435/H435,"0")+IFERROR(Y436/H436,"0")+IFERROR(Y437/H437,"0")+IFERROR(Y438/H438,"0")</f>
        <v>100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2.1749999999999998</v>
      </c>
      <c r="AA439" s="64"/>
      <c r="AB439" s="64"/>
      <c r="AC439" s="64"/>
    </row>
    <row r="440" spans="1:68" x14ac:dyDescent="0.2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1500</v>
      </c>
      <c r="Y440" s="41">
        <f>IFERROR(SUM(Y431:Y438),"0")</f>
        <v>1500</v>
      </c>
      <c r="Z440" s="40"/>
      <c r="AA440" s="64"/>
      <c r="AB440" s="64"/>
      <c r="AC440" s="64"/>
    </row>
    <row r="441" spans="1:68" ht="14.25" hidden="1" customHeight="1" x14ac:dyDescent="0.25">
      <c r="A441" s="660" t="s">
        <v>154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customHeight="1" x14ac:dyDescent="0.25">
      <c r="A442" s="60" t="s">
        <v>728</v>
      </c>
      <c r="B442" s="60" t="s">
        <v>729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126</v>
      </c>
      <c r="L442" s="35" t="s">
        <v>46</v>
      </c>
      <c r="M442" s="36" t="s">
        <v>125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1000</v>
      </c>
      <c r="Y442" s="53">
        <f>IFERROR(IF(X442="",0,CEILING((X442/$H442),1)*$H442),"")</f>
        <v>1005</v>
      </c>
      <c r="Z442" s="39">
        <f>IFERROR(IF(Y442=0,"",ROUNDUP(Y442/H442,0)*0.02175),"")</f>
        <v>1.4572499999999999</v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1031.3333333333333</v>
      </c>
      <c r="BN442" s="75">
        <f>IFERROR(Y442*I442/H442,"0")</f>
        <v>1036.49</v>
      </c>
      <c r="BO442" s="75">
        <f>IFERROR(1/J442*(X442/H442),"0")</f>
        <v>1.3888888888888888</v>
      </c>
      <c r="BP442" s="75">
        <f>IFERROR(1/J442*(Y442/H442),"0")</f>
        <v>1.3958333333333333</v>
      </c>
    </row>
    <row r="443" spans="1:68" ht="27" hidden="1" customHeight="1" x14ac:dyDescent="0.25">
      <c r="A443" s="60" t="s">
        <v>731</v>
      </c>
      <c r="B443" s="60" t="s">
        <v>732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133</v>
      </c>
      <c r="L444" s="35" t="s">
        <v>46</v>
      </c>
      <c r="M444" s="36" t="s">
        <v>125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66.666666666666671</v>
      </c>
      <c r="Y445" s="41">
        <f>IFERROR(Y442/H442,"0")+IFERROR(Y443/H443,"0")+IFERROR(Y444/H444,"0")</f>
        <v>67</v>
      </c>
      <c r="Z445" s="41">
        <f>IFERROR(IF(Z442="",0,Z442),"0")+IFERROR(IF(Z443="",0,Z443),"0")+IFERROR(IF(Z444="",0,Z444),"0")</f>
        <v>1.4572499999999999</v>
      </c>
      <c r="AA445" s="64"/>
      <c r="AB445" s="64"/>
      <c r="AC445" s="64"/>
    </row>
    <row r="446" spans="1:68" x14ac:dyDescent="0.2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1000</v>
      </c>
      <c r="Y446" s="41">
        <f>IFERROR(SUM(Y442:Y444),"0")</f>
        <v>1005</v>
      </c>
      <c r="Z446" s="40"/>
      <c r="AA446" s="64"/>
      <c r="AB446" s="64"/>
      <c r="AC446" s="64"/>
    </row>
    <row r="447" spans="1:68" ht="14.25" hidden="1" customHeight="1" x14ac:dyDescent="0.25">
      <c r="A447" s="660" t="s">
        <v>85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737</v>
      </c>
      <c r="B448" s="60" t="s">
        <v>738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126</v>
      </c>
      <c r="L448" s="35" t="s">
        <v>46</v>
      </c>
      <c r="M448" s="36" t="s">
        <v>89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740</v>
      </c>
      <c r="B449" s="60" t="s">
        <v>741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126</v>
      </c>
      <c r="L450" s="35" t="s">
        <v>46</v>
      </c>
      <c r="M450" s="36" t="s">
        <v>89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172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746</v>
      </c>
      <c r="B454" s="60" t="s">
        <v>747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126</v>
      </c>
      <c r="L454" s="35" t="s">
        <v>46</v>
      </c>
      <c r="M454" s="36" t="s">
        <v>89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748</v>
      </c>
      <c r="AG454" s="75"/>
      <c r="AJ454" s="79" t="s">
        <v>46</v>
      </c>
      <c r="AK454" s="79">
        <v>0</v>
      </c>
      <c r="BB454" s="556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749</v>
      </c>
      <c r="B455" s="60" t="s">
        <v>750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126</v>
      </c>
      <c r="L455" s="35" t="s">
        <v>46</v>
      </c>
      <c r="M455" s="36" t="s">
        <v>89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752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121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753</v>
      </c>
      <c r="B460" s="60" t="s">
        <v>754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126</v>
      </c>
      <c r="L460" s="35" t="s">
        <v>46</v>
      </c>
      <c r="M460" s="36" t="s">
        <v>80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755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756</v>
      </c>
      <c r="B461" s="60" t="s">
        <v>757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133</v>
      </c>
      <c r="L461" s="35" t="s">
        <v>46</v>
      </c>
      <c r="M461" s="36" t="s">
        <v>80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755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76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758</v>
      </c>
      <c r="B465" s="60" t="s">
        <v>759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133</v>
      </c>
      <c r="L465" s="35" t="s">
        <v>46</v>
      </c>
      <c r="M465" s="36" t="s">
        <v>80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760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85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hidden="1" customHeight="1" x14ac:dyDescent="0.25">
      <c r="A469" s="60" t="s">
        <v>761</v>
      </c>
      <c r="B469" s="60" t="s">
        <v>762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126</v>
      </c>
      <c r="L469" s="35" t="s">
        <v>46</v>
      </c>
      <c r="M469" s="36" t="s">
        <v>89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763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764</v>
      </c>
      <c r="B470" s="60" t="s">
        <v>765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90</v>
      </c>
      <c r="L470" s="35" t="s">
        <v>46</v>
      </c>
      <c r="M470" s="36" t="s">
        <v>89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763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764</v>
      </c>
      <c r="B471" s="60" t="s">
        <v>766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767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">
      <c r="A474" s="678" t="s">
        <v>768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769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76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770</v>
      </c>
      <c r="B477" s="60" t="s">
        <v>771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133</v>
      </c>
      <c r="L477" s="35" t="s">
        <v>46</v>
      </c>
      <c r="M477" s="36" t="s">
        <v>80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68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772</v>
      </c>
      <c r="AG477" s="75"/>
      <c r="AJ477" s="79" t="s">
        <v>46</v>
      </c>
      <c r="AK477" s="79">
        <v>0</v>
      </c>
      <c r="BB477" s="572" t="s">
        <v>66</v>
      </c>
      <c r="BM477" s="75">
        <f t="shared" ref="BM477:BM482" si="69">IFERROR(X477*I477/H477,"0")</f>
        <v>0</v>
      </c>
      <c r="BN477" s="75">
        <f t="shared" ref="BN477:BN482" si="70">IFERROR(Y477*I477/H477,"0")</f>
        <v>0</v>
      </c>
      <c r="BO477" s="75">
        <f t="shared" ref="BO477:BO482" si="71">IFERROR(1/J477*(X477/H477),"0")</f>
        <v>0</v>
      </c>
      <c r="BP477" s="75">
        <f t="shared" ref="BP477:BP482" si="72">IFERROR(1/J477*(Y477/H477),"0")</f>
        <v>0</v>
      </c>
    </row>
    <row r="478" spans="1:68" ht="27" hidden="1" customHeight="1" x14ac:dyDescent="0.25">
      <c r="A478" s="60" t="s">
        <v>773</v>
      </c>
      <c r="B478" s="60" t="s">
        <v>774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8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8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772</v>
      </c>
      <c r="AG479" s="75"/>
      <c r="AJ479" s="79" t="s">
        <v>46</v>
      </c>
      <c r="AK479" s="79">
        <v>0</v>
      </c>
      <c r="BB479" s="576" t="s">
        <v>66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778</v>
      </c>
      <c r="B480" s="60" t="s">
        <v>779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780</v>
      </c>
      <c r="AG480" s="75"/>
      <c r="AJ480" s="79" t="s">
        <v>46</v>
      </c>
      <c r="AK480" s="79">
        <v>0</v>
      </c>
      <c r="BB480" s="578" t="s">
        <v>66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37.5" hidden="1" customHeight="1" x14ac:dyDescent="0.25">
      <c r="A482" s="60" t="s">
        <v>784</v>
      </c>
      <c r="B482" s="60" t="s">
        <v>785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780</v>
      </c>
      <c r="AG482" s="75"/>
      <c r="AJ482" s="79" t="s">
        <v>46</v>
      </c>
      <c r="AK482" s="79">
        <v>0</v>
      </c>
      <c r="BB482" s="582" t="s">
        <v>66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85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786</v>
      </c>
      <c r="B486" s="60" t="s">
        <v>787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133</v>
      </c>
      <c r="L486" s="35" t="s">
        <v>46</v>
      </c>
      <c r="M486" s="36" t="s">
        <v>89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788</v>
      </c>
      <c r="AG486" s="75"/>
      <c r="AJ486" s="79" t="s">
        <v>46</v>
      </c>
      <c r="AK486" s="79">
        <v>0</v>
      </c>
      <c r="BB486" s="58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789</v>
      </c>
      <c r="B487" s="60" t="s">
        <v>790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90</v>
      </c>
      <c r="L487" s="35" t="s">
        <v>46</v>
      </c>
      <c r="M487" s="36" t="s">
        <v>89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792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154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793</v>
      </c>
      <c r="B492" s="60" t="s">
        <v>794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90</v>
      </c>
      <c r="L492" s="35" t="s">
        <v>46</v>
      </c>
      <c r="M492" s="36" t="s">
        <v>80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795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76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796</v>
      </c>
      <c r="B496" s="60" t="s">
        <v>797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133</v>
      </c>
      <c r="L496" s="35" t="s">
        <v>46</v>
      </c>
      <c r="M496" s="36" t="s">
        <v>80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798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799</v>
      </c>
      <c r="B497" s="60" t="s">
        <v>800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81</v>
      </c>
      <c r="L497" s="35" t="s">
        <v>46</v>
      </c>
      <c r="M497" s="36" t="s">
        <v>80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801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678" t="s">
        <v>804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804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121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805</v>
      </c>
      <c r="B504" s="60" t="s">
        <v>806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89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3">IFERROR(IF(X504="",0,CEILING((X504/$H504),1)*$H504),"")</f>
        <v>0</v>
      </c>
      <c r="Z504" s="39" t="str">
        <f t="shared" ref="Z504:Z509" si="74">IFERROR(IF(Y504=0,"",ROUNDUP(Y504/H504,0)*0.01196),"")</f>
        <v/>
      </c>
      <c r="AA504" s="65" t="s">
        <v>46</v>
      </c>
      <c r="AB504" s="66" t="s">
        <v>46</v>
      </c>
      <c r="AC504" s="595" t="s">
        <v>124</v>
      </c>
      <c r="AG504" s="75"/>
      <c r="AJ504" s="79" t="s">
        <v>46</v>
      </c>
      <c r="AK504" s="79">
        <v>0</v>
      </c>
      <c r="BB504" s="596" t="s">
        <v>66</v>
      </c>
      <c r="BM504" s="75">
        <f t="shared" ref="BM504:BM512" si="75">IFERROR(X504*I504/H504,"0")</f>
        <v>0</v>
      </c>
      <c r="BN504" s="75">
        <f t="shared" ref="BN504:BN512" si="76">IFERROR(Y504*I504/H504,"0")</f>
        <v>0</v>
      </c>
      <c r="BO504" s="75">
        <f t="shared" ref="BO504:BO512" si="77">IFERROR(1/J504*(X504/H504),"0")</f>
        <v>0</v>
      </c>
      <c r="BP504" s="75">
        <f t="shared" ref="BP504:BP512" si="78">IFERROR(1/J504*(Y504/H504),"0")</f>
        <v>0</v>
      </c>
    </row>
    <row r="505" spans="1:68" ht="16.5" hidden="1" customHeight="1" x14ac:dyDescent="0.25">
      <c r="A505" s="60" t="s">
        <v>807</v>
      </c>
      <c r="B505" s="60" t="s">
        <v>808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3"/>
        <v>0</v>
      </c>
      <c r="Z505" s="39" t="str">
        <f t="shared" si="74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75"/>
        <v>0</v>
      </c>
      <c r="BN505" s="75">
        <f t="shared" si="76"/>
        <v>0</v>
      </c>
      <c r="BO505" s="75">
        <f t="shared" si="77"/>
        <v>0</v>
      </c>
      <c r="BP505" s="75">
        <f t="shared" si="78"/>
        <v>0</v>
      </c>
    </row>
    <row r="506" spans="1:68" ht="27" hidden="1" customHeight="1" x14ac:dyDescent="0.25">
      <c r="A506" s="60" t="s">
        <v>810</v>
      </c>
      <c r="B506" s="60" t="s">
        <v>811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3"/>
        <v>0</v>
      </c>
      <c r="Z506" s="39" t="str">
        <f t="shared" si="74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3"/>
        <v>0</v>
      </c>
      <c r="Z507" s="39" t="str">
        <f t="shared" si="74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16.5" hidden="1" customHeight="1" x14ac:dyDescent="0.25">
      <c r="A508" s="60" t="s">
        <v>816</v>
      </c>
      <c r="B508" s="60" t="s">
        <v>817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89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3"/>
        <v>0</v>
      </c>
      <c r="Z508" s="39" t="str">
        <f t="shared" si="74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819</v>
      </c>
      <c r="B509" s="60" t="s">
        <v>820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125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3"/>
        <v>0</v>
      </c>
      <c r="Z509" s="39" t="str">
        <f t="shared" si="74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89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124</v>
      </c>
      <c r="AG510" s="75"/>
      <c r="AJ510" s="79" t="s">
        <v>46</v>
      </c>
      <c r="AK510" s="79">
        <v>0</v>
      </c>
      <c r="BB510" s="608" t="s">
        <v>66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824</v>
      </c>
      <c r="B511" s="60" t="s">
        <v>825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133</v>
      </c>
      <c r="L511" s="35" t="s">
        <v>46</v>
      </c>
      <c r="M511" s="36" t="s">
        <v>89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826</v>
      </c>
      <c r="B512" s="60" t="s">
        <v>827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125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821</v>
      </c>
      <c r="AG512" s="75"/>
      <c r="AJ512" s="79" t="s">
        <v>46</v>
      </c>
      <c r="AK512" s="79">
        <v>0</v>
      </c>
      <c r="BB512" s="612" t="s">
        <v>66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idden="1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154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828</v>
      </c>
      <c r="B516" s="60" t="s">
        <v>829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126</v>
      </c>
      <c r="L516" s="35" t="s">
        <v>46</v>
      </c>
      <c r="M516" s="36" t="s">
        <v>89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830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831</v>
      </c>
      <c r="B517" s="60" t="s">
        <v>832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90</v>
      </c>
      <c r="L517" s="35" t="s">
        <v>46</v>
      </c>
      <c r="M517" s="36" t="s">
        <v>125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830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833</v>
      </c>
      <c r="B518" s="60" t="s">
        <v>834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133</v>
      </c>
      <c r="L518" s="35" t="s">
        <v>46</v>
      </c>
      <c r="M518" s="36" t="s">
        <v>125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830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76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835</v>
      </c>
      <c r="B522" s="60" t="s">
        <v>836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125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79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ref="BM522:BM528" si="80">IFERROR(X522*I522/H522,"0")</f>
        <v>0</v>
      </c>
      <c r="BN522" s="75">
        <f t="shared" ref="BN522:BN528" si="81">IFERROR(Y522*I522/H522,"0")</f>
        <v>0</v>
      </c>
      <c r="BO522" s="75">
        <f t="shared" ref="BO522:BO528" si="82">IFERROR(1/J522*(X522/H522),"0")</f>
        <v>0</v>
      </c>
      <c r="BP522" s="75">
        <f t="shared" ref="BP522:BP528" si="83">IFERROR(1/J522*(Y522/H522),"0")</f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80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9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si="80"/>
        <v>0</v>
      </c>
      <c r="BN523" s="75">
        <f t="shared" si="81"/>
        <v>0</v>
      </c>
      <c r="BO523" s="75">
        <f t="shared" si="82"/>
        <v>0</v>
      </c>
      <c r="BP523" s="75">
        <f t="shared" si="83"/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0"/>
        <v>0</v>
      </c>
      <c r="BN524" s="75">
        <f t="shared" si="81"/>
        <v>0</v>
      </c>
      <c r="BO524" s="75">
        <f t="shared" si="82"/>
        <v>0</v>
      </c>
      <c r="BP524" s="75">
        <f t="shared" si="83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133</v>
      </c>
      <c r="L525" s="35" t="s">
        <v>46</v>
      </c>
      <c r="M525" s="36" t="s">
        <v>125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79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837</v>
      </c>
      <c r="AG525" s="75"/>
      <c r="AJ525" s="79" t="s">
        <v>46</v>
      </c>
      <c r="AK525" s="79">
        <v>0</v>
      </c>
      <c r="BB525" s="626" t="s">
        <v>66</v>
      </c>
      <c r="BM525" s="75">
        <f t="shared" si="80"/>
        <v>0</v>
      </c>
      <c r="BN525" s="75">
        <f t="shared" si="81"/>
        <v>0</v>
      </c>
      <c r="BO525" s="75">
        <f t="shared" si="82"/>
        <v>0</v>
      </c>
      <c r="BP525" s="75">
        <f t="shared" si="83"/>
        <v>0</v>
      </c>
    </row>
    <row r="526" spans="1:68" ht="27" hidden="1" customHeight="1" x14ac:dyDescent="0.25">
      <c r="A526" s="60" t="s">
        <v>846</v>
      </c>
      <c r="B526" s="60" t="s">
        <v>847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7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0"/>
        <v>0</v>
      </c>
      <c r="BN526" s="75">
        <f t="shared" si="81"/>
        <v>0</v>
      </c>
      <c r="BO526" s="75">
        <f t="shared" si="82"/>
        <v>0</v>
      </c>
      <c r="BP526" s="75">
        <f t="shared" si="83"/>
        <v>0</v>
      </c>
    </row>
    <row r="527" spans="1:68" ht="27" hidden="1" customHeight="1" x14ac:dyDescent="0.25">
      <c r="A527" s="60" t="s">
        <v>846</v>
      </c>
      <c r="B527" s="60" t="s">
        <v>848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7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840</v>
      </c>
      <c r="AG527" s="75"/>
      <c r="AJ527" s="79" t="s">
        <v>46</v>
      </c>
      <c r="AK527" s="79">
        <v>0</v>
      </c>
      <c r="BB527" s="630" t="s">
        <v>66</v>
      </c>
      <c r="BM527" s="75">
        <f t="shared" si="80"/>
        <v>0</v>
      </c>
      <c r="BN527" s="75">
        <f t="shared" si="81"/>
        <v>0</v>
      </c>
      <c r="BO527" s="75">
        <f t="shared" si="82"/>
        <v>0</v>
      </c>
      <c r="BP527" s="75">
        <f t="shared" si="83"/>
        <v>0</v>
      </c>
    </row>
    <row r="528" spans="1:68" ht="27" hidden="1" customHeight="1" x14ac:dyDescent="0.25">
      <c r="A528" s="60" t="s">
        <v>849</v>
      </c>
      <c r="B528" s="60" t="s">
        <v>850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0"/>
        <v>0</v>
      </c>
      <c r="BN528" s="75">
        <f t="shared" si="81"/>
        <v>0</v>
      </c>
      <c r="BO528" s="75">
        <f t="shared" si="82"/>
        <v>0</v>
      </c>
      <c r="BP528" s="75">
        <f t="shared" si="83"/>
        <v>0</v>
      </c>
    </row>
    <row r="529" spans="1:68" hidden="1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678" t="s">
        <v>851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851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121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126</v>
      </c>
      <c r="L534" s="35" t="s">
        <v>46</v>
      </c>
      <c r="M534" s="36" t="s">
        <v>125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854</v>
      </c>
      <c r="AG534" s="75"/>
      <c r="AJ534" s="79" t="s">
        <v>46</v>
      </c>
      <c r="AK534" s="79">
        <v>0</v>
      </c>
      <c r="BB534" s="63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154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4301020400</v>
      </c>
      <c r="D538" s="661">
        <v>4640242180519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126</v>
      </c>
      <c r="L538" s="35" t="s">
        <v>46</v>
      </c>
      <c r="M538" s="36" t="s">
        <v>125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857</v>
      </c>
      <c r="AG538" s="75"/>
      <c r="AJ538" s="79" t="s">
        <v>46</v>
      </c>
      <c r="AK538" s="79">
        <v>0</v>
      </c>
      <c r="BB538" s="63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76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133</v>
      </c>
      <c r="L542" s="35" t="s">
        <v>46</v>
      </c>
      <c r="M542" s="36" t="s">
        <v>80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860</v>
      </c>
      <c r="AG542" s="75"/>
      <c r="AJ542" s="79" t="s">
        <v>46</v>
      </c>
      <c r="AK542" s="79">
        <v>0</v>
      </c>
      <c r="BB542" s="63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85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hidden="1" customHeight="1" x14ac:dyDescent="0.25">
      <c r="A546" s="60" t="s">
        <v>861</v>
      </c>
      <c r="B546" s="60" t="s">
        <v>862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863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0" t="s">
        <v>172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864</v>
      </c>
      <c r="B550" s="60" t="s">
        <v>865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126</v>
      </c>
      <c r="L550" s="35" t="s">
        <v>46</v>
      </c>
      <c r="M550" s="36" t="s">
        <v>89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866</v>
      </c>
      <c r="AG550" s="75"/>
      <c r="AJ550" s="79" t="s">
        <v>46</v>
      </c>
      <c r="AK550" s="79">
        <v>0</v>
      </c>
      <c r="BB550" s="642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867</v>
      </c>
      <c r="B551" s="60" t="s">
        <v>868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870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154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871</v>
      </c>
      <c r="B556" s="60" t="s">
        <v>872</v>
      </c>
      <c r="C556" s="34">
        <v>4301020428</v>
      </c>
      <c r="D556" s="661">
        <v>4640242180090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126</v>
      </c>
      <c r="L556" s="35" t="s">
        <v>46</v>
      </c>
      <c r="M556" s="36" t="s">
        <v>125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873</v>
      </c>
      <c r="AG556" s="75"/>
      <c r="AJ556" s="79" t="s">
        <v>46</v>
      </c>
      <c r="AK556" s="79">
        <v>0</v>
      </c>
      <c r="BB556" s="646" t="s">
        <v>66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2500</v>
      </c>
      <c r="Y559" s="41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2505</v>
      </c>
      <c r="Z559" s="40"/>
      <c r="AA559" s="64"/>
      <c r="AB559" s="64"/>
      <c r="AC559" s="6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2578.333333333333</v>
      </c>
      <c r="Y560" s="41">
        <f>IFERROR(SUM(BN22:BN556),"0")</f>
        <v>2583.4899999999998</v>
      </c>
      <c r="Z560" s="40"/>
      <c r="AA560" s="64"/>
      <c r="AB560" s="64"/>
      <c r="AC560" s="6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4</v>
      </c>
      <c r="Y561" s="42">
        <f>ROUNDUP(SUM(BP22:BP556),0)</f>
        <v>4</v>
      </c>
      <c r="Z561" s="40"/>
      <c r="AA561" s="64"/>
      <c r="AB561" s="64"/>
      <c r="AC561" s="6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2678.333333333333</v>
      </c>
      <c r="Y562" s="41">
        <f>GrossWeightTotalR+PalletQtyTotalR*25</f>
        <v>2683.49</v>
      </c>
      <c r="Z562" s="40"/>
      <c r="AA562" s="64"/>
      <c r="AB562" s="64"/>
      <c r="AC562" s="64"/>
    </row>
    <row r="563" spans="1:32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166.66666666666669</v>
      </c>
      <c r="Y563" s="41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167</v>
      </c>
      <c r="Z563" s="40"/>
      <c r="AA563" s="64"/>
      <c r="AB563" s="64"/>
      <c r="AC563" s="64"/>
    </row>
    <row r="564" spans="1:32" ht="14.25" hidden="1" x14ac:dyDescent="0.2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3.63225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75</v>
      </c>
      <c r="C566" s="80" t="s">
        <v>45</v>
      </c>
      <c r="D566" s="647" t="s">
        <v>119</v>
      </c>
      <c r="E566" s="647" t="s">
        <v>119</v>
      </c>
      <c r="F566" s="647" t="s">
        <v>119</v>
      </c>
      <c r="G566" s="647" t="s">
        <v>119</v>
      </c>
      <c r="H566" s="647" t="s">
        <v>119</v>
      </c>
      <c r="I566" s="647" t="s">
        <v>119</v>
      </c>
      <c r="J566" s="647" t="s">
        <v>119</v>
      </c>
      <c r="K566" s="647" t="s">
        <v>359</v>
      </c>
      <c r="L566" s="647" t="s">
        <v>359</v>
      </c>
      <c r="M566" s="647" t="s">
        <v>359</v>
      </c>
      <c r="N566" s="657"/>
      <c r="O566" s="647" t="s">
        <v>359</v>
      </c>
      <c r="P566" s="647" t="s">
        <v>359</v>
      </c>
      <c r="Q566" s="647" t="s">
        <v>359</v>
      </c>
      <c r="R566" s="647" t="s">
        <v>359</v>
      </c>
      <c r="S566" s="647" t="s">
        <v>359</v>
      </c>
      <c r="T566" s="647" t="s">
        <v>359</v>
      </c>
      <c r="U566" s="647" t="s">
        <v>359</v>
      </c>
      <c r="V566" s="647" t="s">
        <v>359</v>
      </c>
      <c r="W566" s="647" t="s">
        <v>702</v>
      </c>
      <c r="X566" s="647" t="s">
        <v>702</v>
      </c>
      <c r="Y566" s="647" t="s">
        <v>768</v>
      </c>
      <c r="Z566" s="647" t="s">
        <v>768</v>
      </c>
      <c r="AA566" s="80" t="s">
        <v>804</v>
      </c>
      <c r="AB566" s="647" t="s">
        <v>851</v>
      </c>
      <c r="AC566" s="647" t="s">
        <v>851</v>
      </c>
      <c r="AF566" s="1"/>
    </row>
    <row r="567" spans="1:32" ht="14.25" customHeight="1" thickTop="1" x14ac:dyDescent="0.2">
      <c r="A567" s="658" t="s">
        <v>10</v>
      </c>
      <c r="B567" s="647" t="s">
        <v>75</v>
      </c>
      <c r="C567" s="647" t="s">
        <v>103</v>
      </c>
      <c r="D567" s="647" t="s">
        <v>120</v>
      </c>
      <c r="E567" s="647" t="s">
        <v>136</v>
      </c>
      <c r="F567" s="647" t="s">
        <v>181</v>
      </c>
      <c r="G567" s="647" t="s">
        <v>208</v>
      </c>
      <c r="H567" s="647" t="s">
        <v>259</v>
      </c>
      <c r="I567" s="647" t="s">
        <v>272</v>
      </c>
      <c r="J567" s="647" t="s">
        <v>119</v>
      </c>
      <c r="K567" s="647" t="s">
        <v>360</v>
      </c>
      <c r="L567" s="647" t="s">
        <v>381</v>
      </c>
      <c r="M567" s="647" t="s">
        <v>448</v>
      </c>
      <c r="N567" s="1"/>
      <c r="O567" s="647" t="s">
        <v>516</v>
      </c>
      <c r="P567" s="647" t="s">
        <v>549</v>
      </c>
      <c r="Q567" s="647" t="s">
        <v>565</v>
      </c>
      <c r="R567" s="647" t="s">
        <v>574</v>
      </c>
      <c r="S567" s="647" t="s">
        <v>595</v>
      </c>
      <c r="T567" s="647" t="s">
        <v>604</v>
      </c>
      <c r="U567" s="647" t="s">
        <v>685</v>
      </c>
      <c r="V567" s="647" t="s">
        <v>692</v>
      </c>
      <c r="W567" s="647" t="s">
        <v>703</v>
      </c>
      <c r="X567" s="647" t="s">
        <v>752</v>
      </c>
      <c r="Y567" s="647" t="s">
        <v>769</v>
      </c>
      <c r="Z567" s="647" t="s">
        <v>792</v>
      </c>
      <c r="AA567" s="647" t="s">
        <v>804</v>
      </c>
      <c r="AB567" s="647" t="s">
        <v>851</v>
      </c>
      <c r="AC567" s="647" t="s">
        <v>870</v>
      </c>
      <c r="AF567" s="1"/>
    </row>
    <row r="568" spans="1:32" ht="13.5" thickBot="1" x14ac:dyDescent="0.25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0">
        <f>IFERROR(Y85*1,"0")+IFERROR(Y86*1,"0")+IFERROR(Y87*1,"0")+IFERROR(Y88*1,"0")+IFERROR(Y89*1,"0")+IFERROR(Y93*1,"0")+IFERROR(Y94*1,"0")+IFERROR(Y95*1,"0")+IFERROR(Y96*1,"0")+IFERROR(Y97*1,"0")+IFERROR(Y98*1,"0")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0">
        <f>IFERROR(Y138*1,"0")+IFERROR(Y139*1,"0")+IFERROR(Y143*1,"0")+IFERROR(Y144*1,"0")+IFERROR(Y148*1,"0")+IFERROR(Y149*1,"0")</f>
        <v>0</v>
      </c>
      <c r="I569" s="50">
        <f>IFERROR(Y154*1,"0")+IFERROR(Y155*1,"0")+IFERROR(Y156*1,"0")+IFERROR(Y157*1,"0")+IFERROR(Y158*1,"0")+IFERROR(Y159*1,"0")+IFERROR(Y160*1,"0")+IFERROR(Y164*1,"0")</f>
        <v>0</v>
      </c>
      <c r="J569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0">
        <f>IFERROR(Y211*1,"0")+IFERROR(Y212*1,"0")+IFERROR(Y213*1,"0")+IFERROR(Y214*1,"0")+IFERROR(Y215*1,"0")+IFERROR(Y216*1,"0")+IFERROR(Y217*1,"0")</f>
        <v>0</v>
      </c>
      <c r="L569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0">
        <f>IFERROR(Y329*1,"0")+IFERROR(Y330*1,"0")+IFERROR(Y331*1,"0")+IFERROR(Y332*1,"0")+IFERROR(Y333*1,"0")</f>
        <v>0</v>
      </c>
      <c r="Q569" s="50">
        <f>IFERROR(Y338*1,"0")+IFERROR(Y339*1,"0")+IFERROR(Y340*1,"0")</f>
        <v>0</v>
      </c>
      <c r="R569" s="50">
        <f>IFERROR(Y345*1,"0")+IFERROR(Y346*1,"0")+IFERROR(Y347*1,"0")+IFERROR(Y348*1,"0")+IFERROR(Y349*1,"0")+IFERROR(Y353*1,"0")+IFERROR(Y354*1,"0")</f>
        <v>0</v>
      </c>
      <c r="S569" s="50">
        <f>IFERROR(Y359*1,"0")+IFERROR(Y360*1,"0")+IFERROR(Y361*1,"0")</f>
        <v>0</v>
      </c>
      <c r="T569" s="50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2505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0,00"/>
        <filter val="166,67"/>
        <filter val="2 500,00"/>
        <filter val="2 578,33"/>
        <filter val="2 678,33"/>
        <filter val="4"/>
        <filter val="66,67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">
      <c r="B7" s="51" t="s">
        <v>880</v>
      </c>
      <c r="C7" s="51" t="s">
        <v>881</v>
      </c>
      <c r="D7" s="51" t="s">
        <v>882</v>
      </c>
      <c r="E7" s="51" t="s">
        <v>46</v>
      </c>
    </row>
    <row r="8" spans="2:8" x14ac:dyDescent="0.2">
      <c r="B8" s="51" t="s">
        <v>883</v>
      </c>
      <c r="C8" s="51" t="s">
        <v>884</v>
      </c>
      <c r="D8" s="51" t="s">
        <v>885</v>
      </c>
      <c r="E8" s="51" t="s">
        <v>46</v>
      </c>
    </row>
    <row r="9" spans="2:8" x14ac:dyDescent="0.2">
      <c r="B9" s="51" t="s">
        <v>886</v>
      </c>
      <c r="C9" s="51" t="s">
        <v>887</v>
      </c>
      <c r="D9" s="51" t="s">
        <v>888</v>
      </c>
      <c r="E9" s="51" t="s">
        <v>46</v>
      </c>
    </row>
    <row r="10" spans="2:8" x14ac:dyDescent="0.2">
      <c r="B10" s="51" t="s">
        <v>889</v>
      </c>
      <c r="C10" s="51" t="s">
        <v>890</v>
      </c>
      <c r="D10" s="51" t="s">
        <v>891</v>
      </c>
      <c r="E10" s="51" t="s">
        <v>46</v>
      </c>
    </row>
    <row r="11" spans="2:8" x14ac:dyDescent="0.2">
      <c r="B11" s="51" t="s">
        <v>892</v>
      </c>
      <c r="C11" s="51" t="s">
        <v>893</v>
      </c>
      <c r="D11" s="51" t="s">
        <v>894</v>
      </c>
      <c r="E11" s="51" t="s">
        <v>46</v>
      </c>
    </row>
    <row r="12" spans="2:8" x14ac:dyDescent="0.2">
      <c r="B12" s="51" t="s">
        <v>895</v>
      </c>
      <c r="C12" s="51" t="s">
        <v>896</v>
      </c>
      <c r="D12" s="51" t="s">
        <v>897</v>
      </c>
      <c r="E12" s="51" t="s">
        <v>46</v>
      </c>
    </row>
    <row r="14" spans="2:8" x14ac:dyDescent="0.2">
      <c r="B14" s="51" t="s">
        <v>898</v>
      </c>
      <c r="C14" s="51" t="s">
        <v>878</v>
      </c>
      <c r="D14" s="51" t="s">
        <v>46</v>
      </c>
      <c r="E14" s="51" t="s">
        <v>46</v>
      </c>
    </row>
    <row r="16" spans="2:8" x14ac:dyDescent="0.2">
      <c r="B16" s="51" t="s">
        <v>899</v>
      </c>
      <c r="C16" s="51" t="s">
        <v>881</v>
      </c>
      <c r="D16" s="51" t="s">
        <v>46</v>
      </c>
      <c r="E16" s="51" t="s">
        <v>46</v>
      </c>
    </row>
    <row r="18" spans="2:5" x14ac:dyDescent="0.2">
      <c r="B18" s="51" t="s">
        <v>900</v>
      </c>
      <c r="C18" s="51" t="s">
        <v>884</v>
      </c>
      <c r="D18" s="51" t="s">
        <v>46</v>
      </c>
      <c r="E18" s="51" t="s">
        <v>46</v>
      </c>
    </row>
    <row r="20" spans="2:5" x14ac:dyDescent="0.2">
      <c r="B20" s="51" t="s">
        <v>901</v>
      </c>
      <c r="C20" s="51" t="s">
        <v>887</v>
      </c>
      <c r="D20" s="51" t="s">
        <v>46</v>
      </c>
      <c r="E20" s="51" t="s">
        <v>46</v>
      </c>
    </row>
    <row r="22" spans="2:5" x14ac:dyDescent="0.2">
      <c r="B22" s="51" t="s">
        <v>902</v>
      </c>
      <c r="C22" s="51" t="s">
        <v>890</v>
      </c>
      <c r="D22" s="51" t="s">
        <v>46</v>
      </c>
      <c r="E22" s="51" t="s">
        <v>46</v>
      </c>
    </row>
    <row r="24" spans="2:5" x14ac:dyDescent="0.2">
      <c r="B24" s="51" t="s">
        <v>903</v>
      </c>
      <c r="C24" s="51" t="s">
        <v>893</v>
      </c>
      <c r="D24" s="51" t="s">
        <v>46</v>
      </c>
      <c r="E24" s="51" t="s">
        <v>46</v>
      </c>
    </row>
    <row r="26" spans="2:5" x14ac:dyDescent="0.2">
      <c r="B26" s="51" t="s">
        <v>904</v>
      </c>
      <c r="C26" s="51" t="s">
        <v>896</v>
      </c>
      <c r="D26" s="51" t="s">
        <v>46</v>
      </c>
      <c r="E26" s="51" t="s">
        <v>46</v>
      </c>
    </row>
    <row r="28" spans="2:5" x14ac:dyDescent="0.2">
      <c r="B28" s="51" t="s">
        <v>905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909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910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911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912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913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914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915</v>
      </c>
      <c r="C38" s="51" t="s">
        <v>46</v>
      </c>
      <c r="D38" s="51" t="s">
        <v>46</v>
      </c>
      <c r="E38" s="51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2026-09-02T07:46:23Z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