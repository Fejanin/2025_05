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107CB4-B392-42F9-9464-224628C9146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Y43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Y51" i="2" l="1"/>
  <c r="BN286" i="2"/>
  <c r="BN300" i="2"/>
  <c r="BN347" i="2"/>
  <c r="BN23" i="2"/>
  <c r="Z31" i="2"/>
  <c r="BP34" i="2"/>
  <c r="BN36" i="2"/>
  <c r="Z41" i="2"/>
  <c r="Z42" i="2" s="1"/>
  <c r="BN41" i="2"/>
  <c r="BP41" i="2"/>
  <c r="Y42" i="2"/>
  <c r="Z48" i="2"/>
  <c r="BP101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11" i="2"/>
  <c r="BP325" i="2"/>
  <c r="BN327" i="2"/>
  <c r="Y334" i="2"/>
  <c r="Y342" i="2"/>
  <c r="Y519" i="2"/>
  <c r="Y78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Z156" i="2" s="1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43" i="2" l="1"/>
  <c r="Z201" i="2"/>
  <c r="Z320" i="2"/>
  <c r="Z288" i="2"/>
  <c r="Z87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<sst xmlns="http://schemas.openxmlformats.org/spreadsheetml/2006/main" count="3933" uniqueCount="845">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</sst>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844</v>
      </c>
      <c r="I5" s="598"/>
      <c r="J5" s="598"/>
      <c r="K5" s="598"/>
      <c r="L5" s="598"/>
      <c r="M5" s="598"/>
      <c r="N5" s="69"/>
      <c r="P5" s="26" t="s">
        <v>4</v>
      </c>
      <c r="Q5" s="600">
        <v>46247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0.54166666666666663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/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/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/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/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/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900</v>
      </c>
      <c r="Y56" s="53">
        <f>IFERROR(IF(X56="",0,CEILING((X56/$H56),1)*$H56),"")</f>
        <v>907.2</v>
      </c>
      <c r="Z56" s="39">
        <f>IFERROR(IF(Y56=0,"",ROUNDUP(Y56/H56,0)*0.01898),"")</f>
        <v>1.59432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934.16666666666663</v>
      </c>
      <c r="BN56" s="75">
        <f>IFERROR(Y56*I56/H56,"0")</f>
        <v>941.6400000000001</v>
      </c>
      <c r="BO56" s="75">
        <f>IFERROR(1/J56*(X56/H56),"0")</f>
        <v>1.3020833333333333</v>
      </c>
      <c r="BP56" s="75">
        <f>IFERROR(1/J56*(Y56/H56),"0")</f>
        <v>1.3125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>
        <v>16</v>
      </c>
      <c r="Y58" s="53">
        <f>IFERROR(IF(X58="",0,CEILING((X58/$H58),1)*$H58),"")</f>
        <v>16</v>
      </c>
      <c r="Z58" s="39">
        <f>IFERROR(IF(Y58=0,"",ROUNDUP(Y58/H58,0)*0.00902),"")</f>
        <v>3.6080000000000001E-2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16.760000000000002</v>
      </c>
      <c r="BN58" s="75">
        <f>IFERROR(Y58*I58/H58,"0")</f>
        <v>16.760000000000002</v>
      </c>
      <c r="BO58" s="75">
        <f>IFERROR(1/J58*(X58/H58),"0")</f>
        <v>3.0303030303030304E-2</v>
      </c>
      <c r="BP58" s="75">
        <f>IFERROR(1/J58*(Y58/H58),"0")</f>
        <v>3.0303030303030304E-2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87.333333333333329</v>
      </c>
      <c r="Y60" s="41">
        <f>IFERROR(Y56/H56,"0")+IFERROR(Y57/H57,"0")+IFERROR(Y58/H58,"0")+IFERROR(Y59/H59,"0")</f>
        <v>88</v>
      </c>
      <c r="Z60" s="41">
        <f>IFERROR(IF(Z56="",0,Z56),"0")+IFERROR(IF(Z57="",0,Z57),"0")+IFERROR(IF(Z58="",0,Z58),"0")+IFERROR(IF(Z59="",0,Z59),"0")</f>
        <v>1.6303999999999998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916</v>
      </c>
      <c r="Y61" s="41">
        <f>IFERROR(SUM(Y56:Y59),"0")</f>
        <v>923.2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>
        <v>770</v>
      </c>
      <c r="Y64" s="53">
        <f t="shared" ref="Y64:Y69" si="6">IFERROR(IF(X64="",0,CEILING((X64/$H64),1)*$H64),"")</f>
        <v>772.8</v>
      </c>
      <c r="Z64" s="39">
        <f>IFERROR(IF(Y64=0,"",ROUNDUP(Y64/H64,0)*0.01898),"")</f>
        <v>1.30962</v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798.1875</v>
      </c>
      <c r="BN64" s="75">
        <f t="shared" ref="BN64:BN69" si="8">IFERROR(Y64*I64/H64,"0")</f>
        <v>801.08999999999992</v>
      </c>
      <c r="BO64" s="75">
        <f t="shared" ref="BO64:BO69" si="9">IFERROR(1/J64*(X64/H64),"0")</f>
        <v>1.07421875</v>
      </c>
      <c r="BP64" s="75">
        <f t="shared" ref="BP64:BP69" si="10">IFERROR(1/J64*(Y64/H64),"0")</f>
        <v>1.078125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>
        <v>440</v>
      </c>
      <c r="Y65" s="53">
        <f t="shared" si="6"/>
        <v>442.8</v>
      </c>
      <c r="Z65" s="39">
        <f>IFERROR(IF(Y65=0,"",ROUNDUP(Y65/H65,0)*0.01898),"")</f>
        <v>0.77817999999999998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456.70370370370375</v>
      </c>
      <c r="BN65" s="75">
        <f t="shared" si="8"/>
        <v>459.61</v>
      </c>
      <c r="BO65" s="75">
        <f t="shared" si="9"/>
        <v>0.63657407407407407</v>
      </c>
      <c r="BP65" s="75">
        <f t="shared" si="10"/>
        <v>0.640625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109.49074074074073</v>
      </c>
      <c r="Y70" s="41">
        <f>IFERROR(Y64/H64,"0")+IFERROR(Y65/H65,"0")+IFERROR(Y66/H66,"0")+IFERROR(Y67/H67,"0")+IFERROR(Y68/H68,"0")+IFERROR(Y69/H69,"0")</f>
        <v>110</v>
      </c>
      <c r="Z70" s="41">
        <f>IFERROR(IF(Z64="",0,Z64),"0")+IFERROR(IF(Z65="",0,Z65),"0")+IFERROR(IF(Z66="",0,Z66),"0")+IFERROR(IF(Z67="",0,Z67),"0")+IFERROR(IF(Z68="",0,Z68),"0")+IFERROR(IF(Z69="",0,Z69),"0")</f>
        <v>2.0878000000000001</v>
      </c>
      <c r="AA70" s="64"/>
      <c r="AB70" s="64"/>
      <c r="AC70" s="64"/>
    </row>
    <row r="71" spans="1:68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1210</v>
      </c>
      <c r="Y71" s="41">
        <f>IFERROR(SUM(Y64:Y69),"0")</f>
        <v>1215.5999999999999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320</v>
      </c>
      <c r="Y73" s="53">
        <f>IFERROR(IF(X73="",0,CEILING((X73/$H73),1)*$H73),"")</f>
        <v>324</v>
      </c>
      <c r="Z73" s="39">
        <f>IFERROR(IF(Y73=0,"",ROUNDUP(Y73/H73,0)*0.01898),"")</f>
        <v>0.56940000000000002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332.14814814814815</v>
      </c>
      <c r="BN73" s="75">
        <f>IFERROR(Y73*I73/H73,"0")</f>
        <v>336.3</v>
      </c>
      <c r="BO73" s="75">
        <f>IFERROR(1/J73*(X73/H73),"0")</f>
        <v>0.46296296296296291</v>
      </c>
      <c r="BP73" s="75">
        <f>IFERROR(1/J73*(Y73/H73),"0")</f>
        <v>0.46874999999999994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29.629629629629626</v>
      </c>
      <c r="Y77" s="41">
        <f>IFERROR(Y73/H73,"0")+IFERROR(Y74/H74,"0")+IFERROR(Y75/H75,"0")+IFERROR(Y76/H76,"0")</f>
        <v>29.999999999999996</v>
      </c>
      <c r="Z77" s="41">
        <f>IFERROR(IF(Z73="",0,Z73),"0")+IFERROR(IF(Z74="",0,Z74),"0")+IFERROR(IF(Z75="",0,Z75),"0")+IFERROR(IF(Z76="",0,Z76),"0")</f>
        <v>0.56940000000000002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320</v>
      </c>
      <c r="Y78" s="41">
        <f>IFERROR(SUM(Y73:Y76),"0")</f>
        <v>324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20</v>
      </c>
      <c r="Y85" s="53">
        <f>IFERROR(IF(X85="",0,CEILING((X85/$H85),1)*$H85),"")</f>
        <v>23.4</v>
      </c>
      <c r="Z85" s="39">
        <f>IFERROR(IF(Y85=0,"",ROUNDUP(Y85/H85,0)*0.01898),"")</f>
        <v>5.6940000000000004E-2</v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21.051282051282055</v>
      </c>
      <c r="BN85" s="75">
        <f>IFERROR(Y85*I85/H85,"0")</f>
        <v>24.630000000000003</v>
      </c>
      <c r="BO85" s="75">
        <f>IFERROR(1/J85*(X85/H85),"0")</f>
        <v>4.0064102564102567E-2</v>
      </c>
      <c r="BP85" s="75">
        <f>IFERROR(1/J85*(Y85/H85),"0")</f>
        <v>4.6875E-2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2.5641025641025643</v>
      </c>
      <c r="Y87" s="41">
        <f>IFERROR(Y85/H85,"0")+IFERROR(Y86/H86,"0")</f>
        <v>3</v>
      </c>
      <c r="Z87" s="41">
        <f>IFERROR(IF(Z85="",0,Z85),"0")+IFERROR(IF(Z86="",0,Z86),"0")</f>
        <v>5.6940000000000004E-2</v>
      </c>
      <c r="AA87" s="64"/>
      <c r="AB87" s="64"/>
      <c r="AC87" s="64"/>
    </row>
    <row r="88" spans="1:68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20</v>
      </c>
      <c r="Y88" s="41">
        <f>IFERROR(SUM(Y85:Y86),"0")</f>
        <v>23.4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700</v>
      </c>
      <c r="Y91" s="53">
        <f>IFERROR(IF(X91="",0,CEILING((X91/$H91),1)*$H91),"")</f>
        <v>702</v>
      </c>
      <c r="Z91" s="39">
        <f>IFERROR(IF(Y91=0,"",ROUNDUP(Y91/H91,0)*0.01898),"")</f>
        <v>1.2337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726.57407407407413</v>
      </c>
      <c r="BN91" s="75">
        <f>IFERROR(Y91*I91/H91,"0")</f>
        <v>728.65000000000009</v>
      </c>
      <c r="BO91" s="75">
        <f>IFERROR(1/J91*(X91/H91),"0")</f>
        <v>1.0127314814814814</v>
      </c>
      <c r="BP91" s="75">
        <f>IFERROR(1/J91*(Y91/H91),"0")</f>
        <v>1.015625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18</v>
      </c>
      <c r="Y94" s="53">
        <f>IFERROR(IF(X94="",0,CEILING((X94/$H94),1)*$H94),"")</f>
        <v>18</v>
      </c>
      <c r="Z94" s="39">
        <f>IFERROR(IF(Y94=0,"",ROUNDUP(Y94/H94,0)*0.00902),"")</f>
        <v>3.6080000000000001E-2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18.760000000000002</v>
      </c>
      <c r="BN94" s="75">
        <f>IFERROR(Y94*I94/H94,"0")</f>
        <v>18.760000000000002</v>
      </c>
      <c r="BO94" s="75">
        <f>IFERROR(1/J94*(X94/H94),"0")</f>
        <v>3.0303030303030304E-2</v>
      </c>
      <c r="BP94" s="75">
        <f>IFERROR(1/J94*(Y94/H94),"0")</f>
        <v>3.0303030303030304E-2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68.81481481481481</v>
      </c>
      <c r="Y95" s="41">
        <f>IFERROR(Y91/H91,"0")+IFERROR(Y92/H92,"0")+IFERROR(Y93/H93,"0")+IFERROR(Y94/H94,"0")</f>
        <v>69</v>
      </c>
      <c r="Z95" s="41">
        <f>IFERROR(IF(Z91="",0,Z91),"0")+IFERROR(IF(Z92="",0,Z92),"0")+IFERROR(IF(Z93="",0,Z93),"0")+IFERROR(IF(Z94="",0,Z94),"0")</f>
        <v>1.2697799999999999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718</v>
      </c>
      <c r="Y96" s="41">
        <f>IFERROR(SUM(Y91:Y94),"0")</f>
        <v>720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416</v>
      </c>
      <c r="Y98" s="53">
        <f>IFERROR(IF(X98="",0,CEILING((X98/$H98),1)*$H98),"")</f>
        <v>421.2</v>
      </c>
      <c r="Z98" s="39">
        <f>IFERROR(IF(Y98=0,"",ROUNDUP(Y98/H98,0)*0.01898),"")</f>
        <v>0.98696000000000006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441.37086419753086</v>
      </c>
      <c r="BN98" s="75">
        <f>IFERROR(Y98*I98/H98,"0")</f>
        <v>446.88799999999998</v>
      </c>
      <c r="BO98" s="75">
        <f>IFERROR(1/J98*(X98/H98),"0")</f>
        <v>0.80246913580246915</v>
      </c>
      <c r="BP98" s="75">
        <f>IFERROR(1/J98*(Y98/H98),"0")</f>
        <v>0.8125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51.358024691358025</v>
      </c>
      <c r="Y102" s="41">
        <f>IFERROR(Y98/H98,"0")+IFERROR(Y99/H99,"0")+IFERROR(Y100/H100,"0")+IFERROR(Y101/H101,"0")</f>
        <v>52</v>
      </c>
      <c r="Z102" s="41">
        <f>IFERROR(IF(Z98="",0,Z98),"0")+IFERROR(IF(Z99="",0,Z99),"0")+IFERROR(IF(Z100="",0,Z100),"0")+IFERROR(IF(Z101="",0,Z101),"0")</f>
        <v>0.98696000000000006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416</v>
      </c>
      <c r="Y103" s="41">
        <f>IFERROR(SUM(Y98:Y101),"0")</f>
        <v>421.2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710</v>
      </c>
      <c r="Y106" s="53">
        <f t="shared" ref="Y106:Y112" si="11">IFERROR(IF(X106="",0,CEILING((X106/$H106),1)*$H106),"")</f>
        <v>712.80000000000007</v>
      </c>
      <c r="Z106" s="39">
        <f>IFERROR(IF(Y106=0,"",ROUNDUP(Y106/H106,0)*0.01898),"")</f>
        <v>1.25268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736.9537037037037</v>
      </c>
      <c r="BN106" s="75">
        <f t="shared" ref="BN106:BN112" si="13">IFERROR(Y106*I106/H106,"0")</f>
        <v>739.86</v>
      </c>
      <c r="BO106" s="75">
        <f t="shared" ref="BO106:BO112" si="14">IFERROR(1/J106*(X106/H106),"0")</f>
        <v>1.027199074074074</v>
      </c>
      <c r="BP106" s="75">
        <f t="shared" ref="BP106:BP112" si="15">IFERROR(1/J106*(Y106/H106),"0")</f>
        <v>1.03125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18</v>
      </c>
      <c r="Y111" s="53">
        <f t="shared" si="11"/>
        <v>18</v>
      </c>
      <c r="Z111" s="39">
        <f>IFERROR(IF(Y111=0,"",ROUNDUP(Y111/H111,0)*0.00902),"")</f>
        <v>3.6080000000000001E-2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18.760000000000002</v>
      </c>
      <c r="BN111" s="75">
        <f t="shared" si="13"/>
        <v>18.760000000000002</v>
      </c>
      <c r="BO111" s="75">
        <f t="shared" si="14"/>
        <v>3.0303030303030304E-2</v>
      </c>
      <c r="BP111" s="75">
        <f t="shared" si="15"/>
        <v>3.0303030303030304E-2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69.740740740740733</v>
      </c>
      <c r="Y113" s="41">
        <f>IFERROR(Y106/H106,"0")+IFERROR(Y107/H107,"0")+IFERROR(Y108/H108,"0")+IFERROR(Y109/H109,"0")+IFERROR(Y110/H110,"0")+IFERROR(Y111/H111,"0")+IFERROR(Y112/H112,"0")</f>
        <v>70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1.2887599999999999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728</v>
      </c>
      <c r="Y114" s="41">
        <f>IFERROR(SUM(Y106:Y112),"0")</f>
        <v>730.80000000000007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>
        <v>250</v>
      </c>
      <c r="Y116" s="53">
        <f>IFERROR(IF(X116="",0,CEILING((X116/$H116),1)*$H116),"")</f>
        <v>259.20000000000005</v>
      </c>
      <c r="Z116" s="39">
        <f>IFERROR(IF(Y116=0,"",ROUNDUP(Y116/H116,0)*0.01898),"")</f>
        <v>0.45552000000000004</v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259.4907407407407</v>
      </c>
      <c r="BN116" s="75">
        <f>IFERROR(Y116*I116/H116,"0")</f>
        <v>269.04000000000002</v>
      </c>
      <c r="BO116" s="75">
        <f>IFERROR(1/J116*(X116/H116),"0")</f>
        <v>0.36168981481481477</v>
      </c>
      <c r="BP116" s="75">
        <f>IFERROR(1/J116*(Y116/H116),"0")</f>
        <v>0.37500000000000006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23.148148148148145</v>
      </c>
      <c r="Y121" s="41">
        <f>IFERROR(Y116/H116,"0")+IFERROR(Y117/H117,"0")+IFERROR(Y118/H118,"0")+IFERROR(Y119/H119,"0")+IFERROR(Y120/H120,"0")</f>
        <v>24.000000000000004</v>
      </c>
      <c r="Z121" s="41">
        <f>IFERROR(IF(Z116="",0,Z116),"0")+IFERROR(IF(Z117="",0,Z117),"0")+IFERROR(IF(Z118="",0,Z118),"0")+IFERROR(IF(Z119="",0,Z119),"0")+IFERROR(IF(Z120="",0,Z120),"0")</f>
        <v>0.45552000000000004</v>
      </c>
      <c r="AA121" s="64"/>
      <c r="AB121" s="64"/>
      <c r="AC121" s="64"/>
    </row>
    <row r="122" spans="1:68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250</v>
      </c>
      <c r="Y122" s="41">
        <f>IFERROR(SUM(Y116:Y120),"0")</f>
        <v>259.20000000000005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686</v>
      </c>
      <c r="Y124" s="53">
        <f>IFERROR(IF(X124="",0,CEILING((X124/$H124),1)*$H124),"")</f>
        <v>688.5</v>
      </c>
      <c r="Z124" s="39">
        <f>IFERROR(IF(Y124=0,"",ROUNDUP(Y124/H124,0)*0.01898),"")</f>
        <v>1.6133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727.32938271604939</v>
      </c>
      <c r="BN124" s="75">
        <f>IFERROR(Y124*I124/H124,"0")</f>
        <v>729.98</v>
      </c>
      <c r="BO124" s="75">
        <f>IFERROR(1/J124*(X124/H124),"0")</f>
        <v>1.3233024691358026</v>
      </c>
      <c r="BP124" s="75">
        <f>IFERROR(1/J124*(Y124/H124),"0")</f>
        <v>1.328125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>
        <v>40.5</v>
      </c>
      <c r="Y126" s="53">
        <f>IFERROR(IF(X126="",0,CEILING((X126/$H126),1)*$H126),"")</f>
        <v>40.5</v>
      </c>
      <c r="Z126" s="39">
        <f>IFERROR(IF(Y126=0,"",ROUNDUP(Y126/H126,0)*0.00651),"")</f>
        <v>9.7650000000000001E-2</v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44.279999999999994</v>
      </c>
      <c r="BN126" s="75">
        <f>IFERROR(Y126*I126/H126,"0")</f>
        <v>44.279999999999994</v>
      </c>
      <c r="BO126" s="75">
        <f>IFERROR(1/J126*(X126/H126),"0")</f>
        <v>8.2417582417582416E-2</v>
      </c>
      <c r="BP126" s="75">
        <f>IFERROR(1/J126*(Y126/H126),"0")</f>
        <v>8.2417582417582416E-2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99.691358024691368</v>
      </c>
      <c r="Y128" s="41">
        <f>IFERROR(Y124/H124,"0")+IFERROR(Y125/H125,"0")+IFERROR(Y126/H126,"0")+IFERROR(Y127/H127,"0")</f>
        <v>100</v>
      </c>
      <c r="Z128" s="41">
        <f>IFERROR(IF(Z124="",0,Z124),"0")+IFERROR(IF(Z125="",0,Z125),"0")+IFERROR(IF(Z126="",0,Z126),"0")+IFERROR(IF(Z127="",0,Z127),"0")</f>
        <v>1.71095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726.5</v>
      </c>
      <c r="Y129" s="41">
        <f>IFERROR(SUM(Y124:Y127),"0")</f>
        <v>729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>
        <v>20</v>
      </c>
      <c r="Y169" s="53">
        <f t="shared" ref="Y169:Y178" si="16">IFERROR(IF(X169="",0,CEILING((X169/$H169),1)*$H169),"")</f>
        <v>21</v>
      </c>
      <c r="Z169" s="39">
        <f>IFERROR(IF(Y169=0,"",ROUNDUP(Y169/H169,0)*0.00902),"")</f>
        <v>5.4120000000000001E-2</v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21.085714285714285</v>
      </c>
      <c r="BN169" s="75">
        <f t="shared" ref="BN169:BN178" si="18">IFERROR(Y169*I169/H169,"0")</f>
        <v>22.139999999999997</v>
      </c>
      <c r="BO169" s="75">
        <f t="shared" ref="BO169:BO178" si="19">IFERROR(1/J169*(X169/H169),"0")</f>
        <v>4.3290043290043295E-2</v>
      </c>
      <c r="BP169" s="75">
        <f t="shared" ref="BP169:BP178" si="20">IFERROR(1/J169*(Y169/H169),"0")</f>
        <v>4.5454545454545456E-2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>
        <v>10</v>
      </c>
      <c r="Y170" s="53">
        <f t="shared" si="16"/>
        <v>18</v>
      </c>
      <c r="Z170" s="39">
        <f>IFERROR(IF(Y170=0,"",ROUNDUP(Y170/H170,0)*0.01898),"")</f>
        <v>3.7960000000000001E-2</v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10.622222222222224</v>
      </c>
      <c r="BN170" s="75">
        <f t="shared" si="18"/>
        <v>19.12</v>
      </c>
      <c r="BO170" s="75">
        <f t="shared" si="19"/>
        <v>1.7361111111111112E-2</v>
      </c>
      <c r="BP170" s="75">
        <f t="shared" si="20"/>
        <v>3.125E-2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6.825396825396826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8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9.2079999999999995E-2</v>
      </c>
      <c r="AA179" s="64"/>
      <c r="AB179" s="64"/>
      <c r="AC179" s="64"/>
    </row>
    <row r="180" spans="1:68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30</v>
      </c>
      <c r="Y180" s="41">
        <f>IFERROR(SUM(Y169:Y178),"0")</f>
        <v>39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110</v>
      </c>
      <c r="Y209" s="53">
        <f t="shared" ref="Y209:Y222" si="21">IFERROR(IF(X209="",0,CEILING((X209/$H209),1)*$H209),"")</f>
        <v>113.4</v>
      </c>
      <c r="Z209" s="39">
        <f>IFERROR(IF(Y209=0,"",ROUNDUP(Y209/H209,0)*0.00902),"")</f>
        <v>0.24354000000000001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116.54761904761904</v>
      </c>
      <c r="BN209" s="75">
        <f t="shared" ref="BN209:BN222" si="23">IFERROR(Y209*I209/H209,"0")</f>
        <v>120.15</v>
      </c>
      <c r="BO209" s="75">
        <f t="shared" ref="BO209:BO222" si="24">IFERROR(1/J209*(X209/H209),"0")</f>
        <v>0.1984126984126984</v>
      </c>
      <c r="BP209" s="75">
        <f t="shared" ref="BP209:BP222" si="25">IFERROR(1/J209*(Y209/H209),"0")</f>
        <v>0.20454545454545456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50</v>
      </c>
      <c r="Y211" s="53">
        <f t="shared" si="21"/>
        <v>50.400000000000006</v>
      </c>
      <c r="Z211" s="39">
        <f>IFERROR(IF(Y211=0,"",ROUNDUP(Y211/H211,0)*0.00902),"")</f>
        <v>0.10824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52.261904761904752</v>
      </c>
      <c r="BN211" s="75">
        <f t="shared" si="23"/>
        <v>52.68</v>
      </c>
      <c r="BO211" s="75">
        <f t="shared" si="24"/>
        <v>9.0187590187590191E-2</v>
      </c>
      <c r="BP211" s="75">
        <f t="shared" si="25"/>
        <v>9.0909090909090912E-2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hidden="1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38.095238095238095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39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0.35177999999999998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160</v>
      </c>
      <c r="Y224" s="41">
        <f>IFERROR(SUM(Y209:Y222),"0")</f>
        <v>163.80000000000001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270</v>
      </c>
      <c r="Y251" s="53">
        <f t="shared" ref="Y251:Y258" si="27">IFERROR(IF(X251="",0,CEILING((X251/$H251),1)*$H251),"")</f>
        <v>270</v>
      </c>
      <c r="Z251" s="39">
        <f>IFERROR(IF(Y251=0,"",ROUNDUP(Y251/H251,0)*0.00902),"")</f>
        <v>0.45100000000000001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279.5</v>
      </c>
      <c r="BN251" s="75">
        <f t="shared" ref="BN251:BN258" si="29">IFERROR(Y251*I251/H251,"0")</f>
        <v>279.5</v>
      </c>
      <c r="BO251" s="75">
        <f t="shared" ref="BO251:BO258" si="30">IFERROR(1/J251*(X251/H251),"0")</f>
        <v>0.37878787878787878</v>
      </c>
      <c r="BP251" s="75">
        <f t="shared" ref="BP251:BP258" si="31">IFERROR(1/J251*(Y251/H251),"0")</f>
        <v>0.37878787878787878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270</v>
      </c>
      <c r="Y252" s="53">
        <f t="shared" si="27"/>
        <v>270</v>
      </c>
      <c r="Z252" s="39">
        <f>IFERROR(IF(Y252=0,"",ROUNDUP(Y252/H252,0)*0.00902),"")</f>
        <v>0.45100000000000001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279.5</v>
      </c>
      <c r="BN252" s="75">
        <f t="shared" si="29"/>
        <v>279.5</v>
      </c>
      <c r="BO252" s="75">
        <f t="shared" si="30"/>
        <v>0.37878787878787878</v>
      </c>
      <c r="BP252" s="75">
        <f t="shared" si="31"/>
        <v>0.37878787878787878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165</v>
      </c>
      <c r="Y253" s="53">
        <f t="shared" si="27"/>
        <v>167.4</v>
      </c>
      <c r="Z253" s="39">
        <f>IFERROR(IF(Y253=0,"",ROUNDUP(Y253/H253,0)*0.00902),"")</f>
        <v>0.27961999999999998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170.80555555555554</v>
      </c>
      <c r="BN253" s="75">
        <f t="shared" si="29"/>
        <v>173.29</v>
      </c>
      <c r="BO253" s="75">
        <f t="shared" si="30"/>
        <v>0.23148148148148148</v>
      </c>
      <c r="BP253" s="75">
        <f t="shared" si="31"/>
        <v>0.23484848484848486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400</v>
      </c>
      <c r="Y254" s="53">
        <f t="shared" si="27"/>
        <v>405</v>
      </c>
      <c r="Z254" s="39">
        <f>IFERROR(IF(Y254=0,"",ROUNDUP(Y254/H254,0)*0.00902),"")</f>
        <v>0.67649999999999999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414.07407407407402</v>
      </c>
      <c r="BN254" s="75">
        <f t="shared" si="29"/>
        <v>419.24999999999994</v>
      </c>
      <c r="BO254" s="75">
        <f t="shared" si="30"/>
        <v>0.5611672278338945</v>
      </c>
      <c r="BP254" s="75">
        <f t="shared" si="31"/>
        <v>0.56818181818181823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>
        <v>1.8</v>
      </c>
      <c r="Y255" s="53">
        <f t="shared" si="27"/>
        <v>1.8</v>
      </c>
      <c r="Z255" s="39">
        <f>IFERROR(IF(Y255=0,"",ROUNDUP(Y255/H255,0)*0.00502),"")</f>
        <v>5.0200000000000002E-3</v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1.9299999999999997</v>
      </c>
      <c r="BN255" s="75">
        <f t="shared" si="29"/>
        <v>1.9299999999999997</v>
      </c>
      <c r="BO255" s="75">
        <f t="shared" si="30"/>
        <v>4.2735042735042739E-3</v>
      </c>
      <c r="BP255" s="75">
        <f t="shared" si="31"/>
        <v>4.2735042735042739E-3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>
        <v>1.8</v>
      </c>
      <c r="Y256" s="53">
        <f t="shared" si="27"/>
        <v>1.8</v>
      </c>
      <c r="Z256" s="39">
        <f>IFERROR(IF(Y256=0,"",ROUNDUP(Y256/H256,0)*0.00502),"")</f>
        <v>5.0200000000000002E-3</v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1.9</v>
      </c>
      <c r="BN256" s="75">
        <f t="shared" si="29"/>
        <v>1.9</v>
      </c>
      <c r="BO256" s="75">
        <f t="shared" si="30"/>
        <v>4.2735042735042739E-3</v>
      </c>
      <c r="BP256" s="75">
        <f t="shared" si="31"/>
        <v>4.2735042735042739E-3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>
        <v>1.8</v>
      </c>
      <c r="Y257" s="53">
        <f t="shared" si="27"/>
        <v>1.8</v>
      </c>
      <c r="Z257" s="39">
        <f>IFERROR(IF(Y257=0,"",ROUNDUP(Y257/H257,0)*0.00502),"")</f>
        <v>5.0200000000000002E-3</v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1.9</v>
      </c>
      <c r="BN257" s="75">
        <f t="shared" si="29"/>
        <v>1.9</v>
      </c>
      <c r="BO257" s="75">
        <f t="shared" si="30"/>
        <v>4.2735042735042739E-3</v>
      </c>
      <c r="BP257" s="75">
        <f t="shared" si="31"/>
        <v>4.2735042735042739E-3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>
        <v>1.8</v>
      </c>
      <c r="Y258" s="53">
        <f t="shared" si="27"/>
        <v>1.8</v>
      </c>
      <c r="Z258" s="39">
        <f>IFERROR(IF(Y258=0,"",ROUNDUP(Y258/H258,0)*0.00502),"")</f>
        <v>5.0200000000000002E-3</v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1.9</v>
      </c>
      <c r="BN258" s="75">
        <f t="shared" si="29"/>
        <v>1.9</v>
      </c>
      <c r="BO258" s="75">
        <f t="shared" si="30"/>
        <v>4.2735042735042739E-3</v>
      </c>
      <c r="BP258" s="75">
        <f t="shared" si="31"/>
        <v>4.2735042735042739E-3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208.62962962962962</v>
      </c>
      <c r="Y259" s="41">
        <f>IFERROR(Y251/H251,"0")+IFERROR(Y252/H252,"0")+IFERROR(Y253/H253,"0")+IFERROR(Y254/H254,"0")+IFERROR(Y255/H255,"0")+IFERROR(Y256/H256,"0")+IFERROR(Y257/H257,"0")+IFERROR(Y258/H258,"0")</f>
        <v>210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1.8782000000000001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1112.1999999999998</v>
      </c>
      <c r="Y260" s="41">
        <f>IFERROR(SUM(Y251:Y258),"0")</f>
        <v>1119.5999999999999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>
        <v>8</v>
      </c>
      <c r="Y262" s="53">
        <f t="shared" ref="Y262:Y271" si="32">IFERROR(IF(X262="",0,CEILING((X262/$H262),1)*$H262),"")</f>
        <v>8.1</v>
      </c>
      <c r="Z262" s="39">
        <f>IFERROR(IF(Y262=0,"",ROUNDUP(Y262/H262,0)*0.01898),"")</f>
        <v>1.898E-2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8.4879012345679019</v>
      </c>
      <c r="BN262" s="75">
        <f t="shared" ref="BN262:BN271" si="34">IFERROR(Y262*I262/H262,"0")</f>
        <v>8.5939999999999994</v>
      </c>
      <c r="BO262" s="75">
        <f t="shared" ref="BO262:BO271" si="35">IFERROR(1/J262*(X262/H262),"0")</f>
        <v>1.54320987654321E-2</v>
      </c>
      <c r="BP262" s="75">
        <f t="shared" ref="BP262:BP271" si="36">IFERROR(1/J262*(Y262/H262),"0")</f>
        <v>1.5625E-2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>
        <v>58</v>
      </c>
      <c r="Y263" s="53">
        <f t="shared" si="32"/>
        <v>64.8</v>
      </c>
      <c r="Z263" s="39">
        <f>IFERROR(IF(Y263=0,"",ROUNDUP(Y263/H263,0)*0.01898),"")</f>
        <v>0.15184</v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61.408395061728399</v>
      </c>
      <c r="BN263" s="75">
        <f t="shared" si="34"/>
        <v>68.608000000000004</v>
      </c>
      <c r="BO263" s="75">
        <f t="shared" si="35"/>
        <v>0.11188271604938273</v>
      </c>
      <c r="BP263" s="75">
        <f t="shared" si="36"/>
        <v>0.125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>
        <v>228</v>
      </c>
      <c r="Y264" s="53">
        <f t="shared" si="32"/>
        <v>234.89999999999998</v>
      </c>
      <c r="Z264" s="39">
        <f>IFERROR(IF(Y264=0,"",ROUNDUP(Y264/H264,0)*0.01898),"")</f>
        <v>0.51246000000000003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240.94620689655173</v>
      </c>
      <c r="BN264" s="75">
        <f t="shared" si="34"/>
        <v>248.238</v>
      </c>
      <c r="BO264" s="75">
        <f t="shared" si="35"/>
        <v>0.40948275862068967</v>
      </c>
      <c r="BP264" s="75">
        <f t="shared" si="36"/>
        <v>0.421875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>
        <v>136.80000000000001</v>
      </c>
      <c r="Y265" s="53">
        <f t="shared" si="32"/>
        <v>136.79999999999998</v>
      </c>
      <c r="Z265" s="39">
        <f t="shared" ref="Z265:Z271" si="37">IFERROR(IF(Y265=0,"",ROUNDUP(Y265/H265,0)*0.00651),"")</f>
        <v>0.37107000000000001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152.19000000000003</v>
      </c>
      <c r="BN265" s="75">
        <f t="shared" si="34"/>
        <v>152.19</v>
      </c>
      <c r="BO265" s="75">
        <f t="shared" si="35"/>
        <v>0.31318681318681324</v>
      </c>
      <c r="BP265" s="75">
        <f t="shared" si="36"/>
        <v>0.31318681318681318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201.6</v>
      </c>
      <c r="Y267" s="53">
        <f t="shared" si="32"/>
        <v>201.6</v>
      </c>
      <c r="Z267" s="39">
        <f t="shared" si="37"/>
        <v>0.54683999999999999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222.768</v>
      </c>
      <c r="BN267" s="75">
        <f t="shared" si="34"/>
        <v>222.768</v>
      </c>
      <c r="BO267" s="75">
        <f t="shared" si="35"/>
        <v>0.46153846153846156</v>
      </c>
      <c r="BP267" s="75">
        <f t="shared" si="36"/>
        <v>0.46153846153846156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244.8</v>
      </c>
      <c r="Y268" s="53">
        <f t="shared" si="32"/>
        <v>244.79999999999998</v>
      </c>
      <c r="Z268" s="39">
        <f t="shared" si="37"/>
        <v>0.66402000000000005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270.50400000000002</v>
      </c>
      <c r="BN268" s="75">
        <f t="shared" si="34"/>
        <v>270.50400000000002</v>
      </c>
      <c r="BO268" s="75">
        <f t="shared" si="35"/>
        <v>0.56043956043956056</v>
      </c>
      <c r="BP268" s="75">
        <f t="shared" si="36"/>
        <v>0.56043956043956045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180</v>
      </c>
      <c r="Y269" s="53">
        <f t="shared" si="32"/>
        <v>180</v>
      </c>
      <c r="Z269" s="39">
        <f t="shared" si="37"/>
        <v>0.48825000000000002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198.9</v>
      </c>
      <c r="BN269" s="75">
        <f t="shared" si="34"/>
        <v>198.9</v>
      </c>
      <c r="BO269" s="75">
        <f t="shared" si="35"/>
        <v>0.41208791208791212</v>
      </c>
      <c r="BP269" s="75">
        <f t="shared" si="36"/>
        <v>0.41208791208791212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240</v>
      </c>
      <c r="Y270" s="53">
        <f t="shared" si="32"/>
        <v>240</v>
      </c>
      <c r="Z270" s="39">
        <f t="shared" si="37"/>
        <v>0.65100000000000002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265.8</v>
      </c>
      <c r="BN270" s="75">
        <f t="shared" si="34"/>
        <v>265.8</v>
      </c>
      <c r="BO270" s="75">
        <f t="shared" si="35"/>
        <v>0.5494505494505495</v>
      </c>
      <c r="BP270" s="75">
        <f t="shared" si="36"/>
        <v>0.5494505494505495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452.35504469987228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454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3.4044599999999994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1297.2</v>
      </c>
      <c r="Y273" s="41">
        <f>IFERROR(SUM(Y262:Y271),"0")</f>
        <v>1311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50</v>
      </c>
      <c r="Y354" s="53">
        <f t="shared" ref="Y354:Y360" si="48">IFERROR(IF(X354="",0,CEILING((X354/$H354),1)*$H354),"")</f>
        <v>50.400000000000006</v>
      </c>
      <c r="Z354" s="39">
        <f>IFERROR(IF(Y354=0,"",ROUNDUP(Y354/H354,0)*0.00902),"")</f>
        <v>0.10824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52.976190476190474</v>
      </c>
      <c r="BN354" s="75">
        <f t="shared" ref="BN354:BN360" si="50">IFERROR(Y354*I354/H354,"0")</f>
        <v>53.400000000000006</v>
      </c>
      <c r="BO354" s="75">
        <f t="shared" ref="BO354:BO360" si="51">IFERROR(1/J354*(X354/H354),"0")</f>
        <v>9.0187590187590191E-2</v>
      </c>
      <c r="BP354" s="75">
        <f t="shared" ref="BP354:BP360" si="52">IFERROR(1/J354*(Y354/H354),"0")</f>
        <v>9.0909090909090912E-2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>
        <v>90</v>
      </c>
      <c r="Y355" s="53">
        <f t="shared" si="48"/>
        <v>92.4</v>
      </c>
      <c r="Z355" s="39">
        <f>IFERROR(IF(Y355=0,"",ROUNDUP(Y355/H355,0)*0.00902),"")</f>
        <v>0.19844000000000001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95.357142857142847</v>
      </c>
      <c r="BN355" s="75">
        <f t="shared" si="50"/>
        <v>97.9</v>
      </c>
      <c r="BO355" s="75">
        <f t="shared" si="51"/>
        <v>0.16233766233766234</v>
      </c>
      <c r="BP355" s="75">
        <f t="shared" si="52"/>
        <v>0.16666666666666669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33.333333333333329</v>
      </c>
      <c r="Y361" s="41">
        <f>IFERROR(Y354/H354,"0")+IFERROR(Y355/H355,"0")+IFERROR(Y356/H356,"0")+IFERROR(Y357/H357,"0")+IFERROR(Y358/H358,"0")+IFERROR(Y359/H359,"0")+IFERROR(Y360/H360,"0")</f>
        <v>34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0.30668000000000001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140</v>
      </c>
      <c r="Y362" s="41">
        <f>IFERROR(SUM(Y354:Y360),"0")</f>
        <v>142.80000000000001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>
        <v>50</v>
      </c>
      <c r="Y364" s="53">
        <f>IFERROR(IF(X364="",0,CEILING((X364/$H364),1)*$H364),"")</f>
        <v>54.6</v>
      </c>
      <c r="Z364" s="39">
        <f>IFERROR(IF(Y364=0,"",ROUNDUP(Y364/H364,0)*0.01898),"")</f>
        <v>0.13286000000000001</v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53.128205128205131</v>
      </c>
      <c r="BN364" s="75">
        <f>IFERROR(Y364*I364/H364,"0")</f>
        <v>58.016000000000005</v>
      </c>
      <c r="BO364" s="75">
        <f>IFERROR(1/J364*(X364/H364),"0")</f>
        <v>0.10016025641025642</v>
      </c>
      <c r="BP364" s="75">
        <f>IFERROR(1/J364*(Y364/H364),"0")</f>
        <v>0.109375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6.4102564102564106</v>
      </c>
      <c r="Y368" s="41">
        <f>IFERROR(Y364/H364,"0")+IFERROR(Y365/H365,"0")+IFERROR(Y366/H366,"0")+IFERROR(Y367/H367,"0")</f>
        <v>7</v>
      </c>
      <c r="Z368" s="41">
        <f>IFERROR(IF(Z364="",0,Z364),"0")+IFERROR(IF(Z365="",0,Z365),"0")+IFERROR(IF(Z366="",0,Z366),"0")+IFERROR(IF(Z367="",0,Z367),"0")</f>
        <v>0.13286000000000001</v>
      </c>
      <c r="AA368" s="64"/>
      <c r="AB368" s="64"/>
      <c r="AC368" s="64"/>
    </row>
    <row r="369" spans="1:68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50</v>
      </c>
      <c r="Y369" s="41">
        <f>IFERROR(SUM(Y364:Y367),"0")</f>
        <v>54.6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308</v>
      </c>
      <c r="Y371" s="53">
        <f>IFERROR(IF(X371="",0,CEILING((X371/$H371),1)*$H371),"")</f>
        <v>310.8</v>
      </c>
      <c r="Z371" s="39">
        <f>IFERROR(IF(Y371=0,"",ROUNDUP(Y371/H371,0)*0.01898),"")</f>
        <v>0.70226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326.11333333333329</v>
      </c>
      <c r="BN371" s="75">
        <f>IFERROR(Y371*I371/H371,"0")</f>
        <v>329.07799999999997</v>
      </c>
      <c r="BO371" s="75">
        <f>IFERROR(1/J371*(X371/H371),"0")</f>
        <v>0.57291666666666663</v>
      </c>
      <c r="BP371" s="75">
        <f>IFERROR(1/J371*(Y371/H371),"0")</f>
        <v>0.578125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188</v>
      </c>
      <c r="Y372" s="53">
        <f>IFERROR(IF(X372="",0,CEILING((X372/$H372),1)*$H372),"")</f>
        <v>195</v>
      </c>
      <c r="Z372" s="39">
        <f>IFERROR(IF(Y372=0,"",ROUNDUP(Y372/H372,0)*0.01898),"")</f>
        <v>0.47450000000000003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199.90666666666669</v>
      </c>
      <c r="BN372" s="75">
        <f>IFERROR(Y372*I372/H372,"0")</f>
        <v>207.35000000000002</v>
      </c>
      <c r="BO372" s="75">
        <f>IFERROR(1/J372*(X372/H372),"0")</f>
        <v>0.3766025641025641</v>
      </c>
      <c r="BP372" s="75">
        <f>IFERROR(1/J372*(Y372/H372),"0")</f>
        <v>0.390625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120</v>
      </c>
      <c r="Y373" s="53">
        <f>IFERROR(IF(X373="",0,CEILING((X373/$H373),1)*$H373),"")</f>
        <v>126</v>
      </c>
      <c r="Z373" s="39">
        <f>IFERROR(IF(Y373=0,"",ROUNDUP(Y373/H373,0)*0.01898),"")</f>
        <v>0.28470000000000001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127.05714285714285</v>
      </c>
      <c r="BN373" s="75">
        <f>IFERROR(Y373*I373/H373,"0")</f>
        <v>133.41</v>
      </c>
      <c r="BO373" s="75">
        <f>IFERROR(1/J373*(X373/H373),"0")</f>
        <v>0.2232142857142857</v>
      </c>
      <c r="BP373" s="75">
        <f>IFERROR(1/J373*(Y373/H373),"0")</f>
        <v>0.234375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75.054945054945051</v>
      </c>
      <c r="Y374" s="41">
        <f>IFERROR(Y371/H371,"0")+IFERROR(Y372/H372,"0")+IFERROR(Y373/H373,"0")</f>
        <v>77</v>
      </c>
      <c r="Z374" s="41">
        <f>IFERROR(IF(Z371="",0,Z371),"0")+IFERROR(IF(Z372="",0,Z372),"0")+IFERROR(IF(Z373="",0,Z373),"0")</f>
        <v>1.46146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616</v>
      </c>
      <c r="Y375" s="41">
        <f>IFERROR(SUM(Y371:Y373),"0")</f>
        <v>631.79999999999995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>
        <v>70</v>
      </c>
      <c r="Y391" s="53">
        <f>IFERROR(IF(X391="",0,CEILING((X391/$H391),1)*$H391),"")</f>
        <v>72.899999999999991</v>
      </c>
      <c r="Z391" s="39">
        <f>IFERROR(IF(Y391=0,"",ROUNDUP(Y391/H391,0)*0.01898),"")</f>
        <v>0.17082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74.269135802469137</v>
      </c>
      <c r="BN391" s="75">
        <f>IFERROR(Y391*I391/H391,"0")</f>
        <v>77.345999999999989</v>
      </c>
      <c r="BO391" s="75">
        <f>IFERROR(1/J391*(X391/H391),"0")</f>
        <v>0.13503086419753088</v>
      </c>
      <c r="BP391" s="75">
        <f>IFERROR(1/J391*(Y391/H391),"0")</f>
        <v>0.140625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8.6419753086419764</v>
      </c>
      <c r="Y394" s="41">
        <f>IFERROR(Y391/H391,"0")+IFERROR(Y392/H392,"0")+IFERROR(Y393/H393,"0")</f>
        <v>9</v>
      </c>
      <c r="Z394" s="41">
        <f>IFERROR(IF(Z391="",0,Z391),"0")+IFERROR(IF(Z392="",0,Z392),"0")+IFERROR(IF(Z393="",0,Z393),"0")</f>
        <v>0.17082</v>
      </c>
      <c r="AA394" s="64"/>
      <c r="AB394" s="64"/>
      <c r="AC394" s="64"/>
    </row>
    <row r="395" spans="1:68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70</v>
      </c>
      <c r="Y395" s="41">
        <f>IFERROR(SUM(Y391:Y393),"0")</f>
        <v>72.899999999999991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1325</v>
      </c>
      <c r="Y400" s="53">
        <f t="shared" si="53"/>
        <v>1335</v>
      </c>
      <c r="Z400" s="39">
        <f>IFERROR(IF(Y400=0,"",ROUNDUP(Y400/H400,0)*0.02175),"")</f>
        <v>1.9357499999999999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1366.5166666666667</v>
      </c>
      <c r="BN400" s="75">
        <f t="shared" si="55"/>
        <v>1376.8300000000002</v>
      </c>
      <c r="BO400" s="75">
        <f t="shared" si="56"/>
        <v>1.8402777777777777</v>
      </c>
      <c r="BP400" s="75">
        <f t="shared" si="57"/>
        <v>1.8541666666666665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1725</v>
      </c>
      <c r="Y401" s="53">
        <f t="shared" si="53"/>
        <v>1725</v>
      </c>
      <c r="Z401" s="39">
        <f>IFERROR(IF(Y401=0,"",ROUNDUP(Y401/H401,0)*0.02175),"")</f>
        <v>2.5012499999999998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1779.05</v>
      </c>
      <c r="BN401" s="75">
        <f t="shared" si="55"/>
        <v>1779.05</v>
      </c>
      <c r="BO401" s="75">
        <f t="shared" si="56"/>
        <v>2.395833333333333</v>
      </c>
      <c r="BP401" s="75">
        <f t="shared" si="57"/>
        <v>2.395833333333333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600</v>
      </c>
      <c r="Y402" s="53">
        <f t="shared" si="53"/>
        <v>600</v>
      </c>
      <c r="Z402" s="39">
        <f>IFERROR(IF(Y402=0,"",ROUNDUP(Y402/H402,0)*0.02175),"")</f>
        <v>0.86999999999999988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618.79999999999995</v>
      </c>
      <c r="BN402" s="75">
        <f t="shared" si="55"/>
        <v>618.79999999999995</v>
      </c>
      <c r="BO402" s="75">
        <f t="shared" si="56"/>
        <v>0.83333333333333326</v>
      </c>
      <c r="BP402" s="75">
        <f t="shared" si="57"/>
        <v>0.83333333333333326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243.33333333333331</v>
      </c>
      <c r="Y407" s="41">
        <f>IFERROR(Y399/H399,"0")+IFERROR(Y400/H400,"0")+IFERROR(Y401/H401,"0")+IFERROR(Y402/H402,"0")+IFERROR(Y403/H403,"0")+IFERROR(Y404/H404,"0")+IFERROR(Y405/H405,"0")+IFERROR(Y406/H406,"0")</f>
        <v>244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5.3069999999999995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3650</v>
      </c>
      <c r="Y408" s="41">
        <f>IFERROR(SUM(Y399:Y406),"0")</f>
        <v>3660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3200</v>
      </c>
      <c r="Y410" s="53">
        <f>IFERROR(IF(X410="",0,CEILING((X410/$H410),1)*$H410),"")</f>
        <v>3210</v>
      </c>
      <c r="Z410" s="39">
        <f>IFERROR(IF(Y410=0,"",ROUNDUP(Y410/H410,0)*0.02175),"")</f>
        <v>4.6544999999999996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3300.2666666666669</v>
      </c>
      <c r="BN410" s="75">
        <f>IFERROR(Y410*I410/H410,"0")</f>
        <v>3310.5800000000004</v>
      </c>
      <c r="BO410" s="75">
        <f>IFERROR(1/J410*(X410/H410),"0")</f>
        <v>4.4444444444444446</v>
      </c>
      <c r="BP410" s="75">
        <f>IFERROR(1/J410*(Y410/H410),"0")</f>
        <v>4.458333333333333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213.33333333333334</v>
      </c>
      <c r="Y413" s="41">
        <f>IFERROR(Y410/H410,"0")+IFERROR(Y411/H411,"0")+IFERROR(Y412/H412,"0")</f>
        <v>214</v>
      </c>
      <c r="Z413" s="41">
        <f>IFERROR(IF(Z410="",0,Z410),"0")+IFERROR(IF(Z411="",0,Z411),"0")+IFERROR(IF(Z412="",0,Z412),"0")</f>
        <v>4.6544999999999996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3200</v>
      </c>
      <c r="Y414" s="41">
        <f>IFERROR(SUM(Y410:Y412),"0")</f>
        <v>3210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hidden="1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/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258</v>
      </c>
      <c r="Y417" s="53">
        <f>IFERROR(IF(X417="",0,CEILING((X417/$H417),1)*$H417),"")</f>
        <v>261</v>
      </c>
      <c r="Z417" s="39">
        <f>IFERROR(IF(Y417=0,"",ROUNDUP(Y417/H417,0)*0.01898),"")</f>
        <v>0.55042000000000002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272.16133333333329</v>
      </c>
      <c r="BN417" s="75">
        <f>IFERROR(Y417*I417/H417,"0")</f>
        <v>275.32599999999996</v>
      </c>
      <c r="BO417" s="75">
        <f>IFERROR(1/J417*(X417/H417),"0")</f>
        <v>0.44791666666666669</v>
      </c>
      <c r="BP417" s="75">
        <f>IFERROR(1/J417*(Y417/H417),"0")</f>
        <v>0.453125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28.666666666666668</v>
      </c>
      <c r="Y418" s="41">
        <f>IFERROR(Y416/H416,"0")+IFERROR(Y417/H417,"0")</f>
        <v>29</v>
      </c>
      <c r="Z418" s="41">
        <f>IFERROR(IF(Z416="",0,Z416),"0")+IFERROR(IF(Z417="",0,Z417),"0")</f>
        <v>0.55042000000000002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258</v>
      </c>
      <c r="Y419" s="41">
        <f>IFERROR(SUM(Y416:Y417),"0")</f>
        <v>261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550</v>
      </c>
      <c r="Y421" s="53">
        <f>IFERROR(IF(X421="",0,CEILING((X421/$H421),1)*$H421),"")</f>
        <v>558</v>
      </c>
      <c r="Z421" s="39">
        <f>IFERROR(IF(Y421=0,"",ROUNDUP(Y421/H421,0)*0.01898),"")</f>
        <v>1.17676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580.18888888888887</v>
      </c>
      <c r="BN421" s="75">
        <f>IFERROR(Y421*I421/H421,"0")</f>
        <v>588.62800000000004</v>
      </c>
      <c r="BO421" s="75">
        <f>IFERROR(1/J421*(X421/H421),"0")</f>
        <v>0.95486111111111116</v>
      </c>
      <c r="BP421" s="75">
        <f>IFERROR(1/J421*(Y421/H421),"0")</f>
        <v>0.96875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61.111111111111114</v>
      </c>
      <c r="Y422" s="41">
        <f>IFERROR(Y421/H421,"0")</f>
        <v>62</v>
      </c>
      <c r="Z422" s="41">
        <f>IFERROR(IF(Z421="",0,Z421),"0")</f>
        <v>1.17676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550</v>
      </c>
      <c r="Y423" s="41">
        <f>IFERROR(SUM(Y421:Y421),"0")</f>
        <v>558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548</v>
      </c>
      <c r="Y435" s="53">
        <f>IFERROR(IF(X435="",0,CEILING((X435/$H435),1)*$H435),"")</f>
        <v>549</v>
      </c>
      <c r="Z435" s="39">
        <f>IFERROR(IF(Y435=0,"",ROUNDUP(Y435/H435,0)*0.01898),"")</f>
        <v>1.15778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578.07911111111105</v>
      </c>
      <c r="BN435" s="75">
        <f>IFERROR(Y435*I435/H435,"0")</f>
        <v>579.13400000000001</v>
      </c>
      <c r="BO435" s="75">
        <f>IFERROR(1/J435*(X435/H435),"0")</f>
        <v>0.95138888888888884</v>
      </c>
      <c r="BP435" s="75">
        <f>IFERROR(1/J435*(Y435/H435),"0")</f>
        <v>0.953125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60.888888888888886</v>
      </c>
      <c r="Y438" s="41">
        <f>IFERROR(Y435/H435,"0")+IFERROR(Y436/H436,"0")+IFERROR(Y437/H437,"0")</f>
        <v>61</v>
      </c>
      <c r="Z438" s="41">
        <f>IFERROR(IF(Z435="",0,Z435),"0")+IFERROR(IF(Z436="",0,Z436),"0")+IFERROR(IF(Z437="",0,Z437),"0")</f>
        <v>1.15778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548</v>
      </c>
      <c r="Y439" s="41">
        <f>IFERROR(SUM(Y435:Y437),"0")</f>
        <v>549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80</v>
      </c>
      <c r="Y443" s="53">
        <f t="shared" ref="Y443:Y448" si="58">IFERROR(IF(X443="",0,CEILING((X443/$H443),1)*$H443),"")</f>
        <v>81</v>
      </c>
      <c r="Z443" s="39">
        <f>IFERROR(IF(Y443=0,"",ROUNDUP(Y443/H443,0)*0.00902),"")</f>
        <v>0.1353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82.81481481481481</v>
      </c>
      <c r="BN443" s="75">
        <f t="shared" ref="BN443:BN448" si="60">IFERROR(Y443*I443/H443,"0")</f>
        <v>83.85</v>
      </c>
      <c r="BO443" s="75">
        <f t="shared" ref="BO443:BO448" si="61">IFERROR(1/J443*(X443/H443),"0")</f>
        <v>0.11223344556677889</v>
      </c>
      <c r="BP443" s="75">
        <f t="shared" ref="BP443:BP448" si="62">IFERROR(1/J443*(Y443/H443),"0")</f>
        <v>0.11363636363636363</v>
      </c>
    </row>
    <row r="444" spans="1:68" ht="27" hidden="1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/>
      <c r="Y444" s="53">
        <f t="shared" si="58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0</v>
      </c>
      <c r="BN444" s="75">
        <f t="shared" si="60"/>
        <v>0</v>
      </c>
      <c r="BO444" s="75">
        <f t="shared" si="61"/>
        <v>0</v>
      </c>
      <c r="BP444" s="75">
        <f t="shared" si="62"/>
        <v>0</v>
      </c>
    </row>
    <row r="445" spans="1:68" ht="27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>
        <v>2.1</v>
      </c>
      <c r="Y445" s="53">
        <f t="shared" si="58"/>
        <v>2.1</v>
      </c>
      <c r="Z445" s="39">
        <f>IFERROR(IF(Y445=0,"",ROUNDUP(Y445/H445,0)*0.00502),"")</f>
        <v>5.0200000000000002E-3</v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2.23</v>
      </c>
      <c r="BN445" s="75">
        <f t="shared" si="60"/>
        <v>2.23</v>
      </c>
      <c r="BO445" s="75">
        <f t="shared" si="61"/>
        <v>4.2735042735042739E-3</v>
      </c>
      <c r="BP445" s="75">
        <f t="shared" si="62"/>
        <v>4.2735042735042739E-3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>
        <v>2.1</v>
      </c>
      <c r="Y447" s="53">
        <f t="shared" si="58"/>
        <v>2.1</v>
      </c>
      <c r="Z447" s="39">
        <f>IFERROR(IF(Y447=0,"",ROUNDUP(Y447/H447,0)*0.00502),"")</f>
        <v>5.0200000000000002E-3</v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2.23</v>
      </c>
      <c r="BN447" s="75">
        <f t="shared" si="60"/>
        <v>2.23</v>
      </c>
      <c r="BO447" s="75">
        <f t="shared" si="61"/>
        <v>4.2735042735042739E-3</v>
      </c>
      <c r="BP447" s="75">
        <f t="shared" si="62"/>
        <v>4.2735042735042739E-3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>
        <v>16.8</v>
      </c>
      <c r="Y448" s="53">
        <f t="shared" si="58"/>
        <v>16.8</v>
      </c>
      <c r="Z448" s="39">
        <f>IFERROR(IF(Y448=0,"",ROUNDUP(Y448/H448,0)*0.00502),"")</f>
        <v>4.0160000000000001E-2</v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17.84</v>
      </c>
      <c r="BN448" s="75">
        <f t="shared" si="60"/>
        <v>17.84</v>
      </c>
      <c r="BO448" s="75">
        <f t="shared" si="61"/>
        <v>3.4188034188034191E-2</v>
      </c>
      <c r="BP448" s="75">
        <f t="shared" si="62"/>
        <v>3.4188034188034191E-2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24.814814814814813</v>
      </c>
      <c r="Y449" s="41">
        <f>IFERROR(Y443/H443,"0")+IFERROR(Y444/H444,"0")+IFERROR(Y445/H445,"0")+IFERROR(Y446/H446,"0")+IFERROR(Y447/H447,"0")+IFERROR(Y448/H448,"0")</f>
        <v>25</v>
      </c>
      <c r="Z449" s="41">
        <f>IFERROR(IF(Z443="",0,Z443),"0")+IFERROR(IF(Z444="",0,Z444),"0")+IFERROR(IF(Z445="",0,Z445),"0")+IFERROR(IF(Z446="",0,Z446),"0")+IFERROR(IF(Z447="",0,Z447),"0")+IFERROR(IF(Z448="",0,Z448),"0")</f>
        <v>0.1855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100.99999999999999</v>
      </c>
      <c r="Y450" s="41">
        <f>IFERROR(SUM(Y443:Y448),"0")</f>
        <v>101.99999999999999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80</v>
      </c>
      <c r="Y462" s="53">
        <f>IFERROR(IF(X462="",0,CEILING((X462/$H462),1)*$H462),"")</f>
        <v>81</v>
      </c>
      <c r="Z462" s="39">
        <f>IFERROR(IF(Y462=0,"",ROUNDUP(Y462/H462,0)*0.00902),"")</f>
        <v>0.1353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82.81481481481481</v>
      </c>
      <c r="BN462" s="75">
        <f>IFERROR(Y462*I462/H462,"0")</f>
        <v>83.85</v>
      </c>
      <c r="BO462" s="75">
        <f>IFERROR(1/J462*(X462/H462),"0")</f>
        <v>0.11223344556677889</v>
      </c>
      <c r="BP462" s="75">
        <f>IFERROR(1/J462*(Y462/H462),"0")</f>
        <v>0.11363636363636363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>
        <v>23.1</v>
      </c>
      <c r="Y464" s="53">
        <f>IFERROR(IF(X464="",0,CEILING((X464/$H464),1)*$H464),"")</f>
        <v>23.1</v>
      </c>
      <c r="Z464" s="39">
        <f>IFERROR(IF(Y464=0,"",ROUNDUP(Y464/H464,0)*0.00502),"")</f>
        <v>5.5220000000000005E-2</v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24.53</v>
      </c>
      <c r="BN464" s="75">
        <f>IFERROR(Y464*I464/H464,"0")</f>
        <v>24.53</v>
      </c>
      <c r="BO464" s="75">
        <f>IFERROR(1/J464*(X464/H464),"0")</f>
        <v>4.7008547008547015E-2</v>
      </c>
      <c r="BP464" s="75">
        <f>IFERROR(1/J464*(Y464/H464),"0")</f>
        <v>4.7008547008547015E-2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25.814814814814813</v>
      </c>
      <c r="Y465" s="41">
        <f>IFERROR(Y462/H462,"0")+IFERROR(Y463/H463,"0")+IFERROR(Y464/H464,"0")</f>
        <v>26</v>
      </c>
      <c r="Z465" s="41">
        <f>IFERROR(IF(Z462="",0,Z462),"0")+IFERROR(IF(Z463="",0,Z463),"0")+IFERROR(IF(Z464="",0,Z464),"0")</f>
        <v>0.19052000000000002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103.1</v>
      </c>
      <c r="Y466" s="41">
        <f>IFERROR(SUM(Y462:Y464),"0")</f>
        <v>104.1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>
        <v>100</v>
      </c>
      <c r="Y470" s="53">
        <f t="shared" ref="Y470:Y478" si="63">IFERROR(IF(X470="",0,CEILING((X470/$H470),1)*$H470),"")</f>
        <v>100.32000000000001</v>
      </c>
      <c r="Z470" s="39">
        <f t="shared" ref="Z470:Z475" si="64">IFERROR(IF(Y470=0,"",ROUNDUP(Y470/H470,0)*0.01196),"")</f>
        <v>0.22724</v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106.62878787878788</v>
      </c>
      <c r="BN470" s="75">
        <f t="shared" ref="BN470:BN478" si="66">IFERROR(Y470*I470/H470,"0")</f>
        <v>106.97</v>
      </c>
      <c r="BO470" s="75">
        <f t="shared" ref="BO470:BO478" si="67">IFERROR(1/J470*(X470/H470),"0")</f>
        <v>0.18210955710955709</v>
      </c>
      <c r="BP470" s="75">
        <f t="shared" ref="BP470:BP478" si="68">IFERROR(1/J470*(Y470/H470),"0")</f>
        <v>0.18269230769230771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100</v>
      </c>
      <c r="Y473" s="53">
        <f t="shared" si="63"/>
        <v>100.32000000000001</v>
      </c>
      <c r="Z473" s="39">
        <f t="shared" si="64"/>
        <v>0.22724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106.62878787878788</v>
      </c>
      <c r="BN473" s="75">
        <f t="shared" si="66"/>
        <v>106.97</v>
      </c>
      <c r="BO473" s="75">
        <f t="shared" si="67"/>
        <v>0.18210955710955709</v>
      </c>
      <c r="BP473" s="75">
        <f t="shared" si="68"/>
        <v>0.18269230769230771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150</v>
      </c>
      <c r="Y475" s="53">
        <f t="shared" si="63"/>
        <v>153.12</v>
      </c>
      <c r="Z475" s="39">
        <f t="shared" si="64"/>
        <v>0.34683999999999998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159.94318181818181</v>
      </c>
      <c r="BN475" s="75">
        <f t="shared" si="66"/>
        <v>163.26999999999998</v>
      </c>
      <c r="BO475" s="75">
        <f t="shared" si="67"/>
        <v>0.27316433566433568</v>
      </c>
      <c r="BP475" s="75">
        <f t="shared" si="68"/>
        <v>0.27884615384615385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66.287878787878782</v>
      </c>
      <c r="Y479" s="41">
        <f>IFERROR(Y470/H470,"0")+IFERROR(Y471/H471,"0")+IFERROR(Y472/H472,"0")+IFERROR(Y473/H473,"0")+IFERROR(Y474/H474,"0")+IFERROR(Y475/H475,"0")+IFERROR(Y476/H476,"0")+IFERROR(Y477/H477,"0")+IFERROR(Y478/H478,"0")</f>
        <v>67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0.80132000000000003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350</v>
      </c>
      <c r="Y480" s="41">
        <f>IFERROR(SUM(Y470:Y478),"0")</f>
        <v>353.76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150</v>
      </c>
      <c r="Y482" s="53">
        <f>IFERROR(IF(X482="",0,CEILING((X482/$H482),1)*$H482),"")</f>
        <v>153.12</v>
      </c>
      <c r="Z482" s="39">
        <f>IFERROR(IF(Y482=0,"",ROUNDUP(Y482/H482,0)*0.01196),"")</f>
        <v>0.34683999999999998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159.94318181818181</v>
      </c>
      <c r="BN482" s="75">
        <f>IFERROR(Y482*I482/H482,"0")</f>
        <v>163.26999999999998</v>
      </c>
      <c r="BO482" s="75">
        <f>IFERROR(1/J482*(X482/H482),"0")</f>
        <v>0.27316433566433568</v>
      </c>
      <c r="BP482" s="75">
        <f>IFERROR(1/J482*(Y482/H482),"0")</f>
        <v>0.27884615384615385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28.409090909090907</v>
      </c>
      <c r="Y485" s="41">
        <f>IFERROR(Y482/H482,"0")+IFERROR(Y483/H483,"0")+IFERROR(Y484/H484,"0")</f>
        <v>29</v>
      </c>
      <c r="Z485" s="41">
        <f>IFERROR(IF(Z482="",0,Z482),"0")+IFERROR(IF(Z483="",0,Z483),"0")+IFERROR(IF(Z484="",0,Z484),"0")</f>
        <v>0.34683999999999998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150</v>
      </c>
      <c r="Y486" s="41">
        <f>IFERROR(SUM(Y482:Y484),"0")</f>
        <v>153.12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130</v>
      </c>
      <c r="Y488" s="53">
        <f t="shared" ref="Y488:Y494" si="69">IFERROR(IF(X488="",0,CEILING((X488/$H488),1)*$H488),"")</f>
        <v>132</v>
      </c>
      <c r="Z488" s="39">
        <f>IFERROR(IF(Y488=0,"",ROUNDUP(Y488/H488,0)*0.01196),"")</f>
        <v>0.29899999999999999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138.61742424242422</v>
      </c>
      <c r="BN488" s="75">
        <f t="shared" ref="BN488:BN494" si="71">IFERROR(Y488*I488/H488,"0")</f>
        <v>140.75</v>
      </c>
      <c r="BO488" s="75">
        <f t="shared" ref="BO488:BO494" si="72">IFERROR(1/J488*(X488/H488),"0")</f>
        <v>0.23674242424242425</v>
      </c>
      <c r="BP488" s="75">
        <f t="shared" ref="BP488:BP494" si="73">IFERROR(1/J488*(Y488/H488),"0")</f>
        <v>0.24038461538461539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80</v>
      </c>
      <c r="Y489" s="53">
        <f t="shared" si="69"/>
        <v>84.48</v>
      </c>
      <c r="Z489" s="39">
        <f>IFERROR(IF(Y489=0,"",ROUNDUP(Y489/H489,0)*0.01196),"")</f>
        <v>0.19136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85.303030303030297</v>
      </c>
      <c r="BN489" s="75">
        <f t="shared" si="71"/>
        <v>90.08</v>
      </c>
      <c r="BO489" s="75">
        <f t="shared" si="72"/>
        <v>0.14568764568764569</v>
      </c>
      <c r="BP489" s="75">
        <f t="shared" si="73"/>
        <v>0.15384615384615385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80</v>
      </c>
      <c r="Y490" s="53">
        <f t="shared" si="69"/>
        <v>84.48</v>
      </c>
      <c r="Z490" s="39">
        <f>IFERROR(IF(Y490=0,"",ROUNDUP(Y490/H490,0)*0.01196),"")</f>
        <v>0.19136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85.303030303030297</v>
      </c>
      <c r="BN490" s="75">
        <f t="shared" si="71"/>
        <v>90.08</v>
      </c>
      <c r="BO490" s="75">
        <f t="shared" si="72"/>
        <v>0.14568764568764569</v>
      </c>
      <c r="BP490" s="75">
        <f t="shared" si="73"/>
        <v>0.15384615384615385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54.924242424242422</v>
      </c>
      <c r="Y495" s="41">
        <f>IFERROR(Y488/H488,"0")+IFERROR(Y489/H489,"0")+IFERROR(Y490/H490,"0")+IFERROR(Y491/H491,"0")+IFERROR(Y492/H492,"0")+IFERROR(Y493/H493,"0")+IFERROR(Y494/H494,"0")</f>
        <v>57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0.68171999999999999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290</v>
      </c>
      <c r="Y496" s="41">
        <f>IFERROR(SUM(Y488:Y494),"0")</f>
        <v>300.96000000000004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40</v>
      </c>
      <c r="Y508" s="53">
        <f>IFERROR(IF(X508="",0,CEILING((X508/$H508),1)*$H508),"")</f>
        <v>43.199999999999996</v>
      </c>
      <c r="Z508" s="39">
        <f>IFERROR(IF(Y508=0,"",ROUNDUP(Y508/H508,0)*0.00902),"")</f>
        <v>8.1180000000000002E-2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42.083333333333336</v>
      </c>
      <c r="BN508" s="75">
        <f>IFERROR(Y508*I508/H508,"0")</f>
        <v>45.449999999999996</v>
      </c>
      <c r="BO508" s="75">
        <f>IFERROR(1/J508*(X508/H508),"0")</f>
        <v>6.3131313131313135E-2</v>
      </c>
      <c r="BP508" s="75">
        <f>IFERROR(1/J508*(Y508/H508),"0")</f>
        <v>6.8181818181818177E-2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8.3333333333333339</v>
      </c>
      <c r="Y509" s="41">
        <f>IFERROR(Y508/H508,"0")</f>
        <v>9</v>
      </c>
      <c r="Z509" s="41">
        <f>IFERROR(IF(Z508="",0,Z508),"0")</f>
        <v>8.1180000000000002E-2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40</v>
      </c>
      <c r="Y510" s="41">
        <f>IFERROR(SUM(Y508:Y508),"0")</f>
        <v>43.199999999999996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18020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18177.039999999997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18826.34853013503</v>
      </c>
      <c r="Y526" s="41">
        <f>IFERROR(SUM(BN22:BN522),"0")</f>
        <v>18991.328000000001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29</v>
      </c>
      <c r="Y527" s="42">
        <f>ROUNDUP(SUM(BP22:BP522),0)</f>
        <v>29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19551.34853013503</v>
      </c>
      <c r="Y528" s="41">
        <f>GrossWeightTotalR+PalletQtyTotalR*25</f>
        <v>19716.328000000001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2187.0342204623812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2207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32.988389999999995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923.2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1563</v>
      </c>
      <c r="F535" s="50">
        <f>IFERROR(Y91*1,"0")+IFERROR(Y92*1,"0")+IFERROR(Y93*1,"0")+IFERROR(Y94*1,"0")+IFERROR(Y98*1,"0")+IFERROR(Y99*1,"0")+IFERROR(Y100*1,"0")+IFERROR(Y101*1,"0")</f>
        <v>1141.2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1719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39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163.80000000000001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2430.5999999999995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829.2</v>
      </c>
      <c r="U535" s="50">
        <f>IFERROR(Y391*1,"0")+IFERROR(Y392*1,"0")+IFERROR(Y393*1,"0")</f>
        <v>72.899999999999991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7689</v>
      </c>
      <c r="W535" s="50">
        <f>IFERROR(Y426*1,"0")+IFERROR(Y427*1,"0")+IFERROR(Y431*1,"0")+IFERROR(Y435*1,"0")+IFERROR(Y436*1,"0")+IFERROR(Y437*1,"0")</f>
        <v>549</v>
      </c>
      <c r="X535" s="50">
        <f>IFERROR(Y443*1,"0")+IFERROR(Y444*1,"0")+IFERROR(Y445*1,"0")+IFERROR(Y446*1,"0")+IFERROR(Y447*1,"0")+IFERROR(Y448*1,"0")+IFERROR(Y452*1,"0")+IFERROR(Y453*1,"0")</f>
        <v>101.99999999999999</v>
      </c>
      <c r="Y535" s="50">
        <f>IFERROR(Y458*1,"0")+IFERROR(Y462*1,"0")+IFERROR(Y463*1,"0")+IFERROR(Y464*1,"0")</f>
        <v>104.1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807.84</v>
      </c>
      <c r="AA535" s="50">
        <f>IFERROR(Y500*1,"0")+IFERROR(Y504*1,"0")+IFERROR(Y508*1,"0")+IFERROR(Y512*1,"0")+IFERROR(Y516*1,"0")+IFERROR(Y517*1,"0")</f>
        <v>43.199999999999996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2,20"/>
        <filter val="1 210,00"/>
        <filter val="1 297,20"/>
        <filter val="1 325,00"/>
        <filter val="1 725,00"/>
        <filter val="1,80"/>
        <filter val="10,00"/>
        <filter val="100,00"/>
        <filter val="101,00"/>
        <filter val="103,10"/>
        <filter val="109,49"/>
        <filter val="110,00"/>
        <filter val="120,00"/>
        <filter val="130,00"/>
        <filter val="136,80"/>
        <filter val="140,00"/>
        <filter val="150,00"/>
        <filter val="16,00"/>
        <filter val="16,80"/>
        <filter val="160,00"/>
        <filter val="165,00"/>
        <filter val="18 020,00"/>
        <filter val="18 826,35"/>
        <filter val="18,00"/>
        <filter val="180,00"/>
        <filter val="188,00"/>
        <filter val="19 551,35"/>
        <filter val="2 187,03"/>
        <filter val="2,10"/>
        <filter val="2,56"/>
        <filter val="20,00"/>
        <filter val="201,60"/>
        <filter val="208,63"/>
        <filter val="213,33"/>
        <filter val="228,00"/>
        <filter val="23,10"/>
        <filter val="23,15"/>
        <filter val="24,81"/>
        <filter val="240,00"/>
        <filter val="243,33"/>
        <filter val="244,80"/>
        <filter val="25,81"/>
        <filter val="250,00"/>
        <filter val="258,00"/>
        <filter val="270,00"/>
        <filter val="28,41"/>
        <filter val="28,67"/>
        <filter val="29"/>
        <filter val="29,63"/>
        <filter val="290,00"/>
        <filter val="3 200,00"/>
        <filter val="3 650,00"/>
        <filter val="30,00"/>
        <filter val="308,00"/>
        <filter val="320,00"/>
        <filter val="33,33"/>
        <filter val="350,00"/>
        <filter val="38,10"/>
        <filter val="40,00"/>
        <filter val="40,50"/>
        <filter val="400,00"/>
        <filter val="416,00"/>
        <filter val="440,00"/>
        <filter val="452,36"/>
        <filter val="50,00"/>
        <filter val="51,36"/>
        <filter val="54,92"/>
        <filter val="548,00"/>
        <filter val="550,00"/>
        <filter val="58,00"/>
        <filter val="6,41"/>
        <filter val="6,83"/>
        <filter val="60,89"/>
        <filter val="600,00"/>
        <filter val="61,11"/>
        <filter val="616,00"/>
        <filter val="66,29"/>
        <filter val="68,81"/>
        <filter val="686,00"/>
        <filter val="69,74"/>
        <filter val="70,00"/>
        <filter val="700,00"/>
        <filter val="710,00"/>
        <filter val="718,00"/>
        <filter val="726,50"/>
        <filter val="728,00"/>
        <filter val="75,05"/>
        <filter val="770,00"/>
        <filter val="8,00"/>
        <filter val="8,33"/>
        <filter val="8,64"/>
        <filter val="80,00"/>
        <filter val="87,33"/>
        <filter val="90,00"/>
        <filter val="900,00"/>
        <filter val="916,00"/>
        <filter val="99,69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2026-08-11T10:40:07Z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