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3E7C6E-869E-46AF-B252-398817FF930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Z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N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Z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Z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N131" i="2" l="1"/>
  <c r="BN333" i="2"/>
  <c r="BN344" i="2"/>
  <c r="BN393" i="2"/>
  <c r="Y463" i="2"/>
  <c r="BN492" i="2"/>
  <c r="BN524" i="2"/>
  <c r="BN23" i="2"/>
  <c r="BN41" i="2"/>
  <c r="Y121" i="2"/>
  <c r="BP120" i="2"/>
  <c r="BN185" i="2"/>
  <c r="BP222" i="2"/>
  <c r="BN225" i="2"/>
  <c r="BN273" i="2"/>
  <c r="Z284" i="2"/>
  <c r="BN304" i="2"/>
  <c r="Z406" i="2"/>
  <c r="Z409" i="2" s="1"/>
  <c r="Z433" i="2"/>
  <c r="Z461" i="2"/>
  <c r="Z462" i="2" s="1"/>
  <c r="BN504" i="2"/>
  <c r="BP124" i="2"/>
  <c r="Z159" i="2"/>
  <c r="Z160" i="2" s="1"/>
  <c r="Y160" i="2"/>
  <c r="Z230" i="2"/>
  <c r="BP230" i="2"/>
  <c r="BP283" i="2"/>
  <c r="Z293" i="2"/>
  <c r="BP293" i="2"/>
  <c r="Z355" i="2"/>
  <c r="BP356" i="2"/>
  <c r="Z372" i="2"/>
  <c r="Z428" i="2"/>
  <c r="Z434" i="2"/>
  <c r="BP434" i="2"/>
  <c r="BP439" i="2"/>
  <c r="Y452" i="2"/>
  <c r="Z519" i="2"/>
  <c r="BN74" i="2"/>
  <c r="BN93" i="2"/>
  <c r="BN113" i="2"/>
  <c r="Z124" i="2"/>
  <c r="Z125" i="2" s="1"/>
  <c r="BN165" i="2"/>
  <c r="BN175" i="2"/>
  <c r="Z183" i="2"/>
  <c r="BN195" i="2"/>
  <c r="Z210" i="2"/>
  <c r="Z283" i="2"/>
  <c r="BN287" i="2"/>
  <c r="Z356" i="2"/>
  <c r="Z374" i="2"/>
  <c r="Z393" i="2"/>
  <c r="Z430" i="2"/>
  <c r="BP433" i="2"/>
  <c r="Z439" i="2"/>
  <c r="BN450" i="2"/>
  <c r="BN482" i="2"/>
  <c r="BN48" i="2"/>
  <c r="BN59" i="2"/>
  <c r="BP66" i="2"/>
  <c r="BP100" i="2"/>
  <c r="BN136" i="2"/>
  <c r="Z149" i="2"/>
  <c r="BP152" i="2"/>
  <c r="BN153" i="2"/>
  <c r="BN190" i="2"/>
  <c r="BN240" i="2"/>
  <c r="Y253" i="2"/>
  <c r="BN289" i="2"/>
  <c r="BN293" i="2"/>
  <c r="BN299" i="2"/>
  <c r="Z318" i="2"/>
  <c r="BN363" i="2"/>
  <c r="BP395" i="2"/>
  <c r="Y489" i="2"/>
  <c r="BN514" i="2"/>
  <c r="BN520" i="2"/>
  <c r="Y122" i="2"/>
  <c r="Y398" i="2"/>
  <c r="Y397" i="2"/>
  <c r="BN396" i="2"/>
  <c r="BN444" i="2"/>
  <c r="Z383" i="2"/>
  <c r="BP383" i="2"/>
  <c r="BP519" i="2"/>
  <c r="Z363" i="2"/>
  <c r="Y368" i="2"/>
  <c r="Z328" i="2"/>
  <c r="Z431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548" i="2"/>
  <c r="Z24" i="2"/>
  <c r="Z95" i="2"/>
  <c r="Z415" i="2"/>
  <c r="Z295" i="2"/>
  <c r="Z290" i="2"/>
  <c r="Z88" i="2"/>
  <c r="Z259" i="2"/>
  <c r="Z377" i="2"/>
  <c r="Z264" i="2"/>
  <c r="Z384" i="2"/>
  <c r="Z367" i="2"/>
  <c r="Z329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<sst xmlns="http://schemas.openxmlformats.org/spreadsheetml/2006/main" count="4245" uniqueCount="901">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</sst>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80</v>
      </c>
      <c r="Y49" s="55">
        <f>IFERROR(IF(X49="",0,CEILING((X49/$H49),1)*$H49),"")</f>
        <v>80</v>
      </c>
      <c r="Z49" s="41">
        <f>IFERROR(IF(Y49=0,"",ROUNDUP(Y49/H49,0)*0.00902),"")</f>
        <v>0.1804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83.800000000000011</v>
      </c>
      <c r="BN49" s="78">
        <f>IFERROR(Y49*I49/H49,"0")</f>
        <v>83.800000000000011</v>
      </c>
      <c r="BO49" s="78">
        <f>IFERROR(1/J49*(X49/H49),"0")</f>
        <v>0.15151515151515152</v>
      </c>
      <c r="BP49" s="78">
        <f>IFERROR(1/J49*(Y49/H49),"0")</f>
        <v>0.15151515151515152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47.777777777777771</v>
      </c>
      <c r="Y51" s="43">
        <f>IFERROR(Y47/H47,"0")+IFERROR(Y48/H48,"0")+IFERROR(Y49/H49,"0")+IFERROR(Y50/H50,"0")</f>
        <v>48</v>
      </c>
      <c r="Z51" s="43">
        <f>IFERROR(IF(Z47="",0,Z47),"0")+IFERROR(IF(Z48="",0,Z48),"0")+IFERROR(IF(Z49="",0,Z49),"0")+IFERROR(IF(Z50="",0,Z50),"0")</f>
        <v>0.71184000000000003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380</v>
      </c>
      <c r="Y52" s="43">
        <f>IFERROR(SUM(Y47:Y50),"0")</f>
        <v>382.40000000000003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600</v>
      </c>
      <c r="Y57" s="55">
        <f t="shared" si="0"/>
        <v>604.80000000000007</v>
      </c>
      <c r="Z57" s="41">
        <f>IFERROR(IF(Y57=0,"",ROUNDUP(Y57/H57,0)*0.01898),"")</f>
        <v>1.06288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622.77777777777783</v>
      </c>
      <c r="BN57" s="78">
        <f t="shared" si="2"/>
        <v>627.76</v>
      </c>
      <c r="BO57" s="78">
        <f t="shared" si="3"/>
        <v>0.86805555555555547</v>
      </c>
      <c r="BP57" s="78">
        <f t="shared" si="4"/>
        <v>0.875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1188</v>
      </c>
      <c r="Y62" s="55">
        <f t="shared" si="0"/>
        <v>1188</v>
      </c>
      <c r="Z62" s="41">
        <f>IFERROR(IF(Y62=0,"",ROUNDUP(Y62/H62,0)*0.00902),"")</f>
        <v>2.3812800000000003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1238.1600000000001</v>
      </c>
      <c r="BN62" s="78">
        <f t="shared" si="2"/>
        <v>1238.1600000000001</v>
      </c>
      <c r="BO62" s="78">
        <f t="shared" si="3"/>
        <v>2</v>
      </c>
      <c r="BP62" s="78">
        <f t="shared" si="4"/>
        <v>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319.55555555555554</v>
      </c>
      <c r="Y63" s="43">
        <f>IFERROR(Y55/H55,"0")+IFERROR(Y56/H56,"0")+IFERROR(Y57/H57,"0")+IFERROR(Y58/H58,"0")+IFERROR(Y59/H59,"0")+IFERROR(Y60/H60,"0")+IFERROR(Y61/H61,"0")+IFERROR(Y62/H62,"0")</f>
        <v>320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3.4441600000000001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1788</v>
      </c>
      <c r="Y64" s="43">
        <f>IFERROR(SUM(Y55:Y62),"0")</f>
        <v>1792.8000000000002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132</v>
      </c>
      <c r="Y69" s="55">
        <f>IFERROR(IF(X69="",0,CEILING((X69/$H69),1)*$H69),"")</f>
        <v>132.30000000000001</v>
      </c>
      <c r="Z69" s="41">
        <f>IFERROR(IF(Y69=0,"",ROUNDUP(Y69/H69,0)*0.00651),"")</f>
        <v>0.31899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140.79999999999998</v>
      </c>
      <c r="BN69" s="78">
        <f>IFERROR(Y69*I69/H69,"0")</f>
        <v>141.12</v>
      </c>
      <c r="BO69" s="78">
        <f>IFERROR(1/J69*(X69/H69),"0")</f>
        <v>0.26862026862026861</v>
      </c>
      <c r="BP69" s="78">
        <f>IFERROR(1/J69*(Y69/H69),"0")</f>
        <v>0.26923076923076927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48.888888888888886</v>
      </c>
      <c r="Y70" s="43">
        <f>IFERROR(Y66/H66,"0")+IFERROR(Y67/H67,"0")+IFERROR(Y68/H68,"0")+IFERROR(Y69/H69,"0")</f>
        <v>49</v>
      </c>
      <c r="Z70" s="43">
        <f>IFERROR(IF(Z66="",0,Z66),"0")+IFERROR(IF(Z67="",0,Z67),"0")+IFERROR(IF(Z68="",0,Z68),"0")+IFERROR(IF(Z69="",0,Z69),"0")</f>
        <v>0.31899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132</v>
      </c>
      <c r="Y71" s="43">
        <f>IFERROR(SUM(Y66:Y69),"0")</f>
        <v>132.30000000000001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600</v>
      </c>
      <c r="Y84" s="55">
        <f>IFERROR(IF(X84="",0,CEILING((X84/$H84),1)*$H84),"")</f>
        <v>604.80000000000007</v>
      </c>
      <c r="Z84" s="41">
        <f>IFERROR(IF(Y84=0,"",ROUNDUP(Y84/H84,0)*0.01898),"")</f>
        <v>1.06288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622.77777777777783</v>
      </c>
      <c r="BN84" s="78">
        <f>IFERROR(Y84*I84/H84,"0")</f>
        <v>627.76</v>
      </c>
      <c r="BO84" s="78">
        <f>IFERROR(1/J84*(X84/H84),"0")</f>
        <v>0.86805555555555547</v>
      </c>
      <c r="BP84" s="78">
        <f>IFERROR(1/J84*(Y84/H84),"0")</f>
        <v>0.875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135</v>
      </c>
      <c r="Y87" s="55">
        <f>IFERROR(IF(X87="",0,CEILING((X87/$H87),1)*$H87),"")</f>
        <v>135</v>
      </c>
      <c r="Z87" s="41">
        <f>IFERROR(IF(Y87=0,"",ROUNDUP(Y87/H87,0)*0.00902),"")</f>
        <v>0.27060000000000001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140.70000000000002</v>
      </c>
      <c r="BN87" s="78">
        <f>IFERROR(Y87*I87/H87,"0")</f>
        <v>140.70000000000002</v>
      </c>
      <c r="BO87" s="78">
        <f>IFERROR(1/J87*(X87/H87),"0")</f>
        <v>0.22727272727272729</v>
      </c>
      <c r="BP87" s="78">
        <f>IFERROR(1/J87*(Y87/H87),"0")</f>
        <v>0.22727272727272729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85.555555555555543</v>
      </c>
      <c r="Y88" s="43">
        <f>IFERROR(Y84/H84,"0")+IFERROR(Y85/H85,"0")+IFERROR(Y86/H86,"0")+IFERROR(Y87/H87,"0")</f>
        <v>86</v>
      </c>
      <c r="Z88" s="43">
        <f>IFERROR(IF(Z84="",0,Z84),"0")+IFERROR(IF(Z85="",0,Z85),"0")+IFERROR(IF(Z86="",0,Z86),"0")+IFERROR(IF(Z87="",0,Z87),"0")</f>
        <v>1.33348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735</v>
      </c>
      <c r="Y89" s="43">
        <f>IFERROR(SUM(Y84:Y87),"0")</f>
        <v>739.80000000000007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500</v>
      </c>
      <c r="Y91" s="55">
        <f>IFERROR(IF(X91="",0,CEILING((X91/$H91),1)*$H91),"")</f>
        <v>502.2</v>
      </c>
      <c r="Z91" s="41">
        <f>IFERROR(IF(Y91=0,"",ROUNDUP(Y91/H91,0)*0.01898),"")</f>
        <v>1.17676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530.49382716049388</v>
      </c>
      <c r="BN91" s="78">
        <f>IFERROR(Y91*I91/H91,"0")</f>
        <v>532.82799999999997</v>
      </c>
      <c r="BO91" s="78">
        <f>IFERROR(1/J91*(X91/H91),"0")</f>
        <v>0.96450617283950624</v>
      </c>
      <c r="BP91" s="78">
        <f>IFERROR(1/J91*(Y91/H91),"0")</f>
        <v>0.96875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61.728395061728399</v>
      </c>
      <c r="Y95" s="43">
        <f>IFERROR(Y91/H91,"0")+IFERROR(Y92/H92,"0")+IFERROR(Y93/H93,"0")+IFERROR(Y94/H94,"0")</f>
        <v>62</v>
      </c>
      <c r="Z95" s="43">
        <f>IFERROR(IF(Z91="",0,Z91),"0")+IFERROR(IF(Z92="",0,Z92),"0")+IFERROR(IF(Z93="",0,Z93),"0")+IFERROR(IF(Z94="",0,Z94),"0")</f>
        <v>1.17676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500</v>
      </c>
      <c r="Y96" s="43">
        <f>IFERROR(SUM(Y91:Y94),"0")</f>
        <v>502.2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500</v>
      </c>
      <c r="Y117" s="55">
        <f>IFERROR(IF(X117="",0,CEILING((X117/$H117),1)*$H117),"")</f>
        <v>502.2</v>
      </c>
      <c r="Z117" s="41">
        <f>IFERROR(IF(Y117=0,"",ROUNDUP(Y117/H117,0)*0.01898),"")</f>
        <v>1.17676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530.12345679012344</v>
      </c>
      <c r="BN117" s="78">
        <f>IFERROR(Y117*I117/H117,"0")</f>
        <v>532.4559999999999</v>
      </c>
      <c r="BO117" s="78">
        <f>IFERROR(1/J117*(X117/H117),"0")</f>
        <v>0.96450617283950624</v>
      </c>
      <c r="BP117" s="78">
        <f>IFERROR(1/J117*(Y117/H117),"0")</f>
        <v>0.96875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61.728395061728399</v>
      </c>
      <c r="Y121" s="43">
        <f>IFERROR(Y117/H117,"0")+IFERROR(Y118/H118,"0")+IFERROR(Y119/H119,"0")+IFERROR(Y120/H120,"0")</f>
        <v>62</v>
      </c>
      <c r="Z121" s="43">
        <f>IFERROR(IF(Z117="",0,Z117),"0")+IFERROR(IF(Z118="",0,Z118),"0")+IFERROR(IF(Z119="",0,Z119),"0")+IFERROR(IF(Z120="",0,Z120),"0")</f>
        <v>1.17676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500</v>
      </c>
      <c r="Y122" s="43">
        <f>IFERROR(SUM(Y117:Y120),"0")</f>
        <v>502.2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16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105.42857142857143</v>
      </c>
      <c r="BN178" s="78">
        <f t="shared" si="18"/>
        <v>107.00999999999999</v>
      </c>
      <c r="BO178" s="78">
        <f t="shared" si="19"/>
        <v>0.21645021645021648</v>
      </c>
      <c r="BP178" s="78">
        <f t="shared" si="20"/>
        <v>0.2196969696969697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0.26158000000000003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100</v>
      </c>
      <c r="Y187" s="43">
        <f>IFERROR(SUM(Y175:Y185),"0")</f>
        <v>101.5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ref="Y267:Y274" si="33">IFERROR(IF(X267="",0,CEILING((X267/$H267),1)*$H267),"")</f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103.5185185185185</v>
      </c>
      <c r="BN267" s="78">
        <f t="shared" ref="BN267:BN274" si="35">IFERROR(Y267*I267/H267,"0")</f>
        <v>106.21</v>
      </c>
      <c r="BO267" s="78">
        <f t="shared" ref="BO267:BO274" si="36">IFERROR(1/J267*(X267/H267),"0")</f>
        <v>0.14029180695847362</v>
      </c>
      <c r="BP267" s="78">
        <f t="shared" ref="BP267:BP274" si="37">IFERROR(1/J267*(Y267/H267),"0")</f>
        <v>0.14393939393939395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100</v>
      </c>
      <c r="Y269" s="55">
        <f t="shared" si="33"/>
        <v>102.60000000000001</v>
      </c>
      <c r="Z269" s="41">
        <f>IFERROR(IF(Y269=0,"",ROUNDUP(Y269/H269,0)*0.00902),"")</f>
        <v>0.17138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103.5185185185185</v>
      </c>
      <c r="BN269" s="78">
        <f t="shared" si="35"/>
        <v>106.21</v>
      </c>
      <c r="BO269" s="78">
        <f t="shared" si="36"/>
        <v>0.14029180695847362</v>
      </c>
      <c r="BP269" s="78">
        <f t="shared" si="37"/>
        <v>0.14393939393939395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150</v>
      </c>
      <c r="Y270" s="55">
        <f t="shared" si="33"/>
        <v>151.20000000000002</v>
      </c>
      <c r="Z270" s="41">
        <f>IFERROR(IF(Y270=0,"",ROUNDUP(Y270/H270,0)*0.00902),"")</f>
        <v>0.25256000000000001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155.27777777777777</v>
      </c>
      <c r="BN270" s="78">
        <f t="shared" si="35"/>
        <v>156.52000000000001</v>
      </c>
      <c r="BO270" s="78">
        <f t="shared" si="36"/>
        <v>0.21043771043771042</v>
      </c>
      <c r="BP270" s="78">
        <f t="shared" si="37"/>
        <v>0.21212121212121213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64.81481481481481</v>
      </c>
      <c r="Y275" s="43">
        <f>IFERROR(Y267/H267,"0")+IFERROR(Y268/H268,"0")+IFERROR(Y269/H269,"0")+IFERROR(Y270/H270,"0")+IFERROR(Y271/H271,"0")+IFERROR(Y272/H272,"0")+IFERROR(Y273/H273,"0")+IFERROR(Y274/H274,"0")</f>
        <v>66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0.59532000000000007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350</v>
      </c>
      <c r="Y276" s="43">
        <f>IFERROR(SUM(Y267:Y274),"0")</f>
        <v>356.40000000000003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80</v>
      </c>
      <c r="Y328" s="55">
        <f>IFERROR(IF(X328="",0,CEILING((X328/$H328),1)*$H328),"")</f>
        <v>80</v>
      </c>
      <c r="Z328" s="41">
        <f>IFERROR(IF(Y328=0,"",ROUNDUP(Y328/H328,0)*0.00902),"")</f>
        <v>0.1804</v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83.800000000000011</v>
      </c>
      <c r="BN328" s="78">
        <f>IFERROR(Y328*I328/H328,"0")</f>
        <v>83.800000000000011</v>
      </c>
      <c r="BO328" s="78">
        <f>IFERROR(1/J328*(X328/H328),"0")</f>
        <v>0.15151515151515152</v>
      </c>
      <c r="BP328" s="78">
        <f>IFERROR(1/J328*(Y328/H328),"0")</f>
        <v>0.15151515151515152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20</v>
      </c>
      <c r="Y329" s="43">
        <f>IFERROR(Y324/H324,"0")+IFERROR(Y325/H325,"0")+IFERROR(Y326/H326,"0")+IFERROR(Y327/H327,"0")+IFERROR(Y328/H328,"0")</f>
        <v>20</v>
      </c>
      <c r="Z329" s="43">
        <f>IFERROR(IF(Z324="",0,Z324),"0")+IFERROR(IF(Z325="",0,Z325),"0")+IFERROR(IF(Z326="",0,Z326),"0")+IFERROR(IF(Z327="",0,Z327),"0")+IFERROR(IF(Z328="",0,Z328),"0")</f>
        <v>0.1804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80</v>
      </c>
      <c r="Y330" s="43">
        <f>IFERROR(SUM(Y324:Y328),"0")</f>
        <v>80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200</v>
      </c>
      <c r="Y362" s="55">
        <f t="shared" si="48"/>
        <v>205.20000000000002</v>
      </c>
      <c r="Z362" s="41">
        <f>IFERROR(IF(Y362=0,"",ROUNDUP(Y362/H362,0)*0.01898),"")</f>
        <v>0.36062</v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207.59259259259258</v>
      </c>
      <c r="BN362" s="78">
        <f t="shared" si="50"/>
        <v>212.99</v>
      </c>
      <c r="BO362" s="78">
        <f t="shared" si="51"/>
        <v>0.28935185185185186</v>
      </c>
      <c r="BP362" s="78">
        <f t="shared" si="52"/>
        <v>0.296875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250</v>
      </c>
      <c r="Y363" s="55">
        <f t="shared" si="48"/>
        <v>259.20000000000005</v>
      </c>
      <c r="Z363" s="41">
        <f>IFERROR(IF(Y363=0,"",ROUNDUP(Y363/H363,0)*0.01898),"")</f>
        <v>0.45552000000000004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259.4907407407407</v>
      </c>
      <c r="BN363" s="78">
        <f t="shared" si="50"/>
        <v>269.04000000000002</v>
      </c>
      <c r="BO363" s="78">
        <f t="shared" si="51"/>
        <v>0.36168981481481477</v>
      </c>
      <c r="BP363" s="78">
        <f t="shared" si="52"/>
        <v>0.37500000000000006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160</v>
      </c>
      <c r="Y366" s="55">
        <f t="shared" si="48"/>
        <v>160</v>
      </c>
      <c r="Z366" s="41">
        <f>IFERROR(IF(Y366=0,"",ROUNDUP(Y366/H366,0)*0.00902),"")</f>
        <v>0.36080000000000001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167.60000000000002</v>
      </c>
      <c r="BN366" s="78">
        <f t="shared" si="50"/>
        <v>167.60000000000002</v>
      </c>
      <c r="BO366" s="78">
        <f t="shared" si="51"/>
        <v>0.30303030303030304</v>
      </c>
      <c r="BP366" s="78">
        <f t="shared" si="52"/>
        <v>0.30303030303030304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81.666666666666657</v>
      </c>
      <c r="Y367" s="43">
        <f>IFERROR(Y361/H361,"0")+IFERROR(Y362/H362,"0")+IFERROR(Y363/H363,"0")+IFERROR(Y364/H364,"0")+IFERROR(Y365/H365,"0")+IFERROR(Y366/H366,"0")</f>
        <v>83</v>
      </c>
      <c r="Z367" s="43">
        <f>IFERROR(IF(Z361="",0,Z361),"0")+IFERROR(IF(Z362="",0,Z362),"0")+IFERROR(IF(Z363="",0,Z363),"0")+IFERROR(IF(Z364="",0,Z364),"0")+IFERROR(IF(Z365="",0,Z365),"0")+IFERROR(IF(Z366="",0,Z366),"0")</f>
        <v>1.1769400000000001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610</v>
      </c>
      <c r="Y368" s="43">
        <f>IFERROR(SUM(Y361:Y366),"0")</f>
        <v>624.40000000000009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650</v>
      </c>
      <c r="Y370" s="55">
        <f t="shared" ref="Y370:Y376" si="53">IFERROR(IF(X370="",0,CEILING((X370/$H370),1)*$H370),"")</f>
        <v>651</v>
      </c>
      <c r="Z370" s="41">
        <f>IFERROR(IF(Y370=0,"",ROUNDUP(Y370/H370,0)*0.00902),"")</f>
        <v>1.3981000000000001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688.69047619047615</v>
      </c>
      <c r="BN370" s="78">
        <f t="shared" ref="BN370:BN376" si="55">IFERROR(Y370*I370/H370,"0")</f>
        <v>689.75</v>
      </c>
      <c r="BO370" s="78">
        <f t="shared" ref="BO370:BO376" si="56">IFERROR(1/J370*(X370/H370),"0")</f>
        <v>1.1724386724386724</v>
      </c>
      <c r="BP370" s="78">
        <f t="shared" ref="BP370:BP376" si="57">IFERROR(1/J370*(Y370/H370),"0")</f>
        <v>1.1742424242424243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500</v>
      </c>
      <c r="Y371" s="55">
        <f t="shared" si="53"/>
        <v>504</v>
      </c>
      <c r="Z371" s="41">
        <f>IFERROR(IF(Y371=0,"",ROUNDUP(Y371/H371,0)*0.00902),"")</f>
        <v>1.0824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529.7619047619047</v>
      </c>
      <c r="BN371" s="78">
        <f t="shared" si="55"/>
        <v>534</v>
      </c>
      <c r="BO371" s="78">
        <f t="shared" si="56"/>
        <v>0.90187590187590183</v>
      </c>
      <c r="BP371" s="78">
        <f t="shared" si="57"/>
        <v>0.90909090909090917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52</v>
      </c>
      <c r="Y373" s="55">
        <f t="shared" si="53"/>
        <v>52.5</v>
      </c>
      <c r="Z373" s="41">
        <f>IFERROR(IF(Y373=0,"",ROUNDUP(Y373/H373,0)*0.00502),"")</f>
        <v>0.1255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55.219047619047615</v>
      </c>
      <c r="BN373" s="78">
        <f t="shared" si="55"/>
        <v>55.75</v>
      </c>
      <c r="BO373" s="78">
        <f t="shared" si="56"/>
        <v>0.10582010582010581</v>
      </c>
      <c r="BP373" s="78">
        <f t="shared" si="57"/>
        <v>0.10683760683760685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298.57142857142856</v>
      </c>
      <c r="Y377" s="43">
        <f>IFERROR(Y370/H370,"0")+IFERROR(Y371/H371,"0")+IFERROR(Y372/H372,"0")+IFERROR(Y373/H373,"0")+IFERROR(Y374/H374,"0")+IFERROR(Y375/H375,"0")+IFERROR(Y376/H376,"0")</f>
        <v>300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2.6060000000000003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1202</v>
      </c>
      <c r="Y378" s="43">
        <f>IFERROR(SUM(Y370:Y376),"0")</f>
        <v>1207.5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60</v>
      </c>
      <c r="Y383" s="55">
        <f>IFERROR(IF(X383="",0,CEILING((X383/$H383),1)*$H383),"")</f>
        <v>60</v>
      </c>
      <c r="Z383" s="41">
        <f>IFERROR(IF(Y383=0,"",ROUNDUP(Y383/H383,0)*0.00651),"")</f>
        <v>0.13020000000000001</v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64.92</v>
      </c>
      <c r="BN383" s="78">
        <f>IFERROR(Y383*I383/H383,"0")</f>
        <v>64.92</v>
      </c>
      <c r="BO383" s="78">
        <f>IFERROR(1/J383*(X383/H383),"0")</f>
        <v>0.1098901098901099</v>
      </c>
      <c r="BP383" s="78">
        <f>IFERROR(1/J383*(Y383/H383),"0")</f>
        <v>0.1098901098901099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20</v>
      </c>
      <c r="Y384" s="43">
        <f>IFERROR(Y380/H380,"0")+IFERROR(Y381/H381,"0")+IFERROR(Y382/H382,"0")+IFERROR(Y383/H383,"0")</f>
        <v>20</v>
      </c>
      <c r="Z384" s="43">
        <f>IFERROR(IF(Z380="",0,Z380),"0")+IFERROR(IF(Z381="",0,Z381),"0")+IFERROR(IF(Z382="",0,Z382),"0")+IFERROR(IF(Z383="",0,Z383),"0")</f>
        <v>0.13020000000000001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60</v>
      </c>
      <c r="Y385" s="43">
        <f>IFERROR(SUM(Y380:Y383),"0")</f>
        <v>60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1000</v>
      </c>
      <c r="Y388" s="55">
        <f>IFERROR(IF(X388="",0,CEILING((X388/$H388),1)*$H388),"")</f>
        <v>1006.1999999999999</v>
      </c>
      <c r="Z388" s="41">
        <f>IFERROR(IF(Y388=0,"",ROUNDUP(Y388/H388,0)*0.01898),"")</f>
        <v>2.44842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1063.3333333333333</v>
      </c>
      <c r="BN388" s="78">
        <f>IFERROR(Y388*I388/H388,"0")</f>
        <v>1069.9260000000002</v>
      </c>
      <c r="BO388" s="78">
        <f>IFERROR(1/J388*(X388/H388),"0")</f>
        <v>2.0032051282051282</v>
      </c>
      <c r="BP388" s="78">
        <f>IFERROR(1/J388*(Y388/H388),"0")</f>
        <v>2.015625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100</v>
      </c>
      <c r="Y389" s="55">
        <f>IFERROR(IF(X389="",0,CEILING((X389/$H389),1)*$H389),"")</f>
        <v>100.80000000000001</v>
      </c>
      <c r="Z389" s="41">
        <f>IFERROR(IF(Y389=0,"",ROUNDUP(Y389/H389,0)*0.01898),"")</f>
        <v>0.22776000000000002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105.88095238095238</v>
      </c>
      <c r="BN389" s="78">
        <f>IFERROR(Y389*I389/H389,"0")</f>
        <v>106.72800000000001</v>
      </c>
      <c r="BO389" s="78">
        <f>IFERROR(1/J389*(X389/H389),"0")</f>
        <v>0.18601190476190477</v>
      </c>
      <c r="BP389" s="78">
        <f>IFERROR(1/J389*(Y389/H389),"0")</f>
        <v>0.1875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140.1098901098901</v>
      </c>
      <c r="Y390" s="43">
        <f>IFERROR(Y387/H387,"0")+IFERROR(Y388/H388,"0")+IFERROR(Y389/H389,"0")</f>
        <v>141</v>
      </c>
      <c r="Z390" s="43">
        <f>IFERROR(IF(Z387="",0,Z387),"0")+IFERROR(IF(Z388="",0,Z388),"0")+IFERROR(IF(Z389="",0,Z389),"0")</f>
        <v>2.67618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1100</v>
      </c>
      <c r="Y391" s="43">
        <f>IFERROR(SUM(Y387:Y389),"0")</f>
        <v>1107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12</v>
      </c>
      <c r="Y396" s="55">
        <f>IFERROR(IF(X396="",0,CEILING((X396/$H396),1)*$H396),"")</f>
        <v>12.75</v>
      </c>
      <c r="Z396" s="41">
        <f>IFERROR(IF(Y396=0,"",ROUNDUP(Y396/H396,0)*0.00651),"")</f>
        <v>3.2550000000000003E-2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13.55294117647059</v>
      </c>
      <c r="BN396" s="78">
        <f>IFERROR(Y396*I396/H396,"0")</f>
        <v>14.4</v>
      </c>
      <c r="BO396" s="78">
        <f>IFERROR(1/J396*(X396/H396),"0")</f>
        <v>2.5856496444731741E-2</v>
      </c>
      <c r="BP396" s="78">
        <f>IFERROR(1/J396*(Y396/H396),"0")</f>
        <v>2.7472527472527476E-2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4.7058823529411766</v>
      </c>
      <c r="Y397" s="43">
        <f>IFERROR(Y393/H393,"0")+IFERROR(Y394/H394,"0")+IFERROR(Y395/H395,"0")+IFERROR(Y396/H396,"0")</f>
        <v>5</v>
      </c>
      <c r="Z397" s="43">
        <f>IFERROR(IF(Z393="",0,Z393),"0")+IFERROR(IF(Z394="",0,Z394),"0")+IFERROR(IF(Z395="",0,Z395),"0")+IFERROR(IF(Z396="",0,Z396),"0")</f>
        <v>3.2550000000000003E-2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12</v>
      </c>
      <c r="Y398" s="43">
        <f>IFERROR(SUM(Y393:Y396),"0")</f>
        <v>12.75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900</v>
      </c>
      <c r="Y419" s="55">
        <f>IFERROR(IF(X419="",0,CEILING((X419/$H419),1)*$H419),"")</f>
        <v>907.19999999999993</v>
      </c>
      <c r="Z419" s="41">
        <f>IFERROR(IF(Y419=0,"",ROUNDUP(Y419/H419,0)*0.01898),"")</f>
        <v>2.1257600000000001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954.88888888888891</v>
      </c>
      <c r="BN419" s="78">
        <f>IFERROR(Y419*I419/H419,"0")</f>
        <v>962.52799999999991</v>
      </c>
      <c r="BO419" s="78">
        <f>IFERROR(1/J419*(X419/H419),"0")</f>
        <v>1.7361111111111112</v>
      </c>
      <c r="BP419" s="78">
        <f>IFERROR(1/J419*(Y419/H419),"0")</f>
        <v>1.75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111.11111111111111</v>
      </c>
      <c r="Y422" s="43">
        <f>IFERROR(Y419/H419,"0")+IFERROR(Y420/H420,"0")+IFERROR(Y421/H421,"0")</f>
        <v>112</v>
      </c>
      <c r="Z422" s="43">
        <f>IFERROR(IF(Z419="",0,Z419),"0")+IFERROR(IF(Z420="",0,Z420),"0")+IFERROR(IF(Z421="",0,Z421),"0")</f>
        <v>2.1257600000000001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900</v>
      </c>
      <c r="Y423" s="43">
        <f>IFERROR(SUM(Y419:Y421),"0")</f>
        <v>907.19999999999993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5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1547</v>
      </c>
      <c r="BN428" s="78">
        <f t="shared" si="60"/>
        <v>1547</v>
      </c>
      <c r="BO428" s="78">
        <f t="shared" si="61"/>
        <v>2.083333333333333</v>
      </c>
      <c r="BP428" s="78">
        <f t="shared" si="62"/>
        <v>2.083333333333333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1500</v>
      </c>
      <c r="Y429" s="55">
        <f t="shared" si="58"/>
        <v>1500</v>
      </c>
      <c r="Z429" s="41">
        <f>IFERROR(IF(Y429=0,"",ROUNDUP(Y429/H429,0)*0.02175),"")</f>
        <v>2.1749999999999998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1547</v>
      </c>
      <c r="BN429" s="78">
        <f t="shared" si="60"/>
        <v>1547</v>
      </c>
      <c r="BO429" s="78">
        <f t="shared" si="61"/>
        <v>2.083333333333333</v>
      </c>
      <c r="BP429" s="78">
        <f t="shared" si="62"/>
        <v>2.083333333333333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5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1547</v>
      </c>
      <c r="BN431" s="78">
        <f t="shared" si="60"/>
        <v>1547</v>
      </c>
      <c r="BO431" s="78">
        <f t="shared" si="61"/>
        <v>2.083333333333333</v>
      </c>
      <c r="BP431" s="78">
        <f t="shared" si="62"/>
        <v>2.083333333333333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300</v>
      </c>
      <c r="Y435" s="43">
        <f>IFERROR(Y427/H427,"0")+IFERROR(Y428/H428,"0")+IFERROR(Y429/H429,"0")+IFERROR(Y430/H430,"0")+IFERROR(Y431/H431,"0")+IFERROR(Y432/H432,"0")+IFERROR(Y433/H433,"0")+IFERROR(Y434/H434,"0")</f>
        <v>300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6.5249999999999995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4500</v>
      </c>
      <c r="Y436" s="43">
        <f>IFERROR(SUM(Y427:Y434),"0")</f>
        <v>4500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2000</v>
      </c>
      <c r="Y438" s="55">
        <f>IFERROR(IF(X438="",0,CEILING((X438/$H438),1)*$H438),"")</f>
        <v>2010</v>
      </c>
      <c r="Z438" s="41">
        <f>IFERROR(IF(Y438=0,"",ROUNDUP(Y438/H438,0)*0.02175),"")</f>
        <v>2.9144999999999999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2062.6666666666665</v>
      </c>
      <c r="BN438" s="78">
        <f>IFERROR(Y438*I438/H438,"0")</f>
        <v>2072.98</v>
      </c>
      <c r="BO438" s="78">
        <f>IFERROR(1/J438*(X438/H438),"0")</f>
        <v>2.7777777777777777</v>
      </c>
      <c r="BP438" s="78">
        <f>IFERROR(1/J438*(Y438/H438),"0")</f>
        <v>2.7916666666666665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133.33333333333334</v>
      </c>
      <c r="Y441" s="43">
        <f>IFERROR(Y438/H438,"0")+IFERROR(Y439/H439,"0")+IFERROR(Y440/H440,"0")</f>
        <v>134</v>
      </c>
      <c r="Z441" s="43">
        <f>IFERROR(IF(Z438="",0,Z438),"0")+IFERROR(IF(Z439="",0,Z439),"0")+IFERROR(IF(Z440="",0,Z440),"0")</f>
        <v>2.9144999999999999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2000</v>
      </c>
      <c r="Y442" s="43">
        <f>IFERROR(SUM(Y438:Y440),"0")</f>
        <v>2010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50</v>
      </c>
      <c r="Y473" s="55">
        <f t="shared" ref="Y473:Y478" si="63">IFERROR(IF(X473="",0,CEILING((X473/$H473),1)*$H473),"")</f>
        <v>54</v>
      </c>
      <c r="Z473" s="41">
        <f>IFERROR(IF(Y473=0,"",ROUNDUP(Y473/H473,0)*0.00902),"")</f>
        <v>9.0200000000000002E-2</v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51.759259259259252</v>
      </c>
      <c r="BN473" s="78">
        <f t="shared" ref="BN473:BN478" si="65">IFERROR(Y473*I473/H473,"0")</f>
        <v>55.9</v>
      </c>
      <c r="BO473" s="78">
        <f t="shared" ref="BO473:BO478" si="66">IFERROR(1/J473*(X473/H473),"0")</f>
        <v>7.0145903479236812E-2</v>
      </c>
      <c r="BP473" s="78">
        <f t="shared" ref="BP473:BP478" si="67">IFERROR(1/J473*(Y473/H473),"0")</f>
        <v>7.575757575757576E-2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9.2592592592592595</v>
      </c>
      <c r="Y479" s="43">
        <f>IFERROR(Y473/H473,"0")+IFERROR(Y474/H474,"0")+IFERROR(Y475/H475,"0")+IFERROR(Y476/H476,"0")+IFERROR(Y477/H477,"0")+IFERROR(Y478/H478,"0")</f>
        <v>10</v>
      </c>
      <c r="Z479" s="43">
        <f>IFERROR(IF(Z473="",0,Z473),"0")+IFERROR(IF(Z474="",0,Z474),"0")+IFERROR(IF(Z475="",0,Z475),"0")+IFERROR(IF(Z476="",0,Z476),"0")+IFERROR(IF(Z477="",0,Z477),"0")+IFERROR(IF(Z478="",0,Z478),"0")</f>
        <v>9.0200000000000002E-2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50</v>
      </c>
      <c r="Y480" s="43">
        <f>IFERROR(SUM(Y473:Y478),"0")</f>
        <v>54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550</v>
      </c>
      <c r="Y503" s="55">
        <f t="shared" si="68"/>
        <v>554.4</v>
      </c>
      <c r="Z503" s="41">
        <f t="shared" si="69"/>
        <v>1.2558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586.45833333333326</v>
      </c>
      <c r="BN503" s="78">
        <f t="shared" si="71"/>
        <v>591.15</v>
      </c>
      <c r="BO503" s="78">
        <f t="shared" si="72"/>
        <v>1.0016025641025641</v>
      </c>
      <c r="BP503" s="78">
        <f t="shared" si="73"/>
        <v>1.0096153846153846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104.16666666666666</v>
      </c>
      <c r="Y509" s="43">
        <f>IFERROR(Y500/H500,"0")+IFERROR(Y501/H501,"0")+IFERROR(Y502/H502,"0")+IFERROR(Y503/H503,"0")+IFERROR(Y504/H504,"0")+IFERROR(Y505/H505,"0")+IFERROR(Y506/H506,"0")+IFERROR(Y507/H507,"0")+IFERROR(Y508/H508,"0")</f>
        <v>104.99999999999999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1.2558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550</v>
      </c>
      <c r="Y510" s="43">
        <f>IFERROR(SUM(Y500:Y508),"0")</f>
        <v>554.4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150</v>
      </c>
      <c r="Y518" s="55">
        <f t="shared" ref="Y518:Y524" si="74">IFERROR(IF(X518="",0,CEILING((X518/$H518),1)*$H518),"")</f>
        <v>153.12</v>
      </c>
      <c r="Z518" s="41">
        <f>IFERROR(IF(Y518=0,"",ROUNDUP(Y518/H518,0)*0.01196),"")</f>
        <v>0.34683999999999998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159.94318181818181</v>
      </c>
      <c r="BN518" s="78">
        <f t="shared" ref="BN518:BN524" si="76">IFERROR(Y518*I518/H518,"0")</f>
        <v>163.26999999999998</v>
      </c>
      <c r="BO518" s="78">
        <f t="shared" ref="BO518:BO524" si="77">IFERROR(1/J518*(X518/H518),"0")</f>
        <v>0.27316433566433568</v>
      </c>
      <c r="BP518" s="78">
        <f t="shared" ref="BP518:BP524" si="78">IFERROR(1/J518*(Y518/H518),"0")</f>
        <v>0.27884615384615385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150</v>
      </c>
      <c r="Y519" s="55">
        <f t="shared" si="74"/>
        <v>153.12</v>
      </c>
      <c r="Z519" s="41">
        <f>IFERROR(IF(Y519=0,"",ROUNDUP(Y519/H519,0)*0.01196),"")</f>
        <v>0.34683999999999998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159.94318181818181</v>
      </c>
      <c r="BN519" s="78">
        <f t="shared" si="76"/>
        <v>163.26999999999998</v>
      </c>
      <c r="BO519" s="78">
        <f t="shared" si="77"/>
        <v>0.27316433566433568</v>
      </c>
      <c r="BP519" s="78">
        <f t="shared" si="78"/>
        <v>0.27884615384615385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100</v>
      </c>
      <c r="Y520" s="55">
        <f t="shared" si="74"/>
        <v>100.32000000000001</v>
      </c>
      <c r="Z520" s="41">
        <f>IFERROR(IF(Y520=0,"",ROUNDUP(Y520/H520,0)*0.01196),"")</f>
        <v>0.22724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106.62878787878788</v>
      </c>
      <c r="BN520" s="78">
        <f t="shared" si="76"/>
        <v>106.97</v>
      </c>
      <c r="BO520" s="78">
        <f t="shared" si="77"/>
        <v>0.18210955710955709</v>
      </c>
      <c r="BP520" s="78">
        <f t="shared" si="78"/>
        <v>0.18269230769230771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75.757575757575751</v>
      </c>
      <c r="Y525" s="43">
        <f>IFERROR(Y518/H518,"0")+IFERROR(Y519/H519,"0")+IFERROR(Y520/H520,"0")+IFERROR(Y521/H521,"0")+IFERROR(Y522/H522,"0")+IFERROR(Y523/H523,"0")+IFERROR(Y524/H524,"0")</f>
        <v>77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0.92091999999999996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400</v>
      </c>
      <c r="Y526" s="43">
        <f>IFERROR(SUM(Y518:Y524),"0")</f>
        <v>406.56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2000</v>
      </c>
      <c r="Y538" s="55">
        <f>IFERROR(IF(X538="",0,CEILING((X538/$H538),1)*$H538),"")</f>
        <v>2003.4</v>
      </c>
      <c r="Z538" s="41">
        <f>IFERROR(IF(Y538=0,"",ROUNDUP(Y538/H538,0)*0.00902),"")</f>
        <v>4.3025400000000005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2119.0476190476188</v>
      </c>
      <c r="BN538" s="78">
        <f>IFERROR(Y538*I538/H538,"0")</f>
        <v>2122.65</v>
      </c>
      <c r="BO538" s="78">
        <f>IFERROR(1/J538*(X538/H538),"0")</f>
        <v>3.6075036075036073</v>
      </c>
      <c r="BP538" s="78">
        <f>IFERROR(1/J538*(Y538/H538),"0")</f>
        <v>3.6136363636363638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476.19047619047615</v>
      </c>
      <c r="Y539" s="43">
        <f>IFERROR(Y538/H538,"0")</f>
        <v>477</v>
      </c>
      <c r="Z539" s="43">
        <f>IFERROR(IF(Z538="",0,Z538),"0")</f>
        <v>4.3025400000000005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2000</v>
      </c>
      <c r="Y540" s="43">
        <f>IFERROR(SUM(Y538:Y538),"0")</f>
        <v>2003.4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17949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18036.810000000001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18770.943022144882</v>
      </c>
      <c r="Y556" s="43">
        <f>IFERROR(SUM(BN22:BN552),"0")</f>
        <v>18863.036000000004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30</v>
      </c>
      <c r="Y557" s="44">
        <f>ROUNDUP(SUM(BP22:BP552),0)</f>
        <v>30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19520.943022144882</v>
      </c>
      <c r="Y558" s="43">
        <f>GrossWeightTotalR+PalletQtyTotalR*25</f>
        <v>19613.036000000004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2493.4931013068267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2506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33.955880000000008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382.40000000000003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1925.1000000000001</v>
      </c>
      <c r="F565" s="52">
        <f>IFERROR(Y84*1,"0")+IFERROR(Y85*1,"0")+IFERROR(Y86*1,"0")+IFERROR(Y87*1,"0")+IFERROR(Y91*1,"0")+IFERROR(Y92*1,"0")+IFERROR(Y93*1,"0")+IFERROR(Y94*1,"0")</f>
        <v>1242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502.2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101.5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356.40000000000003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80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3011.65</v>
      </c>
      <c r="U565" s="52">
        <f>IFERROR(Y413*1,"0")+IFERROR(Y414*1,"0")</f>
        <v>0</v>
      </c>
      <c r="V565" s="52">
        <f>IFERROR(Y419*1,"0")+IFERROR(Y420*1,"0")+IFERROR(Y421*1,"0")</f>
        <v>907.19999999999993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6510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54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960.96</v>
      </c>
      <c r="AB565" s="52">
        <f>IFERROR(Y530*1,"0")+IFERROR(Y534*1,"0")+IFERROR(Y538*1,"0")+IFERROR(Y542*1,"0")+IFERROR(Y546*1,"0")+IFERROR(Y547*1,"0")</f>
        <v>2003.4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188,00"/>
        <filter val="1 202,00"/>
        <filter val="1 500,00"/>
        <filter val="1 788,00"/>
        <filter val="100,00"/>
        <filter val="104,17"/>
        <filter val="111,11"/>
        <filter val="12,00"/>
        <filter val="132,00"/>
        <filter val="133,33"/>
        <filter val="135,00"/>
        <filter val="140,11"/>
        <filter val="150,00"/>
        <filter val="160,00"/>
        <filter val="17 949,00"/>
        <filter val="18 770,94"/>
        <filter val="19 520,94"/>
        <filter val="2 000,00"/>
        <filter val="2 493,49"/>
        <filter val="20,00"/>
        <filter val="200,00"/>
        <filter val="250,00"/>
        <filter val="28,57"/>
        <filter val="298,57"/>
        <filter val="30"/>
        <filter val="300,00"/>
        <filter val="319,56"/>
        <filter val="350,00"/>
        <filter val="380,00"/>
        <filter val="4 500,00"/>
        <filter val="4,71"/>
        <filter val="400,00"/>
        <filter val="47,78"/>
        <filter val="476,19"/>
        <filter val="48,89"/>
        <filter val="50,00"/>
        <filter val="500,00"/>
        <filter val="52,00"/>
        <filter val="550,00"/>
        <filter val="60,00"/>
        <filter val="600,00"/>
        <filter val="61,73"/>
        <filter val="610,00"/>
        <filter val="64,81"/>
        <filter val="650,00"/>
        <filter val="735,00"/>
        <filter val="75,76"/>
        <filter val="80,00"/>
        <filter val="81,67"/>
        <filter val="85,56"/>
        <filter val="9,26"/>
        <filter val="90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