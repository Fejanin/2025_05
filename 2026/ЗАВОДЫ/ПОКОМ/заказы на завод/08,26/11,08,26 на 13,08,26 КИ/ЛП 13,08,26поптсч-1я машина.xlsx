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19E0800-7C10-472F-BC37-57AF2EAC86E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N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Z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P394" i="2"/>
  <c r="BO393" i="2"/>
  <c r="BM393" i="2"/>
  <c r="Z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N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Z363" i="2"/>
  <c r="Y363" i="2"/>
  <c r="BN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N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P230" i="2"/>
  <c r="BO230" i="2"/>
  <c r="BN230" i="2"/>
  <c r="BM230" i="2"/>
  <c r="Z230" i="2"/>
  <c r="Y230" i="2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Z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N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P100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P92" i="2"/>
  <c r="BO92" i="2"/>
  <c r="BM92" i="2"/>
  <c r="Y92" i="2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P29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P22" i="2"/>
  <c r="BO22" i="2"/>
  <c r="BM22" i="2"/>
  <c r="Y22" i="2"/>
  <c r="P22" i="2"/>
  <c r="H10" i="2"/>
  <c r="A9" i="2"/>
  <c r="D7" i="2"/>
  <c r="Q6" i="2"/>
  <c r="P2" i="2"/>
  <c r="BN23" i="2" l="1"/>
  <c r="BN41" i="2"/>
  <c r="BN74" i="2"/>
  <c r="BN93" i="2"/>
  <c r="BN136" i="2"/>
  <c r="BN153" i="2"/>
  <c r="BN195" i="2"/>
  <c r="BN225" i="2"/>
  <c r="BN304" i="2"/>
  <c r="BN396" i="2"/>
  <c r="BN450" i="2"/>
  <c r="BN524" i="2"/>
  <c r="BN131" i="2"/>
  <c r="BN289" i="2"/>
  <c r="BN299" i="2"/>
  <c r="Z318" i="2"/>
  <c r="Z372" i="2"/>
  <c r="Y397" i="2"/>
  <c r="BP393" i="2"/>
  <c r="Z407" i="2"/>
  <c r="BN504" i="2"/>
  <c r="BP283" i="2"/>
  <c r="Y452" i="2"/>
  <c r="Z118" i="2"/>
  <c r="BP118" i="2"/>
  <c r="Z152" i="2"/>
  <c r="Z183" i="2"/>
  <c r="Z210" i="2"/>
  <c r="Z283" i="2"/>
  <c r="Y296" i="2"/>
  <c r="Z374" i="2"/>
  <c r="Z383" i="2"/>
  <c r="BP383" i="2"/>
  <c r="Z433" i="2"/>
  <c r="Z466" i="2"/>
  <c r="BP152" i="2"/>
  <c r="Y489" i="2"/>
  <c r="BN59" i="2"/>
  <c r="BP124" i="2"/>
  <c r="Z159" i="2"/>
  <c r="Z160" i="2" s="1"/>
  <c r="BN165" i="2"/>
  <c r="BN190" i="2"/>
  <c r="BN240" i="2"/>
  <c r="Y253" i="2"/>
  <c r="Z293" i="2"/>
  <c r="BP293" i="2"/>
  <c r="BN333" i="2"/>
  <c r="BP341" i="2"/>
  <c r="BN344" i="2"/>
  <c r="Z375" i="2"/>
  <c r="BN393" i="2"/>
  <c r="Y398" i="2"/>
  <c r="Z406" i="2"/>
  <c r="Z461" i="2"/>
  <c r="Z462" i="2" s="1"/>
  <c r="BN48" i="2"/>
  <c r="BN113" i="2"/>
  <c r="Z124" i="2"/>
  <c r="Z125" i="2" s="1"/>
  <c r="BN185" i="2"/>
  <c r="BN273" i="2"/>
  <c r="BP363" i="2"/>
  <c r="BN482" i="2"/>
  <c r="BN514" i="2"/>
  <c r="BP519" i="2"/>
  <c r="BN520" i="2"/>
  <c r="Y368" i="2"/>
  <c r="Z328" i="2"/>
  <c r="BN444" i="2"/>
  <c r="Z434" i="2"/>
  <c r="BP434" i="2"/>
  <c r="Z439" i="2"/>
  <c r="BP439" i="2"/>
  <c r="Z440" i="2"/>
  <c r="BP433" i="2"/>
  <c r="Z519" i="2"/>
  <c r="BN175" i="2"/>
  <c r="Y160" i="2"/>
  <c r="BN492" i="2"/>
  <c r="Y463" i="2"/>
  <c r="BP356" i="2"/>
  <c r="Z355" i="2"/>
  <c r="Y358" i="2"/>
  <c r="Z356" i="2"/>
  <c r="BP66" i="2"/>
  <c r="Z428" i="2"/>
  <c r="Z431" i="2"/>
  <c r="Z284" i="2"/>
  <c r="BN287" i="2"/>
  <c r="Y122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Z415" i="2" s="1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422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80" i="2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384" i="2" l="1"/>
  <c r="Z515" i="2"/>
  <c r="Z320" i="2"/>
  <c r="Z350" i="2"/>
  <c r="Z197" i="2"/>
  <c r="Z264" i="2"/>
  <c r="Z367" i="2"/>
  <c r="Z377" i="2"/>
  <c r="Z88" i="2"/>
  <c r="Z441" i="2"/>
  <c r="Z357" i="2"/>
  <c r="Z435" i="2"/>
  <c r="Z290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<sst xmlns="http://schemas.openxmlformats.org/spreadsheetml/2006/main" count="4245" uniqueCount="901">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</sst>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10</v>
      </c>
      <c r="Y47" s="55">
        <f>IFERROR(IF(X47="",0,CEILING((X47/$H47),1)*$H47),"")</f>
        <v>10.8</v>
      </c>
      <c r="Z47" s="41">
        <f>IFERROR(IF(Y47=0,"",ROUNDUP(Y47/H47,0)*0.01898),"")</f>
        <v>1.898E-2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10.37962962962963</v>
      </c>
      <c r="BN47" s="78">
        <f>IFERROR(Y47*I47/H47,"0")</f>
        <v>11.21</v>
      </c>
      <c r="BO47" s="78">
        <f>IFERROR(1/J47*(X47/H47),"0")</f>
        <v>1.4467592592592591E-2</v>
      </c>
      <c r="BP47" s="78">
        <f>IFERROR(1/J47*(Y47/H47),"0")</f>
        <v>1.5625E-2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0.92592592592592582</v>
      </c>
      <c r="Y51" s="43">
        <f>IFERROR(Y47/H47,"0")+IFERROR(Y48/H48,"0")+IFERROR(Y49/H49,"0")+IFERROR(Y50/H50,"0")</f>
        <v>1</v>
      </c>
      <c r="Z51" s="43">
        <f>IFERROR(IF(Z47="",0,Z47),"0")+IFERROR(IF(Z48="",0,Z48),"0")+IFERROR(IF(Z49="",0,Z49),"0")+IFERROR(IF(Z50="",0,Z50),"0")</f>
        <v>1.898E-2</v>
      </c>
      <c r="AA51" s="67"/>
      <c r="AB51" s="67"/>
      <c r="AC51" s="67"/>
    </row>
    <row r="52" spans="1:68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10</v>
      </c>
      <c r="Y52" s="43">
        <f>IFERROR(SUM(Y47:Y50),"0")</f>
        <v>10.8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30</v>
      </c>
      <c r="Y55" s="55">
        <f t="shared" ref="Y55:Y62" si="0">IFERROR(IF(X55="",0,CEILING((X55/$H55),1)*$H55),"")</f>
        <v>33.599999999999994</v>
      </c>
      <c r="Z55" s="41">
        <f>IFERROR(IF(Y55=0,"",ROUNDUP(Y55/H55,0)*0.01898),"")</f>
        <v>5.6940000000000004E-2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31.098214285714285</v>
      </c>
      <c r="BN55" s="78">
        <f t="shared" ref="BN55:BN62" si="2">IFERROR(Y55*I55/H55,"0")</f>
        <v>34.829999999999991</v>
      </c>
      <c r="BO55" s="78">
        <f t="shared" ref="BO55:BO62" si="3">IFERROR(1/J55*(X55/H55),"0")</f>
        <v>4.1852678571428575E-2</v>
      </c>
      <c r="BP55" s="78">
        <f t="shared" ref="BP55:BP62" si="4">IFERROR(1/J55*(Y55/H55),"0")</f>
        <v>4.6874999999999993E-2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700</v>
      </c>
      <c r="Y57" s="55">
        <f t="shared" si="0"/>
        <v>702</v>
      </c>
      <c r="Z57" s="41">
        <f>IFERROR(IF(Y57=0,"",ROUNDUP(Y57/H57,0)*0.01898),"")</f>
        <v>1.2337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726.57407407407413</v>
      </c>
      <c r="BN57" s="78">
        <f t="shared" si="2"/>
        <v>728.65000000000009</v>
      </c>
      <c r="BO57" s="78">
        <f t="shared" si="3"/>
        <v>1.0127314814814814</v>
      </c>
      <c r="BP57" s="78">
        <f t="shared" si="4"/>
        <v>1.015625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15</v>
      </c>
      <c r="Y62" s="55">
        <f t="shared" si="0"/>
        <v>18</v>
      </c>
      <c r="Z62" s="41">
        <f>IFERROR(IF(Y62=0,"",ROUNDUP(Y62/H62,0)*0.00902),"")</f>
        <v>3.6080000000000001E-2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15.633333333333335</v>
      </c>
      <c r="BN62" s="78">
        <f t="shared" si="2"/>
        <v>18.760000000000002</v>
      </c>
      <c r="BO62" s="78">
        <f t="shared" si="3"/>
        <v>2.5252525252525256E-2</v>
      </c>
      <c r="BP62" s="78">
        <f t="shared" si="4"/>
        <v>3.0303030303030304E-2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70.826719576719569</v>
      </c>
      <c r="Y63" s="43">
        <f>IFERROR(Y55/H55,"0")+IFERROR(Y56/H56,"0")+IFERROR(Y57/H57,"0")+IFERROR(Y58/H58,"0")+IFERROR(Y59/H59,"0")+IFERROR(Y60/H60,"0")+IFERROR(Y61/H61,"0")+IFERROR(Y62/H62,"0")</f>
        <v>72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1.3267199999999999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745</v>
      </c>
      <c r="Y64" s="43">
        <f>IFERROR(SUM(Y55:Y62),"0")</f>
        <v>753.6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800</v>
      </c>
      <c r="Y66" s="55">
        <f>IFERROR(IF(X66="",0,CEILING((X66/$H66),1)*$H66),"")</f>
        <v>810</v>
      </c>
      <c r="Z66" s="41">
        <f>IFERROR(IF(Y66=0,"",ROUNDUP(Y66/H66,0)*0.01898),"")</f>
        <v>1.4235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830.37037037037032</v>
      </c>
      <c r="BN66" s="78">
        <f>IFERROR(Y66*I66/H66,"0")</f>
        <v>840.75</v>
      </c>
      <c r="BO66" s="78">
        <f>IFERROR(1/J66*(X66/H66),"0")</f>
        <v>1.1574074074074074</v>
      </c>
      <c r="BP66" s="78">
        <f>IFERROR(1/J66*(Y66/H66),"0")</f>
        <v>1.171875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74.074074074074076</v>
      </c>
      <c r="Y70" s="43">
        <f>IFERROR(Y66/H66,"0")+IFERROR(Y67/H67,"0")+IFERROR(Y68/H68,"0")+IFERROR(Y69/H69,"0")</f>
        <v>75</v>
      </c>
      <c r="Z70" s="43">
        <f>IFERROR(IF(Z66="",0,Z66),"0")+IFERROR(IF(Z67="",0,Z67),"0")+IFERROR(IF(Z68="",0,Z68),"0")+IFERROR(IF(Z69="",0,Z69),"0")</f>
        <v>1.4235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800</v>
      </c>
      <c r="Y71" s="43">
        <f>IFERROR(SUM(Y66:Y69),"0")</f>
        <v>810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70</v>
      </c>
      <c r="Y78" s="55">
        <f>IFERROR(IF(X78="",0,CEILING((X78/$H78),1)*$H78),"")</f>
        <v>70.2</v>
      </c>
      <c r="Z78" s="41">
        <f>IFERROR(IF(Y78=0,"",ROUNDUP(Y78/H78,0)*0.01898),"")</f>
        <v>0.17082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73.679487179487182</v>
      </c>
      <c r="BN78" s="78">
        <f>IFERROR(Y78*I78/H78,"0")</f>
        <v>73.890000000000015</v>
      </c>
      <c r="BO78" s="78">
        <f>IFERROR(1/J78*(X78/H78),"0")</f>
        <v>0.14022435897435898</v>
      </c>
      <c r="BP78" s="78">
        <f>IFERROR(1/J78*(Y78/H78),"0")</f>
        <v>0.140625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8.9743589743589745</v>
      </c>
      <c r="Y80" s="43">
        <f>IFERROR(Y78/H78,"0")+IFERROR(Y79/H79,"0")</f>
        <v>9</v>
      </c>
      <c r="Z80" s="43">
        <f>IFERROR(IF(Z78="",0,Z78),"0")+IFERROR(IF(Z79="",0,Z79),"0")</f>
        <v>0.17082</v>
      </c>
      <c r="AA80" s="67"/>
      <c r="AB80" s="67"/>
      <c r="AC80" s="67"/>
    </row>
    <row r="81" spans="1:68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70</v>
      </c>
      <c r="Y81" s="43">
        <f>IFERROR(SUM(Y78:Y79),"0")</f>
        <v>70.2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110</v>
      </c>
      <c r="Y84" s="55">
        <f>IFERROR(IF(X84="",0,CEILING((X84/$H84),1)*$H84),"")</f>
        <v>118.80000000000001</v>
      </c>
      <c r="Z84" s="41">
        <f>IFERROR(IF(Y84=0,"",ROUNDUP(Y84/H84,0)*0.01898),"")</f>
        <v>0.20877999999999999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114.17592592592594</v>
      </c>
      <c r="BN84" s="78">
        <f>IFERROR(Y84*I84/H84,"0")</f>
        <v>123.31000000000002</v>
      </c>
      <c r="BO84" s="78">
        <f>IFERROR(1/J84*(X84/H84),"0")</f>
        <v>0.15914351851851852</v>
      </c>
      <c r="BP84" s="78">
        <f>IFERROR(1/J84*(Y84/H84),"0")</f>
        <v>0.171875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12</v>
      </c>
      <c r="Y87" s="55">
        <f>IFERROR(IF(X87="",0,CEILING((X87/$H87),1)*$H87),"")</f>
        <v>13.5</v>
      </c>
      <c r="Z87" s="41">
        <f>IFERROR(IF(Y87=0,"",ROUNDUP(Y87/H87,0)*0.00902),"")</f>
        <v>2.7060000000000001E-2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12.506666666666668</v>
      </c>
      <c r="BN87" s="78">
        <f>IFERROR(Y87*I87/H87,"0")</f>
        <v>14.07</v>
      </c>
      <c r="BO87" s="78">
        <f>IFERROR(1/J87*(X87/H87),"0")</f>
        <v>2.02020202020202E-2</v>
      </c>
      <c r="BP87" s="78">
        <f>IFERROR(1/J87*(Y87/H87),"0")</f>
        <v>2.2727272727272728E-2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12.851851851851851</v>
      </c>
      <c r="Y88" s="43">
        <f>IFERROR(Y84/H84,"0")+IFERROR(Y85/H85,"0")+IFERROR(Y86/H86,"0")+IFERROR(Y87/H87,"0")</f>
        <v>14</v>
      </c>
      <c r="Z88" s="43">
        <f>IFERROR(IF(Z84="",0,Z84),"0")+IFERROR(IF(Z85="",0,Z85),"0")+IFERROR(IF(Z86="",0,Z86),"0")+IFERROR(IF(Z87="",0,Z87),"0")</f>
        <v>0.23583999999999999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122</v>
      </c>
      <c r="Y89" s="43">
        <f>IFERROR(SUM(Y84:Y87),"0")</f>
        <v>132.30000000000001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220</v>
      </c>
      <c r="Y91" s="55">
        <f>IFERROR(IF(X91="",0,CEILING((X91/$H91),1)*$H91),"")</f>
        <v>226.79999999999998</v>
      </c>
      <c r="Z91" s="41">
        <f>IFERROR(IF(Y91=0,"",ROUNDUP(Y91/H91,0)*0.01898),"")</f>
        <v>0.53144000000000002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233.41728395061727</v>
      </c>
      <c r="BN91" s="78">
        <f>IFERROR(Y91*I91/H91,"0")</f>
        <v>240.63199999999998</v>
      </c>
      <c r="BO91" s="78">
        <f>IFERROR(1/J91*(X91/H91),"0")</f>
        <v>0.42438271604938271</v>
      </c>
      <c r="BP91" s="78">
        <f>IFERROR(1/J91*(Y91/H91),"0")</f>
        <v>0.4375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27.160493827160494</v>
      </c>
      <c r="Y95" s="43">
        <f>IFERROR(Y91/H91,"0")+IFERROR(Y92/H92,"0")+IFERROR(Y93/H93,"0")+IFERROR(Y94/H94,"0")</f>
        <v>28</v>
      </c>
      <c r="Z95" s="43">
        <f>IFERROR(IF(Z91="",0,Z91),"0")+IFERROR(IF(Z92="",0,Z92),"0")+IFERROR(IF(Z93="",0,Z93),"0")+IFERROR(IF(Z94="",0,Z94),"0")</f>
        <v>0.53144000000000002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220</v>
      </c>
      <c r="Y96" s="43">
        <f>IFERROR(SUM(Y91:Y94),"0")</f>
        <v>226.79999999999998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50</v>
      </c>
      <c r="Y99" s="55">
        <f t="shared" ref="Y99:Y105" si="5">IFERROR(IF(X99="",0,CEILING((X99/$H99),1)*$H99),"")</f>
        <v>54</v>
      </c>
      <c r="Z99" s="41">
        <f>IFERROR(IF(Y99=0,"",ROUNDUP(Y99/H99,0)*0.01898),"")</f>
        <v>9.4899999999999998E-2</v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51.898148148148145</v>
      </c>
      <c r="BN99" s="78">
        <f t="shared" ref="BN99:BN105" si="7">IFERROR(Y99*I99/H99,"0")</f>
        <v>56.05</v>
      </c>
      <c r="BO99" s="78">
        <f t="shared" ref="BO99:BO105" si="8">IFERROR(1/J99*(X99/H99),"0")</f>
        <v>7.2337962962962965E-2</v>
      </c>
      <c r="BP99" s="78">
        <f t="shared" ref="BP99:BP105" si="9">IFERROR(1/J99*(Y99/H99),"0")</f>
        <v>7.8125E-2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4.6296296296296298</v>
      </c>
      <c r="Y106" s="43">
        <f>IFERROR(Y99/H99,"0")+IFERROR(Y100/H100,"0")+IFERROR(Y101/H101,"0")+IFERROR(Y102/H102,"0")+IFERROR(Y103/H103,"0")+IFERROR(Y104/H104,"0")+IFERROR(Y105/H105,"0")</f>
        <v>5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9.4899999999999998E-2</v>
      </c>
      <c r="AA106" s="67"/>
      <c r="AB106" s="67"/>
      <c r="AC106" s="67"/>
    </row>
    <row r="107" spans="1:68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50</v>
      </c>
      <c r="Y107" s="43">
        <f>IFERROR(SUM(Y99:Y105),"0")</f>
        <v>54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470</v>
      </c>
      <c r="Y117" s="55">
        <f>IFERROR(IF(X117="",0,CEILING((X117/$H117),1)*$H117),"")</f>
        <v>477.9</v>
      </c>
      <c r="Z117" s="41">
        <f>IFERROR(IF(Y117=0,"",ROUNDUP(Y117/H117,0)*0.01898),"")</f>
        <v>1.11982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498.31604938271602</v>
      </c>
      <c r="BN117" s="78">
        <f>IFERROR(Y117*I117/H117,"0")</f>
        <v>506.69199999999995</v>
      </c>
      <c r="BO117" s="78">
        <f>IFERROR(1/J117*(X117/H117),"0")</f>
        <v>0.90663580246913589</v>
      </c>
      <c r="BP117" s="78">
        <f>IFERROR(1/J117*(Y117/H117),"0")</f>
        <v>0.921875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58.024691358024697</v>
      </c>
      <c r="Y121" s="43">
        <f>IFERROR(Y117/H117,"0")+IFERROR(Y118/H118,"0")+IFERROR(Y119/H119,"0")+IFERROR(Y120/H120,"0")</f>
        <v>59</v>
      </c>
      <c r="Z121" s="43">
        <f>IFERROR(IF(Z117="",0,Z117),"0")+IFERROR(IF(Z118="",0,Z118),"0")+IFERROR(IF(Z119="",0,Z119),"0")+IFERROR(IF(Z120="",0,Z120),"0")</f>
        <v>1.11982</v>
      </c>
      <c r="AA121" s="67"/>
      <c r="AB121" s="67"/>
      <c r="AC121" s="67"/>
    </row>
    <row r="122" spans="1:68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470</v>
      </c>
      <c r="Y122" s="43">
        <f>IFERROR(SUM(Y117:Y120),"0")</f>
        <v>477.9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1</v>
      </c>
      <c r="Y159" s="55">
        <f>IFERROR(IF(X159="",0,CEILING((X159/$H159),1)*$H159),"")</f>
        <v>1.28</v>
      </c>
      <c r="Z159" s="41">
        <f>IFERROR(IF(Y159=0,"",ROUNDUP(Y159/H159,0)*0.00337),"")</f>
        <v>1.3480000000000001E-2</v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1.5625</v>
      </c>
      <c r="BN159" s="78">
        <f>IFERROR(Y159*I159/H159,"0")</f>
        <v>2</v>
      </c>
      <c r="BO159" s="78">
        <f>IFERROR(1/J159*(X159/H159),"0")</f>
        <v>9.46969696969697E-3</v>
      </c>
      <c r="BP159" s="78">
        <f>IFERROR(1/J159*(Y159/H159),"0")</f>
        <v>1.2121212121212121E-2</v>
      </c>
    </row>
    <row r="160" spans="1:68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3.125</v>
      </c>
      <c r="Y160" s="43">
        <f>IFERROR(Y159/H159,"0")</f>
        <v>4</v>
      </c>
      <c r="Z160" s="43">
        <f>IFERROR(IF(Z159="",0,Z159),"0")</f>
        <v>1.3480000000000001E-2</v>
      </c>
      <c r="AA160" s="67"/>
      <c r="AB160" s="67"/>
      <c r="AC160" s="67"/>
    </row>
    <row r="161" spans="1:68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1</v>
      </c>
      <c r="Y161" s="43">
        <f>IFERROR(SUM(Y159:Y159),"0")</f>
        <v>1.28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46</v>
      </c>
      <c r="Y175" s="55">
        <f t="shared" ref="Y175:Y185" si="16">IFERROR(IF(X175="",0,CEILING((X175/$H175),1)*$H175),"")</f>
        <v>49</v>
      </c>
      <c r="Z175" s="41">
        <f>IFERROR(IF(Y175=0,"",ROUNDUP(Y175/H175,0)*0.00902),"")</f>
        <v>0.12628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48.497142857142862</v>
      </c>
      <c r="BN175" s="78">
        <f t="shared" ref="BN175:BN185" si="18">IFERROR(Y175*I175/H175,"0")</f>
        <v>51.660000000000004</v>
      </c>
      <c r="BO175" s="78">
        <f t="shared" ref="BO175:BO185" si="19">IFERROR(1/J175*(X175/H175),"0")</f>
        <v>9.9567099567099568E-2</v>
      </c>
      <c r="BP175" s="78">
        <f t="shared" ref="BP175:BP185" si="20">IFERROR(1/J175*(Y175/H175),"0")</f>
        <v>0.10606060606060606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50</v>
      </c>
      <c r="Y176" s="55">
        <f t="shared" si="16"/>
        <v>52.5</v>
      </c>
      <c r="Z176" s="41">
        <f>IFERROR(IF(Y176=0,"",ROUNDUP(Y176/H176,0)*0.00902),"")</f>
        <v>0.1353</v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53.785714285714285</v>
      </c>
      <c r="BN176" s="78">
        <f t="shared" si="18"/>
        <v>56.475000000000001</v>
      </c>
      <c r="BO176" s="78">
        <f t="shared" si="19"/>
        <v>0.10822510822510824</v>
      </c>
      <c r="BP176" s="78">
        <f t="shared" si="20"/>
        <v>0.11363636363636365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50</v>
      </c>
      <c r="Y177" s="55">
        <f t="shared" si="16"/>
        <v>52.5</v>
      </c>
      <c r="Z177" s="41">
        <f>IFERROR(IF(Y177=0,"",ROUNDUP(Y177/H177,0)*0.00902),"")</f>
        <v>0.1353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52.714285714285715</v>
      </c>
      <c r="BN177" s="78">
        <f t="shared" si="18"/>
        <v>55.35</v>
      </c>
      <c r="BO177" s="78">
        <f t="shared" si="19"/>
        <v>0.10822510822510824</v>
      </c>
      <c r="BP177" s="78">
        <f t="shared" si="20"/>
        <v>0.11363636363636365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8</v>
      </c>
      <c r="Y178" s="55">
        <f t="shared" si="16"/>
        <v>10.5</v>
      </c>
      <c r="Z178" s="41">
        <f>IFERROR(IF(Y178=0,"",ROUNDUP(Y178/H178,0)*0.00902),"")</f>
        <v>2.7060000000000001E-2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8.4342857142857142</v>
      </c>
      <c r="BN178" s="78">
        <f t="shared" si="18"/>
        <v>11.069999999999999</v>
      </c>
      <c r="BO178" s="78">
        <f t="shared" si="19"/>
        <v>1.7316017316017316E-2</v>
      </c>
      <c r="BP178" s="78">
        <f t="shared" si="20"/>
        <v>2.2727272727272728E-2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44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47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0.42393999999999998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154</v>
      </c>
      <c r="Y187" s="43">
        <f>IFERROR(SUM(Y175:Y185),"0")</f>
        <v>164.5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40</v>
      </c>
      <c r="Y223" s="55">
        <f t="shared" si="27"/>
        <v>42</v>
      </c>
      <c r="Z223" s="41">
        <f>IFERROR(IF(Y223=0,"",ROUNDUP(Y223/H223,0)*0.00902),"")</f>
        <v>9.0200000000000002E-2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41.809523809523803</v>
      </c>
      <c r="BN223" s="78">
        <f t="shared" si="29"/>
        <v>43.9</v>
      </c>
      <c r="BO223" s="78">
        <f t="shared" si="30"/>
        <v>7.2150072150072145E-2</v>
      </c>
      <c r="BP223" s="78">
        <f t="shared" si="31"/>
        <v>7.575757575757576E-2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9.5238095238095237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9.0200000000000002E-2</v>
      </c>
      <c r="AA235" s="67"/>
      <c r="AB235" s="67"/>
      <c r="AC235" s="67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40</v>
      </c>
      <c r="Y236" s="43">
        <f>IFERROR(SUM(Y221:Y234),"0")</f>
        <v>42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30</v>
      </c>
      <c r="Y257" s="55">
        <f>IFERROR(IF(X257="",0,CEILING((X257/$H257),1)*$H257),"")</f>
        <v>32.400000000000006</v>
      </c>
      <c r="Z257" s="41">
        <f>IFERROR(IF(Y257=0,"",ROUNDUP(Y257/H257,0)*0.01898),"")</f>
        <v>5.6940000000000004E-2</v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31.138888888888889</v>
      </c>
      <c r="BN257" s="78">
        <f>IFERROR(Y257*I257/H257,"0")</f>
        <v>33.630000000000003</v>
      </c>
      <c r="BO257" s="78">
        <f>IFERROR(1/J257*(X257/H257),"0")</f>
        <v>4.3402777777777776E-2</v>
      </c>
      <c r="BP257" s="78">
        <f>IFERROR(1/J257*(Y257/H257),"0")</f>
        <v>4.6875000000000007E-2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2.7777777777777777</v>
      </c>
      <c r="Y259" s="43">
        <f>IFERROR(Y257/H257,"0")+IFERROR(Y258/H258,"0")</f>
        <v>3.0000000000000004</v>
      </c>
      <c r="Z259" s="43">
        <f>IFERROR(IF(Z257="",0,Z257),"0")+IFERROR(IF(Z258="",0,Z258),"0")</f>
        <v>5.6940000000000004E-2</v>
      </c>
      <c r="AA259" s="67"/>
      <c r="AB259" s="67"/>
      <c r="AC259" s="67"/>
    </row>
    <row r="260" spans="1:68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30</v>
      </c>
      <c r="Y260" s="43">
        <f>IFERROR(SUM(Y257:Y258),"0")</f>
        <v>32.400000000000006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150</v>
      </c>
      <c r="Y267" s="55">
        <f t="shared" ref="Y267:Y274" si="33">IFERROR(IF(X267="",0,CEILING((X267/$H267),1)*$H267),"")</f>
        <v>151.20000000000002</v>
      </c>
      <c r="Z267" s="41">
        <f>IFERROR(IF(Y267=0,"",ROUNDUP(Y267/H267,0)*0.00902),"")</f>
        <v>0.25256000000000001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155.27777777777777</v>
      </c>
      <c r="BN267" s="78">
        <f t="shared" ref="BN267:BN274" si="35">IFERROR(Y267*I267/H267,"0")</f>
        <v>156.52000000000001</v>
      </c>
      <c r="BO267" s="78">
        <f t="shared" ref="BO267:BO274" si="36">IFERROR(1/J267*(X267/H267),"0")</f>
        <v>0.21043771043771042</v>
      </c>
      <c r="BP267" s="78">
        <f t="shared" ref="BP267:BP274" si="37">IFERROR(1/J267*(Y267/H267),"0")</f>
        <v>0.21212121212121213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130</v>
      </c>
      <c r="Y268" s="55">
        <f t="shared" si="33"/>
        <v>135</v>
      </c>
      <c r="Z268" s="41">
        <f>IFERROR(IF(Y268=0,"",ROUNDUP(Y268/H268,0)*0.00902),"")</f>
        <v>0.22550000000000001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134.57407407407405</v>
      </c>
      <c r="BN268" s="78">
        <f t="shared" si="35"/>
        <v>139.75</v>
      </c>
      <c r="BO268" s="78">
        <f t="shared" si="36"/>
        <v>0.18237934904601572</v>
      </c>
      <c r="BP268" s="78">
        <f t="shared" si="37"/>
        <v>0.18939393939393939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150</v>
      </c>
      <c r="Y269" s="55">
        <f t="shared" si="33"/>
        <v>151.20000000000002</v>
      </c>
      <c r="Z269" s="41">
        <f>IFERROR(IF(Y269=0,"",ROUNDUP(Y269/H269,0)*0.00902),"")</f>
        <v>0.25256000000000001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155.27777777777777</v>
      </c>
      <c r="BN269" s="78">
        <f t="shared" si="35"/>
        <v>156.52000000000001</v>
      </c>
      <c r="BO269" s="78">
        <f t="shared" si="36"/>
        <v>0.21043771043771042</v>
      </c>
      <c r="BP269" s="78">
        <f t="shared" si="37"/>
        <v>0.21212121212121213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270</v>
      </c>
      <c r="Y270" s="55">
        <f t="shared" si="33"/>
        <v>270</v>
      </c>
      <c r="Z270" s="41">
        <f>IFERROR(IF(Y270=0,"",ROUNDUP(Y270/H270,0)*0.00902),"")</f>
        <v>0.45100000000000001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279.5</v>
      </c>
      <c r="BN270" s="78">
        <f t="shared" si="35"/>
        <v>279.5</v>
      </c>
      <c r="BO270" s="78">
        <f t="shared" si="36"/>
        <v>0.37878787878787878</v>
      </c>
      <c r="BP270" s="78">
        <f t="shared" si="37"/>
        <v>0.37878787878787878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5</v>
      </c>
      <c r="Y271" s="55">
        <f t="shared" si="33"/>
        <v>5.4</v>
      </c>
      <c r="Z271" s="41">
        <f>IFERROR(IF(Y271=0,"",ROUNDUP(Y271/H271,0)*0.00502),"")</f>
        <v>1.506E-2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5.3611111111111116</v>
      </c>
      <c r="BN271" s="78">
        <f t="shared" si="35"/>
        <v>5.79</v>
      </c>
      <c r="BO271" s="78">
        <f t="shared" si="36"/>
        <v>1.1870845204178538E-2</v>
      </c>
      <c r="BP271" s="78">
        <f t="shared" si="37"/>
        <v>1.2820512820512822E-2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5</v>
      </c>
      <c r="Y272" s="55">
        <f t="shared" si="33"/>
        <v>5.4</v>
      </c>
      <c r="Z272" s="41">
        <f>IFERROR(IF(Y272=0,"",ROUNDUP(Y272/H272,0)*0.00502),"")</f>
        <v>1.506E-2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5.2777777777777777</v>
      </c>
      <c r="BN272" s="78">
        <f t="shared" si="35"/>
        <v>5.7</v>
      </c>
      <c r="BO272" s="78">
        <f t="shared" si="36"/>
        <v>1.1870845204178538E-2</v>
      </c>
      <c r="BP272" s="78">
        <f t="shared" si="37"/>
        <v>1.2820512820512822E-2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5</v>
      </c>
      <c r="Y273" s="55">
        <f t="shared" si="33"/>
        <v>5.4</v>
      </c>
      <c r="Z273" s="41">
        <f>IFERROR(IF(Y273=0,"",ROUNDUP(Y273/H273,0)*0.00502),"")</f>
        <v>1.506E-2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5.2777777777777777</v>
      </c>
      <c r="BN273" s="78">
        <f t="shared" si="35"/>
        <v>5.7</v>
      </c>
      <c r="BO273" s="78">
        <f t="shared" si="36"/>
        <v>1.1870845204178538E-2</v>
      </c>
      <c r="BP273" s="78">
        <f t="shared" si="37"/>
        <v>1.2820512820512822E-2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5</v>
      </c>
      <c r="Y274" s="55">
        <f t="shared" si="33"/>
        <v>5.4</v>
      </c>
      <c r="Z274" s="41">
        <f>IFERROR(IF(Y274=0,"",ROUNDUP(Y274/H274,0)*0.00502),"")</f>
        <v>1.506E-2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5.2777777777777777</v>
      </c>
      <c r="BN274" s="78">
        <f t="shared" si="35"/>
        <v>5.7</v>
      </c>
      <c r="BO274" s="78">
        <f t="shared" si="36"/>
        <v>1.1870845204178538E-2</v>
      </c>
      <c r="BP274" s="78">
        <f t="shared" si="37"/>
        <v>1.2820512820512822E-2</v>
      </c>
    </row>
    <row r="275" spans="1:68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140.7407407407407</v>
      </c>
      <c r="Y275" s="43">
        <f>IFERROR(Y267/H267,"0")+IFERROR(Y268/H268,"0")+IFERROR(Y269/H269,"0")+IFERROR(Y270/H270,"0")+IFERROR(Y271/H271,"0")+IFERROR(Y272/H272,"0")+IFERROR(Y273/H273,"0")+IFERROR(Y274/H274,"0")</f>
        <v>143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1.2418600000000004</v>
      </c>
      <c r="AA275" s="67"/>
      <c r="AB275" s="67"/>
      <c r="AC275" s="67"/>
    </row>
    <row r="276" spans="1:68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720</v>
      </c>
      <c r="Y276" s="43">
        <f>IFERROR(SUM(Y267:Y274),"0")</f>
        <v>729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160</v>
      </c>
      <c r="Y280" s="55">
        <f t="shared" si="38"/>
        <v>165.29999999999998</v>
      </c>
      <c r="Z280" s="41">
        <f>IFERROR(IF(Y280=0,"",ROUNDUP(Y280/H280,0)*0.01898),"")</f>
        <v>0.36062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169.08505747126441</v>
      </c>
      <c r="BN280" s="78">
        <f t="shared" si="40"/>
        <v>174.68600000000001</v>
      </c>
      <c r="BO280" s="78">
        <f t="shared" si="41"/>
        <v>0.2873563218390805</v>
      </c>
      <c r="BP280" s="78">
        <f t="shared" si="42"/>
        <v>0.296875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120</v>
      </c>
      <c r="Y284" s="55">
        <f t="shared" si="38"/>
        <v>120</v>
      </c>
      <c r="Z284" s="41">
        <f>IFERROR(IF(Y284=0,"",ROUNDUP(Y284/H284,0)*0.00651),"")</f>
        <v>0.32550000000000001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132.60000000000002</v>
      </c>
      <c r="BN284" s="78">
        <f t="shared" si="40"/>
        <v>132.60000000000002</v>
      </c>
      <c r="BO284" s="78">
        <f t="shared" si="41"/>
        <v>0.27472527472527475</v>
      </c>
      <c r="BP284" s="78">
        <f t="shared" si="42"/>
        <v>0.27472527472527475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60</v>
      </c>
      <c r="Y287" s="55">
        <f t="shared" si="38"/>
        <v>60</v>
      </c>
      <c r="Z287" s="41">
        <f>IFERROR(IF(Y287=0,"",ROUNDUP(Y287/H287,0)*0.00651),"")</f>
        <v>0.16275000000000001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66.300000000000011</v>
      </c>
      <c r="BN287" s="78">
        <f t="shared" si="40"/>
        <v>66.300000000000011</v>
      </c>
      <c r="BO287" s="78">
        <f t="shared" si="41"/>
        <v>0.13736263736263737</v>
      </c>
      <c r="BP287" s="78">
        <f t="shared" si="42"/>
        <v>0.13736263736263737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312</v>
      </c>
      <c r="Y288" s="55">
        <f t="shared" si="38"/>
        <v>312</v>
      </c>
      <c r="Z288" s="41">
        <f>IFERROR(IF(Y288=0,"",ROUNDUP(Y288/H288,0)*0.00651),"")</f>
        <v>0.84630000000000005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345.53999999999996</v>
      </c>
      <c r="BN288" s="78">
        <f t="shared" si="40"/>
        <v>345.53999999999996</v>
      </c>
      <c r="BO288" s="78">
        <f t="shared" si="41"/>
        <v>0.7142857142857143</v>
      </c>
      <c r="BP288" s="78">
        <f t="shared" si="42"/>
        <v>0.7142857142857143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223.39080459770116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224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1.6951700000000001</v>
      </c>
      <c r="AA290" s="67"/>
      <c r="AB290" s="67"/>
      <c r="AC290" s="67"/>
    </row>
    <row r="291" spans="1:68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652</v>
      </c>
      <c r="Y291" s="43">
        <f>IFERROR(SUM(Y278:Y289),"0")</f>
        <v>657.3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240</v>
      </c>
      <c r="Y326" s="55">
        <f>IFERROR(IF(X326="",0,CEILING((X326/$H326),1)*$H326),"")</f>
        <v>248.4</v>
      </c>
      <c r="Z326" s="41">
        <f>IFERROR(IF(Y326=0,"",ROUNDUP(Y326/H326,0)*0.01898),"")</f>
        <v>0.43653999999999998</v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249.11111111111111</v>
      </c>
      <c r="BN326" s="78">
        <f>IFERROR(Y326*I326/H326,"0")</f>
        <v>257.83</v>
      </c>
      <c r="BO326" s="78">
        <f>IFERROR(1/J326*(X326/H326),"0")</f>
        <v>0.34722222222222221</v>
      </c>
      <c r="BP326" s="78">
        <f>IFERROR(1/J326*(Y326/H326),"0")</f>
        <v>0.359375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8</v>
      </c>
      <c r="Y328" s="55">
        <f>IFERROR(IF(X328="",0,CEILING((X328/$H328),1)*$H328),"")</f>
        <v>8</v>
      </c>
      <c r="Z328" s="41">
        <f>IFERROR(IF(Y328=0,"",ROUNDUP(Y328/H328,0)*0.00902),"")</f>
        <v>1.804E-2</v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8.3800000000000008</v>
      </c>
      <c r="BN328" s="78">
        <f>IFERROR(Y328*I328/H328,"0")</f>
        <v>8.3800000000000008</v>
      </c>
      <c r="BO328" s="78">
        <f>IFERROR(1/J328*(X328/H328),"0")</f>
        <v>1.5151515151515152E-2</v>
      </c>
      <c r="BP328" s="78">
        <f>IFERROR(1/J328*(Y328/H328),"0")</f>
        <v>1.5151515151515152E-2</v>
      </c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24.222222222222221</v>
      </c>
      <c r="Y329" s="43">
        <f>IFERROR(Y324/H324,"0")+IFERROR(Y325/H325,"0")+IFERROR(Y326/H326,"0")+IFERROR(Y327/H327,"0")+IFERROR(Y328/H328,"0")</f>
        <v>25</v>
      </c>
      <c r="Z329" s="43">
        <f>IFERROR(IF(Z324="",0,Z324),"0")+IFERROR(IF(Z325="",0,Z325),"0")+IFERROR(IF(Z326="",0,Z326),"0")+IFERROR(IF(Z327="",0,Z327),"0")+IFERROR(IF(Z328="",0,Z328),"0")</f>
        <v>0.45457999999999998</v>
      </c>
      <c r="AA329" s="67"/>
      <c r="AB329" s="67"/>
      <c r="AC329" s="67"/>
    </row>
    <row r="330" spans="1:68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248</v>
      </c>
      <c r="Y330" s="43">
        <f>IFERROR(SUM(Y324:Y328),"0")</f>
        <v>256.39999999999998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7</v>
      </c>
      <c r="Y354" s="55">
        <f>IFERROR(IF(X354="",0,CEILING((X354/$H354),1)*$H354),"")</f>
        <v>7.8</v>
      </c>
      <c r="Z354" s="41">
        <f>IFERROR(IF(Y354=0,"",ROUNDUP(Y354/H354,0)*0.01898),"")</f>
        <v>1.898E-2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7.3679487179487193</v>
      </c>
      <c r="BN354" s="78">
        <f>IFERROR(Y354*I354/H354,"0")</f>
        <v>8.2100000000000009</v>
      </c>
      <c r="BO354" s="78">
        <f>IFERROR(1/J354*(X354/H354),"0")</f>
        <v>1.4022435897435898E-2</v>
      </c>
      <c r="BP354" s="78">
        <f>IFERROR(1/J354*(Y354/H354),"0")</f>
        <v>1.5625E-2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37</v>
      </c>
      <c r="Y355" s="55">
        <f>IFERROR(IF(X355="",0,CEILING((X355/$H355),1)*$H355),"")</f>
        <v>39</v>
      </c>
      <c r="Z355" s="41">
        <f>IFERROR(IF(Y355=0,"",ROUNDUP(Y355/H355,0)*0.01898),"")</f>
        <v>9.4899999999999998E-2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38.944871794871801</v>
      </c>
      <c r="BN355" s="78">
        <f>IFERROR(Y355*I355/H355,"0")</f>
        <v>41.050000000000011</v>
      </c>
      <c r="BO355" s="78">
        <f>IFERROR(1/J355*(X355/H355),"0")</f>
        <v>7.4118589743589744E-2</v>
      </c>
      <c r="BP355" s="78">
        <f>IFERROR(1/J355*(Y355/H355),"0")</f>
        <v>7.8125E-2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37</v>
      </c>
      <c r="Y356" s="55">
        <f>IFERROR(IF(X356="",0,CEILING((X356/$H356),1)*$H356),"")</f>
        <v>39</v>
      </c>
      <c r="Z356" s="41">
        <f>IFERROR(IF(Y356=0,"",ROUNDUP(Y356/H356,0)*0.01898),"")</f>
        <v>9.4899999999999998E-2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38.944871794871801</v>
      </c>
      <c r="BN356" s="78">
        <f>IFERROR(Y356*I356/H356,"0")</f>
        <v>41.050000000000011</v>
      </c>
      <c r="BO356" s="78">
        <f>IFERROR(1/J356*(X356/H356),"0")</f>
        <v>7.4118589743589744E-2</v>
      </c>
      <c r="BP356" s="78">
        <f>IFERROR(1/J356*(Y356/H356),"0")</f>
        <v>7.8125E-2</v>
      </c>
    </row>
    <row r="357" spans="1:68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10.384615384615385</v>
      </c>
      <c r="Y357" s="43">
        <f>IFERROR(Y354/H354,"0")+IFERROR(Y355/H355,"0")+IFERROR(Y356/H356,"0")</f>
        <v>11</v>
      </c>
      <c r="Z357" s="43">
        <f>IFERROR(IF(Z354="",0,Z354),"0")+IFERROR(IF(Z355="",0,Z355),"0")+IFERROR(IF(Z356="",0,Z356),"0")</f>
        <v>0.20877999999999999</v>
      </c>
      <c r="AA357" s="67"/>
      <c r="AB357" s="67"/>
      <c r="AC357" s="67"/>
    </row>
    <row r="358" spans="1:68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81</v>
      </c>
      <c r="Y358" s="43">
        <f>IFERROR(SUM(Y354:Y356),"0")</f>
        <v>85.8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400</v>
      </c>
      <c r="Y361" s="55">
        <f t="shared" ref="Y361:Y366" si="48">IFERROR(IF(X361="",0,CEILING((X361/$H361),1)*$H361),"")</f>
        <v>410.40000000000003</v>
      </c>
      <c r="Z361" s="41">
        <f>IFERROR(IF(Y361=0,"",ROUNDUP(Y361/H361,0)*0.01898),"")</f>
        <v>0.72123999999999999</v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415.18518518518516</v>
      </c>
      <c r="BN361" s="78">
        <f t="shared" ref="BN361:BN366" si="50">IFERROR(Y361*I361/H361,"0")</f>
        <v>425.98</v>
      </c>
      <c r="BO361" s="78">
        <f t="shared" ref="BO361:BO366" si="51">IFERROR(1/J361*(X361/H361),"0")</f>
        <v>0.57870370370370372</v>
      </c>
      <c r="BP361" s="78">
        <f t="shared" ref="BP361:BP366" si="52">IFERROR(1/J361*(Y361/H361),"0")</f>
        <v>0.59375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60</v>
      </c>
      <c r="Y362" s="55">
        <f t="shared" si="48"/>
        <v>64.800000000000011</v>
      </c>
      <c r="Z362" s="41">
        <f>IFERROR(IF(Y362=0,"",ROUNDUP(Y362/H362,0)*0.01898),"")</f>
        <v>0.11388000000000001</v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62.277777777777779</v>
      </c>
      <c r="BN362" s="78">
        <f t="shared" si="50"/>
        <v>67.260000000000005</v>
      </c>
      <c r="BO362" s="78">
        <f t="shared" si="51"/>
        <v>8.6805555555555552E-2</v>
      </c>
      <c r="BP362" s="78">
        <f t="shared" si="52"/>
        <v>9.3750000000000014E-2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40</v>
      </c>
      <c r="Y363" s="55">
        <f t="shared" si="48"/>
        <v>43.2</v>
      </c>
      <c r="Z363" s="41">
        <f>IFERROR(IF(Y363=0,"",ROUNDUP(Y363/H363,0)*0.01898),"")</f>
        <v>7.5920000000000001E-2</v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41.518518518518519</v>
      </c>
      <c r="BN363" s="78">
        <f t="shared" si="50"/>
        <v>44.84</v>
      </c>
      <c r="BO363" s="78">
        <f t="shared" si="51"/>
        <v>5.7870370370370364E-2</v>
      </c>
      <c r="BP363" s="78">
        <f t="shared" si="52"/>
        <v>6.25E-2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10</v>
      </c>
      <c r="Y365" s="55">
        <f t="shared" si="48"/>
        <v>12</v>
      </c>
      <c r="Z365" s="41">
        <f>IFERROR(IF(Y365=0,"",ROUNDUP(Y365/H365,0)*0.00902),"")</f>
        <v>2.7060000000000001E-2</v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10.475000000000001</v>
      </c>
      <c r="BN365" s="78">
        <f t="shared" si="50"/>
        <v>12.57</v>
      </c>
      <c r="BO365" s="78">
        <f t="shared" si="51"/>
        <v>1.893939393939394E-2</v>
      </c>
      <c r="BP365" s="78">
        <f t="shared" si="52"/>
        <v>2.2727272727272728E-2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48.796296296296298</v>
      </c>
      <c r="Y367" s="43">
        <f>IFERROR(Y361/H361,"0")+IFERROR(Y362/H362,"0")+IFERROR(Y363/H363,"0")+IFERROR(Y364/H364,"0")+IFERROR(Y365/H365,"0")+IFERROR(Y366/H366,"0")</f>
        <v>51</v>
      </c>
      <c r="Z367" s="43">
        <f>IFERROR(IF(Z361="",0,Z361),"0")+IFERROR(IF(Z362="",0,Z362),"0")+IFERROR(IF(Z363="",0,Z363),"0")+IFERROR(IF(Z364="",0,Z364),"0")+IFERROR(IF(Z365="",0,Z365),"0")+IFERROR(IF(Z366="",0,Z366),"0")</f>
        <v>0.93809999999999993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510</v>
      </c>
      <c r="Y368" s="43">
        <f>IFERROR(SUM(Y361:Y366),"0")</f>
        <v>530.40000000000009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350</v>
      </c>
      <c r="Y370" s="55">
        <f t="shared" ref="Y370:Y376" si="53">IFERROR(IF(X370="",0,CEILING((X370/$H370),1)*$H370),"")</f>
        <v>352.8</v>
      </c>
      <c r="Z370" s="41">
        <f>IFERROR(IF(Y370=0,"",ROUNDUP(Y370/H370,0)*0.00902),"")</f>
        <v>0.75768000000000002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370.83333333333331</v>
      </c>
      <c r="BN370" s="78">
        <f t="shared" ref="BN370:BN376" si="55">IFERROR(Y370*I370/H370,"0")</f>
        <v>373.8</v>
      </c>
      <c r="BO370" s="78">
        <f t="shared" ref="BO370:BO376" si="56">IFERROR(1/J370*(X370/H370),"0")</f>
        <v>0.63131313131313127</v>
      </c>
      <c r="BP370" s="78">
        <f t="shared" ref="BP370:BP376" si="57">IFERROR(1/J370*(Y370/H370),"0")</f>
        <v>0.63636363636363635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800</v>
      </c>
      <c r="Y371" s="55">
        <f t="shared" si="53"/>
        <v>802.2</v>
      </c>
      <c r="Z371" s="41">
        <f>IFERROR(IF(Y371=0,"",ROUNDUP(Y371/H371,0)*0.00902),"")</f>
        <v>1.72282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847.61904761904759</v>
      </c>
      <c r="BN371" s="78">
        <f t="shared" si="55"/>
        <v>849.95</v>
      </c>
      <c r="BO371" s="78">
        <f t="shared" si="56"/>
        <v>1.4430014430014431</v>
      </c>
      <c r="BP371" s="78">
        <f t="shared" si="57"/>
        <v>1.446969696969697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273.8095238095238</v>
      </c>
      <c r="Y377" s="43">
        <f>IFERROR(Y370/H370,"0")+IFERROR(Y371/H371,"0")+IFERROR(Y372/H372,"0")+IFERROR(Y373/H373,"0")+IFERROR(Y374/H374,"0")+IFERROR(Y375/H375,"0")+IFERROR(Y376/H376,"0")</f>
        <v>275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2.4805000000000001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1150</v>
      </c>
      <c r="Y378" s="43">
        <f>IFERROR(SUM(Y370:Y376),"0")</f>
        <v>1155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120</v>
      </c>
      <c r="Y387" s="55">
        <f>IFERROR(IF(X387="",0,CEILING((X387/$H387),1)*$H387),"")</f>
        <v>126</v>
      </c>
      <c r="Z387" s="41">
        <f>IFERROR(IF(Y387=0,"",ROUNDUP(Y387/H387,0)*0.01898),"")</f>
        <v>0.28470000000000001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127.05714285714285</v>
      </c>
      <c r="BN387" s="78">
        <f>IFERROR(Y387*I387/H387,"0")</f>
        <v>133.41</v>
      </c>
      <c r="BO387" s="78">
        <f>IFERROR(1/J387*(X387/H387),"0")</f>
        <v>0.2232142857142857</v>
      </c>
      <c r="BP387" s="78">
        <f>IFERROR(1/J387*(Y387/H387),"0")</f>
        <v>0.234375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1000</v>
      </c>
      <c r="Y388" s="55">
        <f>IFERROR(IF(X388="",0,CEILING((X388/$H388),1)*$H388),"")</f>
        <v>1006.1999999999999</v>
      </c>
      <c r="Z388" s="41">
        <f>IFERROR(IF(Y388=0,"",ROUNDUP(Y388/H388,0)*0.01898),"")</f>
        <v>2.44842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1063.3333333333333</v>
      </c>
      <c r="BN388" s="78">
        <f>IFERROR(Y388*I388/H388,"0")</f>
        <v>1069.9260000000002</v>
      </c>
      <c r="BO388" s="78">
        <f>IFERROR(1/J388*(X388/H388),"0")</f>
        <v>2.0032051282051282</v>
      </c>
      <c r="BP388" s="78">
        <f>IFERROR(1/J388*(Y388/H388),"0")</f>
        <v>2.015625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80</v>
      </c>
      <c r="Y389" s="55">
        <f>IFERROR(IF(X389="",0,CEILING((X389/$H389),1)*$H389),"")</f>
        <v>84</v>
      </c>
      <c r="Z389" s="41">
        <f>IFERROR(IF(Y389=0,"",ROUNDUP(Y389/H389,0)*0.01898),"")</f>
        <v>0.1898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84.704761904761895</v>
      </c>
      <c r="BN389" s="78">
        <f>IFERROR(Y389*I389/H389,"0")</f>
        <v>88.94</v>
      </c>
      <c r="BO389" s="78">
        <f>IFERROR(1/J389*(X389/H389),"0")</f>
        <v>0.14880952380952381</v>
      </c>
      <c r="BP389" s="78">
        <f>IFERROR(1/J389*(Y389/H389),"0")</f>
        <v>0.15625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152.014652014652</v>
      </c>
      <c r="Y390" s="43">
        <f>IFERROR(Y387/H387,"0")+IFERROR(Y388/H388,"0")+IFERROR(Y389/H389,"0")</f>
        <v>154</v>
      </c>
      <c r="Z390" s="43">
        <f>IFERROR(IF(Z387="",0,Z387),"0")+IFERROR(IF(Z388="",0,Z388),"0")+IFERROR(IF(Z389="",0,Z389),"0")</f>
        <v>2.92292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1200</v>
      </c>
      <c r="Y391" s="43">
        <f>IFERROR(SUM(Y387:Y389),"0")</f>
        <v>1216.1999999999998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160</v>
      </c>
      <c r="Y419" s="55">
        <f>IFERROR(IF(X419="",0,CEILING((X419/$H419),1)*$H419),"")</f>
        <v>162</v>
      </c>
      <c r="Z419" s="41">
        <f>IFERROR(IF(Y419=0,"",ROUNDUP(Y419/H419,0)*0.01898),"")</f>
        <v>0.37959999999999999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169.75802469135803</v>
      </c>
      <c r="BN419" s="78">
        <f>IFERROR(Y419*I419/H419,"0")</f>
        <v>171.88</v>
      </c>
      <c r="BO419" s="78">
        <f>IFERROR(1/J419*(X419/H419),"0")</f>
        <v>0.30864197530864201</v>
      </c>
      <c r="BP419" s="78">
        <f>IFERROR(1/J419*(Y419/H419),"0")</f>
        <v>0.3125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19.753086419753089</v>
      </c>
      <c r="Y422" s="43">
        <f>IFERROR(Y419/H419,"0")+IFERROR(Y420/H420,"0")+IFERROR(Y421/H421,"0")</f>
        <v>20</v>
      </c>
      <c r="Z422" s="43">
        <f>IFERROR(IF(Z419="",0,Z419),"0")+IFERROR(IF(Z420="",0,Z420),"0")+IFERROR(IF(Z421="",0,Z421),"0")</f>
        <v>0.37959999999999999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160</v>
      </c>
      <c r="Y423" s="43">
        <f>IFERROR(SUM(Y419:Y421),"0")</f>
        <v>162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1500</v>
      </c>
      <c r="Y428" s="55">
        <f t="shared" si="58"/>
        <v>1500</v>
      </c>
      <c r="Z428" s="41">
        <f>IFERROR(IF(Y428=0,"",ROUNDUP(Y428/H428,0)*0.02175),"")</f>
        <v>2.1749999999999998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1547</v>
      </c>
      <c r="BN428" s="78">
        <f t="shared" si="60"/>
        <v>1547</v>
      </c>
      <c r="BO428" s="78">
        <f t="shared" si="61"/>
        <v>2.083333333333333</v>
      </c>
      <c r="BP428" s="78">
        <f t="shared" si="62"/>
        <v>2.083333333333333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750</v>
      </c>
      <c r="Y429" s="55">
        <f t="shared" si="58"/>
        <v>750</v>
      </c>
      <c r="Z429" s="41">
        <f>IFERROR(IF(Y429=0,"",ROUNDUP(Y429/H429,0)*0.02175),"")</f>
        <v>1.0874999999999999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773.5</v>
      </c>
      <c r="BN429" s="78">
        <f t="shared" si="60"/>
        <v>773.5</v>
      </c>
      <c r="BO429" s="78">
        <f t="shared" si="61"/>
        <v>1.0416666666666665</v>
      </c>
      <c r="BP429" s="78">
        <f t="shared" si="62"/>
        <v>1.0416666666666665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3000</v>
      </c>
      <c r="Y431" s="55">
        <f t="shared" si="58"/>
        <v>3000</v>
      </c>
      <c r="Z431" s="41">
        <f>IFERROR(IF(Y431=0,"",ROUNDUP(Y431/H431,0)*0.02175),"")</f>
        <v>4.3499999999999996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3094</v>
      </c>
      <c r="BN431" s="78">
        <f t="shared" si="60"/>
        <v>3094</v>
      </c>
      <c r="BO431" s="78">
        <f t="shared" si="61"/>
        <v>4.1666666666666661</v>
      </c>
      <c r="BP431" s="78">
        <f t="shared" si="62"/>
        <v>4.1666666666666661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5</v>
      </c>
      <c r="Y433" s="55">
        <f t="shared" si="58"/>
        <v>5</v>
      </c>
      <c r="Z433" s="41">
        <f>IFERROR(IF(Y433=0,"",ROUNDUP(Y433/H433,0)*0.00902),"")</f>
        <v>9.0200000000000002E-3</v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5.19</v>
      </c>
      <c r="BN433" s="78">
        <f t="shared" si="60"/>
        <v>5.19</v>
      </c>
      <c r="BO433" s="78">
        <f t="shared" si="61"/>
        <v>7.575757575757576E-3</v>
      </c>
      <c r="BP433" s="78">
        <f t="shared" si="62"/>
        <v>7.575757575757576E-3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5</v>
      </c>
      <c r="Y434" s="55">
        <f t="shared" si="58"/>
        <v>5</v>
      </c>
      <c r="Z434" s="41">
        <f>IFERROR(IF(Y434=0,"",ROUNDUP(Y434/H434,0)*0.00902),"")</f>
        <v>9.0200000000000002E-3</v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5.19</v>
      </c>
      <c r="BN434" s="78">
        <f t="shared" si="60"/>
        <v>5.19</v>
      </c>
      <c r="BO434" s="78">
        <f t="shared" si="61"/>
        <v>7.575757575757576E-3</v>
      </c>
      <c r="BP434" s="78">
        <f t="shared" si="62"/>
        <v>7.575757575757576E-3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352</v>
      </c>
      <c r="Y435" s="43">
        <f>IFERROR(Y427/H427,"0")+IFERROR(Y428/H428,"0")+IFERROR(Y429/H429,"0")+IFERROR(Y430/H430,"0")+IFERROR(Y431/H431,"0")+IFERROR(Y432/H432,"0")+IFERROR(Y433/H433,"0")+IFERROR(Y434/H434,"0")</f>
        <v>352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7.6305399999999981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5260</v>
      </c>
      <c r="Y436" s="43">
        <f>IFERROR(SUM(Y427:Y434),"0")</f>
        <v>5260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1800</v>
      </c>
      <c r="Y438" s="55">
        <f>IFERROR(IF(X438="",0,CEILING((X438/$H438),1)*$H438),"")</f>
        <v>1800</v>
      </c>
      <c r="Z438" s="41">
        <f>IFERROR(IF(Y438=0,"",ROUNDUP(Y438/H438,0)*0.02175),"")</f>
        <v>2.61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1856.4</v>
      </c>
      <c r="BN438" s="78">
        <f>IFERROR(Y438*I438/H438,"0")</f>
        <v>1856.4</v>
      </c>
      <c r="BO438" s="78">
        <f>IFERROR(1/J438*(X438/H438),"0")</f>
        <v>2.5</v>
      </c>
      <c r="BP438" s="78">
        <f>IFERROR(1/J438*(Y438/H438),"0")</f>
        <v>2.5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4</v>
      </c>
      <c r="Y440" s="55">
        <f>IFERROR(IF(X440="",0,CEILING((X440/$H440),1)*$H440),"")</f>
        <v>4</v>
      </c>
      <c r="Z440" s="41">
        <f>IFERROR(IF(Y440=0,"",ROUNDUP(Y440/H440,0)*0.00902),"")</f>
        <v>9.0200000000000002E-3</v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4.1900000000000004</v>
      </c>
      <c r="BN440" s="78">
        <f>IFERROR(Y440*I440/H440,"0")</f>
        <v>4.1900000000000004</v>
      </c>
      <c r="BO440" s="78">
        <f>IFERROR(1/J440*(X440/H440),"0")</f>
        <v>7.575757575757576E-3</v>
      </c>
      <c r="BP440" s="78">
        <f>IFERROR(1/J440*(Y440/H440),"0")</f>
        <v>7.575757575757576E-3</v>
      </c>
    </row>
    <row r="441" spans="1:68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121</v>
      </c>
      <c r="Y441" s="43">
        <f>IFERROR(Y438/H438,"0")+IFERROR(Y439/H439,"0")+IFERROR(Y440/H440,"0")</f>
        <v>121</v>
      </c>
      <c r="Z441" s="43">
        <f>IFERROR(IF(Z438="",0,Z438),"0")+IFERROR(IF(Z439="",0,Z439),"0")+IFERROR(IF(Z440="",0,Z440),"0")</f>
        <v>2.6190199999999999</v>
      </c>
      <c r="AA441" s="67"/>
      <c r="AB441" s="67"/>
      <c r="AC441" s="67"/>
    </row>
    <row r="442" spans="1:68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1804</v>
      </c>
      <c r="Y442" s="43">
        <f>IFERROR(SUM(Y438:Y440),"0")</f>
        <v>1804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1050</v>
      </c>
      <c r="Y444" s="55">
        <f>IFERROR(IF(X444="",0,CEILING((X444/$H444),1)*$H444),"")</f>
        <v>1053</v>
      </c>
      <c r="Z444" s="41">
        <f>IFERROR(IF(Y444=0,"",ROUNDUP(Y444/H444,0)*0.01898),"")</f>
        <v>2.2206600000000001</v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1108.3333333333333</v>
      </c>
      <c r="BN444" s="78">
        <f>IFERROR(Y444*I444/H444,"0")</f>
        <v>1111.5</v>
      </c>
      <c r="BO444" s="78">
        <f>IFERROR(1/J444*(X444/H444),"0")</f>
        <v>1.8229166666666667</v>
      </c>
      <c r="BP444" s="78">
        <f>IFERROR(1/J444*(Y444/H444),"0")</f>
        <v>1.828125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270</v>
      </c>
      <c r="Y445" s="55">
        <f>IFERROR(IF(X445="",0,CEILING((X445/$H445),1)*$H445),"")</f>
        <v>270</v>
      </c>
      <c r="Z445" s="41">
        <f>IFERROR(IF(Y445=0,"",ROUNDUP(Y445/H445,0)*0.01898),"")</f>
        <v>0.56940000000000002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284.82</v>
      </c>
      <c r="BN445" s="78">
        <f>IFERROR(Y445*I445/H445,"0")</f>
        <v>284.82</v>
      </c>
      <c r="BO445" s="78">
        <f>IFERROR(1/J445*(X445/H445),"0")</f>
        <v>0.46875</v>
      </c>
      <c r="BP445" s="78">
        <f>IFERROR(1/J445*(Y445/H445),"0")</f>
        <v>0.46875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146.66666666666669</v>
      </c>
      <c r="Y447" s="43">
        <f>IFERROR(Y444/H444,"0")+IFERROR(Y445/H445,"0")+IFERROR(Y446/H446,"0")</f>
        <v>147</v>
      </c>
      <c r="Z447" s="43">
        <f>IFERROR(IF(Z444="",0,Z444),"0")+IFERROR(IF(Z445="",0,Z445),"0")+IFERROR(IF(Z446="",0,Z446),"0")</f>
        <v>2.79006</v>
      </c>
      <c r="AA447" s="67"/>
      <c r="AB447" s="67"/>
      <c r="AC447" s="67"/>
    </row>
    <row r="448" spans="1:68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1320</v>
      </c>
      <c r="Y448" s="43">
        <f>IFERROR(SUM(Y444:Y446),"0")</f>
        <v>1323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250</v>
      </c>
      <c r="Y451" s="55">
        <f>IFERROR(IF(X451="",0,CEILING((X451/$H451),1)*$H451),"")</f>
        <v>252</v>
      </c>
      <c r="Z451" s="41">
        <f>IFERROR(IF(Y451=0,"",ROUNDUP(Y451/H451,0)*0.01898),"")</f>
        <v>0.53144000000000002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263.72222222222223</v>
      </c>
      <c r="BN451" s="78">
        <f>IFERROR(Y451*I451/H451,"0")</f>
        <v>265.83199999999999</v>
      </c>
      <c r="BO451" s="78">
        <f>IFERROR(1/J451*(X451/H451),"0")</f>
        <v>0.43402777777777779</v>
      </c>
      <c r="BP451" s="78">
        <f>IFERROR(1/J451*(Y451/H451),"0")</f>
        <v>0.4375</v>
      </c>
    </row>
    <row r="452" spans="1:68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27.777777777777779</v>
      </c>
      <c r="Y452" s="43">
        <f>IFERROR(Y450/H450,"0")+IFERROR(Y451/H451,"0")</f>
        <v>28</v>
      </c>
      <c r="Z452" s="43">
        <f>IFERROR(IF(Z450="",0,Z450),"0")+IFERROR(IF(Z451="",0,Z451),"0")</f>
        <v>0.53144000000000002</v>
      </c>
      <c r="AA452" s="67"/>
      <c r="AB452" s="67"/>
      <c r="AC452" s="67"/>
    </row>
    <row r="453" spans="1:68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250</v>
      </c>
      <c r="Y453" s="43">
        <f>IFERROR(SUM(Y450:Y451),"0")</f>
        <v>252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60</v>
      </c>
      <c r="Z456" s="41">
        <f>IFERROR(IF(Y456=0,"",ROUNDUP(Y456/H456,0)*0.01898),"")</f>
        <v>9.4899999999999998E-2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51.708333333333336</v>
      </c>
      <c r="BN456" s="78">
        <f>IFERROR(Y456*I456/H456,"0")</f>
        <v>62.050000000000004</v>
      </c>
      <c r="BO456" s="78">
        <f>IFERROR(1/J456*(X456/H456),"0")</f>
        <v>6.5104166666666671E-2</v>
      </c>
      <c r="BP456" s="78">
        <f>IFERROR(1/J456*(Y456/H456),"0")</f>
        <v>7.8125E-2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4.166666666666667</v>
      </c>
      <c r="Y458" s="43">
        <f>IFERROR(Y456/H456,"0")+IFERROR(Y457/H457,"0")</f>
        <v>5</v>
      </c>
      <c r="Z458" s="43">
        <f>IFERROR(IF(Z456="",0,Z456),"0")+IFERROR(IF(Z457="",0,Z457),"0")</f>
        <v>9.4899999999999998E-2</v>
      </c>
      <c r="AA458" s="67"/>
      <c r="AB458" s="67"/>
      <c r="AC458" s="67"/>
    </row>
    <row r="459" spans="1:68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50</v>
      </c>
      <c r="Y459" s="43">
        <f>IFERROR(SUM(Y456:Y457),"0")</f>
        <v>60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20</v>
      </c>
      <c r="Y461" s="55">
        <f>IFERROR(IF(X461="",0,CEILING((X461/$H461),1)*$H461),"")</f>
        <v>21</v>
      </c>
      <c r="Z461" s="41">
        <f>IFERROR(IF(Y461=0,"",ROUNDUP(Y461/H461,0)*0.00902),"")</f>
        <v>4.5100000000000001E-2</v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21.19047619047619</v>
      </c>
      <c r="BN461" s="78">
        <f>IFERROR(Y461*I461/H461,"0")</f>
        <v>22.25</v>
      </c>
      <c r="BO461" s="78">
        <f>IFERROR(1/J461*(X461/H461),"0")</f>
        <v>3.6075036075036072E-2</v>
      </c>
      <c r="BP461" s="78">
        <f>IFERROR(1/J461*(Y461/H461),"0")</f>
        <v>3.787878787878788E-2</v>
      </c>
    </row>
    <row r="462" spans="1:68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4.7619047619047619</v>
      </c>
      <c r="Y462" s="43">
        <f>IFERROR(Y461/H461,"0")</f>
        <v>5</v>
      </c>
      <c r="Z462" s="43">
        <f>IFERROR(IF(Z461="",0,Z461),"0")</f>
        <v>4.5100000000000001E-2</v>
      </c>
      <c r="AA462" s="67"/>
      <c r="AB462" s="67"/>
      <c r="AC462" s="67"/>
    </row>
    <row r="463" spans="1:68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20</v>
      </c>
      <c r="Y463" s="43">
        <f>IFERROR(SUM(Y461:Y461),"0")</f>
        <v>21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430</v>
      </c>
      <c r="Y465" s="55">
        <f>IFERROR(IF(X465="",0,CEILING((X465/$H465),1)*$H465),"")</f>
        <v>432</v>
      </c>
      <c r="Z465" s="41">
        <f>IFERROR(IF(Y465=0,"",ROUNDUP(Y465/H465,0)*0.01898),"")</f>
        <v>0.91104000000000007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453.60222222222222</v>
      </c>
      <c r="BN465" s="78">
        <f>IFERROR(Y465*I465/H465,"0")</f>
        <v>455.71199999999993</v>
      </c>
      <c r="BO465" s="78">
        <f>IFERROR(1/J465*(X465/H465),"0")</f>
        <v>0.74652777777777779</v>
      </c>
      <c r="BP465" s="78">
        <f>IFERROR(1/J465*(Y465/H465),"0")</f>
        <v>0.75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47.777777777777779</v>
      </c>
      <c r="Y468" s="43">
        <f>IFERROR(Y465/H465,"0")+IFERROR(Y466/H466,"0")+IFERROR(Y467/H467,"0")</f>
        <v>48</v>
      </c>
      <c r="Z468" s="43">
        <f>IFERROR(IF(Z465="",0,Z465),"0")+IFERROR(IF(Z466="",0,Z466),"0")+IFERROR(IF(Z467="",0,Z467),"0")</f>
        <v>0.91104000000000007</v>
      </c>
      <c r="AA468" s="67"/>
      <c r="AB468" s="67"/>
      <c r="AC468" s="67"/>
    </row>
    <row r="469" spans="1:68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430</v>
      </c>
      <c r="Y469" s="43">
        <f>IFERROR(SUM(Y465:Y467),"0")</f>
        <v>432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60</v>
      </c>
      <c r="Y473" s="55">
        <f t="shared" ref="Y473:Y478" si="63">IFERROR(IF(X473="",0,CEILING((X473/$H473),1)*$H473),"")</f>
        <v>64.800000000000011</v>
      </c>
      <c r="Z473" s="41">
        <f>IFERROR(IF(Y473=0,"",ROUNDUP(Y473/H473,0)*0.00902),"")</f>
        <v>0.10824</v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62.1111111111111</v>
      </c>
      <c r="BN473" s="78">
        <f t="shared" ref="BN473:BN478" si="65">IFERROR(Y473*I473/H473,"0")</f>
        <v>67.08</v>
      </c>
      <c r="BO473" s="78">
        <f t="shared" ref="BO473:BO478" si="66">IFERROR(1/J473*(X473/H473),"0")</f>
        <v>8.4175084175084181E-2</v>
      </c>
      <c r="BP473" s="78">
        <f t="shared" ref="BP473:BP478" si="67">IFERROR(1/J473*(Y473/H473),"0")</f>
        <v>9.0909090909090925E-2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11.111111111111111</v>
      </c>
      <c r="Y479" s="43">
        <f>IFERROR(Y473/H473,"0")+IFERROR(Y474/H474,"0")+IFERROR(Y475/H475,"0")+IFERROR(Y476/H476,"0")+IFERROR(Y477/H477,"0")+IFERROR(Y478/H478,"0")</f>
        <v>12.000000000000002</v>
      </c>
      <c r="Z479" s="43">
        <f>IFERROR(IF(Z473="",0,Z473),"0")+IFERROR(IF(Z474="",0,Z474),"0")+IFERROR(IF(Z475="",0,Z475),"0")+IFERROR(IF(Z476="",0,Z476),"0")+IFERROR(IF(Z477="",0,Z477),"0")+IFERROR(IF(Z478="",0,Z478),"0")</f>
        <v>0.10824</v>
      </c>
      <c r="AA479" s="67"/>
      <c r="AB479" s="67"/>
      <c r="AC479" s="67"/>
    </row>
    <row r="480" spans="1:68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60</v>
      </c>
      <c r="Y480" s="43">
        <f>IFERROR(SUM(Y473:Y478),"0")</f>
        <v>64.800000000000011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100</v>
      </c>
      <c r="Y492" s="55">
        <f>IFERROR(IF(X492="",0,CEILING((X492/$H492),1)*$H492),"")</f>
        <v>102.60000000000001</v>
      </c>
      <c r="Z492" s="41">
        <f>IFERROR(IF(Y492=0,"",ROUNDUP(Y492/H492,0)*0.00902),"")</f>
        <v>0.17138</v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103.5185185185185</v>
      </c>
      <c r="BN492" s="78">
        <f>IFERROR(Y492*I492/H492,"0")</f>
        <v>106.21</v>
      </c>
      <c r="BO492" s="78">
        <f>IFERROR(1/J492*(X492/H492),"0")</f>
        <v>0.14029180695847362</v>
      </c>
      <c r="BP492" s="78">
        <f>IFERROR(1/J492*(Y492/H492),"0")</f>
        <v>0.14393939393939395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18.518518518518519</v>
      </c>
      <c r="Y495" s="43">
        <f>IFERROR(Y492/H492,"0")+IFERROR(Y493/H493,"0")+IFERROR(Y494/H494,"0")</f>
        <v>19</v>
      </c>
      <c r="Z495" s="43">
        <f>IFERROR(IF(Z492="",0,Z492),"0")+IFERROR(IF(Z493="",0,Z493),"0")+IFERROR(IF(Z494="",0,Z494),"0")</f>
        <v>0.17138</v>
      </c>
      <c r="AA495" s="67"/>
      <c r="AB495" s="67"/>
      <c r="AC495" s="67"/>
    </row>
    <row r="496" spans="1:68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100</v>
      </c>
      <c r="Y496" s="43">
        <f>IFERROR(SUM(Y492:Y494),"0")</f>
        <v>102.60000000000001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180</v>
      </c>
      <c r="Y503" s="55">
        <f t="shared" si="68"/>
        <v>184.8</v>
      </c>
      <c r="Z503" s="41">
        <f t="shared" si="69"/>
        <v>0.41860000000000003</v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191.93181818181816</v>
      </c>
      <c r="BN503" s="78">
        <f t="shared" si="71"/>
        <v>197.04999999999998</v>
      </c>
      <c r="BO503" s="78">
        <f t="shared" si="72"/>
        <v>0.32779720279720276</v>
      </c>
      <c r="BP503" s="78">
        <f t="shared" si="73"/>
        <v>0.33653846153846156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190</v>
      </c>
      <c r="Y505" s="55">
        <f t="shared" si="68"/>
        <v>190.08</v>
      </c>
      <c r="Z505" s="41">
        <f t="shared" si="69"/>
        <v>0.43056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202.59469696969697</v>
      </c>
      <c r="BN505" s="78">
        <f t="shared" si="71"/>
        <v>202.67999999999998</v>
      </c>
      <c r="BO505" s="78">
        <f t="shared" si="72"/>
        <v>0.34600815850815853</v>
      </c>
      <c r="BP505" s="78">
        <f t="shared" si="73"/>
        <v>0.34615384615384615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70.075757575757564</v>
      </c>
      <c r="Y509" s="43">
        <f>IFERROR(Y500/H500,"0")+IFERROR(Y501/H501,"0")+IFERROR(Y502/H502,"0")+IFERROR(Y503/H503,"0")+IFERROR(Y504/H504,"0")+IFERROR(Y505/H505,"0")+IFERROR(Y506/H506,"0")+IFERROR(Y507/H507,"0")+IFERROR(Y508/H508,"0")</f>
        <v>71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0.84916000000000003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370</v>
      </c>
      <c r="Y510" s="43">
        <f>IFERROR(SUM(Y500:Y508),"0")</f>
        <v>374.88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210</v>
      </c>
      <c r="Y512" s="55">
        <f>IFERROR(IF(X512="",0,CEILING((X512/$H512),1)*$H512),"")</f>
        <v>211.20000000000002</v>
      </c>
      <c r="Z512" s="41">
        <f>IFERROR(IF(Y512=0,"",ROUNDUP(Y512/H512,0)*0.01196),"")</f>
        <v>0.47839999999999999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223.92045454545453</v>
      </c>
      <c r="BN512" s="78">
        <f>IFERROR(Y512*I512/H512,"0")</f>
        <v>225.2</v>
      </c>
      <c r="BO512" s="78">
        <f>IFERROR(1/J512*(X512/H512),"0")</f>
        <v>0.38243006993006995</v>
      </c>
      <c r="BP512" s="78">
        <f>IFERROR(1/J512*(Y512/H512),"0")</f>
        <v>0.38461538461538464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39.772727272727273</v>
      </c>
      <c r="Y515" s="43">
        <f>IFERROR(Y512/H512,"0")+IFERROR(Y513/H513,"0")+IFERROR(Y514/H514,"0")</f>
        <v>40</v>
      </c>
      <c r="Z515" s="43">
        <f>IFERROR(IF(Z512="",0,Z512),"0")+IFERROR(IF(Z513="",0,Z513),"0")+IFERROR(IF(Z514="",0,Z514),"0")</f>
        <v>0.47839999999999999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210</v>
      </c>
      <c r="Y516" s="43">
        <f>IFERROR(SUM(Y512:Y514),"0")</f>
        <v>211.20000000000002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50</v>
      </c>
      <c r="Y518" s="55">
        <f t="shared" ref="Y518:Y524" si="74">IFERROR(IF(X518="",0,CEILING((X518/$H518),1)*$H518),"")</f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53.314393939393938</v>
      </c>
      <c r="BN518" s="78">
        <f t="shared" ref="BN518:BN524" si="76">IFERROR(Y518*I518/H518,"0")</f>
        <v>56.3</v>
      </c>
      <c r="BO518" s="78">
        <f t="shared" ref="BO518:BO524" si="77">IFERROR(1/J518*(X518/H518),"0")</f>
        <v>9.1054778554778545E-2</v>
      </c>
      <c r="BP518" s="78">
        <f t="shared" ref="BP518:BP524" si="78">IFERROR(1/J518*(Y518/H518),"0")</f>
        <v>9.6153846153846159E-2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55</v>
      </c>
      <c r="Y519" s="55">
        <f t="shared" si="74"/>
        <v>58.080000000000005</v>
      </c>
      <c r="Z519" s="41">
        <f>IFERROR(IF(Y519=0,"",ROUNDUP(Y519/H519,0)*0.01196),"")</f>
        <v>0.13156000000000001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58.645833333333329</v>
      </c>
      <c r="BN519" s="78">
        <f t="shared" si="76"/>
        <v>61.93</v>
      </c>
      <c r="BO519" s="78">
        <f t="shared" si="77"/>
        <v>0.10016025641025642</v>
      </c>
      <c r="BP519" s="78">
        <f t="shared" si="78"/>
        <v>0.10576923076923078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75</v>
      </c>
      <c r="Y520" s="55">
        <f t="shared" si="74"/>
        <v>79.2</v>
      </c>
      <c r="Z520" s="41">
        <f>IFERROR(IF(Y520=0,"",ROUNDUP(Y520/H520,0)*0.01196),"")</f>
        <v>0.1794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79.971590909090907</v>
      </c>
      <c r="BN520" s="78">
        <f t="shared" si="76"/>
        <v>84.45</v>
      </c>
      <c r="BO520" s="78">
        <f t="shared" si="77"/>
        <v>0.13658216783216784</v>
      </c>
      <c r="BP520" s="78">
        <f t="shared" si="78"/>
        <v>0.14423076923076925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34.090909090909086</v>
      </c>
      <c r="Y525" s="43">
        <f>IFERROR(Y518/H518,"0")+IFERROR(Y519/H519,"0")+IFERROR(Y520/H520,"0")+IFERROR(Y521/H521,"0")+IFERROR(Y522/H522,"0")+IFERROR(Y523/H523,"0")+IFERROR(Y524/H524,"0")</f>
        <v>36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0.43056</v>
      </c>
      <c r="AA525" s="67"/>
      <c r="AB525" s="67"/>
      <c r="AC525" s="67"/>
    </row>
    <row r="526" spans="1:68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180</v>
      </c>
      <c r="Y526" s="43">
        <f>IFERROR(SUM(Y518:Y524),"0")</f>
        <v>190.08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200</v>
      </c>
      <c r="Y530" s="55">
        <f>IFERROR(IF(X530="",0,CEILING((X530/$H530),1)*$H530),"")</f>
        <v>204</v>
      </c>
      <c r="Z530" s="41">
        <f>IFERROR(IF(Y530=0,"",ROUNDUP(Y530/H530,0)*0.01898),"")</f>
        <v>0.32266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206.83333333333334</v>
      </c>
      <c r="BN530" s="78">
        <f>IFERROR(Y530*I530/H530,"0")</f>
        <v>210.97</v>
      </c>
      <c r="BO530" s="78">
        <f>IFERROR(1/J530*(X530/H530),"0")</f>
        <v>0.26041666666666669</v>
      </c>
      <c r="BP530" s="78">
        <f>IFERROR(1/J530*(Y530/H530),"0")</f>
        <v>0.265625</v>
      </c>
    </row>
    <row r="531" spans="1:68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16.666666666666668</v>
      </c>
      <c r="Y531" s="43">
        <f>IFERROR(Y530/H530,"0")</f>
        <v>17</v>
      </c>
      <c r="Z531" s="43">
        <f>IFERROR(IF(Z530="",0,Z530),"0")</f>
        <v>0.32266</v>
      </c>
      <c r="AA531" s="67"/>
      <c r="AB531" s="67"/>
      <c r="AC531" s="67"/>
    </row>
    <row r="532" spans="1:68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200</v>
      </c>
      <c r="Y532" s="43">
        <f>IFERROR(SUM(Y530:Y530),"0")</f>
        <v>204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200</v>
      </c>
      <c r="Y538" s="55">
        <f>IFERROR(IF(X538="",0,CEILING((X538/$H538),1)*$H538),"")</f>
        <v>201.60000000000002</v>
      </c>
      <c r="Z538" s="41">
        <f>IFERROR(IF(Y538=0,"",ROUNDUP(Y538/H538,0)*0.00902),"")</f>
        <v>0.43296000000000001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211.9047619047619</v>
      </c>
      <c r="BN538" s="78">
        <f>IFERROR(Y538*I538/H538,"0")</f>
        <v>213.60000000000002</v>
      </c>
      <c r="BO538" s="78">
        <f>IFERROR(1/J538*(X538/H538),"0")</f>
        <v>0.36075036075036077</v>
      </c>
      <c r="BP538" s="78">
        <f>IFERROR(1/J538*(Y538/H538),"0")</f>
        <v>0.36363636363636365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47.61904761904762</v>
      </c>
      <c r="Y539" s="43">
        <f>IFERROR(Y538/H538,"0")</f>
        <v>48</v>
      </c>
      <c r="Z539" s="43">
        <f>IFERROR(IF(Z538="",0,Z538),"0")</f>
        <v>0.43296000000000001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200</v>
      </c>
      <c r="Y540" s="43">
        <f>IFERROR(SUM(Y538:Y538),"0")</f>
        <v>201.60000000000002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17887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18069.04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18694.444684449227</v>
      </c>
      <c r="Y556" s="43">
        <f>IFERROR(SUM(BN22:BN552),"0")</f>
        <v>18885.415000000001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29</v>
      </c>
      <c r="Y557" s="44">
        <f>ROUNDUP(SUM(BP22:BP552),0)</f>
        <v>29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19419.444684449227</v>
      </c>
      <c r="Y558" s="43">
        <f>GrossWeightTotalR+PalletQtyTotalR*25</f>
        <v>19610.415000000001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2152.011805510369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2179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33.243549999999999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10.8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1633.8</v>
      </c>
      <c r="F565" s="52">
        <f>IFERROR(Y84*1,"0")+IFERROR(Y85*1,"0")+IFERROR(Y86*1,"0")+IFERROR(Y87*1,"0")+IFERROR(Y91*1,"0")+IFERROR(Y92*1,"0")+IFERROR(Y93*1,"0")+IFERROR(Y94*1,"0")</f>
        <v>359.1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531.9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1.28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164.5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42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1418.6999999999998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256.39999999999998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85.8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2901.6</v>
      </c>
      <c r="U565" s="52">
        <f>IFERROR(Y413*1,"0")+IFERROR(Y414*1,"0")</f>
        <v>0</v>
      </c>
      <c r="V565" s="52">
        <f>IFERROR(Y419*1,"0")+IFERROR(Y420*1,"0")+IFERROR(Y421*1,"0")</f>
        <v>162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8639</v>
      </c>
      <c r="X565" s="52">
        <f>IFERROR(Y456*1,"0")+IFERROR(Y457*1,"0")+IFERROR(Y461*1,"0")+IFERROR(Y465*1,"0")+IFERROR(Y466*1,"0")+IFERROR(Y467*1,"0")</f>
        <v>513</v>
      </c>
      <c r="Y565" s="52">
        <f>IFERROR(Y473*1,"0")+IFERROR(Y474*1,"0")+IFERROR(Y475*1,"0")+IFERROR(Y476*1,"0")+IFERROR(Y477*1,"0")+IFERROR(Y478*1,"0")+IFERROR(Y482*1,"0")+IFERROR(Y483*1,"0")</f>
        <v>64.800000000000011</v>
      </c>
      <c r="Z565" s="52">
        <f>IFERROR(Y488*1,"0")+IFERROR(Y492*1,"0")+IFERROR(Y493*1,"0")+IFERROR(Y494*1,"0")</f>
        <v>102.60000000000001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776.16000000000008</v>
      </c>
      <c r="AB565" s="52">
        <f>IFERROR(Y530*1,"0")+IFERROR(Y534*1,"0")+IFERROR(Y538*1,"0")+IFERROR(Y542*1,"0")+IFERROR(Y546*1,"0")+IFERROR(Y547*1,"0")</f>
        <v>405.6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000,00"/>
        <filter val="1 050,00"/>
        <filter val="1 150,00"/>
        <filter val="1 200,00"/>
        <filter val="1 320,00"/>
        <filter val="1 500,00"/>
        <filter val="1 800,00"/>
        <filter val="1 804,00"/>
        <filter val="1,00"/>
        <filter val="10,00"/>
        <filter val="10,38"/>
        <filter val="100,00"/>
        <filter val="11,11"/>
        <filter val="110,00"/>
        <filter val="12,00"/>
        <filter val="12,85"/>
        <filter val="120,00"/>
        <filter val="121,00"/>
        <filter val="122,00"/>
        <filter val="130,00"/>
        <filter val="140,74"/>
        <filter val="146,67"/>
        <filter val="15,00"/>
        <filter val="150,00"/>
        <filter val="152,01"/>
        <filter val="154,00"/>
        <filter val="16,67"/>
        <filter val="160,00"/>
        <filter val="17 887,00"/>
        <filter val="18 694,44"/>
        <filter val="18,52"/>
        <filter val="180,00"/>
        <filter val="19 419,44"/>
        <filter val="19,75"/>
        <filter val="190,00"/>
        <filter val="2 152,01"/>
        <filter val="2,78"/>
        <filter val="20,00"/>
        <filter val="200,00"/>
        <filter val="210,00"/>
        <filter val="220,00"/>
        <filter val="223,39"/>
        <filter val="24,22"/>
        <filter val="240,00"/>
        <filter val="248,00"/>
        <filter val="250,00"/>
        <filter val="27,16"/>
        <filter val="27,78"/>
        <filter val="270,00"/>
        <filter val="273,81"/>
        <filter val="29"/>
        <filter val="3 000,00"/>
        <filter val="3,13"/>
        <filter val="30,00"/>
        <filter val="312,00"/>
        <filter val="34,09"/>
        <filter val="350,00"/>
        <filter val="352,00"/>
        <filter val="37,00"/>
        <filter val="370,00"/>
        <filter val="39,77"/>
        <filter val="4,00"/>
        <filter val="4,17"/>
        <filter val="4,63"/>
        <filter val="4,76"/>
        <filter val="40,00"/>
        <filter val="400,00"/>
        <filter val="430,00"/>
        <filter val="44,00"/>
        <filter val="46,00"/>
        <filter val="47,62"/>
        <filter val="47,78"/>
        <filter val="470,00"/>
        <filter val="48,80"/>
        <filter val="5 260,00"/>
        <filter val="5,00"/>
        <filter val="50,00"/>
        <filter val="510,00"/>
        <filter val="55,00"/>
        <filter val="58,02"/>
        <filter val="60,00"/>
        <filter val="652,00"/>
        <filter val="7,00"/>
        <filter val="70,00"/>
        <filter val="70,08"/>
        <filter val="70,83"/>
        <filter val="700,00"/>
        <filter val="720,00"/>
        <filter val="74,07"/>
        <filter val="745,00"/>
        <filter val="75,00"/>
        <filter val="750,00"/>
        <filter val="8,00"/>
        <filter val="8,97"/>
        <filter val="80,00"/>
        <filter val="800,00"/>
        <filter val="81,00"/>
        <filter val="9,52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2026-08-11T09:24:23Z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