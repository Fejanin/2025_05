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BBFCD5F-0A64-466B-8D32-8EE21BBA65B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Y514" i="2" s="1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BP498" i="2" s="1"/>
  <c r="P498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Z490" i="2" s="1"/>
  <c r="P490" i="2"/>
  <c r="X488" i="2"/>
  <c r="X487" i="2"/>
  <c r="BO486" i="2"/>
  <c r="BM486" i="2"/>
  <c r="Y486" i="2"/>
  <c r="Y487" i="2" s="1"/>
  <c r="P486" i="2"/>
  <c r="X483" i="2"/>
  <c r="X482" i="2"/>
  <c r="BO481" i="2"/>
  <c r="BM481" i="2"/>
  <c r="Y481" i="2"/>
  <c r="BP481" i="2" s="1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BP463" i="2" s="1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P455" i="2" s="1"/>
  <c r="P455" i="2"/>
  <c r="BO454" i="2"/>
  <c r="BM454" i="2"/>
  <c r="Y454" i="2"/>
  <c r="P454" i="2"/>
  <c r="X451" i="2"/>
  <c r="X450" i="2"/>
  <c r="BO449" i="2"/>
  <c r="BM449" i="2"/>
  <c r="Y449" i="2"/>
  <c r="Z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P426" i="2"/>
  <c r="BO425" i="2"/>
  <c r="BM425" i="2"/>
  <c r="Y425" i="2"/>
  <c r="W563" i="2" s="1"/>
  <c r="P425" i="2"/>
  <c r="X421" i="2"/>
  <c r="X420" i="2"/>
  <c r="BO419" i="2"/>
  <c r="BM419" i="2"/>
  <c r="Y419" i="2"/>
  <c r="BN419" i="2" s="1"/>
  <c r="P419" i="2"/>
  <c r="BO418" i="2"/>
  <c r="BM418" i="2"/>
  <c r="Y418" i="2"/>
  <c r="P418" i="2"/>
  <c r="BO417" i="2"/>
  <c r="BM417" i="2"/>
  <c r="Y417" i="2"/>
  <c r="Z417" i="2" s="1"/>
  <c r="P417" i="2"/>
  <c r="X414" i="2"/>
  <c r="X413" i="2"/>
  <c r="BO412" i="2"/>
  <c r="BM412" i="2"/>
  <c r="Y412" i="2"/>
  <c r="P412" i="2"/>
  <c r="BO411" i="2"/>
  <c r="BM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Y408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Z371" i="2" s="1"/>
  <c r="P371" i="2"/>
  <c r="BO370" i="2"/>
  <c r="BM370" i="2"/>
  <c r="Y370" i="2"/>
  <c r="P370" i="2"/>
  <c r="BO369" i="2"/>
  <c r="BM369" i="2"/>
  <c r="Y369" i="2"/>
  <c r="P369" i="2"/>
  <c r="BO368" i="2"/>
  <c r="BM368" i="2"/>
  <c r="Y368" i="2"/>
  <c r="BP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Z361" i="2" s="1"/>
  <c r="P361" i="2"/>
  <c r="BO360" i="2"/>
  <c r="BM360" i="2"/>
  <c r="Y360" i="2"/>
  <c r="P360" i="2"/>
  <c r="BO359" i="2"/>
  <c r="BM359" i="2"/>
  <c r="Y359" i="2"/>
  <c r="P359" i="2"/>
  <c r="X356" i="2"/>
  <c r="X355" i="2"/>
  <c r="BO354" i="2"/>
  <c r="BM354" i="2"/>
  <c r="Y354" i="2"/>
  <c r="BP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P332" i="2"/>
  <c r="BO331" i="2"/>
  <c r="BM331" i="2"/>
  <c r="Y331" i="2"/>
  <c r="P331" i="2"/>
  <c r="X328" i="2"/>
  <c r="X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P322" i="2"/>
  <c r="X319" i="2"/>
  <c r="X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9" i="2" s="1"/>
  <c r="P307" i="2"/>
  <c r="X305" i="2"/>
  <c r="X304" i="2"/>
  <c r="BO303" i="2"/>
  <c r="BM303" i="2"/>
  <c r="Y303" i="2"/>
  <c r="BN303" i="2" s="1"/>
  <c r="P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BO297" i="2"/>
  <c r="BM297" i="2"/>
  <c r="Y297" i="2"/>
  <c r="O563" i="2" s="1"/>
  <c r="P297" i="2"/>
  <c r="X294" i="2"/>
  <c r="X293" i="2"/>
  <c r="BO292" i="2"/>
  <c r="BM292" i="2"/>
  <c r="Y292" i="2"/>
  <c r="BN292" i="2" s="1"/>
  <c r="P292" i="2"/>
  <c r="BO291" i="2"/>
  <c r="BM291" i="2"/>
  <c r="Y291" i="2"/>
  <c r="Z291" i="2" s="1"/>
  <c r="P291" i="2"/>
  <c r="X289" i="2"/>
  <c r="X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Z261" i="2" s="1"/>
  <c r="P261" i="2"/>
  <c r="BO260" i="2"/>
  <c r="BM260" i="2"/>
  <c r="Y260" i="2"/>
  <c r="Z260" i="2" s="1"/>
  <c r="Z262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P244" i="2" s="1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Y238" i="2"/>
  <c r="Z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Z229" i="2" s="1"/>
  <c r="P229" i="2"/>
  <c r="BO228" i="2"/>
  <c r="BM228" i="2"/>
  <c r="Y228" i="2"/>
  <c r="Z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X217" i="2"/>
  <c r="X216" i="2"/>
  <c r="BO215" i="2"/>
  <c r="BM215" i="2"/>
  <c r="Y215" i="2"/>
  <c r="P215" i="2"/>
  <c r="X212" i="2"/>
  <c r="X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Z208" i="2" s="1"/>
  <c r="P208" i="2"/>
  <c r="BO207" i="2"/>
  <c r="BM207" i="2"/>
  <c r="Y207" i="2"/>
  <c r="Z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BP204" i="2" s="1"/>
  <c r="P204" i="2"/>
  <c r="X200" i="2"/>
  <c r="X199" i="2"/>
  <c r="BO198" i="2"/>
  <c r="BM198" i="2"/>
  <c r="Y198" i="2"/>
  <c r="Y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Z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P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P169" i="2"/>
  <c r="X167" i="2"/>
  <c r="X166" i="2"/>
  <c r="BO165" i="2"/>
  <c r="BM165" i="2"/>
  <c r="Y165" i="2"/>
  <c r="P165" i="2"/>
  <c r="BO164" i="2"/>
  <c r="BM164" i="2"/>
  <c r="Y164" i="2"/>
  <c r="Z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Y159" i="2" s="1"/>
  <c r="P158" i="2"/>
  <c r="X156" i="2"/>
  <c r="X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BP134" i="2" s="1"/>
  <c r="P134" i="2"/>
  <c r="X132" i="2"/>
  <c r="X131" i="2"/>
  <c r="BO130" i="2"/>
  <c r="BM130" i="2"/>
  <c r="Y130" i="2"/>
  <c r="Z130" i="2" s="1"/>
  <c r="P130" i="2"/>
  <c r="BO129" i="2"/>
  <c r="BM129" i="2"/>
  <c r="Y129" i="2"/>
  <c r="Z129" i="2" s="1"/>
  <c r="P129" i="2"/>
  <c r="BO128" i="2"/>
  <c r="BM128" i="2"/>
  <c r="Y128" i="2"/>
  <c r="P128" i="2"/>
  <c r="X125" i="2"/>
  <c r="X124" i="2"/>
  <c r="BO123" i="2"/>
  <c r="BM123" i="2"/>
  <c r="Y123" i="2"/>
  <c r="BN123" i="2" s="1"/>
  <c r="P123" i="2"/>
  <c r="X121" i="2"/>
  <c r="X120" i="2"/>
  <c r="BO119" i="2"/>
  <c r="BM119" i="2"/>
  <c r="Y119" i="2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P116" i="2"/>
  <c r="X114" i="2"/>
  <c r="X113" i="2"/>
  <c r="BO112" i="2"/>
  <c r="BM112" i="2"/>
  <c r="Y112" i="2"/>
  <c r="BP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P108" i="2"/>
  <c r="X106" i="2"/>
  <c r="X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P90" i="2"/>
  <c r="X88" i="2"/>
  <c r="X87" i="2"/>
  <c r="BO86" i="2"/>
  <c r="BM86" i="2"/>
  <c r="Y86" i="2"/>
  <c r="BP86" i="2" s="1"/>
  <c r="P86" i="2"/>
  <c r="BO85" i="2"/>
  <c r="BM85" i="2"/>
  <c r="Y85" i="2"/>
  <c r="Z85" i="2" s="1"/>
  <c r="P85" i="2"/>
  <c r="BO84" i="2"/>
  <c r="BM84" i="2"/>
  <c r="Y84" i="2"/>
  <c r="Z84" i="2" s="1"/>
  <c r="P84" i="2"/>
  <c r="BO83" i="2"/>
  <c r="BM83" i="2"/>
  <c r="Y83" i="2"/>
  <c r="P83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Y74" i="2" s="1"/>
  <c r="P72" i="2"/>
  <c r="X70" i="2"/>
  <c r="X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X53" i="2"/>
  <c r="X52" i="2"/>
  <c r="BO51" i="2"/>
  <c r="BM51" i="2"/>
  <c r="Y51" i="2"/>
  <c r="Z51" i="2" s="1"/>
  <c r="P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X44" i="2"/>
  <c r="X43" i="2"/>
  <c r="BO42" i="2"/>
  <c r="BM42" i="2"/>
  <c r="Y42" i="2"/>
  <c r="BP42" i="2" s="1"/>
  <c r="P42" i="2"/>
  <c r="BO41" i="2"/>
  <c r="BM41" i="2"/>
  <c r="Y41" i="2"/>
  <c r="BN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Z338" i="2" l="1"/>
  <c r="BN338" i="2"/>
  <c r="Z143" i="2"/>
  <c r="Z473" i="2"/>
  <c r="BN473" i="2"/>
  <c r="Z267" i="2"/>
  <c r="BN267" i="2"/>
  <c r="Z399" i="2"/>
  <c r="BN399" i="2"/>
  <c r="Z103" i="2"/>
  <c r="BN103" i="2"/>
  <c r="Y200" i="2"/>
  <c r="BP23" i="2"/>
  <c r="Y24" i="2"/>
  <c r="Y25" i="2"/>
  <c r="Z92" i="2"/>
  <c r="BN92" i="2"/>
  <c r="Z117" i="2"/>
  <c r="BN117" i="2"/>
  <c r="Z174" i="2"/>
  <c r="BN174" i="2"/>
  <c r="Y186" i="2"/>
  <c r="Z223" i="2"/>
  <c r="BN223" i="2"/>
  <c r="BP292" i="2"/>
  <c r="Z368" i="2"/>
  <c r="BN368" i="2"/>
  <c r="Y376" i="2"/>
  <c r="BP431" i="2"/>
  <c r="Z505" i="2"/>
  <c r="BN505" i="2"/>
  <c r="BP419" i="2"/>
  <c r="Z56" i="2"/>
  <c r="Z68" i="2"/>
  <c r="BN68" i="2"/>
  <c r="Z100" i="2"/>
  <c r="Z110" i="2"/>
  <c r="Z135" i="2"/>
  <c r="BN135" i="2"/>
  <c r="Z151" i="2"/>
  <c r="BN151" i="2"/>
  <c r="Z188" i="2"/>
  <c r="BN188" i="2"/>
  <c r="Z221" i="2"/>
  <c r="Z244" i="2"/>
  <c r="BN244" i="2"/>
  <c r="Z285" i="2"/>
  <c r="Z311" i="2"/>
  <c r="Z312" i="2" s="1"/>
  <c r="BN311" i="2"/>
  <c r="BP311" i="2"/>
  <c r="Y312" i="2"/>
  <c r="Z342" i="2"/>
  <c r="BN342" i="2"/>
  <c r="Z386" i="2"/>
  <c r="BN386" i="2"/>
  <c r="Z429" i="2"/>
  <c r="Z455" i="2"/>
  <c r="BN455" i="2"/>
  <c r="Z486" i="2"/>
  <c r="Z487" i="2" s="1"/>
  <c r="BN486" i="2"/>
  <c r="BP486" i="2"/>
  <c r="Z498" i="2"/>
  <c r="BN498" i="2"/>
  <c r="Z528" i="2"/>
  <c r="Z529" i="2" s="1"/>
  <c r="BN99" i="2"/>
  <c r="Z99" i="2"/>
  <c r="BN109" i="2"/>
  <c r="Z109" i="2"/>
  <c r="BN119" i="2"/>
  <c r="Z119" i="2"/>
  <c r="BP148" i="2"/>
  <c r="BN148" i="2"/>
  <c r="Z148" i="2"/>
  <c r="BP179" i="2"/>
  <c r="BN179" i="2"/>
  <c r="Z179" i="2"/>
  <c r="Y217" i="2"/>
  <c r="Y216" i="2"/>
  <c r="BP215" i="2"/>
  <c r="BN215" i="2"/>
  <c r="Z215" i="2"/>
  <c r="Z216" i="2" s="1"/>
  <c r="BP225" i="2"/>
  <c r="BN225" i="2"/>
  <c r="Z225" i="2"/>
  <c r="BP277" i="2"/>
  <c r="BN277" i="2"/>
  <c r="Z277" i="2"/>
  <c r="BP298" i="2"/>
  <c r="BN298" i="2"/>
  <c r="Z298" i="2"/>
  <c r="BP378" i="2"/>
  <c r="BN378" i="2"/>
  <c r="Z378" i="2"/>
  <c r="BP411" i="2"/>
  <c r="BN411" i="2"/>
  <c r="Z411" i="2"/>
  <c r="BP426" i="2"/>
  <c r="BN426" i="2"/>
  <c r="Z426" i="2"/>
  <c r="BP436" i="2"/>
  <c r="BN436" i="2"/>
  <c r="Z436" i="2"/>
  <c r="Y483" i="2"/>
  <c r="BP480" i="2"/>
  <c r="BN480" i="2"/>
  <c r="Z480" i="2"/>
  <c r="Z48" i="2"/>
  <c r="BN48" i="2"/>
  <c r="Z57" i="2"/>
  <c r="BN57" i="2"/>
  <c r="BP59" i="2"/>
  <c r="BN59" i="2"/>
  <c r="F563" i="2"/>
  <c r="Y95" i="2"/>
  <c r="BP90" i="2"/>
  <c r="BN90" i="2"/>
  <c r="Z90" i="2"/>
  <c r="BP101" i="2"/>
  <c r="BN101" i="2"/>
  <c r="Z101" i="2"/>
  <c r="BP111" i="2"/>
  <c r="BN111" i="2"/>
  <c r="Z111" i="2"/>
  <c r="BN142" i="2"/>
  <c r="Z142" i="2"/>
  <c r="Z144" i="2" s="1"/>
  <c r="Y172" i="2"/>
  <c r="BP169" i="2"/>
  <c r="BN169" i="2"/>
  <c r="Z169" i="2"/>
  <c r="BP190" i="2"/>
  <c r="BN190" i="2"/>
  <c r="Z190" i="2"/>
  <c r="BN222" i="2"/>
  <c r="Z222" i="2"/>
  <c r="BN265" i="2"/>
  <c r="BP265" i="2"/>
  <c r="BP287" i="2"/>
  <c r="BN287" i="2"/>
  <c r="Z287" i="2"/>
  <c r="BP332" i="2"/>
  <c r="BN332" i="2"/>
  <c r="Z332" i="2"/>
  <c r="BP352" i="2"/>
  <c r="Y356" i="2"/>
  <c r="BP392" i="2"/>
  <c r="BN392" i="2"/>
  <c r="Z392" i="2"/>
  <c r="BN418" i="2"/>
  <c r="Z418" i="2"/>
  <c r="BN430" i="2"/>
  <c r="Z430" i="2"/>
  <c r="BN500" i="2"/>
  <c r="BP500" i="2"/>
  <c r="T563" i="2"/>
  <c r="Y383" i="2"/>
  <c r="Y389" i="2"/>
  <c r="Y413" i="2"/>
  <c r="Y421" i="2"/>
  <c r="X563" i="2"/>
  <c r="Y563" i="2"/>
  <c r="Z516" i="2"/>
  <c r="BN516" i="2"/>
  <c r="Y523" i="2"/>
  <c r="Z532" i="2"/>
  <c r="Z533" i="2" s="1"/>
  <c r="BN27" i="2"/>
  <c r="BN40" i="2"/>
  <c r="BN49" i="2"/>
  <c r="BP49" i="2"/>
  <c r="BN60" i="2"/>
  <c r="BP60" i="2"/>
  <c r="BP65" i="2"/>
  <c r="Y70" i="2"/>
  <c r="BP66" i="2"/>
  <c r="BN77" i="2"/>
  <c r="Y80" i="2"/>
  <c r="BN83" i="2"/>
  <c r="BP83" i="2"/>
  <c r="BN85" i="2"/>
  <c r="Y87" i="2"/>
  <c r="BN93" i="2"/>
  <c r="BN104" i="2"/>
  <c r="BN130" i="2"/>
  <c r="BP130" i="2"/>
  <c r="Y138" i="2"/>
  <c r="Y139" i="2"/>
  <c r="BP153" i="2"/>
  <c r="BP154" i="2"/>
  <c r="Y160" i="2"/>
  <c r="BP176" i="2"/>
  <c r="BP177" i="2"/>
  <c r="BN182" i="2"/>
  <c r="BP182" i="2"/>
  <c r="BN183" i="2"/>
  <c r="Y191" i="2"/>
  <c r="Y192" i="2"/>
  <c r="Y212" i="2"/>
  <c r="BN206" i="2"/>
  <c r="BP206" i="2"/>
  <c r="BN207" i="2"/>
  <c r="BN226" i="2"/>
  <c r="BN229" i="2"/>
  <c r="BP229" i="2"/>
  <c r="BN236" i="2"/>
  <c r="Y247" i="2"/>
  <c r="Y248" i="2"/>
  <c r="BN260" i="2"/>
  <c r="BP260" i="2"/>
  <c r="BN261" i="2"/>
  <c r="Y274" i="2"/>
  <c r="BN270" i="2"/>
  <c r="Y289" i="2"/>
  <c r="BN280" i="2"/>
  <c r="BN286" i="2"/>
  <c r="BN291" i="2"/>
  <c r="Y293" i="2"/>
  <c r="Y294" i="2"/>
  <c r="Y305" i="2"/>
  <c r="BN301" i="2"/>
  <c r="P563" i="2"/>
  <c r="Y327" i="2"/>
  <c r="Y328" i="2"/>
  <c r="BN324" i="2"/>
  <c r="BP333" i="2"/>
  <c r="BN333" i="2"/>
  <c r="Z333" i="2"/>
  <c r="BN340" i="2"/>
  <c r="Z340" i="2"/>
  <c r="BP346" i="2"/>
  <c r="BN346" i="2"/>
  <c r="Z346" i="2"/>
  <c r="Z348" i="2" s="1"/>
  <c r="BP370" i="2"/>
  <c r="BN370" i="2"/>
  <c r="Z370" i="2"/>
  <c r="BN372" i="2"/>
  <c r="BP372" i="2"/>
  <c r="BN28" i="2"/>
  <c r="Y33" i="2"/>
  <c r="C563" i="2"/>
  <c r="BN37" i="2"/>
  <c r="BP37" i="2"/>
  <c r="BN39" i="2"/>
  <c r="Y44" i="2"/>
  <c r="D563" i="2"/>
  <c r="BN51" i="2"/>
  <c r="Y53" i="2"/>
  <c r="Z58" i="2"/>
  <c r="BN58" i="2"/>
  <c r="Z65" i="2"/>
  <c r="Z66" i="2"/>
  <c r="Z67" i="2"/>
  <c r="BN67" i="2"/>
  <c r="Z73" i="2"/>
  <c r="BN73" i="2"/>
  <c r="BN86" i="2"/>
  <c r="Z91" i="2"/>
  <c r="BN91" i="2"/>
  <c r="Y94" i="2"/>
  <c r="BP99" i="2"/>
  <c r="BP100" i="2"/>
  <c r="Z102" i="2"/>
  <c r="BN102" i="2"/>
  <c r="BP109" i="2"/>
  <c r="BP110" i="2"/>
  <c r="Z112" i="2"/>
  <c r="BN112" i="2"/>
  <c r="BP119" i="2"/>
  <c r="Y131" i="2"/>
  <c r="BN129" i="2"/>
  <c r="Z134" i="2"/>
  <c r="BN134" i="2"/>
  <c r="Z136" i="2"/>
  <c r="BN136" i="2"/>
  <c r="BN137" i="2"/>
  <c r="BP142" i="2"/>
  <c r="BP143" i="2"/>
  <c r="Z153" i="2"/>
  <c r="Z154" i="2"/>
  <c r="Z158" i="2"/>
  <c r="Z159" i="2" s="1"/>
  <c r="BN158" i="2"/>
  <c r="BP158" i="2"/>
  <c r="BN164" i="2"/>
  <c r="BP164" i="2"/>
  <c r="Z170" i="2"/>
  <c r="BN170" i="2"/>
  <c r="Y171" i="2"/>
  <c r="Z176" i="2"/>
  <c r="Z177" i="2"/>
  <c r="Z178" i="2"/>
  <c r="BN178" i="2"/>
  <c r="Z180" i="2"/>
  <c r="BN180" i="2"/>
  <c r="BN181" i="2"/>
  <c r="BN184" i="2"/>
  <c r="BP184" i="2"/>
  <c r="Z189" i="2"/>
  <c r="BN189" i="2"/>
  <c r="Z194" i="2"/>
  <c r="Z195" i="2" s="1"/>
  <c r="BN194" i="2"/>
  <c r="BP194" i="2"/>
  <c r="Y195" i="2"/>
  <c r="Z204" i="2"/>
  <c r="BN204" i="2"/>
  <c r="BN205" i="2"/>
  <c r="BN208" i="2"/>
  <c r="BP208" i="2"/>
  <c r="L563" i="2"/>
  <c r="Z219" i="2"/>
  <c r="BN219" i="2"/>
  <c r="BP221" i="2"/>
  <c r="BP222" i="2"/>
  <c r="Z224" i="2"/>
  <c r="BN224" i="2"/>
  <c r="BN227" i="2"/>
  <c r="BP227" i="2"/>
  <c r="BN228" i="2"/>
  <c r="Z232" i="2"/>
  <c r="BN232" i="2"/>
  <c r="Y241" i="2"/>
  <c r="BN237" i="2"/>
  <c r="BP237" i="2"/>
  <c r="BN238" i="2"/>
  <c r="BP239" i="2"/>
  <c r="Z245" i="2"/>
  <c r="BN245" i="2"/>
  <c r="BN246" i="2"/>
  <c r="Z255" i="2"/>
  <c r="BN256" i="2"/>
  <c r="Z266" i="2"/>
  <c r="BN266" i="2"/>
  <c r="Z268" i="2"/>
  <c r="BN268" i="2"/>
  <c r="BN269" i="2"/>
  <c r="BN271" i="2"/>
  <c r="BP272" i="2"/>
  <c r="Y273" i="2"/>
  <c r="Z276" i="2"/>
  <c r="BN276" i="2"/>
  <c r="Z278" i="2"/>
  <c r="BN278" i="2"/>
  <c r="Y288" i="2"/>
  <c r="BN279" i="2"/>
  <c r="BN281" i="2"/>
  <c r="BP282" i="2"/>
  <c r="Z297" i="2"/>
  <c r="BN297" i="2"/>
  <c r="BP297" i="2"/>
  <c r="Z299" i="2"/>
  <c r="BN299" i="2"/>
  <c r="BN300" i="2"/>
  <c r="BN302" i="2"/>
  <c r="BP303" i="2"/>
  <c r="Y304" i="2"/>
  <c r="Z307" i="2"/>
  <c r="Z308" i="2" s="1"/>
  <c r="BN307" i="2"/>
  <c r="BP307" i="2"/>
  <c r="Y308" i="2"/>
  <c r="Y319" i="2"/>
  <c r="Z322" i="2"/>
  <c r="BN322" i="2"/>
  <c r="BP322" i="2"/>
  <c r="BN323" i="2"/>
  <c r="Z325" i="2"/>
  <c r="BN325" i="2"/>
  <c r="BN326" i="2"/>
  <c r="BP326" i="2"/>
  <c r="Q563" i="2"/>
  <c r="Y335" i="2"/>
  <c r="Y334" i="2"/>
  <c r="BP331" i="2"/>
  <c r="BN331" i="2"/>
  <c r="Z331" i="2"/>
  <c r="BN339" i="2"/>
  <c r="Z339" i="2"/>
  <c r="BN341" i="2"/>
  <c r="BP341" i="2"/>
  <c r="BP360" i="2"/>
  <c r="BN360" i="2"/>
  <c r="Z360" i="2"/>
  <c r="BN362" i="2"/>
  <c r="BP362" i="2"/>
  <c r="BP393" i="2"/>
  <c r="BP394" i="2"/>
  <c r="BN398" i="2"/>
  <c r="Y450" i="2"/>
  <c r="Y451" i="2"/>
  <c r="Y460" i="2"/>
  <c r="BN474" i="2"/>
  <c r="BP475" i="2"/>
  <c r="Y477" i="2"/>
  <c r="Z481" i="2"/>
  <c r="BN481" i="2"/>
  <c r="Y482" i="2"/>
  <c r="Z563" i="2"/>
  <c r="AA563" i="2"/>
  <c r="Z506" i="2"/>
  <c r="BN506" i="2"/>
  <c r="Y524" i="2"/>
  <c r="BP528" i="2"/>
  <c r="BP532" i="2"/>
  <c r="Y533" i="2"/>
  <c r="Z540" i="2"/>
  <c r="Z541" i="2" s="1"/>
  <c r="Z544" i="2"/>
  <c r="R563" i="2"/>
  <c r="BN361" i="2"/>
  <c r="BN371" i="2"/>
  <c r="Z380" i="2"/>
  <c r="BN380" i="2"/>
  <c r="BN381" i="2"/>
  <c r="BP385" i="2"/>
  <c r="Z387" i="2"/>
  <c r="BN387" i="2"/>
  <c r="Z393" i="2"/>
  <c r="Z394" i="2"/>
  <c r="Z400" i="2"/>
  <c r="BN400" i="2"/>
  <c r="Y401" i="2"/>
  <c r="BP404" i="2"/>
  <c r="U563" i="2"/>
  <c r="Y414" i="2"/>
  <c r="BP417" i="2"/>
  <c r="BP418" i="2"/>
  <c r="Z425" i="2"/>
  <c r="BN425" i="2"/>
  <c r="BP425" i="2"/>
  <c r="Z428" i="2"/>
  <c r="BN428" i="2"/>
  <c r="BP429" i="2"/>
  <c r="BP430" i="2"/>
  <c r="Z432" i="2"/>
  <c r="BN432" i="2"/>
  <c r="Y440" i="2"/>
  <c r="Z438" i="2"/>
  <c r="BN438" i="2"/>
  <c r="BN444" i="2"/>
  <c r="Z448" i="2"/>
  <c r="Z450" i="2" s="1"/>
  <c r="BN448" i="2"/>
  <c r="BN449" i="2"/>
  <c r="BP454" i="2"/>
  <c r="Z459" i="2"/>
  <c r="Z460" i="2" s="1"/>
  <c r="BN459" i="2"/>
  <c r="Y467" i="2"/>
  <c r="Z471" i="2"/>
  <c r="BN471" i="2"/>
  <c r="BP471" i="2"/>
  <c r="BN492" i="2"/>
  <c r="BN499" i="2"/>
  <c r="BN504" i="2"/>
  <c r="Y507" i="2"/>
  <c r="BN518" i="2"/>
  <c r="BP518" i="2"/>
  <c r="BN519" i="2"/>
  <c r="BP540" i="2"/>
  <c r="Y552" i="2"/>
  <c r="F9" i="2"/>
  <c r="A10" i="2"/>
  <c r="H9" i="2"/>
  <c r="F10" i="2"/>
  <c r="BP220" i="2"/>
  <c r="BN220" i="2"/>
  <c r="Y233" i="2"/>
  <c r="Z220" i="2"/>
  <c r="BP250" i="2"/>
  <c r="BN250" i="2"/>
  <c r="Z250" i="2"/>
  <c r="Z251" i="2" s="1"/>
  <c r="Y252" i="2"/>
  <c r="Y251" i="2"/>
  <c r="Z150" i="2"/>
  <c r="BP150" i="2"/>
  <c r="BN150" i="2"/>
  <c r="Y166" i="2"/>
  <c r="BP165" i="2"/>
  <c r="Z165" i="2"/>
  <c r="Y234" i="2"/>
  <c r="BP98" i="2"/>
  <c r="G563" i="2"/>
  <c r="BN98" i="2"/>
  <c r="X553" i="2"/>
  <c r="BP41" i="2"/>
  <c r="Z41" i="2"/>
  <c r="Z98" i="2"/>
  <c r="BN165" i="2"/>
  <c r="Y185" i="2"/>
  <c r="BP118" i="2"/>
  <c r="BN118" i="2"/>
  <c r="BP141" i="2"/>
  <c r="Y144" i="2"/>
  <c r="BN141" i="2"/>
  <c r="Y145" i="2"/>
  <c r="BP230" i="2"/>
  <c r="BN230" i="2"/>
  <c r="Z230" i="2"/>
  <c r="BP29" i="2"/>
  <c r="Z29" i="2"/>
  <c r="Z72" i="2"/>
  <c r="Y75" i="2"/>
  <c r="BP72" i="2"/>
  <c r="BN72" i="2"/>
  <c r="Y88" i="2"/>
  <c r="I563" i="2"/>
  <c r="BP240" i="2"/>
  <c r="BN240" i="2"/>
  <c r="Z240" i="2"/>
  <c r="BP209" i="2"/>
  <c r="BN209" i="2"/>
  <c r="Z209" i="2"/>
  <c r="J563" i="2"/>
  <c r="BN61" i="2"/>
  <c r="H563" i="2"/>
  <c r="Z128" i="2"/>
  <c r="Z131" i="2" s="1"/>
  <c r="Y62" i="2"/>
  <c r="Y132" i="2"/>
  <c r="Z78" i="2"/>
  <c r="Y105" i="2"/>
  <c r="BN128" i="2"/>
  <c r="Z171" i="2"/>
  <c r="BP175" i="2"/>
  <c r="BN175" i="2"/>
  <c r="BP84" i="2"/>
  <c r="Y63" i="2"/>
  <c r="Z61" i="2"/>
  <c r="BN38" i="2"/>
  <c r="Z31" i="2"/>
  <c r="BN84" i="2"/>
  <c r="BN78" i="2"/>
  <c r="Y106" i="2"/>
  <c r="Y121" i="2"/>
  <c r="Y120" i="2"/>
  <c r="BP116" i="2"/>
  <c r="BN116" i="2"/>
  <c r="Z116" i="2"/>
  <c r="Z120" i="2" s="1"/>
  <c r="BP128" i="2"/>
  <c r="Z175" i="2"/>
  <c r="Z123" i="2"/>
  <c r="Z124" i="2" s="1"/>
  <c r="Y125" i="2"/>
  <c r="Y124" i="2"/>
  <c r="BP123" i="2"/>
  <c r="BP38" i="2"/>
  <c r="X554" i="2"/>
  <c r="X555" i="2"/>
  <c r="Y43" i="2"/>
  <c r="Z50" i="2"/>
  <c r="Z52" i="2" s="1"/>
  <c r="Y52" i="2"/>
  <c r="BP152" i="2"/>
  <c r="BN152" i="2"/>
  <c r="X557" i="2"/>
  <c r="BN31" i="2"/>
  <c r="BP108" i="2"/>
  <c r="BN108" i="2"/>
  <c r="Y114" i="2"/>
  <c r="Y113" i="2"/>
  <c r="BP149" i="2"/>
  <c r="Y156" i="2"/>
  <c r="Z152" i="2"/>
  <c r="BN29" i="2"/>
  <c r="Z22" i="2"/>
  <c r="B563" i="2"/>
  <c r="BP22" i="2"/>
  <c r="Y32" i="2"/>
  <c r="BN50" i="2"/>
  <c r="Y79" i="2"/>
  <c r="Z108" i="2"/>
  <c r="Z149" i="2"/>
  <c r="K563" i="2"/>
  <c r="Z30" i="2"/>
  <c r="Z42" i="2"/>
  <c r="Z77" i="2"/>
  <c r="Z198" i="2"/>
  <c r="Z199" i="2" s="1"/>
  <c r="Z210" i="2"/>
  <c r="Z231" i="2"/>
  <c r="Z284" i="2"/>
  <c r="BP286" i="2"/>
  <c r="Z317" i="2"/>
  <c r="BP27" i="2"/>
  <c r="Z37" i="2"/>
  <c r="BP39" i="2"/>
  <c r="BP51" i="2"/>
  <c r="Z83" i="2"/>
  <c r="BP85" i="2"/>
  <c r="Z93" i="2"/>
  <c r="Z104" i="2"/>
  <c r="BP129" i="2"/>
  <c r="Z137" i="2"/>
  <c r="BP163" i="2"/>
  <c r="Z181" i="2"/>
  <c r="BP183" i="2"/>
  <c r="Z205" i="2"/>
  <c r="BP207" i="2"/>
  <c r="Z226" i="2"/>
  <c r="BP228" i="2"/>
  <c r="Z236" i="2"/>
  <c r="BP238" i="2"/>
  <c r="Z246" i="2"/>
  <c r="BP261" i="2"/>
  <c r="Z269" i="2"/>
  <c r="BP271" i="2"/>
  <c r="Z279" i="2"/>
  <c r="BP281" i="2"/>
  <c r="BP291" i="2"/>
  <c r="Z300" i="2"/>
  <c r="BP302" i="2"/>
  <c r="Z323" i="2"/>
  <c r="BP325" i="2"/>
  <c r="BN347" i="2"/>
  <c r="Z359" i="2"/>
  <c r="BP361" i="2"/>
  <c r="Z369" i="2"/>
  <c r="BP371" i="2"/>
  <c r="Z379" i="2"/>
  <c r="BP381" i="2"/>
  <c r="BN391" i="2"/>
  <c r="Y402" i="2"/>
  <c r="Z412" i="2"/>
  <c r="Z413" i="2" s="1"/>
  <c r="BN427" i="2"/>
  <c r="BN437" i="2"/>
  <c r="BP449" i="2"/>
  <c r="Y461" i="2"/>
  <c r="Z472" i="2"/>
  <c r="BP474" i="2"/>
  <c r="BP499" i="2"/>
  <c r="Y508" i="2"/>
  <c r="Z517" i="2"/>
  <c r="BP519" i="2"/>
  <c r="Y546" i="2"/>
  <c r="Y167" i="2"/>
  <c r="BN198" i="2"/>
  <c r="BN210" i="2"/>
  <c r="BN231" i="2"/>
  <c r="Y242" i="2"/>
  <c r="Y257" i="2"/>
  <c r="BN284" i="2"/>
  <c r="BN317" i="2"/>
  <c r="BN353" i="2"/>
  <c r="BN364" i="2"/>
  <c r="BN374" i="2"/>
  <c r="BN406" i="2"/>
  <c r="BN442" i="2"/>
  <c r="Y445" i="2"/>
  <c r="BN465" i="2"/>
  <c r="Y478" i="2"/>
  <c r="BN490" i="2"/>
  <c r="Y493" i="2"/>
  <c r="BN502" i="2"/>
  <c r="BN512" i="2"/>
  <c r="BN522" i="2"/>
  <c r="BN536" i="2"/>
  <c r="BN42" i="2"/>
  <c r="Y262" i="2"/>
  <c r="BP347" i="2"/>
  <c r="BN359" i="2"/>
  <c r="BN369" i="2"/>
  <c r="BN379" i="2"/>
  <c r="Y382" i="2"/>
  <c r="BP391" i="2"/>
  <c r="BN412" i="2"/>
  <c r="BP427" i="2"/>
  <c r="BP437" i="2"/>
  <c r="BN472" i="2"/>
  <c r="BN517" i="2"/>
  <c r="Y530" i="2"/>
  <c r="Y542" i="2"/>
  <c r="M563" i="2"/>
  <c r="Z28" i="2"/>
  <c r="BP30" i="2"/>
  <c r="Z40" i="2"/>
  <c r="BN65" i="2"/>
  <c r="Z86" i="2"/>
  <c r="BP198" i="2"/>
  <c r="Z239" i="2"/>
  <c r="Z272" i="2"/>
  <c r="Z282" i="2"/>
  <c r="Z292" i="2"/>
  <c r="Z293" i="2" s="1"/>
  <c r="Z303" i="2"/>
  <c r="Z315" i="2"/>
  <c r="Z326" i="2"/>
  <c r="Y343" i="2"/>
  <c r="BP353" i="2"/>
  <c r="Z362" i="2"/>
  <c r="BP364" i="2"/>
  <c r="Z372" i="2"/>
  <c r="BP374" i="2"/>
  <c r="Z404" i="2"/>
  <c r="BP406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Z23" i="2"/>
  <c r="Y258" i="2"/>
  <c r="BP279" i="2"/>
  <c r="Y348" i="2"/>
  <c r="BP359" i="2"/>
  <c r="BP369" i="2"/>
  <c r="BP379" i="2"/>
  <c r="BP412" i="2"/>
  <c r="Y446" i="2"/>
  <c r="Y494" i="2"/>
  <c r="BP517" i="2"/>
  <c r="Y211" i="2"/>
  <c r="Y263" i="2"/>
  <c r="BN315" i="2"/>
  <c r="Y318" i="2"/>
  <c r="Y365" i="2"/>
  <c r="Y375" i="2"/>
  <c r="BN404" i="2"/>
  <c r="Y407" i="2"/>
  <c r="BN463" i="2"/>
  <c r="Y466" i="2"/>
  <c r="BN510" i="2"/>
  <c r="Y513" i="2"/>
  <c r="BN520" i="2"/>
  <c r="Y537" i="2"/>
  <c r="Y344" i="2"/>
  <c r="Z354" i="2"/>
  <c r="Y434" i="2"/>
  <c r="Z443" i="2"/>
  <c r="Y457" i="2"/>
  <c r="Z491" i="2"/>
  <c r="Z503" i="2"/>
  <c r="Z550" i="2"/>
  <c r="Z551" i="2" s="1"/>
  <c r="Z206" i="2"/>
  <c r="Z237" i="2"/>
  <c r="Z270" i="2"/>
  <c r="Z280" i="2"/>
  <c r="Z301" i="2"/>
  <c r="Z324" i="2"/>
  <c r="Y349" i="2"/>
  <c r="Y395" i="2"/>
  <c r="BP510" i="2"/>
  <c r="BN532" i="2"/>
  <c r="BN544" i="2"/>
  <c r="S563" i="2"/>
  <c r="BN255" i="2"/>
  <c r="Z265" i="2"/>
  <c r="BN285" i="2"/>
  <c r="Z341" i="2"/>
  <c r="BN354" i="2"/>
  <c r="Y366" i="2"/>
  <c r="Z385" i="2"/>
  <c r="Z419" i="2"/>
  <c r="Z431" i="2"/>
  <c r="BN443" i="2"/>
  <c r="Z454" i="2"/>
  <c r="Z456" i="2" s="1"/>
  <c r="BN491" i="2"/>
  <c r="BN503" i="2"/>
  <c r="Y538" i="2"/>
  <c r="BN550" i="2"/>
  <c r="BN56" i="2"/>
  <c r="BN66" i="2"/>
  <c r="Z283" i="2"/>
  <c r="Z316" i="2"/>
  <c r="Z352" i="2"/>
  <c r="Z355" i="2" s="1"/>
  <c r="Z363" i="2"/>
  <c r="Z373" i="2"/>
  <c r="BN385" i="2"/>
  <c r="Y388" i="2"/>
  <c r="Y396" i="2"/>
  <c r="Z405" i="2"/>
  <c r="BN454" i="2"/>
  <c r="Z464" i="2"/>
  <c r="Z476" i="2"/>
  <c r="Z501" i="2"/>
  <c r="Z511" i="2"/>
  <c r="Z521" i="2"/>
  <c r="BP550" i="2"/>
  <c r="V563" i="2"/>
  <c r="BP270" i="2"/>
  <c r="BP280" i="2"/>
  <c r="BP301" i="2"/>
  <c r="BP324" i="2"/>
  <c r="Y439" i="2"/>
  <c r="BN283" i="2"/>
  <c r="BN363" i="2"/>
  <c r="BN464" i="2"/>
  <c r="BN476" i="2"/>
  <c r="BN501" i="2"/>
  <c r="BN511" i="2"/>
  <c r="BN521" i="2"/>
  <c r="Z545" i="2"/>
  <c r="Y551" i="2"/>
  <c r="E563" i="2"/>
  <c r="Z256" i="2"/>
  <c r="Z257" i="2" s="1"/>
  <c r="Z398" i="2"/>
  <c r="Z444" i="2"/>
  <c r="Z492" i="2"/>
  <c r="Z504" i="2"/>
  <c r="BN528" i="2"/>
  <c r="BN540" i="2"/>
  <c r="BN316" i="2"/>
  <c r="BN352" i="2"/>
  <c r="Y355" i="2"/>
  <c r="BN373" i="2"/>
  <c r="BN405" i="2"/>
  <c r="Y155" i="2"/>
  <c r="Z163" i="2"/>
  <c r="BN417" i="2"/>
  <c r="Y420" i="2"/>
  <c r="BP476" i="2"/>
  <c r="Y488" i="2"/>
  <c r="BN545" i="2"/>
  <c r="AB563" i="2"/>
  <c r="Z420" i="2" l="1"/>
  <c r="Z343" i="2"/>
  <c r="Z32" i="2"/>
  <c r="Z382" i="2"/>
  <c r="Z247" i="2"/>
  <c r="Z138" i="2"/>
  <c r="Z62" i="2"/>
  <c r="Z482" i="2"/>
  <c r="Z401" i="2"/>
  <c r="Z546" i="2"/>
  <c r="Z388" i="2"/>
  <c r="Z74" i="2"/>
  <c r="Z334" i="2"/>
  <c r="Z191" i="2"/>
  <c r="Z166" i="2"/>
  <c r="Z433" i="2"/>
  <c r="Z304" i="2"/>
  <c r="Z407" i="2"/>
  <c r="Z523" i="2"/>
  <c r="Z327" i="2"/>
  <c r="Z94" i="2"/>
  <c r="Z113" i="2"/>
  <c r="Z24" i="2"/>
  <c r="Z439" i="2"/>
  <c r="Z395" i="2"/>
  <c r="Y553" i="2"/>
  <c r="Y557" i="2"/>
  <c r="Z105" i="2"/>
  <c r="Z477" i="2"/>
  <c r="Z288" i="2"/>
  <c r="Z493" i="2"/>
  <c r="Z445" i="2"/>
  <c r="Z513" i="2"/>
  <c r="Z507" i="2"/>
  <c r="Z375" i="2"/>
  <c r="Z241" i="2"/>
  <c r="Z233" i="2"/>
  <c r="Z211" i="2"/>
  <c r="Y554" i="2"/>
  <c r="X556" i="2"/>
  <c r="Z185" i="2"/>
  <c r="Z69" i="2"/>
  <c r="Z365" i="2"/>
  <c r="Z79" i="2"/>
  <c r="Z273" i="2"/>
  <c r="Z155" i="2"/>
  <c r="Z466" i="2"/>
  <c r="Z87" i="2"/>
  <c r="Z318" i="2"/>
  <c r="Z43" i="2"/>
  <c r="Y555" i="2"/>
  <c r="Y556" i="2" s="1"/>
  <c r="Z558" i="2" l="1"/>
</calcChain>
</file>

<file path=xl/sharedStrings.xml><?xml version="1.0" encoding="utf-8"?>
<sst xmlns="http://schemas.openxmlformats.org/spreadsheetml/2006/main" count="4217" uniqueCount="894">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</sst>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893</v>
      </c>
      <c r="I5" s="997"/>
      <c r="J5" s="997"/>
      <c r="K5" s="997"/>
      <c r="L5" s="997"/>
      <c r="M5" s="997"/>
      <c r="N5" s="72"/>
      <c r="P5" s="27" t="s">
        <v>4</v>
      </c>
      <c r="Q5" s="999">
        <v>46260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876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Среда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3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0.5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60</v>
      </c>
      <c r="Y48" s="55">
        <f>IFERROR(IF(X48="",0,CEILING((X48/$H48),1)*$H48),"")</f>
        <v>64.800000000000011</v>
      </c>
      <c r="Z48" s="41">
        <f>IFERROR(IF(Y48=0,"",ROUNDUP(Y48/H48,0)*0.01898),"")</f>
        <v>0.11388000000000001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62.277777777777779</v>
      </c>
      <c r="BN48" s="78">
        <f>IFERROR(Y48*I48/H48,"0")</f>
        <v>67.260000000000005</v>
      </c>
      <c r="BO48" s="78">
        <f>IFERROR(1/J48*(X48/H48),"0")</f>
        <v>8.6805555555555552E-2</v>
      </c>
      <c r="BP48" s="78">
        <f>IFERROR(1/J48*(Y48/H48),"0")</f>
        <v>9.3750000000000014E-2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28</v>
      </c>
      <c r="Y50" s="55">
        <f>IFERROR(IF(X50="",0,CEILING((X50/$H50),1)*$H50),"")</f>
        <v>28</v>
      </c>
      <c r="Z50" s="41">
        <f>IFERROR(IF(Y50=0,"",ROUNDUP(Y50/H50,0)*0.00902),"")</f>
        <v>6.3140000000000002E-2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29.330000000000002</v>
      </c>
      <c r="BN50" s="78">
        <f>IFERROR(Y50*I50/H50,"0")</f>
        <v>29.330000000000002</v>
      </c>
      <c r="BO50" s="78">
        <f>IFERROR(1/J50*(X50/H50),"0")</f>
        <v>5.3030303030303032E-2</v>
      </c>
      <c r="BP50" s="78">
        <f>IFERROR(1/J50*(Y50/H50),"0")</f>
        <v>5.3030303030303032E-2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12.555555555555555</v>
      </c>
      <c r="Y52" s="43">
        <f>IFERROR(Y48/H48,"0")+IFERROR(Y49/H49,"0")+IFERROR(Y50/H50,"0")+IFERROR(Y51/H51,"0")</f>
        <v>13</v>
      </c>
      <c r="Z52" s="43">
        <f>IFERROR(IF(Z48="",0,Z48),"0")+IFERROR(IF(Z49="",0,Z49),"0")+IFERROR(IF(Z50="",0,Z50),"0")+IFERROR(IF(Z51="",0,Z51),"0")</f>
        <v>0.17702000000000001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88</v>
      </c>
      <c r="Y53" s="43">
        <f>IFERROR(SUM(Y48:Y51),"0")</f>
        <v>92.800000000000011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110</v>
      </c>
      <c r="Y57" s="55">
        <f t="shared" si="6"/>
        <v>118.80000000000001</v>
      </c>
      <c r="Z57" s="41">
        <f>IFERROR(IF(Y57=0,"",ROUNDUP(Y57/H57,0)*0.01898),"")</f>
        <v>0.20877999999999999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114.17592592592594</v>
      </c>
      <c r="BN57" s="78">
        <f t="shared" si="8"/>
        <v>123.31000000000002</v>
      </c>
      <c r="BO57" s="78">
        <f t="shared" si="9"/>
        <v>0.15914351851851852</v>
      </c>
      <c r="BP57" s="78">
        <f t="shared" si="10"/>
        <v>0.171875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58.5</v>
      </c>
      <c r="Y61" s="55">
        <f t="shared" si="6"/>
        <v>58.5</v>
      </c>
      <c r="Z61" s="41">
        <f>IFERROR(IF(Y61=0,"",ROUNDUP(Y61/H61,0)*0.00902),"")</f>
        <v>0.11726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60.97</v>
      </c>
      <c r="BN61" s="78">
        <f t="shared" si="8"/>
        <v>60.97</v>
      </c>
      <c r="BO61" s="78">
        <f t="shared" si="9"/>
        <v>9.8484848484848481E-2</v>
      </c>
      <c r="BP61" s="78">
        <f t="shared" si="10"/>
        <v>9.8484848484848481E-2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23.185185185185183</v>
      </c>
      <c r="Y62" s="43">
        <f>IFERROR(Y56/H56,"0")+IFERROR(Y57/H57,"0")+IFERROR(Y58/H58,"0")+IFERROR(Y59/H59,"0")+IFERROR(Y60/H60,"0")+IFERROR(Y61/H61,"0")</f>
        <v>24</v>
      </c>
      <c r="Z62" s="43">
        <f>IFERROR(IF(Z56="",0,Z56),"0")+IFERROR(IF(Z57="",0,Z57),"0")+IFERROR(IF(Z58="",0,Z58),"0")+IFERROR(IF(Z59="",0,Z59),"0")+IFERROR(IF(Z60="",0,Z60),"0")+IFERROR(IF(Z61="",0,Z61),"0")</f>
        <v>0.32604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168.5</v>
      </c>
      <c r="Y63" s="43">
        <f>IFERROR(SUM(Y56:Y61),"0")</f>
        <v>177.3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80</v>
      </c>
      <c r="Y65" s="55">
        <f>IFERROR(IF(X65="",0,CEILING((X65/$H65),1)*$H65),"")</f>
        <v>86.4</v>
      </c>
      <c r="Z65" s="41">
        <f>IFERROR(IF(Y65=0,"",ROUNDUP(Y65/H65,0)*0.01898),"")</f>
        <v>0.15184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83.037037037037038</v>
      </c>
      <c r="BN65" s="78">
        <f>IFERROR(Y65*I65/H65,"0")</f>
        <v>89.68</v>
      </c>
      <c r="BO65" s="78">
        <f>IFERROR(1/J65*(X65/H65),"0")</f>
        <v>0.11574074074074073</v>
      </c>
      <c r="BP65" s="78">
        <f>IFERROR(1/J65*(Y65/H65),"0")</f>
        <v>0.125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18.899999999999999</v>
      </c>
      <c r="Y68" s="55">
        <f>IFERROR(IF(X68="",0,CEILING((X68/$H68),1)*$H68),"")</f>
        <v>18.900000000000002</v>
      </c>
      <c r="Z68" s="41">
        <f>IFERROR(IF(Y68=0,"",ROUNDUP(Y68/H68,0)*0.00651),"")</f>
        <v>4.5569999999999999E-2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20.159999999999997</v>
      </c>
      <c r="BN68" s="78">
        <f>IFERROR(Y68*I68/H68,"0")</f>
        <v>20.16</v>
      </c>
      <c r="BO68" s="78">
        <f>IFERROR(1/J68*(X68/H68),"0")</f>
        <v>3.8461538461538457E-2</v>
      </c>
      <c r="BP68" s="78">
        <f>IFERROR(1/J68*(Y68/H68),"0")</f>
        <v>3.8461538461538464E-2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14.407407407407405</v>
      </c>
      <c r="Y69" s="43">
        <f>IFERROR(Y65/H65,"0")+IFERROR(Y66/H66,"0")+IFERROR(Y67/H67,"0")+IFERROR(Y68/H68,"0")</f>
        <v>15</v>
      </c>
      <c r="Z69" s="43">
        <f>IFERROR(IF(Z65="",0,Z65),"0")+IFERROR(IF(Z66="",0,Z66),"0")+IFERROR(IF(Z67="",0,Z67),"0")+IFERROR(IF(Z68="",0,Z68),"0")</f>
        <v>0.19741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98.9</v>
      </c>
      <c r="Y70" s="43">
        <f>IFERROR(SUM(Y65:Y68),"0")</f>
        <v>105.30000000000001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30</v>
      </c>
      <c r="Y83" s="55">
        <f>IFERROR(IF(X83="",0,CEILING((X83/$H83),1)*$H83),"")</f>
        <v>32.400000000000006</v>
      </c>
      <c r="Z83" s="41">
        <f>IFERROR(IF(Y83=0,"",ROUNDUP(Y83/H83,0)*0.01898),"")</f>
        <v>5.6940000000000004E-2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31.138888888888889</v>
      </c>
      <c r="BN83" s="78">
        <f>IFERROR(Y83*I83/H83,"0")</f>
        <v>33.630000000000003</v>
      </c>
      <c r="BO83" s="78">
        <f>IFERROR(1/J83*(X83/H83),"0")</f>
        <v>4.3402777777777776E-2</v>
      </c>
      <c r="BP83" s="78">
        <f>IFERROR(1/J83*(Y83/H83),"0")</f>
        <v>4.6875000000000007E-2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27</v>
      </c>
      <c r="Y86" s="55">
        <f>IFERROR(IF(X86="",0,CEILING((X86/$H86),1)*$H86),"")</f>
        <v>27</v>
      </c>
      <c r="Z86" s="41">
        <f>IFERROR(IF(Y86=0,"",ROUNDUP(Y86/H86,0)*0.00902),"")</f>
        <v>5.4120000000000001E-2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28.14</v>
      </c>
      <c r="BN86" s="78">
        <f>IFERROR(Y86*I86/H86,"0")</f>
        <v>28.14</v>
      </c>
      <c r="BO86" s="78">
        <f>IFERROR(1/J86*(X86/H86),"0")</f>
        <v>4.5454545454545456E-2</v>
      </c>
      <c r="BP86" s="78">
        <f>IFERROR(1/J86*(Y86/H86),"0")</f>
        <v>4.5454545454545456E-2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8.7777777777777786</v>
      </c>
      <c r="Y87" s="43">
        <f>IFERROR(Y83/H83,"0")+IFERROR(Y84/H84,"0")+IFERROR(Y85/H85,"0")+IFERROR(Y86/H86,"0")</f>
        <v>9</v>
      </c>
      <c r="Z87" s="43">
        <f>IFERROR(IF(Z83="",0,Z83),"0")+IFERROR(IF(Z84="",0,Z84),"0")+IFERROR(IF(Z85="",0,Z85),"0")+IFERROR(IF(Z86="",0,Z86),"0")</f>
        <v>0.11106000000000001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57</v>
      </c>
      <c r="Y88" s="43">
        <f>IFERROR(SUM(Y83:Y86),"0")</f>
        <v>59.400000000000006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50</v>
      </c>
      <c r="Y90" s="55">
        <f>IFERROR(IF(X90="",0,CEILING((X90/$H90),1)*$H90),"")</f>
        <v>56.699999999999996</v>
      </c>
      <c r="Z90" s="41">
        <f>IFERROR(IF(Y90=0,"",ROUNDUP(Y90/H90,0)*0.01898),"")</f>
        <v>0.13286000000000001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53.049382716049386</v>
      </c>
      <c r="BN90" s="78">
        <f>IFERROR(Y90*I90/H90,"0")</f>
        <v>60.157999999999994</v>
      </c>
      <c r="BO90" s="78">
        <f>IFERROR(1/J90*(X90/H90),"0")</f>
        <v>9.6450617283950615E-2</v>
      </c>
      <c r="BP90" s="78">
        <f>IFERROR(1/J90*(Y90/H90),"0")</f>
        <v>0.109375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13.5</v>
      </c>
      <c r="Y92" s="55">
        <f>IFERROR(IF(X92="",0,CEILING((X92/$H92),1)*$H92),"")</f>
        <v>13.5</v>
      </c>
      <c r="Z92" s="41">
        <f>IFERROR(IF(Y92=0,"",ROUNDUP(Y92/H92,0)*0.00651),"")</f>
        <v>3.2550000000000003E-2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14.759999999999998</v>
      </c>
      <c r="BN92" s="78">
        <f>IFERROR(Y92*I92/H92,"0")</f>
        <v>14.759999999999998</v>
      </c>
      <c r="BO92" s="78">
        <f>IFERROR(1/J92*(X92/H92),"0")</f>
        <v>2.7472527472527476E-2</v>
      </c>
      <c r="BP92" s="78">
        <f>IFERROR(1/J92*(Y92/H92),"0")</f>
        <v>2.7472527472527476E-2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11.172839506172838</v>
      </c>
      <c r="Y94" s="43">
        <f>IFERROR(Y90/H90,"0")+IFERROR(Y91/H91,"0")+IFERROR(Y92/H92,"0")+IFERROR(Y93/H93,"0")</f>
        <v>12</v>
      </c>
      <c r="Z94" s="43">
        <f>IFERROR(IF(Z90="",0,Z90),"0")+IFERROR(IF(Z91="",0,Z91),"0")+IFERROR(IF(Z92="",0,Z92),"0")+IFERROR(IF(Z93="",0,Z93),"0")</f>
        <v>0.16541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63.5</v>
      </c>
      <c r="Y95" s="43">
        <f>IFERROR(SUM(Y90:Y93),"0")</f>
        <v>70.199999999999989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10</v>
      </c>
      <c r="Y98" s="55">
        <f t="shared" ref="Y98:Y104" si="11">IFERROR(IF(X98="",0,CEILING((X98/$H98),1)*$H98),"")</f>
        <v>10.8</v>
      </c>
      <c r="Z98" s="41">
        <f>IFERROR(IF(Y98=0,"",ROUNDUP(Y98/H98,0)*0.01898),"")</f>
        <v>1.898E-2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10.37962962962963</v>
      </c>
      <c r="BN98" s="78">
        <f t="shared" ref="BN98:BN104" si="13">IFERROR(Y98*I98/H98,"0")</f>
        <v>11.21</v>
      </c>
      <c r="BO98" s="78">
        <f t="shared" ref="BO98:BO104" si="14">IFERROR(1/J98*(X98/H98),"0")</f>
        <v>1.4467592592592591E-2</v>
      </c>
      <c r="BP98" s="78">
        <f t="shared" ref="BP98:BP104" si="15">IFERROR(1/J98*(Y98/H98),"0")</f>
        <v>1.5625E-2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7.5</v>
      </c>
      <c r="Y102" s="55">
        <f t="shared" si="11"/>
        <v>7.5</v>
      </c>
      <c r="Z102" s="41">
        <f>IFERROR(IF(Y102=0,"",ROUNDUP(Y102/H102,0)*0.00902),"")</f>
        <v>1.804E-2</v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7.88</v>
      </c>
      <c r="BN102" s="78">
        <f t="shared" si="13"/>
        <v>7.88</v>
      </c>
      <c r="BO102" s="78">
        <f t="shared" si="14"/>
        <v>1.5151515151515152E-2</v>
      </c>
      <c r="BP102" s="78">
        <f t="shared" si="15"/>
        <v>1.5151515151515152E-2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2.9259259259259256</v>
      </c>
      <c r="Y105" s="43">
        <f>IFERROR(Y98/H98,"0")+IFERROR(Y99/H99,"0")+IFERROR(Y100/H100,"0")+IFERROR(Y101/H101,"0")+IFERROR(Y102/H102,"0")+IFERROR(Y103/H103,"0")+IFERROR(Y104/H104,"0")</f>
        <v>3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3.7019999999999997E-2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17.5</v>
      </c>
      <c r="Y106" s="43">
        <f>IFERROR(SUM(Y98:Y104),"0")</f>
        <v>18.3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50</v>
      </c>
      <c r="Y116" s="55">
        <f>IFERROR(IF(X116="",0,CEILING((X116/$H116),1)*$H116),"")</f>
        <v>56.699999999999996</v>
      </c>
      <c r="Z116" s="41">
        <f>IFERROR(IF(Y116=0,"",ROUNDUP(Y116/H116,0)*0.01898),"")</f>
        <v>0.13286000000000001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53.012345679012348</v>
      </c>
      <c r="BN116" s="78">
        <f>IFERROR(Y116*I116/H116,"0")</f>
        <v>60.115999999999993</v>
      </c>
      <c r="BO116" s="78">
        <f>IFERROR(1/J116*(X116/H116),"0")</f>
        <v>9.6450617283950615E-2</v>
      </c>
      <c r="BP116" s="78">
        <f>IFERROR(1/J116*(Y116/H116),"0")</f>
        <v>0.109375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13.5</v>
      </c>
      <c r="Y118" s="55">
        <f>IFERROR(IF(X118="",0,CEILING((X118/$H118),1)*$H118),"")</f>
        <v>13.5</v>
      </c>
      <c r="Z118" s="41">
        <f>IFERROR(IF(Y118=0,"",ROUNDUP(Y118/H118,0)*0.00651),"")</f>
        <v>3.2550000000000003E-2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14.759999999999998</v>
      </c>
      <c r="BN118" s="78">
        <f>IFERROR(Y118*I118/H118,"0")</f>
        <v>14.759999999999998</v>
      </c>
      <c r="BO118" s="78">
        <f>IFERROR(1/J118*(X118/H118),"0")</f>
        <v>2.7472527472527476E-2</v>
      </c>
      <c r="BP118" s="78">
        <f>IFERROR(1/J118*(Y118/H118),"0")</f>
        <v>2.7472527472527476E-2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11.172839506172838</v>
      </c>
      <c r="Y120" s="43">
        <f>IFERROR(Y116/H116,"0")+IFERROR(Y117/H117,"0")+IFERROR(Y118/H118,"0")+IFERROR(Y119/H119,"0")</f>
        <v>12</v>
      </c>
      <c r="Z120" s="43">
        <f>IFERROR(IF(Z116="",0,Z116),"0")+IFERROR(IF(Z117="",0,Z117),"0")+IFERROR(IF(Z118="",0,Z118),"0")+IFERROR(IF(Z119="",0,Z119),"0")</f>
        <v>0.16541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63.5</v>
      </c>
      <c r="Y121" s="43">
        <f>IFERROR(SUM(Y116:Y119),"0")</f>
        <v>70.199999999999989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9.6</v>
      </c>
      <c r="Y129" s="55">
        <f>IFERROR(IF(X129="",0,CEILING((X129/$H129),1)*$H129),"")</f>
        <v>9.6000000000000014</v>
      </c>
      <c r="Z129" s="41">
        <f>IFERROR(IF(Y129=0,"",ROUNDUP(Y129/H129,0)*0.00651),"")</f>
        <v>1.9529999999999999E-2</v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10.139999999999999</v>
      </c>
      <c r="BN129" s="78">
        <f>IFERROR(Y129*I129/H129,"0")</f>
        <v>10.139999999999999</v>
      </c>
      <c r="BO129" s="78">
        <f>IFERROR(1/J129*(X129/H129),"0")</f>
        <v>1.6483516483516484E-2</v>
      </c>
      <c r="BP129" s="78">
        <f>IFERROR(1/J129*(Y129/H129),"0")</f>
        <v>1.6483516483516487E-2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2.9999999999999996</v>
      </c>
      <c r="Y131" s="43">
        <f>IFERROR(Y128/H128,"0")+IFERROR(Y129/H129,"0")+IFERROR(Y130/H130,"0")</f>
        <v>3.0000000000000004</v>
      </c>
      <c r="Z131" s="43">
        <f>IFERROR(IF(Z128="",0,Z128),"0")+IFERROR(IF(Z129="",0,Z129),"0")+IFERROR(IF(Z130="",0,Z130),"0")</f>
        <v>1.9529999999999999E-2</v>
      </c>
      <c r="AA131" s="67"/>
      <c r="AB131" s="67"/>
      <c r="AC131" s="67"/>
    </row>
    <row r="132" spans="1:68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9.6</v>
      </c>
      <c r="Y132" s="43">
        <f>IFERROR(SUM(Y128:Y130),"0")</f>
        <v>9.6000000000000014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hidden="1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9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0</v>
      </c>
      <c r="BN265" s="78">
        <f t="shared" ref="BN265:BN272" si="41">IFERROR(Y265*I265/H265,"0")</f>
        <v>0</v>
      </c>
      <c r="BO265" s="78">
        <f t="shared" ref="BO265:BO272" si="42">IFERROR(1/J265*(X265/H265),"0")</f>
        <v>0</v>
      </c>
      <c r="BP265" s="78">
        <f t="shared" ref="BP265:BP272" si="43">IFERROR(1/J265*(Y265/H265),"0")</f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hidden="1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9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0</v>
      </c>
      <c r="BN267" s="78">
        <f t="shared" si="41"/>
        <v>0</v>
      </c>
      <c r="BO267" s="78">
        <f t="shared" si="42"/>
        <v>0</v>
      </c>
      <c r="BP267" s="78">
        <f t="shared" si="43"/>
        <v>0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hidden="1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12</v>
      </c>
      <c r="Y279" s="55">
        <f t="shared" si="44"/>
        <v>12</v>
      </c>
      <c r="Z279" s="41">
        <f>IFERROR(IF(Y279=0,"",ROUNDUP(Y279/H279,0)*0.00651),"")</f>
        <v>3.2550000000000003E-2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13.35</v>
      </c>
      <c r="BN279" s="78">
        <f t="shared" si="46"/>
        <v>13.35</v>
      </c>
      <c r="BO279" s="78">
        <f t="shared" si="47"/>
        <v>2.7472527472527476E-2</v>
      </c>
      <c r="BP279" s="78">
        <f t="shared" si="48"/>
        <v>2.7472527472527476E-2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hidden="1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4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0</v>
      </c>
      <c r="BN282" s="78">
        <f t="shared" si="46"/>
        <v>0</v>
      </c>
      <c r="BO282" s="78">
        <f t="shared" si="47"/>
        <v>0</v>
      </c>
      <c r="BP282" s="78">
        <f t="shared" si="48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5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5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3.2550000000000003E-2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12</v>
      </c>
      <c r="Y289" s="43">
        <f>IFERROR(SUM(Y276:Y287),"0")</f>
        <v>12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20</v>
      </c>
      <c r="Y322" s="55">
        <f>IFERROR(IF(X322="",0,CEILING((X322/$H322),1)*$H322),"")</f>
        <v>21.6</v>
      </c>
      <c r="Z322" s="41">
        <f>IFERROR(IF(Y322=0,"",ROUNDUP(Y322/H322,0)*0.01898),"")</f>
        <v>3.7960000000000001E-2</v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20.75925925925926</v>
      </c>
      <c r="BN322" s="78">
        <f>IFERROR(Y322*I322/H322,"0")</f>
        <v>22.42</v>
      </c>
      <c r="BO322" s="78">
        <f>IFERROR(1/J322*(X322/H322),"0")</f>
        <v>2.8935185185185182E-2</v>
      </c>
      <c r="BP322" s="78">
        <f>IFERROR(1/J322*(Y322/H322),"0")</f>
        <v>3.125E-2</v>
      </c>
    </row>
    <row r="323" spans="1:68" ht="37.5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20</v>
      </c>
      <c r="Y323" s="55">
        <f>IFERROR(IF(X323="",0,CEILING((X323/$H323),1)*$H323),"")</f>
        <v>21.6</v>
      </c>
      <c r="Z323" s="41">
        <f>IFERROR(IF(Y323=0,"",ROUNDUP(Y323/H323,0)*0.01898),"")</f>
        <v>3.7960000000000001E-2</v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20.75925925925926</v>
      </c>
      <c r="BN323" s="78">
        <f>IFERROR(Y323*I323/H323,"0")</f>
        <v>22.42</v>
      </c>
      <c r="BO323" s="78">
        <f>IFERROR(1/J323*(X323/H323),"0")</f>
        <v>2.8935185185185182E-2</v>
      </c>
      <c r="BP323" s="78">
        <f>IFERROR(1/J323*(Y323/H323),"0")</f>
        <v>3.125E-2</v>
      </c>
    </row>
    <row r="324" spans="1:68" ht="27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30</v>
      </c>
      <c r="Y324" s="55">
        <f>IFERROR(IF(X324="",0,CEILING((X324/$H324),1)*$H324),"")</f>
        <v>32.400000000000006</v>
      </c>
      <c r="Z324" s="41">
        <f>IFERROR(IF(Y324=0,"",ROUNDUP(Y324/H324,0)*0.01898),"")</f>
        <v>5.6940000000000004E-2</v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31.138888888888889</v>
      </c>
      <c r="BN324" s="78">
        <f>IFERROR(Y324*I324/H324,"0")</f>
        <v>33.630000000000003</v>
      </c>
      <c r="BO324" s="78">
        <f>IFERROR(1/J324*(X324/H324),"0")</f>
        <v>4.3402777777777776E-2</v>
      </c>
      <c r="BP324" s="78">
        <f>IFERROR(1/J324*(Y324/H324),"0")</f>
        <v>4.6875000000000007E-2</v>
      </c>
    </row>
    <row r="325" spans="1:68" ht="27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8</v>
      </c>
      <c r="Y325" s="55">
        <f>IFERROR(IF(X325="",0,CEILING((X325/$H325),1)*$H325),"")</f>
        <v>8</v>
      </c>
      <c r="Z325" s="41">
        <f>IFERROR(IF(Y325=0,"",ROUNDUP(Y325/H325,0)*0.00902),"")</f>
        <v>1.804E-2</v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8.3800000000000008</v>
      </c>
      <c r="BN325" s="78">
        <f>IFERROR(Y325*I325/H325,"0")</f>
        <v>8.3800000000000008</v>
      </c>
      <c r="BO325" s="78">
        <f>IFERROR(1/J325*(X325/H325),"0")</f>
        <v>1.5151515151515152E-2</v>
      </c>
      <c r="BP325" s="78">
        <f>IFERROR(1/J325*(Y325/H325),"0")</f>
        <v>1.5151515151515152E-2</v>
      </c>
    </row>
    <row r="326" spans="1:68" ht="37.5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12</v>
      </c>
      <c r="Y326" s="55">
        <f>IFERROR(IF(X326="",0,CEILING((X326/$H326),1)*$H326),"")</f>
        <v>12</v>
      </c>
      <c r="Z326" s="41">
        <f>IFERROR(IF(Y326=0,"",ROUNDUP(Y326/H326,0)*0.00902),"")</f>
        <v>2.7060000000000001E-2</v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12.57</v>
      </c>
      <c r="BN326" s="78">
        <f>IFERROR(Y326*I326/H326,"0")</f>
        <v>12.57</v>
      </c>
      <c r="BO326" s="78">
        <f>IFERROR(1/J326*(X326/H326),"0")</f>
        <v>2.2727272727272728E-2</v>
      </c>
      <c r="BP326" s="78">
        <f>IFERROR(1/J326*(Y326/H326),"0")</f>
        <v>2.2727272727272728E-2</v>
      </c>
    </row>
    <row r="327" spans="1:68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11.481481481481481</v>
      </c>
      <c r="Y327" s="43">
        <f>IFERROR(Y322/H322,"0")+IFERROR(Y323/H323,"0")+IFERROR(Y324/H324,"0")+IFERROR(Y325/H325,"0")+IFERROR(Y326/H326,"0")</f>
        <v>12</v>
      </c>
      <c r="Z327" s="43">
        <f>IFERROR(IF(Z322="",0,Z322),"0")+IFERROR(IF(Z323="",0,Z323),"0")+IFERROR(IF(Z324="",0,Z324),"0")+IFERROR(IF(Z325="",0,Z325),"0")+IFERROR(IF(Z326="",0,Z326),"0")</f>
        <v>0.17796000000000001</v>
      </c>
      <c r="AA327" s="67"/>
      <c r="AB327" s="67"/>
      <c r="AC327" s="67"/>
    </row>
    <row r="328" spans="1:68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90</v>
      </c>
      <c r="Y328" s="43">
        <f>IFERROR(SUM(Y322:Y326),"0")</f>
        <v>95.600000000000009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20</v>
      </c>
      <c r="Y360" s="55">
        <f t="shared" si="54"/>
        <v>21.6</v>
      </c>
      <c r="Z360" s="41">
        <f>IFERROR(IF(Y360=0,"",ROUNDUP(Y360/H360,0)*0.01898),"")</f>
        <v>3.7960000000000001E-2</v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20.75925925925926</v>
      </c>
      <c r="BN360" s="78">
        <f t="shared" si="56"/>
        <v>22.42</v>
      </c>
      <c r="BO360" s="78">
        <f t="shared" si="57"/>
        <v>2.8935185185185182E-2</v>
      </c>
      <c r="BP360" s="78">
        <f t="shared" si="58"/>
        <v>3.125E-2</v>
      </c>
    </row>
    <row r="361" spans="1:68" ht="37.5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40</v>
      </c>
      <c r="Y361" s="55">
        <f t="shared" si="54"/>
        <v>43.2</v>
      </c>
      <c r="Z361" s="41">
        <f>IFERROR(IF(Y361=0,"",ROUNDUP(Y361/H361,0)*0.01898),"")</f>
        <v>7.5920000000000001E-2</v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41.518518518518519</v>
      </c>
      <c r="BN361" s="78">
        <f t="shared" si="56"/>
        <v>44.84</v>
      </c>
      <c r="BO361" s="78">
        <f t="shared" si="57"/>
        <v>5.7870370370370364E-2</v>
      </c>
      <c r="BP361" s="78">
        <f t="shared" si="58"/>
        <v>6.25E-2</v>
      </c>
    </row>
    <row r="362" spans="1:68" ht="27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230</v>
      </c>
      <c r="Y362" s="55">
        <f t="shared" si="54"/>
        <v>237.60000000000002</v>
      </c>
      <c r="Z362" s="41">
        <f>IFERROR(IF(Y362=0,"",ROUNDUP(Y362/H362,0)*0.01898),"")</f>
        <v>0.41755999999999999</v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238.7314814814815</v>
      </c>
      <c r="BN362" s="78">
        <f t="shared" si="56"/>
        <v>246.62000000000003</v>
      </c>
      <c r="BO362" s="78">
        <f t="shared" si="57"/>
        <v>0.33275462962962959</v>
      </c>
      <c r="BP362" s="78">
        <f t="shared" si="58"/>
        <v>0.34375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28</v>
      </c>
      <c r="Y364" s="55">
        <f t="shared" si="54"/>
        <v>28</v>
      </c>
      <c r="Z364" s="41">
        <f>IFERROR(IF(Y364=0,"",ROUNDUP(Y364/H364,0)*0.00902),"")</f>
        <v>6.3140000000000002E-2</v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29.330000000000002</v>
      </c>
      <c r="BN364" s="78">
        <f t="shared" si="56"/>
        <v>29.330000000000002</v>
      </c>
      <c r="BO364" s="78">
        <f t="shared" si="57"/>
        <v>5.3030303030303032E-2</v>
      </c>
      <c r="BP364" s="78">
        <f t="shared" si="58"/>
        <v>5.3030303030303032E-2</v>
      </c>
    </row>
    <row r="365" spans="1:68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33.851851851851848</v>
      </c>
      <c r="Y365" s="43">
        <f>IFERROR(Y359/H359,"0")+IFERROR(Y360/H360,"0")+IFERROR(Y361/H361,"0")+IFERROR(Y362/H362,"0")+IFERROR(Y363/H363,"0")+IFERROR(Y364/H364,"0")</f>
        <v>35</v>
      </c>
      <c r="Z365" s="43">
        <f>IFERROR(IF(Z359="",0,Z359),"0")+IFERROR(IF(Z360="",0,Z360),"0")+IFERROR(IF(Z361="",0,Z361),"0")+IFERROR(IF(Z362="",0,Z362),"0")+IFERROR(IF(Z363="",0,Z363),"0")+IFERROR(IF(Z364="",0,Z364),"0")</f>
        <v>0.59458</v>
      </c>
      <c r="AA365" s="67"/>
      <c r="AB365" s="67"/>
      <c r="AC365" s="67"/>
    </row>
    <row r="366" spans="1:68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318</v>
      </c>
      <c r="Y366" s="43">
        <f>IFERROR(SUM(Y359:Y364),"0")</f>
        <v>330.40000000000003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42</v>
      </c>
      <c r="Y368" s="55">
        <f t="shared" ref="Y368:Y374" si="59">IFERROR(IF(X368="",0,CEILING((X368/$H368),1)*$H368),"")</f>
        <v>42</v>
      </c>
      <c r="Z368" s="41">
        <f>IFERROR(IF(Y368=0,"",ROUNDUP(Y368/H368,0)*0.00902),"")</f>
        <v>9.0200000000000002E-2</v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44.5</v>
      </c>
      <c r="BN368" s="78">
        <f t="shared" ref="BN368:BN374" si="61">IFERROR(Y368*I368/H368,"0")</f>
        <v>44.5</v>
      </c>
      <c r="BO368" s="78">
        <f t="shared" ref="BO368:BO374" si="62">IFERROR(1/J368*(X368/H368),"0")</f>
        <v>7.575757575757576E-2</v>
      </c>
      <c r="BP368" s="78">
        <f t="shared" ref="BP368:BP374" si="63">IFERROR(1/J368*(Y368/H368),"0")</f>
        <v>7.575757575757576E-2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40</v>
      </c>
      <c r="Y369" s="55">
        <f t="shared" si="59"/>
        <v>42</v>
      </c>
      <c r="Z369" s="41">
        <f>IFERROR(IF(Y369=0,"",ROUNDUP(Y369/H369,0)*0.00902),"")</f>
        <v>9.0200000000000002E-2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42.38095238095238</v>
      </c>
      <c r="BN369" s="78">
        <f t="shared" si="61"/>
        <v>44.5</v>
      </c>
      <c r="BO369" s="78">
        <f t="shared" si="62"/>
        <v>7.2150072150072145E-2</v>
      </c>
      <c r="BP369" s="78">
        <f t="shared" si="63"/>
        <v>7.575757575757576E-2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16.8</v>
      </c>
      <c r="Y371" s="55">
        <f t="shared" si="59"/>
        <v>16.8</v>
      </c>
      <c r="Z371" s="41">
        <f>IFERROR(IF(Y371=0,"",ROUNDUP(Y371/H371,0)*0.00502),"")</f>
        <v>4.0160000000000001E-2</v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17.84</v>
      </c>
      <c r="BN371" s="78">
        <f t="shared" si="61"/>
        <v>17.84</v>
      </c>
      <c r="BO371" s="78">
        <f t="shared" si="62"/>
        <v>3.4188034188034191E-2</v>
      </c>
      <c r="BP371" s="78">
        <f t="shared" si="63"/>
        <v>3.4188034188034191E-2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16.8</v>
      </c>
      <c r="Y372" s="55">
        <f t="shared" si="59"/>
        <v>16.8</v>
      </c>
      <c r="Z372" s="41">
        <f>IFERROR(IF(Y372=0,"",ROUNDUP(Y372/H372,0)*0.00502),"")</f>
        <v>4.0160000000000001E-2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17.600000000000001</v>
      </c>
      <c r="BN372" s="78">
        <f t="shared" si="61"/>
        <v>17.600000000000001</v>
      </c>
      <c r="BO372" s="78">
        <f t="shared" si="62"/>
        <v>3.4188034188034191E-2</v>
      </c>
      <c r="BP372" s="78">
        <f t="shared" si="63"/>
        <v>3.4188034188034191E-2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35.523809523809526</v>
      </c>
      <c r="Y375" s="43">
        <f>IFERROR(Y368/H368,"0")+IFERROR(Y369/H369,"0")+IFERROR(Y370/H370,"0")+IFERROR(Y371/H371,"0")+IFERROR(Y372/H372,"0")+IFERROR(Y373/H373,"0")+IFERROR(Y374/H374,"0")</f>
        <v>36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0.26072000000000001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115.6</v>
      </c>
      <c r="Y376" s="43">
        <f>IFERROR(SUM(Y368:Y374),"0")</f>
        <v>117.6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800</v>
      </c>
      <c r="Y378" s="55">
        <f>IFERROR(IF(X378="",0,CEILING((X378/$H378),1)*$H378),"")</f>
        <v>803.4</v>
      </c>
      <c r="Z378" s="41">
        <f>IFERROR(IF(Y378=0,"",ROUNDUP(Y378/H378,0)*0.01898),"")</f>
        <v>1.9549400000000001</v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850.0512820512821</v>
      </c>
      <c r="BN378" s="78">
        <f>IFERROR(Y378*I378/H378,"0")</f>
        <v>853.66399999999999</v>
      </c>
      <c r="BO378" s="78">
        <f>IFERROR(1/J378*(X378/H378),"0")</f>
        <v>1.6025641025641026</v>
      </c>
      <c r="BP378" s="78">
        <f>IFERROR(1/J378*(Y378/H378),"0")</f>
        <v>1.609375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27</v>
      </c>
      <c r="Y381" s="55">
        <f>IFERROR(IF(X381="",0,CEILING((X381/$H381),1)*$H381),"")</f>
        <v>27</v>
      </c>
      <c r="Z381" s="41">
        <f>IFERROR(IF(Y381=0,"",ROUNDUP(Y381/H381,0)*0.00651),"")</f>
        <v>5.8590000000000003E-2</v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29.213999999999999</v>
      </c>
      <c r="BN381" s="78">
        <f>IFERROR(Y381*I381/H381,"0")</f>
        <v>29.213999999999999</v>
      </c>
      <c r="BO381" s="78">
        <f>IFERROR(1/J381*(X381/H381),"0")</f>
        <v>4.9450549450549455E-2</v>
      </c>
      <c r="BP381" s="78">
        <f>IFERROR(1/J381*(Y381/H381),"0")</f>
        <v>4.9450549450549455E-2</v>
      </c>
    </row>
    <row r="382" spans="1:68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111.56410256410257</v>
      </c>
      <c r="Y382" s="43">
        <f>IFERROR(Y378/H378,"0")+IFERROR(Y379/H379,"0")+IFERROR(Y380/H380,"0")+IFERROR(Y381/H381,"0")</f>
        <v>112</v>
      </c>
      <c r="Z382" s="43">
        <f>IFERROR(IF(Z378="",0,Z378),"0")+IFERROR(IF(Z379="",0,Z379),"0")+IFERROR(IF(Z380="",0,Z380),"0")+IFERROR(IF(Z381="",0,Z381),"0")</f>
        <v>2.0135300000000003</v>
      </c>
      <c r="AA382" s="67"/>
      <c r="AB382" s="67"/>
      <c r="AC382" s="67"/>
    </row>
    <row r="383" spans="1:68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827</v>
      </c>
      <c r="Y383" s="43">
        <f>IFERROR(SUM(Y378:Y381),"0")</f>
        <v>830.4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40</v>
      </c>
      <c r="Y387" s="55">
        <f>IFERROR(IF(X387="",0,CEILING((X387/$H387),1)*$H387),"")</f>
        <v>42</v>
      </c>
      <c r="Z387" s="41">
        <f>IFERROR(IF(Y387=0,"",ROUNDUP(Y387/H387,0)*0.01898),"")</f>
        <v>9.4899999999999998E-2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42.352380952380948</v>
      </c>
      <c r="BN387" s="78">
        <f>IFERROR(Y387*I387/H387,"0")</f>
        <v>44.47</v>
      </c>
      <c r="BO387" s="78">
        <f>IFERROR(1/J387*(X387/H387),"0")</f>
        <v>7.4404761904761904E-2</v>
      </c>
      <c r="BP387" s="78">
        <f>IFERROR(1/J387*(Y387/H387),"0")</f>
        <v>7.8125E-2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4.7619047619047619</v>
      </c>
      <c r="Y388" s="43">
        <f>IFERROR(Y385/H385,"0")+IFERROR(Y386/H386,"0")+IFERROR(Y387/H387,"0")</f>
        <v>5</v>
      </c>
      <c r="Z388" s="43">
        <f>IFERROR(IF(Z385="",0,Z385),"0")+IFERROR(IF(Z386="",0,Z386),"0")+IFERROR(IF(Z387="",0,Z387),"0")</f>
        <v>9.4899999999999998E-2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40</v>
      </c>
      <c r="Y389" s="43">
        <f>IFERROR(SUM(Y385:Y387),"0")</f>
        <v>42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5.0999999999999996</v>
      </c>
      <c r="Y394" s="55">
        <f>IFERROR(IF(X394="",0,CEILING((X394/$H394),1)*$H394),"")</f>
        <v>5.0999999999999996</v>
      </c>
      <c r="Z394" s="41">
        <f>IFERROR(IF(Y394=0,"",ROUNDUP(Y394/H394,0)*0.00651),"")</f>
        <v>1.302E-2</v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5.76</v>
      </c>
      <c r="BN394" s="78">
        <f>IFERROR(Y394*I394/H394,"0")</f>
        <v>5.76</v>
      </c>
      <c r="BO394" s="78">
        <f>IFERROR(1/J394*(X394/H394),"0")</f>
        <v>1.098901098901099E-2</v>
      </c>
      <c r="BP394" s="78">
        <f>IFERROR(1/J394*(Y394/H394),"0")</f>
        <v>1.098901098901099E-2</v>
      </c>
    </row>
    <row r="395" spans="1:68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2</v>
      </c>
      <c r="Y395" s="43">
        <f>IFERROR(Y391/H391,"0")+IFERROR(Y392/H392,"0")+IFERROR(Y393/H393,"0")+IFERROR(Y394/H394,"0")</f>
        <v>2</v>
      </c>
      <c r="Z395" s="43">
        <f>IFERROR(IF(Z391="",0,Z391),"0")+IFERROR(IF(Z392="",0,Z392),"0")+IFERROR(IF(Z393="",0,Z393),"0")+IFERROR(IF(Z394="",0,Z394),"0")</f>
        <v>1.302E-2</v>
      </c>
      <c r="AA395" s="67"/>
      <c r="AB395" s="67"/>
      <c r="AC395" s="67"/>
    </row>
    <row r="396" spans="1:68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5.0999999999999996</v>
      </c>
      <c r="Y396" s="43">
        <f>IFERROR(SUM(Y391:Y394),"0")</f>
        <v>5.0999999999999996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40</v>
      </c>
      <c r="Y417" s="55">
        <f>IFERROR(IF(X417="",0,CEILING((X417/$H417),1)*$H417),"")</f>
        <v>40.5</v>
      </c>
      <c r="Z417" s="41">
        <f>IFERROR(IF(Y417=0,"",ROUNDUP(Y417/H417,0)*0.01898),"")</f>
        <v>9.4899999999999998E-2</v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42.439506172839508</v>
      </c>
      <c r="BN417" s="78">
        <f>IFERROR(Y417*I417/H417,"0")</f>
        <v>42.97</v>
      </c>
      <c r="BO417" s="78">
        <f>IFERROR(1/J417*(X417/H417),"0")</f>
        <v>7.7160493827160503E-2</v>
      </c>
      <c r="BP417" s="78">
        <f>IFERROR(1/J417*(Y417/H417),"0")</f>
        <v>7.8125E-2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37.799999999999997</v>
      </c>
      <c r="Y418" s="55">
        <f>IFERROR(IF(X418="",0,CEILING((X418/$H418),1)*$H418),"")</f>
        <v>37.800000000000004</v>
      </c>
      <c r="Z418" s="41">
        <f>IFERROR(IF(Y418=0,"",ROUNDUP(Y418/H418,0)*0.00651),"")</f>
        <v>0.11718000000000001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42.335999999999991</v>
      </c>
      <c r="BN418" s="78">
        <f>IFERROR(Y418*I418/H418,"0")</f>
        <v>42.335999999999999</v>
      </c>
      <c r="BO418" s="78">
        <f>IFERROR(1/J418*(X418/H418),"0")</f>
        <v>9.8901098901098883E-2</v>
      </c>
      <c r="BP418" s="78">
        <f>IFERROR(1/J418*(Y418/H418),"0")</f>
        <v>9.8901098901098911E-2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37.799999999999997</v>
      </c>
      <c r="Y419" s="55">
        <f>IFERROR(IF(X419="",0,CEILING((X419/$H419),1)*$H419),"")</f>
        <v>37.800000000000004</v>
      </c>
      <c r="Z419" s="41">
        <f>IFERROR(IF(Y419=0,"",ROUNDUP(Y419/H419,0)*0.00651),"")</f>
        <v>0.11718000000000001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42.11999999999999</v>
      </c>
      <c r="BN419" s="78">
        <f>IFERROR(Y419*I419/H419,"0")</f>
        <v>42.12</v>
      </c>
      <c r="BO419" s="78">
        <f>IFERROR(1/J419*(X419/H419),"0")</f>
        <v>9.8901098901098883E-2</v>
      </c>
      <c r="BP419" s="78">
        <f>IFERROR(1/J419*(Y419/H419),"0")</f>
        <v>9.8901098901098911E-2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40.938271604938265</v>
      </c>
      <c r="Y420" s="43">
        <f>IFERROR(Y417/H417,"0")+IFERROR(Y418/H418,"0")+IFERROR(Y419/H419,"0")</f>
        <v>41</v>
      </c>
      <c r="Z420" s="43">
        <f>IFERROR(IF(Z417="",0,Z417),"0")+IFERROR(IF(Z418="",0,Z418),"0")+IFERROR(IF(Z419="",0,Z419),"0")</f>
        <v>0.32926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115.6</v>
      </c>
      <c r="Y421" s="43">
        <f>IFERROR(SUM(Y417:Y419),"0")</f>
        <v>116.10000000000002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200</v>
      </c>
      <c r="Y426" s="55">
        <f t="shared" si="64"/>
        <v>210</v>
      </c>
      <c r="Z426" s="41">
        <f>IFERROR(IF(Y426=0,"",ROUNDUP(Y426/H426,0)*0.02175),"")</f>
        <v>0.30449999999999999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206.26666666666668</v>
      </c>
      <c r="BN426" s="78">
        <f t="shared" si="66"/>
        <v>216.58</v>
      </c>
      <c r="BO426" s="78">
        <f t="shared" si="67"/>
        <v>0.27777777777777779</v>
      </c>
      <c r="BP426" s="78">
        <f t="shared" si="68"/>
        <v>0.29166666666666663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90</v>
      </c>
      <c r="Y427" s="55">
        <f t="shared" si="64"/>
        <v>90</v>
      </c>
      <c r="Z427" s="41">
        <f>IFERROR(IF(Y427=0,"",ROUNDUP(Y427/H427,0)*0.02175),"")</f>
        <v>0.1305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92.82</v>
      </c>
      <c r="BN427" s="78">
        <f t="shared" si="66"/>
        <v>92.82</v>
      </c>
      <c r="BO427" s="78">
        <f t="shared" si="67"/>
        <v>0.125</v>
      </c>
      <c r="BP427" s="78">
        <f t="shared" si="68"/>
        <v>0.125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500</v>
      </c>
      <c r="Y429" s="55">
        <f t="shared" si="64"/>
        <v>510</v>
      </c>
      <c r="Z429" s="41">
        <f>IFERROR(IF(Y429=0,"",ROUNDUP(Y429/H429,0)*0.02175),"")</f>
        <v>0.73949999999999994</v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515.66666666666663</v>
      </c>
      <c r="BN429" s="78">
        <f t="shared" si="66"/>
        <v>525.98</v>
      </c>
      <c r="BO429" s="78">
        <f t="shared" si="67"/>
        <v>0.69444444444444442</v>
      </c>
      <c r="BP429" s="78">
        <f t="shared" si="68"/>
        <v>0.70833333333333326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10</v>
      </c>
      <c r="Y432" s="55">
        <f t="shared" si="64"/>
        <v>10</v>
      </c>
      <c r="Z432" s="41">
        <f>IFERROR(IF(Y432=0,"",ROUNDUP(Y432/H432,0)*0.00902),"")</f>
        <v>1.804E-2</v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10.38</v>
      </c>
      <c r="BN432" s="78">
        <f t="shared" si="66"/>
        <v>10.38</v>
      </c>
      <c r="BO432" s="78">
        <f t="shared" si="67"/>
        <v>1.5151515151515152E-2</v>
      </c>
      <c r="BP432" s="78">
        <f t="shared" si="68"/>
        <v>1.5151515151515152E-2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54.666666666666671</v>
      </c>
      <c r="Y433" s="43">
        <f>IFERROR(Y425/H425,"0")+IFERROR(Y426/H426,"0")+IFERROR(Y427/H427,"0")+IFERROR(Y428/H428,"0")+IFERROR(Y429/H429,"0")+IFERROR(Y430/H430,"0")+IFERROR(Y431/H431,"0")+IFERROR(Y432/H432,"0")</f>
        <v>56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1.1925399999999999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800</v>
      </c>
      <c r="Y434" s="43">
        <f>IFERROR(SUM(Y425:Y432),"0")</f>
        <v>820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315</v>
      </c>
      <c r="Y436" s="55">
        <f>IFERROR(IF(X436="",0,CEILING((X436/$H436),1)*$H436),"")</f>
        <v>315</v>
      </c>
      <c r="Z436" s="41">
        <f>IFERROR(IF(Y436=0,"",ROUNDUP(Y436/H436,0)*0.02175),"")</f>
        <v>0.45674999999999999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324.87</v>
      </c>
      <c r="BN436" s="78">
        <f>IFERROR(Y436*I436/H436,"0")</f>
        <v>324.87</v>
      </c>
      <c r="BO436" s="78">
        <f>IFERROR(1/J436*(X436/H436),"0")</f>
        <v>0.4375</v>
      </c>
      <c r="BP436" s="78">
        <f>IFERROR(1/J436*(Y436/H436),"0")</f>
        <v>0.4375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4</v>
      </c>
      <c r="Y438" s="55">
        <f>IFERROR(IF(X438="",0,CEILING((X438/$H438),1)*$H438),"")</f>
        <v>4</v>
      </c>
      <c r="Z438" s="41">
        <f>IFERROR(IF(Y438=0,"",ROUNDUP(Y438/H438,0)*0.00902),"")</f>
        <v>9.0200000000000002E-3</v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4.1900000000000004</v>
      </c>
      <c r="BN438" s="78">
        <f>IFERROR(Y438*I438/H438,"0")</f>
        <v>4.1900000000000004</v>
      </c>
      <c r="BO438" s="78">
        <f>IFERROR(1/J438*(X438/H438),"0")</f>
        <v>7.575757575757576E-3</v>
      </c>
      <c r="BP438" s="78">
        <f>IFERROR(1/J438*(Y438/H438),"0")</f>
        <v>7.575757575757576E-3</v>
      </c>
    </row>
    <row r="439" spans="1:68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22</v>
      </c>
      <c r="Y439" s="43">
        <f>IFERROR(Y436/H436,"0")+IFERROR(Y437/H437,"0")+IFERROR(Y438/H438,"0")</f>
        <v>22</v>
      </c>
      <c r="Z439" s="43">
        <f>IFERROR(IF(Z436="",0,Z436),"0")+IFERROR(IF(Z437="",0,Z437),"0")+IFERROR(IF(Z438="",0,Z438),"0")</f>
        <v>0.46577000000000002</v>
      </c>
      <c r="AA439" s="67"/>
      <c r="AB439" s="67"/>
      <c r="AC439" s="67"/>
    </row>
    <row r="440" spans="1:68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319</v>
      </c>
      <c r="Y440" s="43">
        <f>IFERROR(SUM(Y436:Y438),"0")</f>
        <v>319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6.3</v>
      </c>
      <c r="Y475" s="55">
        <f t="shared" si="69"/>
        <v>6.3000000000000007</v>
      </c>
      <c r="Z475" s="41">
        <f>IFERROR(IF(Y475=0,"",ROUNDUP(Y475/H475,0)*0.00502),"")</f>
        <v>1.506E-2</v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6.6899999999999995</v>
      </c>
      <c r="BN475" s="78">
        <f t="shared" si="71"/>
        <v>6.69</v>
      </c>
      <c r="BO475" s="78">
        <f t="shared" si="72"/>
        <v>1.2820512820512822E-2</v>
      </c>
      <c r="BP475" s="78">
        <f t="shared" si="73"/>
        <v>1.2820512820512822E-2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3</v>
      </c>
      <c r="Y477" s="43">
        <f>IFERROR(Y471/H471,"0")+IFERROR(Y472/H472,"0")+IFERROR(Y473/H473,"0")+IFERROR(Y474/H474,"0")+IFERROR(Y475/H475,"0")+IFERROR(Y476/H476,"0")</f>
        <v>3</v>
      </c>
      <c r="Z477" s="43">
        <f>IFERROR(IF(Z471="",0,Z471),"0")+IFERROR(IF(Z472="",0,Z472),"0")+IFERROR(IF(Z473="",0,Z473),"0")+IFERROR(IF(Z474="",0,Z474),"0")+IFERROR(IF(Z475="",0,Z475),"0")+IFERROR(IF(Z476="",0,Z476),"0")</f>
        <v>1.506E-2</v>
      </c>
      <c r="AA477" s="67"/>
      <c r="AB477" s="67"/>
      <c r="AC477" s="67"/>
    </row>
    <row r="478" spans="1:68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6.3</v>
      </c>
      <c r="Y478" s="43">
        <f>IFERROR(SUM(Y471:Y476),"0")</f>
        <v>6.3000000000000007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4.2</v>
      </c>
      <c r="Y492" s="55">
        <f>IFERROR(IF(X492="",0,CEILING((X492/$H492),1)*$H492),"")</f>
        <v>4.2</v>
      </c>
      <c r="Z492" s="41">
        <f>IFERROR(IF(Y492=0,"",ROUNDUP(Y492/H492,0)*0.00502),"")</f>
        <v>1.004E-2</v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4.46</v>
      </c>
      <c r="BN492" s="78">
        <f>IFERROR(Y492*I492/H492,"0")</f>
        <v>4.46</v>
      </c>
      <c r="BO492" s="78">
        <f>IFERROR(1/J492*(X492/H492),"0")</f>
        <v>8.5470085470085479E-3</v>
      </c>
      <c r="BP492" s="78">
        <f>IFERROR(1/J492*(Y492/H492),"0")</f>
        <v>8.5470085470085479E-3</v>
      </c>
    </row>
    <row r="493" spans="1:68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2</v>
      </c>
      <c r="Y493" s="43">
        <f>IFERROR(Y490/H490,"0")+IFERROR(Y491/H491,"0")+IFERROR(Y492/H492,"0")</f>
        <v>2</v>
      </c>
      <c r="Z493" s="43">
        <f>IFERROR(IF(Z490="",0,Z490),"0")+IFERROR(IF(Z491="",0,Z491),"0")+IFERROR(IF(Z492="",0,Z492),"0")</f>
        <v>1.004E-2</v>
      </c>
      <c r="AA493" s="67"/>
      <c r="AB493" s="67"/>
      <c r="AC493" s="67"/>
    </row>
    <row r="494" spans="1:68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4.2</v>
      </c>
      <c r="Y494" s="43">
        <f>IFERROR(SUM(Y490:Y492),"0")</f>
        <v>4.2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45</v>
      </c>
      <c r="Y498" s="55">
        <f t="shared" ref="Y498:Y506" si="74">IFERROR(IF(X498="",0,CEILING((X498/$H498),1)*$H498),"")</f>
        <v>47.52</v>
      </c>
      <c r="Z498" s="41">
        <f t="shared" ref="Z498:Z503" si="75">IFERROR(IF(Y498=0,"",ROUNDUP(Y498/H498,0)*0.01196),"")</f>
        <v>0.10764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47.98295454545454</v>
      </c>
      <c r="BN498" s="78">
        <f t="shared" ref="BN498:BN506" si="77">IFERROR(Y498*I498/H498,"0")</f>
        <v>50.669999999999995</v>
      </c>
      <c r="BO498" s="78">
        <f t="shared" ref="BO498:BO506" si="78">IFERROR(1/J498*(X498/H498),"0")</f>
        <v>8.1949300699300689E-2</v>
      </c>
      <c r="BP498" s="78">
        <f t="shared" ref="BP498:BP506" si="79">IFERROR(1/J498*(Y498/H498),"0")</f>
        <v>8.6538461538461536E-2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20</v>
      </c>
      <c r="Y503" s="55">
        <f t="shared" si="74"/>
        <v>21.12</v>
      </c>
      <c r="Z503" s="41">
        <f t="shared" si="75"/>
        <v>4.7840000000000001E-2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21.325757575757574</v>
      </c>
      <c r="BN503" s="78">
        <f t="shared" si="77"/>
        <v>22.52</v>
      </c>
      <c r="BO503" s="78">
        <f t="shared" si="78"/>
        <v>3.6421911421911424E-2</v>
      </c>
      <c r="BP503" s="78">
        <f t="shared" si="79"/>
        <v>3.8461538461538464E-2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12.310606060606059</v>
      </c>
      <c r="Y507" s="43">
        <f>IFERROR(Y498/H498,"0")+IFERROR(Y499/H499,"0")+IFERROR(Y500/H500,"0")+IFERROR(Y501/H501,"0")+IFERROR(Y502/H502,"0")+IFERROR(Y503/H503,"0")+IFERROR(Y504/H504,"0")+IFERROR(Y505/H505,"0")+IFERROR(Y506/H506,"0")</f>
        <v>13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0.15548000000000001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65</v>
      </c>
      <c r="Y508" s="43">
        <f>IFERROR(SUM(Y498:Y506),"0")</f>
        <v>68.64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35</v>
      </c>
      <c r="Y510" s="55">
        <f>IFERROR(IF(X510="",0,CEILING((X510/$H510),1)*$H510),"")</f>
        <v>36.96</v>
      </c>
      <c r="Z510" s="41">
        <f>IFERROR(IF(Y510=0,"",ROUNDUP(Y510/H510,0)*0.01196),"")</f>
        <v>8.3720000000000003E-2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37.320075757575751</v>
      </c>
      <c r="BN510" s="78">
        <f>IFERROR(Y510*I510/H510,"0")</f>
        <v>39.409999999999997</v>
      </c>
      <c r="BO510" s="78">
        <f>IFERROR(1/J510*(X510/H510),"0")</f>
        <v>6.3738344988344992E-2</v>
      </c>
      <c r="BP510" s="78">
        <f>IFERROR(1/J510*(Y510/H510),"0")</f>
        <v>6.7307692307692318E-2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6.6287878787878789</v>
      </c>
      <c r="Y513" s="43">
        <f>IFERROR(Y510/H510,"0")+IFERROR(Y511/H511,"0")+IFERROR(Y512/H512,"0")</f>
        <v>7</v>
      </c>
      <c r="Z513" s="43">
        <f>IFERROR(IF(Z510="",0,Z510),"0")+IFERROR(IF(Z511="",0,Z511),"0")+IFERROR(IF(Z512="",0,Z512),"0")</f>
        <v>8.3720000000000003E-2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35</v>
      </c>
      <c r="Y514" s="43">
        <f>IFERROR(SUM(Y510:Y512),"0")</f>
        <v>36.96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10</v>
      </c>
      <c r="Y516" s="55">
        <f t="shared" ref="Y516:Y522" si="80">IFERROR(IF(X516="",0,CEILING((X516/$H516),1)*$H516),"")</f>
        <v>10.56</v>
      </c>
      <c r="Z516" s="41">
        <f>IFERROR(IF(Y516=0,"",ROUNDUP(Y516/H516,0)*0.01196),"")</f>
        <v>2.392E-2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10.662878787878787</v>
      </c>
      <c r="BN516" s="78">
        <f t="shared" ref="BN516:BN522" si="82">IFERROR(Y516*I516/H516,"0")</f>
        <v>11.26</v>
      </c>
      <c r="BO516" s="78">
        <f t="shared" ref="BO516:BO522" si="83">IFERROR(1/J516*(X516/H516),"0")</f>
        <v>1.8210955710955712E-2</v>
      </c>
      <c r="BP516" s="78">
        <f t="shared" ref="BP516:BP522" si="84">IFERROR(1/J516*(Y516/H516),"0")</f>
        <v>1.9230769230769232E-2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5</v>
      </c>
      <c r="Y517" s="55">
        <f t="shared" si="80"/>
        <v>5.28</v>
      </c>
      <c r="Z517" s="41">
        <f>IFERROR(IF(Y517=0,"",ROUNDUP(Y517/H517,0)*0.01196),"")</f>
        <v>1.196E-2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5.3314393939393936</v>
      </c>
      <c r="BN517" s="78">
        <f t="shared" si="82"/>
        <v>5.63</v>
      </c>
      <c r="BO517" s="78">
        <f t="shared" si="83"/>
        <v>9.1054778554778559E-3</v>
      </c>
      <c r="BP517" s="78">
        <f t="shared" si="84"/>
        <v>9.6153846153846159E-3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10</v>
      </c>
      <c r="Y518" s="55">
        <f t="shared" si="80"/>
        <v>10.56</v>
      </c>
      <c r="Z518" s="41">
        <f>IFERROR(IF(Y518=0,"",ROUNDUP(Y518/H518,0)*0.01196),"")</f>
        <v>2.392E-2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10.662878787878787</v>
      </c>
      <c r="BN518" s="78">
        <f t="shared" si="82"/>
        <v>11.26</v>
      </c>
      <c r="BO518" s="78">
        <f t="shared" si="83"/>
        <v>1.8210955710955712E-2</v>
      </c>
      <c r="BP518" s="78">
        <f t="shared" si="84"/>
        <v>1.9230769230769232E-2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4.7348484848484844</v>
      </c>
      <c r="Y523" s="43">
        <f>IFERROR(Y516/H516,"0")+IFERROR(Y517/H517,"0")+IFERROR(Y518/H518,"0")+IFERROR(Y519/H519,"0")+IFERROR(Y520/H520,"0")+IFERROR(Y521/H521,"0")+IFERROR(Y522/H522,"0")</f>
        <v>5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5.9800000000000006E-2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25</v>
      </c>
      <c r="Y524" s="43">
        <f>IFERROR(SUM(Y516:Y522),"0")</f>
        <v>26.4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10</v>
      </c>
      <c r="Y528" s="55">
        <f>IFERROR(IF(X528="",0,CEILING((X528/$H528),1)*$H528),"")</f>
        <v>12</v>
      </c>
      <c r="Z528" s="41">
        <f>IFERROR(IF(Y528=0,"",ROUNDUP(Y528/H528,0)*0.01898),"")</f>
        <v>1.898E-2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10.341666666666667</v>
      </c>
      <c r="BN528" s="78">
        <f>IFERROR(Y528*I528/H528,"0")</f>
        <v>12.410000000000002</v>
      </c>
      <c r="BO528" s="78">
        <f>IFERROR(1/J528*(X528/H528),"0")</f>
        <v>1.3020833333333334E-2</v>
      </c>
      <c r="BP528" s="78">
        <f>IFERROR(1/J528*(Y528/H528),"0")</f>
        <v>1.5625E-2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0.83333333333333337</v>
      </c>
      <c r="Y529" s="43">
        <f>IFERROR(Y528/H528,"0")</f>
        <v>1</v>
      </c>
      <c r="Z529" s="43">
        <f>IFERROR(IF(Z528="",0,Z528),"0")</f>
        <v>1.898E-2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10</v>
      </c>
      <c r="Y530" s="43">
        <f>IFERROR(SUM(Y528:Y528),"0")</f>
        <v>12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40</v>
      </c>
      <c r="Y536" s="55">
        <f>IFERROR(IF(X536="",0,CEILING((X536/$H536),1)*$H536),"")</f>
        <v>42</v>
      </c>
      <c r="Z536" s="41">
        <f>IFERROR(IF(Y536=0,"",ROUNDUP(Y536/H536,0)*0.00902),"")</f>
        <v>9.0200000000000002E-2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42.38095238095238</v>
      </c>
      <c r="BN536" s="78">
        <f>IFERROR(Y536*I536/H536,"0")</f>
        <v>44.5</v>
      </c>
      <c r="BO536" s="78">
        <f>IFERROR(1/J536*(X536/H536),"0")</f>
        <v>7.2150072150072145E-2</v>
      </c>
      <c r="BP536" s="78">
        <f>IFERROR(1/J536*(Y536/H536),"0")</f>
        <v>7.575757575757576E-2</v>
      </c>
    </row>
    <row r="537" spans="1:68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9.5238095238095237</v>
      </c>
      <c r="Y537" s="43">
        <f>IFERROR(Y536/H536,"0")</f>
        <v>10</v>
      </c>
      <c r="Z537" s="43">
        <f>IFERROR(IF(Z536="",0,Z536),"0")</f>
        <v>9.0200000000000002E-2</v>
      </c>
      <c r="AA537" s="67"/>
      <c r="AB537" s="67"/>
      <c r="AC537" s="67"/>
    </row>
    <row r="538" spans="1:68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40</v>
      </c>
      <c r="Y538" s="43">
        <f>IFERROR(SUM(Y536:Y536),"0")</f>
        <v>42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hidden="1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3394.2999999999997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3487.7999999999997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3558.4537131078805</v>
      </c>
      <c r="Y554" s="43">
        <f>IFERROR(SUM(BN22:BN550),"0")</f>
        <v>3656.0879999999997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6</v>
      </c>
      <c r="Y555" s="44">
        <f>ROUNDUP(SUM(BP22:BP550),0)</f>
        <v>6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3708.4537131078805</v>
      </c>
      <c r="Y556" s="43">
        <f>GrossWeightTotalR+PalletQtyTotalR*25</f>
        <v>3806.0879999999997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448.01700460033788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458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6.80701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92.800000000000011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282.60000000000002</v>
      </c>
      <c r="F563" s="52">
        <f>IFERROR(Y83*1,"0")+IFERROR(Y84*1,"0")+IFERROR(Y85*1,"0")+IFERROR(Y86*1,"0")+IFERROR(Y90*1,"0")+IFERROR(Y91*1,"0")+IFERROR(Y92*1,"0")+IFERROR(Y93*1,"0")</f>
        <v>129.6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88.5</v>
      </c>
      <c r="H563" s="52">
        <f>IFERROR(Y128*1,"0")+IFERROR(Y129*1,"0")+IFERROR(Y130*1,"0")+IFERROR(Y134*1,"0")+IFERROR(Y135*1,"0")+IFERROR(Y136*1,"0")+IFERROR(Y137*1,"0")+IFERROR(Y141*1,"0")+IFERROR(Y142*1,"0")+IFERROR(Y143*1,"0")</f>
        <v>9.6000000000000014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12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95.600000000000009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1325.5</v>
      </c>
      <c r="U563" s="52">
        <f>IFERROR(Y411*1,"0")+IFERROR(Y412*1,"0")</f>
        <v>0</v>
      </c>
      <c r="V563" s="52">
        <f>IFERROR(Y417*1,"0")+IFERROR(Y418*1,"0")+IFERROR(Y419*1,"0")</f>
        <v>116.10000000000002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1139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6.3000000000000007</v>
      </c>
      <c r="Z563" s="52">
        <f>IFERROR(Y486*1,"0")+IFERROR(Y490*1,"0")+IFERROR(Y491*1,"0")+IFERROR(Y492*1,"0")</f>
        <v>4.2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132</v>
      </c>
      <c r="AB563" s="52">
        <f>IFERROR(Y528*1,"0")+IFERROR(Y532*1,"0")+IFERROR(Y536*1,"0")+IFERROR(Y540*1,"0")+IFERROR(Y544*1,"0")+IFERROR(Y545*1,"0")</f>
        <v>54</v>
      </c>
      <c r="AC563" s="52">
        <f>IFERROR(Y550*1,"0")</f>
        <v>0</v>
      </c>
      <c r="AF563" s="1"/>
    </row>
  </sheetData>
  <sheetProtection algorithmName="SHA-512" hashValue="hC/1kZGNG1TuZhyKCxLqpINZdci5C0goywzMhccEjfP+f6IKuXh0TPT/wWyLrYE3+/1M2LvDYuhePHXG52RrNw==" saltValue="Jq3xjDbsxQo//9dpdTll0w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0,00"/>
        <filter val="11,17"/>
        <filter val="11,48"/>
        <filter val="110,00"/>
        <filter val="111,56"/>
        <filter val="115,60"/>
        <filter val="12,00"/>
        <filter val="12,31"/>
        <filter val="12,56"/>
        <filter val="13,50"/>
        <filter val="14,41"/>
        <filter val="16,80"/>
        <filter val="168,50"/>
        <filter val="17,50"/>
        <filter val="18,90"/>
        <filter val="2,00"/>
        <filter val="2,93"/>
        <filter val="20,00"/>
        <filter val="200,00"/>
        <filter val="22,00"/>
        <filter val="23,19"/>
        <filter val="230,00"/>
        <filter val="25,00"/>
        <filter val="27,00"/>
        <filter val="28,00"/>
        <filter val="3 394,30"/>
        <filter val="3 558,45"/>
        <filter val="3 708,45"/>
        <filter val="3,00"/>
        <filter val="30,00"/>
        <filter val="315,00"/>
        <filter val="318,00"/>
        <filter val="319,00"/>
        <filter val="33,85"/>
        <filter val="35,00"/>
        <filter val="35,52"/>
        <filter val="37,80"/>
        <filter val="4,00"/>
        <filter val="4,20"/>
        <filter val="4,73"/>
        <filter val="4,76"/>
        <filter val="40,00"/>
        <filter val="40,94"/>
        <filter val="42,00"/>
        <filter val="448,02"/>
        <filter val="45,00"/>
        <filter val="5,00"/>
        <filter val="5,10"/>
        <filter val="50,00"/>
        <filter val="500,00"/>
        <filter val="54,67"/>
        <filter val="57,00"/>
        <filter val="58,50"/>
        <filter val="6"/>
        <filter val="6,30"/>
        <filter val="6,63"/>
        <filter val="60,00"/>
        <filter val="63,50"/>
        <filter val="65,00"/>
        <filter val="7,50"/>
        <filter val="8,00"/>
        <filter val="8,78"/>
        <filter val="80,00"/>
        <filter val="800,00"/>
        <filter val="827,00"/>
        <filter val="88,00"/>
        <filter val="9,52"/>
        <filter val="9,60"/>
        <filter val="90,00"/>
        <filter val="98,90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8" spans="2:8" x14ac:dyDescent="0.2">
      <c r="B8" s="53" t="s">
        <v>876</v>
      </c>
      <c r="C8" s="53" t="s">
        <v>877</v>
      </c>
      <c r="D8" s="53" t="s">
        <v>878</v>
      </c>
      <c r="E8" s="53" t="s">
        <v>46</v>
      </c>
    </row>
    <row r="10" spans="2:8" x14ac:dyDescent="0.2">
      <c r="B10" s="53" t="s">
        <v>879</v>
      </c>
      <c r="C10" s="53" t="s">
        <v>871</v>
      </c>
      <c r="D10" s="53" t="s">
        <v>46</v>
      </c>
      <c r="E10" s="53" t="s">
        <v>46</v>
      </c>
    </row>
    <row r="12" spans="2:8" x14ac:dyDescent="0.2">
      <c r="B12" s="53" t="s">
        <v>880</v>
      </c>
      <c r="C12" s="53" t="s">
        <v>874</v>
      </c>
      <c r="D12" s="53" t="s">
        <v>46</v>
      </c>
      <c r="E12" s="53" t="s">
        <v>46</v>
      </c>
    </row>
    <row r="14" spans="2:8" x14ac:dyDescent="0.2">
      <c r="B14" s="53" t="s">
        <v>881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882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886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887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892</v>
      </c>
      <c r="C26" s="53" t="s">
        <v>46</v>
      </c>
      <c r="D26" s="53" t="s">
        <v>46</v>
      </c>
      <c r="E26" s="53" t="s">
        <v>46</v>
      </c>
    </row>
  </sheetData>
  <sheetProtection algorithmName="SHA-512" hashValue="uAhoEGo4WeQlnT2OLE1FTkimMusf0MFTTN88pva84qL5wrRkXUCxUC+QUXtYBxDiKDwtqTGMrDT5s0z0tTtE9A==" saltValue="aBB6tnLUPmzJXzcNCUO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2026-08-24T12:32:56Z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