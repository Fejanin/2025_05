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E5E1187-B505-4509-8D05-0EFCFDA5EB23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Y151" i="2" l="1"/>
  <c r="Y55" i="2"/>
  <c r="Y412" i="2"/>
  <c r="BN472" i="2"/>
  <c r="BN402" i="2"/>
  <c r="BN373" i="2"/>
  <c r="BN214" i="2"/>
  <c r="BN284" i="2"/>
  <c r="BN288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Z266" i="2" s="1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245" i="2" l="1"/>
  <c r="Z418" i="2"/>
  <c r="Z369" i="2"/>
  <c r="Z136" i="2"/>
  <c r="Z544" i="2"/>
  <c r="Z338" i="2"/>
  <c r="Z124" i="2"/>
  <c r="Z322" i="2"/>
  <c r="Z359" i="2"/>
  <c r="Z480" i="2"/>
  <c r="Z150" i="2"/>
  <c r="Z411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<sst xmlns="http://schemas.openxmlformats.org/spreadsheetml/2006/main" count="4194" uniqueCount="891">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</sst>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66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67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 t="s">
        <v>890</v>
      </c>
      <c r="I5" s="638"/>
      <c r="J5" s="638"/>
      <c r="K5" s="638"/>
      <c r="L5" s="638"/>
      <c r="M5" s="638"/>
      <c r="N5" s="69"/>
      <c r="P5" s="26" t="s">
        <v>4</v>
      </c>
      <c r="Q5" s="640">
        <v>46255</v>
      </c>
      <c r="R5" s="640"/>
      <c r="T5" s="641" t="s">
        <v>3</v>
      </c>
      <c r="U5" s="642"/>
      <c r="V5" s="643" t="s">
        <v>870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 t="s">
        <v>871</v>
      </c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Пятница</v>
      </c>
      <c r="R6" s="646"/>
      <c r="T6" s="647" t="s">
        <v>5</v>
      </c>
      <c r="U6" s="648"/>
      <c r="V6" s="649" t="s">
        <v>69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 t="str">
        <f>IFERROR(VLOOKUP(DeliveryAddress,Table,3,0),1)</f>
        <v>1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57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0.375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70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889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71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72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74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60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58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65</v>
      </c>
      <c r="L17" s="679" t="s">
        <v>63</v>
      </c>
      <c r="M17" s="679" t="s">
        <v>2</v>
      </c>
      <c r="N17" s="679" t="s">
        <v>62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55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59</v>
      </c>
      <c r="AB17" s="693" t="s">
        <v>19</v>
      </c>
      <c r="AC17" s="693" t="s">
        <v>64</v>
      </c>
      <c r="AD17" s="695" t="s">
        <v>56</v>
      </c>
      <c r="AE17" s="696"/>
      <c r="AF17" s="697"/>
      <c r="AG17" s="77"/>
      <c r="BD17" s="76" t="s">
        <v>61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hidden="1" customHeight="1" x14ac:dyDescent="0.2">
      <c r="A19" s="701" t="s">
        <v>75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hidden="1" customHeight="1" x14ac:dyDescent="0.25">
      <c r="A20" s="702" t="s">
        <v>75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hidden="1" customHeight="1" x14ac:dyDescent="0.25">
      <c r="A21" s="703" t="s">
        <v>76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3" t="s">
        <v>85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703" t="s">
        <v>103</v>
      </c>
      <c r="B34" s="703"/>
      <c r="C34" s="703"/>
      <c r="D34" s="703"/>
      <c r="E34" s="703"/>
      <c r="F34" s="703"/>
      <c r="G34" s="703"/>
      <c r="H34" s="703"/>
      <c r="I34" s="703"/>
      <c r="J34" s="703"/>
      <c r="K34" s="703"/>
      <c r="L34" s="703"/>
      <c r="M34" s="703"/>
      <c r="N34" s="703"/>
      <c r="O34" s="703"/>
      <c r="P34" s="703"/>
      <c r="Q34" s="703"/>
      <c r="R34" s="703"/>
      <c r="S34" s="703"/>
      <c r="T34" s="703"/>
      <c r="U34" s="703"/>
      <c r="V34" s="703"/>
      <c r="W34" s="703"/>
      <c r="X34" s="703"/>
      <c r="Y34" s="703"/>
      <c r="Z34" s="703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704">
        <v>4607091388503</v>
      </c>
      <c r="E35" s="70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71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6"/>
      <c r="R35" s="706"/>
      <c r="S35" s="706"/>
      <c r="T35" s="70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12"/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3"/>
      <c r="P36" s="709" t="s">
        <v>40</v>
      </c>
      <c r="Q36" s="710"/>
      <c r="R36" s="710"/>
      <c r="S36" s="710"/>
      <c r="T36" s="710"/>
      <c r="U36" s="710"/>
      <c r="V36" s="711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12"/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3"/>
      <c r="P37" s="709" t="s">
        <v>40</v>
      </c>
      <c r="Q37" s="710"/>
      <c r="R37" s="710"/>
      <c r="S37" s="710"/>
      <c r="T37" s="710"/>
      <c r="U37" s="710"/>
      <c r="V37" s="711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701" t="s">
        <v>45</v>
      </c>
      <c r="B38" s="701"/>
      <c r="C38" s="701"/>
      <c r="D38" s="701"/>
      <c r="E38" s="701"/>
      <c r="F38" s="701"/>
      <c r="G38" s="701"/>
      <c r="H38" s="701"/>
      <c r="I38" s="701"/>
      <c r="J38" s="701"/>
      <c r="K38" s="701"/>
      <c r="L38" s="701"/>
      <c r="M38" s="701"/>
      <c r="N38" s="701"/>
      <c r="O38" s="701"/>
      <c r="P38" s="701"/>
      <c r="Q38" s="701"/>
      <c r="R38" s="701"/>
      <c r="S38" s="701"/>
      <c r="T38" s="701"/>
      <c r="U38" s="701"/>
      <c r="V38" s="701"/>
      <c r="W38" s="701"/>
      <c r="X38" s="701"/>
      <c r="Y38" s="701"/>
      <c r="Z38" s="701"/>
      <c r="AA38" s="52"/>
      <c r="AB38" s="52"/>
      <c r="AC38" s="52"/>
    </row>
    <row r="39" spans="1:68" ht="16.5" hidden="1" customHeight="1" x14ac:dyDescent="0.25">
      <c r="A39" s="702" t="s">
        <v>109</v>
      </c>
      <c r="B39" s="702"/>
      <c r="C39" s="702"/>
      <c r="D39" s="702"/>
      <c r="E39" s="702"/>
      <c r="F39" s="702"/>
      <c r="G39" s="702"/>
      <c r="H39" s="702"/>
      <c r="I39" s="702"/>
      <c r="J39" s="702"/>
      <c r="K39" s="702"/>
      <c r="L39" s="702"/>
      <c r="M39" s="702"/>
      <c r="N39" s="702"/>
      <c r="O39" s="702"/>
      <c r="P39" s="702"/>
      <c r="Q39" s="702"/>
      <c r="R39" s="702"/>
      <c r="S39" s="702"/>
      <c r="T39" s="702"/>
      <c r="U39" s="702"/>
      <c r="V39" s="702"/>
      <c r="W39" s="702"/>
      <c r="X39" s="702"/>
      <c r="Y39" s="702"/>
      <c r="Z39" s="702"/>
      <c r="AA39" s="62"/>
      <c r="AB39" s="62"/>
      <c r="AC39" s="62"/>
    </row>
    <row r="40" spans="1:68" ht="14.25" hidden="1" customHeight="1" x14ac:dyDescent="0.25">
      <c r="A40" s="703" t="s">
        <v>85</v>
      </c>
      <c r="B40" s="703"/>
      <c r="C40" s="703"/>
      <c r="D40" s="703"/>
      <c r="E40" s="703"/>
      <c r="F40" s="703"/>
      <c r="G40" s="703"/>
      <c r="H40" s="703"/>
      <c r="I40" s="703"/>
      <c r="J40" s="703"/>
      <c r="K40" s="703"/>
      <c r="L40" s="703"/>
      <c r="M40" s="703"/>
      <c r="N40" s="703"/>
      <c r="O40" s="703"/>
      <c r="P40" s="703"/>
      <c r="Q40" s="703"/>
      <c r="R40" s="703"/>
      <c r="S40" s="703"/>
      <c r="T40" s="703"/>
      <c r="U40" s="703"/>
      <c r="V40" s="703"/>
      <c r="W40" s="703"/>
      <c r="X40" s="703"/>
      <c r="Y40" s="703"/>
      <c r="Z40" s="703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704">
        <v>4680115889354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72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704">
        <v>4680115888463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2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704">
        <v>4680115888494</v>
      </c>
      <c r="E43" s="70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6"/>
      <c r="R43" s="706"/>
      <c r="S43" s="706"/>
      <c r="T43" s="70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704">
        <v>4680115888272</v>
      </c>
      <c r="E44" s="70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6"/>
      <c r="R44" s="706"/>
      <c r="S44" s="706"/>
      <c r="T44" s="70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704">
        <v>4680115888364</v>
      </c>
      <c r="E45" s="70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6"/>
      <c r="R45" s="706"/>
      <c r="S45" s="706"/>
      <c r="T45" s="70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12"/>
      <c r="B46" s="712"/>
      <c r="C46" s="712"/>
      <c r="D46" s="712"/>
      <c r="E46" s="712"/>
      <c r="F46" s="712"/>
      <c r="G46" s="712"/>
      <c r="H46" s="712"/>
      <c r="I46" s="712"/>
      <c r="J46" s="712"/>
      <c r="K46" s="712"/>
      <c r="L46" s="712"/>
      <c r="M46" s="712"/>
      <c r="N46" s="712"/>
      <c r="O46" s="713"/>
      <c r="P46" s="709" t="s">
        <v>40</v>
      </c>
      <c r="Q46" s="710"/>
      <c r="R46" s="710"/>
      <c r="S46" s="710"/>
      <c r="T46" s="710"/>
      <c r="U46" s="710"/>
      <c r="V46" s="711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12"/>
      <c r="B47" s="712"/>
      <c r="C47" s="712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2"/>
      <c r="O47" s="713"/>
      <c r="P47" s="709" t="s">
        <v>40</v>
      </c>
      <c r="Q47" s="710"/>
      <c r="R47" s="710"/>
      <c r="S47" s="710"/>
      <c r="T47" s="710"/>
      <c r="U47" s="710"/>
      <c r="V47" s="711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701" t="s">
        <v>125</v>
      </c>
      <c r="B48" s="701"/>
      <c r="C48" s="701"/>
      <c r="D48" s="701"/>
      <c r="E48" s="701"/>
      <c r="F48" s="701"/>
      <c r="G48" s="701"/>
      <c r="H48" s="701"/>
      <c r="I48" s="701"/>
      <c r="J48" s="701"/>
      <c r="K48" s="701"/>
      <c r="L48" s="701"/>
      <c r="M48" s="701"/>
      <c r="N48" s="701"/>
      <c r="O48" s="701"/>
      <c r="P48" s="701"/>
      <c r="Q48" s="701"/>
      <c r="R48" s="701"/>
      <c r="S48" s="701"/>
      <c r="T48" s="701"/>
      <c r="U48" s="701"/>
      <c r="V48" s="701"/>
      <c r="W48" s="701"/>
      <c r="X48" s="701"/>
      <c r="Y48" s="701"/>
      <c r="Z48" s="701"/>
      <c r="AA48" s="52"/>
      <c r="AB48" s="52"/>
      <c r="AC48" s="52"/>
    </row>
    <row r="49" spans="1:68" ht="16.5" hidden="1" customHeight="1" x14ac:dyDescent="0.25">
      <c r="A49" s="702" t="s">
        <v>126</v>
      </c>
      <c r="B49" s="702"/>
      <c r="C49" s="702"/>
      <c r="D49" s="702"/>
      <c r="E49" s="702"/>
      <c r="F49" s="702"/>
      <c r="G49" s="702"/>
      <c r="H49" s="702"/>
      <c r="I49" s="702"/>
      <c r="J49" s="702"/>
      <c r="K49" s="702"/>
      <c r="L49" s="702"/>
      <c r="M49" s="702"/>
      <c r="N49" s="702"/>
      <c r="O49" s="702"/>
      <c r="P49" s="702"/>
      <c r="Q49" s="702"/>
      <c r="R49" s="702"/>
      <c r="S49" s="702"/>
      <c r="T49" s="702"/>
      <c r="U49" s="702"/>
      <c r="V49" s="702"/>
      <c r="W49" s="702"/>
      <c r="X49" s="702"/>
      <c r="Y49" s="702"/>
      <c r="Z49" s="702"/>
      <c r="AA49" s="62"/>
      <c r="AB49" s="62"/>
      <c r="AC49" s="62"/>
    </row>
    <row r="50" spans="1:68" ht="14.25" hidden="1" customHeight="1" x14ac:dyDescent="0.25">
      <c r="A50" s="703" t="s">
        <v>127</v>
      </c>
      <c r="B50" s="703"/>
      <c r="C50" s="703"/>
      <c r="D50" s="703"/>
      <c r="E50" s="703"/>
      <c r="F50" s="703"/>
      <c r="G50" s="703"/>
      <c r="H50" s="703"/>
      <c r="I50" s="703"/>
      <c r="J50" s="703"/>
      <c r="K50" s="703"/>
      <c r="L50" s="703"/>
      <c r="M50" s="703"/>
      <c r="N50" s="703"/>
      <c r="O50" s="703"/>
      <c r="P50" s="703"/>
      <c r="Q50" s="703"/>
      <c r="R50" s="703"/>
      <c r="S50" s="703"/>
      <c r="T50" s="703"/>
      <c r="U50" s="703"/>
      <c r="V50" s="703"/>
      <c r="W50" s="703"/>
      <c r="X50" s="703"/>
      <c r="Y50" s="703"/>
      <c r="Z50" s="703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704">
        <v>4607091385670</v>
      </c>
      <c r="E51" s="70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704">
        <v>4680115887725</v>
      </c>
      <c r="E52" s="70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6"/>
      <c r="R52" s="706"/>
      <c r="S52" s="706"/>
      <c r="T52" s="70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704">
        <v>4607091385687</v>
      </c>
      <c r="E53" s="70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6"/>
      <c r="R53" s="706"/>
      <c r="S53" s="706"/>
      <c r="T53" s="70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704">
        <v>4680115882539</v>
      </c>
      <c r="E54" s="70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6"/>
      <c r="R54" s="706"/>
      <c r="S54" s="706"/>
      <c r="T54" s="70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712"/>
      <c r="B55" s="712"/>
      <c r="C55" s="712"/>
      <c r="D55" s="712"/>
      <c r="E55" s="712"/>
      <c r="F55" s="712"/>
      <c r="G55" s="712"/>
      <c r="H55" s="712"/>
      <c r="I55" s="712"/>
      <c r="J55" s="712"/>
      <c r="K55" s="712"/>
      <c r="L55" s="712"/>
      <c r="M55" s="712"/>
      <c r="N55" s="712"/>
      <c r="O55" s="713"/>
      <c r="P55" s="709" t="s">
        <v>40</v>
      </c>
      <c r="Q55" s="710"/>
      <c r="R55" s="710"/>
      <c r="S55" s="710"/>
      <c r="T55" s="710"/>
      <c r="U55" s="710"/>
      <c r="V55" s="711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712"/>
      <c r="B56" s="712"/>
      <c r="C56" s="712"/>
      <c r="D56" s="712"/>
      <c r="E56" s="712"/>
      <c r="F56" s="712"/>
      <c r="G56" s="712"/>
      <c r="H56" s="712"/>
      <c r="I56" s="712"/>
      <c r="J56" s="712"/>
      <c r="K56" s="712"/>
      <c r="L56" s="712"/>
      <c r="M56" s="712"/>
      <c r="N56" s="712"/>
      <c r="O56" s="713"/>
      <c r="P56" s="709" t="s">
        <v>40</v>
      </c>
      <c r="Q56" s="710"/>
      <c r="R56" s="710"/>
      <c r="S56" s="710"/>
      <c r="T56" s="710"/>
      <c r="U56" s="710"/>
      <c r="V56" s="711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702" t="s">
        <v>142</v>
      </c>
      <c r="B57" s="702"/>
      <c r="C57" s="702"/>
      <c r="D57" s="702"/>
      <c r="E57" s="702"/>
      <c r="F57" s="702"/>
      <c r="G57" s="702"/>
      <c r="H57" s="702"/>
      <c r="I57" s="702"/>
      <c r="J57" s="702"/>
      <c r="K57" s="702"/>
      <c r="L57" s="702"/>
      <c r="M57" s="702"/>
      <c r="N57" s="702"/>
      <c r="O57" s="702"/>
      <c r="P57" s="702"/>
      <c r="Q57" s="702"/>
      <c r="R57" s="702"/>
      <c r="S57" s="702"/>
      <c r="T57" s="702"/>
      <c r="U57" s="702"/>
      <c r="V57" s="702"/>
      <c r="W57" s="702"/>
      <c r="X57" s="702"/>
      <c r="Y57" s="702"/>
      <c r="Z57" s="702"/>
      <c r="AA57" s="62"/>
      <c r="AB57" s="62"/>
      <c r="AC57" s="62"/>
    </row>
    <row r="58" spans="1:68" ht="14.25" hidden="1" customHeight="1" x14ac:dyDescent="0.25">
      <c r="A58" s="703" t="s">
        <v>127</v>
      </c>
      <c r="B58" s="703"/>
      <c r="C58" s="703"/>
      <c r="D58" s="703"/>
      <c r="E58" s="703"/>
      <c r="F58" s="703"/>
      <c r="G58" s="703"/>
      <c r="H58" s="703"/>
      <c r="I58" s="703"/>
      <c r="J58" s="703"/>
      <c r="K58" s="703"/>
      <c r="L58" s="703"/>
      <c r="M58" s="703"/>
      <c r="N58" s="703"/>
      <c r="O58" s="703"/>
      <c r="P58" s="703"/>
      <c r="Q58" s="703"/>
      <c r="R58" s="703"/>
      <c r="S58" s="703"/>
      <c r="T58" s="703"/>
      <c r="U58" s="703"/>
      <c r="V58" s="703"/>
      <c r="W58" s="703"/>
      <c r="X58" s="703"/>
      <c r="Y58" s="703"/>
      <c r="Z58" s="703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704">
        <v>4680115885882</v>
      </c>
      <c r="E59" s="70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704">
        <v>4680115885882</v>
      </c>
      <c r="E60" s="70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7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704">
        <v>4680115881426</v>
      </c>
      <c r="E61" s="70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7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704">
        <v>4680115880283</v>
      </c>
      <c r="E62" s="70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7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6"/>
      <c r="R62" s="706"/>
      <c r="S62" s="706"/>
      <c r="T62" s="70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704">
        <v>4680115880283</v>
      </c>
      <c r="E63" s="70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7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6"/>
      <c r="R63" s="706"/>
      <c r="S63" s="706"/>
      <c r="T63" s="70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704">
        <v>4680115881525</v>
      </c>
      <c r="E64" s="70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73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6"/>
      <c r="R64" s="706"/>
      <c r="S64" s="706"/>
      <c r="T64" s="70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704">
        <v>4680115885899</v>
      </c>
      <c r="E65" s="70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73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704">
        <v>4680115881419</v>
      </c>
      <c r="E66" s="70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73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712"/>
      <c r="B67" s="712"/>
      <c r="C67" s="712"/>
      <c r="D67" s="712"/>
      <c r="E67" s="712"/>
      <c r="F67" s="712"/>
      <c r="G67" s="712"/>
      <c r="H67" s="712"/>
      <c r="I67" s="712"/>
      <c r="J67" s="712"/>
      <c r="K67" s="712"/>
      <c r="L67" s="712"/>
      <c r="M67" s="712"/>
      <c r="N67" s="712"/>
      <c r="O67" s="713"/>
      <c r="P67" s="709" t="s">
        <v>40</v>
      </c>
      <c r="Q67" s="710"/>
      <c r="R67" s="710"/>
      <c r="S67" s="710"/>
      <c r="T67" s="710"/>
      <c r="U67" s="710"/>
      <c r="V67" s="711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712"/>
      <c r="B68" s="712"/>
      <c r="C68" s="712"/>
      <c r="D68" s="712"/>
      <c r="E68" s="712"/>
      <c r="F68" s="712"/>
      <c r="G68" s="712"/>
      <c r="H68" s="712"/>
      <c r="I68" s="712"/>
      <c r="J68" s="712"/>
      <c r="K68" s="712"/>
      <c r="L68" s="712"/>
      <c r="M68" s="712"/>
      <c r="N68" s="712"/>
      <c r="O68" s="713"/>
      <c r="P68" s="709" t="s">
        <v>40</v>
      </c>
      <c r="Q68" s="710"/>
      <c r="R68" s="710"/>
      <c r="S68" s="710"/>
      <c r="T68" s="710"/>
      <c r="U68" s="710"/>
      <c r="V68" s="711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703" t="s">
        <v>163</v>
      </c>
      <c r="B69" s="703"/>
      <c r="C69" s="703"/>
      <c r="D69" s="703"/>
      <c r="E69" s="703"/>
      <c r="F69" s="703"/>
      <c r="G69" s="703"/>
      <c r="H69" s="703"/>
      <c r="I69" s="703"/>
      <c r="J69" s="703"/>
      <c r="K69" s="703"/>
      <c r="L69" s="703"/>
      <c r="M69" s="703"/>
      <c r="N69" s="703"/>
      <c r="O69" s="703"/>
      <c r="P69" s="703"/>
      <c r="Q69" s="703"/>
      <c r="R69" s="703"/>
      <c r="S69" s="703"/>
      <c r="T69" s="703"/>
      <c r="U69" s="703"/>
      <c r="V69" s="703"/>
      <c r="W69" s="703"/>
      <c r="X69" s="703"/>
      <c r="Y69" s="703"/>
      <c r="Z69" s="703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704">
        <v>4680115881440</v>
      </c>
      <c r="E70" s="70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73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6"/>
      <c r="R70" s="706"/>
      <c r="S70" s="706"/>
      <c r="T70" s="70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704">
        <v>4680115885950</v>
      </c>
      <c r="E71" s="70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7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6"/>
      <c r="R71" s="706"/>
      <c r="S71" s="706"/>
      <c r="T71" s="70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704">
        <v>4680115887688</v>
      </c>
      <c r="E72" s="70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7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704">
        <v>4680115881433</v>
      </c>
      <c r="E73" s="70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7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703" t="s">
        <v>85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704">
        <v>4680115884311</v>
      </c>
      <c r="E77" s="70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74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704">
        <v>4680115884403</v>
      </c>
      <c r="E78" s="70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703" t="s">
        <v>180</v>
      </c>
      <c r="B81" s="703"/>
      <c r="C81" s="703"/>
      <c r="D81" s="703"/>
      <c r="E81" s="703"/>
      <c r="F81" s="703"/>
      <c r="G81" s="703"/>
      <c r="H81" s="703"/>
      <c r="I81" s="703"/>
      <c r="J81" s="703"/>
      <c r="K81" s="703"/>
      <c r="L81" s="703"/>
      <c r="M81" s="703"/>
      <c r="N81" s="703"/>
      <c r="O81" s="703"/>
      <c r="P81" s="703"/>
      <c r="Q81" s="703"/>
      <c r="R81" s="703"/>
      <c r="S81" s="703"/>
      <c r="T81" s="703"/>
      <c r="U81" s="703"/>
      <c r="V81" s="703"/>
      <c r="W81" s="703"/>
      <c r="X81" s="703"/>
      <c r="Y81" s="703"/>
      <c r="Z81" s="703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704">
        <v>4680115881532</v>
      </c>
      <c r="E82" s="70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7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6"/>
      <c r="R82" s="706"/>
      <c r="S82" s="706"/>
      <c r="T82" s="70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704">
        <v>4680115881464</v>
      </c>
      <c r="E83" s="70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74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12"/>
      <c r="B84" s="712"/>
      <c r="C84" s="712"/>
      <c r="D84" s="712"/>
      <c r="E84" s="712"/>
      <c r="F84" s="712"/>
      <c r="G84" s="712"/>
      <c r="H84" s="712"/>
      <c r="I84" s="712"/>
      <c r="J84" s="712"/>
      <c r="K84" s="712"/>
      <c r="L84" s="712"/>
      <c r="M84" s="712"/>
      <c r="N84" s="712"/>
      <c r="O84" s="713"/>
      <c r="P84" s="709" t="s">
        <v>40</v>
      </c>
      <c r="Q84" s="710"/>
      <c r="R84" s="710"/>
      <c r="S84" s="710"/>
      <c r="T84" s="710"/>
      <c r="U84" s="710"/>
      <c r="V84" s="711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12"/>
      <c r="B85" s="712"/>
      <c r="C85" s="712"/>
      <c r="D85" s="712"/>
      <c r="E85" s="712"/>
      <c r="F85" s="712"/>
      <c r="G85" s="712"/>
      <c r="H85" s="712"/>
      <c r="I85" s="712"/>
      <c r="J85" s="712"/>
      <c r="K85" s="712"/>
      <c r="L85" s="712"/>
      <c r="M85" s="712"/>
      <c r="N85" s="712"/>
      <c r="O85" s="713"/>
      <c r="P85" s="709" t="s">
        <v>40</v>
      </c>
      <c r="Q85" s="710"/>
      <c r="R85" s="710"/>
      <c r="S85" s="710"/>
      <c r="T85" s="710"/>
      <c r="U85" s="710"/>
      <c r="V85" s="711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702" t="s">
        <v>187</v>
      </c>
      <c r="B86" s="702"/>
      <c r="C86" s="702"/>
      <c r="D86" s="702"/>
      <c r="E86" s="702"/>
      <c r="F86" s="702"/>
      <c r="G86" s="702"/>
      <c r="H86" s="702"/>
      <c r="I86" s="702"/>
      <c r="J86" s="702"/>
      <c r="K86" s="702"/>
      <c r="L86" s="702"/>
      <c r="M86" s="702"/>
      <c r="N86" s="702"/>
      <c r="O86" s="702"/>
      <c r="P86" s="702"/>
      <c r="Q86" s="702"/>
      <c r="R86" s="702"/>
      <c r="S86" s="702"/>
      <c r="T86" s="702"/>
      <c r="U86" s="702"/>
      <c r="V86" s="702"/>
      <c r="W86" s="702"/>
      <c r="X86" s="702"/>
      <c r="Y86" s="702"/>
      <c r="Z86" s="702"/>
      <c r="AA86" s="62"/>
      <c r="AB86" s="62"/>
      <c r="AC86" s="62"/>
    </row>
    <row r="87" spans="1:68" ht="14.25" hidden="1" customHeight="1" x14ac:dyDescent="0.25">
      <c r="A87" s="703" t="s">
        <v>127</v>
      </c>
      <c r="B87" s="703"/>
      <c r="C87" s="703"/>
      <c r="D87" s="703"/>
      <c r="E87" s="703"/>
      <c r="F87" s="703"/>
      <c r="G87" s="703"/>
      <c r="H87" s="703"/>
      <c r="I87" s="703"/>
      <c r="J87" s="703"/>
      <c r="K87" s="703"/>
      <c r="L87" s="703"/>
      <c r="M87" s="703"/>
      <c r="N87" s="703"/>
      <c r="O87" s="703"/>
      <c r="P87" s="703"/>
      <c r="Q87" s="703"/>
      <c r="R87" s="703"/>
      <c r="S87" s="703"/>
      <c r="T87" s="703"/>
      <c r="U87" s="703"/>
      <c r="V87" s="703"/>
      <c r="W87" s="703"/>
      <c r="X87" s="703"/>
      <c r="Y87" s="703"/>
      <c r="Z87" s="703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704">
        <v>4680115881327</v>
      </c>
      <c r="E88" s="70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7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6"/>
      <c r="R88" s="706"/>
      <c r="S88" s="706"/>
      <c r="T88" s="70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704">
        <v>4680115887732</v>
      </c>
      <c r="E89" s="70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74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6"/>
      <c r="R89" s="706"/>
      <c r="S89" s="706"/>
      <c r="T89" s="70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704">
        <v>4680115881518</v>
      </c>
      <c r="E90" s="70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7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704">
        <v>4680115881303</v>
      </c>
      <c r="E91" s="70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712"/>
      <c r="B92" s="712"/>
      <c r="C92" s="712"/>
      <c r="D92" s="712"/>
      <c r="E92" s="712"/>
      <c r="F92" s="712"/>
      <c r="G92" s="712"/>
      <c r="H92" s="712"/>
      <c r="I92" s="712"/>
      <c r="J92" s="712"/>
      <c r="K92" s="712"/>
      <c r="L92" s="712"/>
      <c r="M92" s="712"/>
      <c r="N92" s="712"/>
      <c r="O92" s="713"/>
      <c r="P92" s="709" t="s">
        <v>40</v>
      </c>
      <c r="Q92" s="710"/>
      <c r="R92" s="710"/>
      <c r="S92" s="710"/>
      <c r="T92" s="710"/>
      <c r="U92" s="710"/>
      <c r="V92" s="711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712"/>
      <c r="B93" s="712"/>
      <c r="C93" s="712"/>
      <c r="D93" s="712"/>
      <c r="E93" s="712"/>
      <c r="F93" s="712"/>
      <c r="G93" s="712"/>
      <c r="H93" s="712"/>
      <c r="I93" s="712"/>
      <c r="J93" s="712"/>
      <c r="K93" s="712"/>
      <c r="L93" s="712"/>
      <c r="M93" s="712"/>
      <c r="N93" s="712"/>
      <c r="O93" s="713"/>
      <c r="P93" s="709" t="s">
        <v>40</v>
      </c>
      <c r="Q93" s="710"/>
      <c r="R93" s="710"/>
      <c r="S93" s="710"/>
      <c r="T93" s="710"/>
      <c r="U93" s="710"/>
      <c r="V93" s="711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703" t="s">
        <v>85</v>
      </c>
      <c r="B94" s="703"/>
      <c r="C94" s="703"/>
      <c r="D94" s="703"/>
      <c r="E94" s="703"/>
      <c r="F94" s="703"/>
      <c r="G94" s="703"/>
      <c r="H94" s="703"/>
      <c r="I94" s="703"/>
      <c r="J94" s="703"/>
      <c r="K94" s="703"/>
      <c r="L94" s="703"/>
      <c r="M94" s="703"/>
      <c r="N94" s="703"/>
      <c r="O94" s="703"/>
      <c r="P94" s="703"/>
      <c r="Q94" s="703"/>
      <c r="R94" s="703"/>
      <c r="S94" s="703"/>
      <c r="T94" s="703"/>
      <c r="U94" s="703"/>
      <c r="V94" s="703"/>
      <c r="W94" s="703"/>
      <c r="X94" s="703"/>
      <c r="Y94" s="703"/>
      <c r="Z94" s="703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704">
        <v>4607091386967</v>
      </c>
      <c r="E95" s="70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74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6"/>
      <c r="R95" s="706"/>
      <c r="S95" s="706"/>
      <c r="T95" s="70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704">
        <v>4680115884953</v>
      </c>
      <c r="E96" s="70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6"/>
      <c r="R96" s="706"/>
      <c r="S96" s="706"/>
      <c r="T96" s="70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704">
        <v>4607091385731</v>
      </c>
      <c r="E97" s="70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5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6"/>
      <c r="R97" s="706"/>
      <c r="S97" s="706"/>
      <c r="T97" s="70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704">
        <v>4680115880894</v>
      </c>
      <c r="E98" s="70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5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712"/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3"/>
      <c r="P99" s="709" t="s">
        <v>40</v>
      </c>
      <c r="Q99" s="710"/>
      <c r="R99" s="710"/>
      <c r="S99" s="710"/>
      <c r="T99" s="710"/>
      <c r="U99" s="710"/>
      <c r="V99" s="711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12"/>
      <c r="B100" s="712"/>
      <c r="C100" s="712"/>
      <c r="D100" s="712"/>
      <c r="E100" s="712"/>
      <c r="F100" s="712"/>
      <c r="G100" s="712"/>
      <c r="H100" s="712"/>
      <c r="I100" s="712"/>
      <c r="J100" s="712"/>
      <c r="K100" s="712"/>
      <c r="L100" s="712"/>
      <c r="M100" s="712"/>
      <c r="N100" s="712"/>
      <c r="O100" s="713"/>
      <c r="P100" s="709" t="s">
        <v>40</v>
      </c>
      <c r="Q100" s="710"/>
      <c r="R100" s="710"/>
      <c r="S100" s="710"/>
      <c r="T100" s="710"/>
      <c r="U100" s="710"/>
      <c r="V100" s="711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702" t="s">
        <v>208</v>
      </c>
      <c r="B101" s="702"/>
      <c r="C101" s="702"/>
      <c r="D101" s="702"/>
      <c r="E101" s="702"/>
      <c r="F101" s="702"/>
      <c r="G101" s="702"/>
      <c r="H101" s="702"/>
      <c r="I101" s="702"/>
      <c r="J101" s="702"/>
      <c r="K101" s="702"/>
      <c r="L101" s="702"/>
      <c r="M101" s="702"/>
      <c r="N101" s="702"/>
      <c r="O101" s="702"/>
      <c r="P101" s="702"/>
      <c r="Q101" s="702"/>
      <c r="R101" s="702"/>
      <c r="S101" s="702"/>
      <c r="T101" s="702"/>
      <c r="U101" s="702"/>
      <c r="V101" s="702"/>
      <c r="W101" s="702"/>
      <c r="X101" s="702"/>
      <c r="Y101" s="702"/>
      <c r="Z101" s="702"/>
      <c r="AA101" s="62"/>
      <c r="AB101" s="62"/>
      <c r="AC101" s="62"/>
    </row>
    <row r="102" spans="1:68" ht="14.25" hidden="1" customHeight="1" x14ac:dyDescent="0.25">
      <c r="A102" s="703" t="s">
        <v>127</v>
      </c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703"/>
      <c r="Y102" s="703"/>
      <c r="Z102" s="703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704">
        <v>4680115882133</v>
      </c>
      <c r="E103" s="70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75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704">
        <v>4680115887718</v>
      </c>
      <c r="E104" s="70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75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704">
        <v>4680115887718</v>
      </c>
      <c r="E105" s="70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75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6"/>
      <c r="R105" s="706"/>
      <c r="S105" s="706"/>
      <c r="T105" s="70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704">
        <v>4680115880269</v>
      </c>
      <c r="E106" s="70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7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6"/>
      <c r="R106" s="706"/>
      <c r="S106" s="706"/>
      <c r="T106" s="70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704">
        <v>4680115880429</v>
      </c>
      <c r="E107" s="70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75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6"/>
      <c r="R107" s="706"/>
      <c r="S107" s="706"/>
      <c r="T107" s="70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704">
        <v>4680115881457</v>
      </c>
      <c r="E108" s="70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75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12"/>
      <c r="B109" s="712"/>
      <c r="C109" s="712"/>
      <c r="D109" s="712"/>
      <c r="E109" s="712"/>
      <c r="F109" s="712"/>
      <c r="G109" s="712"/>
      <c r="H109" s="712"/>
      <c r="I109" s="712"/>
      <c r="J109" s="712"/>
      <c r="K109" s="712"/>
      <c r="L109" s="712"/>
      <c r="M109" s="712"/>
      <c r="N109" s="712"/>
      <c r="O109" s="713"/>
      <c r="P109" s="709" t="s">
        <v>40</v>
      </c>
      <c r="Q109" s="710"/>
      <c r="R109" s="710"/>
      <c r="S109" s="710"/>
      <c r="T109" s="710"/>
      <c r="U109" s="710"/>
      <c r="V109" s="711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12"/>
      <c r="B110" s="712"/>
      <c r="C110" s="712"/>
      <c r="D110" s="712"/>
      <c r="E110" s="712"/>
      <c r="F110" s="712"/>
      <c r="G110" s="712"/>
      <c r="H110" s="712"/>
      <c r="I110" s="712"/>
      <c r="J110" s="712"/>
      <c r="K110" s="712"/>
      <c r="L110" s="712"/>
      <c r="M110" s="712"/>
      <c r="N110" s="712"/>
      <c r="O110" s="713"/>
      <c r="P110" s="709" t="s">
        <v>40</v>
      </c>
      <c r="Q110" s="710"/>
      <c r="R110" s="710"/>
      <c r="S110" s="710"/>
      <c r="T110" s="710"/>
      <c r="U110" s="710"/>
      <c r="V110" s="711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03" t="s">
        <v>163</v>
      </c>
      <c r="B111" s="703"/>
      <c r="C111" s="703"/>
      <c r="D111" s="703"/>
      <c r="E111" s="703"/>
      <c r="F111" s="703"/>
      <c r="G111" s="703"/>
      <c r="H111" s="703"/>
      <c r="I111" s="703"/>
      <c r="J111" s="703"/>
      <c r="K111" s="703"/>
      <c r="L111" s="703"/>
      <c r="M111" s="703"/>
      <c r="N111" s="703"/>
      <c r="O111" s="703"/>
      <c r="P111" s="703"/>
      <c r="Q111" s="703"/>
      <c r="R111" s="703"/>
      <c r="S111" s="703"/>
      <c r="T111" s="703"/>
      <c r="U111" s="703"/>
      <c r="V111" s="703"/>
      <c r="W111" s="703"/>
      <c r="X111" s="703"/>
      <c r="Y111" s="703"/>
      <c r="Z111" s="703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704">
        <v>4680115881488</v>
      </c>
      <c r="E112" s="70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7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704">
        <v>4680115887664</v>
      </c>
      <c r="E113" s="70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6"/>
      <c r="R113" s="706"/>
      <c r="S113" s="706"/>
      <c r="T113" s="70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704">
        <v>4680115887664</v>
      </c>
      <c r="E114" s="70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7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6"/>
      <c r="R114" s="706"/>
      <c r="S114" s="706"/>
      <c r="T114" s="70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704">
        <v>4680115882775</v>
      </c>
      <c r="E115" s="70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7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6"/>
      <c r="R115" s="706"/>
      <c r="S115" s="706"/>
      <c r="T115" s="70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704">
        <v>4680115880658</v>
      </c>
      <c r="E116" s="70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7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12"/>
      <c r="B117" s="712"/>
      <c r="C117" s="712"/>
      <c r="D117" s="712"/>
      <c r="E117" s="712"/>
      <c r="F117" s="712"/>
      <c r="G117" s="712"/>
      <c r="H117" s="712"/>
      <c r="I117" s="712"/>
      <c r="J117" s="712"/>
      <c r="K117" s="712"/>
      <c r="L117" s="712"/>
      <c r="M117" s="712"/>
      <c r="N117" s="712"/>
      <c r="O117" s="713"/>
      <c r="P117" s="709" t="s">
        <v>40</v>
      </c>
      <c r="Q117" s="710"/>
      <c r="R117" s="710"/>
      <c r="S117" s="710"/>
      <c r="T117" s="710"/>
      <c r="U117" s="710"/>
      <c r="V117" s="71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12"/>
      <c r="B118" s="712"/>
      <c r="C118" s="712"/>
      <c r="D118" s="712"/>
      <c r="E118" s="712"/>
      <c r="F118" s="712"/>
      <c r="G118" s="712"/>
      <c r="H118" s="712"/>
      <c r="I118" s="712"/>
      <c r="J118" s="712"/>
      <c r="K118" s="712"/>
      <c r="L118" s="712"/>
      <c r="M118" s="712"/>
      <c r="N118" s="712"/>
      <c r="O118" s="713"/>
      <c r="P118" s="709" t="s">
        <v>40</v>
      </c>
      <c r="Q118" s="710"/>
      <c r="R118" s="710"/>
      <c r="S118" s="710"/>
      <c r="T118" s="710"/>
      <c r="U118" s="710"/>
      <c r="V118" s="71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03" t="s">
        <v>85</v>
      </c>
      <c r="B119" s="703"/>
      <c r="C119" s="703"/>
      <c r="D119" s="703"/>
      <c r="E119" s="703"/>
      <c r="F119" s="703"/>
      <c r="G119" s="703"/>
      <c r="H119" s="703"/>
      <c r="I119" s="703"/>
      <c r="J119" s="703"/>
      <c r="K119" s="703"/>
      <c r="L119" s="703"/>
      <c r="M119" s="703"/>
      <c r="N119" s="703"/>
      <c r="O119" s="703"/>
      <c r="P119" s="703"/>
      <c r="Q119" s="703"/>
      <c r="R119" s="703"/>
      <c r="S119" s="703"/>
      <c r="T119" s="703"/>
      <c r="U119" s="703"/>
      <c r="V119" s="703"/>
      <c r="W119" s="703"/>
      <c r="X119" s="703"/>
      <c r="Y119" s="703"/>
      <c r="Z119" s="703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704">
        <v>4607091385168</v>
      </c>
      <c r="E120" s="70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76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6"/>
      <c r="R120" s="706"/>
      <c r="S120" s="706"/>
      <c r="T120" s="70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704">
        <v>4607091383256</v>
      </c>
      <c r="E121" s="70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76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6"/>
      <c r="R121" s="706"/>
      <c r="S121" s="706"/>
      <c r="T121" s="70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704">
        <v>4607091385748</v>
      </c>
      <c r="E122" s="70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76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6"/>
      <c r="R122" s="706"/>
      <c r="S122" s="706"/>
      <c r="T122" s="70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704">
        <v>4680115884533</v>
      </c>
      <c r="E123" s="70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03" t="s">
        <v>180</v>
      </c>
      <c r="B126" s="703"/>
      <c r="C126" s="703"/>
      <c r="D126" s="703"/>
      <c r="E126" s="703"/>
      <c r="F126" s="703"/>
      <c r="G126" s="703"/>
      <c r="H126" s="703"/>
      <c r="I126" s="703"/>
      <c r="J126" s="703"/>
      <c r="K126" s="703"/>
      <c r="L126" s="703"/>
      <c r="M126" s="703"/>
      <c r="N126" s="703"/>
      <c r="O126" s="703"/>
      <c r="P126" s="703"/>
      <c r="Q126" s="703"/>
      <c r="R126" s="703"/>
      <c r="S126" s="703"/>
      <c r="T126" s="703"/>
      <c r="U126" s="703"/>
      <c r="V126" s="703"/>
      <c r="W126" s="703"/>
      <c r="X126" s="703"/>
      <c r="Y126" s="703"/>
      <c r="Z126" s="703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704">
        <v>4680115880238</v>
      </c>
      <c r="E127" s="70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6"/>
      <c r="R127" s="706"/>
      <c r="S127" s="706"/>
      <c r="T127" s="70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12"/>
      <c r="B128" s="712"/>
      <c r="C128" s="712"/>
      <c r="D128" s="712"/>
      <c r="E128" s="712"/>
      <c r="F128" s="712"/>
      <c r="G128" s="712"/>
      <c r="H128" s="712"/>
      <c r="I128" s="712"/>
      <c r="J128" s="712"/>
      <c r="K128" s="712"/>
      <c r="L128" s="712"/>
      <c r="M128" s="712"/>
      <c r="N128" s="712"/>
      <c r="O128" s="713"/>
      <c r="P128" s="709" t="s">
        <v>40</v>
      </c>
      <c r="Q128" s="710"/>
      <c r="R128" s="710"/>
      <c r="S128" s="710"/>
      <c r="T128" s="710"/>
      <c r="U128" s="710"/>
      <c r="V128" s="71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12"/>
      <c r="B129" s="712"/>
      <c r="C129" s="712"/>
      <c r="D129" s="712"/>
      <c r="E129" s="712"/>
      <c r="F129" s="712"/>
      <c r="G129" s="712"/>
      <c r="H129" s="712"/>
      <c r="I129" s="712"/>
      <c r="J129" s="712"/>
      <c r="K129" s="712"/>
      <c r="L129" s="712"/>
      <c r="M129" s="712"/>
      <c r="N129" s="712"/>
      <c r="O129" s="713"/>
      <c r="P129" s="709" t="s">
        <v>40</v>
      </c>
      <c r="Q129" s="710"/>
      <c r="R129" s="710"/>
      <c r="S129" s="710"/>
      <c r="T129" s="710"/>
      <c r="U129" s="710"/>
      <c r="V129" s="71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02" t="s">
        <v>247</v>
      </c>
      <c r="B130" s="702"/>
      <c r="C130" s="702"/>
      <c r="D130" s="702"/>
      <c r="E130" s="702"/>
      <c r="F130" s="702"/>
      <c r="G130" s="702"/>
      <c r="H130" s="702"/>
      <c r="I130" s="702"/>
      <c r="J130" s="702"/>
      <c r="K130" s="702"/>
      <c r="L130" s="702"/>
      <c r="M130" s="702"/>
      <c r="N130" s="702"/>
      <c r="O130" s="702"/>
      <c r="P130" s="702"/>
      <c r="Q130" s="702"/>
      <c r="R130" s="702"/>
      <c r="S130" s="702"/>
      <c r="T130" s="702"/>
      <c r="U130" s="702"/>
      <c r="V130" s="702"/>
      <c r="W130" s="702"/>
      <c r="X130" s="702"/>
      <c r="Y130" s="702"/>
      <c r="Z130" s="702"/>
      <c r="AA130" s="62"/>
      <c r="AB130" s="62"/>
      <c r="AC130" s="62"/>
    </row>
    <row r="131" spans="1:68" ht="14.25" hidden="1" customHeight="1" x14ac:dyDescent="0.25">
      <c r="A131" s="703" t="s">
        <v>127</v>
      </c>
      <c r="B131" s="703"/>
      <c r="C131" s="703"/>
      <c r="D131" s="703"/>
      <c r="E131" s="703"/>
      <c r="F131" s="703"/>
      <c r="G131" s="703"/>
      <c r="H131" s="703"/>
      <c r="I131" s="703"/>
      <c r="J131" s="703"/>
      <c r="K131" s="703"/>
      <c r="L131" s="703"/>
      <c r="M131" s="703"/>
      <c r="N131" s="703"/>
      <c r="O131" s="703"/>
      <c r="P131" s="703"/>
      <c r="Q131" s="703"/>
      <c r="R131" s="703"/>
      <c r="S131" s="703"/>
      <c r="T131" s="703"/>
      <c r="U131" s="703"/>
      <c r="V131" s="703"/>
      <c r="W131" s="703"/>
      <c r="X131" s="703"/>
      <c r="Y131" s="703"/>
      <c r="Z131" s="703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704">
        <v>4680115888784</v>
      </c>
      <c r="E132" s="70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7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6"/>
      <c r="R132" s="706"/>
      <c r="S132" s="706"/>
      <c r="T132" s="70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704">
        <v>4680115888845</v>
      </c>
      <c r="E133" s="70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7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6"/>
      <c r="R133" s="706"/>
      <c r="S133" s="706"/>
      <c r="T133" s="70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704">
        <v>4680115882577</v>
      </c>
      <c r="E134" s="70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7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704">
        <v>4680115882577</v>
      </c>
      <c r="E135" s="70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7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712"/>
      <c r="B136" s="712"/>
      <c r="C136" s="712"/>
      <c r="D136" s="712"/>
      <c r="E136" s="712"/>
      <c r="F136" s="712"/>
      <c r="G136" s="712"/>
      <c r="H136" s="712"/>
      <c r="I136" s="712"/>
      <c r="J136" s="712"/>
      <c r="K136" s="712"/>
      <c r="L136" s="712"/>
      <c r="M136" s="712"/>
      <c r="N136" s="712"/>
      <c r="O136" s="713"/>
      <c r="P136" s="709" t="s">
        <v>40</v>
      </c>
      <c r="Q136" s="710"/>
      <c r="R136" s="710"/>
      <c r="S136" s="710"/>
      <c r="T136" s="710"/>
      <c r="U136" s="710"/>
      <c r="V136" s="711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712"/>
      <c r="B137" s="712"/>
      <c r="C137" s="712"/>
      <c r="D137" s="712"/>
      <c r="E137" s="712"/>
      <c r="F137" s="712"/>
      <c r="G137" s="712"/>
      <c r="H137" s="712"/>
      <c r="I137" s="712"/>
      <c r="J137" s="712"/>
      <c r="K137" s="712"/>
      <c r="L137" s="712"/>
      <c r="M137" s="712"/>
      <c r="N137" s="712"/>
      <c r="O137" s="713"/>
      <c r="P137" s="709" t="s">
        <v>40</v>
      </c>
      <c r="Q137" s="710"/>
      <c r="R137" s="710"/>
      <c r="S137" s="710"/>
      <c r="T137" s="710"/>
      <c r="U137" s="710"/>
      <c r="V137" s="711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703" t="s">
        <v>76</v>
      </c>
      <c r="B138" s="703"/>
      <c r="C138" s="703"/>
      <c r="D138" s="703"/>
      <c r="E138" s="703"/>
      <c r="F138" s="703"/>
      <c r="G138" s="703"/>
      <c r="H138" s="703"/>
      <c r="I138" s="703"/>
      <c r="J138" s="703"/>
      <c r="K138" s="703"/>
      <c r="L138" s="703"/>
      <c r="M138" s="703"/>
      <c r="N138" s="703"/>
      <c r="O138" s="703"/>
      <c r="P138" s="703"/>
      <c r="Q138" s="703"/>
      <c r="R138" s="703"/>
      <c r="S138" s="703"/>
      <c r="T138" s="703"/>
      <c r="U138" s="703"/>
      <c r="V138" s="703"/>
      <c r="W138" s="703"/>
      <c r="X138" s="703"/>
      <c r="Y138" s="703"/>
      <c r="Z138" s="703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704">
        <v>4680115888913</v>
      </c>
      <c r="E139" s="70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77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6"/>
      <c r="R139" s="706"/>
      <c r="S139" s="706"/>
      <c r="T139" s="70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704">
        <v>4680115888920</v>
      </c>
      <c r="E140" s="70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6"/>
      <c r="R140" s="706"/>
      <c r="S140" s="706"/>
      <c r="T140" s="70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704">
        <v>4680115883444</v>
      </c>
      <c r="E141" s="70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7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704">
        <v>4680115883444</v>
      </c>
      <c r="E142" s="70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7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12"/>
      <c r="B143" s="712"/>
      <c r="C143" s="712"/>
      <c r="D143" s="712"/>
      <c r="E143" s="712"/>
      <c r="F143" s="712"/>
      <c r="G143" s="712"/>
      <c r="H143" s="712"/>
      <c r="I143" s="712"/>
      <c r="J143" s="712"/>
      <c r="K143" s="712"/>
      <c r="L143" s="712"/>
      <c r="M143" s="712"/>
      <c r="N143" s="712"/>
      <c r="O143" s="713"/>
      <c r="P143" s="709" t="s">
        <v>40</v>
      </c>
      <c r="Q143" s="710"/>
      <c r="R143" s="710"/>
      <c r="S143" s="710"/>
      <c r="T143" s="710"/>
      <c r="U143" s="710"/>
      <c r="V143" s="711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703" t="s">
        <v>85</v>
      </c>
      <c r="B145" s="703"/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03"/>
      <c r="O145" s="703"/>
      <c r="P145" s="703"/>
      <c r="Q145" s="703"/>
      <c r="R145" s="703"/>
      <c r="S145" s="703"/>
      <c r="T145" s="703"/>
      <c r="U145" s="703"/>
      <c r="V145" s="703"/>
      <c r="W145" s="703"/>
      <c r="X145" s="703"/>
      <c r="Y145" s="703"/>
      <c r="Z145" s="703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704">
        <v>4680115888937</v>
      </c>
      <c r="E146" s="70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77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6"/>
      <c r="R146" s="706"/>
      <c r="S146" s="706"/>
      <c r="T146" s="70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704">
        <v>4680115888944</v>
      </c>
      <c r="E147" s="70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77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6"/>
      <c r="R147" s="706"/>
      <c r="S147" s="706"/>
      <c r="T147" s="70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704">
        <v>4680115882584</v>
      </c>
      <c r="E148" s="70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7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704">
        <v>4680115882584</v>
      </c>
      <c r="E149" s="70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7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12"/>
      <c r="B150" s="712"/>
      <c r="C150" s="712"/>
      <c r="D150" s="712"/>
      <c r="E150" s="712"/>
      <c r="F150" s="712"/>
      <c r="G150" s="712"/>
      <c r="H150" s="712"/>
      <c r="I150" s="712"/>
      <c r="J150" s="712"/>
      <c r="K150" s="712"/>
      <c r="L150" s="712"/>
      <c r="M150" s="712"/>
      <c r="N150" s="712"/>
      <c r="O150" s="713"/>
      <c r="P150" s="709" t="s">
        <v>40</v>
      </c>
      <c r="Q150" s="710"/>
      <c r="R150" s="710"/>
      <c r="S150" s="710"/>
      <c r="T150" s="710"/>
      <c r="U150" s="710"/>
      <c r="V150" s="711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712"/>
      <c r="B151" s="712"/>
      <c r="C151" s="712"/>
      <c r="D151" s="712"/>
      <c r="E151" s="712"/>
      <c r="F151" s="712"/>
      <c r="G151" s="712"/>
      <c r="H151" s="712"/>
      <c r="I151" s="712"/>
      <c r="J151" s="712"/>
      <c r="K151" s="712"/>
      <c r="L151" s="712"/>
      <c r="M151" s="712"/>
      <c r="N151" s="712"/>
      <c r="O151" s="713"/>
      <c r="P151" s="709" t="s">
        <v>40</v>
      </c>
      <c r="Q151" s="710"/>
      <c r="R151" s="710"/>
      <c r="S151" s="710"/>
      <c r="T151" s="710"/>
      <c r="U151" s="710"/>
      <c r="V151" s="711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02" t="s">
        <v>275</v>
      </c>
      <c r="B152" s="702"/>
      <c r="C152" s="702"/>
      <c r="D152" s="702"/>
      <c r="E152" s="702"/>
      <c r="F152" s="702"/>
      <c r="G152" s="702"/>
      <c r="H152" s="702"/>
      <c r="I152" s="702"/>
      <c r="J152" s="702"/>
      <c r="K152" s="702"/>
      <c r="L152" s="702"/>
      <c r="M152" s="702"/>
      <c r="N152" s="702"/>
      <c r="O152" s="702"/>
      <c r="P152" s="702"/>
      <c r="Q152" s="702"/>
      <c r="R152" s="702"/>
      <c r="S152" s="702"/>
      <c r="T152" s="702"/>
      <c r="U152" s="702"/>
      <c r="V152" s="702"/>
      <c r="W152" s="702"/>
      <c r="X152" s="702"/>
      <c r="Y152" s="702"/>
      <c r="Z152" s="702"/>
      <c r="AA152" s="62"/>
      <c r="AB152" s="62"/>
      <c r="AC152" s="62"/>
    </row>
    <row r="153" spans="1:68" ht="14.25" hidden="1" customHeight="1" x14ac:dyDescent="0.25">
      <c r="A153" s="703" t="s">
        <v>85</v>
      </c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3"/>
      <c r="N153" s="703"/>
      <c r="O153" s="703"/>
      <c r="P153" s="703"/>
      <c r="Q153" s="703"/>
      <c r="R153" s="703"/>
      <c r="S153" s="703"/>
      <c r="T153" s="703"/>
      <c r="U153" s="703"/>
      <c r="V153" s="703"/>
      <c r="W153" s="703"/>
      <c r="X153" s="703"/>
      <c r="Y153" s="703"/>
      <c r="Z153" s="703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704">
        <v>4680115888203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7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704">
        <v>4680115888180</v>
      </c>
      <c r="E155" s="70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78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6"/>
      <c r="R155" s="706"/>
      <c r="S155" s="706"/>
      <c r="T155" s="70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704">
        <v>4680115888197</v>
      </c>
      <c r="E156" s="70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78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6"/>
      <c r="R156" s="706"/>
      <c r="S156" s="706"/>
      <c r="T156" s="70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704">
        <v>4680115888210</v>
      </c>
      <c r="E157" s="70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7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6"/>
      <c r="R157" s="706"/>
      <c r="S157" s="706"/>
      <c r="T157" s="70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12"/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3"/>
      <c r="P158" s="709" t="s">
        <v>40</v>
      </c>
      <c r="Q158" s="710"/>
      <c r="R158" s="710"/>
      <c r="S158" s="710"/>
      <c r="T158" s="710"/>
      <c r="U158" s="710"/>
      <c r="V158" s="711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703" t="s">
        <v>103</v>
      </c>
      <c r="B160" s="703"/>
      <c r="C160" s="703"/>
      <c r="D160" s="703"/>
      <c r="E160" s="703"/>
      <c r="F160" s="703"/>
      <c r="G160" s="703"/>
      <c r="H160" s="703"/>
      <c r="I160" s="703"/>
      <c r="J160" s="703"/>
      <c r="K160" s="703"/>
      <c r="L160" s="703"/>
      <c r="M160" s="703"/>
      <c r="N160" s="703"/>
      <c r="O160" s="703"/>
      <c r="P160" s="703"/>
      <c r="Q160" s="703"/>
      <c r="R160" s="703"/>
      <c r="S160" s="703"/>
      <c r="T160" s="703"/>
      <c r="U160" s="703"/>
      <c r="V160" s="703"/>
      <c r="W160" s="703"/>
      <c r="X160" s="703"/>
      <c r="Y160" s="703"/>
      <c r="Z160" s="703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704">
        <v>4680115889132</v>
      </c>
      <c r="E161" s="70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6"/>
      <c r="R161" s="706"/>
      <c r="S161" s="706"/>
      <c r="T161" s="70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712"/>
      <c r="B162" s="712"/>
      <c r="C162" s="712"/>
      <c r="D162" s="712"/>
      <c r="E162" s="712"/>
      <c r="F162" s="712"/>
      <c r="G162" s="712"/>
      <c r="H162" s="712"/>
      <c r="I162" s="712"/>
      <c r="J162" s="712"/>
      <c r="K162" s="712"/>
      <c r="L162" s="712"/>
      <c r="M162" s="712"/>
      <c r="N162" s="712"/>
      <c r="O162" s="713"/>
      <c r="P162" s="709" t="s">
        <v>40</v>
      </c>
      <c r="Q162" s="710"/>
      <c r="R162" s="710"/>
      <c r="S162" s="710"/>
      <c r="T162" s="710"/>
      <c r="U162" s="710"/>
      <c r="V162" s="711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712"/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712"/>
      <c r="O163" s="713"/>
      <c r="P163" s="709" t="s">
        <v>40</v>
      </c>
      <c r="Q163" s="710"/>
      <c r="R163" s="710"/>
      <c r="S163" s="710"/>
      <c r="T163" s="710"/>
      <c r="U163" s="710"/>
      <c r="V163" s="711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702" t="s">
        <v>125</v>
      </c>
      <c r="B164" s="702"/>
      <c r="C164" s="702"/>
      <c r="D164" s="702"/>
      <c r="E164" s="702"/>
      <c r="F164" s="702"/>
      <c r="G164" s="702"/>
      <c r="H164" s="702"/>
      <c r="I164" s="702"/>
      <c r="J164" s="702"/>
      <c r="K164" s="702"/>
      <c r="L164" s="702"/>
      <c r="M164" s="702"/>
      <c r="N164" s="702"/>
      <c r="O164" s="702"/>
      <c r="P164" s="702"/>
      <c r="Q164" s="702"/>
      <c r="R164" s="702"/>
      <c r="S164" s="702"/>
      <c r="T164" s="702"/>
      <c r="U164" s="702"/>
      <c r="V164" s="702"/>
      <c r="W164" s="702"/>
      <c r="X164" s="702"/>
      <c r="Y164" s="702"/>
      <c r="Z164" s="702"/>
      <c r="AA164" s="62"/>
      <c r="AB164" s="62"/>
      <c r="AC164" s="62"/>
    </row>
    <row r="165" spans="1:68" ht="14.25" hidden="1" customHeight="1" x14ac:dyDescent="0.25">
      <c r="A165" s="703" t="s">
        <v>127</v>
      </c>
      <c r="B165" s="703"/>
      <c r="C165" s="703"/>
      <c r="D165" s="703"/>
      <c r="E165" s="703"/>
      <c r="F165" s="703"/>
      <c r="G165" s="703"/>
      <c r="H165" s="703"/>
      <c r="I165" s="703"/>
      <c r="J165" s="703"/>
      <c r="K165" s="703"/>
      <c r="L165" s="703"/>
      <c r="M165" s="703"/>
      <c r="N165" s="703"/>
      <c r="O165" s="703"/>
      <c r="P165" s="703"/>
      <c r="Q165" s="703"/>
      <c r="R165" s="703"/>
      <c r="S165" s="703"/>
      <c r="T165" s="703"/>
      <c r="U165" s="703"/>
      <c r="V165" s="703"/>
      <c r="W165" s="703"/>
      <c r="X165" s="703"/>
      <c r="Y165" s="703"/>
      <c r="Z165" s="703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704">
        <v>4680115888876</v>
      </c>
      <c r="E166" s="70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78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6"/>
      <c r="R166" s="706"/>
      <c r="S166" s="706"/>
      <c r="T166" s="70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704">
        <v>4680115887374</v>
      </c>
      <c r="E167" s="70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78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6"/>
      <c r="R167" s="706"/>
      <c r="S167" s="706"/>
      <c r="T167" s="70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704">
        <v>4607091384604</v>
      </c>
      <c r="E168" s="70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7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6"/>
      <c r="R168" s="706"/>
      <c r="S168" s="706"/>
      <c r="T168" s="70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12"/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3"/>
      <c r="P169" s="709" t="s">
        <v>40</v>
      </c>
      <c r="Q169" s="710"/>
      <c r="R169" s="710"/>
      <c r="S169" s="710"/>
      <c r="T169" s="710"/>
      <c r="U169" s="710"/>
      <c r="V169" s="711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712"/>
      <c r="B170" s="712"/>
      <c r="C170" s="712"/>
      <c r="D170" s="712"/>
      <c r="E170" s="712"/>
      <c r="F170" s="712"/>
      <c r="G170" s="712"/>
      <c r="H170" s="712"/>
      <c r="I170" s="712"/>
      <c r="J170" s="712"/>
      <c r="K170" s="712"/>
      <c r="L170" s="712"/>
      <c r="M170" s="712"/>
      <c r="N170" s="712"/>
      <c r="O170" s="713"/>
      <c r="P170" s="709" t="s">
        <v>40</v>
      </c>
      <c r="Q170" s="710"/>
      <c r="R170" s="710"/>
      <c r="S170" s="710"/>
      <c r="T170" s="710"/>
      <c r="U170" s="710"/>
      <c r="V170" s="711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03" t="s">
        <v>163</v>
      </c>
      <c r="B171" s="703"/>
      <c r="C171" s="703"/>
      <c r="D171" s="703"/>
      <c r="E171" s="703"/>
      <c r="F171" s="703"/>
      <c r="G171" s="703"/>
      <c r="H171" s="703"/>
      <c r="I171" s="703"/>
      <c r="J171" s="703"/>
      <c r="K171" s="703"/>
      <c r="L171" s="703"/>
      <c r="M171" s="703"/>
      <c r="N171" s="703"/>
      <c r="O171" s="703"/>
      <c r="P171" s="703"/>
      <c r="Q171" s="703"/>
      <c r="R171" s="703"/>
      <c r="S171" s="703"/>
      <c r="T171" s="703"/>
      <c r="U171" s="703"/>
      <c r="V171" s="703"/>
      <c r="W171" s="703"/>
      <c r="X171" s="703"/>
      <c r="Y171" s="703"/>
      <c r="Z171" s="703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704">
        <v>4680115889491</v>
      </c>
      <c r="E172" s="70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789" t="s">
        <v>304</v>
      </c>
      <c r="Q172" s="706"/>
      <c r="R172" s="706"/>
      <c r="S172" s="706"/>
      <c r="T172" s="70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704">
        <v>4680115887695</v>
      </c>
      <c r="E173" s="70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79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6"/>
      <c r="R173" s="706"/>
      <c r="S173" s="706"/>
      <c r="T173" s="70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712"/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3"/>
      <c r="P174" s="709" t="s">
        <v>40</v>
      </c>
      <c r="Q174" s="710"/>
      <c r="R174" s="710"/>
      <c r="S174" s="710"/>
      <c r="T174" s="710"/>
      <c r="U174" s="710"/>
      <c r="V174" s="711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712"/>
      <c r="B175" s="712"/>
      <c r="C175" s="712"/>
      <c r="D175" s="712"/>
      <c r="E175" s="712"/>
      <c r="F175" s="712"/>
      <c r="G175" s="712"/>
      <c r="H175" s="712"/>
      <c r="I175" s="712"/>
      <c r="J175" s="712"/>
      <c r="K175" s="712"/>
      <c r="L175" s="712"/>
      <c r="M175" s="712"/>
      <c r="N175" s="712"/>
      <c r="O175" s="713"/>
      <c r="P175" s="709" t="s">
        <v>40</v>
      </c>
      <c r="Q175" s="710"/>
      <c r="R175" s="710"/>
      <c r="S175" s="710"/>
      <c r="T175" s="710"/>
      <c r="U175" s="710"/>
      <c r="V175" s="711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703" t="s">
        <v>76</v>
      </c>
      <c r="B176" s="703"/>
      <c r="C176" s="703"/>
      <c r="D176" s="703"/>
      <c r="E176" s="703"/>
      <c r="F176" s="703"/>
      <c r="G176" s="703"/>
      <c r="H176" s="703"/>
      <c r="I176" s="703"/>
      <c r="J176" s="703"/>
      <c r="K176" s="703"/>
      <c r="L176" s="703"/>
      <c r="M176" s="703"/>
      <c r="N176" s="703"/>
      <c r="O176" s="703"/>
      <c r="P176" s="703"/>
      <c r="Q176" s="703"/>
      <c r="R176" s="703"/>
      <c r="S176" s="703"/>
      <c r="T176" s="703"/>
      <c r="U176" s="703"/>
      <c r="V176" s="703"/>
      <c r="W176" s="703"/>
      <c r="X176" s="703"/>
      <c r="Y176" s="703"/>
      <c r="Z176" s="703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704">
        <v>4680115887428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704">
        <v>4680115889170</v>
      </c>
      <c r="E178" s="70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704">
        <v>4680115887398</v>
      </c>
      <c r="E179" s="70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704">
        <v>4680115887336</v>
      </c>
      <c r="E180" s="70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704">
        <v>4680115887787</v>
      </c>
      <c r="E181" s="70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704">
        <v>4680115887503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704">
        <v>4680115887763</v>
      </c>
      <c r="E183" s="70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704">
        <v>4680115887763</v>
      </c>
      <c r="E184" s="70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704">
        <v>4680115887480</v>
      </c>
      <c r="E185" s="70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6"/>
      <c r="R185" s="706"/>
      <c r="S185" s="706"/>
      <c r="T185" s="70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704">
        <v>4680115888067</v>
      </c>
      <c r="E186" s="70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6"/>
      <c r="R186" s="706"/>
      <c r="S186" s="706"/>
      <c r="T186" s="70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704">
        <v>4680115887435</v>
      </c>
      <c r="E187" s="70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0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6"/>
      <c r="R187" s="706"/>
      <c r="S187" s="706"/>
      <c r="T187" s="70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712"/>
      <c r="B188" s="712"/>
      <c r="C188" s="712"/>
      <c r="D188" s="712"/>
      <c r="E188" s="712"/>
      <c r="F188" s="712"/>
      <c r="G188" s="712"/>
      <c r="H188" s="712"/>
      <c r="I188" s="712"/>
      <c r="J188" s="712"/>
      <c r="K188" s="712"/>
      <c r="L188" s="712"/>
      <c r="M188" s="712"/>
      <c r="N188" s="712"/>
      <c r="O188" s="713"/>
      <c r="P188" s="709" t="s">
        <v>40</v>
      </c>
      <c r="Q188" s="710"/>
      <c r="R188" s="710"/>
      <c r="S188" s="710"/>
      <c r="T188" s="710"/>
      <c r="U188" s="710"/>
      <c r="V188" s="711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712"/>
      <c r="B189" s="712"/>
      <c r="C189" s="712"/>
      <c r="D189" s="712"/>
      <c r="E189" s="712"/>
      <c r="F189" s="712"/>
      <c r="G189" s="712"/>
      <c r="H189" s="712"/>
      <c r="I189" s="712"/>
      <c r="J189" s="712"/>
      <c r="K189" s="712"/>
      <c r="L189" s="712"/>
      <c r="M189" s="712"/>
      <c r="N189" s="712"/>
      <c r="O189" s="713"/>
      <c r="P189" s="709" t="s">
        <v>40</v>
      </c>
      <c r="Q189" s="710"/>
      <c r="R189" s="710"/>
      <c r="S189" s="710"/>
      <c r="T189" s="710"/>
      <c r="U189" s="710"/>
      <c r="V189" s="711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703" t="s">
        <v>85</v>
      </c>
      <c r="B190" s="703"/>
      <c r="C190" s="703"/>
      <c r="D190" s="703"/>
      <c r="E190" s="703"/>
      <c r="F190" s="703"/>
      <c r="G190" s="703"/>
      <c r="H190" s="703"/>
      <c r="I190" s="703"/>
      <c r="J190" s="703"/>
      <c r="K190" s="703"/>
      <c r="L190" s="703"/>
      <c r="M190" s="703"/>
      <c r="N190" s="703"/>
      <c r="O190" s="703"/>
      <c r="P190" s="703"/>
      <c r="Q190" s="703"/>
      <c r="R190" s="703"/>
      <c r="S190" s="703"/>
      <c r="T190" s="703"/>
      <c r="U190" s="703"/>
      <c r="V190" s="703"/>
      <c r="W190" s="703"/>
      <c r="X190" s="703"/>
      <c r="Y190" s="703"/>
      <c r="Z190" s="703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704">
        <v>4680115888395</v>
      </c>
      <c r="E191" s="70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6"/>
      <c r="R191" s="706"/>
      <c r="S191" s="706"/>
      <c r="T191" s="70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704">
        <v>4680115888371</v>
      </c>
      <c r="E192" s="70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6"/>
      <c r="R192" s="706"/>
      <c r="S192" s="706"/>
      <c r="T192" s="70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704">
        <v>4680115887459</v>
      </c>
      <c r="E193" s="70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6"/>
      <c r="R193" s="706"/>
      <c r="S193" s="706"/>
      <c r="T193" s="70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12"/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3"/>
      <c r="P194" s="709" t="s">
        <v>40</v>
      </c>
      <c r="Q194" s="710"/>
      <c r="R194" s="710"/>
      <c r="S194" s="710"/>
      <c r="T194" s="710"/>
      <c r="U194" s="710"/>
      <c r="V194" s="711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03" t="s">
        <v>103</v>
      </c>
      <c r="B196" s="703"/>
      <c r="C196" s="703"/>
      <c r="D196" s="703"/>
      <c r="E196" s="703"/>
      <c r="F196" s="703"/>
      <c r="G196" s="703"/>
      <c r="H196" s="703"/>
      <c r="I196" s="703"/>
      <c r="J196" s="703"/>
      <c r="K196" s="703"/>
      <c r="L196" s="703"/>
      <c r="M196" s="703"/>
      <c r="N196" s="703"/>
      <c r="O196" s="703"/>
      <c r="P196" s="703"/>
      <c r="Q196" s="703"/>
      <c r="R196" s="703"/>
      <c r="S196" s="703"/>
      <c r="T196" s="703"/>
      <c r="U196" s="703"/>
      <c r="V196" s="703"/>
      <c r="W196" s="703"/>
      <c r="X196" s="703"/>
      <c r="Y196" s="703"/>
      <c r="Z196" s="703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704">
        <v>4680115889026</v>
      </c>
      <c r="E197" s="70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6"/>
      <c r="R197" s="706"/>
      <c r="S197" s="706"/>
      <c r="T197" s="70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704">
        <v>4680115889088</v>
      </c>
      <c r="E198" s="70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0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703" t="s">
        <v>353</v>
      </c>
      <c r="B201" s="703"/>
      <c r="C201" s="703"/>
      <c r="D201" s="703"/>
      <c r="E201" s="703"/>
      <c r="F201" s="703"/>
      <c r="G201" s="703"/>
      <c r="H201" s="703"/>
      <c r="I201" s="703"/>
      <c r="J201" s="703"/>
      <c r="K201" s="703"/>
      <c r="L201" s="703"/>
      <c r="M201" s="703"/>
      <c r="N201" s="703"/>
      <c r="O201" s="703"/>
      <c r="P201" s="703"/>
      <c r="Q201" s="703"/>
      <c r="R201" s="703"/>
      <c r="S201" s="703"/>
      <c r="T201" s="703"/>
      <c r="U201" s="703"/>
      <c r="V201" s="703"/>
      <c r="W201" s="703"/>
      <c r="X201" s="703"/>
      <c r="Y201" s="703"/>
      <c r="Z201" s="703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704">
        <v>4680115889033</v>
      </c>
      <c r="E202" s="70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0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6"/>
      <c r="R202" s="706"/>
      <c r="S202" s="706"/>
      <c r="T202" s="70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712"/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3"/>
      <c r="P203" s="709" t="s">
        <v>40</v>
      </c>
      <c r="Q203" s="710"/>
      <c r="R203" s="710"/>
      <c r="S203" s="710"/>
      <c r="T203" s="710"/>
      <c r="U203" s="710"/>
      <c r="V203" s="711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712"/>
      <c r="B204" s="712"/>
      <c r="C204" s="712"/>
      <c r="D204" s="712"/>
      <c r="E204" s="712"/>
      <c r="F204" s="712"/>
      <c r="G204" s="712"/>
      <c r="H204" s="712"/>
      <c r="I204" s="712"/>
      <c r="J204" s="712"/>
      <c r="K204" s="712"/>
      <c r="L204" s="712"/>
      <c r="M204" s="712"/>
      <c r="N204" s="712"/>
      <c r="O204" s="713"/>
      <c r="P204" s="709" t="s">
        <v>40</v>
      </c>
      <c r="Q204" s="710"/>
      <c r="R204" s="710"/>
      <c r="S204" s="710"/>
      <c r="T204" s="710"/>
      <c r="U204" s="710"/>
      <c r="V204" s="711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701" t="s">
        <v>357</v>
      </c>
      <c r="B205" s="701"/>
      <c r="C205" s="701"/>
      <c r="D205" s="701"/>
      <c r="E205" s="701"/>
      <c r="F205" s="701"/>
      <c r="G205" s="701"/>
      <c r="H205" s="701"/>
      <c r="I205" s="701"/>
      <c r="J205" s="701"/>
      <c r="K205" s="701"/>
      <c r="L205" s="701"/>
      <c r="M205" s="701"/>
      <c r="N205" s="701"/>
      <c r="O205" s="701"/>
      <c r="P205" s="701"/>
      <c r="Q205" s="701"/>
      <c r="R205" s="701"/>
      <c r="S205" s="701"/>
      <c r="T205" s="701"/>
      <c r="U205" s="701"/>
      <c r="V205" s="701"/>
      <c r="W205" s="701"/>
      <c r="X205" s="701"/>
      <c r="Y205" s="701"/>
      <c r="Z205" s="701"/>
      <c r="AA205" s="52"/>
      <c r="AB205" s="52"/>
      <c r="AC205" s="52"/>
    </row>
    <row r="206" spans="1:68" ht="16.5" hidden="1" customHeight="1" x14ac:dyDescent="0.25">
      <c r="A206" s="702" t="s">
        <v>358</v>
      </c>
      <c r="B206" s="702"/>
      <c r="C206" s="702"/>
      <c r="D206" s="702"/>
      <c r="E206" s="702"/>
      <c r="F206" s="702"/>
      <c r="G206" s="702"/>
      <c r="H206" s="702"/>
      <c r="I206" s="702"/>
      <c r="J206" s="702"/>
      <c r="K206" s="702"/>
      <c r="L206" s="702"/>
      <c r="M206" s="702"/>
      <c r="N206" s="702"/>
      <c r="O206" s="702"/>
      <c r="P206" s="702"/>
      <c r="Q206" s="702"/>
      <c r="R206" s="702"/>
      <c r="S206" s="702"/>
      <c r="T206" s="702"/>
      <c r="U206" s="702"/>
      <c r="V206" s="702"/>
      <c r="W206" s="702"/>
      <c r="X206" s="702"/>
      <c r="Y206" s="702"/>
      <c r="Z206" s="702"/>
      <c r="AA206" s="62"/>
      <c r="AB206" s="62"/>
      <c r="AC206" s="62"/>
    </row>
    <row r="207" spans="1:68" ht="14.25" hidden="1" customHeight="1" x14ac:dyDescent="0.25">
      <c r="A207" s="703" t="s">
        <v>127</v>
      </c>
      <c r="B207" s="703"/>
      <c r="C207" s="703"/>
      <c r="D207" s="703"/>
      <c r="E207" s="703"/>
      <c r="F207" s="703"/>
      <c r="G207" s="703"/>
      <c r="H207" s="703"/>
      <c r="I207" s="703"/>
      <c r="J207" s="703"/>
      <c r="K207" s="703"/>
      <c r="L207" s="703"/>
      <c r="M207" s="703"/>
      <c r="N207" s="703"/>
      <c r="O207" s="703"/>
      <c r="P207" s="703"/>
      <c r="Q207" s="703"/>
      <c r="R207" s="703"/>
      <c r="S207" s="703"/>
      <c r="T207" s="703"/>
      <c r="U207" s="703"/>
      <c r="V207" s="703"/>
      <c r="W207" s="703"/>
      <c r="X207" s="703"/>
      <c r="Y207" s="703"/>
      <c r="Z207" s="703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704">
        <v>4607091383423</v>
      </c>
      <c r="E208" s="70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704">
        <v>4680115888760</v>
      </c>
      <c r="E209" s="70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704">
        <v>4680115888807</v>
      </c>
      <c r="E210" s="70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1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704">
        <v>4680115888852</v>
      </c>
      <c r="E211" s="70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1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6"/>
      <c r="R211" s="706"/>
      <c r="S211" s="706"/>
      <c r="T211" s="70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704">
        <v>4680115886957</v>
      </c>
      <c r="E212" s="70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1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6"/>
      <c r="R212" s="706"/>
      <c r="S212" s="706"/>
      <c r="T212" s="70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704">
        <v>4680115885660</v>
      </c>
      <c r="E213" s="70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1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6"/>
      <c r="R213" s="706"/>
      <c r="S213" s="706"/>
      <c r="T213" s="70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704">
        <v>4680115886773</v>
      </c>
      <c r="E214" s="70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6"/>
      <c r="R214" s="706"/>
      <c r="S214" s="706"/>
      <c r="T214" s="70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712"/>
      <c r="B215" s="712"/>
      <c r="C215" s="712"/>
      <c r="D215" s="712"/>
      <c r="E215" s="712"/>
      <c r="F215" s="712"/>
      <c r="G215" s="712"/>
      <c r="H215" s="712"/>
      <c r="I215" s="712"/>
      <c r="J215" s="712"/>
      <c r="K215" s="712"/>
      <c r="L215" s="712"/>
      <c r="M215" s="712"/>
      <c r="N215" s="712"/>
      <c r="O215" s="713"/>
      <c r="P215" s="709" t="s">
        <v>40</v>
      </c>
      <c r="Q215" s="710"/>
      <c r="R215" s="710"/>
      <c r="S215" s="710"/>
      <c r="T215" s="710"/>
      <c r="U215" s="710"/>
      <c r="V215" s="711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702" t="s">
        <v>379</v>
      </c>
      <c r="B217" s="702"/>
      <c r="C217" s="702"/>
      <c r="D217" s="702"/>
      <c r="E217" s="702"/>
      <c r="F217" s="702"/>
      <c r="G217" s="702"/>
      <c r="H217" s="702"/>
      <c r="I217" s="702"/>
      <c r="J217" s="702"/>
      <c r="K217" s="702"/>
      <c r="L217" s="702"/>
      <c r="M217" s="702"/>
      <c r="N217" s="702"/>
      <c r="O217" s="702"/>
      <c r="P217" s="702"/>
      <c r="Q217" s="702"/>
      <c r="R217" s="702"/>
      <c r="S217" s="702"/>
      <c r="T217" s="702"/>
      <c r="U217" s="702"/>
      <c r="V217" s="702"/>
      <c r="W217" s="702"/>
      <c r="X217" s="702"/>
      <c r="Y217" s="702"/>
      <c r="Z217" s="702"/>
      <c r="AA217" s="62"/>
      <c r="AB217" s="62"/>
      <c r="AC217" s="62"/>
    </row>
    <row r="218" spans="1:68" ht="14.25" hidden="1" customHeight="1" x14ac:dyDescent="0.25">
      <c r="A218" s="703" t="s">
        <v>163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704">
        <v>4680115886223</v>
      </c>
      <c r="E219" s="70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1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712"/>
      <c r="B220" s="712"/>
      <c r="C220" s="712"/>
      <c r="D220" s="712"/>
      <c r="E220" s="712"/>
      <c r="F220" s="712"/>
      <c r="G220" s="712"/>
      <c r="H220" s="712"/>
      <c r="I220" s="712"/>
      <c r="J220" s="712"/>
      <c r="K220" s="712"/>
      <c r="L220" s="712"/>
      <c r="M220" s="712"/>
      <c r="N220" s="712"/>
      <c r="O220" s="713"/>
      <c r="P220" s="709" t="s">
        <v>40</v>
      </c>
      <c r="Q220" s="710"/>
      <c r="R220" s="710"/>
      <c r="S220" s="710"/>
      <c r="T220" s="710"/>
      <c r="U220" s="710"/>
      <c r="V220" s="711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712"/>
      <c r="B221" s="712"/>
      <c r="C221" s="712"/>
      <c r="D221" s="712"/>
      <c r="E221" s="712"/>
      <c r="F221" s="712"/>
      <c r="G221" s="712"/>
      <c r="H221" s="712"/>
      <c r="I221" s="712"/>
      <c r="J221" s="712"/>
      <c r="K221" s="712"/>
      <c r="L221" s="712"/>
      <c r="M221" s="712"/>
      <c r="N221" s="712"/>
      <c r="O221" s="713"/>
      <c r="P221" s="709" t="s">
        <v>40</v>
      </c>
      <c r="Q221" s="710"/>
      <c r="R221" s="710"/>
      <c r="S221" s="710"/>
      <c r="T221" s="710"/>
      <c r="U221" s="710"/>
      <c r="V221" s="711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703" t="s">
        <v>76</v>
      </c>
      <c r="B222" s="703"/>
      <c r="C222" s="703"/>
      <c r="D222" s="703"/>
      <c r="E222" s="703"/>
      <c r="F222" s="703"/>
      <c r="G222" s="703"/>
      <c r="H222" s="703"/>
      <c r="I222" s="703"/>
      <c r="J222" s="703"/>
      <c r="K222" s="703"/>
      <c r="L222" s="703"/>
      <c r="M222" s="703"/>
      <c r="N222" s="703"/>
      <c r="O222" s="703"/>
      <c r="P222" s="703"/>
      <c r="Q222" s="703"/>
      <c r="R222" s="703"/>
      <c r="S222" s="703"/>
      <c r="T222" s="703"/>
      <c r="U222" s="703"/>
      <c r="V222" s="703"/>
      <c r="W222" s="703"/>
      <c r="X222" s="703"/>
      <c r="Y222" s="703"/>
      <c r="Z222" s="703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704">
        <v>4680115880993</v>
      </c>
      <c r="E223" s="70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704">
        <v>4680115881761</v>
      </c>
      <c r="E224" s="70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1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704">
        <v>4680115881563</v>
      </c>
      <c r="E225" s="70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1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704">
        <v>4680115887565</v>
      </c>
      <c r="E226" s="70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704">
        <v>4680115880986</v>
      </c>
      <c r="E227" s="70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704">
        <v>4680115887213</v>
      </c>
      <c r="E228" s="70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2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704">
        <v>4680115881785</v>
      </c>
      <c r="E229" s="70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704">
        <v>4680115888432</v>
      </c>
      <c r="E230" s="70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704">
        <v>4680115888104</v>
      </c>
      <c r="E231" s="70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704">
        <v>4680115886537</v>
      </c>
      <c r="E232" s="70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704">
        <v>4680115887596</v>
      </c>
      <c r="E233" s="70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6"/>
      <c r="R233" s="706"/>
      <c r="S233" s="706"/>
      <c r="T233" s="70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704">
        <v>4680115881679</v>
      </c>
      <c r="E234" s="70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6"/>
      <c r="R234" s="706"/>
      <c r="S234" s="706"/>
      <c r="T234" s="70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704">
        <v>4680115880191</v>
      </c>
      <c r="E235" s="70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6"/>
      <c r="R235" s="706"/>
      <c r="S235" s="706"/>
      <c r="T235" s="70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704">
        <v>4680115883963</v>
      </c>
      <c r="E236" s="70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712"/>
      <c r="B237" s="712"/>
      <c r="C237" s="712"/>
      <c r="D237" s="712"/>
      <c r="E237" s="712"/>
      <c r="F237" s="712"/>
      <c r="G237" s="712"/>
      <c r="H237" s="712"/>
      <c r="I237" s="712"/>
      <c r="J237" s="712"/>
      <c r="K237" s="712"/>
      <c r="L237" s="712"/>
      <c r="M237" s="712"/>
      <c r="N237" s="712"/>
      <c r="O237" s="713"/>
      <c r="P237" s="709" t="s">
        <v>40</v>
      </c>
      <c r="Q237" s="710"/>
      <c r="R237" s="710"/>
      <c r="S237" s="710"/>
      <c r="T237" s="710"/>
      <c r="U237" s="710"/>
      <c r="V237" s="711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712"/>
      <c r="B238" s="712"/>
      <c r="C238" s="712"/>
      <c r="D238" s="712"/>
      <c r="E238" s="712"/>
      <c r="F238" s="712"/>
      <c r="G238" s="712"/>
      <c r="H238" s="712"/>
      <c r="I238" s="712"/>
      <c r="J238" s="712"/>
      <c r="K238" s="712"/>
      <c r="L238" s="712"/>
      <c r="M238" s="712"/>
      <c r="N238" s="712"/>
      <c r="O238" s="713"/>
      <c r="P238" s="709" t="s">
        <v>40</v>
      </c>
      <c r="Q238" s="710"/>
      <c r="R238" s="710"/>
      <c r="S238" s="710"/>
      <c r="T238" s="710"/>
      <c r="U238" s="710"/>
      <c r="V238" s="711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703" t="s">
        <v>85</v>
      </c>
      <c r="B239" s="703"/>
      <c r="C239" s="703"/>
      <c r="D239" s="703"/>
      <c r="E239" s="703"/>
      <c r="F239" s="703"/>
      <c r="G239" s="703"/>
      <c r="H239" s="703"/>
      <c r="I239" s="703"/>
      <c r="J239" s="703"/>
      <c r="K239" s="703"/>
      <c r="L239" s="703"/>
      <c r="M239" s="703"/>
      <c r="N239" s="703"/>
      <c r="O239" s="703"/>
      <c r="P239" s="703"/>
      <c r="Q239" s="703"/>
      <c r="R239" s="703"/>
      <c r="S239" s="703"/>
      <c r="T239" s="703"/>
      <c r="U239" s="703"/>
      <c r="V239" s="703"/>
      <c r="W239" s="703"/>
      <c r="X239" s="703"/>
      <c r="Y239" s="703"/>
      <c r="Z239" s="703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704">
        <v>4680115888692</v>
      </c>
      <c r="E240" s="70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704">
        <v>4680115888722</v>
      </c>
      <c r="E241" s="70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3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6"/>
      <c r="R241" s="706"/>
      <c r="S241" s="706"/>
      <c r="T241" s="70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704">
        <v>4680115888951</v>
      </c>
      <c r="E242" s="70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3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6"/>
      <c r="R242" s="706"/>
      <c r="S242" s="706"/>
      <c r="T242" s="70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704">
        <v>4680115888975</v>
      </c>
      <c r="E243" s="70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6"/>
      <c r="R243" s="706"/>
      <c r="S243" s="706"/>
      <c r="T243" s="70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704">
        <v>4680115888982</v>
      </c>
      <c r="E244" s="70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12"/>
      <c r="B245" s="712"/>
      <c r="C245" s="712"/>
      <c r="D245" s="712"/>
      <c r="E245" s="712"/>
      <c r="F245" s="712"/>
      <c r="G245" s="712"/>
      <c r="H245" s="712"/>
      <c r="I245" s="712"/>
      <c r="J245" s="712"/>
      <c r="K245" s="712"/>
      <c r="L245" s="712"/>
      <c r="M245" s="712"/>
      <c r="N245" s="712"/>
      <c r="O245" s="713"/>
      <c r="P245" s="709" t="s">
        <v>40</v>
      </c>
      <c r="Q245" s="710"/>
      <c r="R245" s="710"/>
      <c r="S245" s="710"/>
      <c r="T245" s="710"/>
      <c r="U245" s="710"/>
      <c r="V245" s="711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12"/>
      <c r="B246" s="712"/>
      <c r="C246" s="712"/>
      <c r="D246" s="712"/>
      <c r="E246" s="712"/>
      <c r="F246" s="712"/>
      <c r="G246" s="712"/>
      <c r="H246" s="712"/>
      <c r="I246" s="712"/>
      <c r="J246" s="712"/>
      <c r="K246" s="712"/>
      <c r="L246" s="712"/>
      <c r="M246" s="712"/>
      <c r="N246" s="712"/>
      <c r="O246" s="713"/>
      <c r="P246" s="709" t="s">
        <v>40</v>
      </c>
      <c r="Q246" s="710"/>
      <c r="R246" s="710"/>
      <c r="S246" s="710"/>
      <c r="T246" s="710"/>
      <c r="U246" s="710"/>
      <c r="V246" s="711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03" t="s">
        <v>103</v>
      </c>
      <c r="B247" s="703"/>
      <c r="C247" s="703"/>
      <c r="D247" s="703"/>
      <c r="E247" s="703"/>
      <c r="F247" s="703"/>
      <c r="G247" s="703"/>
      <c r="H247" s="703"/>
      <c r="I247" s="703"/>
      <c r="J247" s="703"/>
      <c r="K247" s="703"/>
      <c r="L247" s="703"/>
      <c r="M247" s="703"/>
      <c r="N247" s="703"/>
      <c r="O247" s="703"/>
      <c r="P247" s="703"/>
      <c r="Q247" s="703"/>
      <c r="R247" s="703"/>
      <c r="S247" s="703"/>
      <c r="T247" s="703"/>
      <c r="U247" s="703"/>
      <c r="V247" s="703"/>
      <c r="W247" s="703"/>
      <c r="X247" s="703"/>
      <c r="Y247" s="703"/>
      <c r="Z247" s="703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704">
        <v>4680115886780</v>
      </c>
      <c r="E248" s="70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6"/>
      <c r="R248" s="706"/>
      <c r="S248" s="706"/>
      <c r="T248" s="70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704">
        <v>4680115886742</v>
      </c>
      <c r="E249" s="70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6"/>
      <c r="R249" s="706"/>
      <c r="S249" s="706"/>
      <c r="T249" s="70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704">
        <v>4680115886766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3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03" t="s">
        <v>443</v>
      </c>
      <c r="B253" s="703"/>
      <c r="C253" s="703"/>
      <c r="D253" s="703"/>
      <c r="E253" s="703"/>
      <c r="F253" s="703"/>
      <c r="G253" s="703"/>
      <c r="H253" s="703"/>
      <c r="I253" s="703"/>
      <c r="J253" s="703"/>
      <c r="K253" s="703"/>
      <c r="L253" s="703"/>
      <c r="M253" s="703"/>
      <c r="N253" s="703"/>
      <c r="O253" s="703"/>
      <c r="P253" s="703"/>
      <c r="Q253" s="703"/>
      <c r="R253" s="703"/>
      <c r="S253" s="703"/>
      <c r="T253" s="703"/>
      <c r="U253" s="703"/>
      <c r="V253" s="703"/>
      <c r="W253" s="703"/>
      <c r="X253" s="703"/>
      <c r="Y253" s="703"/>
      <c r="Z253" s="703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704">
        <v>4680115886797</v>
      </c>
      <c r="E254" s="70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6"/>
      <c r="R254" s="706"/>
      <c r="S254" s="706"/>
      <c r="T254" s="70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12"/>
      <c r="B255" s="712"/>
      <c r="C255" s="712"/>
      <c r="D255" s="712"/>
      <c r="E255" s="712"/>
      <c r="F255" s="712"/>
      <c r="G255" s="712"/>
      <c r="H255" s="712"/>
      <c r="I255" s="712"/>
      <c r="J255" s="712"/>
      <c r="K255" s="712"/>
      <c r="L255" s="712"/>
      <c r="M255" s="712"/>
      <c r="N255" s="712"/>
      <c r="O255" s="713"/>
      <c r="P255" s="709" t="s">
        <v>40</v>
      </c>
      <c r="Q255" s="710"/>
      <c r="R255" s="710"/>
      <c r="S255" s="710"/>
      <c r="T255" s="710"/>
      <c r="U255" s="710"/>
      <c r="V255" s="711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12"/>
      <c r="B256" s="712"/>
      <c r="C256" s="712"/>
      <c r="D256" s="712"/>
      <c r="E256" s="712"/>
      <c r="F256" s="712"/>
      <c r="G256" s="712"/>
      <c r="H256" s="712"/>
      <c r="I256" s="712"/>
      <c r="J256" s="712"/>
      <c r="K256" s="712"/>
      <c r="L256" s="712"/>
      <c r="M256" s="712"/>
      <c r="N256" s="712"/>
      <c r="O256" s="713"/>
      <c r="P256" s="709" t="s">
        <v>40</v>
      </c>
      <c r="Q256" s="710"/>
      <c r="R256" s="710"/>
      <c r="S256" s="710"/>
      <c r="T256" s="710"/>
      <c r="U256" s="710"/>
      <c r="V256" s="711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02" t="s">
        <v>446</v>
      </c>
      <c r="B257" s="702"/>
      <c r="C257" s="702"/>
      <c r="D257" s="702"/>
      <c r="E257" s="702"/>
      <c r="F257" s="702"/>
      <c r="G257" s="702"/>
      <c r="H257" s="702"/>
      <c r="I257" s="702"/>
      <c r="J257" s="702"/>
      <c r="K257" s="702"/>
      <c r="L257" s="702"/>
      <c r="M257" s="702"/>
      <c r="N257" s="702"/>
      <c r="O257" s="702"/>
      <c r="P257" s="702"/>
      <c r="Q257" s="702"/>
      <c r="R257" s="702"/>
      <c r="S257" s="702"/>
      <c r="T257" s="702"/>
      <c r="U257" s="702"/>
      <c r="V257" s="702"/>
      <c r="W257" s="702"/>
      <c r="X257" s="702"/>
      <c r="Y257" s="702"/>
      <c r="Z257" s="702"/>
      <c r="AA257" s="62"/>
      <c r="AB257" s="62"/>
      <c r="AC257" s="62"/>
    </row>
    <row r="258" spans="1:68" ht="14.25" hidden="1" customHeight="1" x14ac:dyDescent="0.25">
      <c r="A258" s="703" t="s">
        <v>127</v>
      </c>
      <c r="B258" s="703"/>
      <c r="C258" s="703"/>
      <c r="D258" s="703"/>
      <c r="E258" s="703"/>
      <c r="F258" s="703"/>
      <c r="G258" s="703"/>
      <c r="H258" s="703"/>
      <c r="I258" s="703"/>
      <c r="J258" s="703"/>
      <c r="K258" s="703"/>
      <c r="L258" s="703"/>
      <c r="M258" s="703"/>
      <c r="N258" s="703"/>
      <c r="O258" s="703"/>
      <c r="P258" s="703"/>
      <c r="Q258" s="703"/>
      <c r="R258" s="703"/>
      <c r="S258" s="703"/>
      <c r="T258" s="703"/>
      <c r="U258" s="703"/>
      <c r="V258" s="703"/>
      <c r="W258" s="703"/>
      <c r="X258" s="703"/>
      <c r="Y258" s="703"/>
      <c r="Z258" s="703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704">
        <v>4680115881402</v>
      </c>
      <c r="E259" s="70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6"/>
      <c r="R259" s="706"/>
      <c r="S259" s="706"/>
      <c r="T259" s="70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704">
        <v>4680115881396</v>
      </c>
      <c r="E260" s="70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8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12"/>
      <c r="B261" s="712"/>
      <c r="C261" s="712"/>
      <c r="D261" s="712"/>
      <c r="E261" s="712"/>
      <c r="F261" s="712"/>
      <c r="G261" s="712"/>
      <c r="H261" s="712"/>
      <c r="I261" s="712"/>
      <c r="J261" s="712"/>
      <c r="K261" s="712"/>
      <c r="L261" s="712"/>
      <c r="M261" s="712"/>
      <c r="N261" s="712"/>
      <c r="O261" s="713"/>
      <c r="P261" s="709" t="s">
        <v>40</v>
      </c>
      <c r="Q261" s="710"/>
      <c r="R261" s="710"/>
      <c r="S261" s="710"/>
      <c r="T261" s="710"/>
      <c r="U261" s="710"/>
      <c r="V261" s="711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03" t="s">
        <v>163</v>
      </c>
      <c r="B263" s="703"/>
      <c r="C263" s="703"/>
      <c r="D263" s="703"/>
      <c r="E263" s="703"/>
      <c r="F263" s="703"/>
      <c r="G263" s="703"/>
      <c r="H263" s="703"/>
      <c r="I263" s="703"/>
      <c r="J263" s="703"/>
      <c r="K263" s="703"/>
      <c r="L263" s="703"/>
      <c r="M263" s="703"/>
      <c r="N263" s="703"/>
      <c r="O263" s="703"/>
      <c r="P263" s="703"/>
      <c r="Q263" s="703"/>
      <c r="R263" s="703"/>
      <c r="S263" s="703"/>
      <c r="T263" s="703"/>
      <c r="U263" s="703"/>
      <c r="V263" s="703"/>
      <c r="W263" s="703"/>
      <c r="X263" s="703"/>
      <c r="Y263" s="703"/>
      <c r="Z263" s="703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704">
        <v>4680115882935</v>
      </c>
      <c r="E264" s="70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84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6"/>
      <c r="R264" s="706"/>
      <c r="S264" s="706"/>
      <c r="T264" s="70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704">
        <v>4680115880764</v>
      </c>
      <c r="E265" s="70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8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12"/>
      <c r="B266" s="712"/>
      <c r="C266" s="712"/>
      <c r="D266" s="712"/>
      <c r="E266" s="712"/>
      <c r="F266" s="712"/>
      <c r="G266" s="712"/>
      <c r="H266" s="712"/>
      <c r="I266" s="712"/>
      <c r="J266" s="712"/>
      <c r="K266" s="712"/>
      <c r="L266" s="712"/>
      <c r="M266" s="712"/>
      <c r="N266" s="712"/>
      <c r="O266" s="713"/>
      <c r="P266" s="709" t="s">
        <v>40</v>
      </c>
      <c r="Q266" s="710"/>
      <c r="R266" s="710"/>
      <c r="S266" s="710"/>
      <c r="T266" s="710"/>
      <c r="U266" s="710"/>
      <c r="V266" s="711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12"/>
      <c r="B267" s="712"/>
      <c r="C267" s="712"/>
      <c r="D267" s="712"/>
      <c r="E267" s="712"/>
      <c r="F267" s="712"/>
      <c r="G267" s="712"/>
      <c r="H267" s="712"/>
      <c r="I267" s="712"/>
      <c r="J267" s="712"/>
      <c r="K267" s="712"/>
      <c r="L267" s="712"/>
      <c r="M267" s="712"/>
      <c r="N267" s="712"/>
      <c r="O267" s="713"/>
      <c r="P267" s="709" t="s">
        <v>40</v>
      </c>
      <c r="Q267" s="710"/>
      <c r="R267" s="710"/>
      <c r="S267" s="710"/>
      <c r="T267" s="710"/>
      <c r="U267" s="710"/>
      <c r="V267" s="711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03" t="s">
        <v>76</v>
      </c>
      <c r="B268" s="703"/>
      <c r="C268" s="703"/>
      <c r="D268" s="703"/>
      <c r="E268" s="703"/>
      <c r="F268" s="703"/>
      <c r="G268" s="703"/>
      <c r="H268" s="703"/>
      <c r="I268" s="703"/>
      <c r="J268" s="703"/>
      <c r="K268" s="703"/>
      <c r="L268" s="703"/>
      <c r="M268" s="703"/>
      <c r="N268" s="703"/>
      <c r="O268" s="703"/>
      <c r="P268" s="703"/>
      <c r="Q268" s="703"/>
      <c r="R268" s="703"/>
      <c r="S268" s="703"/>
      <c r="T268" s="703"/>
      <c r="U268" s="703"/>
      <c r="V268" s="703"/>
      <c r="W268" s="703"/>
      <c r="X268" s="703"/>
      <c r="Y268" s="703"/>
      <c r="Z268" s="703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704">
        <v>4680115882683</v>
      </c>
      <c r="E269" s="70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84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704">
        <v>4680115882690</v>
      </c>
      <c r="E270" s="70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8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704">
        <v>4680115882669</v>
      </c>
      <c r="E271" s="70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84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704">
        <v>4680115882676</v>
      </c>
      <c r="E272" s="70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8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704">
        <v>4680115884014</v>
      </c>
      <c r="E273" s="70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6"/>
      <c r="R273" s="706"/>
      <c r="S273" s="706"/>
      <c r="T273" s="70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704">
        <v>4680115884007</v>
      </c>
      <c r="E274" s="70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4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6"/>
      <c r="R274" s="706"/>
      <c r="S274" s="706"/>
      <c r="T274" s="70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704">
        <v>4680115884038</v>
      </c>
      <c r="E275" s="70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6"/>
      <c r="R275" s="706"/>
      <c r="S275" s="706"/>
      <c r="T275" s="70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704">
        <v>4680115884021</v>
      </c>
      <c r="E276" s="70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712"/>
      <c r="B277" s="712"/>
      <c r="C277" s="712"/>
      <c r="D277" s="712"/>
      <c r="E277" s="712"/>
      <c r="F277" s="712"/>
      <c r="G277" s="712"/>
      <c r="H277" s="712"/>
      <c r="I277" s="712"/>
      <c r="J277" s="712"/>
      <c r="K277" s="712"/>
      <c r="L277" s="712"/>
      <c r="M277" s="712"/>
      <c r="N277" s="712"/>
      <c r="O277" s="713"/>
      <c r="P277" s="709" t="s">
        <v>40</v>
      </c>
      <c r="Q277" s="710"/>
      <c r="R277" s="710"/>
      <c r="S277" s="710"/>
      <c r="T277" s="710"/>
      <c r="U277" s="710"/>
      <c r="V277" s="711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712"/>
      <c r="B278" s="712"/>
      <c r="C278" s="712"/>
      <c r="D278" s="712"/>
      <c r="E278" s="712"/>
      <c r="F278" s="712"/>
      <c r="G278" s="712"/>
      <c r="H278" s="712"/>
      <c r="I278" s="712"/>
      <c r="J278" s="712"/>
      <c r="K278" s="712"/>
      <c r="L278" s="712"/>
      <c r="M278" s="712"/>
      <c r="N278" s="712"/>
      <c r="O278" s="713"/>
      <c r="P278" s="709" t="s">
        <v>40</v>
      </c>
      <c r="Q278" s="710"/>
      <c r="R278" s="710"/>
      <c r="S278" s="710"/>
      <c r="T278" s="710"/>
      <c r="U278" s="710"/>
      <c r="V278" s="711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703" t="s">
        <v>85</v>
      </c>
      <c r="B279" s="703"/>
      <c r="C279" s="703"/>
      <c r="D279" s="703"/>
      <c r="E279" s="703"/>
      <c r="F279" s="703"/>
      <c r="G279" s="703"/>
      <c r="H279" s="703"/>
      <c r="I279" s="703"/>
      <c r="J279" s="703"/>
      <c r="K279" s="703"/>
      <c r="L279" s="703"/>
      <c r="M279" s="703"/>
      <c r="N279" s="703"/>
      <c r="O279" s="703"/>
      <c r="P279" s="703"/>
      <c r="Q279" s="703"/>
      <c r="R279" s="703"/>
      <c r="S279" s="703"/>
      <c r="T279" s="703"/>
      <c r="U279" s="703"/>
      <c r="V279" s="703"/>
      <c r="W279" s="703"/>
      <c r="X279" s="703"/>
      <c r="Y279" s="703"/>
      <c r="Z279" s="703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704">
        <v>4680115881594</v>
      </c>
      <c r="E280" s="70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85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704">
        <v>4680115881617</v>
      </c>
      <c r="E281" s="70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8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704">
        <v>4680115880573</v>
      </c>
      <c r="E282" s="70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8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704">
        <v>4680115882195</v>
      </c>
      <c r="E283" s="70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704">
        <v>4680115882607</v>
      </c>
      <c r="E284" s="70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704">
        <v>4680115882607</v>
      </c>
      <c r="E285" s="70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85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704">
        <v>4680115880092</v>
      </c>
      <c r="E286" s="70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8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704">
        <v>4680115889064</v>
      </c>
      <c r="E287" s="70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85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704">
        <v>4680115880221</v>
      </c>
      <c r="E288" s="70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6"/>
      <c r="R288" s="706"/>
      <c r="S288" s="706"/>
      <c r="T288" s="70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704">
        <v>4680115880504</v>
      </c>
      <c r="E289" s="70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86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6"/>
      <c r="R289" s="706"/>
      <c r="S289" s="706"/>
      <c r="T289" s="70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704">
        <v>4680115882164</v>
      </c>
      <c r="E290" s="70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86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6"/>
      <c r="R290" s="706"/>
      <c r="S290" s="706"/>
      <c r="T290" s="70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704">
        <v>4680115888340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6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712"/>
      <c r="B292" s="712"/>
      <c r="C292" s="712"/>
      <c r="D292" s="712"/>
      <c r="E292" s="712"/>
      <c r="F292" s="712"/>
      <c r="G292" s="712"/>
      <c r="H292" s="712"/>
      <c r="I292" s="712"/>
      <c r="J292" s="712"/>
      <c r="K292" s="712"/>
      <c r="L292" s="712"/>
      <c r="M292" s="712"/>
      <c r="N292" s="712"/>
      <c r="O292" s="713"/>
      <c r="P292" s="709" t="s">
        <v>40</v>
      </c>
      <c r="Q292" s="710"/>
      <c r="R292" s="710"/>
      <c r="S292" s="710"/>
      <c r="T292" s="710"/>
      <c r="U292" s="710"/>
      <c r="V292" s="711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703" t="s">
        <v>180</v>
      </c>
      <c r="B294" s="703"/>
      <c r="C294" s="703"/>
      <c r="D294" s="703"/>
      <c r="E294" s="703"/>
      <c r="F294" s="703"/>
      <c r="G294" s="703"/>
      <c r="H294" s="703"/>
      <c r="I294" s="703"/>
      <c r="J294" s="703"/>
      <c r="K294" s="703"/>
      <c r="L294" s="703"/>
      <c r="M294" s="703"/>
      <c r="N294" s="703"/>
      <c r="O294" s="703"/>
      <c r="P294" s="703"/>
      <c r="Q294" s="703"/>
      <c r="R294" s="703"/>
      <c r="S294" s="703"/>
      <c r="T294" s="703"/>
      <c r="U294" s="703"/>
      <c r="V294" s="703"/>
      <c r="W294" s="703"/>
      <c r="X294" s="703"/>
      <c r="Y294" s="703"/>
      <c r="Z294" s="703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704">
        <v>4680115880818</v>
      </c>
      <c r="E295" s="70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6"/>
      <c r="R295" s="706"/>
      <c r="S295" s="706"/>
      <c r="T295" s="70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704">
        <v>4680115880801</v>
      </c>
      <c r="E296" s="70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6"/>
      <c r="R296" s="706"/>
      <c r="S296" s="706"/>
      <c r="T296" s="70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12"/>
      <c r="B297" s="712"/>
      <c r="C297" s="712"/>
      <c r="D297" s="712"/>
      <c r="E297" s="712"/>
      <c r="F297" s="712"/>
      <c r="G297" s="712"/>
      <c r="H297" s="712"/>
      <c r="I297" s="712"/>
      <c r="J297" s="712"/>
      <c r="K297" s="712"/>
      <c r="L297" s="712"/>
      <c r="M297" s="712"/>
      <c r="N297" s="712"/>
      <c r="O297" s="713"/>
      <c r="P297" s="709" t="s">
        <v>40</v>
      </c>
      <c r="Q297" s="710"/>
      <c r="R297" s="710"/>
      <c r="S297" s="710"/>
      <c r="T297" s="710"/>
      <c r="U297" s="710"/>
      <c r="V297" s="711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12"/>
      <c r="B298" s="712"/>
      <c r="C298" s="712"/>
      <c r="D298" s="712"/>
      <c r="E298" s="712"/>
      <c r="F298" s="712"/>
      <c r="G298" s="712"/>
      <c r="H298" s="712"/>
      <c r="I298" s="712"/>
      <c r="J298" s="712"/>
      <c r="K298" s="712"/>
      <c r="L298" s="712"/>
      <c r="M298" s="712"/>
      <c r="N298" s="712"/>
      <c r="O298" s="713"/>
      <c r="P298" s="709" t="s">
        <v>40</v>
      </c>
      <c r="Q298" s="710"/>
      <c r="R298" s="710"/>
      <c r="S298" s="710"/>
      <c r="T298" s="710"/>
      <c r="U298" s="710"/>
      <c r="V298" s="711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02" t="s">
        <v>514</v>
      </c>
      <c r="B299" s="702"/>
      <c r="C299" s="702"/>
      <c r="D299" s="702"/>
      <c r="E299" s="702"/>
      <c r="F299" s="702"/>
      <c r="G299" s="702"/>
      <c r="H299" s="702"/>
      <c r="I299" s="702"/>
      <c r="J299" s="702"/>
      <c r="K299" s="702"/>
      <c r="L299" s="702"/>
      <c r="M299" s="702"/>
      <c r="N299" s="702"/>
      <c r="O299" s="702"/>
      <c r="P299" s="702"/>
      <c r="Q299" s="702"/>
      <c r="R299" s="702"/>
      <c r="S299" s="702"/>
      <c r="T299" s="702"/>
      <c r="U299" s="702"/>
      <c r="V299" s="702"/>
      <c r="W299" s="702"/>
      <c r="X299" s="702"/>
      <c r="Y299" s="702"/>
      <c r="Z299" s="702"/>
      <c r="AA299" s="62"/>
      <c r="AB299" s="62"/>
      <c r="AC299" s="62"/>
    </row>
    <row r="300" spans="1:68" ht="14.25" hidden="1" customHeight="1" x14ac:dyDescent="0.25">
      <c r="A300" s="703" t="s">
        <v>127</v>
      </c>
      <c r="B300" s="703"/>
      <c r="C300" s="703"/>
      <c r="D300" s="703"/>
      <c r="E300" s="703"/>
      <c r="F300" s="703"/>
      <c r="G300" s="703"/>
      <c r="H300" s="703"/>
      <c r="I300" s="703"/>
      <c r="J300" s="703"/>
      <c r="K300" s="703"/>
      <c r="L300" s="703"/>
      <c r="M300" s="703"/>
      <c r="N300" s="703"/>
      <c r="O300" s="703"/>
      <c r="P300" s="703"/>
      <c r="Q300" s="703"/>
      <c r="R300" s="703"/>
      <c r="S300" s="703"/>
      <c r="T300" s="703"/>
      <c r="U300" s="703"/>
      <c r="V300" s="703"/>
      <c r="W300" s="703"/>
      <c r="X300" s="703"/>
      <c r="Y300" s="703"/>
      <c r="Z300" s="703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704">
        <v>4680115884137</v>
      </c>
      <c r="E301" s="70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704">
        <v>4680115884236</v>
      </c>
      <c r="E302" s="70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8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704">
        <v>4680115884175</v>
      </c>
      <c r="E303" s="70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8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704">
        <v>4680115884144</v>
      </c>
      <c r="E304" s="70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6"/>
      <c r="R304" s="706"/>
      <c r="S304" s="706"/>
      <c r="T304" s="70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704">
        <v>4680115886551</v>
      </c>
      <c r="E305" s="70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86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6"/>
      <c r="R305" s="706"/>
      <c r="S305" s="706"/>
      <c r="T305" s="70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704">
        <v>4680115887282</v>
      </c>
      <c r="E306" s="70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87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6"/>
      <c r="R306" s="706"/>
      <c r="S306" s="706"/>
      <c r="T306" s="70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704">
        <v>4680115884205</v>
      </c>
      <c r="E307" s="70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87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03" t="s">
        <v>163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704">
        <v>4680115885981</v>
      </c>
      <c r="E311" s="70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8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3" t="s">
        <v>536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704">
        <v>4680115886803</v>
      </c>
      <c r="E315" s="70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8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12"/>
      <c r="B316" s="712"/>
      <c r="C316" s="712"/>
      <c r="D316" s="712"/>
      <c r="E316" s="712"/>
      <c r="F316" s="712"/>
      <c r="G316" s="712"/>
      <c r="H316" s="712"/>
      <c r="I316" s="712"/>
      <c r="J316" s="712"/>
      <c r="K316" s="712"/>
      <c r="L316" s="712"/>
      <c r="M316" s="712"/>
      <c r="N316" s="712"/>
      <c r="O316" s="713"/>
      <c r="P316" s="709" t="s">
        <v>40</v>
      </c>
      <c r="Q316" s="710"/>
      <c r="R316" s="710"/>
      <c r="S316" s="710"/>
      <c r="T316" s="710"/>
      <c r="U316" s="710"/>
      <c r="V316" s="711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12"/>
      <c r="B317" s="712"/>
      <c r="C317" s="712"/>
      <c r="D317" s="712"/>
      <c r="E317" s="712"/>
      <c r="F317" s="712"/>
      <c r="G317" s="712"/>
      <c r="H317" s="712"/>
      <c r="I317" s="712"/>
      <c r="J317" s="712"/>
      <c r="K317" s="712"/>
      <c r="L317" s="712"/>
      <c r="M317" s="712"/>
      <c r="N317" s="712"/>
      <c r="O317" s="713"/>
      <c r="P317" s="709" t="s">
        <v>40</v>
      </c>
      <c r="Q317" s="710"/>
      <c r="R317" s="710"/>
      <c r="S317" s="710"/>
      <c r="T317" s="710"/>
      <c r="U317" s="710"/>
      <c r="V317" s="711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03" t="s">
        <v>353</v>
      </c>
      <c r="B318" s="703"/>
      <c r="C318" s="703"/>
      <c r="D318" s="703"/>
      <c r="E318" s="703"/>
      <c r="F318" s="703"/>
      <c r="G318" s="703"/>
      <c r="H318" s="703"/>
      <c r="I318" s="703"/>
      <c r="J318" s="703"/>
      <c r="K318" s="703"/>
      <c r="L318" s="703"/>
      <c r="M318" s="703"/>
      <c r="N318" s="703"/>
      <c r="O318" s="703"/>
      <c r="P318" s="703"/>
      <c r="Q318" s="703"/>
      <c r="R318" s="703"/>
      <c r="S318" s="703"/>
      <c r="T318" s="703"/>
      <c r="U318" s="703"/>
      <c r="V318" s="703"/>
      <c r="W318" s="703"/>
      <c r="X318" s="703"/>
      <c r="Y318" s="703"/>
      <c r="Z318" s="703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704">
        <v>4680115886704</v>
      </c>
      <c r="E319" s="70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8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6"/>
      <c r="R319" s="706"/>
      <c r="S319" s="706"/>
      <c r="T319" s="70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704">
        <v>4680115886681</v>
      </c>
      <c r="E320" s="70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8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6"/>
      <c r="R320" s="706"/>
      <c r="S320" s="706"/>
      <c r="T320" s="70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704">
        <v>4680115886735</v>
      </c>
      <c r="E321" s="70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87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6"/>
      <c r="R321" s="706"/>
      <c r="S321" s="706"/>
      <c r="T321" s="70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12"/>
      <c r="B322" s="712"/>
      <c r="C322" s="712"/>
      <c r="D322" s="712"/>
      <c r="E322" s="712"/>
      <c r="F322" s="712"/>
      <c r="G322" s="712"/>
      <c r="H322" s="712"/>
      <c r="I322" s="712"/>
      <c r="J322" s="712"/>
      <c r="K322" s="712"/>
      <c r="L322" s="712"/>
      <c r="M322" s="712"/>
      <c r="N322" s="712"/>
      <c r="O322" s="713"/>
      <c r="P322" s="709" t="s">
        <v>40</v>
      </c>
      <c r="Q322" s="710"/>
      <c r="R322" s="710"/>
      <c r="S322" s="710"/>
      <c r="T322" s="710"/>
      <c r="U322" s="710"/>
      <c r="V322" s="711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12"/>
      <c r="B323" s="712"/>
      <c r="C323" s="712"/>
      <c r="D323" s="712"/>
      <c r="E323" s="712"/>
      <c r="F323" s="712"/>
      <c r="G323" s="712"/>
      <c r="H323" s="712"/>
      <c r="I323" s="712"/>
      <c r="J323" s="712"/>
      <c r="K323" s="712"/>
      <c r="L323" s="712"/>
      <c r="M323" s="712"/>
      <c r="N323" s="712"/>
      <c r="O323" s="713"/>
      <c r="P323" s="709" t="s">
        <v>40</v>
      </c>
      <c r="Q323" s="710"/>
      <c r="R323" s="710"/>
      <c r="S323" s="710"/>
      <c r="T323" s="710"/>
      <c r="U323" s="710"/>
      <c r="V323" s="711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02" t="s">
        <v>547</v>
      </c>
      <c r="B324" s="702"/>
      <c r="C324" s="702"/>
      <c r="D324" s="702"/>
      <c r="E324" s="702"/>
      <c r="F324" s="702"/>
      <c r="G324" s="702"/>
      <c r="H324" s="702"/>
      <c r="I324" s="702"/>
      <c r="J324" s="702"/>
      <c r="K324" s="702"/>
      <c r="L324" s="702"/>
      <c r="M324" s="702"/>
      <c r="N324" s="702"/>
      <c r="O324" s="702"/>
      <c r="P324" s="702"/>
      <c r="Q324" s="702"/>
      <c r="R324" s="702"/>
      <c r="S324" s="702"/>
      <c r="T324" s="702"/>
      <c r="U324" s="702"/>
      <c r="V324" s="702"/>
      <c r="W324" s="702"/>
      <c r="X324" s="702"/>
      <c r="Y324" s="702"/>
      <c r="Z324" s="702"/>
      <c r="AA324" s="62"/>
      <c r="AB324" s="62"/>
      <c r="AC324" s="62"/>
    </row>
    <row r="325" spans="1:68" ht="14.25" hidden="1" customHeight="1" x14ac:dyDescent="0.25">
      <c r="A325" s="703" t="s">
        <v>127</v>
      </c>
      <c r="B325" s="703"/>
      <c r="C325" s="703"/>
      <c r="D325" s="703"/>
      <c r="E325" s="703"/>
      <c r="F325" s="703"/>
      <c r="G325" s="703"/>
      <c r="H325" s="703"/>
      <c r="I325" s="703"/>
      <c r="J325" s="703"/>
      <c r="K325" s="703"/>
      <c r="L325" s="703"/>
      <c r="M325" s="703"/>
      <c r="N325" s="703"/>
      <c r="O325" s="703"/>
      <c r="P325" s="703"/>
      <c r="Q325" s="703"/>
      <c r="R325" s="703"/>
      <c r="S325" s="703"/>
      <c r="T325" s="703"/>
      <c r="U325" s="703"/>
      <c r="V325" s="703"/>
      <c r="W325" s="703"/>
      <c r="X325" s="703"/>
      <c r="Y325" s="703"/>
      <c r="Z325" s="703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704">
        <v>4680115885837</v>
      </c>
      <c r="E326" s="70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8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704">
        <v>4680115887237</v>
      </c>
      <c r="E327" s="70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8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6"/>
      <c r="R327" s="706"/>
      <c r="S327" s="706"/>
      <c r="T327" s="70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704">
        <v>4680115885806</v>
      </c>
      <c r="E328" s="70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8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6"/>
      <c r="R328" s="706"/>
      <c r="S328" s="706"/>
      <c r="T328" s="70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704">
        <v>4680115885844</v>
      </c>
      <c r="E329" s="70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8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6"/>
      <c r="R329" s="706"/>
      <c r="S329" s="706"/>
      <c r="T329" s="70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704">
        <v>4680115885820</v>
      </c>
      <c r="E330" s="70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88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6"/>
      <c r="R330" s="706"/>
      <c r="S330" s="706"/>
      <c r="T330" s="70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12"/>
      <c r="B331" s="712"/>
      <c r="C331" s="712"/>
      <c r="D331" s="712"/>
      <c r="E331" s="712"/>
      <c r="F331" s="712"/>
      <c r="G331" s="712"/>
      <c r="H331" s="712"/>
      <c r="I331" s="712"/>
      <c r="J331" s="712"/>
      <c r="K331" s="712"/>
      <c r="L331" s="712"/>
      <c r="M331" s="712"/>
      <c r="N331" s="712"/>
      <c r="O331" s="713"/>
      <c r="P331" s="709" t="s">
        <v>40</v>
      </c>
      <c r="Q331" s="710"/>
      <c r="R331" s="710"/>
      <c r="S331" s="710"/>
      <c r="T331" s="710"/>
      <c r="U331" s="710"/>
      <c r="V331" s="711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12"/>
      <c r="B332" s="712"/>
      <c r="C332" s="712"/>
      <c r="D332" s="712"/>
      <c r="E332" s="712"/>
      <c r="F332" s="712"/>
      <c r="G332" s="712"/>
      <c r="H332" s="712"/>
      <c r="I332" s="712"/>
      <c r="J332" s="712"/>
      <c r="K332" s="712"/>
      <c r="L332" s="712"/>
      <c r="M332" s="712"/>
      <c r="N332" s="712"/>
      <c r="O332" s="713"/>
      <c r="P332" s="709" t="s">
        <v>40</v>
      </c>
      <c r="Q332" s="710"/>
      <c r="R332" s="710"/>
      <c r="S332" s="710"/>
      <c r="T332" s="710"/>
      <c r="U332" s="710"/>
      <c r="V332" s="711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02" t="s">
        <v>563</v>
      </c>
      <c r="B333" s="702"/>
      <c r="C333" s="702"/>
      <c r="D333" s="702"/>
      <c r="E333" s="702"/>
      <c r="F333" s="702"/>
      <c r="G333" s="702"/>
      <c r="H333" s="702"/>
      <c r="I333" s="702"/>
      <c r="J333" s="702"/>
      <c r="K333" s="702"/>
      <c r="L333" s="702"/>
      <c r="M333" s="702"/>
      <c r="N333" s="702"/>
      <c r="O333" s="702"/>
      <c r="P333" s="702"/>
      <c r="Q333" s="702"/>
      <c r="R333" s="702"/>
      <c r="S333" s="702"/>
      <c r="T333" s="702"/>
      <c r="U333" s="702"/>
      <c r="V333" s="702"/>
      <c r="W333" s="702"/>
      <c r="X333" s="702"/>
      <c r="Y333" s="702"/>
      <c r="Z333" s="702"/>
      <c r="AA333" s="62"/>
      <c r="AB333" s="62"/>
      <c r="AC333" s="62"/>
    </row>
    <row r="334" spans="1:68" ht="14.25" hidden="1" customHeight="1" x14ac:dyDescent="0.25">
      <c r="A334" s="703" t="s">
        <v>85</v>
      </c>
      <c r="B334" s="703"/>
      <c r="C334" s="703"/>
      <c r="D334" s="703"/>
      <c r="E334" s="703"/>
      <c r="F334" s="703"/>
      <c r="G334" s="703"/>
      <c r="H334" s="703"/>
      <c r="I334" s="703"/>
      <c r="J334" s="703"/>
      <c r="K334" s="703"/>
      <c r="L334" s="703"/>
      <c r="M334" s="703"/>
      <c r="N334" s="703"/>
      <c r="O334" s="703"/>
      <c r="P334" s="703"/>
      <c r="Q334" s="703"/>
      <c r="R334" s="703"/>
      <c r="S334" s="703"/>
      <c r="T334" s="703"/>
      <c r="U334" s="703"/>
      <c r="V334" s="703"/>
      <c r="W334" s="703"/>
      <c r="X334" s="703"/>
      <c r="Y334" s="703"/>
      <c r="Z334" s="703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704">
        <v>4680115886186</v>
      </c>
      <c r="E335" s="70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6"/>
      <c r="R335" s="706"/>
      <c r="S335" s="706"/>
      <c r="T335" s="70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704">
        <v>4680115881228</v>
      </c>
      <c r="E336" s="70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8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6"/>
      <c r="R336" s="706"/>
      <c r="S336" s="706"/>
      <c r="T336" s="70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704">
        <v>4680115881211</v>
      </c>
      <c r="E337" s="70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8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6"/>
      <c r="R337" s="706"/>
      <c r="S337" s="706"/>
      <c r="T337" s="70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12"/>
      <c r="B338" s="712"/>
      <c r="C338" s="712"/>
      <c r="D338" s="712"/>
      <c r="E338" s="712"/>
      <c r="F338" s="712"/>
      <c r="G338" s="712"/>
      <c r="H338" s="712"/>
      <c r="I338" s="712"/>
      <c r="J338" s="712"/>
      <c r="K338" s="712"/>
      <c r="L338" s="712"/>
      <c r="M338" s="712"/>
      <c r="N338" s="712"/>
      <c r="O338" s="713"/>
      <c r="P338" s="709" t="s">
        <v>40</v>
      </c>
      <c r="Q338" s="710"/>
      <c r="R338" s="710"/>
      <c r="S338" s="710"/>
      <c r="T338" s="710"/>
      <c r="U338" s="710"/>
      <c r="V338" s="71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12"/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712"/>
      <c r="O339" s="713"/>
      <c r="P339" s="709" t="s">
        <v>40</v>
      </c>
      <c r="Q339" s="710"/>
      <c r="R339" s="710"/>
      <c r="S339" s="710"/>
      <c r="T339" s="710"/>
      <c r="U339" s="710"/>
      <c r="V339" s="71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02" t="s">
        <v>572</v>
      </c>
      <c r="B340" s="702"/>
      <c r="C340" s="702"/>
      <c r="D340" s="702"/>
      <c r="E340" s="702"/>
      <c r="F340" s="702"/>
      <c r="G340" s="702"/>
      <c r="H340" s="702"/>
      <c r="I340" s="702"/>
      <c r="J340" s="702"/>
      <c r="K340" s="702"/>
      <c r="L340" s="702"/>
      <c r="M340" s="702"/>
      <c r="N340" s="702"/>
      <c r="O340" s="702"/>
      <c r="P340" s="702"/>
      <c r="Q340" s="702"/>
      <c r="R340" s="702"/>
      <c r="S340" s="702"/>
      <c r="T340" s="702"/>
      <c r="U340" s="702"/>
      <c r="V340" s="702"/>
      <c r="W340" s="702"/>
      <c r="X340" s="702"/>
      <c r="Y340" s="702"/>
      <c r="Z340" s="702"/>
      <c r="AA340" s="62"/>
      <c r="AB340" s="62"/>
      <c r="AC340" s="62"/>
    </row>
    <row r="341" spans="1:68" ht="14.25" hidden="1" customHeight="1" x14ac:dyDescent="0.25">
      <c r="A341" s="703" t="s">
        <v>76</v>
      </c>
      <c r="B341" s="703"/>
      <c r="C341" s="703"/>
      <c r="D341" s="703"/>
      <c r="E341" s="703"/>
      <c r="F341" s="703"/>
      <c r="G341" s="703"/>
      <c r="H341" s="703"/>
      <c r="I341" s="703"/>
      <c r="J341" s="703"/>
      <c r="K341" s="703"/>
      <c r="L341" s="703"/>
      <c r="M341" s="703"/>
      <c r="N341" s="703"/>
      <c r="O341" s="703"/>
      <c r="P341" s="703"/>
      <c r="Q341" s="703"/>
      <c r="R341" s="703"/>
      <c r="S341" s="703"/>
      <c r="T341" s="703"/>
      <c r="U341" s="703"/>
      <c r="V341" s="703"/>
      <c r="W341" s="703"/>
      <c r="X341" s="703"/>
      <c r="Y341" s="703"/>
      <c r="Z341" s="703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704">
        <v>4680115888319</v>
      </c>
      <c r="E342" s="70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8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704">
        <v>4680115884700</v>
      </c>
      <c r="E343" s="70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6"/>
      <c r="R343" s="706"/>
      <c r="S343" s="706"/>
      <c r="T343" s="70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704">
        <v>4680115880344</v>
      </c>
      <c r="E344" s="70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6"/>
      <c r="R344" s="706"/>
      <c r="S344" s="706"/>
      <c r="T344" s="70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704">
        <v>4680115886919</v>
      </c>
      <c r="E345" s="70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88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6"/>
      <c r="R345" s="706"/>
      <c r="S345" s="706"/>
      <c r="T345" s="70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704">
        <v>4680115883970</v>
      </c>
      <c r="E346" s="70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88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12"/>
      <c r="B347" s="712"/>
      <c r="C347" s="712"/>
      <c r="D347" s="712"/>
      <c r="E347" s="712"/>
      <c r="F347" s="712"/>
      <c r="G347" s="712"/>
      <c r="H347" s="712"/>
      <c r="I347" s="712"/>
      <c r="J347" s="712"/>
      <c r="K347" s="712"/>
      <c r="L347" s="712"/>
      <c r="M347" s="712"/>
      <c r="N347" s="712"/>
      <c r="O347" s="713"/>
      <c r="P347" s="709" t="s">
        <v>40</v>
      </c>
      <c r="Q347" s="710"/>
      <c r="R347" s="710"/>
      <c r="S347" s="710"/>
      <c r="T347" s="710"/>
      <c r="U347" s="710"/>
      <c r="V347" s="711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03" t="s">
        <v>85</v>
      </c>
      <c r="B349" s="703"/>
      <c r="C349" s="703"/>
      <c r="D349" s="703"/>
      <c r="E349" s="703"/>
      <c r="F349" s="703"/>
      <c r="G349" s="703"/>
      <c r="H349" s="703"/>
      <c r="I349" s="703"/>
      <c r="J349" s="703"/>
      <c r="K349" s="703"/>
      <c r="L349" s="703"/>
      <c r="M349" s="703"/>
      <c r="N349" s="703"/>
      <c r="O349" s="703"/>
      <c r="P349" s="703"/>
      <c r="Q349" s="703"/>
      <c r="R349" s="703"/>
      <c r="S349" s="703"/>
      <c r="T349" s="703"/>
      <c r="U349" s="703"/>
      <c r="V349" s="703"/>
      <c r="W349" s="703"/>
      <c r="X349" s="703"/>
      <c r="Y349" s="703"/>
      <c r="Z349" s="703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704">
        <v>4680115884618</v>
      </c>
      <c r="E350" s="70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8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6"/>
      <c r="R350" s="706"/>
      <c r="S350" s="706"/>
      <c r="T350" s="70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704">
        <v>4680115887114</v>
      </c>
      <c r="E351" s="70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89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6"/>
      <c r="R351" s="706"/>
      <c r="S351" s="706"/>
      <c r="T351" s="70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12"/>
      <c r="B352" s="712"/>
      <c r="C352" s="712"/>
      <c r="D352" s="712"/>
      <c r="E352" s="712"/>
      <c r="F352" s="712"/>
      <c r="G352" s="712"/>
      <c r="H352" s="712"/>
      <c r="I352" s="712"/>
      <c r="J352" s="712"/>
      <c r="K352" s="712"/>
      <c r="L352" s="712"/>
      <c r="M352" s="712"/>
      <c r="N352" s="712"/>
      <c r="O352" s="713"/>
      <c r="P352" s="709" t="s">
        <v>40</v>
      </c>
      <c r="Q352" s="710"/>
      <c r="R352" s="710"/>
      <c r="S352" s="710"/>
      <c r="T352" s="710"/>
      <c r="U352" s="710"/>
      <c r="V352" s="711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12"/>
      <c r="B353" s="712"/>
      <c r="C353" s="712"/>
      <c r="D353" s="712"/>
      <c r="E353" s="712"/>
      <c r="F353" s="712"/>
      <c r="G353" s="712"/>
      <c r="H353" s="712"/>
      <c r="I353" s="712"/>
      <c r="J353" s="712"/>
      <c r="K353" s="712"/>
      <c r="L353" s="712"/>
      <c r="M353" s="712"/>
      <c r="N353" s="712"/>
      <c r="O353" s="713"/>
      <c r="P353" s="709" t="s">
        <v>40</v>
      </c>
      <c r="Q353" s="710"/>
      <c r="R353" s="710"/>
      <c r="S353" s="710"/>
      <c r="T353" s="710"/>
      <c r="U353" s="710"/>
      <c r="V353" s="711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02" t="s">
        <v>593</v>
      </c>
      <c r="B354" s="702"/>
      <c r="C354" s="702"/>
      <c r="D354" s="702"/>
      <c r="E354" s="702"/>
      <c r="F354" s="702"/>
      <c r="G354" s="702"/>
      <c r="H354" s="702"/>
      <c r="I354" s="702"/>
      <c r="J354" s="702"/>
      <c r="K354" s="702"/>
      <c r="L354" s="702"/>
      <c r="M354" s="702"/>
      <c r="N354" s="702"/>
      <c r="O354" s="702"/>
      <c r="P354" s="702"/>
      <c r="Q354" s="702"/>
      <c r="R354" s="702"/>
      <c r="S354" s="702"/>
      <c r="T354" s="702"/>
      <c r="U354" s="702"/>
      <c r="V354" s="702"/>
      <c r="W354" s="702"/>
      <c r="X354" s="702"/>
      <c r="Y354" s="702"/>
      <c r="Z354" s="702"/>
      <c r="AA354" s="62"/>
      <c r="AB354" s="62"/>
      <c r="AC354" s="62"/>
    </row>
    <row r="355" spans="1:68" ht="14.25" hidden="1" customHeight="1" x14ac:dyDescent="0.25">
      <c r="A355" s="703" t="s">
        <v>127</v>
      </c>
      <c r="B355" s="703"/>
      <c r="C355" s="703"/>
      <c r="D355" s="703"/>
      <c r="E355" s="703"/>
      <c r="F355" s="703"/>
      <c r="G355" s="703"/>
      <c r="H355" s="703"/>
      <c r="I355" s="703"/>
      <c r="J355" s="703"/>
      <c r="K355" s="703"/>
      <c r="L355" s="703"/>
      <c r="M355" s="703"/>
      <c r="N355" s="703"/>
      <c r="O355" s="703"/>
      <c r="P355" s="703"/>
      <c r="Q355" s="703"/>
      <c r="R355" s="703"/>
      <c r="S355" s="703"/>
      <c r="T355" s="703"/>
      <c r="U355" s="703"/>
      <c r="V355" s="703"/>
      <c r="W355" s="703"/>
      <c r="X355" s="703"/>
      <c r="Y355" s="703"/>
      <c r="Z355" s="703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704">
        <v>4680115887947</v>
      </c>
      <c r="E356" s="70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89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6"/>
      <c r="R356" s="706"/>
      <c r="S356" s="706"/>
      <c r="T356" s="70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704">
        <v>4680115887978</v>
      </c>
      <c r="E357" s="70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89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6"/>
      <c r="R357" s="706"/>
      <c r="S357" s="706"/>
      <c r="T357" s="70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704">
        <v>4680115887992</v>
      </c>
      <c r="E358" s="70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89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6"/>
      <c r="R358" s="706"/>
      <c r="S358" s="706"/>
      <c r="T358" s="70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12"/>
      <c r="B359" s="712"/>
      <c r="C359" s="712"/>
      <c r="D359" s="712"/>
      <c r="E359" s="712"/>
      <c r="F359" s="712"/>
      <c r="G359" s="712"/>
      <c r="H359" s="712"/>
      <c r="I359" s="712"/>
      <c r="J359" s="712"/>
      <c r="K359" s="712"/>
      <c r="L359" s="712"/>
      <c r="M359" s="712"/>
      <c r="N359" s="712"/>
      <c r="O359" s="713"/>
      <c r="P359" s="709" t="s">
        <v>40</v>
      </c>
      <c r="Q359" s="710"/>
      <c r="R359" s="710"/>
      <c r="S359" s="710"/>
      <c r="T359" s="710"/>
      <c r="U359" s="710"/>
      <c r="V359" s="711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12"/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3"/>
      <c r="P360" s="709" t="s">
        <v>40</v>
      </c>
      <c r="Q360" s="710"/>
      <c r="R360" s="710"/>
      <c r="S360" s="710"/>
      <c r="T360" s="710"/>
      <c r="U360" s="710"/>
      <c r="V360" s="711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02" t="s">
        <v>602</v>
      </c>
      <c r="B361" s="702"/>
      <c r="C361" s="702"/>
      <c r="D361" s="702"/>
      <c r="E361" s="702"/>
      <c r="F361" s="702"/>
      <c r="G361" s="702"/>
      <c r="H361" s="702"/>
      <c r="I361" s="702"/>
      <c r="J361" s="702"/>
      <c r="K361" s="702"/>
      <c r="L361" s="702"/>
      <c r="M361" s="702"/>
      <c r="N361" s="702"/>
      <c r="O361" s="702"/>
      <c r="P361" s="702"/>
      <c r="Q361" s="702"/>
      <c r="R361" s="702"/>
      <c r="S361" s="702"/>
      <c r="T361" s="702"/>
      <c r="U361" s="702"/>
      <c r="V361" s="702"/>
      <c r="W361" s="702"/>
      <c r="X361" s="702"/>
      <c r="Y361" s="702"/>
      <c r="Z361" s="702"/>
      <c r="AA361" s="62"/>
      <c r="AB361" s="62"/>
      <c r="AC361" s="62"/>
    </row>
    <row r="362" spans="1:68" ht="14.25" hidden="1" customHeight="1" x14ac:dyDescent="0.25">
      <c r="A362" s="703" t="s">
        <v>127</v>
      </c>
      <c r="B362" s="703"/>
      <c r="C362" s="703"/>
      <c r="D362" s="703"/>
      <c r="E362" s="703"/>
      <c r="F362" s="703"/>
      <c r="G362" s="703"/>
      <c r="H362" s="703"/>
      <c r="I362" s="703"/>
      <c r="J362" s="703"/>
      <c r="K362" s="703"/>
      <c r="L362" s="703"/>
      <c r="M362" s="703"/>
      <c r="N362" s="703"/>
      <c r="O362" s="703"/>
      <c r="P362" s="703"/>
      <c r="Q362" s="703"/>
      <c r="R362" s="703"/>
      <c r="S362" s="703"/>
      <c r="T362" s="703"/>
      <c r="U362" s="703"/>
      <c r="V362" s="703"/>
      <c r="W362" s="703"/>
      <c r="X362" s="703"/>
      <c r="Y362" s="703"/>
      <c r="Z362" s="703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4301012126</v>
      </c>
      <c r="D363" s="704">
        <v>4607091386004</v>
      </c>
      <c r="E363" s="70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89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4301012235</v>
      </c>
      <c r="D364" s="704">
        <v>4680115887190</v>
      </c>
      <c r="E364" s="70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89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06"/>
      <c r="R364" s="706"/>
      <c r="S364" s="706"/>
      <c r="T364" s="70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609</v>
      </c>
      <c r="B365" s="60" t="s">
        <v>610</v>
      </c>
      <c r="C365" s="34">
        <v>4301012233</v>
      </c>
      <c r="D365" s="704">
        <v>4680115887138</v>
      </c>
      <c r="E365" s="70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131</v>
      </c>
      <c r="N365" s="36"/>
      <c r="O365" s="35">
        <v>55</v>
      </c>
      <c r="P365" s="89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06"/>
      <c r="R365" s="706"/>
      <c r="S365" s="706"/>
      <c r="T365" s="70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4301012016</v>
      </c>
      <c r="D366" s="704">
        <v>4680115885554</v>
      </c>
      <c r="E366" s="704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132</v>
      </c>
      <c r="L366" s="35" t="s">
        <v>46</v>
      </c>
      <c r="M366" s="36" t="s">
        <v>89</v>
      </c>
      <c r="N366" s="36"/>
      <c r="O366" s="35">
        <v>55</v>
      </c>
      <c r="P366" s="89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06"/>
      <c r="R366" s="706"/>
      <c r="S366" s="706"/>
      <c r="T366" s="70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66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4301012236</v>
      </c>
      <c r="D367" s="704">
        <v>4680115887220</v>
      </c>
      <c r="E367" s="70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89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4301011859</v>
      </c>
      <c r="D368" s="704">
        <v>4680115885608</v>
      </c>
      <c r="E368" s="704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139</v>
      </c>
      <c r="L368" s="35" t="s">
        <v>46</v>
      </c>
      <c r="M368" s="36" t="s">
        <v>131</v>
      </c>
      <c r="N368" s="36"/>
      <c r="O368" s="35">
        <v>55</v>
      </c>
      <c r="P368" s="9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66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712"/>
      <c r="B369" s="712"/>
      <c r="C369" s="712"/>
      <c r="D369" s="712"/>
      <c r="E369" s="712"/>
      <c r="F369" s="712"/>
      <c r="G369" s="712"/>
      <c r="H369" s="712"/>
      <c r="I369" s="712"/>
      <c r="J369" s="712"/>
      <c r="K369" s="712"/>
      <c r="L369" s="712"/>
      <c r="M369" s="712"/>
      <c r="N369" s="712"/>
      <c r="O369" s="713"/>
      <c r="P369" s="709" t="s">
        <v>40</v>
      </c>
      <c r="Q369" s="710"/>
      <c r="R369" s="710"/>
      <c r="S369" s="710"/>
      <c r="T369" s="710"/>
      <c r="U369" s="710"/>
      <c r="V369" s="711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12"/>
      <c r="B370" s="712"/>
      <c r="C370" s="712"/>
      <c r="D370" s="712"/>
      <c r="E370" s="712"/>
      <c r="F370" s="712"/>
      <c r="G370" s="712"/>
      <c r="H370" s="712"/>
      <c r="I370" s="712"/>
      <c r="J370" s="712"/>
      <c r="K370" s="712"/>
      <c r="L370" s="712"/>
      <c r="M370" s="712"/>
      <c r="N370" s="712"/>
      <c r="O370" s="713"/>
      <c r="P370" s="709" t="s">
        <v>40</v>
      </c>
      <c r="Q370" s="710"/>
      <c r="R370" s="710"/>
      <c r="S370" s="710"/>
      <c r="T370" s="710"/>
      <c r="U370" s="710"/>
      <c r="V370" s="711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03" t="s">
        <v>76</v>
      </c>
      <c r="B371" s="703"/>
      <c r="C371" s="703"/>
      <c r="D371" s="703"/>
      <c r="E371" s="703"/>
      <c r="F371" s="703"/>
      <c r="G371" s="703"/>
      <c r="H371" s="703"/>
      <c r="I371" s="703"/>
      <c r="J371" s="703"/>
      <c r="K371" s="703"/>
      <c r="L371" s="703"/>
      <c r="M371" s="703"/>
      <c r="N371" s="703"/>
      <c r="O371" s="703"/>
      <c r="P371" s="703"/>
      <c r="Q371" s="703"/>
      <c r="R371" s="703"/>
      <c r="S371" s="703"/>
      <c r="T371" s="703"/>
      <c r="U371" s="703"/>
      <c r="V371" s="703"/>
      <c r="W371" s="703"/>
      <c r="X371" s="703"/>
      <c r="Y371" s="703"/>
      <c r="Z371" s="703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4301030878</v>
      </c>
      <c r="D372" s="704">
        <v>4607091387193</v>
      </c>
      <c r="E372" s="70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35</v>
      </c>
      <c r="P372" s="9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4301031153</v>
      </c>
      <c r="D373" s="704">
        <v>4607091387230</v>
      </c>
      <c r="E373" s="704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40</v>
      </c>
      <c r="P373" s="90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4301031154</v>
      </c>
      <c r="D374" s="704">
        <v>4607091387292</v>
      </c>
      <c r="E374" s="70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139</v>
      </c>
      <c r="L374" s="35" t="s">
        <v>46</v>
      </c>
      <c r="M374" s="36" t="s">
        <v>80</v>
      </c>
      <c r="N374" s="36"/>
      <c r="O374" s="35">
        <v>45</v>
      </c>
      <c r="P374" s="90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06"/>
      <c r="R374" s="706"/>
      <c r="S374" s="706"/>
      <c r="T374" s="70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66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4301031152</v>
      </c>
      <c r="D375" s="704">
        <v>4607091387285</v>
      </c>
      <c r="E375" s="704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06"/>
      <c r="R375" s="706"/>
      <c r="S375" s="706"/>
      <c r="T375" s="70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625</v>
      </c>
      <c r="AG375" s="75"/>
      <c r="AJ375" s="79" t="s">
        <v>46</v>
      </c>
      <c r="AK375" s="79">
        <v>0</v>
      </c>
      <c r="BB375" s="466" t="s">
        <v>66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4301031305</v>
      </c>
      <c r="D376" s="704">
        <v>4607091389845</v>
      </c>
      <c r="E376" s="704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90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06"/>
      <c r="R376" s="706"/>
      <c r="S376" s="706"/>
      <c r="T376" s="70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633</v>
      </c>
      <c r="AG376" s="75"/>
      <c r="AJ376" s="79" t="s">
        <v>46</v>
      </c>
      <c r="AK376" s="79">
        <v>0</v>
      </c>
      <c r="BB376" s="468" t="s">
        <v>66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634</v>
      </c>
      <c r="B377" s="60" t="s">
        <v>635</v>
      </c>
      <c r="C377" s="34">
        <v>4301031460</v>
      </c>
      <c r="D377" s="704">
        <v>4680115887442</v>
      </c>
      <c r="E377" s="704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139</v>
      </c>
      <c r="L377" s="35" t="s">
        <v>46</v>
      </c>
      <c r="M377" s="36" t="s">
        <v>80</v>
      </c>
      <c r="N377" s="36"/>
      <c r="O377" s="35">
        <v>45</v>
      </c>
      <c r="P377" s="9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628</v>
      </c>
      <c r="AG377" s="75"/>
      <c r="AJ377" s="79" t="s">
        <v>46</v>
      </c>
      <c r="AK377" s="79">
        <v>0</v>
      </c>
      <c r="BB377" s="470" t="s">
        <v>66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636</v>
      </c>
      <c r="B378" s="60" t="s">
        <v>637</v>
      </c>
      <c r="C378" s="34">
        <v>4301031066</v>
      </c>
      <c r="D378" s="704">
        <v>4607091383836</v>
      </c>
      <c r="E378" s="704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90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638</v>
      </c>
      <c r="AG378" s="75"/>
      <c r="AJ378" s="79" t="s">
        <v>46</v>
      </c>
      <c r="AK378" s="79">
        <v>0</v>
      </c>
      <c r="BB378" s="472" t="s">
        <v>66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712"/>
      <c r="B379" s="712"/>
      <c r="C379" s="712"/>
      <c r="D379" s="712"/>
      <c r="E379" s="712"/>
      <c r="F379" s="712"/>
      <c r="G379" s="712"/>
      <c r="H379" s="712"/>
      <c r="I379" s="712"/>
      <c r="J379" s="712"/>
      <c r="K379" s="712"/>
      <c r="L379" s="712"/>
      <c r="M379" s="712"/>
      <c r="N379" s="712"/>
      <c r="O379" s="713"/>
      <c r="P379" s="709" t="s">
        <v>40</v>
      </c>
      <c r="Q379" s="710"/>
      <c r="R379" s="710"/>
      <c r="S379" s="710"/>
      <c r="T379" s="710"/>
      <c r="U379" s="710"/>
      <c r="V379" s="711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712"/>
      <c r="B380" s="712"/>
      <c r="C380" s="712"/>
      <c r="D380" s="712"/>
      <c r="E380" s="712"/>
      <c r="F380" s="712"/>
      <c r="G380" s="712"/>
      <c r="H380" s="712"/>
      <c r="I380" s="712"/>
      <c r="J380" s="712"/>
      <c r="K380" s="712"/>
      <c r="L380" s="712"/>
      <c r="M380" s="712"/>
      <c r="N380" s="712"/>
      <c r="O380" s="713"/>
      <c r="P380" s="709" t="s">
        <v>40</v>
      </c>
      <c r="Q380" s="710"/>
      <c r="R380" s="710"/>
      <c r="S380" s="710"/>
      <c r="T380" s="710"/>
      <c r="U380" s="710"/>
      <c r="V380" s="711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703" t="s">
        <v>85</v>
      </c>
      <c r="B381" s="703"/>
      <c r="C381" s="703"/>
      <c r="D381" s="703"/>
      <c r="E381" s="703"/>
      <c r="F381" s="703"/>
      <c r="G381" s="703"/>
      <c r="H381" s="703"/>
      <c r="I381" s="703"/>
      <c r="J381" s="703"/>
      <c r="K381" s="703"/>
      <c r="L381" s="703"/>
      <c r="M381" s="703"/>
      <c r="N381" s="703"/>
      <c r="O381" s="703"/>
      <c r="P381" s="703"/>
      <c r="Q381" s="703"/>
      <c r="R381" s="703"/>
      <c r="S381" s="703"/>
      <c r="T381" s="703"/>
      <c r="U381" s="703"/>
      <c r="V381" s="703"/>
      <c r="W381" s="703"/>
      <c r="X381" s="703"/>
      <c r="Y381" s="703"/>
      <c r="Z381" s="703"/>
      <c r="AA381" s="63"/>
      <c r="AB381" s="63"/>
      <c r="AC381" s="63"/>
    </row>
    <row r="382" spans="1:68" ht="27" hidden="1" customHeight="1" x14ac:dyDescent="0.25">
      <c r="A382" s="60" t="s">
        <v>639</v>
      </c>
      <c r="B382" s="60" t="s">
        <v>640</v>
      </c>
      <c r="C382" s="34">
        <v>4301051100</v>
      </c>
      <c r="D382" s="704">
        <v>4607091387766</v>
      </c>
      <c r="E382" s="704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90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06"/>
      <c r="R382" s="706"/>
      <c r="S382" s="706"/>
      <c r="T382" s="70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4301051818</v>
      </c>
      <c r="D383" s="704">
        <v>4607091387957</v>
      </c>
      <c r="E383" s="704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9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06"/>
      <c r="R383" s="706"/>
      <c r="S383" s="706"/>
      <c r="T383" s="70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4301051819</v>
      </c>
      <c r="D384" s="704">
        <v>4607091387964</v>
      </c>
      <c r="E384" s="704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132</v>
      </c>
      <c r="L384" s="35" t="s">
        <v>46</v>
      </c>
      <c r="M384" s="36" t="s">
        <v>89</v>
      </c>
      <c r="N384" s="36"/>
      <c r="O384" s="35">
        <v>40</v>
      </c>
      <c r="P384" s="91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647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648</v>
      </c>
      <c r="B385" s="60" t="s">
        <v>649</v>
      </c>
      <c r="C385" s="34">
        <v>4301051734</v>
      </c>
      <c r="D385" s="704">
        <v>4680115884588</v>
      </c>
      <c r="E385" s="704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91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641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12"/>
      <c r="B386" s="712"/>
      <c r="C386" s="712"/>
      <c r="D386" s="712"/>
      <c r="E386" s="712"/>
      <c r="F386" s="712"/>
      <c r="G386" s="712"/>
      <c r="H386" s="712"/>
      <c r="I386" s="712"/>
      <c r="J386" s="712"/>
      <c r="K386" s="712"/>
      <c r="L386" s="712"/>
      <c r="M386" s="712"/>
      <c r="N386" s="712"/>
      <c r="O386" s="713"/>
      <c r="P386" s="709" t="s">
        <v>40</v>
      </c>
      <c r="Q386" s="710"/>
      <c r="R386" s="710"/>
      <c r="S386" s="710"/>
      <c r="T386" s="710"/>
      <c r="U386" s="710"/>
      <c r="V386" s="711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03" t="s">
        <v>180</v>
      </c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3"/>
      <c r="N388" s="703"/>
      <c r="O388" s="703"/>
      <c r="P388" s="703"/>
      <c r="Q388" s="703"/>
      <c r="R388" s="703"/>
      <c r="S388" s="703"/>
      <c r="T388" s="703"/>
      <c r="U388" s="703"/>
      <c r="V388" s="703"/>
      <c r="W388" s="703"/>
      <c r="X388" s="703"/>
      <c r="Y388" s="703"/>
      <c r="Z388" s="703"/>
      <c r="AA388" s="63"/>
      <c r="AB388" s="63"/>
      <c r="AC388" s="63"/>
    </row>
    <row r="389" spans="1:68" ht="27" hidden="1" customHeight="1" x14ac:dyDescent="0.25">
      <c r="A389" s="60" t="s">
        <v>650</v>
      </c>
      <c r="B389" s="60" t="s">
        <v>651</v>
      </c>
      <c r="C389" s="34">
        <v>4301060387</v>
      </c>
      <c r="D389" s="704">
        <v>4607091380880</v>
      </c>
      <c r="E389" s="704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91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06"/>
      <c r="R389" s="706"/>
      <c r="S389" s="706"/>
      <c r="T389" s="70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653</v>
      </c>
      <c r="B390" s="60" t="s">
        <v>654</v>
      </c>
      <c r="C390" s="34">
        <v>4301060406</v>
      </c>
      <c r="D390" s="704">
        <v>4607091384482</v>
      </c>
      <c r="E390" s="704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132</v>
      </c>
      <c r="L390" s="35" t="s">
        <v>46</v>
      </c>
      <c r="M390" s="36" t="s">
        <v>89</v>
      </c>
      <c r="N390" s="36"/>
      <c r="O390" s="35">
        <v>30</v>
      </c>
      <c r="P390" s="9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656</v>
      </c>
      <c r="B391" s="60" t="s">
        <v>657</v>
      </c>
      <c r="C391" s="34">
        <v>4301060484</v>
      </c>
      <c r="D391" s="704">
        <v>4607091380897</v>
      </c>
      <c r="E391" s="704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132</v>
      </c>
      <c r="L391" s="35" t="s">
        <v>46</v>
      </c>
      <c r="M391" s="36" t="s">
        <v>96</v>
      </c>
      <c r="N391" s="36"/>
      <c r="O391" s="35">
        <v>30</v>
      </c>
      <c r="P391" s="9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658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712"/>
      <c r="B392" s="712"/>
      <c r="C392" s="712"/>
      <c r="D392" s="712"/>
      <c r="E392" s="712"/>
      <c r="F392" s="712"/>
      <c r="G392" s="712"/>
      <c r="H392" s="712"/>
      <c r="I392" s="712"/>
      <c r="J392" s="712"/>
      <c r="K392" s="712"/>
      <c r="L392" s="712"/>
      <c r="M392" s="712"/>
      <c r="N392" s="712"/>
      <c r="O392" s="713"/>
      <c r="P392" s="709" t="s">
        <v>40</v>
      </c>
      <c r="Q392" s="710"/>
      <c r="R392" s="710"/>
      <c r="S392" s="710"/>
      <c r="T392" s="710"/>
      <c r="U392" s="710"/>
      <c r="V392" s="711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712"/>
      <c r="B393" s="712"/>
      <c r="C393" s="712"/>
      <c r="D393" s="712"/>
      <c r="E393" s="712"/>
      <c r="F393" s="712"/>
      <c r="G393" s="712"/>
      <c r="H393" s="712"/>
      <c r="I393" s="712"/>
      <c r="J393" s="712"/>
      <c r="K393" s="712"/>
      <c r="L393" s="712"/>
      <c r="M393" s="712"/>
      <c r="N393" s="712"/>
      <c r="O393" s="713"/>
      <c r="P393" s="709" t="s">
        <v>40</v>
      </c>
      <c r="Q393" s="710"/>
      <c r="R393" s="710"/>
      <c r="S393" s="710"/>
      <c r="T393" s="710"/>
      <c r="U393" s="710"/>
      <c r="V393" s="711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703" t="s">
        <v>103</v>
      </c>
      <c r="B394" s="703"/>
      <c r="C394" s="703"/>
      <c r="D394" s="703"/>
      <c r="E394" s="703"/>
      <c r="F394" s="703"/>
      <c r="G394" s="703"/>
      <c r="H394" s="703"/>
      <c r="I394" s="703"/>
      <c r="J394" s="703"/>
      <c r="K394" s="703"/>
      <c r="L394" s="703"/>
      <c r="M394" s="703"/>
      <c r="N394" s="703"/>
      <c r="O394" s="703"/>
      <c r="P394" s="703"/>
      <c r="Q394" s="703"/>
      <c r="R394" s="703"/>
      <c r="S394" s="703"/>
      <c r="T394" s="703"/>
      <c r="U394" s="703"/>
      <c r="V394" s="703"/>
      <c r="W394" s="703"/>
      <c r="X394" s="703"/>
      <c r="Y394" s="703"/>
      <c r="Z394" s="703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4301030235</v>
      </c>
      <c r="D395" s="704">
        <v>4607091388381</v>
      </c>
      <c r="E395" s="704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91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06"/>
      <c r="R395" s="706"/>
      <c r="S395" s="706"/>
      <c r="T395" s="70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661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4301030232</v>
      </c>
      <c r="D396" s="704">
        <v>4607091388374</v>
      </c>
      <c r="E396" s="704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139</v>
      </c>
      <c r="L396" s="35" t="s">
        <v>46</v>
      </c>
      <c r="M396" s="36" t="s">
        <v>108</v>
      </c>
      <c r="N396" s="36"/>
      <c r="O396" s="35">
        <v>180</v>
      </c>
      <c r="P396" s="91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06"/>
      <c r="R396" s="706"/>
      <c r="S396" s="706"/>
      <c r="T396" s="70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661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664</v>
      </c>
      <c r="B397" s="60" t="s">
        <v>665</v>
      </c>
      <c r="C397" s="34">
        <v>4301032015</v>
      </c>
      <c r="D397" s="704">
        <v>4607091383102</v>
      </c>
      <c r="E397" s="704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661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666</v>
      </c>
      <c r="B398" s="60" t="s">
        <v>667</v>
      </c>
      <c r="C398" s="34">
        <v>4301030233</v>
      </c>
      <c r="D398" s="704">
        <v>4607091388404</v>
      </c>
      <c r="E398" s="704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108</v>
      </c>
      <c r="N398" s="36"/>
      <c r="O398" s="35">
        <v>180</v>
      </c>
      <c r="P398" s="91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661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12"/>
      <c r="B399" s="712"/>
      <c r="C399" s="712"/>
      <c r="D399" s="712"/>
      <c r="E399" s="712"/>
      <c r="F399" s="712"/>
      <c r="G399" s="712"/>
      <c r="H399" s="712"/>
      <c r="I399" s="712"/>
      <c r="J399" s="712"/>
      <c r="K399" s="712"/>
      <c r="L399" s="712"/>
      <c r="M399" s="712"/>
      <c r="N399" s="712"/>
      <c r="O399" s="713"/>
      <c r="P399" s="709" t="s">
        <v>40</v>
      </c>
      <c r="Q399" s="710"/>
      <c r="R399" s="710"/>
      <c r="S399" s="710"/>
      <c r="T399" s="710"/>
      <c r="U399" s="710"/>
      <c r="V399" s="711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03" t="s">
        <v>668</v>
      </c>
      <c r="B401" s="703"/>
      <c r="C401" s="703"/>
      <c r="D401" s="703"/>
      <c r="E401" s="703"/>
      <c r="F401" s="703"/>
      <c r="G401" s="703"/>
      <c r="H401" s="703"/>
      <c r="I401" s="703"/>
      <c r="J401" s="703"/>
      <c r="K401" s="703"/>
      <c r="L401" s="703"/>
      <c r="M401" s="703"/>
      <c r="N401" s="703"/>
      <c r="O401" s="703"/>
      <c r="P401" s="703"/>
      <c r="Q401" s="703"/>
      <c r="R401" s="703"/>
      <c r="S401" s="703"/>
      <c r="T401" s="703"/>
      <c r="U401" s="703"/>
      <c r="V401" s="703"/>
      <c r="W401" s="703"/>
      <c r="X401" s="703"/>
      <c r="Y401" s="703"/>
      <c r="Z401" s="703"/>
      <c r="AA401" s="63"/>
      <c r="AB401" s="63"/>
      <c r="AC401" s="63"/>
    </row>
    <row r="402" spans="1:68" ht="16.5" hidden="1" customHeight="1" x14ac:dyDescent="0.25">
      <c r="A402" s="60" t="s">
        <v>669</v>
      </c>
      <c r="B402" s="60" t="s">
        <v>670</v>
      </c>
      <c r="C402" s="34">
        <v>4301180007</v>
      </c>
      <c r="D402" s="704">
        <v>4680115881808</v>
      </c>
      <c r="E402" s="70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672</v>
      </c>
      <c r="N402" s="36"/>
      <c r="O402" s="35">
        <v>731</v>
      </c>
      <c r="P402" s="9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06"/>
      <c r="R402" s="706"/>
      <c r="S402" s="706"/>
      <c r="T402" s="70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671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4301180006</v>
      </c>
      <c r="D403" s="704">
        <v>4680115881822</v>
      </c>
      <c r="E403" s="70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672</v>
      </c>
      <c r="N403" s="36"/>
      <c r="O403" s="35">
        <v>731</v>
      </c>
      <c r="P403" s="9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671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4301180001</v>
      </c>
      <c r="D404" s="704">
        <v>4680115880016</v>
      </c>
      <c r="E404" s="704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672</v>
      </c>
      <c r="N404" s="36"/>
      <c r="O404" s="35">
        <v>731</v>
      </c>
      <c r="P404" s="9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12"/>
      <c r="B405" s="712"/>
      <c r="C405" s="712"/>
      <c r="D405" s="712"/>
      <c r="E405" s="712"/>
      <c r="F405" s="712"/>
      <c r="G405" s="712"/>
      <c r="H405" s="712"/>
      <c r="I405" s="712"/>
      <c r="J405" s="712"/>
      <c r="K405" s="712"/>
      <c r="L405" s="712"/>
      <c r="M405" s="712"/>
      <c r="N405" s="712"/>
      <c r="O405" s="713"/>
      <c r="P405" s="709" t="s">
        <v>40</v>
      </c>
      <c r="Q405" s="710"/>
      <c r="R405" s="710"/>
      <c r="S405" s="710"/>
      <c r="T405" s="710"/>
      <c r="U405" s="710"/>
      <c r="V405" s="711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03" t="s">
        <v>677</v>
      </c>
      <c r="B407" s="703"/>
      <c r="C407" s="703"/>
      <c r="D407" s="703"/>
      <c r="E407" s="703"/>
      <c r="F407" s="703"/>
      <c r="G407" s="703"/>
      <c r="H407" s="703"/>
      <c r="I407" s="703"/>
      <c r="J407" s="703"/>
      <c r="K407" s="703"/>
      <c r="L407" s="703"/>
      <c r="M407" s="703"/>
      <c r="N407" s="703"/>
      <c r="O407" s="703"/>
      <c r="P407" s="703"/>
      <c r="Q407" s="703"/>
      <c r="R407" s="703"/>
      <c r="S407" s="703"/>
      <c r="T407" s="703"/>
      <c r="U407" s="703"/>
      <c r="V407" s="703"/>
      <c r="W407" s="703"/>
      <c r="X407" s="703"/>
      <c r="Y407" s="703"/>
      <c r="Z407" s="703"/>
      <c r="AA407" s="63"/>
      <c r="AB407" s="63"/>
      <c r="AC407" s="63"/>
    </row>
    <row r="408" spans="1:68" ht="27" hidden="1" customHeight="1" x14ac:dyDescent="0.25">
      <c r="A408" s="60" t="s">
        <v>678</v>
      </c>
      <c r="B408" s="60" t="s">
        <v>679</v>
      </c>
      <c r="C408" s="34">
        <v>4301220003</v>
      </c>
      <c r="D408" s="704">
        <v>4680115888678</v>
      </c>
      <c r="E408" s="704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672</v>
      </c>
      <c r="N408" s="36"/>
      <c r="O408" s="35">
        <v>1096</v>
      </c>
      <c r="P408" s="9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06"/>
      <c r="R408" s="706"/>
      <c r="S408" s="706"/>
      <c r="T408" s="70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4301220001</v>
      </c>
      <c r="D409" s="704">
        <v>4680115888654</v>
      </c>
      <c r="E409" s="704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139</v>
      </c>
      <c r="L409" s="35" t="s">
        <v>46</v>
      </c>
      <c r="M409" s="36" t="s">
        <v>672</v>
      </c>
      <c r="N409" s="36"/>
      <c r="O409" s="35">
        <v>1096</v>
      </c>
      <c r="P409" s="9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06"/>
      <c r="R409" s="706"/>
      <c r="S409" s="706"/>
      <c r="T409" s="70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251</v>
      </c>
      <c r="AC409" s="503" t="s">
        <v>683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4301220002</v>
      </c>
      <c r="D410" s="704">
        <v>4680115888753</v>
      </c>
      <c r="E410" s="704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672</v>
      </c>
      <c r="N410" s="36"/>
      <c r="O410" s="35">
        <v>1096</v>
      </c>
      <c r="P410" s="9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251</v>
      </c>
      <c r="AC410" s="505" t="s">
        <v>680</v>
      </c>
      <c r="AG410" s="75"/>
      <c r="AJ410" s="79" t="s">
        <v>46</v>
      </c>
      <c r="AK410" s="79">
        <v>0</v>
      </c>
      <c r="BB410" s="50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12"/>
      <c r="B411" s="712"/>
      <c r="C411" s="712"/>
      <c r="D411" s="712"/>
      <c r="E411" s="712"/>
      <c r="F411" s="712"/>
      <c r="G411" s="712"/>
      <c r="H411" s="712"/>
      <c r="I411" s="712"/>
      <c r="J411" s="712"/>
      <c r="K411" s="712"/>
      <c r="L411" s="712"/>
      <c r="M411" s="712"/>
      <c r="N411" s="712"/>
      <c r="O411" s="713"/>
      <c r="P411" s="709" t="s">
        <v>40</v>
      </c>
      <c r="Q411" s="710"/>
      <c r="R411" s="710"/>
      <c r="S411" s="710"/>
      <c r="T411" s="710"/>
      <c r="U411" s="710"/>
      <c r="V411" s="711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02" t="s">
        <v>686</v>
      </c>
      <c r="B413" s="702"/>
      <c r="C413" s="702"/>
      <c r="D413" s="702"/>
      <c r="E413" s="702"/>
      <c r="F413" s="702"/>
      <c r="G413" s="702"/>
      <c r="H413" s="702"/>
      <c r="I413" s="702"/>
      <c r="J413" s="702"/>
      <c r="K413" s="702"/>
      <c r="L413" s="702"/>
      <c r="M413" s="702"/>
      <c r="N413" s="702"/>
      <c r="O413" s="702"/>
      <c r="P413" s="702"/>
      <c r="Q413" s="702"/>
      <c r="R413" s="702"/>
      <c r="S413" s="702"/>
      <c r="T413" s="702"/>
      <c r="U413" s="702"/>
      <c r="V413" s="702"/>
      <c r="W413" s="702"/>
      <c r="X413" s="702"/>
      <c r="Y413" s="702"/>
      <c r="Z413" s="702"/>
      <c r="AA413" s="62"/>
      <c r="AB413" s="62"/>
      <c r="AC413" s="62"/>
    </row>
    <row r="414" spans="1:68" ht="14.25" hidden="1" customHeight="1" x14ac:dyDescent="0.25">
      <c r="A414" s="703" t="s">
        <v>85</v>
      </c>
      <c r="B414" s="703"/>
      <c r="C414" s="703"/>
      <c r="D414" s="703"/>
      <c r="E414" s="703"/>
      <c r="F414" s="703"/>
      <c r="G414" s="703"/>
      <c r="H414" s="703"/>
      <c r="I414" s="703"/>
      <c r="J414" s="703"/>
      <c r="K414" s="703"/>
      <c r="L414" s="703"/>
      <c r="M414" s="703"/>
      <c r="N414" s="703"/>
      <c r="O414" s="703"/>
      <c r="P414" s="703"/>
      <c r="Q414" s="703"/>
      <c r="R414" s="703"/>
      <c r="S414" s="703"/>
      <c r="T414" s="703"/>
      <c r="U414" s="703"/>
      <c r="V414" s="703"/>
      <c r="W414" s="703"/>
      <c r="X414" s="703"/>
      <c r="Y414" s="703"/>
      <c r="Z414" s="703"/>
      <c r="AA414" s="63"/>
      <c r="AB414" s="63"/>
      <c r="AC414" s="63"/>
    </row>
    <row r="415" spans="1:68" ht="27" hidden="1" customHeight="1" x14ac:dyDescent="0.25">
      <c r="A415" s="60" t="s">
        <v>687</v>
      </c>
      <c r="B415" s="60" t="s">
        <v>688</v>
      </c>
      <c r="C415" s="34">
        <v>4301051489</v>
      </c>
      <c r="D415" s="704">
        <v>4607091387919</v>
      </c>
      <c r="E415" s="704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132</v>
      </c>
      <c r="L415" s="35" t="s">
        <v>46</v>
      </c>
      <c r="M415" s="36" t="s">
        <v>96</v>
      </c>
      <c r="N415" s="36"/>
      <c r="O415" s="35">
        <v>45</v>
      </c>
      <c r="P415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06"/>
      <c r="R415" s="706"/>
      <c r="S415" s="706"/>
      <c r="T415" s="70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4301051461</v>
      </c>
      <c r="D416" s="704">
        <v>4680115883604</v>
      </c>
      <c r="E416" s="704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90</v>
      </c>
      <c r="L416" s="35" t="s">
        <v>46</v>
      </c>
      <c r="M416" s="36" t="s">
        <v>89</v>
      </c>
      <c r="N416" s="36"/>
      <c r="O416" s="35">
        <v>45</v>
      </c>
      <c r="P416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693</v>
      </c>
      <c r="B417" s="60" t="s">
        <v>694</v>
      </c>
      <c r="C417" s="34">
        <v>4301051864</v>
      </c>
      <c r="D417" s="704">
        <v>4680115883567</v>
      </c>
      <c r="E417" s="704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90</v>
      </c>
      <c r="L417" s="35" t="s">
        <v>46</v>
      </c>
      <c r="M417" s="36" t="s">
        <v>96</v>
      </c>
      <c r="N417" s="36"/>
      <c r="O417" s="35">
        <v>40</v>
      </c>
      <c r="P417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695</v>
      </c>
      <c r="AG417" s="75"/>
      <c r="AJ417" s="79" t="s">
        <v>46</v>
      </c>
      <c r="AK417" s="79">
        <v>0</v>
      </c>
      <c r="BB417" s="512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712"/>
      <c r="B418" s="712"/>
      <c r="C418" s="712"/>
      <c r="D418" s="712"/>
      <c r="E418" s="712"/>
      <c r="F418" s="712"/>
      <c r="G418" s="712"/>
      <c r="H418" s="712"/>
      <c r="I418" s="712"/>
      <c r="J418" s="712"/>
      <c r="K418" s="712"/>
      <c r="L418" s="712"/>
      <c r="M418" s="712"/>
      <c r="N418" s="712"/>
      <c r="O418" s="713"/>
      <c r="P418" s="709" t="s">
        <v>40</v>
      </c>
      <c r="Q418" s="710"/>
      <c r="R418" s="710"/>
      <c r="S418" s="710"/>
      <c r="T418" s="710"/>
      <c r="U418" s="710"/>
      <c r="V418" s="711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27.75" hidden="1" customHeight="1" x14ac:dyDescent="0.2">
      <c r="A420" s="701" t="s">
        <v>696</v>
      </c>
      <c r="B420" s="701"/>
      <c r="C420" s="701"/>
      <c r="D420" s="701"/>
      <c r="E420" s="701"/>
      <c r="F420" s="701"/>
      <c r="G420" s="701"/>
      <c r="H420" s="701"/>
      <c r="I420" s="701"/>
      <c r="J420" s="701"/>
      <c r="K420" s="701"/>
      <c r="L420" s="701"/>
      <c r="M420" s="701"/>
      <c r="N420" s="701"/>
      <c r="O420" s="701"/>
      <c r="P420" s="701"/>
      <c r="Q420" s="701"/>
      <c r="R420" s="701"/>
      <c r="S420" s="701"/>
      <c r="T420" s="701"/>
      <c r="U420" s="701"/>
      <c r="V420" s="701"/>
      <c r="W420" s="701"/>
      <c r="X420" s="701"/>
      <c r="Y420" s="701"/>
      <c r="Z420" s="701"/>
      <c r="AA420" s="52"/>
      <c r="AB420" s="52"/>
      <c r="AC420" s="52"/>
    </row>
    <row r="421" spans="1:68" ht="16.5" hidden="1" customHeight="1" x14ac:dyDescent="0.25">
      <c r="A421" s="702" t="s">
        <v>697</v>
      </c>
      <c r="B421" s="702"/>
      <c r="C421" s="702"/>
      <c r="D421" s="702"/>
      <c r="E421" s="702"/>
      <c r="F421" s="702"/>
      <c r="G421" s="702"/>
      <c r="H421" s="702"/>
      <c r="I421" s="702"/>
      <c r="J421" s="702"/>
      <c r="K421" s="702"/>
      <c r="L421" s="702"/>
      <c r="M421" s="702"/>
      <c r="N421" s="702"/>
      <c r="O421" s="702"/>
      <c r="P421" s="702"/>
      <c r="Q421" s="702"/>
      <c r="R421" s="702"/>
      <c r="S421" s="702"/>
      <c r="T421" s="702"/>
      <c r="U421" s="702"/>
      <c r="V421" s="702"/>
      <c r="W421" s="702"/>
      <c r="X421" s="702"/>
      <c r="Y421" s="702"/>
      <c r="Z421" s="702"/>
      <c r="AA421" s="62"/>
      <c r="AB421" s="62"/>
      <c r="AC421" s="62"/>
    </row>
    <row r="422" spans="1:68" ht="14.25" hidden="1" customHeight="1" x14ac:dyDescent="0.25">
      <c r="A422" s="703" t="s">
        <v>127</v>
      </c>
      <c r="B422" s="703"/>
      <c r="C422" s="703"/>
      <c r="D422" s="703"/>
      <c r="E422" s="703"/>
      <c r="F422" s="703"/>
      <c r="G422" s="703"/>
      <c r="H422" s="703"/>
      <c r="I422" s="703"/>
      <c r="J422" s="703"/>
      <c r="K422" s="703"/>
      <c r="L422" s="703"/>
      <c r="M422" s="703"/>
      <c r="N422" s="703"/>
      <c r="O422" s="703"/>
      <c r="P422" s="703"/>
      <c r="Q422" s="703"/>
      <c r="R422" s="703"/>
      <c r="S422" s="703"/>
      <c r="T422" s="703"/>
      <c r="U422" s="703"/>
      <c r="V422" s="703"/>
      <c r="W422" s="703"/>
      <c r="X422" s="703"/>
      <c r="Y422" s="703"/>
      <c r="Z422" s="703"/>
      <c r="AA422" s="63"/>
      <c r="AB422" s="63"/>
      <c r="AC422" s="63"/>
    </row>
    <row r="423" spans="1:68" ht="27" hidden="1" customHeight="1" x14ac:dyDescent="0.25">
      <c r="A423" s="60" t="s">
        <v>698</v>
      </c>
      <c r="B423" s="60" t="s">
        <v>699</v>
      </c>
      <c r="C423" s="34">
        <v>4301012332</v>
      </c>
      <c r="D423" s="704">
        <v>4680115888401</v>
      </c>
      <c r="E423" s="70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96</v>
      </c>
      <c r="N423" s="36"/>
      <c r="O423" s="35">
        <v>60</v>
      </c>
      <c r="P423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06"/>
      <c r="R423" s="706"/>
      <c r="S423" s="706"/>
      <c r="T423" s="707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customHeight="1" x14ac:dyDescent="0.25">
      <c r="A424" s="60" t="s">
        <v>701</v>
      </c>
      <c r="B424" s="60" t="s">
        <v>702</v>
      </c>
      <c r="C424" s="34">
        <v>4301011869</v>
      </c>
      <c r="D424" s="704">
        <v>4680115884847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80</v>
      </c>
      <c r="N424" s="36"/>
      <c r="O424" s="35">
        <v>60</v>
      </c>
      <c r="P424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2100</v>
      </c>
      <c r="Y424" s="53">
        <f t="shared" si="52"/>
        <v>2100</v>
      </c>
      <c r="Z424" s="39">
        <f>IFERROR(IF(Y424=0,"",ROUNDUP(Y424/H424,0)*0.02175),"")</f>
        <v>3.0449999999999999</v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53"/>
        <v>2165.8000000000002</v>
      </c>
      <c r="BN424" s="75">
        <f t="shared" si="54"/>
        <v>2165.8000000000002</v>
      </c>
      <c r="BO424" s="75">
        <f t="shared" si="55"/>
        <v>2.9166666666666665</v>
      </c>
      <c r="BP424" s="75">
        <f t="shared" si="56"/>
        <v>2.9166666666666665</v>
      </c>
    </row>
    <row r="425" spans="1:68" ht="27" customHeight="1" x14ac:dyDescent="0.25">
      <c r="A425" s="60" t="s">
        <v>704</v>
      </c>
      <c r="B425" s="60" t="s">
        <v>705</v>
      </c>
      <c r="C425" s="34">
        <v>4301012083</v>
      </c>
      <c r="D425" s="704">
        <v>4680115884854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60</v>
      </c>
      <c r="P425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1000</v>
      </c>
      <c r="Y425" s="53">
        <f t="shared" si="52"/>
        <v>1005</v>
      </c>
      <c r="Z425" s="39">
        <f>IFERROR(IF(Y425=0,"",ROUNDUP(Y425/H425,0)*0.02175),"")</f>
        <v>1.4572499999999999</v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53"/>
        <v>1031.3333333333333</v>
      </c>
      <c r="BN425" s="75">
        <f t="shared" si="54"/>
        <v>1036.49</v>
      </c>
      <c r="BO425" s="75">
        <f t="shared" si="55"/>
        <v>1.3888888888888888</v>
      </c>
      <c r="BP425" s="75">
        <f t="shared" si="56"/>
        <v>1.3958333333333333</v>
      </c>
    </row>
    <row r="426" spans="1:68" ht="27" hidden="1" customHeight="1" x14ac:dyDescent="0.25">
      <c r="A426" s="60" t="s">
        <v>707</v>
      </c>
      <c r="B426" s="60" t="s">
        <v>708</v>
      </c>
      <c r="C426" s="34">
        <v>4301011867</v>
      </c>
      <c r="D426" s="704">
        <v>4680115884830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80</v>
      </c>
      <c r="N426" s="36"/>
      <c r="O426" s="35">
        <v>60</v>
      </c>
      <c r="P426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52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53"/>
        <v>0</v>
      </c>
      <c r="BN426" s="75">
        <f t="shared" si="54"/>
        <v>0</v>
      </c>
      <c r="BO426" s="75">
        <f t="shared" si="55"/>
        <v>0</v>
      </c>
      <c r="BP426" s="75">
        <f t="shared" si="56"/>
        <v>0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4301012356</v>
      </c>
      <c r="D427" s="704">
        <v>4680115889231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132</v>
      </c>
      <c r="L427" s="35" t="s">
        <v>46</v>
      </c>
      <c r="M427" s="36" t="s">
        <v>96</v>
      </c>
      <c r="N427" s="36"/>
      <c r="O427" s="35">
        <v>60</v>
      </c>
      <c r="P427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4301011433</v>
      </c>
      <c r="D428" s="704">
        <v>4680115882638</v>
      </c>
      <c r="E428" s="704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139</v>
      </c>
      <c r="L428" s="35" t="s">
        <v>46</v>
      </c>
      <c r="M428" s="36" t="s">
        <v>131</v>
      </c>
      <c r="N428" s="36"/>
      <c r="O428" s="35">
        <v>90</v>
      </c>
      <c r="P428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716</v>
      </c>
      <c r="B429" s="60" t="s">
        <v>717</v>
      </c>
      <c r="C429" s="34">
        <v>4301011952</v>
      </c>
      <c r="D429" s="704">
        <v>4680115884922</v>
      </c>
      <c r="E429" s="70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719</v>
      </c>
      <c r="B430" s="60" t="s">
        <v>720</v>
      </c>
      <c r="C430" s="34">
        <v>4301011868</v>
      </c>
      <c r="D430" s="704">
        <v>4680115884861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139</v>
      </c>
      <c r="L430" s="35" t="s">
        <v>46</v>
      </c>
      <c r="M430" s="36" t="s">
        <v>80</v>
      </c>
      <c r="N430" s="36"/>
      <c r="O430" s="35">
        <v>60</v>
      </c>
      <c r="P430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721</v>
      </c>
      <c r="AG430" s="75"/>
      <c r="AJ430" s="79" t="s">
        <v>46</v>
      </c>
      <c r="AK430" s="79">
        <v>0</v>
      </c>
      <c r="BB430" s="528" t="s">
        <v>66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712"/>
      <c r="B431" s="712"/>
      <c r="C431" s="712"/>
      <c r="D431" s="712"/>
      <c r="E431" s="712"/>
      <c r="F431" s="712"/>
      <c r="G431" s="712"/>
      <c r="H431" s="712"/>
      <c r="I431" s="712"/>
      <c r="J431" s="712"/>
      <c r="K431" s="712"/>
      <c r="L431" s="712"/>
      <c r="M431" s="712"/>
      <c r="N431" s="712"/>
      <c r="O431" s="713"/>
      <c r="P431" s="709" t="s">
        <v>40</v>
      </c>
      <c r="Q431" s="710"/>
      <c r="R431" s="710"/>
      <c r="S431" s="710"/>
      <c r="T431" s="710"/>
      <c r="U431" s="710"/>
      <c r="V431" s="711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206.66666666666669</v>
      </c>
      <c r="Y431" s="41">
        <f>IFERROR(Y423/H423,"0")+IFERROR(Y424/H424,"0")+IFERROR(Y425/H425,"0")+IFERROR(Y426/H426,"0")+IFERROR(Y427/H427,"0")+IFERROR(Y428/H428,"0")+IFERROR(Y429/H429,"0")+IFERROR(Y430/H430,"0")</f>
        <v>207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4.5022500000000001</v>
      </c>
      <c r="AA431" s="64"/>
      <c r="AB431" s="64"/>
      <c r="AC431" s="64"/>
    </row>
    <row r="432" spans="1:68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0</v>
      </c>
      <c r="X432" s="41">
        <f>IFERROR(SUM(X423:X430),"0")</f>
        <v>3100</v>
      </c>
      <c r="Y432" s="41">
        <f>IFERROR(SUM(Y423:Y430),"0")</f>
        <v>3105</v>
      </c>
      <c r="Z432" s="40"/>
      <c r="AA432" s="64"/>
      <c r="AB432" s="64"/>
      <c r="AC432" s="64"/>
    </row>
    <row r="433" spans="1:68" ht="14.25" hidden="1" customHeight="1" x14ac:dyDescent="0.25">
      <c r="A433" s="703" t="s">
        <v>163</v>
      </c>
      <c r="B433" s="703"/>
      <c r="C433" s="703"/>
      <c r="D433" s="703"/>
      <c r="E433" s="703"/>
      <c r="F433" s="703"/>
      <c r="G433" s="703"/>
      <c r="H433" s="703"/>
      <c r="I433" s="703"/>
      <c r="J433" s="703"/>
      <c r="K433" s="703"/>
      <c r="L433" s="703"/>
      <c r="M433" s="703"/>
      <c r="N433" s="703"/>
      <c r="O433" s="703"/>
      <c r="P433" s="703"/>
      <c r="Q433" s="703"/>
      <c r="R433" s="703"/>
      <c r="S433" s="703"/>
      <c r="T433" s="703"/>
      <c r="U433" s="703"/>
      <c r="V433" s="703"/>
      <c r="W433" s="703"/>
      <c r="X433" s="703"/>
      <c r="Y433" s="703"/>
      <c r="Z433" s="703"/>
      <c r="AA433" s="63"/>
      <c r="AB433" s="63"/>
      <c r="AC433" s="63"/>
    </row>
    <row r="434" spans="1:68" ht="27" customHeight="1" x14ac:dyDescent="0.25">
      <c r="A434" s="60" t="s">
        <v>722</v>
      </c>
      <c r="B434" s="60" t="s">
        <v>723</v>
      </c>
      <c r="C434" s="34">
        <v>4301020178</v>
      </c>
      <c r="D434" s="704">
        <v>4607091383980</v>
      </c>
      <c r="E434" s="70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06"/>
      <c r="R434" s="706"/>
      <c r="S434" s="706"/>
      <c r="T434" s="707"/>
      <c r="U434" s="37" t="s">
        <v>46</v>
      </c>
      <c r="V434" s="37" t="s">
        <v>46</v>
      </c>
      <c r="W434" s="38" t="s">
        <v>0</v>
      </c>
      <c r="X434" s="56">
        <v>1000</v>
      </c>
      <c r="Y434" s="53">
        <f>IFERROR(IF(X434="",0,CEILING((X434/$H434),1)*$H434),"")</f>
        <v>1005</v>
      </c>
      <c r="Z434" s="39">
        <f>IFERROR(IF(Y434=0,"",ROUNDUP(Y434/H434,0)*0.02175),"")</f>
        <v>1.4572499999999999</v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1031.3333333333333</v>
      </c>
      <c r="BN434" s="75">
        <f>IFERROR(Y434*I434/H434,"0")</f>
        <v>1036.49</v>
      </c>
      <c r="BO434" s="75">
        <f>IFERROR(1/J434*(X434/H434),"0")</f>
        <v>1.3888888888888888</v>
      </c>
      <c r="BP434" s="75">
        <f>IFERROR(1/J434*(Y434/H434),"0")</f>
        <v>1.3958333333333333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4301020355</v>
      </c>
      <c r="D435" s="704">
        <v>4680115888425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132</v>
      </c>
      <c r="L435" s="35" t="s">
        <v>46</v>
      </c>
      <c r="M435" s="36" t="s">
        <v>131</v>
      </c>
      <c r="N435" s="36"/>
      <c r="O435" s="35">
        <v>50</v>
      </c>
      <c r="P435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728</v>
      </c>
      <c r="B436" s="60" t="s">
        <v>729</v>
      </c>
      <c r="C436" s="34">
        <v>4301020179</v>
      </c>
      <c r="D436" s="704">
        <v>4607091384178</v>
      </c>
      <c r="E436" s="704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139</v>
      </c>
      <c r="L436" s="35" t="s">
        <v>46</v>
      </c>
      <c r="M436" s="36" t="s">
        <v>131</v>
      </c>
      <c r="N436" s="36"/>
      <c r="O436" s="35">
        <v>50</v>
      </c>
      <c r="P436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730</v>
      </c>
      <c r="AG436" s="75"/>
      <c r="AJ436" s="79" t="s">
        <v>46</v>
      </c>
      <c r="AK436" s="79">
        <v>0</v>
      </c>
      <c r="BB436" s="534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x14ac:dyDescent="0.2">
      <c r="A437" s="712"/>
      <c r="B437" s="712"/>
      <c r="C437" s="712"/>
      <c r="D437" s="712"/>
      <c r="E437" s="712"/>
      <c r="F437" s="712"/>
      <c r="G437" s="712"/>
      <c r="H437" s="712"/>
      <c r="I437" s="712"/>
      <c r="J437" s="712"/>
      <c r="K437" s="712"/>
      <c r="L437" s="712"/>
      <c r="M437" s="712"/>
      <c r="N437" s="712"/>
      <c r="O437" s="713"/>
      <c r="P437" s="709" t="s">
        <v>40</v>
      </c>
      <c r="Q437" s="710"/>
      <c r="R437" s="710"/>
      <c r="S437" s="710"/>
      <c r="T437" s="710"/>
      <c r="U437" s="710"/>
      <c r="V437" s="711"/>
      <c r="W437" s="40" t="s">
        <v>39</v>
      </c>
      <c r="X437" s="41">
        <f>IFERROR(X434/H434,"0")+IFERROR(X435/H435,"0")+IFERROR(X436/H436,"0")</f>
        <v>66.666666666666671</v>
      </c>
      <c r="Y437" s="41">
        <f>IFERROR(Y434/H434,"0")+IFERROR(Y435/H435,"0")+IFERROR(Y436/H436,"0")</f>
        <v>67</v>
      </c>
      <c r="Z437" s="41">
        <f>IFERROR(IF(Z434="",0,Z434),"0")+IFERROR(IF(Z435="",0,Z435),"0")+IFERROR(IF(Z436="",0,Z436),"0")</f>
        <v>1.4572499999999999</v>
      </c>
      <c r="AA437" s="64"/>
      <c r="AB437" s="64"/>
      <c r="AC437" s="64"/>
    </row>
    <row r="438" spans="1:68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0</v>
      </c>
      <c r="X438" s="41">
        <f>IFERROR(SUM(X434:X436),"0")</f>
        <v>1000</v>
      </c>
      <c r="Y438" s="41">
        <f>IFERROR(SUM(Y434:Y436),"0")</f>
        <v>1005</v>
      </c>
      <c r="Z438" s="40"/>
      <c r="AA438" s="64"/>
      <c r="AB438" s="64"/>
      <c r="AC438" s="64"/>
    </row>
    <row r="439" spans="1:68" ht="14.25" hidden="1" customHeight="1" x14ac:dyDescent="0.25">
      <c r="A439" s="703" t="s">
        <v>85</v>
      </c>
      <c r="B439" s="703"/>
      <c r="C439" s="703"/>
      <c r="D439" s="703"/>
      <c r="E439" s="703"/>
      <c r="F439" s="703"/>
      <c r="G439" s="703"/>
      <c r="H439" s="703"/>
      <c r="I439" s="703"/>
      <c r="J439" s="703"/>
      <c r="K439" s="703"/>
      <c r="L439" s="703"/>
      <c r="M439" s="703"/>
      <c r="N439" s="703"/>
      <c r="O439" s="703"/>
      <c r="P439" s="703"/>
      <c r="Q439" s="703"/>
      <c r="R439" s="703"/>
      <c r="S439" s="703"/>
      <c r="T439" s="703"/>
      <c r="U439" s="703"/>
      <c r="V439" s="703"/>
      <c r="W439" s="703"/>
      <c r="X439" s="703"/>
      <c r="Y439" s="703"/>
      <c r="Z439" s="703"/>
      <c r="AA439" s="63"/>
      <c r="AB439" s="63"/>
      <c r="AC439" s="63"/>
    </row>
    <row r="440" spans="1:68" ht="27" hidden="1" customHeight="1" x14ac:dyDescent="0.25">
      <c r="A440" s="60" t="s">
        <v>731</v>
      </c>
      <c r="B440" s="60" t="s">
        <v>732</v>
      </c>
      <c r="C440" s="34">
        <v>4301051903</v>
      </c>
      <c r="D440" s="704">
        <v>4607091383928</v>
      </c>
      <c r="E440" s="704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06"/>
      <c r="R440" s="706"/>
      <c r="S440" s="706"/>
      <c r="T440" s="70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734</v>
      </c>
      <c r="B441" s="60" t="s">
        <v>735</v>
      </c>
      <c r="C441" s="34">
        <v>4301051897</v>
      </c>
      <c r="D441" s="704">
        <v>4607091384260</v>
      </c>
      <c r="E441" s="704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132</v>
      </c>
      <c r="L441" s="35" t="s">
        <v>46</v>
      </c>
      <c r="M441" s="36" t="s">
        <v>89</v>
      </c>
      <c r="N441" s="36"/>
      <c r="O441" s="35">
        <v>40</v>
      </c>
      <c r="P441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737</v>
      </c>
      <c r="B442" s="60" t="s">
        <v>738</v>
      </c>
      <c r="C442" s="34">
        <v>4301052220</v>
      </c>
      <c r="D442" s="704">
        <v>4680115889538</v>
      </c>
      <c r="E442" s="704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132</v>
      </c>
      <c r="L442" s="35" t="s">
        <v>46</v>
      </c>
      <c r="M442" s="36" t="s">
        <v>89</v>
      </c>
      <c r="N442" s="36"/>
      <c r="O442" s="35">
        <v>45</v>
      </c>
      <c r="P442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739</v>
      </c>
      <c r="AG442" s="75"/>
      <c r="AJ442" s="79" t="s">
        <v>46</v>
      </c>
      <c r="AK442" s="79">
        <v>0</v>
      </c>
      <c r="BB442" s="54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712"/>
      <c r="B443" s="712"/>
      <c r="C443" s="712"/>
      <c r="D443" s="712"/>
      <c r="E443" s="712"/>
      <c r="F443" s="712"/>
      <c r="G443" s="712"/>
      <c r="H443" s="712"/>
      <c r="I443" s="712"/>
      <c r="J443" s="712"/>
      <c r="K443" s="712"/>
      <c r="L443" s="712"/>
      <c r="M443" s="712"/>
      <c r="N443" s="712"/>
      <c r="O443" s="713"/>
      <c r="P443" s="709" t="s">
        <v>40</v>
      </c>
      <c r="Q443" s="710"/>
      <c r="R443" s="710"/>
      <c r="S443" s="710"/>
      <c r="T443" s="710"/>
      <c r="U443" s="710"/>
      <c r="V443" s="711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703" t="s">
        <v>180</v>
      </c>
      <c r="B445" s="703"/>
      <c r="C445" s="703"/>
      <c r="D445" s="703"/>
      <c r="E445" s="703"/>
      <c r="F445" s="703"/>
      <c r="G445" s="703"/>
      <c r="H445" s="703"/>
      <c r="I445" s="703"/>
      <c r="J445" s="703"/>
      <c r="K445" s="703"/>
      <c r="L445" s="703"/>
      <c r="M445" s="703"/>
      <c r="N445" s="703"/>
      <c r="O445" s="703"/>
      <c r="P445" s="703"/>
      <c r="Q445" s="703"/>
      <c r="R445" s="703"/>
      <c r="S445" s="703"/>
      <c r="T445" s="703"/>
      <c r="U445" s="703"/>
      <c r="V445" s="703"/>
      <c r="W445" s="703"/>
      <c r="X445" s="703"/>
      <c r="Y445" s="703"/>
      <c r="Z445" s="703"/>
      <c r="AA445" s="63"/>
      <c r="AB445" s="63"/>
      <c r="AC445" s="63"/>
    </row>
    <row r="446" spans="1:68" ht="27" hidden="1" customHeight="1" x14ac:dyDescent="0.25">
      <c r="A446" s="60" t="s">
        <v>740</v>
      </c>
      <c r="B446" s="60" t="s">
        <v>741</v>
      </c>
      <c r="C446" s="34">
        <v>4301060537</v>
      </c>
      <c r="D446" s="704">
        <v>4680115889545</v>
      </c>
      <c r="E446" s="704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132</v>
      </c>
      <c r="L446" s="35" t="s">
        <v>46</v>
      </c>
      <c r="M446" s="36" t="s">
        <v>89</v>
      </c>
      <c r="N446" s="36"/>
      <c r="O446" s="35">
        <v>30</v>
      </c>
      <c r="P446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06"/>
      <c r="R446" s="706"/>
      <c r="S446" s="706"/>
      <c r="T446" s="70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743</v>
      </c>
      <c r="B447" s="60" t="s">
        <v>744</v>
      </c>
      <c r="C447" s="34">
        <v>4301060524</v>
      </c>
      <c r="D447" s="704">
        <v>4607091384673</v>
      </c>
      <c r="E447" s="704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132</v>
      </c>
      <c r="L447" s="35" t="s">
        <v>46</v>
      </c>
      <c r="M447" s="36" t="s">
        <v>89</v>
      </c>
      <c r="N447" s="36"/>
      <c r="O447" s="35">
        <v>40</v>
      </c>
      <c r="P447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745</v>
      </c>
      <c r="AG447" s="75"/>
      <c r="AJ447" s="79" t="s">
        <v>46</v>
      </c>
      <c r="AK447" s="79">
        <v>0</v>
      </c>
      <c r="BB447" s="54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12"/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3"/>
      <c r="P448" s="709" t="s">
        <v>40</v>
      </c>
      <c r="Q448" s="710"/>
      <c r="R448" s="710"/>
      <c r="S448" s="710"/>
      <c r="T448" s="710"/>
      <c r="U448" s="710"/>
      <c r="V448" s="711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702" t="s">
        <v>746</v>
      </c>
      <c r="B450" s="702"/>
      <c r="C450" s="702"/>
      <c r="D450" s="702"/>
      <c r="E450" s="702"/>
      <c r="F450" s="702"/>
      <c r="G450" s="702"/>
      <c r="H450" s="702"/>
      <c r="I450" s="702"/>
      <c r="J450" s="702"/>
      <c r="K450" s="702"/>
      <c r="L450" s="702"/>
      <c r="M450" s="702"/>
      <c r="N450" s="702"/>
      <c r="O450" s="702"/>
      <c r="P450" s="702"/>
      <c r="Q450" s="702"/>
      <c r="R450" s="702"/>
      <c r="S450" s="702"/>
      <c r="T450" s="702"/>
      <c r="U450" s="702"/>
      <c r="V450" s="702"/>
      <c r="W450" s="702"/>
      <c r="X450" s="702"/>
      <c r="Y450" s="702"/>
      <c r="Z450" s="702"/>
      <c r="AA450" s="62"/>
      <c r="AB450" s="62"/>
      <c r="AC450" s="62"/>
    </row>
    <row r="451" spans="1:68" ht="14.25" hidden="1" customHeight="1" x14ac:dyDescent="0.25">
      <c r="A451" s="703" t="s">
        <v>127</v>
      </c>
      <c r="B451" s="703"/>
      <c r="C451" s="703"/>
      <c r="D451" s="703"/>
      <c r="E451" s="703"/>
      <c r="F451" s="703"/>
      <c r="G451" s="703"/>
      <c r="H451" s="703"/>
      <c r="I451" s="703"/>
      <c r="J451" s="703"/>
      <c r="K451" s="703"/>
      <c r="L451" s="703"/>
      <c r="M451" s="703"/>
      <c r="N451" s="703"/>
      <c r="O451" s="703"/>
      <c r="P451" s="703"/>
      <c r="Q451" s="703"/>
      <c r="R451" s="703"/>
      <c r="S451" s="703"/>
      <c r="T451" s="703"/>
      <c r="U451" s="703"/>
      <c r="V451" s="703"/>
      <c r="W451" s="703"/>
      <c r="X451" s="703"/>
      <c r="Y451" s="703"/>
      <c r="Z451" s="703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4301011875</v>
      </c>
      <c r="D452" s="704">
        <v>4680115884885</v>
      </c>
      <c r="E452" s="704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132</v>
      </c>
      <c r="L452" s="35" t="s">
        <v>46</v>
      </c>
      <c r="M452" s="36" t="s">
        <v>80</v>
      </c>
      <c r="N452" s="36"/>
      <c r="O452" s="35">
        <v>60</v>
      </c>
      <c r="P452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06"/>
      <c r="R452" s="706"/>
      <c r="S452" s="706"/>
      <c r="T452" s="70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749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750</v>
      </c>
      <c r="B453" s="60" t="s">
        <v>751</v>
      </c>
      <c r="C453" s="34">
        <v>4301011871</v>
      </c>
      <c r="D453" s="704">
        <v>4680115884908</v>
      </c>
      <c r="E453" s="704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139</v>
      </c>
      <c r="L453" s="35" t="s">
        <v>46</v>
      </c>
      <c r="M453" s="36" t="s">
        <v>80</v>
      </c>
      <c r="N453" s="36"/>
      <c r="O453" s="35">
        <v>60</v>
      </c>
      <c r="P453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749</v>
      </c>
      <c r="AG453" s="75"/>
      <c r="AJ453" s="79" t="s">
        <v>46</v>
      </c>
      <c r="AK453" s="79">
        <v>0</v>
      </c>
      <c r="BB453" s="54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12"/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3"/>
      <c r="P454" s="709" t="s">
        <v>40</v>
      </c>
      <c r="Q454" s="710"/>
      <c r="R454" s="710"/>
      <c r="S454" s="710"/>
      <c r="T454" s="710"/>
      <c r="U454" s="710"/>
      <c r="V454" s="711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703" t="s">
        <v>76</v>
      </c>
      <c r="B456" s="703"/>
      <c r="C456" s="703"/>
      <c r="D456" s="703"/>
      <c r="E456" s="703"/>
      <c r="F456" s="703"/>
      <c r="G456" s="703"/>
      <c r="H456" s="703"/>
      <c r="I456" s="703"/>
      <c r="J456" s="703"/>
      <c r="K456" s="703"/>
      <c r="L456" s="703"/>
      <c r="M456" s="703"/>
      <c r="N456" s="703"/>
      <c r="O456" s="703"/>
      <c r="P456" s="703"/>
      <c r="Q456" s="703"/>
      <c r="R456" s="703"/>
      <c r="S456" s="703"/>
      <c r="T456" s="703"/>
      <c r="U456" s="703"/>
      <c r="V456" s="703"/>
      <c r="W456" s="703"/>
      <c r="X456" s="703"/>
      <c r="Y456" s="703"/>
      <c r="Z456" s="703"/>
      <c r="AA456" s="63"/>
      <c r="AB456" s="63"/>
      <c r="AC456" s="63"/>
    </row>
    <row r="457" spans="1:68" ht="27" hidden="1" customHeight="1" x14ac:dyDescent="0.25">
      <c r="A457" s="60" t="s">
        <v>752</v>
      </c>
      <c r="B457" s="60" t="s">
        <v>753</v>
      </c>
      <c r="C457" s="34">
        <v>4301031457</v>
      </c>
      <c r="D457" s="704">
        <v>4607091384802</v>
      </c>
      <c r="E457" s="704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139</v>
      </c>
      <c r="L457" s="35" t="s">
        <v>46</v>
      </c>
      <c r="M457" s="36" t="s">
        <v>80</v>
      </c>
      <c r="N457" s="36"/>
      <c r="O457" s="35">
        <v>50</v>
      </c>
      <c r="P457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06"/>
      <c r="R457" s="706"/>
      <c r="S457" s="706"/>
      <c r="T457" s="707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754</v>
      </c>
      <c r="AG457" s="75"/>
      <c r="AJ457" s="79" t="s">
        <v>46</v>
      </c>
      <c r="AK457" s="79">
        <v>0</v>
      </c>
      <c r="BB457" s="55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712"/>
      <c r="B458" s="712"/>
      <c r="C458" s="712"/>
      <c r="D458" s="712"/>
      <c r="E458" s="712"/>
      <c r="F458" s="712"/>
      <c r="G458" s="712"/>
      <c r="H458" s="712"/>
      <c r="I458" s="712"/>
      <c r="J458" s="712"/>
      <c r="K458" s="712"/>
      <c r="L458" s="712"/>
      <c r="M458" s="712"/>
      <c r="N458" s="712"/>
      <c r="O458" s="713"/>
      <c r="P458" s="709" t="s">
        <v>40</v>
      </c>
      <c r="Q458" s="710"/>
      <c r="R458" s="710"/>
      <c r="S458" s="710"/>
      <c r="T458" s="710"/>
      <c r="U458" s="710"/>
      <c r="V458" s="711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703" t="s">
        <v>85</v>
      </c>
      <c r="B460" s="703"/>
      <c r="C460" s="703"/>
      <c r="D460" s="703"/>
      <c r="E460" s="703"/>
      <c r="F460" s="703"/>
      <c r="G460" s="703"/>
      <c r="H460" s="703"/>
      <c r="I460" s="703"/>
      <c r="J460" s="703"/>
      <c r="K460" s="703"/>
      <c r="L460" s="703"/>
      <c r="M460" s="703"/>
      <c r="N460" s="703"/>
      <c r="O460" s="703"/>
      <c r="P460" s="703"/>
      <c r="Q460" s="703"/>
      <c r="R460" s="703"/>
      <c r="S460" s="703"/>
      <c r="T460" s="703"/>
      <c r="U460" s="703"/>
      <c r="V460" s="703"/>
      <c r="W460" s="703"/>
      <c r="X460" s="703"/>
      <c r="Y460" s="703"/>
      <c r="Z460" s="703"/>
      <c r="AA460" s="63"/>
      <c r="AB460" s="63"/>
      <c r="AC460" s="63"/>
    </row>
    <row r="461" spans="1:68" ht="27" hidden="1" customHeight="1" x14ac:dyDescent="0.25">
      <c r="A461" s="60" t="s">
        <v>755</v>
      </c>
      <c r="B461" s="60" t="s">
        <v>756</v>
      </c>
      <c r="C461" s="34">
        <v>4301051899</v>
      </c>
      <c r="D461" s="704">
        <v>4607091384246</v>
      </c>
      <c r="E461" s="704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132</v>
      </c>
      <c r="L461" s="35" t="s">
        <v>46</v>
      </c>
      <c r="M461" s="36" t="s">
        <v>89</v>
      </c>
      <c r="N461" s="36"/>
      <c r="O461" s="35">
        <v>40</v>
      </c>
      <c r="P461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06"/>
      <c r="R461" s="706"/>
      <c r="S461" s="706"/>
      <c r="T461" s="70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757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758</v>
      </c>
      <c r="B462" s="60" t="s">
        <v>759</v>
      </c>
      <c r="C462" s="34">
        <v>4301051660</v>
      </c>
      <c r="D462" s="704">
        <v>4607091384253</v>
      </c>
      <c r="E462" s="70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757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758</v>
      </c>
      <c r="B463" s="60" t="s">
        <v>760</v>
      </c>
      <c r="C463" s="34">
        <v>4301052069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761</v>
      </c>
      <c r="AG463" s="75"/>
      <c r="AJ463" s="79" t="s">
        <v>46</v>
      </c>
      <c r="AK463" s="79">
        <v>0</v>
      </c>
      <c r="BB463" s="55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712"/>
      <c r="B464" s="712"/>
      <c r="C464" s="712"/>
      <c r="D464" s="712"/>
      <c r="E464" s="712"/>
      <c r="F464" s="712"/>
      <c r="G464" s="712"/>
      <c r="H464" s="712"/>
      <c r="I464" s="712"/>
      <c r="J464" s="712"/>
      <c r="K464" s="712"/>
      <c r="L464" s="712"/>
      <c r="M464" s="712"/>
      <c r="N464" s="712"/>
      <c r="O464" s="713"/>
      <c r="P464" s="709" t="s">
        <v>40</v>
      </c>
      <c r="Q464" s="710"/>
      <c r="R464" s="710"/>
      <c r="S464" s="710"/>
      <c r="T464" s="710"/>
      <c r="U464" s="710"/>
      <c r="V464" s="711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701" t="s">
        <v>762</v>
      </c>
      <c r="B466" s="701"/>
      <c r="C466" s="701"/>
      <c r="D466" s="701"/>
      <c r="E466" s="701"/>
      <c r="F466" s="701"/>
      <c r="G466" s="701"/>
      <c r="H466" s="701"/>
      <c r="I466" s="701"/>
      <c r="J466" s="701"/>
      <c r="K466" s="701"/>
      <c r="L466" s="701"/>
      <c r="M466" s="701"/>
      <c r="N466" s="701"/>
      <c r="O466" s="701"/>
      <c r="P466" s="701"/>
      <c r="Q466" s="701"/>
      <c r="R466" s="701"/>
      <c r="S466" s="701"/>
      <c r="T466" s="701"/>
      <c r="U466" s="701"/>
      <c r="V466" s="701"/>
      <c r="W466" s="701"/>
      <c r="X466" s="701"/>
      <c r="Y466" s="701"/>
      <c r="Z466" s="701"/>
      <c r="AA466" s="52"/>
      <c r="AB466" s="52"/>
      <c r="AC466" s="52"/>
    </row>
    <row r="467" spans="1:68" ht="16.5" hidden="1" customHeight="1" x14ac:dyDescent="0.25">
      <c r="A467" s="702" t="s">
        <v>763</v>
      </c>
      <c r="B467" s="702"/>
      <c r="C467" s="702"/>
      <c r="D467" s="702"/>
      <c r="E467" s="702"/>
      <c r="F467" s="702"/>
      <c r="G467" s="702"/>
      <c r="H467" s="702"/>
      <c r="I467" s="702"/>
      <c r="J467" s="702"/>
      <c r="K467" s="702"/>
      <c r="L467" s="702"/>
      <c r="M467" s="702"/>
      <c r="N467" s="702"/>
      <c r="O467" s="702"/>
      <c r="P467" s="702"/>
      <c r="Q467" s="702"/>
      <c r="R467" s="702"/>
      <c r="S467" s="702"/>
      <c r="T467" s="702"/>
      <c r="U467" s="702"/>
      <c r="V467" s="702"/>
      <c r="W467" s="702"/>
      <c r="X467" s="702"/>
      <c r="Y467" s="702"/>
      <c r="Z467" s="702"/>
      <c r="AA467" s="62"/>
      <c r="AB467" s="62"/>
      <c r="AC467" s="62"/>
    </row>
    <row r="468" spans="1:68" ht="14.25" hidden="1" customHeight="1" x14ac:dyDescent="0.25">
      <c r="A468" s="703" t="s">
        <v>76</v>
      </c>
      <c r="B468" s="703"/>
      <c r="C468" s="703"/>
      <c r="D468" s="703"/>
      <c r="E468" s="703"/>
      <c r="F468" s="703"/>
      <c r="G468" s="703"/>
      <c r="H468" s="703"/>
      <c r="I468" s="703"/>
      <c r="J468" s="703"/>
      <c r="K468" s="703"/>
      <c r="L468" s="703"/>
      <c r="M468" s="703"/>
      <c r="N468" s="703"/>
      <c r="O468" s="703"/>
      <c r="P468" s="703"/>
      <c r="Q468" s="703"/>
      <c r="R468" s="703"/>
      <c r="S468" s="703"/>
      <c r="T468" s="703"/>
      <c r="U468" s="703"/>
      <c r="V468" s="703"/>
      <c r="W468" s="703"/>
      <c r="X468" s="703"/>
      <c r="Y468" s="703"/>
      <c r="Z468" s="703"/>
      <c r="AA468" s="63"/>
      <c r="AB468" s="63"/>
      <c r="AC468" s="63"/>
    </row>
    <row r="469" spans="1:68" ht="27" hidden="1" customHeight="1" x14ac:dyDescent="0.25">
      <c r="A469" s="60" t="s">
        <v>764</v>
      </c>
      <c r="B469" s="60" t="s">
        <v>765</v>
      </c>
      <c r="C469" s="34">
        <v>4301031405</v>
      </c>
      <c r="D469" s="704">
        <v>4680115886100</v>
      </c>
      <c r="E469" s="70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06"/>
      <c r="R469" s="706"/>
      <c r="S469" s="706"/>
      <c r="T469" s="70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4301031402</v>
      </c>
      <c r="D470" s="704">
        <v>4680115886124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139</v>
      </c>
      <c r="L470" s="35" t="s">
        <v>46</v>
      </c>
      <c r="M470" s="36" t="s">
        <v>80</v>
      </c>
      <c r="N470" s="36"/>
      <c r="O470" s="35">
        <v>50</v>
      </c>
      <c r="P470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769</v>
      </c>
      <c r="AG470" s="75"/>
      <c r="AJ470" s="79" t="s">
        <v>46</v>
      </c>
      <c r="AK470" s="79">
        <v>0</v>
      </c>
      <c r="BB470" s="560" t="s">
        <v>66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770</v>
      </c>
      <c r="B471" s="60" t="s">
        <v>771</v>
      </c>
      <c r="C471" s="34">
        <v>4301031362</v>
      </c>
      <c r="D471" s="704">
        <v>4607091384338</v>
      </c>
      <c r="E471" s="70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766</v>
      </c>
      <c r="AG471" s="75"/>
      <c r="AJ471" s="79" t="s">
        <v>46</v>
      </c>
      <c r="AK471" s="79">
        <v>0</v>
      </c>
      <c r="BB471" s="562" t="s">
        <v>66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4301031364</v>
      </c>
      <c r="D472" s="704">
        <v>4680115883161</v>
      </c>
      <c r="E472" s="704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775</v>
      </c>
      <c r="B473" s="60" t="s">
        <v>776</v>
      </c>
      <c r="C473" s="34">
        <v>4301031358</v>
      </c>
      <c r="D473" s="704">
        <v>4607091389531</v>
      </c>
      <c r="E473" s="70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777</v>
      </c>
      <c r="AG473" s="75"/>
      <c r="AJ473" s="79" t="s">
        <v>46</v>
      </c>
      <c r="AK473" s="79">
        <v>0</v>
      </c>
      <c r="BB473" s="566" t="s">
        <v>66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778</v>
      </c>
      <c r="B474" s="60" t="s">
        <v>779</v>
      </c>
      <c r="C474" s="34">
        <v>4301031360</v>
      </c>
      <c r="D474" s="704">
        <v>4607091384345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774</v>
      </c>
      <c r="AG474" s="75"/>
      <c r="AJ474" s="79" t="s">
        <v>46</v>
      </c>
      <c r="AK474" s="79">
        <v>0</v>
      </c>
      <c r="BB474" s="568" t="s">
        <v>66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712"/>
      <c r="B475" s="712"/>
      <c r="C475" s="712"/>
      <c r="D475" s="712"/>
      <c r="E475" s="712"/>
      <c r="F475" s="712"/>
      <c r="G475" s="712"/>
      <c r="H475" s="712"/>
      <c r="I475" s="712"/>
      <c r="J475" s="712"/>
      <c r="K475" s="712"/>
      <c r="L475" s="712"/>
      <c r="M475" s="712"/>
      <c r="N475" s="712"/>
      <c r="O475" s="713"/>
      <c r="P475" s="709" t="s">
        <v>40</v>
      </c>
      <c r="Q475" s="710"/>
      <c r="R475" s="710"/>
      <c r="S475" s="710"/>
      <c r="T475" s="710"/>
      <c r="U475" s="710"/>
      <c r="V475" s="711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703" t="s">
        <v>85</v>
      </c>
      <c r="B477" s="703"/>
      <c r="C477" s="703"/>
      <c r="D477" s="703"/>
      <c r="E477" s="703"/>
      <c r="F477" s="703"/>
      <c r="G477" s="703"/>
      <c r="H477" s="703"/>
      <c r="I477" s="703"/>
      <c r="J477" s="703"/>
      <c r="K477" s="703"/>
      <c r="L477" s="703"/>
      <c r="M477" s="703"/>
      <c r="N477" s="703"/>
      <c r="O477" s="703"/>
      <c r="P477" s="703"/>
      <c r="Q477" s="703"/>
      <c r="R477" s="703"/>
      <c r="S477" s="703"/>
      <c r="T477" s="703"/>
      <c r="U477" s="703"/>
      <c r="V477" s="703"/>
      <c r="W477" s="703"/>
      <c r="X477" s="703"/>
      <c r="Y477" s="703"/>
      <c r="Z477" s="703"/>
      <c r="AA477" s="63"/>
      <c r="AB477" s="63"/>
      <c r="AC477" s="63"/>
    </row>
    <row r="478" spans="1:68" ht="27" hidden="1" customHeight="1" x14ac:dyDescent="0.25">
      <c r="A478" s="60" t="s">
        <v>780</v>
      </c>
      <c r="B478" s="60" t="s">
        <v>781</v>
      </c>
      <c r="C478" s="34">
        <v>4301051284</v>
      </c>
      <c r="D478" s="704">
        <v>4607091384352</v>
      </c>
      <c r="E478" s="704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139</v>
      </c>
      <c r="L478" s="35" t="s">
        <v>46</v>
      </c>
      <c r="M478" s="36" t="s">
        <v>89</v>
      </c>
      <c r="N478" s="36"/>
      <c r="O478" s="35">
        <v>45</v>
      </c>
      <c r="P478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06"/>
      <c r="R478" s="706"/>
      <c r="S478" s="706"/>
      <c r="T478" s="70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783</v>
      </c>
      <c r="B479" s="60" t="s">
        <v>784</v>
      </c>
      <c r="C479" s="34">
        <v>4301051431</v>
      </c>
      <c r="D479" s="704">
        <v>4607091389654</v>
      </c>
      <c r="E479" s="704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90</v>
      </c>
      <c r="L479" s="35" t="s">
        <v>46</v>
      </c>
      <c r="M479" s="36" t="s">
        <v>89</v>
      </c>
      <c r="N479" s="36"/>
      <c r="O479" s="35">
        <v>45</v>
      </c>
      <c r="P479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785</v>
      </c>
      <c r="AG479" s="75"/>
      <c r="AJ479" s="79" t="s">
        <v>46</v>
      </c>
      <c r="AK479" s="79">
        <v>0</v>
      </c>
      <c r="BB479" s="572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712"/>
      <c r="B480" s="712"/>
      <c r="C480" s="712"/>
      <c r="D480" s="712"/>
      <c r="E480" s="712"/>
      <c r="F480" s="712"/>
      <c r="G480" s="712"/>
      <c r="H480" s="712"/>
      <c r="I480" s="712"/>
      <c r="J480" s="712"/>
      <c r="K480" s="712"/>
      <c r="L480" s="712"/>
      <c r="M480" s="712"/>
      <c r="N480" s="712"/>
      <c r="O480" s="713"/>
      <c r="P480" s="709" t="s">
        <v>40</v>
      </c>
      <c r="Q480" s="710"/>
      <c r="R480" s="710"/>
      <c r="S480" s="710"/>
      <c r="T480" s="710"/>
      <c r="U480" s="710"/>
      <c r="V480" s="711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702" t="s">
        <v>786</v>
      </c>
      <c r="B482" s="702"/>
      <c r="C482" s="702"/>
      <c r="D482" s="702"/>
      <c r="E482" s="702"/>
      <c r="F482" s="702"/>
      <c r="G482" s="702"/>
      <c r="H482" s="702"/>
      <c r="I482" s="702"/>
      <c r="J482" s="702"/>
      <c r="K482" s="702"/>
      <c r="L482" s="702"/>
      <c r="M482" s="702"/>
      <c r="N482" s="702"/>
      <c r="O482" s="702"/>
      <c r="P482" s="702"/>
      <c r="Q482" s="702"/>
      <c r="R482" s="702"/>
      <c r="S482" s="702"/>
      <c r="T482" s="702"/>
      <c r="U482" s="702"/>
      <c r="V482" s="702"/>
      <c r="W482" s="702"/>
      <c r="X482" s="702"/>
      <c r="Y482" s="702"/>
      <c r="Z482" s="702"/>
      <c r="AA482" s="62"/>
      <c r="AB482" s="62"/>
      <c r="AC482" s="62"/>
    </row>
    <row r="483" spans="1:68" ht="14.25" hidden="1" customHeight="1" x14ac:dyDescent="0.25">
      <c r="A483" s="703" t="s">
        <v>163</v>
      </c>
      <c r="B483" s="703"/>
      <c r="C483" s="703"/>
      <c r="D483" s="703"/>
      <c r="E483" s="703"/>
      <c r="F483" s="703"/>
      <c r="G483" s="703"/>
      <c r="H483" s="703"/>
      <c r="I483" s="703"/>
      <c r="J483" s="703"/>
      <c r="K483" s="703"/>
      <c r="L483" s="703"/>
      <c r="M483" s="703"/>
      <c r="N483" s="703"/>
      <c r="O483" s="703"/>
      <c r="P483" s="703"/>
      <c r="Q483" s="703"/>
      <c r="R483" s="703"/>
      <c r="S483" s="703"/>
      <c r="T483" s="703"/>
      <c r="U483" s="703"/>
      <c r="V483" s="703"/>
      <c r="W483" s="703"/>
      <c r="X483" s="703"/>
      <c r="Y483" s="703"/>
      <c r="Z483" s="703"/>
      <c r="AA483" s="63"/>
      <c r="AB483" s="63"/>
      <c r="AC483" s="63"/>
    </row>
    <row r="484" spans="1:68" ht="27" hidden="1" customHeight="1" x14ac:dyDescent="0.25">
      <c r="A484" s="60" t="s">
        <v>787</v>
      </c>
      <c r="B484" s="60" t="s">
        <v>788</v>
      </c>
      <c r="C484" s="34">
        <v>4301020416</v>
      </c>
      <c r="D484" s="704">
        <v>4680115885240</v>
      </c>
      <c r="E484" s="704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90</v>
      </c>
      <c r="L484" s="35" t="s">
        <v>46</v>
      </c>
      <c r="M484" s="36" t="s">
        <v>80</v>
      </c>
      <c r="N484" s="36"/>
      <c r="O484" s="35">
        <v>40</v>
      </c>
      <c r="P484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06"/>
      <c r="R484" s="706"/>
      <c r="S484" s="706"/>
      <c r="T484" s="70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789</v>
      </c>
      <c r="AG484" s="75"/>
      <c r="AJ484" s="79" t="s">
        <v>46</v>
      </c>
      <c r="AK484" s="79">
        <v>0</v>
      </c>
      <c r="BB484" s="574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712"/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3"/>
      <c r="P485" s="709" t="s">
        <v>40</v>
      </c>
      <c r="Q485" s="710"/>
      <c r="R485" s="710"/>
      <c r="S485" s="710"/>
      <c r="T485" s="710"/>
      <c r="U485" s="710"/>
      <c r="V485" s="711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703" t="s">
        <v>76</v>
      </c>
      <c r="B487" s="703"/>
      <c r="C487" s="703"/>
      <c r="D487" s="703"/>
      <c r="E487" s="703"/>
      <c r="F487" s="703"/>
      <c r="G487" s="703"/>
      <c r="H487" s="703"/>
      <c r="I487" s="703"/>
      <c r="J487" s="703"/>
      <c r="K487" s="703"/>
      <c r="L487" s="703"/>
      <c r="M487" s="703"/>
      <c r="N487" s="703"/>
      <c r="O487" s="703"/>
      <c r="P487" s="703"/>
      <c r="Q487" s="703"/>
      <c r="R487" s="703"/>
      <c r="S487" s="703"/>
      <c r="T487" s="703"/>
      <c r="U487" s="703"/>
      <c r="V487" s="703"/>
      <c r="W487" s="703"/>
      <c r="X487" s="703"/>
      <c r="Y487" s="703"/>
      <c r="Z487" s="703"/>
      <c r="AA487" s="63"/>
      <c r="AB487" s="63"/>
      <c r="AC487" s="63"/>
    </row>
    <row r="488" spans="1:68" ht="27" hidden="1" customHeight="1" x14ac:dyDescent="0.25">
      <c r="A488" s="60" t="s">
        <v>790</v>
      </c>
      <c r="B488" s="60" t="s">
        <v>791</v>
      </c>
      <c r="C488" s="34">
        <v>4301031407</v>
      </c>
      <c r="D488" s="704">
        <v>4680115886094</v>
      </c>
      <c r="E488" s="704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139</v>
      </c>
      <c r="L488" s="35" t="s">
        <v>46</v>
      </c>
      <c r="M488" s="36" t="s">
        <v>80</v>
      </c>
      <c r="N488" s="36"/>
      <c r="O488" s="35">
        <v>50</v>
      </c>
      <c r="P488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06"/>
      <c r="R488" s="706"/>
      <c r="S488" s="706"/>
      <c r="T488" s="70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4301031373</v>
      </c>
      <c r="D489" s="704">
        <v>4680115880771</v>
      </c>
      <c r="E489" s="704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795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796</v>
      </c>
      <c r="B490" s="60" t="s">
        <v>797</v>
      </c>
      <c r="C490" s="34">
        <v>4301031359</v>
      </c>
      <c r="D490" s="704">
        <v>4607091389500</v>
      </c>
      <c r="E490" s="704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795</v>
      </c>
      <c r="AG490" s="75"/>
      <c r="AJ490" s="79" t="s">
        <v>46</v>
      </c>
      <c r="AK490" s="79">
        <v>0</v>
      </c>
      <c r="BB490" s="580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12"/>
      <c r="B491" s="712"/>
      <c r="C491" s="712"/>
      <c r="D491" s="712"/>
      <c r="E491" s="712"/>
      <c r="F491" s="712"/>
      <c r="G491" s="712"/>
      <c r="H491" s="712"/>
      <c r="I491" s="712"/>
      <c r="J491" s="712"/>
      <c r="K491" s="712"/>
      <c r="L491" s="712"/>
      <c r="M491" s="712"/>
      <c r="N491" s="712"/>
      <c r="O491" s="713"/>
      <c r="P491" s="709" t="s">
        <v>40</v>
      </c>
      <c r="Q491" s="710"/>
      <c r="R491" s="710"/>
      <c r="S491" s="710"/>
      <c r="T491" s="710"/>
      <c r="U491" s="710"/>
      <c r="V491" s="711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701" t="s">
        <v>798</v>
      </c>
      <c r="B493" s="701"/>
      <c r="C493" s="701"/>
      <c r="D493" s="701"/>
      <c r="E493" s="701"/>
      <c r="F493" s="701"/>
      <c r="G493" s="701"/>
      <c r="H493" s="701"/>
      <c r="I493" s="701"/>
      <c r="J493" s="701"/>
      <c r="K493" s="701"/>
      <c r="L493" s="701"/>
      <c r="M493" s="701"/>
      <c r="N493" s="701"/>
      <c r="O493" s="701"/>
      <c r="P493" s="701"/>
      <c r="Q493" s="701"/>
      <c r="R493" s="701"/>
      <c r="S493" s="701"/>
      <c r="T493" s="701"/>
      <c r="U493" s="701"/>
      <c r="V493" s="701"/>
      <c r="W493" s="701"/>
      <c r="X493" s="701"/>
      <c r="Y493" s="701"/>
      <c r="Z493" s="701"/>
      <c r="AA493" s="52"/>
      <c r="AB493" s="52"/>
      <c r="AC493" s="52"/>
    </row>
    <row r="494" spans="1:68" ht="16.5" hidden="1" customHeight="1" x14ac:dyDescent="0.25">
      <c r="A494" s="702" t="s">
        <v>798</v>
      </c>
      <c r="B494" s="702"/>
      <c r="C494" s="702"/>
      <c r="D494" s="702"/>
      <c r="E494" s="702"/>
      <c r="F494" s="702"/>
      <c r="G494" s="702"/>
      <c r="H494" s="702"/>
      <c r="I494" s="702"/>
      <c r="J494" s="702"/>
      <c r="K494" s="702"/>
      <c r="L494" s="702"/>
      <c r="M494" s="702"/>
      <c r="N494" s="702"/>
      <c r="O494" s="702"/>
      <c r="P494" s="702"/>
      <c r="Q494" s="702"/>
      <c r="R494" s="702"/>
      <c r="S494" s="702"/>
      <c r="T494" s="702"/>
      <c r="U494" s="702"/>
      <c r="V494" s="702"/>
      <c r="W494" s="702"/>
      <c r="X494" s="702"/>
      <c r="Y494" s="702"/>
      <c r="Z494" s="702"/>
      <c r="AA494" s="62"/>
      <c r="AB494" s="62"/>
      <c r="AC494" s="62"/>
    </row>
    <row r="495" spans="1:68" ht="14.25" hidden="1" customHeight="1" x14ac:dyDescent="0.25">
      <c r="A495" s="703" t="s">
        <v>127</v>
      </c>
      <c r="B495" s="703"/>
      <c r="C495" s="703"/>
      <c r="D495" s="703"/>
      <c r="E495" s="703"/>
      <c r="F495" s="703"/>
      <c r="G495" s="703"/>
      <c r="H495" s="703"/>
      <c r="I495" s="703"/>
      <c r="J495" s="703"/>
      <c r="K495" s="703"/>
      <c r="L495" s="703"/>
      <c r="M495" s="703"/>
      <c r="N495" s="703"/>
      <c r="O495" s="703"/>
      <c r="P495" s="703"/>
      <c r="Q495" s="703"/>
      <c r="R495" s="703"/>
      <c r="S495" s="703"/>
      <c r="T495" s="703"/>
      <c r="U495" s="703"/>
      <c r="V495" s="703"/>
      <c r="W495" s="703"/>
      <c r="X495" s="703"/>
      <c r="Y495" s="703"/>
      <c r="Z495" s="703"/>
      <c r="AA495" s="63"/>
      <c r="AB495" s="63"/>
      <c r="AC495" s="63"/>
    </row>
    <row r="496" spans="1:68" ht="27" hidden="1" customHeight="1" x14ac:dyDescent="0.25">
      <c r="A496" s="60" t="s">
        <v>799</v>
      </c>
      <c r="B496" s="60" t="s">
        <v>800</v>
      </c>
      <c r="C496" s="34">
        <v>4301011769</v>
      </c>
      <c r="D496" s="704">
        <v>4607091389067</v>
      </c>
      <c r="E496" s="70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89</v>
      </c>
      <c r="N496" s="36"/>
      <c r="O496" s="35">
        <v>60</v>
      </c>
      <c r="P496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06"/>
      <c r="R496" s="706"/>
      <c r="S496" s="706"/>
      <c r="T496" s="70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130</v>
      </c>
      <c r="AG496" s="75"/>
      <c r="AJ496" s="79" t="s">
        <v>46</v>
      </c>
      <c r="AK496" s="79">
        <v>0</v>
      </c>
      <c r="BB496" s="582" t="s">
        <v>66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801</v>
      </c>
      <c r="B497" s="60" t="s">
        <v>802</v>
      </c>
      <c r="C497" s="34">
        <v>4301012380</v>
      </c>
      <c r="D497" s="704">
        <v>4680115889576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4301011961</v>
      </c>
      <c r="D498" s="704">
        <v>4680115885271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807</v>
      </c>
      <c r="B499" s="60" t="s">
        <v>808</v>
      </c>
      <c r="C499" s="34">
        <v>4301011369</v>
      </c>
      <c r="D499" s="704">
        <v>4680115885226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131</v>
      </c>
      <c r="N499" s="36"/>
      <c r="O499" s="35">
        <v>60</v>
      </c>
      <c r="P499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810</v>
      </c>
      <c r="B500" s="60" t="s">
        <v>811</v>
      </c>
      <c r="C500" s="34">
        <v>4301011797</v>
      </c>
      <c r="D500" s="704">
        <v>4680115884502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89</v>
      </c>
      <c r="N500" s="36"/>
      <c r="O500" s="35">
        <v>60</v>
      </c>
      <c r="P500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4301011771</v>
      </c>
      <c r="D501" s="704">
        <v>4607091389104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132</v>
      </c>
      <c r="L501" s="35" t="s">
        <v>46</v>
      </c>
      <c r="M501" s="36" t="s">
        <v>131</v>
      </c>
      <c r="N501" s="36"/>
      <c r="O501" s="35">
        <v>60</v>
      </c>
      <c r="P501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815</v>
      </c>
      <c r="AG501" s="75"/>
      <c r="AJ501" s="79" t="s">
        <v>46</v>
      </c>
      <c r="AK501" s="79">
        <v>0</v>
      </c>
      <c r="BB501" s="592" t="s">
        <v>66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816</v>
      </c>
      <c r="B502" s="60" t="s">
        <v>817</v>
      </c>
      <c r="C502" s="34">
        <v>4301012125</v>
      </c>
      <c r="D502" s="704">
        <v>4680115886391</v>
      </c>
      <c r="E502" s="704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90</v>
      </c>
      <c r="L502" s="35" t="s">
        <v>46</v>
      </c>
      <c r="M502" s="36" t="s">
        <v>89</v>
      </c>
      <c r="N502" s="36"/>
      <c r="O502" s="35">
        <v>60</v>
      </c>
      <c r="P502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818</v>
      </c>
      <c r="B503" s="60" t="s">
        <v>819</v>
      </c>
      <c r="C503" s="34">
        <v>4301012048</v>
      </c>
      <c r="D503" s="704">
        <v>4680115880603</v>
      </c>
      <c r="E503" s="70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89</v>
      </c>
      <c r="N503" s="36"/>
      <c r="O503" s="35">
        <v>60</v>
      </c>
      <c r="P503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130</v>
      </c>
      <c r="AG503" s="75"/>
      <c r="AJ503" s="79" t="s">
        <v>46</v>
      </c>
      <c r="AK503" s="79">
        <v>0</v>
      </c>
      <c r="BB503" s="596" t="s">
        <v>66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820</v>
      </c>
      <c r="B504" s="60" t="s">
        <v>821</v>
      </c>
      <c r="C504" s="34">
        <v>4301012034</v>
      </c>
      <c r="D504" s="704">
        <v>4607091389982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139</v>
      </c>
      <c r="L504" s="35" t="s">
        <v>46</v>
      </c>
      <c r="M504" s="36" t="s">
        <v>131</v>
      </c>
      <c r="N504" s="36"/>
      <c r="O504" s="35">
        <v>60</v>
      </c>
      <c r="P504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815</v>
      </c>
      <c r="AG504" s="75"/>
      <c r="AJ504" s="79" t="s">
        <v>46</v>
      </c>
      <c r="AK504" s="79">
        <v>0</v>
      </c>
      <c r="BB504" s="598" t="s">
        <v>66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712"/>
      <c r="B505" s="712"/>
      <c r="C505" s="712"/>
      <c r="D505" s="712"/>
      <c r="E505" s="712"/>
      <c r="F505" s="712"/>
      <c r="G505" s="712"/>
      <c r="H505" s="712"/>
      <c r="I505" s="712"/>
      <c r="J505" s="712"/>
      <c r="K505" s="712"/>
      <c r="L505" s="712"/>
      <c r="M505" s="712"/>
      <c r="N505" s="712"/>
      <c r="O505" s="713"/>
      <c r="P505" s="709" t="s">
        <v>40</v>
      </c>
      <c r="Q505" s="710"/>
      <c r="R505" s="710"/>
      <c r="S505" s="710"/>
      <c r="T505" s="710"/>
      <c r="U505" s="710"/>
      <c r="V505" s="711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703" t="s">
        <v>163</v>
      </c>
      <c r="B507" s="703"/>
      <c r="C507" s="703"/>
      <c r="D507" s="703"/>
      <c r="E507" s="703"/>
      <c r="F507" s="703"/>
      <c r="G507" s="703"/>
      <c r="H507" s="703"/>
      <c r="I507" s="703"/>
      <c r="J507" s="703"/>
      <c r="K507" s="703"/>
      <c r="L507" s="703"/>
      <c r="M507" s="703"/>
      <c r="N507" s="703"/>
      <c r="O507" s="703"/>
      <c r="P507" s="703"/>
      <c r="Q507" s="703"/>
      <c r="R507" s="703"/>
      <c r="S507" s="703"/>
      <c r="T507" s="703"/>
      <c r="U507" s="703"/>
      <c r="V507" s="703"/>
      <c r="W507" s="703"/>
      <c r="X507" s="703"/>
      <c r="Y507" s="703"/>
      <c r="Z507" s="703"/>
      <c r="AA507" s="63"/>
      <c r="AB507" s="63"/>
      <c r="AC507" s="63"/>
    </row>
    <row r="508" spans="1:68" ht="16.5" hidden="1" customHeight="1" x14ac:dyDescent="0.25">
      <c r="A508" s="60" t="s">
        <v>822</v>
      </c>
      <c r="B508" s="60" t="s">
        <v>823</v>
      </c>
      <c r="C508" s="34">
        <v>4301020334</v>
      </c>
      <c r="D508" s="704">
        <v>4607091388930</v>
      </c>
      <c r="E508" s="704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132</v>
      </c>
      <c r="L508" s="35" t="s">
        <v>46</v>
      </c>
      <c r="M508" s="36" t="s">
        <v>89</v>
      </c>
      <c r="N508" s="36"/>
      <c r="O508" s="35">
        <v>70</v>
      </c>
      <c r="P508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06"/>
      <c r="R508" s="706"/>
      <c r="S508" s="706"/>
      <c r="T508" s="70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824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825</v>
      </c>
      <c r="B509" s="60" t="s">
        <v>826</v>
      </c>
      <c r="C509" s="34">
        <v>4301020374</v>
      </c>
      <c r="D509" s="704">
        <v>4680115886407</v>
      </c>
      <c r="E509" s="704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90</v>
      </c>
      <c r="L509" s="35" t="s">
        <v>46</v>
      </c>
      <c r="M509" s="36" t="s">
        <v>131</v>
      </c>
      <c r="N509" s="36"/>
      <c r="O509" s="35">
        <v>70</v>
      </c>
      <c r="P509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824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827</v>
      </c>
      <c r="B510" s="60" t="s">
        <v>828</v>
      </c>
      <c r="C510" s="34">
        <v>4301020385</v>
      </c>
      <c r="D510" s="704">
        <v>4680115880054</v>
      </c>
      <c r="E510" s="704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139</v>
      </c>
      <c r="L510" s="35" t="s">
        <v>46</v>
      </c>
      <c r="M510" s="36" t="s">
        <v>131</v>
      </c>
      <c r="N510" s="36"/>
      <c r="O510" s="35">
        <v>70</v>
      </c>
      <c r="P510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824</v>
      </c>
      <c r="AG510" s="75"/>
      <c r="AJ510" s="79" t="s">
        <v>46</v>
      </c>
      <c r="AK510" s="79">
        <v>0</v>
      </c>
      <c r="BB510" s="604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712"/>
      <c r="B511" s="712"/>
      <c r="C511" s="712"/>
      <c r="D511" s="712"/>
      <c r="E511" s="712"/>
      <c r="F511" s="712"/>
      <c r="G511" s="712"/>
      <c r="H511" s="712"/>
      <c r="I511" s="712"/>
      <c r="J511" s="712"/>
      <c r="K511" s="712"/>
      <c r="L511" s="712"/>
      <c r="M511" s="712"/>
      <c r="N511" s="712"/>
      <c r="O511" s="713"/>
      <c r="P511" s="709" t="s">
        <v>40</v>
      </c>
      <c r="Q511" s="710"/>
      <c r="R511" s="710"/>
      <c r="S511" s="710"/>
      <c r="T511" s="710"/>
      <c r="U511" s="710"/>
      <c r="V511" s="711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703" t="s">
        <v>76</v>
      </c>
      <c r="B513" s="703"/>
      <c r="C513" s="703"/>
      <c r="D513" s="703"/>
      <c r="E513" s="703"/>
      <c r="F513" s="703"/>
      <c r="G513" s="703"/>
      <c r="H513" s="703"/>
      <c r="I513" s="703"/>
      <c r="J513" s="703"/>
      <c r="K513" s="703"/>
      <c r="L513" s="703"/>
      <c r="M513" s="703"/>
      <c r="N513" s="703"/>
      <c r="O513" s="703"/>
      <c r="P513" s="703"/>
      <c r="Q513" s="703"/>
      <c r="R513" s="703"/>
      <c r="S513" s="703"/>
      <c r="T513" s="703"/>
      <c r="U513" s="703"/>
      <c r="V513" s="703"/>
      <c r="W513" s="703"/>
      <c r="X513" s="703"/>
      <c r="Y513" s="703"/>
      <c r="Z513" s="703"/>
      <c r="AA513" s="63"/>
      <c r="AB513" s="63"/>
      <c r="AC513" s="63"/>
    </row>
    <row r="514" spans="1:68" ht="27" hidden="1" customHeight="1" x14ac:dyDescent="0.25">
      <c r="A514" s="60" t="s">
        <v>829</v>
      </c>
      <c r="B514" s="60" t="s">
        <v>830</v>
      </c>
      <c r="C514" s="34">
        <v>4301031349</v>
      </c>
      <c r="D514" s="704">
        <v>4680115883116</v>
      </c>
      <c r="E514" s="70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131</v>
      </c>
      <c r="N514" s="36"/>
      <c r="O514" s="35">
        <v>70</v>
      </c>
      <c r="P514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06"/>
      <c r="R514" s="706"/>
      <c r="S514" s="706"/>
      <c r="T514" s="70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4301031350</v>
      </c>
      <c r="D515" s="704">
        <v>4680115883093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4301031353</v>
      </c>
      <c r="D516" s="704">
        <v>4680115883109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132</v>
      </c>
      <c r="L516" s="35" t="s">
        <v>46</v>
      </c>
      <c r="M516" s="36" t="s">
        <v>80</v>
      </c>
      <c r="N516" s="36"/>
      <c r="O516" s="35">
        <v>70</v>
      </c>
      <c r="P516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837</v>
      </c>
      <c r="AG516" s="75"/>
      <c r="AJ516" s="79" t="s">
        <v>46</v>
      </c>
      <c r="AK516" s="79">
        <v>0</v>
      </c>
      <c r="BB516" s="610" t="s">
        <v>66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838</v>
      </c>
      <c r="B517" s="60" t="s">
        <v>839</v>
      </c>
      <c r="C517" s="34">
        <v>4301031419</v>
      </c>
      <c r="D517" s="704">
        <v>4680115882072</v>
      </c>
      <c r="E517" s="704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139</v>
      </c>
      <c r="L517" s="35" t="s">
        <v>46</v>
      </c>
      <c r="M517" s="36" t="s">
        <v>131</v>
      </c>
      <c r="N517" s="36"/>
      <c r="O517" s="35">
        <v>70</v>
      </c>
      <c r="P517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840</v>
      </c>
      <c r="B518" s="60" t="s">
        <v>841</v>
      </c>
      <c r="C518" s="34">
        <v>4301031352</v>
      </c>
      <c r="D518" s="704">
        <v>4680115882102</v>
      </c>
      <c r="E518" s="704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834</v>
      </c>
      <c r="AG518" s="75"/>
      <c r="AJ518" s="79" t="s">
        <v>46</v>
      </c>
      <c r="AK518" s="79">
        <v>0</v>
      </c>
      <c r="BB518" s="614" t="s">
        <v>66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840</v>
      </c>
      <c r="B519" s="60" t="s">
        <v>842</v>
      </c>
      <c r="C519" s="34">
        <v>4301031418</v>
      </c>
      <c r="D519" s="704">
        <v>4680115882102</v>
      </c>
      <c r="E519" s="70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4301031417</v>
      </c>
      <c r="D520" s="704">
        <v>4680115882096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139</v>
      </c>
      <c r="L520" s="35" t="s">
        <v>46</v>
      </c>
      <c r="M520" s="36" t="s">
        <v>80</v>
      </c>
      <c r="N520" s="36"/>
      <c r="O520" s="35">
        <v>70</v>
      </c>
      <c r="P520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837</v>
      </c>
      <c r="AG520" s="75"/>
      <c r="AJ520" s="79" t="s">
        <v>46</v>
      </c>
      <c r="AK520" s="79">
        <v>0</v>
      </c>
      <c r="BB520" s="618" t="s">
        <v>66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712"/>
      <c r="B521" s="712"/>
      <c r="C521" s="712"/>
      <c r="D521" s="712"/>
      <c r="E521" s="712"/>
      <c r="F521" s="712"/>
      <c r="G521" s="712"/>
      <c r="H521" s="712"/>
      <c r="I521" s="712"/>
      <c r="J521" s="712"/>
      <c r="K521" s="712"/>
      <c r="L521" s="712"/>
      <c r="M521" s="712"/>
      <c r="N521" s="712"/>
      <c r="O521" s="713"/>
      <c r="P521" s="709" t="s">
        <v>40</v>
      </c>
      <c r="Q521" s="710"/>
      <c r="R521" s="710"/>
      <c r="S521" s="710"/>
      <c r="T521" s="710"/>
      <c r="U521" s="710"/>
      <c r="V521" s="711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701" t="s">
        <v>845</v>
      </c>
      <c r="B523" s="701"/>
      <c r="C523" s="701"/>
      <c r="D523" s="701"/>
      <c r="E523" s="701"/>
      <c r="F523" s="701"/>
      <c r="G523" s="701"/>
      <c r="H523" s="701"/>
      <c r="I523" s="701"/>
      <c r="J523" s="701"/>
      <c r="K523" s="701"/>
      <c r="L523" s="701"/>
      <c r="M523" s="701"/>
      <c r="N523" s="701"/>
      <c r="O523" s="701"/>
      <c r="P523" s="701"/>
      <c r="Q523" s="701"/>
      <c r="R523" s="701"/>
      <c r="S523" s="701"/>
      <c r="T523" s="701"/>
      <c r="U523" s="701"/>
      <c r="V523" s="701"/>
      <c r="W523" s="701"/>
      <c r="X523" s="701"/>
      <c r="Y523" s="701"/>
      <c r="Z523" s="701"/>
      <c r="AA523" s="52"/>
      <c r="AB523" s="52"/>
      <c r="AC523" s="52"/>
    </row>
    <row r="524" spans="1:68" ht="16.5" hidden="1" customHeight="1" x14ac:dyDescent="0.25">
      <c r="A524" s="702" t="s">
        <v>845</v>
      </c>
      <c r="B524" s="702"/>
      <c r="C524" s="702"/>
      <c r="D524" s="702"/>
      <c r="E524" s="702"/>
      <c r="F524" s="702"/>
      <c r="G524" s="702"/>
      <c r="H524" s="702"/>
      <c r="I524" s="702"/>
      <c r="J524" s="702"/>
      <c r="K524" s="702"/>
      <c r="L524" s="702"/>
      <c r="M524" s="702"/>
      <c r="N524" s="702"/>
      <c r="O524" s="702"/>
      <c r="P524" s="702"/>
      <c r="Q524" s="702"/>
      <c r="R524" s="702"/>
      <c r="S524" s="702"/>
      <c r="T524" s="702"/>
      <c r="U524" s="702"/>
      <c r="V524" s="702"/>
      <c r="W524" s="702"/>
      <c r="X524" s="702"/>
      <c r="Y524" s="702"/>
      <c r="Z524" s="702"/>
      <c r="AA524" s="62"/>
      <c r="AB524" s="62"/>
      <c r="AC524" s="62"/>
    </row>
    <row r="525" spans="1:68" ht="14.25" hidden="1" customHeight="1" x14ac:dyDescent="0.25">
      <c r="A525" s="703" t="s">
        <v>127</v>
      </c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3"/>
      <c r="N525" s="703"/>
      <c r="O525" s="703"/>
      <c r="P525" s="703"/>
      <c r="Q525" s="703"/>
      <c r="R525" s="703"/>
      <c r="S525" s="703"/>
      <c r="T525" s="703"/>
      <c r="U525" s="703"/>
      <c r="V525" s="703"/>
      <c r="W525" s="703"/>
      <c r="X525" s="703"/>
      <c r="Y525" s="703"/>
      <c r="Z525" s="703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4301011584</v>
      </c>
      <c r="D526" s="704">
        <v>4640242180564</v>
      </c>
      <c r="E526" s="704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132</v>
      </c>
      <c r="L526" s="35" t="s">
        <v>46</v>
      </c>
      <c r="M526" s="36" t="s">
        <v>131</v>
      </c>
      <c r="N526" s="36"/>
      <c r="O526" s="35">
        <v>50</v>
      </c>
      <c r="P526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06"/>
      <c r="R526" s="706"/>
      <c r="S526" s="706"/>
      <c r="T526" s="707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848</v>
      </c>
      <c r="AG526" s="75"/>
      <c r="AJ526" s="79" t="s">
        <v>46</v>
      </c>
      <c r="AK526" s="79">
        <v>0</v>
      </c>
      <c r="BB526" s="620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712"/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3"/>
      <c r="P527" s="709" t="s">
        <v>40</v>
      </c>
      <c r="Q527" s="710"/>
      <c r="R527" s="710"/>
      <c r="S527" s="710"/>
      <c r="T527" s="710"/>
      <c r="U527" s="710"/>
      <c r="V527" s="711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703" t="s">
        <v>163</v>
      </c>
      <c r="B529" s="703"/>
      <c r="C529" s="703"/>
      <c r="D529" s="703"/>
      <c r="E529" s="703"/>
      <c r="F529" s="703"/>
      <c r="G529" s="703"/>
      <c r="H529" s="703"/>
      <c r="I529" s="703"/>
      <c r="J529" s="703"/>
      <c r="K529" s="703"/>
      <c r="L529" s="703"/>
      <c r="M529" s="703"/>
      <c r="N529" s="703"/>
      <c r="O529" s="703"/>
      <c r="P529" s="703"/>
      <c r="Q529" s="703"/>
      <c r="R529" s="703"/>
      <c r="S529" s="703"/>
      <c r="T529" s="703"/>
      <c r="U529" s="703"/>
      <c r="V529" s="703"/>
      <c r="W529" s="703"/>
      <c r="X529" s="703"/>
      <c r="Y529" s="703"/>
      <c r="Z529" s="703"/>
      <c r="AA529" s="63"/>
      <c r="AB529" s="63"/>
      <c r="AC529" s="63"/>
    </row>
    <row r="530" spans="1:68" ht="27" hidden="1" customHeight="1" x14ac:dyDescent="0.25">
      <c r="A530" s="60" t="s">
        <v>849</v>
      </c>
      <c r="B530" s="60" t="s">
        <v>850</v>
      </c>
      <c r="C530" s="34">
        <v>4301020400</v>
      </c>
      <c r="D530" s="704">
        <v>4640242180519</v>
      </c>
      <c r="E530" s="704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132</v>
      </c>
      <c r="L530" s="35" t="s">
        <v>46</v>
      </c>
      <c r="M530" s="36" t="s">
        <v>131</v>
      </c>
      <c r="N530" s="36"/>
      <c r="O530" s="35">
        <v>50</v>
      </c>
      <c r="P530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06"/>
      <c r="R530" s="706"/>
      <c r="S530" s="706"/>
      <c r="T530" s="707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851</v>
      </c>
      <c r="AG530" s="75"/>
      <c r="AJ530" s="79" t="s">
        <v>46</v>
      </c>
      <c r="AK530" s="79">
        <v>0</v>
      </c>
      <c r="BB530" s="622" t="s">
        <v>66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712"/>
      <c r="B531" s="712"/>
      <c r="C531" s="712"/>
      <c r="D531" s="712"/>
      <c r="E531" s="712"/>
      <c r="F531" s="712"/>
      <c r="G531" s="712"/>
      <c r="H531" s="712"/>
      <c r="I531" s="712"/>
      <c r="J531" s="712"/>
      <c r="K531" s="712"/>
      <c r="L531" s="712"/>
      <c r="M531" s="712"/>
      <c r="N531" s="712"/>
      <c r="O531" s="713"/>
      <c r="P531" s="709" t="s">
        <v>40</v>
      </c>
      <c r="Q531" s="710"/>
      <c r="R531" s="710"/>
      <c r="S531" s="710"/>
      <c r="T531" s="710"/>
      <c r="U531" s="710"/>
      <c r="V531" s="711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703" t="s">
        <v>76</v>
      </c>
      <c r="B533" s="703"/>
      <c r="C533" s="703"/>
      <c r="D533" s="703"/>
      <c r="E533" s="703"/>
      <c r="F533" s="703"/>
      <c r="G533" s="703"/>
      <c r="H533" s="703"/>
      <c r="I533" s="703"/>
      <c r="J533" s="703"/>
      <c r="K533" s="703"/>
      <c r="L533" s="703"/>
      <c r="M533" s="703"/>
      <c r="N533" s="703"/>
      <c r="O533" s="703"/>
      <c r="P533" s="703"/>
      <c r="Q533" s="703"/>
      <c r="R533" s="703"/>
      <c r="S533" s="703"/>
      <c r="T533" s="703"/>
      <c r="U533" s="703"/>
      <c r="V533" s="703"/>
      <c r="W533" s="703"/>
      <c r="X533" s="703"/>
      <c r="Y533" s="703"/>
      <c r="Z533" s="703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4301031500</v>
      </c>
      <c r="D534" s="704">
        <v>4640242180595</v>
      </c>
      <c r="E534" s="704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139</v>
      </c>
      <c r="L534" s="35" t="s">
        <v>46</v>
      </c>
      <c r="M534" s="36" t="s">
        <v>80</v>
      </c>
      <c r="N534" s="36"/>
      <c r="O534" s="35">
        <v>40</v>
      </c>
      <c r="P534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06"/>
      <c r="R534" s="706"/>
      <c r="S534" s="706"/>
      <c r="T534" s="707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854</v>
      </c>
      <c r="AG534" s="75"/>
      <c r="AJ534" s="79" t="s">
        <v>46</v>
      </c>
      <c r="AK534" s="79">
        <v>0</v>
      </c>
      <c r="BB534" s="62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12"/>
      <c r="B535" s="712"/>
      <c r="C535" s="712"/>
      <c r="D535" s="712"/>
      <c r="E535" s="712"/>
      <c r="F535" s="712"/>
      <c r="G535" s="712"/>
      <c r="H535" s="712"/>
      <c r="I535" s="712"/>
      <c r="J535" s="712"/>
      <c r="K535" s="712"/>
      <c r="L535" s="712"/>
      <c r="M535" s="712"/>
      <c r="N535" s="712"/>
      <c r="O535" s="713"/>
      <c r="P535" s="709" t="s">
        <v>40</v>
      </c>
      <c r="Q535" s="710"/>
      <c r="R535" s="710"/>
      <c r="S535" s="710"/>
      <c r="T535" s="710"/>
      <c r="U535" s="710"/>
      <c r="V535" s="711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03" t="s">
        <v>85</v>
      </c>
      <c r="B537" s="703"/>
      <c r="C537" s="703"/>
      <c r="D537" s="703"/>
      <c r="E537" s="703"/>
      <c r="F537" s="703"/>
      <c r="G537" s="703"/>
      <c r="H537" s="703"/>
      <c r="I537" s="703"/>
      <c r="J537" s="703"/>
      <c r="K537" s="703"/>
      <c r="L537" s="703"/>
      <c r="M537" s="703"/>
      <c r="N537" s="703"/>
      <c r="O537" s="703"/>
      <c r="P537" s="703"/>
      <c r="Q537" s="703"/>
      <c r="R537" s="703"/>
      <c r="S537" s="703"/>
      <c r="T537" s="703"/>
      <c r="U537" s="703"/>
      <c r="V537" s="703"/>
      <c r="W537" s="703"/>
      <c r="X537" s="703"/>
      <c r="Y537" s="703"/>
      <c r="Z537" s="703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4301052043</v>
      </c>
      <c r="D538" s="704">
        <v>4640242180533</v>
      </c>
      <c r="E538" s="704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132</v>
      </c>
      <c r="L538" s="35" t="s">
        <v>46</v>
      </c>
      <c r="M538" s="36" t="s">
        <v>89</v>
      </c>
      <c r="N538" s="36"/>
      <c r="O538" s="35">
        <v>45</v>
      </c>
      <c r="P538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06"/>
      <c r="R538" s="706"/>
      <c r="S538" s="706"/>
      <c r="T538" s="70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857</v>
      </c>
      <c r="AG538" s="75"/>
      <c r="AJ538" s="79" t="s">
        <v>46</v>
      </c>
      <c r="AK538" s="79">
        <v>0</v>
      </c>
      <c r="BB538" s="62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12"/>
      <c r="B539" s="712"/>
      <c r="C539" s="712"/>
      <c r="D539" s="712"/>
      <c r="E539" s="712"/>
      <c r="F539" s="712"/>
      <c r="G539" s="712"/>
      <c r="H539" s="712"/>
      <c r="I539" s="712"/>
      <c r="J539" s="712"/>
      <c r="K539" s="712"/>
      <c r="L539" s="712"/>
      <c r="M539" s="712"/>
      <c r="N539" s="712"/>
      <c r="O539" s="713"/>
      <c r="P539" s="709" t="s">
        <v>40</v>
      </c>
      <c r="Q539" s="710"/>
      <c r="R539" s="710"/>
      <c r="S539" s="710"/>
      <c r="T539" s="710"/>
      <c r="U539" s="710"/>
      <c r="V539" s="711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03" t="s">
        <v>180</v>
      </c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3"/>
      <c r="N541" s="703"/>
      <c r="O541" s="703"/>
      <c r="P541" s="703"/>
      <c r="Q541" s="703"/>
      <c r="R541" s="703"/>
      <c r="S541" s="703"/>
      <c r="T541" s="703"/>
      <c r="U541" s="703"/>
      <c r="V541" s="703"/>
      <c r="W541" s="703"/>
      <c r="X541" s="703"/>
      <c r="Y541" s="703"/>
      <c r="Z541" s="703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4301060535</v>
      </c>
      <c r="D542" s="704">
        <v>4640242180120</v>
      </c>
      <c r="E542" s="70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06"/>
      <c r="R542" s="706"/>
      <c r="S542" s="706"/>
      <c r="T542" s="70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861</v>
      </c>
      <c r="B543" s="60" t="s">
        <v>862</v>
      </c>
      <c r="C543" s="34">
        <v>4301060536</v>
      </c>
      <c r="D543" s="704">
        <v>4640242180137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132</v>
      </c>
      <c r="L543" s="35" t="s">
        <v>46</v>
      </c>
      <c r="M543" s="36" t="s">
        <v>89</v>
      </c>
      <c r="N543" s="36"/>
      <c r="O543" s="35">
        <v>40</v>
      </c>
      <c r="P543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863</v>
      </c>
      <c r="AG543" s="75"/>
      <c r="AJ543" s="79" t="s">
        <v>46</v>
      </c>
      <c r="AK543" s="79">
        <v>0</v>
      </c>
      <c r="BB543" s="63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12"/>
      <c r="B544" s="712"/>
      <c r="C544" s="712"/>
      <c r="D544" s="712"/>
      <c r="E544" s="712"/>
      <c r="F544" s="712"/>
      <c r="G544" s="712"/>
      <c r="H544" s="712"/>
      <c r="I544" s="712"/>
      <c r="J544" s="712"/>
      <c r="K544" s="712"/>
      <c r="L544" s="712"/>
      <c r="M544" s="712"/>
      <c r="N544" s="712"/>
      <c r="O544" s="713"/>
      <c r="P544" s="709" t="s">
        <v>40</v>
      </c>
      <c r="Q544" s="710"/>
      <c r="R544" s="710"/>
      <c r="S544" s="710"/>
      <c r="T544" s="710"/>
      <c r="U544" s="710"/>
      <c r="V544" s="711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702" t="s">
        <v>864</v>
      </c>
      <c r="B546" s="702"/>
      <c r="C546" s="702"/>
      <c r="D546" s="702"/>
      <c r="E546" s="702"/>
      <c r="F546" s="702"/>
      <c r="G546" s="702"/>
      <c r="H546" s="702"/>
      <c r="I546" s="702"/>
      <c r="J546" s="702"/>
      <c r="K546" s="702"/>
      <c r="L546" s="702"/>
      <c r="M546" s="702"/>
      <c r="N546" s="702"/>
      <c r="O546" s="702"/>
      <c r="P546" s="702"/>
      <c r="Q546" s="702"/>
      <c r="R546" s="702"/>
      <c r="S546" s="702"/>
      <c r="T546" s="702"/>
      <c r="U546" s="702"/>
      <c r="V546" s="702"/>
      <c r="W546" s="702"/>
      <c r="X546" s="702"/>
      <c r="Y546" s="702"/>
      <c r="Z546" s="702"/>
      <c r="AA546" s="62"/>
      <c r="AB546" s="62"/>
      <c r="AC546" s="62"/>
    </row>
    <row r="547" spans="1:68" ht="14.25" hidden="1" customHeight="1" x14ac:dyDescent="0.25">
      <c r="A547" s="703" t="s">
        <v>163</v>
      </c>
      <c r="B547" s="703"/>
      <c r="C547" s="703"/>
      <c r="D547" s="703"/>
      <c r="E547" s="703"/>
      <c r="F547" s="703"/>
      <c r="G547" s="703"/>
      <c r="H547" s="703"/>
      <c r="I547" s="703"/>
      <c r="J547" s="703"/>
      <c r="K547" s="703"/>
      <c r="L547" s="703"/>
      <c r="M547" s="703"/>
      <c r="N547" s="703"/>
      <c r="O547" s="703"/>
      <c r="P547" s="703"/>
      <c r="Q547" s="703"/>
      <c r="R547" s="703"/>
      <c r="S547" s="703"/>
      <c r="T547" s="703"/>
      <c r="U547" s="703"/>
      <c r="V547" s="703"/>
      <c r="W547" s="703"/>
      <c r="X547" s="703"/>
      <c r="Y547" s="703"/>
      <c r="Z547" s="703"/>
      <c r="AA547" s="63"/>
      <c r="AB547" s="63"/>
      <c r="AC547" s="63"/>
    </row>
    <row r="548" spans="1:68" ht="27" hidden="1" customHeight="1" x14ac:dyDescent="0.25">
      <c r="A548" s="60" t="s">
        <v>865</v>
      </c>
      <c r="B548" s="60" t="s">
        <v>866</v>
      </c>
      <c r="C548" s="34">
        <v>4301020428</v>
      </c>
      <c r="D548" s="704">
        <v>4640242180090</v>
      </c>
      <c r="E548" s="704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132</v>
      </c>
      <c r="L548" s="35" t="s">
        <v>46</v>
      </c>
      <c r="M548" s="36" t="s">
        <v>131</v>
      </c>
      <c r="N548" s="36"/>
      <c r="O548" s="35">
        <v>50</v>
      </c>
      <c r="P548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06"/>
      <c r="R548" s="706"/>
      <c r="S548" s="706"/>
      <c r="T548" s="707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867</v>
      </c>
      <c r="AG548" s="75"/>
      <c r="AJ548" s="79" t="s">
        <v>46</v>
      </c>
      <c r="AK548" s="79">
        <v>0</v>
      </c>
      <c r="BB548" s="632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712"/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3"/>
      <c r="P549" s="709" t="s">
        <v>40</v>
      </c>
      <c r="Q549" s="710"/>
      <c r="R549" s="710"/>
      <c r="S549" s="710"/>
      <c r="T549" s="710"/>
      <c r="U549" s="710"/>
      <c r="V549" s="711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991"/>
      <c r="P551" s="988" t="s">
        <v>33</v>
      </c>
      <c r="Q551" s="989"/>
      <c r="R551" s="989"/>
      <c r="S551" s="989"/>
      <c r="T551" s="989"/>
      <c r="U551" s="989"/>
      <c r="V551" s="990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4100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4110</v>
      </c>
      <c r="Z551" s="40"/>
      <c r="AA551" s="64"/>
      <c r="AB551" s="64"/>
      <c r="AC551" s="64"/>
    </row>
    <row r="552" spans="1:68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34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IFERROR(SUM(BM22:BM548),"0")</f>
        <v>4228.4666666666662</v>
      </c>
      <c r="Y552" s="41">
        <f>IFERROR(SUM(BN22:BN548),"0")</f>
        <v>4238.78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35</v>
      </c>
      <c r="Q553" s="989"/>
      <c r="R553" s="989"/>
      <c r="S553" s="989"/>
      <c r="T553" s="989"/>
      <c r="U553" s="989"/>
      <c r="V553" s="990"/>
      <c r="W553" s="40" t="s">
        <v>20</v>
      </c>
      <c r="X553" s="42">
        <f>ROUNDUP(SUM(BO22:BO548),0)</f>
        <v>6</v>
      </c>
      <c r="Y553" s="42">
        <f>ROUNDUP(SUM(BP22:BP548),0)</f>
        <v>6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36</v>
      </c>
      <c r="Q554" s="989"/>
      <c r="R554" s="989"/>
      <c r="S554" s="989"/>
      <c r="T554" s="989"/>
      <c r="U554" s="989"/>
      <c r="V554" s="990"/>
      <c r="W554" s="40" t="s">
        <v>0</v>
      </c>
      <c r="X554" s="41">
        <f>GrossWeightTotal+PalletQtyTotal*25</f>
        <v>4378.4666666666662</v>
      </c>
      <c r="Y554" s="41">
        <f>GrossWeightTotalR+PalletQtyTotalR*25</f>
        <v>4388.78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37</v>
      </c>
      <c r="Q555" s="989"/>
      <c r="R555" s="989"/>
      <c r="S555" s="989"/>
      <c r="T555" s="989"/>
      <c r="U555" s="989"/>
      <c r="V555" s="990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273.33333333333337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274</v>
      </c>
      <c r="Z555" s="40"/>
      <c r="AA555" s="64"/>
      <c r="AB555" s="64"/>
      <c r="AC555" s="64"/>
    </row>
    <row r="556" spans="1:68" ht="14.25" hidden="1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38</v>
      </c>
      <c r="Q556" s="989"/>
      <c r="R556" s="989"/>
      <c r="S556" s="989"/>
      <c r="T556" s="989"/>
      <c r="U556" s="989"/>
      <c r="V556" s="990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5.9595000000000002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75</v>
      </c>
      <c r="C558" s="80" t="s">
        <v>45</v>
      </c>
      <c r="D558" s="994" t="s">
        <v>125</v>
      </c>
      <c r="E558" s="994" t="s">
        <v>125</v>
      </c>
      <c r="F558" s="994" t="s">
        <v>125</v>
      </c>
      <c r="G558" s="994" t="s">
        <v>125</v>
      </c>
      <c r="H558" s="994" t="s">
        <v>125</v>
      </c>
      <c r="I558" s="994" t="s">
        <v>125</v>
      </c>
      <c r="J558" s="994" t="s">
        <v>125</v>
      </c>
      <c r="K558" s="994" t="s">
        <v>357</v>
      </c>
      <c r="L558" s="994" t="s">
        <v>357</v>
      </c>
      <c r="M558" s="994" t="s">
        <v>357</v>
      </c>
      <c r="N558" s="995"/>
      <c r="O558" s="994" t="s">
        <v>357</v>
      </c>
      <c r="P558" s="994" t="s">
        <v>357</v>
      </c>
      <c r="Q558" s="994" t="s">
        <v>357</v>
      </c>
      <c r="R558" s="994" t="s">
        <v>357</v>
      </c>
      <c r="S558" s="994" t="s">
        <v>357</v>
      </c>
      <c r="T558" s="994" t="s">
        <v>357</v>
      </c>
      <c r="U558" s="994" t="s">
        <v>357</v>
      </c>
      <c r="V558" s="994" t="s">
        <v>696</v>
      </c>
      <c r="W558" s="994" t="s">
        <v>696</v>
      </c>
      <c r="X558" s="994" t="s">
        <v>762</v>
      </c>
      <c r="Y558" s="994" t="s">
        <v>762</v>
      </c>
      <c r="Z558" s="80" t="s">
        <v>798</v>
      </c>
      <c r="AA558" s="994" t="s">
        <v>845</v>
      </c>
      <c r="AB558" s="994" t="s">
        <v>845</v>
      </c>
      <c r="AC558" s="9"/>
      <c r="AF558" s="1"/>
    </row>
    <row r="559" spans="1:68" ht="14.25" customHeight="1" thickTop="1" x14ac:dyDescent="0.2">
      <c r="A559" s="992" t="s">
        <v>10</v>
      </c>
      <c r="B559" s="994" t="s">
        <v>75</v>
      </c>
      <c r="C559" s="994" t="s">
        <v>109</v>
      </c>
      <c r="D559" s="994" t="s">
        <v>126</v>
      </c>
      <c r="E559" s="994" t="s">
        <v>142</v>
      </c>
      <c r="F559" s="994" t="s">
        <v>187</v>
      </c>
      <c r="G559" s="994" t="s">
        <v>208</v>
      </c>
      <c r="H559" s="994" t="s">
        <v>247</v>
      </c>
      <c r="I559" s="994" t="s">
        <v>275</v>
      </c>
      <c r="J559" s="994" t="s">
        <v>125</v>
      </c>
      <c r="K559" s="994" t="s">
        <v>358</v>
      </c>
      <c r="L559" s="994" t="s">
        <v>379</v>
      </c>
      <c r="M559" s="994" t="s">
        <v>446</v>
      </c>
      <c r="N559" s="1"/>
      <c r="O559" s="994" t="s">
        <v>514</v>
      </c>
      <c r="P559" s="994" t="s">
        <v>547</v>
      </c>
      <c r="Q559" s="994" t="s">
        <v>563</v>
      </c>
      <c r="R559" s="994" t="s">
        <v>572</v>
      </c>
      <c r="S559" s="994" t="s">
        <v>593</v>
      </c>
      <c r="T559" s="994" t="s">
        <v>602</v>
      </c>
      <c r="U559" s="994" t="s">
        <v>686</v>
      </c>
      <c r="V559" s="994" t="s">
        <v>697</v>
      </c>
      <c r="W559" s="994" t="s">
        <v>746</v>
      </c>
      <c r="X559" s="994" t="s">
        <v>763</v>
      </c>
      <c r="Y559" s="994" t="s">
        <v>786</v>
      </c>
      <c r="Z559" s="994" t="s">
        <v>798</v>
      </c>
      <c r="AA559" s="994" t="s">
        <v>845</v>
      </c>
      <c r="AB559" s="994" t="s">
        <v>864</v>
      </c>
      <c r="AC559" s="9"/>
      <c r="AF559" s="1"/>
    </row>
    <row r="560" spans="1:68" ht="13.5" thickBot="1" x14ac:dyDescent="0.25">
      <c r="A560" s="993"/>
      <c r="B560" s="994"/>
      <c r="C560" s="994"/>
      <c r="D560" s="994"/>
      <c r="E560" s="994"/>
      <c r="F560" s="994"/>
      <c r="G560" s="994"/>
      <c r="H560" s="994"/>
      <c r="I560" s="994"/>
      <c r="J560" s="994"/>
      <c r="K560" s="994"/>
      <c r="L560" s="994"/>
      <c r="M560" s="994"/>
      <c r="N560" s="1"/>
      <c r="O560" s="994"/>
      <c r="P560" s="994"/>
      <c r="Q560" s="994"/>
      <c r="R560" s="994"/>
      <c r="S560" s="994"/>
      <c r="T560" s="994"/>
      <c r="U560" s="994"/>
      <c r="V560" s="994"/>
      <c r="W560" s="994"/>
      <c r="X560" s="994"/>
      <c r="Y560" s="994"/>
      <c r="Z560" s="994"/>
      <c r="AA560" s="994"/>
      <c r="AB560" s="994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0">
        <f>IFERROR(Y88*1,"0")+IFERROR(Y89*1,"0")+IFERROR(Y90*1,"0")+IFERROR(Y91*1,"0")+IFERROR(Y95*1,"0")+IFERROR(Y96*1,"0")+IFERROR(Y97*1,"0")+IFERROR(Y98*1,"0")</f>
        <v>0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0">
        <f>IFERROR(Y415*1,"0")+IFERROR(Y416*1,"0")+IFERROR(Y417*1,"0")</f>
        <v>0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4110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2 100,00"/>
        <filter val="206,67"/>
        <filter val="273,33"/>
        <filter val="3 100,00"/>
        <filter val="4 100,00"/>
        <filter val="4 228,47"/>
        <filter val="4 378,47"/>
        <filter val="6"/>
        <filter val="66,67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1" t="s">
        <v>869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871</v>
      </c>
      <c r="C6" s="51" t="s">
        <v>872</v>
      </c>
      <c r="D6" s="51" t="s">
        <v>873</v>
      </c>
      <c r="E6" s="51" t="s">
        <v>46</v>
      </c>
    </row>
    <row r="7" spans="2:8" x14ac:dyDescent="0.2">
      <c r="B7" s="51" t="s">
        <v>874</v>
      </c>
      <c r="C7" s="51" t="s">
        <v>875</v>
      </c>
      <c r="D7" s="51" t="s">
        <v>876</v>
      </c>
      <c r="E7" s="51" t="s">
        <v>46</v>
      </c>
    </row>
    <row r="9" spans="2:8" x14ac:dyDescent="0.2">
      <c r="B9" s="51" t="s">
        <v>877</v>
      </c>
      <c r="C9" s="51" t="s">
        <v>872</v>
      </c>
      <c r="D9" s="51" t="s">
        <v>46</v>
      </c>
      <c r="E9" s="51" t="s">
        <v>46</v>
      </c>
    </row>
    <row r="11" spans="2:8" x14ac:dyDescent="0.2">
      <c r="B11" s="51" t="s">
        <v>877</v>
      </c>
      <c r="C11" s="51" t="s">
        <v>875</v>
      </c>
      <c r="D11" s="51" t="s">
        <v>46</v>
      </c>
      <c r="E11" s="51" t="s">
        <v>46</v>
      </c>
    </row>
    <row r="13" spans="2:8" x14ac:dyDescent="0.2">
      <c r="B13" s="51" t="s">
        <v>878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879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888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2026-08-20T14:51:02Z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