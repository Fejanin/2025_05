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760B87-2A4A-4CF0-9399-775DA1CA3D9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Y55" i="2"/>
  <c r="Y412" i="2"/>
  <c r="BN472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2" i="2" l="1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<sst xmlns="http://schemas.openxmlformats.org/spreadsheetml/2006/main" count="4194" uniqueCount="891">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</sst>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46255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Пятница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0.41666666666666669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2000</v>
      </c>
      <c r="Y424" s="53">
        <f t="shared" si="52"/>
        <v>2010</v>
      </c>
      <c r="Z424" s="39">
        <f>IFERROR(IF(Y424=0,"",ROUNDUP(Y424/H424,0)*0.02175),"")</f>
        <v>2.9144999999999999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2062.6666666666665</v>
      </c>
      <c r="BN424" s="75">
        <f t="shared" si="54"/>
        <v>2072.98</v>
      </c>
      <c r="BO424" s="75">
        <f t="shared" si="55"/>
        <v>2.7777777777777777</v>
      </c>
      <c r="BP424" s="75">
        <f t="shared" si="56"/>
        <v>2.7916666666666665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1000</v>
      </c>
      <c r="Y425" s="53">
        <f t="shared" si="52"/>
        <v>1005</v>
      </c>
      <c r="Z425" s="39">
        <f>IFERROR(IF(Y425=0,"",ROUNDUP(Y425/H425,0)*0.02175),"")</f>
        <v>1.4572499999999999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1031.3333333333333</v>
      </c>
      <c r="BN425" s="75">
        <f t="shared" si="54"/>
        <v>1036.49</v>
      </c>
      <c r="BO425" s="75">
        <f t="shared" si="55"/>
        <v>1.3888888888888888</v>
      </c>
      <c r="BP425" s="75">
        <f t="shared" si="56"/>
        <v>1.3958333333333333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200</v>
      </c>
      <c r="Y431" s="41">
        <f>IFERROR(Y423/H423,"0")+IFERROR(Y424/H424,"0")+IFERROR(Y425/H425,"0")+IFERROR(Y426/H426,"0")+IFERROR(Y427/H427,"0")+IFERROR(Y428/H428,"0")+IFERROR(Y429/H429,"0")+IFERROR(Y430/H430,"0")</f>
        <v>201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4.3717499999999996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3000</v>
      </c>
      <c r="Y432" s="41">
        <f>IFERROR(SUM(Y423:Y430),"0")</f>
        <v>3015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1000</v>
      </c>
      <c r="Y434" s="53">
        <f>IFERROR(IF(X434="",0,CEILING((X434/$H434),1)*$H434),"")</f>
        <v>1005</v>
      </c>
      <c r="Z434" s="39">
        <f>IFERROR(IF(Y434=0,"",ROUNDUP(Y434/H434,0)*0.02175),"")</f>
        <v>1.4572499999999999</v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1031.3333333333333</v>
      </c>
      <c r="BN434" s="75">
        <f>IFERROR(Y434*I434/H434,"0")</f>
        <v>1036.49</v>
      </c>
      <c r="BO434" s="75">
        <f>IFERROR(1/J434*(X434/H434),"0")</f>
        <v>1.3888888888888888</v>
      </c>
      <c r="BP434" s="75">
        <f>IFERROR(1/J434*(Y434/H434),"0")</f>
        <v>1.3958333333333333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66.666666666666671</v>
      </c>
      <c r="Y437" s="41">
        <f>IFERROR(Y434/H434,"0")+IFERROR(Y435/H435,"0")+IFERROR(Y436/H436,"0")</f>
        <v>67</v>
      </c>
      <c r="Z437" s="41">
        <f>IFERROR(IF(Z434="",0,Z434),"0")+IFERROR(IF(Z435="",0,Z435),"0")+IFERROR(IF(Z436="",0,Z436),"0")</f>
        <v>1.4572499999999999</v>
      </c>
      <c r="AA437" s="64"/>
      <c r="AB437" s="64"/>
      <c r="AC437" s="64"/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1000</v>
      </c>
      <c r="Y438" s="41">
        <f>IFERROR(SUM(Y434:Y436),"0")</f>
        <v>1005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4000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4020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4125.333333333333</v>
      </c>
      <c r="Y552" s="41">
        <f>IFERROR(SUM(BN22:BN548),"0")</f>
        <v>4145.96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6</v>
      </c>
      <c r="Y553" s="42">
        <f>ROUNDUP(SUM(BP22:BP548),0)</f>
        <v>6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4275.333333333333</v>
      </c>
      <c r="Y554" s="41">
        <f>GrossWeightTotalR+PalletQtyTotalR*25</f>
        <v>4295.96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266.66666666666669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268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5.8289999999999997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4020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2 000,00"/>
        <filter val="200,00"/>
        <filter val="266,67"/>
        <filter val="3 000,00"/>
        <filter val="4 000,00"/>
        <filter val="4 125,33"/>
        <filter val="4 275,33"/>
        <filter val="6"/>
        <filter val="66,6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2026-08-20T14:52:58Z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