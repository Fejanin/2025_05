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59A51E-A16C-44BA-B5B0-507450826DD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N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Z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N354" i="2"/>
  <c r="BM354" i="2"/>
  <c r="Y354" i="2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P286" i="2"/>
  <c r="BO286" i="2"/>
  <c r="BM286" i="2"/>
  <c r="Z286" i="2"/>
  <c r="Y286" i="2"/>
  <c r="BN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N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N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N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N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N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N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43" i="2" l="1"/>
  <c r="Y296" i="2"/>
  <c r="Y469" i="2"/>
  <c r="Y484" i="2"/>
  <c r="BP28" i="2"/>
  <c r="Z196" i="2"/>
  <c r="BN212" i="2"/>
  <c r="Z56" i="2"/>
  <c r="Z328" i="2"/>
  <c r="BN68" i="2"/>
  <c r="BN324" i="2"/>
  <c r="Z446" i="2"/>
  <c r="Y516" i="2"/>
  <c r="BN30" i="2"/>
  <c r="BN178" i="2"/>
  <c r="Z231" i="2"/>
  <c r="BN231" i="2"/>
  <c r="BN248" i="2"/>
  <c r="BN247" i="2"/>
  <c r="BP136" i="2"/>
  <c r="BN62" i="2"/>
  <c r="Z227" i="2"/>
  <c r="BN227" i="2"/>
  <c r="BP225" i="2"/>
  <c r="BN280" i="2"/>
  <c r="BN374" i="2"/>
  <c r="BN387" i="2"/>
  <c r="Z376" i="2"/>
  <c r="Z546" i="2"/>
  <c r="Z534" i="2"/>
  <c r="Z535" i="2" s="1"/>
  <c r="Y535" i="2"/>
  <c r="BP522" i="2"/>
  <c r="Z522" i="2"/>
  <c r="BN521" i="2"/>
  <c r="Z520" i="2"/>
  <c r="BP512" i="2"/>
  <c r="Z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6" i="2"/>
  <c r="BP444" i="2"/>
  <c r="BN440" i="2"/>
  <c r="BN431" i="2"/>
  <c r="BN420" i="2"/>
  <c r="Z420" i="2"/>
  <c r="Y403" i="2"/>
  <c r="BP396" i="2"/>
  <c r="Z396" i="2"/>
  <c r="BN395" i="2"/>
  <c r="Y397" i="2"/>
  <c r="Z387" i="2"/>
  <c r="Z383" i="2"/>
  <c r="BP376" i="2"/>
  <c r="Z374" i="2"/>
  <c r="Z371" i="2"/>
  <c r="BP371" i="2"/>
  <c r="Y378" i="2"/>
  <c r="BN370" i="2"/>
  <c r="Z370" i="2"/>
  <c r="Y367" i="2"/>
  <c r="BN349" i="2"/>
  <c r="Z343" i="2"/>
  <c r="BP334" i="2"/>
  <c r="BN328" i="2"/>
  <c r="Z325" i="2"/>
  <c r="BP325" i="2"/>
  <c r="Z324" i="2"/>
  <c r="BN318" i="2"/>
  <c r="Z304" i="2"/>
  <c r="Z294" i="2"/>
  <c r="BN294" i="2"/>
  <c r="Z284" i="2"/>
  <c r="BN284" i="2"/>
  <c r="BP278" i="2"/>
  <c r="Z274" i="2"/>
  <c r="BN270" i="2"/>
  <c r="BP268" i="2"/>
  <c r="BN252" i="2"/>
  <c r="Y250" i="2"/>
  <c r="Z247" i="2"/>
  <c r="BN242" i="2"/>
  <c r="Z238" i="2"/>
  <c r="BN233" i="2"/>
  <c r="BN224" i="2"/>
  <c r="BP223" i="2"/>
  <c r="Z223" i="2"/>
  <c r="Z210" i="2"/>
  <c r="BN210" i="2"/>
  <c r="BN206" i="2"/>
  <c r="Y202" i="2"/>
  <c r="Y201" i="2"/>
  <c r="BN195" i="2"/>
  <c r="Z183" i="2"/>
  <c r="Z176" i="2"/>
  <c r="BP170" i="2"/>
  <c r="Z153" i="2"/>
  <c r="BP152" i="2"/>
  <c r="Z152" i="2"/>
  <c r="BN144" i="2"/>
  <c r="Z138" i="2"/>
  <c r="BP135" i="2"/>
  <c r="Z120" i="2"/>
  <c r="BP113" i="2"/>
  <c r="Z111" i="2"/>
  <c r="BP111" i="2"/>
  <c r="BN101" i="2"/>
  <c r="Y107" i="2"/>
  <c r="Z94" i="2"/>
  <c r="BP92" i="2"/>
  <c r="Z91" i="2"/>
  <c r="BP91" i="2"/>
  <c r="BN84" i="2"/>
  <c r="BP79" i="2"/>
  <c r="Z79" i="2"/>
  <c r="Z80" i="2" s="1"/>
  <c r="Y81" i="2"/>
  <c r="Z67" i="2"/>
  <c r="Z61" i="2"/>
  <c r="BP59" i="2"/>
  <c r="Z58" i="2"/>
  <c r="BP58" i="2"/>
  <c r="BN50" i="2"/>
  <c r="BP40" i="2"/>
  <c r="BN39" i="2"/>
  <c r="Z39" i="2"/>
  <c r="BN38" i="2"/>
  <c r="X559" i="2"/>
  <c r="Z30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2" i="2" l="1"/>
  <c r="Z329" i="2"/>
  <c r="Z422" i="2"/>
  <c r="Z51" i="2"/>
  <c r="Z397" i="2"/>
  <c r="Z95" i="2"/>
  <c r="Z509" i="2"/>
  <c r="Z468" i="2"/>
  <c r="Z441" i="2"/>
  <c r="Z409" i="2"/>
  <c r="Z377" i="2"/>
  <c r="Z357" i="2"/>
  <c r="Z345" i="2"/>
  <c r="Z213" i="2"/>
  <c r="Z156" i="2"/>
  <c r="Z145" i="2"/>
  <c r="Z132" i="2"/>
  <c r="Z121" i="2"/>
  <c r="Z63" i="2"/>
  <c r="X558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<sst xmlns="http://schemas.openxmlformats.org/spreadsheetml/2006/main" count="4237" uniqueCount="896">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</sst>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77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523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4" t="s">
        <v>26</v>
      </c>
      <c r="E1" s="994"/>
      <c r="F1" s="994"/>
      <c r="G1" s="14" t="s">
        <v>67</v>
      </c>
      <c r="H1" s="994" t="s">
        <v>47</v>
      </c>
      <c r="I1" s="994"/>
      <c r="J1" s="994"/>
      <c r="K1" s="994"/>
      <c r="L1" s="994"/>
      <c r="M1" s="994"/>
      <c r="N1" s="994"/>
      <c r="O1" s="994"/>
      <c r="P1" s="994"/>
      <c r="Q1" s="994"/>
      <c r="R1" s="995" t="s">
        <v>68</v>
      </c>
      <c r="S1" s="996"/>
      <c r="T1" s="99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/>
      <c r="R2" s="997"/>
      <c r="S2" s="997"/>
      <c r="T2" s="997"/>
      <c r="U2" s="997"/>
      <c r="V2" s="997"/>
      <c r="W2" s="99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7"/>
      <c r="Q3" s="997"/>
      <c r="R3" s="997"/>
      <c r="S3" s="997"/>
      <c r="T3" s="997"/>
      <c r="U3" s="997"/>
      <c r="V3" s="997"/>
      <c r="W3" s="99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76" t="s">
        <v>8</v>
      </c>
      <c r="B5" s="976"/>
      <c r="C5" s="976"/>
      <c r="D5" s="998"/>
      <c r="E5" s="998"/>
      <c r="F5" s="999" t="s">
        <v>14</v>
      </c>
      <c r="G5" s="999"/>
      <c r="H5" s="998" t="s">
        <v>895</v>
      </c>
      <c r="I5" s="998"/>
      <c r="J5" s="998"/>
      <c r="K5" s="998"/>
      <c r="L5" s="998"/>
      <c r="M5" s="998"/>
      <c r="N5" s="69"/>
      <c r="P5" s="26" t="s">
        <v>4</v>
      </c>
      <c r="Q5" s="1000">
        <v>46255</v>
      </c>
      <c r="R5" s="1000"/>
      <c r="T5" s="1001" t="s">
        <v>3</v>
      </c>
      <c r="U5" s="1002"/>
      <c r="V5" s="1003" t="s">
        <v>876</v>
      </c>
      <c r="W5" s="1004"/>
      <c r="AB5" s="57"/>
      <c r="AC5" s="57"/>
      <c r="AD5" s="57"/>
      <c r="AE5" s="57"/>
    </row>
    <row r="6" spans="1:32" s="17" customFormat="1" ht="24" customHeight="1" x14ac:dyDescent="0.2">
      <c r="A6" s="976" t="s">
        <v>1</v>
      </c>
      <c r="B6" s="976"/>
      <c r="C6" s="976"/>
      <c r="D6" s="977" t="s">
        <v>877</v>
      </c>
      <c r="E6" s="977"/>
      <c r="F6" s="977"/>
      <c r="G6" s="977"/>
      <c r="H6" s="977"/>
      <c r="I6" s="977"/>
      <c r="J6" s="977"/>
      <c r="K6" s="977"/>
      <c r="L6" s="977"/>
      <c r="M6" s="977"/>
      <c r="N6" s="70"/>
      <c r="P6" s="26" t="s">
        <v>27</v>
      </c>
      <c r="Q6" s="978" t="str">
        <f>IF(Q5=0," ",CHOOSE(WEEKDAY(Q5,2),"Понедельник","Вторник","Среда","Четверг","Пятница","Суббота","Воскресенье"))</f>
        <v>Пятница</v>
      </c>
      <c r="R6" s="978"/>
      <c r="T6" s="979" t="s">
        <v>5</v>
      </c>
      <c r="U6" s="980"/>
      <c r="V6" s="981" t="s">
        <v>70</v>
      </c>
      <c r="W6" s="9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87" t="str">
        <f>IFERROR(VLOOKUP(DeliveryAddress,Table,3,0),1)</f>
        <v>1</v>
      </c>
      <c r="E7" s="988"/>
      <c r="F7" s="988"/>
      <c r="G7" s="988"/>
      <c r="H7" s="988"/>
      <c r="I7" s="988"/>
      <c r="J7" s="988"/>
      <c r="K7" s="988"/>
      <c r="L7" s="988"/>
      <c r="M7" s="989"/>
      <c r="N7" s="71"/>
      <c r="P7" s="26"/>
      <c r="Q7" s="46"/>
      <c r="R7" s="46"/>
      <c r="T7" s="979"/>
      <c r="U7" s="980"/>
      <c r="V7" s="983"/>
      <c r="W7" s="984"/>
      <c r="AB7" s="57"/>
      <c r="AC7" s="57"/>
      <c r="AD7" s="57"/>
      <c r="AE7" s="57"/>
    </row>
    <row r="8" spans="1:32" s="17" customFormat="1" ht="25.5" customHeight="1" x14ac:dyDescent="0.2">
      <c r="A8" s="990" t="s">
        <v>58</v>
      </c>
      <c r="B8" s="990"/>
      <c r="C8" s="990"/>
      <c r="D8" s="991"/>
      <c r="E8" s="991"/>
      <c r="F8" s="991"/>
      <c r="G8" s="991"/>
      <c r="H8" s="991"/>
      <c r="I8" s="991"/>
      <c r="J8" s="991"/>
      <c r="K8" s="991"/>
      <c r="L8" s="991"/>
      <c r="M8" s="991"/>
      <c r="N8" s="72"/>
      <c r="P8" s="26" t="s">
        <v>11</v>
      </c>
      <c r="Q8" s="974">
        <v>0.375</v>
      </c>
      <c r="R8" s="974"/>
      <c r="T8" s="979"/>
      <c r="U8" s="980"/>
      <c r="V8" s="983"/>
      <c r="W8" s="984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992" t="str">
        <f>IF(AND($A$9="Тип доверенности/получателя при получении в адресе перегруза:",$D$9="Разовая доверенность"),"Введите ФИО","")</f>
        <v/>
      </c>
      <c r="I9" s="992"/>
      <c r="J9" s="9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2"/>
      <c r="L9" s="992"/>
      <c r="M9" s="992"/>
      <c r="N9" s="67"/>
      <c r="P9" s="29" t="s">
        <v>15</v>
      </c>
      <c r="Q9" s="993"/>
      <c r="R9" s="993"/>
      <c r="T9" s="979"/>
      <c r="U9" s="980"/>
      <c r="V9" s="985"/>
      <c r="W9" s="98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71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52" t="s">
        <v>55</v>
      </c>
      <c r="W11" s="95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1" t="s">
        <v>72</v>
      </c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73"/>
      <c r="P12" s="26" t="s">
        <v>30</v>
      </c>
      <c r="Q12" s="974"/>
      <c r="R12" s="974"/>
      <c r="S12" s="27"/>
      <c r="T12"/>
      <c r="U12" s="26" t="s">
        <v>46</v>
      </c>
      <c r="V12" s="975"/>
      <c r="W12" s="975"/>
      <c r="X12"/>
      <c r="AB12" s="57"/>
      <c r="AC12" s="57"/>
      <c r="AD12" s="57"/>
      <c r="AE12" s="57"/>
    </row>
    <row r="13" spans="1:32" s="17" customFormat="1" ht="23.25" customHeight="1" x14ac:dyDescent="0.2">
      <c r="A13" s="951" t="s">
        <v>73</v>
      </c>
      <c r="B13" s="95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51"/>
      <c r="N13" s="73"/>
      <c r="O13" s="29"/>
      <c r="P13" s="29" t="s">
        <v>31</v>
      </c>
      <c r="Q13" s="952"/>
      <c r="R13" s="95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1" t="s">
        <v>74</v>
      </c>
      <c r="B14" s="951"/>
      <c r="C14" s="951"/>
      <c r="D14" s="951"/>
      <c r="E14" s="951"/>
      <c r="F14" s="951"/>
      <c r="G14" s="951"/>
      <c r="H14" s="951"/>
      <c r="I14" s="951"/>
      <c r="J14" s="951"/>
      <c r="K14" s="951"/>
      <c r="L14" s="951"/>
      <c r="M14" s="95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3" t="s">
        <v>75</v>
      </c>
      <c r="B15" s="953"/>
      <c r="C15" s="953"/>
      <c r="D15" s="953"/>
      <c r="E15" s="953"/>
      <c r="F15" s="953"/>
      <c r="G15" s="953"/>
      <c r="H15" s="953"/>
      <c r="I15" s="953"/>
      <c r="J15" s="953"/>
      <c r="K15" s="953"/>
      <c r="L15" s="953"/>
      <c r="M15" s="953"/>
      <c r="N15" s="74"/>
      <c r="O15"/>
      <c r="P15" s="954" t="s">
        <v>61</v>
      </c>
      <c r="Q15" s="954"/>
      <c r="R15" s="954"/>
      <c r="S15" s="954"/>
      <c r="T15" s="95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5"/>
      <c r="Q16" s="955"/>
      <c r="R16" s="955"/>
      <c r="S16" s="955"/>
      <c r="T16" s="95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7" t="s">
        <v>59</v>
      </c>
      <c r="B17" s="937" t="s">
        <v>49</v>
      </c>
      <c r="C17" s="958" t="s">
        <v>48</v>
      </c>
      <c r="D17" s="960" t="s">
        <v>50</v>
      </c>
      <c r="E17" s="961"/>
      <c r="F17" s="937" t="s">
        <v>21</v>
      </c>
      <c r="G17" s="937" t="s">
        <v>24</v>
      </c>
      <c r="H17" s="937" t="s">
        <v>22</v>
      </c>
      <c r="I17" s="937" t="s">
        <v>23</v>
      </c>
      <c r="J17" s="937" t="s">
        <v>16</v>
      </c>
      <c r="K17" s="937" t="s">
        <v>66</v>
      </c>
      <c r="L17" s="937" t="s">
        <v>64</v>
      </c>
      <c r="M17" s="937" t="s">
        <v>2</v>
      </c>
      <c r="N17" s="937" t="s">
        <v>63</v>
      </c>
      <c r="O17" s="937" t="s">
        <v>25</v>
      </c>
      <c r="P17" s="960" t="s">
        <v>17</v>
      </c>
      <c r="Q17" s="964"/>
      <c r="R17" s="964"/>
      <c r="S17" s="964"/>
      <c r="T17" s="961"/>
      <c r="U17" s="956" t="s">
        <v>56</v>
      </c>
      <c r="V17" s="957"/>
      <c r="W17" s="937" t="s">
        <v>6</v>
      </c>
      <c r="X17" s="937" t="s">
        <v>41</v>
      </c>
      <c r="Y17" s="939" t="s">
        <v>54</v>
      </c>
      <c r="Z17" s="941" t="s">
        <v>18</v>
      </c>
      <c r="AA17" s="943" t="s">
        <v>60</v>
      </c>
      <c r="AB17" s="943" t="s">
        <v>19</v>
      </c>
      <c r="AC17" s="943" t="s">
        <v>65</v>
      </c>
      <c r="AD17" s="945" t="s">
        <v>57</v>
      </c>
      <c r="AE17" s="946"/>
      <c r="AF17" s="947"/>
      <c r="AG17" s="77"/>
      <c r="BD17" s="76" t="s">
        <v>62</v>
      </c>
    </row>
    <row r="18" spans="1:68" ht="14.25" customHeight="1" x14ac:dyDescent="0.2">
      <c r="A18" s="938"/>
      <c r="B18" s="938"/>
      <c r="C18" s="959"/>
      <c r="D18" s="962"/>
      <c r="E18" s="963"/>
      <c r="F18" s="938"/>
      <c r="G18" s="938"/>
      <c r="H18" s="938"/>
      <c r="I18" s="938"/>
      <c r="J18" s="938"/>
      <c r="K18" s="938"/>
      <c r="L18" s="938"/>
      <c r="M18" s="938"/>
      <c r="N18" s="938"/>
      <c r="O18" s="938"/>
      <c r="P18" s="962"/>
      <c r="Q18" s="965"/>
      <c r="R18" s="965"/>
      <c r="S18" s="965"/>
      <c r="T18" s="963"/>
      <c r="U18" s="78" t="s">
        <v>44</v>
      </c>
      <c r="V18" s="78" t="s">
        <v>43</v>
      </c>
      <c r="W18" s="938"/>
      <c r="X18" s="938"/>
      <c r="Y18" s="940"/>
      <c r="Z18" s="942"/>
      <c r="AA18" s="944"/>
      <c r="AB18" s="944"/>
      <c r="AC18" s="944"/>
      <c r="AD18" s="948"/>
      <c r="AE18" s="949"/>
      <c r="AF18" s="950"/>
      <c r="AG18" s="77"/>
      <c r="BD18" s="76"/>
    </row>
    <row r="19" spans="1:68" ht="27.75" hidden="1" customHeight="1" x14ac:dyDescent="0.2">
      <c r="A19" s="663" t="s">
        <v>76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52"/>
      <c r="AB19" s="52"/>
      <c r="AC19" s="52"/>
    </row>
    <row r="20" spans="1:68" ht="16.5" hidden="1" customHeight="1" x14ac:dyDescent="0.25">
      <c r="A20" s="656" t="s">
        <v>76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2"/>
      <c r="AB20" s="62"/>
      <c r="AC20" s="62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2">
        <v>4680115886643</v>
      </c>
      <c r="E22" s="65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2">
        <v>4680115889071</v>
      </c>
      <c r="E23" s="65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43" t="s">
        <v>40</v>
      </c>
      <c r="Q24" s="644"/>
      <c r="R24" s="644"/>
      <c r="S24" s="644"/>
      <c r="T24" s="644"/>
      <c r="U24" s="644"/>
      <c r="V24" s="64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43" t="s">
        <v>40</v>
      </c>
      <c r="Q25" s="644"/>
      <c r="R25" s="644"/>
      <c r="S25" s="644"/>
      <c r="T25" s="644"/>
      <c r="U25" s="644"/>
      <c r="V25" s="64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7" t="s">
        <v>86</v>
      </c>
      <c r="B26" s="657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2">
        <v>4680115885912</v>
      </c>
      <c r="E27" s="65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2">
        <v>4607091388237</v>
      </c>
      <c r="E28" s="65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2">
        <v>4680115887350</v>
      </c>
      <c r="E29" s="65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2">
        <v>4680115885905</v>
      </c>
      <c r="E30" s="65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52">
        <v>4680115887619</v>
      </c>
      <c r="E31" s="65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43" t="s">
        <v>40</v>
      </c>
      <c r="Q32" s="644"/>
      <c r="R32" s="644"/>
      <c r="S32" s="644"/>
      <c r="T32" s="644"/>
      <c r="U32" s="644"/>
      <c r="V32" s="64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43" t="s">
        <v>40</v>
      </c>
      <c r="Q33" s="644"/>
      <c r="R33" s="644"/>
      <c r="S33" s="644"/>
      <c r="T33" s="644"/>
      <c r="U33" s="644"/>
      <c r="V33" s="64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3" t="s">
        <v>45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52"/>
      <c r="AB34" s="52"/>
      <c r="AC34" s="52"/>
    </row>
    <row r="35" spans="1:68" ht="16.5" hidden="1" customHeight="1" x14ac:dyDescent="0.25">
      <c r="A35" s="656" t="s">
        <v>104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2"/>
      <c r="AB35" s="62"/>
      <c r="AC35" s="62"/>
    </row>
    <row r="36" spans="1:68" ht="14.25" hidden="1" customHeight="1" x14ac:dyDescent="0.25">
      <c r="A36" s="657" t="s">
        <v>86</v>
      </c>
      <c r="B36" s="657"/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  <c r="Q36" s="657"/>
      <c r="R36" s="657"/>
      <c r="S36" s="657"/>
      <c r="T36" s="657"/>
      <c r="U36" s="657"/>
      <c r="V36" s="657"/>
      <c r="W36" s="657"/>
      <c r="X36" s="657"/>
      <c r="Y36" s="657"/>
      <c r="Z36" s="65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52">
        <v>4680115889354</v>
      </c>
      <c r="E37" s="652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52">
        <v>4680115888463</v>
      </c>
      <c r="E38" s="652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652">
        <v>4680115888494</v>
      </c>
      <c r="E39" s="652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4"/>
      <c r="R39" s="654"/>
      <c r="S39" s="654"/>
      <c r="T39" s="655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52">
        <v>4680115888272</v>
      </c>
      <c r="E40" s="652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652">
        <v>4680115888364</v>
      </c>
      <c r="E41" s="65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7" t="s">
        <v>46</v>
      </c>
      <c r="V41" s="37" t="s">
        <v>46</v>
      </c>
      <c r="W41" s="38" t="s">
        <v>0</v>
      </c>
      <c r="X41" s="56">
        <v>16</v>
      </c>
      <c r="Y41" s="53">
        <f>IFERROR(IF(X41="",0,CEILING((X41/$H41),1)*$H41),"")</f>
        <v>17.28</v>
      </c>
      <c r="Z41" s="39">
        <f>IFERROR(IF(Y41=0,"",ROUNDUP(Y41/H41,0)*0.00651),"")</f>
        <v>5.8590000000000003E-2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17.5</v>
      </c>
      <c r="BN41" s="75">
        <f>IFERROR(Y41*I41/H41,"0")</f>
        <v>18.900000000000002</v>
      </c>
      <c r="BO41" s="75">
        <f>IFERROR(1/J41*(X41/H41),"0")</f>
        <v>4.5787545787545791E-2</v>
      </c>
      <c r="BP41" s="75">
        <f>IFERROR(1/J41*(Y41/H41),"0")</f>
        <v>4.9450549450549462E-2</v>
      </c>
    </row>
    <row r="42" spans="1:68" x14ac:dyDescent="0.2">
      <c r="A42" s="646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7"/>
      <c r="P42" s="643" t="s">
        <v>40</v>
      </c>
      <c r="Q42" s="644"/>
      <c r="R42" s="644"/>
      <c r="S42" s="644"/>
      <c r="T42" s="644"/>
      <c r="U42" s="644"/>
      <c r="V42" s="645"/>
      <c r="W42" s="40" t="s">
        <v>39</v>
      </c>
      <c r="X42" s="41">
        <f>IFERROR(X37/H37,"0")+IFERROR(X38/H38,"0")+IFERROR(X39/H39,"0")+IFERROR(X40/H40,"0")+IFERROR(X41/H41,"0")</f>
        <v>8.3333333333333339</v>
      </c>
      <c r="Y42" s="41">
        <f>IFERROR(Y37/H37,"0")+IFERROR(Y38/H38,"0")+IFERROR(Y39/H39,"0")+IFERROR(Y40/H40,"0")+IFERROR(Y41/H41,"0")</f>
        <v>9.0000000000000018</v>
      </c>
      <c r="Z42" s="41">
        <f>IFERROR(IF(Z37="",0,Z37),"0")+IFERROR(IF(Z38="",0,Z38),"0")+IFERROR(IF(Z39="",0,Z39),"0")+IFERROR(IF(Z40="",0,Z40),"0")+IFERROR(IF(Z41="",0,Z41),"0")</f>
        <v>5.8590000000000003E-2</v>
      </c>
      <c r="AA42" s="64"/>
      <c r="AB42" s="64"/>
      <c r="AC42" s="64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7"/>
      <c r="P43" s="643" t="s">
        <v>40</v>
      </c>
      <c r="Q43" s="644"/>
      <c r="R43" s="644"/>
      <c r="S43" s="644"/>
      <c r="T43" s="644"/>
      <c r="U43" s="644"/>
      <c r="V43" s="645"/>
      <c r="W43" s="40" t="s">
        <v>0</v>
      </c>
      <c r="X43" s="41">
        <f>IFERROR(SUM(X37:X41),"0")</f>
        <v>16</v>
      </c>
      <c r="Y43" s="41">
        <f>IFERROR(SUM(Y37:Y41),"0")</f>
        <v>17.28</v>
      </c>
      <c r="Z43" s="40"/>
      <c r="AA43" s="64"/>
      <c r="AB43" s="64"/>
      <c r="AC43" s="64"/>
    </row>
    <row r="44" spans="1:68" ht="27.75" hidden="1" customHeight="1" x14ac:dyDescent="0.2">
      <c r="A44" s="663" t="s">
        <v>120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52"/>
      <c r="AB44" s="52"/>
      <c r="AC44" s="52"/>
    </row>
    <row r="45" spans="1:68" ht="16.5" hidden="1" customHeight="1" x14ac:dyDescent="0.25">
      <c r="A45" s="656" t="s">
        <v>121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2"/>
      <c r="AB45" s="62"/>
      <c r="AC45" s="62"/>
    </row>
    <row r="46" spans="1:68" ht="14.2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52">
        <v>4607091385670</v>
      </c>
      <c r="E47" s="652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52">
        <v>4680115887725</v>
      </c>
      <c r="E48" s="652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52">
        <v>4607091385687</v>
      </c>
      <c r="E49" s="652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7" t="s">
        <v>46</v>
      </c>
      <c r="V49" s="37" t="s">
        <v>46</v>
      </c>
      <c r="W49" s="38" t="s">
        <v>0</v>
      </c>
      <c r="X49" s="56">
        <v>100</v>
      </c>
      <c r="Y49" s="53">
        <f>IFERROR(IF(X49="",0,CEILING((X49/$H49),1)*$H49),"")</f>
        <v>100</v>
      </c>
      <c r="Z49" s="39">
        <f>IFERROR(IF(Y49=0,"",ROUNDUP(Y49/H49,0)*0.00902),"")</f>
        <v>0.22550000000000001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104.75000000000001</v>
      </c>
      <c r="BN49" s="75">
        <f>IFERROR(Y49*I49/H49,"0")</f>
        <v>104.75000000000001</v>
      </c>
      <c r="BO49" s="75">
        <f>IFERROR(1/J49*(X49/H49),"0")</f>
        <v>0.18939393939393939</v>
      </c>
      <c r="BP49" s="75">
        <f>IFERROR(1/J49*(Y49/H49),"0")</f>
        <v>0.18939393939393939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52">
        <v>4680115882539</v>
      </c>
      <c r="E50" s="652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46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7"/>
      <c r="P51" s="643" t="s">
        <v>40</v>
      </c>
      <c r="Q51" s="644"/>
      <c r="R51" s="644"/>
      <c r="S51" s="644"/>
      <c r="T51" s="644"/>
      <c r="U51" s="644"/>
      <c r="V51" s="645"/>
      <c r="W51" s="40" t="s">
        <v>39</v>
      </c>
      <c r="X51" s="41">
        <f>IFERROR(X47/H47,"0")+IFERROR(X48/H48,"0")+IFERROR(X49/H49,"0")+IFERROR(X50/H50,"0")</f>
        <v>25</v>
      </c>
      <c r="Y51" s="41">
        <f>IFERROR(Y47/H47,"0")+IFERROR(Y48/H48,"0")+IFERROR(Y49/H49,"0")+IFERROR(Y50/H50,"0")</f>
        <v>25</v>
      </c>
      <c r="Z51" s="41">
        <f>IFERROR(IF(Z47="",0,Z47),"0")+IFERROR(IF(Z48="",0,Z48),"0")+IFERROR(IF(Z49="",0,Z49),"0")+IFERROR(IF(Z50="",0,Z50),"0")</f>
        <v>0.22550000000000001</v>
      </c>
      <c r="AA51" s="64"/>
      <c r="AB51" s="64"/>
      <c r="AC51" s="64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7"/>
      <c r="P52" s="643" t="s">
        <v>40</v>
      </c>
      <c r="Q52" s="644"/>
      <c r="R52" s="644"/>
      <c r="S52" s="644"/>
      <c r="T52" s="644"/>
      <c r="U52" s="644"/>
      <c r="V52" s="645"/>
      <c r="W52" s="40" t="s">
        <v>0</v>
      </c>
      <c r="X52" s="41">
        <f>IFERROR(SUM(X47:X50),"0")</f>
        <v>100</v>
      </c>
      <c r="Y52" s="41">
        <f>IFERROR(SUM(Y47:Y50),"0")</f>
        <v>100</v>
      </c>
      <c r="Z52" s="40"/>
      <c r="AA52" s="64"/>
      <c r="AB52" s="64"/>
      <c r="AC52" s="64"/>
    </row>
    <row r="53" spans="1:68" ht="16.5" hidden="1" customHeight="1" x14ac:dyDescent="0.25">
      <c r="A53" s="656" t="s">
        <v>137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2"/>
      <c r="AB53" s="62"/>
      <c r="AC53" s="62"/>
    </row>
    <row r="54" spans="1:68" ht="14.25" hidden="1" customHeight="1" x14ac:dyDescent="0.25">
      <c r="A54" s="657" t="s">
        <v>122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652">
        <v>4680115885882</v>
      </c>
      <c r="E55" s="652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92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4"/>
      <c r="R55" s="654"/>
      <c r="S55" s="654"/>
      <c r="T55" s="655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652">
        <v>4680115885882</v>
      </c>
      <c r="E56" s="652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4"/>
      <c r="R56" s="654"/>
      <c r="S56" s="654"/>
      <c r="T56" s="655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143</v>
      </c>
      <c r="B57" s="60" t="s">
        <v>144</v>
      </c>
      <c r="C57" s="34">
        <v>4301011816</v>
      </c>
      <c r="D57" s="652">
        <v>4680115881426</v>
      </c>
      <c r="E57" s="652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4"/>
      <c r="R57" s="654"/>
      <c r="S57" s="654"/>
      <c r="T57" s="655"/>
      <c r="U57" s="37" t="s">
        <v>46</v>
      </c>
      <c r="V57" s="37" t="s">
        <v>46</v>
      </c>
      <c r="W57" s="38" t="s">
        <v>0</v>
      </c>
      <c r="X57" s="56">
        <v>60</v>
      </c>
      <c r="Y57" s="53">
        <f t="shared" si="0"/>
        <v>64.800000000000011</v>
      </c>
      <c r="Z57" s="39">
        <f>IFERROR(IF(Y57=0,"",ROUNDUP(Y57/H57,0)*0.01898),"")</f>
        <v>0.11388000000000001</v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62.277777777777779</v>
      </c>
      <c r="BN57" s="75">
        <f t="shared" si="2"/>
        <v>67.260000000000005</v>
      </c>
      <c r="BO57" s="75">
        <f t="shared" si="3"/>
        <v>8.6805555555555552E-2</v>
      </c>
      <c r="BP57" s="75">
        <f t="shared" si="4"/>
        <v>9.3750000000000014E-2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652">
        <v>4680115880283</v>
      </c>
      <c r="E58" s="652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4"/>
      <c r="R58" s="654"/>
      <c r="S58" s="654"/>
      <c r="T58" s="655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652">
        <v>4680115880283</v>
      </c>
      <c r="E59" s="652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4"/>
      <c r="R59" s="654"/>
      <c r="S59" s="654"/>
      <c r="T59" s="65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652">
        <v>4680115881525</v>
      </c>
      <c r="E60" s="652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4"/>
      <c r="R60" s="654"/>
      <c r="S60" s="654"/>
      <c r="T60" s="65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52">
        <v>4680115885899</v>
      </c>
      <c r="E61" s="652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52">
        <v>4680115881419</v>
      </c>
      <c r="E62" s="652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7" t="s">
        <v>46</v>
      </c>
      <c r="V62" s="37" t="s">
        <v>46</v>
      </c>
      <c r="W62" s="38" t="s">
        <v>0</v>
      </c>
      <c r="X62" s="56">
        <v>315</v>
      </c>
      <c r="Y62" s="53">
        <f t="shared" si="0"/>
        <v>315</v>
      </c>
      <c r="Z62" s="39">
        <f>IFERROR(IF(Y62=0,"",ROUNDUP(Y62/H62,0)*0.00902),"")</f>
        <v>0.63139999999999996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328.3</v>
      </c>
      <c r="BN62" s="75">
        <f t="shared" si="2"/>
        <v>328.3</v>
      </c>
      <c r="BO62" s="75">
        <f t="shared" si="3"/>
        <v>0.53030303030303028</v>
      </c>
      <c r="BP62" s="75">
        <f t="shared" si="4"/>
        <v>0.53030303030303028</v>
      </c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7"/>
      <c r="P63" s="643" t="s">
        <v>40</v>
      </c>
      <c r="Q63" s="644"/>
      <c r="R63" s="644"/>
      <c r="S63" s="644"/>
      <c r="T63" s="644"/>
      <c r="U63" s="644"/>
      <c r="V63" s="645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75.555555555555557</v>
      </c>
      <c r="Y63" s="41">
        <f>IFERROR(Y55/H55,"0")+IFERROR(Y56/H56,"0")+IFERROR(Y57/H57,"0")+IFERROR(Y58/H58,"0")+IFERROR(Y59/H59,"0")+IFERROR(Y60/H60,"0")+IFERROR(Y61/H61,"0")+IFERROR(Y62/H62,"0")</f>
        <v>76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0.74527999999999994</v>
      </c>
      <c r="AA63" s="64"/>
      <c r="AB63" s="64"/>
      <c r="AC63" s="64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7"/>
      <c r="P64" s="643" t="s">
        <v>40</v>
      </c>
      <c r="Q64" s="644"/>
      <c r="R64" s="644"/>
      <c r="S64" s="644"/>
      <c r="T64" s="644"/>
      <c r="U64" s="644"/>
      <c r="V64" s="645"/>
      <c r="W64" s="40" t="s">
        <v>0</v>
      </c>
      <c r="X64" s="41">
        <f>IFERROR(SUM(X55:X62),"0")</f>
        <v>375</v>
      </c>
      <c r="Y64" s="41">
        <f>IFERROR(SUM(Y55:Y62),"0")</f>
        <v>379.8</v>
      </c>
      <c r="Z64" s="40"/>
      <c r="AA64" s="64"/>
      <c r="AB64" s="64"/>
      <c r="AC64" s="64"/>
    </row>
    <row r="65" spans="1:68" ht="14.25" hidden="1" customHeight="1" x14ac:dyDescent="0.25">
      <c r="A65" s="657" t="s">
        <v>158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7"/>
      <c r="Q65" s="657"/>
      <c r="R65" s="657"/>
      <c r="S65" s="657"/>
      <c r="T65" s="657"/>
      <c r="U65" s="657"/>
      <c r="V65" s="657"/>
      <c r="W65" s="657"/>
      <c r="X65" s="657"/>
      <c r="Y65" s="657"/>
      <c r="Z65" s="657"/>
      <c r="AA65" s="63"/>
      <c r="AB65" s="63"/>
      <c r="AC65" s="63"/>
    </row>
    <row r="66" spans="1:68" ht="16.5" customHeight="1" x14ac:dyDescent="0.25">
      <c r="A66" s="60" t="s">
        <v>159</v>
      </c>
      <c r="B66" s="60" t="s">
        <v>160</v>
      </c>
      <c r="C66" s="34">
        <v>4301020298</v>
      </c>
      <c r="D66" s="652">
        <v>4680115881440</v>
      </c>
      <c r="E66" s="652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9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4"/>
      <c r="R66" s="654"/>
      <c r="S66" s="654"/>
      <c r="T66" s="655"/>
      <c r="U66" s="37" t="s">
        <v>46</v>
      </c>
      <c r="V66" s="37" t="s">
        <v>46</v>
      </c>
      <c r="W66" s="38" t="s">
        <v>0</v>
      </c>
      <c r="X66" s="56">
        <v>100</v>
      </c>
      <c r="Y66" s="53">
        <f>IFERROR(IF(X66="",0,CEILING((X66/$H66),1)*$H66),"")</f>
        <v>108</v>
      </c>
      <c r="Z66" s="39">
        <f>IFERROR(IF(Y66=0,"",ROUNDUP(Y66/H66,0)*0.01898),"")</f>
        <v>0.1898</v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103.79629629629629</v>
      </c>
      <c r="BN66" s="75">
        <f>IFERROR(Y66*I66/H66,"0")</f>
        <v>112.1</v>
      </c>
      <c r="BO66" s="75">
        <f>IFERROR(1/J66*(X66/H66),"0")</f>
        <v>0.14467592592592593</v>
      </c>
      <c r="BP66" s="75">
        <f>IFERROR(1/J66*(Y66/H66),"0")</f>
        <v>0.15625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652">
        <v>4680115885950</v>
      </c>
      <c r="E67" s="652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4"/>
      <c r="R67" s="654"/>
      <c r="S67" s="654"/>
      <c r="T67" s="655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652">
        <v>4680115887688</v>
      </c>
      <c r="E68" s="652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4"/>
      <c r="R68" s="654"/>
      <c r="S68" s="654"/>
      <c r="T68" s="655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167</v>
      </c>
      <c r="B69" s="60" t="s">
        <v>168</v>
      </c>
      <c r="C69" s="34">
        <v>4301020296</v>
      </c>
      <c r="D69" s="652">
        <v>4680115881433</v>
      </c>
      <c r="E69" s="652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9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4"/>
      <c r="R69" s="654"/>
      <c r="S69" s="654"/>
      <c r="T69" s="655"/>
      <c r="U69" s="37" t="s">
        <v>46</v>
      </c>
      <c r="V69" s="37" t="s">
        <v>46</v>
      </c>
      <c r="W69" s="38" t="s">
        <v>0</v>
      </c>
      <c r="X69" s="56">
        <v>90</v>
      </c>
      <c r="Y69" s="53">
        <f>IFERROR(IF(X69="",0,CEILING((X69/$H69),1)*$H69),"")</f>
        <v>91.800000000000011</v>
      </c>
      <c r="Z69" s="39">
        <f>IFERROR(IF(Y69=0,"",ROUNDUP(Y69/H69,0)*0.00651),"")</f>
        <v>0.22134000000000001</v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95.999999999999986</v>
      </c>
      <c r="BN69" s="75">
        <f>IFERROR(Y69*I69/H69,"0")</f>
        <v>97.92</v>
      </c>
      <c r="BO69" s="75">
        <f>IFERROR(1/J69*(X69/H69),"0")</f>
        <v>0.18315018315018314</v>
      </c>
      <c r="BP69" s="75">
        <f>IFERROR(1/J69*(Y69/H69),"0")</f>
        <v>0.18681318681318682</v>
      </c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7"/>
      <c r="P70" s="643" t="s">
        <v>40</v>
      </c>
      <c r="Q70" s="644"/>
      <c r="R70" s="644"/>
      <c r="S70" s="644"/>
      <c r="T70" s="644"/>
      <c r="U70" s="644"/>
      <c r="V70" s="645"/>
      <c r="W70" s="40" t="s">
        <v>39</v>
      </c>
      <c r="X70" s="41">
        <f>IFERROR(X66/H66,"0")+IFERROR(X67/H67,"0")+IFERROR(X68/H68,"0")+IFERROR(X69/H69,"0")</f>
        <v>42.592592592592588</v>
      </c>
      <c r="Y70" s="41">
        <f>IFERROR(Y66/H66,"0")+IFERROR(Y67/H67,"0")+IFERROR(Y68/H68,"0")+IFERROR(Y69/H69,"0")</f>
        <v>44</v>
      </c>
      <c r="Z70" s="41">
        <f>IFERROR(IF(Z66="",0,Z66),"0")+IFERROR(IF(Z67="",0,Z67),"0")+IFERROR(IF(Z68="",0,Z68),"0")+IFERROR(IF(Z69="",0,Z69),"0")</f>
        <v>0.41114000000000001</v>
      </c>
      <c r="AA70" s="64"/>
      <c r="AB70" s="64"/>
      <c r="AC70" s="64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7"/>
      <c r="P71" s="643" t="s">
        <v>40</v>
      </c>
      <c r="Q71" s="644"/>
      <c r="R71" s="644"/>
      <c r="S71" s="644"/>
      <c r="T71" s="644"/>
      <c r="U71" s="644"/>
      <c r="V71" s="645"/>
      <c r="W71" s="40" t="s">
        <v>0</v>
      </c>
      <c r="X71" s="41">
        <f>IFERROR(SUM(X66:X69),"0")</f>
        <v>190</v>
      </c>
      <c r="Y71" s="41">
        <f>IFERROR(SUM(Y66:Y69),"0")</f>
        <v>199.8</v>
      </c>
      <c r="Z71" s="40"/>
      <c r="AA71" s="64"/>
      <c r="AB71" s="64"/>
      <c r="AC71" s="64"/>
    </row>
    <row r="72" spans="1:68" ht="14.25" hidden="1" customHeight="1" x14ac:dyDescent="0.25">
      <c r="A72" s="657" t="s">
        <v>86</v>
      </c>
      <c r="B72" s="657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657"/>
      <c r="O72" s="657"/>
      <c r="P72" s="657"/>
      <c r="Q72" s="657"/>
      <c r="R72" s="657"/>
      <c r="S72" s="657"/>
      <c r="T72" s="657"/>
      <c r="U72" s="657"/>
      <c r="V72" s="657"/>
      <c r="W72" s="657"/>
      <c r="X72" s="657"/>
      <c r="Y72" s="657"/>
      <c r="Z72" s="657"/>
      <c r="AA72" s="63"/>
      <c r="AB72" s="63"/>
      <c r="AC72" s="63"/>
    </row>
    <row r="73" spans="1:68" ht="16.5" hidden="1" customHeight="1" x14ac:dyDescent="0.25">
      <c r="A73" s="60" t="s">
        <v>169</v>
      </c>
      <c r="B73" s="60" t="s">
        <v>170</v>
      </c>
      <c r="C73" s="34">
        <v>4301051837</v>
      </c>
      <c r="D73" s="652">
        <v>4680115884311</v>
      </c>
      <c r="E73" s="652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4"/>
      <c r="R73" s="654"/>
      <c r="S73" s="654"/>
      <c r="T73" s="65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172</v>
      </c>
      <c r="B74" s="60" t="s">
        <v>173</v>
      </c>
      <c r="C74" s="34">
        <v>4301051929</v>
      </c>
      <c r="D74" s="652">
        <v>4680115884403</v>
      </c>
      <c r="E74" s="652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4"/>
      <c r="R74" s="654"/>
      <c r="S74" s="654"/>
      <c r="T74" s="655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43" t="s">
        <v>40</v>
      </c>
      <c r="Q75" s="644"/>
      <c r="R75" s="644"/>
      <c r="S75" s="644"/>
      <c r="T75" s="644"/>
      <c r="U75" s="644"/>
      <c r="V75" s="645"/>
      <c r="W75" s="40" t="s">
        <v>39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7"/>
      <c r="P76" s="643" t="s">
        <v>40</v>
      </c>
      <c r="Q76" s="644"/>
      <c r="R76" s="644"/>
      <c r="S76" s="644"/>
      <c r="T76" s="644"/>
      <c r="U76" s="644"/>
      <c r="V76" s="645"/>
      <c r="W76" s="40" t="s">
        <v>0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7" t="s">
        <v>175</v>
      </c>
      <c r="B77" s="657"/>
      <c r="C77" s="657"/>
      <c r="D77" s="657"/>
      <c r="E77" s="657"/>
      <c r="F77" s="657"/>
      <c r="G77" s="657"/>
      <c r="H77" s="657"/>
      <c r="I77" s="657"/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/>
      <c r="V77" s="657"/>
      <c r="W77" s="657"/>
      <c r="X77" s="657"/>
      <c r="Y77" s="657"/>
      <c r="Z77" s="657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52">
        <v>4680115881532</v>
      </c>
      <c r="E78" s="652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4"/>
      <c r="R78" s="654"/>
      <c r="S78" s="654"/>
      <c r="T78" s="65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652">
        <v>4680115881464</v>
      </c>
      <c r="E79" s="652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4"/>
      <c r="R79" s="654"/>
      <c r="S79" s="654"/>
      <c r="T79" s="655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43" t="s">
        <v>40</v>
      </c>
      <c r="Q80" s="644"/>
      <c r="R80" s="644"/>
      <c r="S80" s="644"/>
      <c r="T80" s="644"/>
      <c r="U80" s="644"/>
      <c r="V80" s="645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7"/>
      <c r="P81" s="643" t="s">
        <v>40</v>
      </c>
      <c r="Q81" s="644"/>
      <c r="R81" s="644"/>
      <c r="S81" s="644"/>
      <c r="T81" s="644"/>
      <c r="U81" s="644"/>
      <c r="V81" s="645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6" t="s">
        <v>182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2"/>
      <c r="AB82" s="62"/>
      <c r="AC82" s="62"/>
    </row>
    <row r="83" spans="1:68" ht="14.25" hidden="1" customHeight="1" x14ac:dyDescent="0.25">
      <c r="A83" s="657" t="s">
        <v>122</v>
      </c>
      <c r="B83" s="657"/>
      <c r="C83" s="657"/>
      <c r="D83" s="657"/>
      <c r="E83" s="657"/>
      <c r="F83" s="657"/>
      <c r="G83" s="657"/>
      <c r="H83" s="657"/>
      <c r="I83" s="657"/>
      <c r="J83" s="657"/>
      <c r="K83" s="657"/>
      <c r="L83" s="657"/>
      <c r="M83" s="657"/>
      <c r="N83" s="657"/>
      <c r="O83" s="657"/>
      <c r="P83" s="657"/>
      <c r="Q83" s="657"/>
      <c r="R83" s="657"/>
      <c r="S83" s="657"/>
      <c r="T83" s="657"/>
      <c r="U83" s="657"/>
      <c r="V83" s="657"/>
      <c r="W83" s="657"/>
      <c r="X83" s="657"/>
      <c r="Y83" s="657"/>
      <c r="Z83" s="657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652">
        <v>4680115881327</v>
      </c>
      <c r="E84" s="652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9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4"/>
      <c r="R84" s="654"/>
      <c r="S84" s="654"/>
      <c r="T84" s="655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652">
        <v>4680115887732</v>
      </c>
      <c r="E85" s="652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90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4"/>
      <c r="R85" s="654"/>
      <c r="S85" s="654"/>
      <c r="T85" s="655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652">
        <v>4680115881518</v>
      </c>
      <c r="E86" s="652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9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4"/>
      <c r="R86" s="654"/>
      <c r="S86" s="654"/>
      <c r="T86" s="655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191</v>
      </c>
      <c r="B87" s="60" t="s">
        <v>192</v>
      </c>
      <c r="C87" s="34">
        <v>4301011443</v>
      </c>
      <c r="D87" s="652">
        <v>4680115881303</v>
      </c>
      <c r="E87" s="652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9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4"/>
      <c r="R87" s="654"/>
      <c r="S87" s="654"/>
      <c r="T87" s="655"/>
      <c r="U87" s="37" t="s">
        <v>46</v>
      </c>
      <c r="V87" s="37" t="s">
        <v>46</v>
      </c>
      <c r="W87" s="38" t="s">
        <v>0</v>
      </c>
      <c r="X87" s="56">
        <v>337.5</v>
      </c>
      <c r="Y87" s="53">
        <f>IFERROR(IF(X87="",0,CEILING((X87/$H87),1)*$H87),"")</f>
        <v>337.5</v>
      </c>
      <c r="Z87" s="39">
        <f>IFERROR(IF(Y87=0,"",ROUNDUP(Y87/H87,0)*0.00902),"")</f>
        <v>0.67649999999999999</v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351.75000000000006</v>
      </c>
      <c r="BN87" s="75">
        <f>IFERROR(Y87*I87/H87,"0")</f>
        <v>351.75000000000006</v>
      </c>
      <c r="BO87" s="75">
        <f>IFERROR(1/J87*(X87/H87),"0")</f>
        <v>0.56818181818181823</v>
      </c>
      <c r="BP87" s="75">
        <f>IFERROR(1/J87*(Y87/H87),"0")</f>
        <v>0.56818181818181823</v>
      </c>
    </row>
    <row r="88" spans="1:68" x14ac:dyDescent="0.2">
      <c r="A88" s="646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7"/>
      <c r="P88" s="643" t="s">
        <v>40</v>
      </c>
      <c r="Q88" s="644"/>
      <c r="R88" s="644"/>
      <c r="S88" s="644"/>
      <c r="T88" s="644"/>
      <c r="U88" s="644"/>
      <c r="V88" s="645"/>
      <c r="W88" s="40" t="s">
        <v>39</v>
      </c>
      <c r="X88" s="41">
        <f>IFERROR(X84/H84,"0")+IFERROR(X85/H85,"0")+IFERROR(X86/H86,"0")+IFERROR(X87/H87,"0")</f>
        <v>75</v>
      </c>
      <c r="Y88" s="41">
        <f>IFERROR(Y84/H84,"0")+IFERROR(Y85/H85,"0")+IFERROR(Y86/H86,"0")+IFERROR(Y87/H87,"0")</f>
        <v>75</v>
      </c>
      <c r="Z88" s="41">
        <f>IFERROR(IF(Z84="",0,Z84),"0")+IFERROR(IF(Z85="",0,Z85),"0")+IFERROR(IF(Z86="",0,Z86),"0")+IFERROR(IF(Z87="",0,Z87),"0")</f>
        <v>0.67649999999999999</v>
      </c>
      <c r="AA88" s="64"/>
      <c r="AB88" s="64"/>
      <c r="AC88" s="64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7"/>
      <c r="P89" s="643" t="s">
        <v>40</v>
      </c>
      <c r="Q89" s="644"/>
      <c r="R89" s="644"/>
      <c r="S89" s="644"/>
      <c r="T89" s="644"/>
      <c r="U89" s="644"/>
      <c r="V89" s="645"/>
      <c r="W89" s="40" t="s">
        <v>0</v>
      </c>
      <c r="X89" s="41">
        <f>IFERROR(SUM(X84:X87),"0")</f>
        <v>337.5</v>
      </c>
      <c r="Y89" s="41">
        <f>IFERROR(SUM(Y84:Y87),"0")</f>
        <v>337.5</v>
      </c>
      <c r="Z89" s="40"/>
      <c r="AA89" s="64"/>
      <c r="AB89" s="64"/>
      <c r="AC89" s="64"/>
    </row>
    <row r="90" spans="1:68" ht="14.25" hidden="1" customHeight="1" x14ac:dyDescent="0.25">
      <c r="A90" s="657" t="s">
        <v>86</v>
      </c>
      <c r="B90" s="657"/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657"/>
      <c r="V90" s="657"/>
      <c r="W90" s="657"/>
      <c r="X90" s="657"/>
      <c r="Y90" s="657"/>
      <c r="Z90" s="657"/>
      <c r="AA90" s="63"/>
      <c r="AB90" s="63"/>
      <c r="AC90" s="63"/>
    </row>
    <row r="91" spans="1:68" ht="27" customHeight="1" x14ac:dyDescent="0.25">
      <c r="A91" s="60" t="s">
        <v>193</v>
      </c>
      <c r="B91" s="60" t="s">
        <v>194</v>
      </c>
      <c r="C91" s="34">
        <v>4301051712</v>
      </c>
      <c r="D91" s="652">
        <v>4607091386967</v>
      </c>
      <c r="E91" s="652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4"/>
      <c r="R91" s="654"/>
      <c r="S91" s="654"/>
      <c r="T91" s="655"/>
      <c r="U91" s="37" t="s">
        <v>46</v>
      </c>
      <c r="V91" s="37" t="s">
        <v>46</v>
      </c>
      <c r="W91" s="38" t="s">
        <v>0</v>
      </c>
      <c r="X91" s="56">
        <v>1000</v>
      </c>
      <c r="Y91" s="53">
        <f>IFERROR(IF(X91="",0,CEILING((X91/$H91),1)*$H91),"")</f>
        <v>1004.4</v>
      </c>
      <c r="Z91" s="39">
        <f>IFERROR(IF(Y91=0,"",ROUNDUP(Y91/H91,0)*0.01898),"")</f>
        <v>2.3535200000000001</v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1060.9876543209878</v>
      </c>
      <c r="BN91" s="75">
        <f>IFERROR(Y91*I91/H91,"0")</f>
        <v>1065.6559999999999</v>
      </c>
      <c r="BO91" s="75">
        <f>IFERROR(1/J91*(X91/H91),"0")</f>
        <v>1.9290123456790125</v>
      </c>
      <c r="BP91" s="75">
        <f>IFERROR(1/J91*(Y91/H91),"0")</f>
        <v>1.9375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652">
        <v>4680115884953</v>
      </c>
      <c r="E92" s="652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8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4"/>
      <c r="R92" s="654"/>
      <c r="S92" s="654"/>
      <c r="T92" s="655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652">
        <v>4607091385731</v>
      </c>
      <c r="E93" s="652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8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4"/>
      <c r="R93" s="654"/>
      <c r="S93" s="654"/>
      <c r="T93" s="655"/>
      <c r="U93" s="37" t="s">
        <v>46</v>
      </c>
      <c r="V93" s="37" t="s">
        <v>46</v>
      </c>
      <c r="W93" s="38" t="s">
        <v>0</v>
      </c>
      <c r="X93" s="56">
        <v>225</v>
      </c>
      <c r="Y93" s="53">
        <f>IFERROR(IF(X93="",0,CEILING((X93/$H93),1)*$H93),"")</f>
        <v>226.8</v>
      </c>
      <c r="Z93" s="39">
        <f>IFERROR(IF(Y93=0,"",ROUNDUP(Y93/H93,0)*0.00651),"")</f>
        <v>0.54683999999999999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246</v>
      </c>
      <c r="BN93" s="75">
        <f>IFERROR(Y93*I93/H93,"0")</f>
        <v>247.96799999999999</v>
      </c>
      <c r="BO93" s="75">
        <f>IFERROR(1/J93*(X93/H93),"0")</f>
        <v>0.45787545787545786</v>
      </c>
      <c r="BP93" s="75">
        <f>IFERROR(1/J93*(Y93/H93),"0")</f>
        <v>0.46153846153846156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652">
        <v>4680115880894</v>
      </c>
      <c r="E94" s="652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4"/>
      <c r="R94" s="654"/>
      <c r="S94" s="654"/>
      <c r="T94" s="65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46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47"/>
      <c r="P95" s="643" t="s">
        <v>40</v>
      </c>
      <c r="Q95" s="644"/>
      <c r="R95" s="644"/>
      <c r="S95" s="644"/>
      <c r="T95" s="644"/>
      <c r="U95" s="644"/>
      <c r="V95" s="645"/>
      <c r="W95" s="40" t="s">
        <v>39</v>
      </c>
      <c r="X95" s="41">
        <f>IFERROR(X91/H91,"0")+IFERROR(X92/H92,"0")+IFERROR(X93/H93,"0")+IFERROR(X94/H94,"0")</f>
        <v>206.79012345679013</v>
      </c>
      <c r="Y95" s="41">
        <f>IFERROR(Y91/H91,"0")+IFERROR(Y92/H92,"0")+IFERROR(Y93/H93,"0")+IFERROR(Y94/H94,"0")</f>
        <v>208</v>
      </c>
      <c r="Z95" s="41">
        <f>IFERROR(IF(Z91="",0,Z91),"0")+IFERROR(IF(Z92="",0,Z92),"0")+IFERROR(IF(Z93="",0,Z93),"0")+IFERROR(IF(Z94="",0,Z94),"0")</f>
        <v>2.90036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7"/>
      <c r="P96" s="643" t="s">
        <v>40</v>
      </c>
      <c r="Q96" s="644"/>
      <c r="R96" s="644"/>
      <c r="S96" s="644"/>
      <c r="T96" s="644"/>
      <c r="U96" s="644"/>
      <c r="V96" s="645"/>
      <c r="W96" s="40" t="s">
        <v>0</v>
      </c>
      <c r="X96" s="41">
        <f>IFERROR(SUM(X91:X94),"0")</f>
        <v>1225</v>
      </c>
      <c r="Y96" s="41">
        <f>IFERROR(SUM(Y91:Y94),"0")</f>
        <v>1231.2</v>
      </c>
      <c r="Z96" s="40"/>
      <c r="AA96" s="64"/>
      <c r="AB96" s="64"/>
      <c r="AC96" s="64"/>
    </row>
    <row r="97" spans="1:68" ht="16.5" hidden="1" customHeight="1" x14ac:dyDescent="0.25">
      <c r="A97" s="656" t="s">
        <v>203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2"/>
      <c r="AB97" s="62"/>
      <c r="AC97" s="62"/>
    </row>
    <row r="98" spans="1:68" ht="14.25" hidden="1" customHeight="1" x14ac:dyDescent="0.25">
      <c r="A98" s="657" t="s">
        <v>122</v>
      </c>
      <c r="B98" s="657"/>
      <c r="C98" s="657"/>
      <c r="D98" s="657"/>
      <c r="E98" s="657"/>
      <c r="F98" s="657"/>
      <c r="G98" s="657"/>
      <c r="H98" s="657"/>
      <c r="I98" s="657"/>
      <c r="J98" s="657"/>
      <c r="K98" s="657"/>
      <c r="L98" s="657"/>
      <c r="M98" s="657"/>
      <c r="N98" s="657"/>
      <c r="O98" s="657"/>
      <c r="P98" s="657"/>
      <c r="Q98" s="657"/>
      <c r="R98" s="657"/>
      <c r="S98" s="657"/>
      <c r="T98" s="657"/>
      <c r="U98" s="657"/>
      <c r="V98" s="657"/>
      <c r="W98" s="657"/>
      <c r="X98" s="657"/>
      <c r="Y98" s="657"/>
      <c r="Z98" s="657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652">
        <v>4680115882133</v>
      </c>
      <c r="E99" s="652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89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4"/>
      <c r="R99" s="654"/>
      <c r="S99" s="654"/>
      <c r="T99" s="655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207</v>
      </c>
      <c r="B100" s="60" t="s">
        <v>208</v>
      </c>
      <c r="C100" s="34">
        <v>4301012051</v>
      </c>
      <c r="D100" s="652">
        <v>4680115887718</v>
      </c>
      <c r="E100" s="652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89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4"/>
      <c r="R100" s="654"/>
      <c r="S100" s="654"/>
      <c r="T100" s="655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652">
        <v>4680115887718</v>
      </c>
      <c r="E101" s="652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4"/>
      <c r="R101" s="654"/>
      <c r="S101" s="654"/>
      <c r="T101" s="655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652">
        <v>4680115887718</v>
      </c>
      <c r="E102" s="652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89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4"/>
      <c r="R102" s="654"/>
      <c r="S102" s="654"/>
      <c r="T102" s="65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652">
        <v>4680115880269</v>
      </c>
      <c r="E103" s="65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4"/>
      <c r="R103" s="654"/>
      <c r="S103" s="654"/>
      <c r="T103" s="65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4301011415</v>
      </c>
      <c r="D104" s="652">
        <v>4680115880429</v>
      </c>
      <c r="E104" s="65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4"/>
      <c r="R104" s="654"/>
      <c r="S104" s="654"/>
      <c r="T104" s="655"/>
      <c r="U104" s="37" t="s">
        <v>46</v>
      </c>
      <c r="V104" s="37" t="s">
        <v>46</v>
      </c>
      <c r="W104" s="38" t="s">
        <v>0</v>
      </c>
      <c r="X104" s="56">
        <v>450</v>
      </c>
      <c r="Y104" s="53">
        <f t="shared" si="5"/>
        <v>450</v>
      </c>
      <c r="Z104" s="39">
        <f>IFERROR(IF(Y104=0,"",ROUNDUP(Y104/H104,0)*0.00902),"")</f>
        <v>0.90200000000000002</v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469</v>
      </c>
      <c r="BN104" s="75">
        <f t="shared" si="7"/>
        <v>469</v>
      </c>
      <c r="BO104" s="75">
        <f t="shared" si="8"/>
        <v>0.75757575757575757</v>
      </c>
      <c r="BP104" s="75">
        <f t="shared" si="9"/>
        <v>0.75757575757575757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652">
        <v>4680115881457</v>
      </c>
      <c r="E105" s="65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4"/>
      <c r="R105" s="654"/>
      <c r="S105" s="654"/>
      <c r="T105" s="65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46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7"/>
      <c r="P106" s="643" t="s">
        <v>40</v>
      </c>
      <c r="Q106" s="644"/>
      <c r="R106" s="644"/>
      <c r="S106" s="644"/>
      <c r="T106" s="644"/>
      <c r="U106" s="644"/>
      <c r="V106" s="645"/>
      <c r="W106" s="40" t="s">
        <v>39</v>
      </c>
      <c r="X106" s="41">
        <f>IFERROR(X99/H99,"0")+IFERROR(X100/H100,"0")+IFERROR(X101/H101,"0")+IFERROR(X102/H102,"0")+IFERROR(X103/H103,"0")+IFERROR(X104/H104,"0")+IFERROR(X105/H105,"0")</f>
        <v>100</v>
      </c>
      <c r="Y106" s="41">
        <f>IFERROR(Y99/H99,"0")+IFERROR(Y100/H100,"0")+IFERROR(Y101/H101,"0")+IFERROR(Y102/H102,"0")+IFERROR(Y103/H103,"0")+IFERROR(Y104/H104,"0")+IFERROR(Y105/H105,"0")</f>
        <v>100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0.90200000000000002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7"/>
      <c r="P107" s="643" t="s">
        <v>40</v>
      </c>
      <c r="Q107" s="644"/>
      <c r="R107" s="644"/>
      <c r="S107" s="644"/>
      <c r="T107" s="644"/>
      <c r="U107" s="644"/>
      <c r="V107" s="645"/>
      <c r="W107" s="40" t="s">
        <v>0</v>
      </c>
      <c r="X107" s="41">
        <f>IFERROR(SUM(X99:X105),"0")</f>
        <v>450</v>
      </c>
      <c r="Y107" s="41">
        <f>IFERROR(SUM(Y99:Y105),"0")</f>
        <v>450</v>
      </c>
      <c r="Z107" s="40"/>
      <c r="AA107" s="64"/>
      <c r="AB107" s="64"/>
      <c r="AC107" s="64"/>
    </row>
    <row r="108" spans="1:68" ht="14.25" hidden="1" customHeight="1" x14ac:dyDescent="0.25">
      <c r="A108" s="657" t="s">
        <v>158</v>
      </c>
      <c r="B108" s="657"/>
      <c r="C108" s="657"/>
      <c r="D108" s="657"/>
      <c r="E108" s="657"/>
      <c r="F108" s="657"/>
      <c r="G108" s="657"/>
      <c r="H108" s="657"/>
      <c r="I108" s="657"/>
      <c r="J108" s="657"/>
      <c r="K108" s="657"/>
      <c r="L108" s="657"/>
      <c r="M108" s="657"/>
      <c r="N108" s="657"/>
      <c r="O108" s="657"/>
      <c r="P108" s="657"/>
      <c r="Q108" s="657"/>
      <c r="R108" s="657"/>
      <c r="S108" s="657"/>
      <c r="T108" s="657"/>
      <c r="U108" s="657"/>
      <c r="V108" s="657"/>
      <c r="W108" s="657"/>
      <c r="X108" s="657"/>
      <c r="Y108" s="657"/>
      <c r="Z108" s="657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652">
        <v>4680115881488</v>
      </c>
      <c r="E109" s="65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4"/>
      <c r="R109" s="654"/>
      <c r="S109" s="654"/>
      <c r="T109" s="655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221</v>
      </c>
      <c r="B110" s="60" t="s">
        <v>222</v>
      </c>
      <c r="C110" s="34">
        <v>4301020186</v>
      </c>
      <c r="D110" s="652">
        <v>4680115887664</v>
      </c>
      <c r="E110" s="65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4"/>
      <c r="R110" s="654"/>
      <c r="S110" s="654"/>
      <c r="T110" s="655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652">
        <v>4680115887664</v>
      </c>
      <c r="E111" s="652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4"/>
      <c r="R111" s="654"/>
      <c r="S111" s="654"/>
      <c r="T111" s="655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652">
        <v>4680115882775</v>
      </c>
      <c r="E112" s="652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8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4"/>
      <c r="R112" s="654"/>
      <c r="S112" s="654"/>
      <c r="T112" s="65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652">
        <v>4680115880658</v>
      </c>
      <c r="E113" s="652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8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4"/>
      <c r="R113" s="654"/>
      <c r="S113" s="654"/>
      <c r="T113" s="65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46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7"/>
      <c r="P114" s="643" t="s">
        <v>40</v>
      </c>
      <c r="Q114" s="644"/>
      <c r="R114" s="644"/>
      <c r="S114" s="644"/>
      <c r="T114" s="644"/>
      <c r="U114" s="644"/>
      <c r="V114" s="645"/>
      <c r="W114" s="40" t="s">
        <v>39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7"/>
      <c r="P115" s="643" t="s">
        <v>40</v>
      </c>
      <c r="Q115" s="644"/>
      <c r="R115" s="644"/>
      <c r="S115" s="644"/>
      <c r="T115" s="644"/>
      <c r="U115" s="644"/>
      <c r="V115" s="645"/>
      <c r="W115" s="40" t="s">
        <v>0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7" t="s">
        <v>86</v>
      </c>
      <c r="B116" s="657"/>
      <c r="C116" s="657"/>
      <c r="D116" s="657"/>
      <c r="E116" s="657"/>
      <c r="F116" s="657"/>
      <c r="G116" s="657"/>
      <c r="H116" s="657"/>
      <c r="I116" s="657"/>
      <c r="J116" s="657"/>
      <c r="K116" s="657"/>
      <c r="L116" s="657"/>
      <c r="M116" s="657"/>
      <c r="N116" s="657"/>
      <c r="O116" s="657"/>
      <c r="P116" s="657"/>
      <c r="Q116" s="657"/>
      <c r="R116" s="657"/>
      <c r="S116" s="657"/>
      <c r="T116" s="657"/>
      <c r="U116" s="657"/>
      <c r="V116" s="657"/>
      <c r="W116" s="657"/>
      <c r="X116" s="657"/>
      <c r="Y116" s="657"/>
      <c r="Z116" s="657"/>
      <c r="AA116" s="63"/>
      <c r="AB116" s="63"/>
      <c r="AC116" s="63"/>
    </row>
    <row r="117" spans="1:68" ht="27" customHeight="1" x14ac:dyDescent="0.25">
      <c r="A117" s="60" t="s">
        <v>230</v>
      </c>
      <c r="B117" s="60" t="s">
        <v>231</v>
      </c>
      <c r="C117" s="34">
        <v>4301051724</v>
      </c>
      <c r="D117" s="652">
        <v>4607091385168</v>
      </c>
      <c r="E117" s="652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8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4"/>
      <c r="R117" s="654"/>
      <c r="S117" s="654"/>
      <c r="T117" s="655"/>
      <c r="U117" s="37" t="s">
        <v>46</v>
      </c>
      <c r="V117" s="37" t="s">
        <v>46</v>
      </c>
      <c r="W117" s="38" t="s">
        <v>0</v>
      </c>
      <c r="X117" s="56">
        <v>250</v>
      </c>
      <c r="Y117" s="53">
        <f>IFERROR(IF(X117="",0,CEILING((X117/$H117),1)*$H117),"")</f>
        <v>251.1</v>
      </c>
      <c r="Z117" s="39">
        <f>IFERROR(IF(Y117=0,"",ROUNDUP(Y117/H117,0)*0.01898),"")</f>
        <v>0.58838000000000001</v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265.06172839506172</v>
      </c>
      <c r="BN117" s="75">
        <f>IFERROR(Y117*I117/H117,"0")</f>
        <v>266.22799999999995</v>
      </c>
      <c r="BO117" s="75">
        <f>IFERROR(1/J117*(X117/H117),"0")</f>
        <v>0.48225308641975312</v>
      </c>
      <c r="BP117" s="75">
        <f>IFERROR(1/J117*(Y117/H117),"0")</f>
        <v>0.484375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652">
        <v>4607091383256</v>
      </c>
      <c r="E118" s="652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8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4"/>
      <c r="R118" s="654"/>
      <c r="S118" s="654"/>
      <c r="T118" s="655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235</v>
      </c>
      <c r="B119" s="60" t="s">
        <v>236</v>
      </c>
      <c r="C119" s="34">
        <v>4301051721</v>
      </c>
      <c r="D119" s="652">
        <v>4607091385748</v>
      </c>
      <c r="E119" s="652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8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4"/>
      <c r="R119" s="654"/>
      <c r="S119" s="654"/>
      <c r="T119" s="655"/>
      <c r="U119" s="37" t="s">
        <v>46</v>
      </c>
      <c r="V119" s="37" t="s">
        <v>46</v>
      </c>
      <c r="W119" s="38" t="s">
        <v>0</v>
      </c>
      <c r="X119" s="56">
        <v>405</v>
      </c>
      <c r="Y119" s="53">
        <f>IFERROR(IF(X119="",0,CEILING((X119/$H119),1)*$H119),"")</f>
        <v>405</v>
      </c>
      <c r="Z119" s="39">
        <f>IFERROR(IF(Y119=0,"",ROUNDUP(Y119/H119,0)*0.00651),"")</f>
        <v>0.97650000000000003</v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442.79999999999995</v>
      </c>
      <c r="BN119" s="75">
        <f>IFERROR(Y119*I119/H119,"0")</f>
        <v>442.79999999999995</v>
      </c>
      <c r="BO119" s="75">
        <f>IFERROR(1/J119*(X119/H119),"0")</f>
        <v>0.82417582417582425</v>
      </c>
      <c r="BP119" s="75">
        <f>IFERROR(1/J119*(Y119/H119),"0")</f>
        <v>0.82417582417582425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652">
        <v>4680115884533</v>
      </c>
      <c r="E120" s="652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4"/>
      <c r="R120" s="654"/>
      <c r="S120" s="654"/>
      <c r="T120" s="655"/>
      <c r="U120" s="37" t="s">
        <v>46</v>
      </c>
      <c r="V120" s="37" t="s">
        <v>46</v>
      </c>
      <c r="W120" s="38" t="s">
        <v>0</v>
      </c>
      <c r="X120" s="56">
        <v>105</v>
      </c>
      <c r="Y120" s="53">
        <f>IFERROR(IF(X120="",0,CEILING((X120/$H120),1)*$H120),"")</f>
        <v>106.2</v>
      </c>
      <c r="Z120" s="39">
        <f>IFERROR(IF(Y120=0,"",ROUNDUP(Y120/H120,0)*0.00651),"")</f>
        <v>0.38408999999999999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115.5</v>
      </c>
      <c r="BN120" s="75">
        <f>IFERROR(Y120*I120/H120,"0")</f>
        <v>116.82000000000001</v>
      </c>
      <c r="BO120" s="75">
        <f>IFERROR(1/J120*(X120/H120),"0")</f>
        <v>0.32051282051282048</v>
      </c>
      <c r="BP120" s="75">
        <f>IFERROR(1/J120*(Y120/H120),"0")</f>
        <v>0.32417582417582419</v>
      </c>
    </row>
    <row r="121" spans="1:68" x14ac:dyDescent="0.2">
      <c r="A121" s="646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7"/>
      <c r="P121" s="643" t="s">
        <v>40</v>
      </c>
      <c r="Q121" s="644"/>
      <c r="R121" s="644"/>
      <c r="S121" s="644"/>
      <c r="T121" s="644"/>
      <c r="U121" s="644"/>
      <c r="V121" s="645"/>
      <c r="W121" s="40" t="s">
        <v>39</v>
      </c>
      <c r="X121" s="41">
        <f>IFERROR(X117/H117,"0")+IFERROR(X118/H118,"0")+IFERROR(X119/H119,"0")+IFERROR(X120/H120,"0")</f>
        <v>239.19753086419752</v>
      </c>
      <c r="Y121" s="41">
        <f>IFERROR(Y117/H117,"0")+IFERROR(Y118/H118,"0")+IFERROR(Y119/H119,"0")+IFERROR(Y120/H120,"0")</f>
        <v>240</v>
      </c>
      <c r="Z121" s="41">
        <f>IFERROR(IF(Z117="",0,Z117),"0")+IFERROR(IF(Z118="",0,Z118),"0")+IFERROR(IF(Z119="",0,Z119),"0")+IFERROR(IF(Z120="",0,Z120),"0")</f>
        <v>1.9489700000000001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7"/>
      <c r="P122" s="643" t="s">
        <v>40</v>
      </c>
      <c r="Q122" s="644"/>
      <c r="R122" s="644"/>
      <c r="S122" s="644"/>
      <c r="T122" s="644"/>
      <c r="U122" s="644"/>
      <c r="V122" s="645"/>
      <c r="W122" s="40" t="s">
        <v>0</v>
      </c>
      <c r="X122" s="41">
        <f>IFERROR(SUM(X117:X120),"0")</f>
        <v>760</v>
      </c>
      <c r="Y122" s="41">
        <f>IFERROR(SUM(Y117:Y120),"0")</f>
        <v>762.30000000000007</v>
      </c>
      <c r="Z122" s="40"/>
      <c r="AA122" s="64"/>
      <c r="AB122" s="64"/>
      <c r="AC122" s="64"/>
    </row>
    <row r="123" spans="1:68" ht="14.25" hidden="1" customHeight="1" x14ac:dyDescent="0.25">
      <c r="A123" s="657" t="s">
        <v>175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3"/>
      <c r="AB123" s="63"/>
      <c r="AC123" s="63"/>
    </row>
    <row r="124" spans="1:68" ht="16.5" customHeight="1" x14ac:dyDescent="0.25">
      <c r="A124" s="60" t="s">
        <v>240</v>
      </c>
      <c r="B124" s="60" t="s">
        <v>241</v>
      </c>
      <c r="C124" s="34">
        <v>4301060317</v>
      </c>
      <c r="D124" s="652">
        <v>4680115880238</v>
      </c>
      <c r="E124" s="652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4"/>
      <c r="R124" s="654"/>
      <c r="S124" s="654"/>
      <c r="T124" s="655"/>
      <c r="U124" s="37" t="s">
        <v>46</v>
      </c>
      <c r="V124" s="37" t="s">
        <v>46</v>
      </c>
      <c r="W124" s="38" t="s">
        <v>0</v>
      </c>
      <c r="X124" s="56">
        <v>24.75</v>
      </c>
      <c r="Y124" s="53">
        <f>IFERROR(IF(X124="",0,CEILING((X124/$H124),1)*$H124),"")</f>
        <v>25.74</v>
      </c>
      <c r="Z124" s="39">
        <f>IFERROR(IF(Y124=0,"",ROUNDUP(Y124/H124,0)*0.00651),"")</f>
        <v>8.4629999999999997E-2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27.975000000000001</v>
      </c>
      <c r="BN124" s="75">
        <f>IFERROR(Y124*I124/H124,"0")</f>
        <v>29.093999999999998</v>
      </c>
      <c r="BO124" s="75">
        <f>IFERROR(1/J124*(X124/H124),"0")</f>
        <v>6.8681318681318687E-2</v>
      </c>
      <c r="BP124" s="75">
        <f>IFERROR(1/J124*(Y124/H124),"0")</f>
        <v>7.1428571428571438E-2</v>
      </c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43" t="s">
        <v>40</v>
      </c>
      <c r="Q125" s="644"/>
      <c r="R125" s="644"/>
      <c r="S125" s="644"/>
      <c r="T125" s="644"/>
      <c r="U125" s="644"/>
      <c r="V125" s="645"/>
      <c r="W125" s="40" t="s">
        <v>39</v>
      </c>
      <c r="X125" s="41">
        <f>IFERROR(X124/H124,"0")</f>
        <v>12.5</v>
      </c>
      <c r="Y125" s="41">
        <f>IFERROR(Y124/H124,"0")</f>
        <v>13</v>
      </c>
      <c r="Z125" s="41">
        <f>IFERROR(IF(Z124="",0,Z124),"0")</f>
        <v>8.4629999999999997E-2</v>
      </c>
      <c r="AA125" s="64"/>
      <c r="AB125" s="64"/>
      <c r="AC125" s="64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7"/>
      <c r="P126" s="643" t="s">
        <v>40</v>
      </c>
      <c r="Q126" s="644"/>
      <c r="R126" s="644"/>
      <c r="S126" s="644"/>
      <c r="T126" s="644"/>
      <c r="U126" s="644"/>
      <c r="V126" s="645"/>
      <c r="W126" s="40" t="s">
        <v>0</v>
      </c>
      <c r="X126" s="41">
        <f>IFERROR(SUM(X124:X124),"0")</f>
        <v>24.75</v>
      </c>
      <c r="Y126" s="41">
        <f>IFERROR(SUM(Y124:Y124),"0")</f>
        <v>25.74</v>
      </c>
      <c r="Z126" s="40"/>
      <c r="AA126" s="64"/>
      <c r="AB126" s="64"/>
      <c r="AC126" s="64"/>
    </row>
    <row r="127" spans="1:68" ht="16.5" hidden="1" customHeight="1" x14ac:dyDescent="0.25">
      <c r="A127" s="656" t="s">
        <v>243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2"/>
      <c r="AB127" s="62"/>
      <c r="AC127" s="62"/>
    </row>
    <row r="128" spans="1:68" ht="14.25" hidden="1" customHeight="1" x14ac:dyDescent="0.25">
      <c r="A128" s="657" t="s">
        <v>122</v>
      </c>
      <c r="B128" s="657"/>
      <c r="C128" s="657"/>
      <c r="D128" s="657"/>
      <c r="E128" s="657"/>
      <c r="F128" s="657"/>
      <c r="G128" s="657"/>
      <c r="H128" s="657"/>
      <c r="I128" s="657"/>
      <c r="J128" s="657"/>
      <c r="K128" s="657"/>
      <c r="L128" s="657"/>
      <c r="M128" s="657"/>
      <c r="N128" s="657"/>
      <c r="O128" s="657"/>
      <c r="P128" s="657"/>
      <c r="Q128" s="657"/>
      <c r="R128" s="657"/>
      <c r="S128" s="657"/>
      <c r="T128" s="657"/>
      <c r="U128" s="657"/>
      <c r="V128" s="657"/>
      <c r="W128" s="657"/>
      <c r="X128" s="657"/>
      <c r="Y128" s="657"/>
      <c r="Z128" s="657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652">
        <v>4680115888784</v>
      </c>
      <c r="E129" s="652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8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4"/>
      <c r="R129" s="654"/>
      <c r="S129" s="654"/>
      <c r="T129" s="65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652">
        <v>4680115882577</v>
      </c>
      <c r="E130" s="652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4"/>
      <c r="R130" s="654"/>
      <c r="S130" s="654"/>
      <c r="T130" s="655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248</v>
      </c>
      <c r="B131" s="60" t="s">
        <v>252</v>
      </c>
      <c r="C131" s="34">
        <v>4301011564</v>
      </c>
      <c r="D131" s="652">
        <v>4680115882577</v>
      </c>
      <c r="E131" s="652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4"/>
      <c r="R131" s="654"/>
      <c r="S131" s="654"/>
      <c r="T131" s="655"/>
      <c r="U131" s="37" t="s">
        <v>46</v>
      </c>
      <c r="V131" s="37" t="s">
        <v>46</v>
      </c>
      <c r="W131" s="38" t="s">
        <v>0</v>
      </c>
      <c r="X131" s="56">
        <v>20</v>
      </c>
      <c r="Y131" s="53">
        <f>IFERROR(IF(X131="",0,CEILING((X131/$H131),1)*$H131),"")</f>
        <v>22.400000000000002</v>
      </c>
      <c r="Z131" s="39">
        <f>IFERROR(IF(Y131=0,"",ROUNDUP(Y131/H131,0)*0.00651),"")</f>
        <v>4.5569999999999999E-2</v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21.124999999999996</v>
      </c>
      <c r="BN131" s="75">
        <f>IFERROR(Y131*I131/H131,"0")</f>
        <v>23.66</v>
      </c>
      <c r="BO131" s="75">
        <f>IFERROR(1/J131*(X131/H131),"0")</f>
        <v>3.4340659340659344E-2</v>
      </c>
      <c r="BP131" s="75">
        <f>IFERROR(1/J131*(Y131/H131),"0")</f>
        <v>3.8461538461538464E-2</v>
      </c>
    </row>
    <row r="132" spans="1:68" x14ac:dyDescent="0.2">
      <c r="A132" s="646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7"/>
      <c r="P132" s="643" t="s">
        <v>40</v>
      </c>
      <c r="Q132" s="644"/>
      <c r="R132" s="644"/>
      <c r="S132" s="644"/>
      <c r="T132" s="644"/>
      <c r="U132" s="644"/>
      <c r="V132" s="645"/>
      <c r="W132" s="40" t="s">
        <v>39</v>
      </c>
      <c r="X132" s="41">
        <f>IFERROR(X129/H129,"0")+IFERROR(X130/H130,"0")+IFERROR(X131/H131,"0")</f>
        <v>6.25</v>
      </c>
      <c r="Y132" s="41">
        <f>IFERROR(Y129/H129,"0")+IFERROR(Y130/H130,"0")+IFERROR(Y131/H131,"0")</f>
        <v>7</v>
      </c>
      <c r="Z132" s="41">
        <f>IFERROR(IF(Z129="",0,Z129),"0")+IFERROR(IF(Z130="",0,Z130),"0")+IFERROR(IF(Z131="",0,Z131),"0")</f>
        <v>4.5569999999999999E-2</v>
      </c>
      <c r="AA132" s="64"/>
      <c r="AB132" s="64"/>
      <c r="AC132" s="64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7"/>
      <c r="P133" s="643" t="s">
        <v>40</v>
      </c>
      <c r="Q133" s="644"/>
      <c r="R133" s="644"/>
      <c r="S133" s="644"/>
      <c r="T133" s="644"/>
      <c r="U133" s="644"/>
      <c r="V133" s="645"/>
      <c r="W133" s="40" t="s">
        <v>0</v>
      </c>
      <c r="X133" s="41">
        <f>IFERROR(SUM(X129:X131),"0")</f>
        <v>20</v>
      </c>
      <c r="Y133" s="41">
        <f>IFERROR(SUM(Y129:Y131),"0")</f>
        <v>22.400000000000002</v>
      </c>
      <c r="Z133" s="40"/>
      <c r="AA133" s="64"/>
      <c r="AB133" s="64"/>
      <c r="AC133" s="64"/>
    </row>
    <row r="134" spans="1:68" ht="14.25" hidden="1" customHeight="1" x14ac:dyDescent="0.25">
      <c r="A134" s="657" t="s">
        <v>77</v>
      </c>
      <c r="B134" s="657"/>
      <c r="C134" s="657"/>
      <c r="D134" s="657"/>
      <c r="E134" s="657"/>
      <c r="F134" s="657"/>
      <c r="G134" s="657"/>
      <c r="H134" s="657"/>
      <c r="I134" s="657"/>
      <c r="J134" s="657"/>
      <c r="K134" s="657"/>
      <c r="L134" s="657"/>
      <c r="M134" s="657"/>
      <c r="N134" s="657"/>
      <c r="O134" s="657"/>
      <c r="P134" s="657"/>
      <c r="Q134" s="657"/>
      <c r="R134" s="657"/>
      <c r="S134" s="657"/>
      <c r="T134" s="657"/>
      <c r="U134" s="657"/>
      <c r="V134" s="657"/>
      <c r="W134" s="657"/>
      <c r="X134" s="657"/>
      <c r="Y134" s="657"/>
      <c r="Z134" s="657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652">
        <v>4680115888913</v>
      </c>
      <c r="E135" s="652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8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4"/>
      <c r="R135" s="654"/>
      <c r="S135" s="654"/>
      <c r="T135" s="65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256</v>
      </c>
      <c r="B136" s="60" t="s">
        <v>257</v>
      </c>
      <c r="C136" s="34">
        <v>4301031234</v>
      </c>
      <c r="D136" s="652">
        <v>4680115883444</v>
      </c>
      <c r="E136" s="652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4"/>
      <c r="R136" s="654"/>
      <c r="S136" s="654"/>
      <c r="T136" s="655"/>
      <c r="U136" s="37" t="s">
        <v>46</v>
      </c>
      <c r="V136" s="37" t="s">
        <v>46</v>
      </c>
      <c r="W136" s="38" t="s">
        <v>0</v>
      </c>
      <c r="X136" s="56">
        <v>56</v>
      </c>
      <c r="Y136" s="53">
        <f>IFERROR(IF(X136="",0,CEILING((X136/$H136),1)*$H136),"")</f>
        <v>56</v>
      </c>
      <c r="Z136" s="39">
        <f>IFERROR(IF(Y136=0,"",ROUNDUP(Y136/H136,0)*0.00651),"")</f>
        <v>0.13020000000000001</v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61.36</v>
      </c>
      <c r="BN136" s="75">
        <f>IFERROR(Y136*I136/H136,"0")</f>
        <v>61.36</v>
      </c>
      <c r="BO136" s="75">
        <f>IFERROR(1/J136*(X136/H136),"0")</f>
        <v>0.1098901098901099</v>
      </c>
      <c r="BP136" s="75">
        <f>IFERROR(1/J136*(Y136/H136),"0")</f>
        <v>0.1098901098901099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652">
        <v>4680115883444</v>
      </c>
      <c r="E137" s="65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4"/>
      <c r="R137" s="654"/>
      <c r="S137" s="654"/>
      <c r="T137" s="65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652">
        <v>4680115888920</v>
      </c>
      <c r="E138" s="652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87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4"/>
      <c r="R138" s="654"/>
      <c r="S138" s="654"/>
      <c r="T138" s="65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46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7"/>
      <c r="P139" s="643" t="s">
        <v>40</v>
      </c>
      <c r="Q139" s="644"/>
      <c r="R139" s="644"/>
      <c r="S139" s="644"/>
      <c r="T139" s="644"/>
      <c r="U139" s="644"/>
      <c r="V139" s="645"/>
      <c r="W139" s="40" t="s">
        <v>39</v>
      </c>
      <c r="X139" s="41">
        <f>IFERROR(X135/H135,"0")+IFERROR(X136/H136,"0")+IFERROR(X137/H137,"0")+IFERROR(X138/H138,"0")</f>
        <v>20</v>
      </c>
      <c r="Y139" s="41">
        <f>IFERROR(Y135/H135,"0")+IFERROR(Y136/H136,"0")+IFERROR(Y137/H137,"0")+IFERROR(Y138/H138,"0")</f>
        <v>20</v>
      </c>
      <c r="Z139" s="41">
        <f>IFERROR(IF(Z135="",0,Z135),"0")+IFERROR(IF(Z136="",0,Z136),"0")+IFERROR(IF(Z137="",0,Z137),"0")+IFERROR(IF(Z138="",0,Z138),"0")</f>
        <v>0.13020000000000001</v>
      </c>
      <c r="AA139" s="64"/>
      <c r="AB139" s="64"/>
      <c r="AC139" s="64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7"/>
      <c r="P140" s="643" t="s">
        <v>40</v>
      </c>
      <c r="Q140" s="644"/>
      <c r="R140" s="644"/>
      <c r="S140" s="644"/>
      <c r="T140" s="644"/>
      <c r="U140" s="644"/>
      <c r="V140" s="645"/>
      <c r="W140" s="40" t="s">
        <v>0</v>
      </c>
      <c r="X140" s="41">
        <f>IFERROR(SUM(X135:X138),"0")</f>
        <v>56</v>
      </c>
      <c r="Y140" s="41">
        <f>IFERROR(SUM(Y135:Y138),"0")</f>
        <v>56</v>
      </c>
      <c r="Z140" s="40"/>
      <c r="AA140" s="64"/>
      <c r="AB140" s="64"/>
      <c r="AC140" s="64"/>
    </row>
    <row r="141" spans="1:68" ht="14.25" hidden="1" customHeight="1" x14ac:dyDescent="0.25">
      <c r="A141" s="657" t="s">
        <v>86</v>
      </c>
      <c r="B141" s="657"/>
      <c r="C141" s="657"/>
      <c r="D141" s="657"/>
      <c r="E141" s="657"/>
      <c r="F141" s="657"/>
      <c r="G141" s="657"/>
      <c r="H141" s="657"/>
      <c r="I141" s="657"/>
      <c r="J141" s="657"/>
      <c r="K141" s="657"/>
      <c r="L141" s="657"/>
      <c r="M141" s="657"/>
      <c r="N141" s="657"/>
      <c r="O141" s="657"/>
      <c r="P141" s="657"/>
      <c r="Q141" s="657"/>
      <c r="R141" s="657"/>
      <c r="S141" s="657"/>
      <c r="T141" s="657"/>
      <c r="U141" s="657"/>
      <c r="V141" s="657"/>
      <c r="W141" s="657"/>
      <c r="X141" s="657"/>
      <c r="Y141" s="657"/>
      <c r="Z141" s="657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652">
        <v>4680115888944</v>
      </c>
      <c r="E142" s="652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87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4"/>
      <c r="R142" s="654"/>
      <c r="S142" s="654"/>
      <c r="T142" s="65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264</v>
      </c>
      <c r="B143" s="60" t="s">
        <v>265</v>
      </c>
      <c r="C143" s="34">
        <v>4301051476</v>
      </c>
      <c r="D143" s="652">
        <v>4680115882584</v>
      </c>
      <c r="E143" s="65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4"/>
      <c r="R143" s="654"/>
      <c r="S143" s="654"/>
      <c r="T143" s="655"/>
      <c r="U143" s="37" t="s">
        <v>46</v>
      </c>
      <c r="V143" s="37" t="s">
        <v>46</v>
      </c>
      <c r="W143" s="38" t="s">
        <v>0</v>
      </c>
      <c r="X143" s="56">
        <v>42.9</v>
      </c>
      <c r="Y143" s="53">
        <f>IFERROR(IF(X143="",0,CEILING((X143/$H143),1)*$H143),"")</f>
        <v>44.88</v>
      </c>
      <c r="Z143" s="39">
        <f>IFERROR(IF(Y143=0,"",ROUNDUP(Y143/H143,0)*0.00651),"")</f>
        <v>0.11067</v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47.254999999999995</v>
      </c>
      <c r="BN143" s="75">
        <f>IFERROR(Y143*I143/H143,"0")</f>
        <v>49.436</v>
      </c>
      <c r="BO143" s="75">
        <f>IFERROR(1/J143*(X143/H143),"0")</f>
        <v>8.9285714285714288E-2</v>
      </c>
      <c r="BP143" s="75">
        <f>IFERROR(1/J143*(Y143/H143),"0")</f>
        <v>9.3406593406593408E-2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652">
        <v>4680115882584</v>
      </c>
      <c r="E144" s="65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4"/>
      <c r="R144" s="654"/>
      <c r="S144" s="654"/>
      <c r="T144" s="65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7"/>
      <c r="P145" s="643" t="s">
        <v>40</v>
      </c>
      <c r="Q145" s="644"/>
      <c r="R145" s="644"/>
      <c r="S145" s="644"/>
      <c r="T145" s="644"/>
      <c r="U145" s="644"/>
      <c r="V145" s="645"/>
      <c r="W145" s="40" t="s">
        <v>39</v>
      </c>
      <c r="X145" s="41">
        <f>IFERROR(X142/H142,"0")+IFERROR(X143/H143,"0")+IFERROR(X144/H144,"0")</f>
        <v>16.25</v>
      </c>
      <c r="Y145" s="41">
        <f>IFERROR(Y142/H142,"0")+IFERROR(Y143/H143,"0")+IFERROR(Y144/H144,"0")</f>
        <v>17</v>
      </c>
      <c r="Z145" s="41">
        <f>IFERROR(IF(Z142="",0,Z142),"0")+IFERROR(IF(Z143="",0,Z143),"0")+IFERROR(IF(Z144="",0,Z144),"0")</f>
        <v>0.11067</v>
      </c>
      <c r="AA145" s="64"/>
      <c r="AB145" s="64"/>
      <c r="AC145" s="64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7"/>
      <c r="P146" s="643" t="s">
        <v>40</v>
      </c>
      <c r="Q146" s="644"/>
      <c r="R146" s="644"/>
      <c r="S146" s="644"/>
      <c r="T146" s="644"/>
      <c r="U146" s="644"/>
      <c r="V146" s="645"/>
      <c r="W146" s="40" t="s">
        <v>0</v>
      </c>
      <c r="X146" s="41">
        <f>IFERROR(SUM(X142:X144),"0")</f>
        <v>42.9</v>
      </c>
      <c r="Y146" s="41">
        <f>IFERROR(SUM(Y142:Y144),"0")</f>
        <v>44.88</v>
      </c>
      <c r="Z146" s="40"/>
      <c r="AA146" s="64"/>
      <c r="AB146" s="64"/>
      <c r="AC146" s="64"/>
    </row>
    <row r="147" spans="1:68" ht="16.5" hidden="1" customHeight="1" x14ac:dyDescent="0.25">
      <c r="A147" s="656" t="s">
        <v>267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2"/>
      <c r="AB147" s="62"/>
      <c r="AC147" s="62"/>
    </row>
    <row r="148" spans="1:68" ht="14.25" hidden="1" customHeight="1" x14ac:dyDescent="0.25">
      <c r="A148" s="657" t="s">
        <v>86</v>
      </c>
      <c r="B148" s="657"/>
      <c r="C148" s="657"/>
      <c r="D148" s="657"/>
      <c r="E148" s="657"/>
      <c r="F148" s="657"/>
      <c r="G148" s="657"/>
      <c r="H148" s="657"/>
      <c r="I148" s="657"/>
      <c r="J148" s="657"/>
      <c r="K148" s="657"/>
      <c r="L148" s="657"/>
      <c r="M148" s="657"/>
      <c r="N148" s="657"/>
      <c r="O148" s="657"/>
      <c r="P148" s="657"/>
      <c r="Q148" s="657"/>
      <c r="R148" s="657"/>
      <c r="S148" s="657"/>
      <c r="T148" s="657"/>
      <c r="U148" s="657"/>
      <c r="V148" s="657"/>
      <c r="W148" s="657"/>
      <c r="X148" s="657"/>
      <c r="Y148" s="657"/>
      <c r="Z148" s="657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652">
        <v>4680115888203</v>
      </c>
      <c r="E149" s="652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6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4"/>
      <c r="R149" s="654"/>
      <c r="S149" s="654"/>
      <c r="T149" s="655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652">
        <v>4680115888180</v>
      </c>
      <c r="E150" s="65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4"/>
      <c r="R150" s="654"/>
      <c r="S150" s="654"/>
      <c r="T150" s="655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652">
        <v>4680115888180</v>
      </c>
      <c r="E151" s="652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6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4"/>
      <c r="R151" s="654"/>
      <c r="S151" s="654"/>
      <c r="T151" s="65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652">
        <v>4680115888197</v>
      </c>
      <c r="E152" s="65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6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4"/>
      <c r="R152" s="654"/>
      <c r="S152" s="654"/>
      <c r="T152" s="65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652">
        <v>4680115888197</v>
      </c>
      <c r="E153" s="652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4"/>
      <c r="R153" s="654"/>
      <c r="S153" s="654"/>
      <c r="T153" s="65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652">
        <v>4680115888210</v>
      </c>
      <c r="E154" s="652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4"/>
      <c r="R154" s="654"/>
      <c r="S154" s="654"/>
      <c r="T154" s="65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652">
        <v>4680115888210</v>
      </c>
      <c r="E155" s="652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46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7"/>
      <c r="P156" s="643" t="s">
        <v>40</v>
      </c>
      <c r="Q156" s="644"/>
      <c r="R156" s="644"/>
      <c r="S156" s="644"/>
      <c r="T156" s="644"/>
      <c r="U156" s="644"/>
      <c r="V156" s="645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47"/>
      <c r="P157" s="643" t="s">
        <v>40</v>
      </c>
      <c r="Q157" s="644"/>
      <c r="R157" s="644"/>
      <c r="S157" s="644"/>
      <c r="T157" s="644"/>
      <c r="U157" s="644"/>
      <c r="V157" s="645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7" t="s">
        <v>283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652">
        <v>4680115889132</v>
      </c>
      <c r="E159" s="652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4"/>
      <c r="R159" s="654"/>
      <c r="S159" s="654"/>
      <c r="T159" s="65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46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7"/>
      <c r="P160" s="643" t="s">
        <v>40</v>
      </c>
      <c r="Q160" s="644"/>
      <c r="R160" s="644"/>
      <c r="S160" s="644"/>
      <c r="T160" s="644"/>
      <c r="U160" s="644"/>
      <c r="V160" s="645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7"/>
      <c r="P161" s="643" t="s">
        <v>40</v>
      </c>
      <c r="Q161" s="644"/>
      <c r="R161" s="644"/>
      <c r="S161" s="644"/>
      <c r="T161" s="644"/>
      <c r="U161" s="644"/>
      <c r="V161" s="645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6" t="s">
        <v>120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2"/>
      <c r="AB162" s="62"/>
      <c r="AC162" s="62"/>
    </row>
    <row r="163" spans="1:68" ht="14.25" hidden="1" customHeight="1" x14ac:dyDescent="0.25">
      <c r="A163" s="657" t="s">
        <v>122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652">
        <v>4680115887374</v>
      </c>
      <c r="E164" s="652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6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4"/>
      <c r="R164" s="654"/>
      <c r="S164" s="654"/>
      <c r="T164" s="655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652">
        <v>4607091384604</v>
      </c>
      <c r="E165" s="652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4"/>
      <c r="R165" s="654"/>
      <c r="S165" s="654"/>
      <c r="T165" s="65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652">
        <v>4680115888876</v>
      </c>
      <c r="E166" s="65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4"/>
      <c r="R166" s="654"/>
      <c r="S166" s="654"/>
      <c r="T166" s="65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46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7"/>
      <c r="P167" s="643" t="s">
        <v>40</v>
      </c>
      <c r="Q167" s="644"/>
      <c r="R167" s="644"/>
      <c r="S167" s="644"/>
      <c r="T167" s="644"/>
      <c r="U167" s="644"/>
      <c r="V167" s="645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47"/>
      <c r="P168" s="643" t="s">
        <v>40</v>
      </c>
      <c r="Q168" s="644"/>
      <c r="R168" s="644"/>
      <c r="S168" s="644"/>
      <c r="T168" s="644"/>
      <c r="U168" s="644"/>
      <c r="V168" s="645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7" t="s">
        <v>158</v>
      </c>
      <c r="B169" s="657"/>
      <c r="C169" s="657"/>
      <c r="D169" s="657"/>
      <c r="E169" s="657"/>
      <c r="F169" s="657"/>
      <c r="G169" s="657"/>
      <c r="H169" s="657"/>
      <c r="I169" s="657"/>
      <c r="J169" s="657"/>
      <c r="K169" s="657"/>
      <c r="L169" s="657"/>
      <c r="M169" s="657"/>
      <c r="N169" s="657"/>
      <c r="O169" s="657"/>
      <c r="P169" s="657"/>
      <c r="Q169" s="657"/>
      <c r="R169" s="657"/>
      <c r="S169" s="657"/>
      <c r="T169" s="657"/>
      <c r="U169" s="657"/>
      <c r="V169" s="657"/>
      <c r="W169" s="657"/>
      <c r="X169" s="657"/>
      <c r="Y169" s="657"/>
      <c r="Z169" s="657"/>
      <c r="AA169" s="63"/>
      <c r="AB169" s="63"/>
      <c r="AC169" s="63"/>
    </row>
    <row r="170" spans="1:68" ht="16.5" customHeight="1" x14ac:dyDescent="0.25">
      <c r="A170" s="60" t="s">
        <v>299</v>
      </c>
      <c r="B170" s="60" t="s">
        <v>300</v>
      </c>
      <c r="C170" s="34">
        <v>4301020410</v>
      </c>
      <c r="D170" s="652">
        <v>4680115887695</v>
      </c>
      <c r="E170" s="652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4"/>
      <c r="R170" s="654"/>
      <c r="S170" s="654"/>
      <c r="T170" s="655"/>
      <c r="U170" s="37" t="s">
        <v>46</v>
      </c>
      <c r="V170" s="37" t="s">
        <v>46</v>
      </c>
      <c r="W170" s="38" t="s">
        <v>0</v>
      </c>
      <c r="X170" s="56">
        <v>18</v>
      </c>
      <c r="Y170" s="53">
        <f>IFERROR(IF(X170="",0,CEILING((X170/$H170),1)*$H170),"")</f>
        <v>18</v>
      </c>
      <c r="Z170" s="39">
        <f>IFERROR(IF(Y170=0,"",ROUNDUP(Y170/H170,0)*0.00556),"")</f>
        <v>0.13899999999999998</v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21.25</v>
      </c>
      <c r="BN170" s="75">
        <f>IFERROR(Y170*I170/H170,"0")</f>
        <v>21.25</v>
      </c>
      <c r="BO170" s="75">
        <f>IFERROR(1/J170*(X170/H170),"0")</f>
        <v>9.9206349206349201E-2</v>
      </c>
      <c r="BP170" s="75">
        <f>IFERROR(1/J170*(Y170/H170),"0")</f>
        <v>9.9206349206349201E-2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652">
        <v>4680115889491</v>
      </c>
      <c r="E171" s="652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5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4"/>
      <c r="R171" s="654"/>
      <c r="S171" s="654"/>
      <c r="T171" s="65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46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7"/>
      <c r="P172" s="643" t="s">
        <v>40</v>
      </c>
      <c r="Q172" s="644"/>
      <c r="R172" s="644"/>
      <c r="S172" s="644"/>
      <c r="T172" s="644"/>
      <c r="U172" s="644"/>
      <c r="V172" s="645"/>
      <c r="W172" s="40" t="s">
        <v>39</v>
      </c>
      <c r="X172" s="41">
        <f>IFERROR(X170/H170,"0")+IFERROR(X171/H171,"0")</f>
        <v>25</v>
      </c>
      <c r="Y172" s="41">
        <f>IFERROR(Y170/H170,"0")+IFERROR(Y171/H171,"0")</f>
        <v>25</v>
      </c>
      <c r="Z172" s="41">
        <f>IFERROR(IF(Z170="",0,Z170),"0")+IFERROR(IF(Z171="",0,Z171),"0")</f>
        <v>0.13899999999999998</v>
      </c>
      <c r="AA172" s="64"/>
      <c r="AB172" s="64"/>
      <c r="AC172" s="64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47"/>
      <c r="P173" s="643" t="s">
        <v>40</v>
      </c>
      <c r="Q173" s="644"/>
      <c r="R173" s="644"/>
      <c r="S173" s="644"/>
      <c r="T173" s="644"/>
      <c r="U173" s="644"/>
      <c r="V173" s="645"/>
      <c r="W173" s="40" t="s">
        <v>0</v>
      </c>
      <c r="X173" s="41">
        <f>IFERROR(SUM(X170:X171),"0")</f>
        <v>18</v>
      </c>
      <c r="Y173" s="41">
        <f>IFERROR(SUM(Y170:Y171),"0")</f>
        <v>18</v>
      </c>
      <c r="Z173" s="40"/>
      <c r="AA173" s="64"/>
      <c r="AB173" s="64"/>
      <c r="AC173" s="64"/>
    </row>
    <row r="174" spans="1:68" ht="14.25" hidden="1" customHeight="1" x14ac:dyDescent="0.25">
      <c r="A174" s="657" t="s">
        <v>77</v>
      </c>
      <c r="B174" s="657"/>
      <c r="C174" s="657"/>
      <c r="D174" s="657"/>
      <c r="E174" s="657"/>
      <c r="F174" s="657"/>
      <c r="G174" s="657"/>
      <c r="H174" s="657"/>
      <c r="I174" s="657"/>
      <c r="J174" s="657"/>
      <c r="K174" s="657"/>
      <c r="L174" s="657"/>
      <c r="M174" s="657"/>
      <c r="N174" s="657"/>
      <c r="O174" s="657"/>
      <c r="P174" s="657"/>
      <c r="Q174" s="657"/>
      <c r="R174" s="657"/>
      <c r="S174" s="657"/>
      <c r="T174" s="657"/>
      <c r="U174" s="657"/>
      <c r="V174" s="657"/>
      <c r="W174" s="657"/>
      <c r="X174" s="657"/>
      <c r="Y174" s="657"/>
      <c r="Z174" s="657"/>
      <c r="AA174" s="63"/>
      <c r="AB174" s="63"/>
      <c r="AC174" s="63"/>
    </row>
    <row r="175" spans="1:68" ht="27" customHeight="1" x14ac:dyDescent="0.25">
      <c r="A175" s="60" t="s">
        <v>305</v>
      </c>
      <c r="B175" s="60" t="s">
        <v>306</v>
      </c>
      <c r="C175" s="34">
        <v>4301031496</v>
      </c>
      <c r="D175" s="652">
        <v>4680115887428</v>
      </c>
      <c r="E175" s="652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5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4"/>
      <c r="R175" s="654"/>
      <c r="S175" s="654"/>
      <c r="T175" s="655"/>
      <c r="U175" s="37" t="s">
        <v>46</v>
      </c>
      <c r="V175" s="37" t="s">
        <v>46</v>
      </c>
      <c r="W175" s="38" t="s">
        <v>0</v>
      </c>
      <c r="X175" s="56">
        <v>400</v>
      </c>
      <c r="Y175" s="53">
        <f t="shared" ref="Y175:Y185" si="16">IFERROR(IF(X175="",0,CEILING((X175/$H175),1)*$H175),"")</f>
        <v>402.5</v>
      </c>
      <c r="Z175" s="39">
        <f>IFERROR(IF(Y175=0,"",ROUNDUP(Y175/H175,0)*0.00902),"")</f>
        <v>1.0373000000000001</v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421.71428571428572</v>
      </c>
      <c r="BN175" s="75">
        <f t="shared" ref="BN175:BN185" si="18">IFERROR(Y175*I175/H175,"0")</f>
        <v>424.34999999999997</v>
      </c>
      <c r="BO175" s="75">
        <f t="shared" ref="BO175:BO185" si="19">IFERROR(1/J175*(X175/H175),"0")</f>
        <v>0.8658008658008659</v>
      </c>
      <c r="BP175" s="75">
        <f t="shared" ref="BP175:BP185" si="20">IFERROR(1/J175*(Y175/H175),"0")</f>
        <v>0.87121212121212122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652">
        <v>4680115889170</v>
      </c>
      <c r="E176" s="652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4"/>
      <c r="R176" s="654"/>
      <c r="S176" s="654"/>
      <c r="T176" s="65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311</v>
      </c>
      <c r="B177" s="60" t="s">
        <v>312</v>
      </c>
      <c r="C177" s="34">
        <v>4301031498</v>
      </c>
      <c r="D177" s="652">
        <v>4680115887398</v>
      </c>
      <c r="E177" s="65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5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4"/>
      <c r="R177" s="654"/>
      <c r="S177" s="654"/>
      <c r="T177" s="655"/>
      <c r="U177" s="37" t="s">
        <v>46</v>
      </c>
      <c r="V177" s="37" t="s">
        <v>46</v>
      </c>
      <c r="W177" s="38" t="s">
        <v>0</v>
      </c>
      <c r="X177" s="56">
        <v>400</v>
      </c>
      <c r="Y177" s="53">
        <f t="shared" si="16"/>
        <v>402.5</v>
      </c>
      <c r="Z177" s="39">
        <f>IFERROR(IF(Y177=0,"",ROUNDUP(Y177/H177,0)*0.00902),"")</f>
        <v>1.0373000000000001</v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421.71428571428572</v>
      </c>
      <c r="BN177" s="75">
        <f t="shared" si="18"/>
        <v>424.34999999999997</v>
      </c>
      <c r="BO177" s="75">
        <f t="shared" si="19"/>
        <v>0.8658008658008659</v>
      </c>
      <c r="BP177" s="75">
        <f t="shared" si="20"/>
        <v>0.87121212121212122</v>
      </c>
    </row>
    <row r="178" spans="1:68" ht="27" customHeight="1" x14ac:dyDescent="0.25">
      <c r="A178" s="60" t="s">
        <v>314</v>
      </c>
      <c r="B178" s="60" t="s">
        <v>315</v>
      </c>
      <c r="C178" s="34">
        <v>4301031497</v>
      </c>
      <c r="D178" s="652">
        <v>4680115887336</v>
      </c>
      <c r="E178" s="652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4"/>
      <c r="R178" s="654"/>
      <c r="S178" s="654"/>
      <c r="T178" s="655"/>
      <c r="U178" s="37" t="s">
        <v>46</v>
      </c>
      <c r="V178" s="37" t="s">
        <v>46</v>
      </c>
      <c r="W178" s="38" t="s">
        <v>0</v>
      </c>
      <c r="X178" s="56">
        <v>400</v>
      </c>
      <c r="Y178" s="53">
        <f t="shared" si="16"/>
        <v>402.5</v>
      </c>
      <c r="Z178" s="39">
        <f>IFERROR(IF(Y178=0,"",ROUNDUP(Y178/H178,0)*0.00902),"")</f>
        <v>1.0373000000000001</v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421.71428571428572</v>
      </c>
      <c r="BN178" s="75">
        <f t="shared" si="18"/>
        <v>424.34999999999997</v>
      </c>
      <c r="BO178" s="75">
        <f t="shared" si="19"/>
        <v>0.8658008658008659</v>
      </c>
      <c r="BP178" s="75">
        <f t="shared" si="20"/>
        <v>0.87121212121212122</v>
      </c>
    </row>
    <row r="179" spans="1:68" ht="16.5" customHeight="1" x14ac:dyDescent="0.25">
      <c r="A179" s="60" t="s">
        <v>317</v>
      </c>
      <c r="B179" s="60" t="s">
        <v>318</v>
      </c>
      <c r="C179" s="34">
        <v>4301032049</v>
      </c>
      <c r="D179" s="652">
        <v>4680115887787</v>
      </c>
      <c r="E179" s="652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4"/>
      <c r="R179" s="654"/>
      <c r="S179" s="654"/>
      <c r="T179" s="655"/>
      <c r="U179" s="37" t="s">
        <v>46</v>
      </c>
      <c r="V179" s="37" t="s">
        <v>46</v>
      </c>
      <c r="W179" s="38" t="s">
        <v>0</v>
      </c>
      <c r="X179" s="56">
        <v>13.5</v>
      </c>
      <c r="Y179" s="53">
        <f t="shared" si="16"/>
        <v>13.5</v>
      </c>
      <c r="Z179" s="39">
        <f>IFERROR(IF(Y179=0,"",ROUNDUP(Y179/H179,0)*0.00417),"")</f>
        <v>6.2549999999999994E-2</v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16.650000000000002</v>
      </c>
      <c r="BN179" s="75">
        <f t="shared" si="18"/>
        <v>16.650000000000002</v>
      </c>
      <c r="BO179" s="75">
        <f t="shared" si="19"/>
        <v>4.4642857142857137E-2</v>
      </c>
      <c r="BP179" s="75">
        <f t="shared" si="20"/>
        <v>4.4642857142857137E-2</v>
      </c>
    </row>
    <row r="180" spans="1:68" ht="27" customHeight="1" x14ac:dyDescent="0.25">
      <c r="A180" s="60" t="s">
        <v>320</v>
      </c>
      <c r="B180" s="60" t="s">
        <v>321</v>
      </c>
      <c r="C180" s="34">
        <v>4301031448</v>
      </c>
      <c r="D180" s="652">
        <v>4680115887503</v>
      </c>
      <c r="E180" s="652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4"/>
      <c r="R180" s="654"/>
      <c r="S180" s="654"/>
      <c r="T180" s="655"/>
      <c r="U180" s="37" t="s">
        <v>46</v>
      </c>
      <c r="V180" s="37" t="s">
        <v>46</v>
      </c>
      <c r="W180" s="38" t="s">
        <v>0</v>
      </c>
      <c r="X180" s="56">
        <v>112.00000000000001</v>
      </c>
      <c r="Y180" s="53">
        <f t="shared" si="16"/>
        <v>112.56</v>
      </c>
      <c r="Z180" s="39">
        <f>IFERROR(IF(Y180=0,"",ROUNDUP(Y180/H180,0)*0.00502),"")</f>
        <v>0.33634000000000003</v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118.6666666666667</v>
      </c>
      <c r="BN180" s="75">
        <f t="shared" si="18"/>
        <v>119.26000000000002</v>
      </c>
      <c r="BO180" s="75">
        <f t="shared" si="19"/>
        <v>0.28490028490028496</v>
      </c>
      <c r="BP180" s="75">
        <f t="shared" si="20"/>
        <v>0.28632478632478636</v>
      </c>
    </row>
    <row r="181" spans="1:68" ht="27" customHeight="1" x14ac:dyDescent="0.25">
      <c r="A181" s="60" t="s">
        <v>322</v>
      </c>
      <c r="B181" s="60" t="s">
        <v>323</v>
      </c>
      <c r="C181" s="34">
        <v>4301031389</v>
      </c>
      <c r="D181" s="652">
        <v>4680115887763</v>
      </c>
      <c r="E181" s="65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4"/>
      <c r="R181" s="654"/>
      <c r="S181" s="654"/>
      <c r="T181" s="655"/>
      <c r="U181" s="37" t="s">
        <v>46</v>
      </c>
      <c r="V181" s="37" t="s">
        <v>46</v>
      </c>
      <c r="W181" s="38" t="s">
        <v>0</v>
      </c>
      <c r="X181" s="56">
        <v>4.5</v>
      </c>
      <c r="Y181" s="53">
        <f t="shared" si="16"/>
        <v>4.5</v>
      </c>
      <c r="Z181" s="39">
        <f>IFERROR(IF(Y181=0,"",ROUNDUP(Y181/H181,0)*0.00417),"")</f>
        <v>2.085E-2</v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5.55</v>
      </c>
      <c r="BN181" s="75">
        <f t="shared" si="18"/>
        <v>5.55</v>
      </c>
      <c r="BO181" s="75">
        <f t="shared" si="19"/>
        <v>1.488095238095238E-2</v>
      </c>
      <c r="BP181" s="75">
        <f t="shared" si="20"/>
        <v>1.488095238095238E-2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652">
        <v>4680115887763</v>
      </c>
      <c r="E182" s="652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4"/>
      <c r="R182" s="654"/>
      <c r="S182" s="654"/>
      <c r="T182" s="65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4301031454</v>
      </c>
      <c r="D183" s="652">
        <v>4680115887480</v>
      </c>
      <c r="E183" s="652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4"/>
      <c r="R183" s="654"/>
      <c r="S183" s="654"/>
      <c r="T183" s="655"/>
      <c r="U183" s="37" t="s">
        <v>46</v>
      </c>
      <c r="V183" s="37" t="s">
        <v>46</v>
      </c>
      <c r="W183" s="38" t="s">
        <v>0</v>
      </c>
      <c r="X183" s="56">
        <v>112.00000000000001</v>
      </c>
      <c r="Y183" s="53">
        <f t="shared" si="16"/>
        <v>112.56</v>
      </c>
      <c r="Z183" s="39">
        <f>IFERROR(IF(Y183=0,"",ROUNDUP(Y183/H183,0)*0.00502),"")</f>
        <v>0.33634000000000003</v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118.6666666666667</v>
      </c>
      <c r="BN183" s="75">
        <f t="shared" si="18"/>
        <v>119.26000000000002</v>
      </c>
      <c r="BO183" s="75">
        <f t="shared" si="19"/>
        <v>0.28490028490028496</v>
      </c>
      <c r="BP183" s="75">
        <f t="shared" si="20"/>
        <v>0.28632478632478636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652">
        <v>4680115888067</v>
      </c>
      <c r="E184" s="652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4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4"/>
      <c r="R184" s="654"/>
      <c r="S184" s="654"/>
      <c r="T184" s="65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4301031451</v>
      </c>
      <c r="D185" s="652">
        <v>4680115887435</v>
      </c>
      <c r="E185" s="65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4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4"/>
      <c r="R185" s="654"/>
      <c r="S185" s="654"/>
      <c r="T185" s="655"/>
      <c r="U185" s="37" t="s">
        <v>46</v>
      </c>
      <c r="V185" s="37" t="s">
        <v>46</v>
      </c>
      <c r="W185" s="38" t="s">
        <v>0</v>
      </c>
      <c r="X185" s="56">
        <v>140</v>
      </c>
      <c r="Y185" s="53">
        <f t="shared" si="16"/>
        <v>141.12</v>
      </c>
      <c r="Z185" s="39">
        <f>IFERROR(IF(Y185=0,"",ROUNDUP(Y185/H185,0)*0.00502),"")</f>
        <v>0.42168</v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148.33333333333334</v>
      </c>
      <c r="BN185" s="75">
        <f t="shared" si="18"/>
        <v>149.52000000000001</v>
      </c>
      <c r="BO185" s="75">
        <f t="shared" si="19"/>
        <v>0.35612535612535623</v>
      </c>
      <c r="BP185" s="75">
        <f t="shared" si="20"/>
        <v>0.35897435897435903</v>
      </c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47"/>
      <c r="P186" s="643" t="s">
        <v>40</v>
      </c>
      <c r="Q186" s="644"/>
      <c r="R186" s="644"/>
      <c r="S186" s="644"/>
      <c r="T186" s="644"/>
      <c r="U186" s="644"/>
      <c r="V186" s="64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579.52380952380963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583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4.2896599999999996</v>
      </c>
      <c r="AA186" s="64"/>
      <c r="AB186" s="64"/>
      <c r="AC186" s="64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7"/>
      <c r="P187" s="643" t="s">
        <v>40</v>
      </c>
      <c r="Q187" s="644"/>
      <c r="R187" s="644"/>
      <c r="S187" s="644"/>
      <c r="T187" s="644"/>
      <c r="U187" s="644"/>
      <c r="V187" s="645"/>
      <c r="W187" s="40" t="s">
        <v>0</v>
      </c>
      <c r="X187" s="41">
        <f>IFERROR(SUM(X175:X185),"0")</f>
        <v>1582</v>
      </c>
      <c r="Y187" s="41">
        <f>IFERROR(SUM(Y175:Y185),"0")</f>
        <v>1591.7399999999998</v>
      </c>
      <c r="Z187" s="40"/>
      <c r="AA187" s="64"/>
      <c r="AB187" s="64"/>
      <c r="AC187" s="64"/>
    </row>
    <row r="188" spans="1:68" ht="14.25" hidden="1" customHeight="1" x14ac:dyDescent="0.25">
      <c r="A188" s="657" t="s">
        <v>86</v>
      </c>
      <c r="B188" s="657"/>
      <c r="C188" s="657"/>
      <c r="D188" s="657"/>
      <c r="E188" s="657"/>
      <c r="F188" s="657"/>
      <c r="G188" s="657"/>
      <c r="H188" s="657"/>
      <c r="I188" s="657"/>
      <c r="J188" s="657"/>
      <c r="K188" s="657"/>
      <c r="L188" s="657"/>
      <c r="M188" s="657"/>
      <c r="N188" s="657"/>
      <c r="O188" s="657"/>
      <c r="P188" s="657"/>
      <c r="Q188" s="657"/>
      <c r="R188" s="657"/>
      <c r="S188" s="657"/>
      <c r="T188" s="657"/>
      <c r="U188" s="657"/>
      <c r="V188" s="657"/>
      <c r="W188" s="657"/>
      <c r="X188" s="657"/>
      <c r="Y188" s="657"/>
      <c r="Z188" s="657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652">
        <v>4680115888395</v>
      </c>
      <c r="E189" s="652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4"/>
      <c r="R189" s="654"/>
      <c r="S189" s="654"/>
      <c r="T189" s="655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652">
        <v>4680115888371</v>
      </c>
      <c r="E190" s="652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4"/>
      <c r="R190" s="654"/>
      <c r="S190" s="654"/>
      <c r="T190" s="65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652">
        <v>4680115887459</v>
      </c>
      <c r="E191" s="652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4"/>
      <c r="R191" s="654"/>
      <c r="S191" s="654"/>
      <c r="T191" s="65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47"/>
      <c r="P192" s="643" t="s">
        <v>40</v>
      </c>
      <c r="Q192" s="644"/>
      <c r="R192" s="644"/>
      <c r="S192" s="644"/>
      <c r="T192" s="644"/>
      <c r="U192" s="644"/>
      <c r="V192" s="64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7"/>
      <c r="P193" s="643" t="s">
        <v>40</v>
      </c>
      <c r="Q193" s="644"/>
      <c r="R193" s="644"/>
      <c r="S193" s="644"/>
      <c r="T193" s="644"/>
      <c r="U193" s="644"/>
      <c r="V193" s="64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7" t="s">
        <v>283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652">
        <v>4680115889026</v>
      </c>
      <c r="E195" s="652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4"/>
      <c r="R195" s="654"/>
      <c r="S195" s="654"/>
      <c r="T195" s="655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652">
        <v>4680115889088</v>
      </c>
      <c r="E196" s="652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4"/>
      <c r="R196" s="654"/>
      <c r="S196" s="654"/>
      <c r="T196" s="65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46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7"/>
      <c r="P197" s="643" t="s">
        <v>40</v>
      </c>
      <c r="Q197" s="644"/>
      <c r="R197" s="644"/>
      <c r="S197" s="644"/>
      <c r="T197" s="644"/>
      <c r="U197" s="644"/>
      <c r="V197" s="645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7"/>
      <c r="P198" s="643" t="s">
        <v>40</v>
      </c>
      <c r="Q198" s="644"/>
      <c r="R198" s="644"/>
      <c r="S198" s="644"/>
      <c r="T198" s="644"/>
      <c r="U198" s="644"/>
      <c r="V198" s="645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7" t="s">
        <v>349</v>
      </c>
      <c r="B199" s="657"/>
      <c r="C199" s="657"/>
      <c r="D199" s="657"/>
      <c r="E199" s="657"/>
      <c r="F199" s="657"/>
      <c r="G199" s="657"/>
      <c r="H199" s="657"/>
      <c r="I199" s="657"/>
      <c r="J199" s="657"/>
      <c r="K199" s="657"/>
      <c r="L199" s="657"/>
      <c r="M199" s="657"/>
      <c r="N199" s="657"/>
      <c r="O199" s="657"/>
      <c r="P199" s="657"/>
      <c r="Q199" s="657"/>
      <c r="R199" s="657"/>
      <c r="S199" s="657"/>
      <c r="T199" s="657"/>
      <c r="U199" s="657"/>
      <c r="V199" s="657"/>
      <c r="W199" s="657"/>
      <c r="X199" s="657"/>
      <c r="Y199" s="657"/>
      <c r="Z199" s="657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652">
        <v>4680115889033</v>
      </c>
      <c r="E200" s="652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4"/>
      <c r="R200" s="654"/>
      <c r="S200" s="654"/>
      <c r="T200" s="655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46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7"/>
      <c r="P201" s="643" t="s">
        <v>40</v>
      </c>
      <c r="Q201" s="644"/>
      <c r="R201" s="644"/>
      <c r="S201" s="644"/>
      <c r="T201" s="644"/>
      <c r="U201" s="644"/>
      <c r="V201" s="645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47"/>
      <c r="P202" s="643" t="s">
        <v>40</v>
      </c>
      <c r="Q202" s="644"/>
      <c r="R202" s="644"/>
      <c r="S202" s="644"/>
      <c r="T202" s="644"/>
      <c r="U202" s="644"/>
      <c r="V202" s="645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63" t="s">
        <v>353</v>
      </c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52"/>
      <c r="AB203" s="52"/>
      <c r="AC203" s="52"/>
    </row>
    <row r="204" spans="1:68" ht="16.5" hidden="1" customHeight="1" x14ac:dyDescent="0.25">
      <c r="A204" s="656" t="s">
        <v>354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2"/>
      <c r="AB204" s="62"/>
      <c r="AC204" s="62"/>
    </row>
    <row r="205" spans="1:68" ht="14.25" hidden="1" customHeight="1" x14ac:dyDescent="0.25">
      <c r="A205" s="657" t="s">
        <v>122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652">
        <v>4607091383423</v>
      </c>
      <c r="E206" s="652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4"/>
      <c r="R206" s="654"/>
      <c r="S206" s="654"/>
      <c r="T206" s="65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652">
        <v>4680115888760</v>
      </c>
      <c r="E207" s="652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4"/>
      <c r="R207" s="654"/>
      <c r="S207" s="654"/>
      <c r="T207" s="65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652">
        <v>4680115888807</v>
      </c>
      <c r="E208" s="652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4"/>
      <c r="R208" s="654"/>
      <c r="S208" s="654"/>
      <c r="T208" s="65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652">
        <v>4680115888852</v>
      </c>
      <c r="E209" s="652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4"/>
      <c r="R209" s="654"/>
      <c r="S209" s="654"/>
      <c r="T209" s="65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652">
        <v>4680115886957</v>
      </c>
      <c r="E210" s="652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4"/>
      <c r="R210" s="654"/>
      <c r="S210" s="654"/>
      <c r="T210" s="65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369</v>
      </c>
      <c r="B211" s="60" t="s">
        <v>370</v>
      </c>
      <c r="C211" s="34">
        <v>4301012098</v>
      </c>
      <c r="D211" s="652">
        <v>4680115885660</v>
      </c>
      <c r="E211" s="652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4"/>
      <c r="R211" s="654"/>
      <c r="S211" s="654"/>
      <c r="T211" s="655"/>
      <c r="U211" s="37" t="s">
        <v>46</v>
      </c>
      <c r="V211" s="37" t="s">
        <v>46</v>
      </c>
      <c r="W211" s="38" t="s">
        <v>0</v>
      </c>
      <c r="X211" s="56">
        <v>200</v>
      </c>
      <c r="Y211" s="53">
        <f t="shared" si="21"/>
        <v>205.20000000000002</v>
      </c>
      <c r="Z211" s="39">
        <f t="shared" si="22"/>
        <v>0.36062</v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207.59259259259258</v>
      </c>
      <c r="BN211" s="75">
        <f t="shared" si="24"/>
        <v>212.99</v>
      </c>
      <c r="BO211" s="75">
        <f t="shared" si="25"/>
        <v>0.28935185185185186</v>
      </c>
      <c r="BP211" s="75">
        <f t="shared" si="26"/>
        <v>0.296875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652">
        <v>4680115886773</v>
      </c>
      <c r="E212" s="652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4"/>
      <c r="R212" s="654"/>
      <c r="S212" s="654"/>
      <c r="T212" s="65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47"/>
      <c r="P213" s="643" t="s">
        <v>40</v>
      </c>
      <c r="Q213" s="644"/>
      <c r="R213" s="644"/>
      <c r="S213" s="644"/>
      <c r="T213" s="644"/>
      <c r="U213" s="644"/>
      <c r="V213" s="645"/>
      <c r="W213" s="40" t="s">
        <v>39</v>
      </c>
      <c r="X213" s="41">
        <f>IFERROR(X206/H206,"0")+IFERROR(X207/H207,"0")+IFERROR(X208/H208,"0")+IFERROR(X209/H209,"0")+IFERROR(X210/H210,"0")+IFERROR(X211/H211,"0")+IFERROR(X212/H212,"0")</f>
        <v>18.518518518518519</v>
      </c>
      <c r="Y213" s="41">
        <f>IFERROR(Y206/H206,"0")+IFERROR(Y207/H207,"0")+IFERROR(Y208/H208,"0")+IFERROR(Y209/H209,"0")+IFERROR(Y210/H210,"0")+IFERROR(Y211/H211,"0")+IFERROR(Y212/H212,"0")</f>
        <v>19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0.36062</v>
      </c>
      <c r="AA213" s="64"/>
      <c r="AB213" s="64"/>
      <c r="AC213" s="64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7"/>
      <c r="P214" s="643" t="s">
        <v>40</v>
      </c>
      <c r="Q214" s="644"/>
      <c r="R214" s="644"/>
      <c r="S214" s="644"/>
      <c r="T214" s="644"/>
      <c r="U214" s="644"/>
      <c r="V214" s="645"/>
      <c r="W214" s="40" t="s">
        <v>0</v>
      </c>
      <c r="X214" s="41">
        <f>IFERROR(SUM(X206:X212),"0")</f>
        <v>200</v>
      </c>
      <c r="Y214" s="41">
        <f>IFERROR(SUM(Y206:Y212),"0")</f>
        <v>205.20000000000002</v>
      </c>
      <c r="Z214" s="40"/>
      <c r="AA214" s="64"/>
      <c r="AB214" s="64"/>
      <c r="AC214" s="64"/>
    </row>
    <row r="215" spans="1:68" ht="16.5" hidden="1" customHeight="1" x14ac:dyDescent="0.25">
      <c r="A215" s="656" t="s">
        <v>375</v>
      </c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  <c r="Z215" s="656"/>
      <c r="AA215" s="62"/>
      <c r="AB215" s="62"/>
      <c r="AC215" s="62"/>
    </row>
    <row r="216" spans="1:68" ht="14.25" hidden="1" customHeight="1" x14ac:dyDescent="0.25">
      <c r="A216" s="657" t="s">
        <v>158</v>
      </c>
      <c r="B216" s="657"/>
      <c r="C216" s="657"/>
      <c r="D216" s="657"/>
      <c r="E216" s="657"/>
      <c r="F216" s="657"/>
      <c r="G216" s="657"/>
      <c r="H216" s="657"/>
      <c r="I216" s="657"/>
      <c r="J216" s="657"/>
      <c r="K216" s="657"/>
      <c r="L216" s="657"/>
      <c r="M216" s="657"/>
      <c r="N216" s="657"/>
      <c r="O216" s="657"/>
      <c r="P216" s="657"/>
      <c r="Q216" s="657"/>
      <c r="R216" s="657"/>
      <c r="S216" s="657"/>
      <c r="T216" s="657"/>
      <c r="U216" s="657"/>
      <c r="V216" s="657"/>
      <c r="W216" s="657"/>
      <c r="X216" s="657"/>
      <c r="Y216" s="657"/>
      <c r="Z216" s="657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652">
        <v>4680115886223</v>
      </c>
      <c r="E217" s="652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4"/>
      <c r="R217" s="654"/>
      <c r="S217" s="654"/>
      <c r="T217" s="655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46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7"/>
      <c r="P218" s="643" t="s">
        <v>40</v>
      </c>
      <c r="Q218" s="644"/>
      <c r="R218" s="644"/>
      <c r="S218" s="644"/>
      <c r="T218" s="644"/>
      <c r="U218" s="644"/>
      <c r="V218" s="645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47"/>
      <c r="P219" s="643" t="s">
        <v>40</v>
      </c>
      <c r="Q219" s="644"/>
      <c r="R219" s="644"/>
      <c r="S219" s="644"/>
      <c r="T219" s="644"/>
      <c r="U219" s="644"/>
      <c r="V219" s="645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7" t="s">
        <v>77</v>
      </c>
      <c r="B220" s="657"/>
      <c r="C220" s="657"/>
      <c r="D220" s="657"/>
      <c r="E220" s="657"/>
      <c r="F220" s="657"/>
      <c r="G220" s="657"/>
      <c r="H220" s="657"/>
      <c r="I220" s="657"/>
      <c r="J220" s="657"/>
      <c r="K220" s="657"/>
      <c r="L220" s="657"/>
      <c r="M220" s="657"/>
      <c r="N220" s="657"/>
      <c r="O220" s="657"/>
      <c r="P220" s="657"/>
      <c r="Q220" s="657"/>
      <c r="R220" s="657"/>
      <c r="S220" s="657"/>
      <c r="T220" s="657"/>
      <c r="U220" s="657"/>
      <c r="V220" s="657"/>
      <c r="W220" s="657"/>
      <c r="X220" s="657"/>
      <c r="Y220" s="657"/>
      <c r="Z220" s="657"/>
      <c r="AA220" s="63"/>
      <c r="AB220" s="63"/>
      <c r="AC220" s="63"/>
    </row>
    <row r="221" spans="1:68" ht="27" customHeight="1" x14ac:dyDescent="0.25">
      <c r="A221" s="60" t="s">
        <v>379</v>
      </c>
      <c r="B221" s="60" t="s">
        <v>380</v>
      </c>
      <c r="C221" s="34">
        <v>4301031191</v>
      </c>
      <c r="D221" s="652">
        <v>4680115880993</v>
      </c>
      <c r="E221" s="652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4"/>
      <c r="R221" s="654"/>
      <c r="S221" s="654"/>
      <c r="T221" s="655"/>
      <c r="U221" s="37" t="s">
        <v>46</v>
      </c>
      <c r="V221" s="37" t="s">
        <v>46</v>
      </c>
      <c r="W221" s="38" t="s">
        <v>0</v>
      </c>
      <c r="X221" s="56">
        <v>100</v>
      </c>
      <c r="Y221" s="53">
        <f t="shared" ref="Y221:Y234" si="27">IFERROR(IF(X221="",0,CEILING((X221/$H221),1)*$H221),"")</f>
        <v>100.80000000000001</v>
      </c>
      <c r="Z221" s="39">
        <f>IFERROR(IF(Y221=0,"",ROUNDUP(Y221/H221,0)*0.00902),"")</f>
        <v>0.21648000000000001</v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105.95238095238095</v>
      </c>
      <c r="BN221" s="75">
        <f t="shared" ref="BN221:BN234" si="29">IFERROR(Y221*I221/H221,"0")</f>
        <v>106.80000000000001</v>
      </c>
      <c r="BO221" s="75">
        <f t="shared" ref="BO221:BO234" si="30">IFERROR(1/J221*(X221/H221),"0")</f>
        <v>0.18037518037518038</v>
      </c>
      <c r="BP221" s="75">
        <f t="shared" ref="BP221:BP234" si="31">IFERROR(1/J221*(Y221/H221),"0")</f>
        <v>0.18181818181818182</v>
      </c>
    </row>
    <row r="222" spans="1:68" ht="27" customHeight="1" x14ac:dyDescent="0.25">
      <c r="A222" s="60" t="s">
        <v>382</v>
      </c>
      <c r="B222" s="60" t="s">
        <v>383</v>
      </c>
      <c r="C222" s="34">
        <v>4301031204</v>
      </c>
      <c r="D222" s="652">
        <v>4680115881761</v>
      </c>
      <c r="E222" s="652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4"/>
      <c r="R222" s="654"/>
      <c r="S222" s="654"/>
      <c r="T222" s="655"/>
      <c r="U222" s="37" t="s">
        <v>46</v>
      </c>
      <c r="V222" s="37" t="s">
        <v>46</v>
      </c>
      <c r="W222" s="38" t="s">
        <v>0</v>
      </c>
      <c r="X222" s="56">
        <v>50</v>
      </c>
      <c r="Y222" s="53">
        <f t="shared" si="27"/>
        <v>50.400000000000006</v>
      </c>
      <c r="Z222" s="39">
        <f>IFERROR(IF(Y222=0,"",ROUNDUP(Y222/H222,0)*0.00902),"")</f>
        <v>0.10824</v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52.976190476190474</v>
      </c>
      <c r="BN222" s="75">
        <f t="shared" si="29"/>
        <v>53.400000000000006</v>
      </c>
      <c r="BO222" s="75">
        <f t="shared" si="30"/>
        <v>9.0187590187590191E-2</v>
      </c>
      <c r="BP222" s="75">
        <f t="shared" si="31"/>
        <v>9.0909090909090912E-2</v>
      </c>
    </row>
    <row r="223" spans="1:68" ht="27" customHeight="1" x14ac:dyDescent="0.25">
      <c r="A223" s="60" t="s">
        <v>385</v>
      </c>
      <c r="B223" s="60" t="s">
        <v>386</v>
      </c>
      <c r="C223" s="34">
        <v>4301031201</v>
      </c>
      <c r="D223" s="652">
        <v>4680115881563</v>
      </c>
      <c r="E223" s="652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4"/>
      <c r="R223" s="654"/>
      <c r="S223" s="654"/>
      <c r="T223" s="655"/>
      <c r="U223" s="37" t="s">
        <v>46</v>
      </c>
      <c r="V223" s="37" t="s">
        <v>46</v>
      </c>
      <c r="W223" s="38" t="s">
        <v>0</v>
      </c>
      <c r="X223" s="56">
        <v>150</v>
      </c>
      <c r="Y223" s="53">
        <f t="shared" si="27"/>
        <v>151.20000000000002</v>
      </c>
      <c r="Z223" s="39">
        <f>IFERROR(IF(Y223=0,"",ROUNDUP(Y223/H223,0)*0.00902),"")</f>
        <v>0.32472000000000001</v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156.78571428571428</v>
      </c>
      <c r="BN223" s="75">
        <f t="shared" si="29"/>
        <v>158.04</v>
      </c>
      <c r="BO223" s="75">
        <f t="shared" si="30"/>
        <v>0.27056277056277056</v>
      </c>
      <c r="BP223" s="75">
        <f t="shared" si="31"/>
        <v>0.27272727272727271</v>
      </c>
    </row>
    <row r="224" spans="1:68" ht="37.5" customHeight="1" x14ac:dyDescent="0.25">
      <c r="A224" s="60" t="s">
        <v>388</v>
      </c>
      <c r="B224" s="60" t="s">
        <v>389</v>
      </c>
      <c r="C224" s="34">
        <v>4301031447</v>
      </c>
      <c r="D224" s="652">
        <v>4680115887565</v>
      </c>
      <c r="E224" s="652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4"/>
      <c r="R224" s="654"/>
      <c r="S224" s="654"/>
      <c r="T224" s="655"/>
      <c r="U224" s="37" t="s">
        <v>46</v>
      </c>
      <c r="V224" s="37" t="s">
        <v>46</v>
      </c>
      <c r="W224" s="38" t="s">
        <v>0</v>
      </c>
      <c r="X224" s="56">
        <v>16</v>
      </c>
      <c r="Y224" s="53">
        <f t="shared" si="27"/>
        <v>16</v>
      </c>
      <c r="Z224" s="39">
        <f>IFERROR(IF(Y224=0,"",ROUNDUP(Y224/H224,0)*0.00556),"")</f>
        <v>0.11119999999999999</v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18.600000000000001</v>
      </c>
      <c r="BN224" s="75">
        <f t="shared" si="29"/>
        <v>18.600000000000001</v>
      </c>
      <c r="BO224" s="75">
        <f t="shared" si="30"/>
        <v>7.9365079365079361E-2</v>
      </c>
      <c r="BP224" s="75">
        <f t="shared" si="31"/>
        <v>7.9365079365079361E-2</v>
      </c>
    </row>
    <row r="225" spans="1:68" ht="27" customHeight="1" x14ac:dyDescent="0.25">
      <c r="A225" s="60" t="s">
        <v>391</v>
      </c>
      <c r="B225" s="60" t="s">
        <v>392</v>
      </c>
      <c r="C225" s="34">
        <v>4301031199</v>
      </c>
      <c r="D225" s="652">
        <v>4680115880986</v>
      </c>
      <c r="E225" s="652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4"/>
      <c r="R225" s="654"/>
      <c r="S225" s="654"/>
      <c r="T225" s="655"/>
      <c r="U225" s="37" t="s">
        <v>46</v>
      </c>
      <c r="V225" s="37" t="s">
        <v>46</v>
      </c>
      <c r="W225" s="38" t="s">
        <v>0</v>
      </c>
      <c r="X225" s="56">
        <v>35</v>
      </c>
      <c r="Y225" s="53">
        <f t="shared" si="27"/>
        <v>35.700000000000003</v>
      </c>
      <c r="Z225" s="39">
        <f t="shared" ref="Z225:Z230" si="32">IFERROR(IF(Y225=0,"",ROUNDUP(Y225/H225,0)*0.00502),"")</f>
        <v>8.5339999999999999E-2</v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37.166666666666664</v>
      </c>
      <c r="BN225" s="75">
        <f t="shared" si="29"/>
        <v>37.910000000000004</v>
      </c>
      <c r="BO225" s="75">
        <f t="shared" si="30"/>
        <v>7.1225071225071226E-2</v>
      </c>
      <c r="BP225" s="75">
        <f t="shared" si="31"/>
        <v>7.2649572649572655E-2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652">
        <v>4680115887213</v>
      </c>
      <c r="E226" s="652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4"/>
      <c r="R226" s="654"/>
      <c r="S226" s="654"/>
      <c r="T226" s="65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4301031205</v>
      </c>
      <c r="D227" s="652">
        <v>4680115881785</v>
      </c>
      <c r="E227" s="65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4"/>
      <c r="R227" s="654"/>
      <c r="S227" s="654"/>
      <c r="T227" s="655"/>
      <c r="U227" s="37" t="s">
        <v>46</v>
      </c>
      <c r="V227" s="37" t="s">
        <v>46</v>
      </c>
      <c r="W227" s="38" t="s">
        <v>0</v>
      </c>
      <c r="X227" s="56">
        <v>140</v>
      </c>
      <c r="Y227" s="53">
        <f t="shared" si="27"/>
        <v>140.70000000000002</v>
      </c>
      <c r="Z227" s="39">
        <f t="shared" si="32"/>
        <v>0.33634000000000003</v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148.66666666666666</v>
      </c>
      <c r="BN227" s="75">
        <f t="shared" si="29"/>
        <v>149.41</v>
      </c>
      <c r="BO227" s="75">
        <f t="shared" si="30"/>
        <v>0.28490028490028491</v>
      </c>
      <c r="BP227" s="75">
        <f t="shared" si="31"/>
        <v>0.28632478632478636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652">
        <v>4680115888432</v>
      </c>
      <c r="E228" s="652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4"/>
      <c r="R228" s="654"/>
      <c r="S228" s="654"/>
      <c r="T228" s="65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652">
        <v>4680115888104</v>
      </c>
      <c r="E229" s="652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4"/>
      <c r="R229" s="654"/>
      <c r="S229" s="654"/>
      <c r="T229" s="65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652">
        <v>4680115886537</v>
      </c>
      <c r="E230" s="65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2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4"/>
      <c r="R230" s="654"/>
      <c r="S230" s="654"/>
      <c r="T230" s="65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407</v>
      </c>
      <c r="B231" s="60" t="s">
        <v>408</v>
      </c>
      <c r="C231" s="34">
        <v>4301031279</v>
      </c>
      <c r="D231" s="652">
        <v>4680115887596</v>
      </c>
      <c r="E231" s="652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4"/>
      <c r="R231" s="654"/>
      <c r="S231" s="654"/>
      <c r="T231" s="655"/>
      <c r="U231" s="37" t="s">
        <v>46</v>
      </c>
      <c r="V231" s="37" t="s">
        <v>46</v>
      </c>
      <c r="W231" s="38" t="s">
        <v>0</v>
      </c>
      <c r="X231" s="56">
        <v>8</v>
      </c>
      <c r="Y231" s="53">
        <f t="shared" si="27"/>
        <v>8</v>
      </c>
      <c r="Z231" s="39">
        <f>IFERROR(IF(Y231=0,"",ROUNDUP(Y231/H231,0)*0.00417),"")</f>
        <v>4.1700000000000001E-2</v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10.1</v>
      </c>
      <c r="BN231" s="75">
        <f t="shared" si="29"/>
        <v>10.1</v>
      </c>
      <c r="BO231" s="75">
        <f t="shared" si="30"/>
        <v>2.976190476190476E-2</v>
      </c>
      <c r="BP231" s="75">
        <f t="shared" si="31"/>
        <v>2.976190476190476E-2</v>
      </c>
    </row>
    <row r="232" spans="1:68" ht="37.5" customHeight="1" x14ac:dyDescent="0.25">
      <c r="A232" s="60" t="s">
        <v>410</v>
      </c>
      <c r="B232" s="60" t="s">
        <v>411</v>
      </c>
      <c r="C232" s="34">
        <v>4301031202</v>
      </c>
      <c r="D232" s="652">
        <v>4680115881679</v>
      </c>
      <c r="E232" s="652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4"/>
      <c r="R232" s="654"/>
      <c r="S232" s="654"/>
      <c r="T232" s="655"/>
      <c r="U232" s="37" t="s">
        <v>46</v>
      </c>
      <c r="V232" s="37" t="s">
        <v>46</v>
      </c>
      <c r="W232" s="38" t="s">
        <v>0</v>
      </c>
      <c r="X232" s="56">
        <v>262.5</v>
      </c>
      <c r="Y232" s="53">
        <f t="shared" si="27"/>
        <v>262.5</v>
      </c>
      <c r="Z232" s="39">
        <f>IFERROR(IF(Y232=0,"",ROUNDUP(Y232/H232,0)*0.00502),"")</f>
        <v>0.62750000000000006</v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275</v>
      </c>
      <c r="BN232" s="75">
        <f t="shared" si="29"/>
        <v>275</v>
      </c>
      <c r="BO232" s="75">
        <f t="shared" si="30"/>
        <v>0.53418803418803429</v>
      </c>
      <c r="BP232" s="75">
        <f t="shared" si="31"/>
        <v>0.53418803418803429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652">
        <v>4680115880191</v>
      </c>
      <c r="E233" s="652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4"/>
      <c r="R233" s="654"/>
      <c r="S233" s="654"/>
      <c r="T233" s="65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652">
        <v>4680115883963</v>
      </c>
      <c r="E234" s="652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4"/>
      <c r="R234" s="654"/>
      <c r="S234" s="654"/>
      <c r="T234" s="65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46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47"/>
      <c r="P235" s="643" t="s">
        <v>40</v>
      </c>
      <c r="Q235" s="644"/>
      <c r="R235" s="644"/>
      <c r="S235" s="644"/>
      <c r="T235" s="644"/>
      <c r="U235" s="644"/>
      <c r="V235" s="645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309.76190476190476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311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1.8515200000000003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47"/>
      <c r="P236" s="643" t="s">
        <v>40</v>
      </c>
      <c r="Q236" s="644"/>
      <c r="R236" s="644"/>
      <c r="S236" s="644"/>
      <c r="T236" s="644"/>
      <c r="U236" s="644"/>
      <c r="V236" s="645"/>
      <c r="W236" s="40" t="s">
        <v>0</v>
      </c>
      <c r="X236" s="41">
        <f>IFERROR(SUM(X221:X234),"0")</f>
        <v>761.5</v>
      </c>
      <c r="Y236" s="41">
        <f>IFERROR(SUM(Y221:Y234),"0")</f>
        <v>765.30000000000007</v>
      </c>
      <c r="Z236" s="40"/>
      <c r="AA236" s="64"/>
      <c r="AB236" s="64"/>
      <c r="AC236" s="64"/>
    </row>
    <row r="237" spans="1:68" ht="14.25" hidden="1" customHeight="1" x14ac:dyDescent="0.25">
      <c r="A237" s="657" t="s">
        <v>86</v>
      </c>
      <c r="B237" s="657"/>
      <c r="C237" s="657"/>
      <c r="D237" s="657"/>
      <c r="E237" s="657"/>
      <c r="F237" s="657"/>
      <c r="G237" s="657"/>
      <c r="H237" s="657"/>
      <c r="I237" s="657"/>
      <c r="J237" s="657"/>
      <c r="K237" s="657"/>
      <c r="L237" s="657"/>
      <c r="M237" s="657"/>
      <c r="N237" s="657"/>
      <c r="O237" s="657"/>
      <c r="P237" s="657"/>
      <c r="Q237" s="657"/>
      <c r="R237" s="657"/>
      <c r="S237" s="657"/>
      <c r="T237" s="657"/>
      <c r="U237" s="657"/>
      <c r="V237" s="657"/>
      <c r="W237" s="657"/>
      <c r="X237" s="657"/>
      <c r="Y237" s="657"/>
      <c r="Z237" s="657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652">
        <v>4680115888692</v>
      </c>
      <c r="E238" s="652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4"/>
      <c r="R238" s="654"/>
      <c r="S238" s="654"/>
      <c r="T238" s="65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652">
        <v>4680115888722</v>
      </c>
      <c r="E239" s="652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4"/>
      <c r="R239" s="654"/>
      <c r="S239" s="654"/>
      <c r="T239" s="65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652">
        <v>4680115888951</v>
      </c>
      <c r="E240" s="652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4"/>
      <c r="R240" s="654"/>
      <c r="S240" s="654"/>
      <c r="T240" s="65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652">
        <v>4680115888975</v>
      </c>
      <c r="E241" s="652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4"/>
      <c r="R241" s="654"/>
      <c r="S241" s="654"/>
      <c r="T241" s="65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652">
        <v>4680115888982</v>
      </c>
      <c r="E242" s="65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4"/>
      <c r="R242" s="654"/>
      <c r="S242" s="654"/>
      <c r="T242" s="65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7"/>
      <c r="P243" s="643" t="s">
        <v>40</v>
      </c>
      <c r="Q243" s="644"/>
      <c r="R243" s="644"/>
      <c r="S243" s="644"/>
      <c r="T243" s="644"/>
      <c r="U243" s="644"/>
      <c r="V243" s="645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7"/>
      <c r="P244" s="643" t="s">
        <v>40</v>
      </c>
      <c r="Q244" s="644"/>
      <c r="R244" s="644"/>
      <c r="S244" s="644"/>
      <c r="T244" s="644"/>
      <c r="U244" s="644"/>
      <c r="V244" s="645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7" t="s">
        <v>283</v>
      </c>
      <c r="B245" s="657"/>
      <c r="C245" s="657"/>
      <c r="D245" s="657"/>
      <c r="E245" s="657"/>
      <c r="F245" s="657"/>
      <c r="G245" s="657"/>
      <c r="H245" s="657"/>
      <c r="I245" s="657"/>
      <c r="J245" s="657"/>
      <c r="K245" s="657"/>
      <c r="L245" s="657"/>
      <c r="M245" s="657"/>
      <c r="N245" s="657"/>
      <c r="O245" s="657"/>
      <c r="P245" s="657"/>
      <c r="Q245" s="657"/>
      <c r="R245" s="657"/>
      <c r="S245" s="657"/>
      <c r="T245" s="657"/>
      <c r="U245" s="657"/>
      <c r="V245" s="657"/>
      <c r="W245" s="657"/>
      <c r="X245" s="657"/>
      <c r="Y245" s="657"/>
      <c r="Z245" s="657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652">
        <v>4680115886780</v>
      </c>
      <c r="E246" s="652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4"/>
      <c r="R246" s="654"/>
      <c r="S246" s="654"/>
      <c r="T246" s="65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434</v>
      </c>
      <c r="B247" s="60" t="s">
        <v>435</v>
      </c>
      <c r="C247" s="34">
        <v>4301032051</v>
      </c>
      <c r="D247" s="652">
        <v>4680115886742</v>
      </c>
      <c r="E247" s="652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4"/>
      <c r="R247" s="654"/>
      <c r="S247" s="654"/>
      <c r="T247" s="655"/>
      <c r="U247" s="37" t="s">
        <v>46</v>
      </c>
      <c r="V247" s="37" t="s">
        <v>46</v>
      </c>
      <c r="W247" s="38" t="s">
        <v>0</v>
      </c>
      <c r="X247" s="56">
        <v>14.000000000000002</v>
      </c>
      <c r="Y247" s="53">
        <f>IFERROR(IF(X247="",0,CEILING((X247/$H247),1)*$H247),"")</f>
        <v>15.120000000000001</v>
      </c>
      <c r="Z247" s="39">
        <f>IFERROR(IF(Y247=0,"",ROUNDUP(Y247/H247,0)*0.0059),"")</f>
        <v>7.0800000000000002E-2</v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16.111111111111111</v>
      </c>
      <c r="BN247" s="75">
        <f>IFERROR(Y247*I247/H247,"0")</f>
        <v>17.399999999999999</v>
      </c>
      <c r="BO247" s="75">
        <f>IFERROR(1/J247*(X247/H247),"0")</f>
        <v>5.1440329218106998E-2</v>
      </c>
      <c r="BP247" s="75">
        <f>IFERROR(1/J247*(Y247/H247),"0")</f>
        <v>5.5555555555555552E-2</v>
      </c>
    </row>
    <row r="248" spans="1:68" ht="27" customHeight="1" x14ac:dyDescent="0.25">
      <c r="A248" s="60" t="s">
        <v>437</v>
      </c>
      <c r="B248" s="60" t="s">
        <v>438</v>
      </c>
      <c r="C248" s="34">
        <v>4301032052</v>
      </c>
      <c r="D248" s="652">
        <v>4680115886766</v>
      </c>
      <c r="E248" s="65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4"/>
      <c r="R248" s="654"/>
      <c r="S248" s="654"/>
      <c r="T248" s="655"/>
      <c r="U248" s="37" t="s">
        <v>46</v>
      </c>
      <c r="V248" s="37" t="s">
        <v>46</v>
      </c>
      <c r="W248" s="38" t="s">
        <v>0</v>
      </c>
      <c r="X248" s="56">
        <v>24.500000000000004</v>
      </c>
      <c r="Y248" s="53">
        <f>IFERROR(IF(X248="",0,CEILING((X248/$H248),1)*$H248),"")</f>
        <v>25.2</v>
      </c>
      <c r="Z248" s="39">
        <f>IFERROR(IF(Y248=0,"",ROUNDUP(Y248/H248,0)*0.0059),"")</f>
        <v>0.11799999999999999</v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28.19444444444445</v>
      </c>
      <c r="BN248" s="75">
        <f>IFERROR(Y248*I248/H248,"0")</f>
        <v>29</v>
      </c>
      <c r="BO248" s="75">
        <f>IFERROR(1/J248*(X248/H248),"0")</f>
        <v>9.0020576131687249E-2</v>
      </c>
      <c r="BP248" s="75">
        <f>IFERROR(1/J248*(Y248/H248),"0")</f>
        <v>9.2592592592592587E-2</v>
      </c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47"/>
      <c r="P249" s="643" t="s">
        <v>40</v>
      </c>
      <c r="Q249" s="644"/>
      <c r="R249" s="644"/>
      <c r="S249" s="644"/>
      <c r="T249" s="644"/>
      <c r="U249" s="644"/>
      <c r="V249" s="645"/>
      <c r="W249" s="40" t="s">
        <v>39</v>
      </c>
      <c r="X249" s="41">
        <f>IFERROR(X246/H246,"0")+IFERROR(X247/H247,"0")+IFERROR(X248/H248,"0")</f>
        <v>30.555555555555557</v>
      </c>
      <c r="Y249" s="41">
        <f>IFERROR(Y246/H246,"0")+IFERROR(Y247/H247,"0")+IFERROR(Y248/H248,"0")</f>
        <v>32</v>
      </c>
      <c r="Z249" s="41">
        <f>IFERROR(IF(Z246="",0,Z246),"0")+IFERROR(IF(Z247="",0,Z247),"0")+IFERROR(IF(Z248="",0,Z248),"0")</f>
        <v>0.1888</v>
      </c>
      <c r="AA249" s="64"/>
      <c r="AB249" s="64"/>
      <c r="AC249" s="64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7"/>
      <c r="P250" s="643" t="s">
        <v>40</v>
      </c>
      <c r="Q250" s="644"/>
      <c r="R250" s="644"/>
      <c r="S250" s="644"/>
      <c r="T250" s="644"/>
      <c r="U250" s="644"/>
      <c r="V250" s="645"/>
      <c r="W250" s="40" t="s">
        <v>0</v>
      </c>
      <c r="X250" s="41">
        <f>IFERROR(SUM(X246:X248),"0")</f>
        <v>38.500000000000007</v>
      </c>
      <c r="Y250" s="41">
        <f>IFERROR(SUM(Y246:Y248),"0")</f>
        <v>40.32</v>
      </c>
      <c r="Z250" s="40"/>
      <c r="AA250" s="64"/>
      <c r="AB250" s="64"/>
      <c r="AC250" s="64"/>
    </row>
    <row r="251" spans="1:68" ht="14.25" hidden="1" customHeight="1" x14ac:dyDescent="0.25">
      <c r="A251" s="657" t="s">
        <v>439</v>
      </c>
      <c r="B251" s="657"/>
      <c r="C251" s="657"/>
      <c r="D251" s="657"/>
      <c r="E251" s="657"/>
      <c r="F251" s="657"/>
      <c r="G251" s="657"/>
      <c r="H251" s="657"/>
      <c r="I251" s="657"/>
      <c r="J251" s="657"/>
      <c r="K251" s="657"/>
      <c r="L251" s="657"/>
      <c r="M251" s="657"/>
      <c r="N251" s="657"/>
      <c r="O251" s="657"/>
      <c r="P251" s="657"/>
      <c r="Q251" s="657"/>
      <c r="R251" s="657"/>
      <c r="S251" s="657"/>
      <c r="T251" s="657"/>
      <c r="U251" s="657"/>
      <c r="V251" s="657"/>
      <c r="W251" s="657"/>
      <c r="X251" s="657"/>
      <c r="Y251" s="657"/>
      <c r="Z251" s="657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652">
        <v>4680115886797</v>
      </c>
      <c r="E252" s="652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4"/>
      <c r="R252" s="654"/>
      <c r="S252" s="654"/>
      <c r="T252" s="655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7"/>
      <c r="P253" s="643" t="s">
        <v>40</v>
      </c>
      <c r="Q253" s="644"/>
      <c r="R253" s="644"/>
      <c r="S253" s="644"/>
      <c r="T253" s="644"/>
      <c r="U253" s="644"/>
      <c r="V253" s="645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7"/>
      <c r="P254" s="643" t="s">
        <v>40</v>
      </c>
      <c r="Q254" s="644"/>
      <c r="R254" s="644"/>
      <c r="S254" s="644"/>
      <c r="T254" s="644"/>
      <c r="U254" s="644"/>
      <c r="V254" s="645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56" t="s">
        <v>442</v>
      </c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6"/>
      <c r="P255" s="656"/>
      <c r="Q255" s="656"/>
      <c r="R255" s="656"/>
      <c r="S255" s="656"/>
      <c r="T255" s="656"/>
      <c r="U255" s="656"/>
      <c r="V255" s="656"/>
      <c r="W255" s="656"/>
      <c r="X255" s="656"/>
      <c r="Y255" s="656"/>
      <c r="Z255" s="656"/>
      <c r="AA255" s="62"/>
      <c r="AB255" s="62"/>
      <c r="AC255" s="62"/>
    </row>
    <row r="256" spans="1:68" ht="14.25" hidden="1" customHeight="1" x14ac:dyDescent="0.25">
      <c r="A256" s="657" t="s">
        <v>122</v>
      </c>
      <c r="B256" s="657"/>
      <c r="C256" s="657"/>
      <c r="D256" s="657"/>
      <c r="E256" s="657"/>
      <c r="F256" s="657"/>
      <c r="G256" s="657"/>
      <c r="H256" s="657"/>
      <c r="I256" s="657"/>
      <c r="J256" s="657"/>
      <c r="K256" s="657"/>
      <c r="L256" s="657"/>
      <c r="M256" s="657"/>
      <c r="N256" s="657"/>
      <c r="O256" s="657"/>
      <c r="P256" s="657"/>
      <c r="Q256" s="657"/>
      <c r="R256" s="657"/>
      <c r="S256" s="657"/>
      <c r="T256" s="657"/>
      <c r="U256" s="657"/>
      <c r="V256" s="657"/>
      <c r="W256" s="657"/>
      <c r="X256" s="657"/>
      <c r="Y256" s="657"/>
      <c r="Z256" s="657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652">
        <v>4680115881402</v>
      </c>
      <c r="E257" s="652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4"/>
      <c r="R257" s="654"/>
      <c r="S257" s="654"/>
      <c r="T257" s="655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652">
        <v>4680115881396</v>
      </c>
      <c r="E258" s="652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4"/>
      <c r="R258" s="654"/>
      <c r="S258" s="654"/>
      <c r="T258" s="655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47"/>
      <c r="P259" s="643" t="s">
        <v>40</v>
      </c>
      <c r="Q259" s="644"/>
      <c r="R259" s="644"/>
      <c r="S259" s="644"/>
      <c r="T259" s="644"/>
      <c r="U259" s="644"/>
      <c r="V259" s="645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7"/>
      <c r="P260" s="643" t="s">
        <v>40</v>
      </c>
      <c r="Q260" s="644"/>
      <c r="R260" s="644"/>
      <c r="S260" s="644"/>
      <c r="T260" s="644"/>
      <c r="U260" s="644"/>
      <c r="V260" s="645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7" t="s">
        <v>158</v>
      </c>
      <c r="B261" s="657"/>
      <c r="C261" s="657"/>
      <c r="D261" s="657"/>
      <c r="E261" s="657"/>
      <c r="F261" s="657"/>
      <c r="G261" s="657"/>
      <c r="H261" s="657"/>
      <c r="I261" s="657"/>
      <c r="J261" s="657"/>
      <c r="K261" s="657"/>
      <c r="L261" s="657"/>
      <c r="M261" s="657"/>
      <c r="N261" s="657"/>
      <c r="O261" s="657"/>
      <c r="P261" s="657"/>
      <c r="Q261" s="657"/>
      <c r="R261" s="657"/>
      <c r="S261" s="657"/>
      <c r="T261" s="657"/>
      <c r="U261" s="657"/>
      <c r="V261" s="657"/>
      <c r="W261" s="657"/>
      <c r="X261" s="657"/>
      <c r="Y261" s="657"/>
      <c r="Z261" s="657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652">
        <v>4680115882935</v>
      </c>
      <c r="E262" s="65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4"/>
      <c r="R262" s="654"/>
      <c r="S262" s="654"/>
      <c r="T262" s="655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451</v>
      </c>
      <c r="B263" s="60" t="s">
        <v>452</v>
      </c>
      <c r="C263" s="34">
        <v>4301020220</v>
      </c>
      <c r="D263" s="652">
        <v>4680115880764</v>
      </c>
      <c r="E263" s="652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4"/>
      <c r="R263" s="654"/>
      <c r="S263" s="654"/>
      <c r="T263" s="655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47"/>
      <c r="P264" s="643" t="s">
        <v>40</v>
      </c>
      <c r="Q264" s="644"/>
      <c r="R264" s="644"/>
      <c r="S264" s="644"/>
      <c r="T264" s="644"/>
      <c r="U264" s="644"/>
      <c r="V264" s="64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7"/>
      <c r="P265" s="643" t="s">
        <v>40</v>
      </c>
      <c r="Q265" s="644"/>
      <c r="R265" s="644"/>
      <c r="S265" s="644"/>
      <c r="T265" s="644"/>
      <c r="U265" s="644"/>
      <c r="V265" s="64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7" t="s">
        <v>77</v>
      </c>
      <c r="B266" s="657"/>
      <c r="C266" s="657"/>
      <c r="D266" s="657"/>
      <c r="E266" s="657"/>
      <c r="F266" s="657"/>
      <c r="G266" s="657"/>
      <c r="H266" s="657"/>
      <c r="I266" s="657"/>
      <c r="J266" s="657"/>
      <c r="K266" s="657"/>
      <c r="L266" s="657"/>
      <c r="M266" s="657"/>
      <c r="N266" s="657"/>
      <c r="O266" s="657"/>
      <c r="P266" s="657"/>
      <c r="Q266" s="657"/>
      <c r="R266" s="657"/>
      <c r="S266" s="657"/>
      <c r="T266" s="657"/>
      <c r="U266" s="657"/>
      <c r="V266" s="657"/>
      <c r="W266" s="657"/>
      <c r="X266" s="657"/>
      <c r="Y266" s="657"/>
      <c r="Z266" s="657"/>
      <c r="AA266" s="63"/>
      <c r="AB266" s="63"/>
      <c r="AC266" s="63"/>
    </row>
    <row r="267" spans="1:68" ht="27" customHeight="1" x14ac:dyDescent="0.25">
      <c r="A267" s="60" t="s">
        <v>453</v>
      </c>
      <c r="B267" s="60" t="s">
        <v>454</v>
      </c>
      <c r="C267" s="34">
        <v>4301031224</v>
      </c>
      <c r="D267" s="652">
        <v>4680115882683</v>
      </c>
      <c r="E267" s="652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4"/>
      <c r="R267" s="654"/>
      <c r="S267" s="654"/>
      <c r="T267" s="655"/>
      <c r="U267" s="37" t="s">
        <v>46</v>
      </c>
      <c r="V267" s="37" t="s">
        <v>46</v>
      </c>
      <c r="W267" s="38" t="s">
        <v>0</v>
      </c>
      <c r="X267" s="56">
        <v>500</v>
      </c>
      <c r="Y267" s="53">
        <f t="shared" ref="Y267:Y274" si="33">IFERROR(IF(X267="",0,CEILING((X267/$H267),1)*$H267),"")</f>
        <v>502.20000000000005</v>
      </c>
      <c r="Z267" s="39">
        <f>IFERROR(IF(Y267=0,"",ROUNDUP(Y267/H267,0)*0.00902),"")</f>
        <v>0.83886000000000005</v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517.59259259259261</v>
      </c>
      <c r="BN267" s="75">
        <f t="shared" ref="BN267:BN274" si="35">IFERROR(Y267*I267/H267,"0")</f>
        <v>519.87</v>
      </c>
      <c r="BO267" s="75">
        <f t="shared" ref="BO267:BO274" si="36">IFERROR(1/J267*(X267/H267),"0")</f>
        <v>0.70145903479236804</v>
      </c>
      <c r="BP267" s="75">
        <f t="shared" ref="BP267:BP274" si="37">IFERROR(1/J267*(Y267/H267),"0")</f>
        <v>0.70454545454545459</v>
      </c>
    </row>
    <row r="268" spans="1:68" ht="27" customHeight="1" x14ac:dyDescent="0.25">
      <c r="A268" s="60" t="s">
        <v>456</v>
      </c>
      <c r="B268" s="60" t="s">
        <v>457</v>
      </c>
      <c r="C268" s="34">
        <v>4301031230</v>
      </c>
      <c r="D268" s="652">
        <v>4680115882690</v>
      </c>
      <c r="E268" s="652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4"/>
      <c r="R268" s="654"/>
      <c r="S268" s="654"/>
      <c r="T268" s="655"/>
      <c r="U268" s="37" t="s">
        <v>46</v>
      </c>
      <c r="V268" s="37" t="s">
        <v>46</v>
      </c>
      <c r="W268" s="38" t="s">
        <v>0</v>
      </c>
      <c r="X268" s="56">
        <v>50</v>
      </c>
      <c r="Y268" s="53">
        <f t="shared" si="33"/>
        <v>54</v>
      </c>
      <c r="Z268" s="39">
        <f>IFERROR(IF(Y268=0,"",ROUNDUP(Y268/H268,0)*0.00902),"")</f>
        <v>9.0200000000000002E-2</v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51.759259259259252</v>
      </c>
      <c r="BN268" s="75">
        <f t="shared" si="35"/>
        <v>55.9</v>
      </c>
      <c r="BO268" s="75">
        <f t="shared" si="36"/>
        <v>7.0145903479236812E-2</v>
      </c>
      <c r="BP268" s="75">
        <f t="shared" si="37"/>
        <v>7.575757575757576E-2</v>
      </c>
    </row>
    <row r="269" spans="1:68" ht="27" customHeight="1" x14ac:dyDescent="0.25">
      <c r="A269" s="60" t="s">
        <v>459</v>
      </c>
      <c r="B269" s="60" t="s">
        <v>460</v>
      </c>
      <c r="C269" s="34">
        <v>4301031220</v>
      </c>
      <c r="D269" s="652">
        <v>4680115882669</v>
      </c>
      <c r="E269" s="65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4"/>
      <c r="R269" s="654"/>
      <c r="S269" s="654"/>
      <c r="T269" s="655"/>
      <c r="U269" s="37" t="s">
        <v>46</v>
      </c>
      <c r="V269" s="37" t="s">
        <v>46</v>
      </c>
      <c r="W269" s="38" t="s">
        <v>0</v>
      </c>
      <c r="X269" s="56">
        <v>300</v>
      </c>
      <c r="Y269" s="53">
        <f t="shared" si="33"/>
        <v>302.40000000000003</v>
      </c>
      <c r="Z269" s="39">
        <f>IFERROR(IF(Y269=0,"",ROUNDUP(Y269/H269,0)*0.00902),"")</f>
        <v>0.50512000000000001</v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310.55555555555554</v>
      </c>
      <c r="BN269" s="75">
        <f t="shared" si="35"/>
        <v>313.04000000000002</v>
      </c>
      <c r="BO269" s="75">
        <f t="shared" si="36"/>
        <v>0.42087542087542085</v>
      </c>
      <c r="BP269" s="75">
        <f t="shared" si="37"/>
        <v>0.42424242424242425</v>
      </c>
    </row>
    <row r="270" spans="1:68" ht="27" customHeight="1" x14ac:dyDescent="0.25">
      <c r="A270" s="60" t="s">
        <v>462</v>
      </c>
      <c r="B270" s="60" t="s">
        <v>463</v>
      </c>
      <c r="C270" s="34">
        <v>4301031221</v>
      </c>
      <c r="D270" s="652">
        <v>4680115882676</v>
      </c>
      <c r="E270" s="65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4"/>
      <c r="R270" s="654"/>
      <c r="S270" s="654"/>
      <c r="T270" s="655"/>
      <c r="U270" s="37" t="s">
        <v>46</v>
      </c>
      <c r="V270" s="37" t="s">
        <v>46</v>
      </c>
      <c r="W270" s="38" t="s">
        <v>0</v>
      </c>
      <c r="X270" s="56">
        <v>50</v>
      </c>
      <c r="Y270" s="53">
        <f t="shared" si="33"/>
        <v>54</v>
      </c>
      <c r="Z270" s="39">
        <f>IFERROR(IF(Y270=0,"",ROUNDUP(Y270/H270,0)*0.00902),"")</f>
        <v>9.0200000000000002E-2</v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51.759259259259252</v>
      </c>
      <c r="BN270" s="75">
        <f t="shared" si="35"/>
        <v>55.9</v>
      </c>
      <c r="BO270" s="75">
        <f t="shared" si="36"/>
        <v>7.0145903479236812E-2</v>
      </c>
      <c r="BP270" s="75">
        <f t="shared" si="37"/>
        <v>7.575757575757576E-2</v>
      </c>
    </row>
    <row r="271" spans="1:68" ht="27" customHeight="1" x14ac:dyDescent="0.25">
      <c r="A271" s="60" t="s">
        <v>465</v>
      </c>
      <c r="B271" s="60" t="s">
        <v>466</v>
      </c>
      <c r="C271" s="34">
        <v>4301031223</v>
      </c>
      <c r="D271" s="652">
        <v>4680115884014</v>
      </c>
      <c r="E271" s="652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4"/>
      <c r="R271" s="654"/>
      <c r="S271" s="654"/>
      <c r="T271" s="655"/>
      <c r="U271" s="37" t="s">
        <v>46</v>
      </c>
      <c r="V271" s="37" t="s">
        <v>46</v>
      </c>
      <c r="W271" s="38" t="s">
        <v>0</v>
      </c>
      <c r="X271" s="56">
        <v>90</v>
      </c>
      <c r="Y271" s="53">
        <f t="shared" si="33"/>
        <v>90</v>
      </c>
      <c r="Z271" s="39">
        <f>IFERROR(IF(Y271=0,"",ROUNDUP(Y271/H271,0)*0.00502),"")</f>
        <v>0.251</v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96.499999999999986</v>
      </c>
      <c r="BN271" s="75">
        <f t="shared" si="35"/>
        <v>96.499999999999986</v>
      </c>
      <c r="BO271" s="75">
        <f t="shared" si="36"/>
        <v>0.21367521367521369</v>
      </c>
      <c r="BP271" s="75">
        <f t="shared" si="37"/>
        <v>0.21367521367521369</v>
      </c>
    </row>
    <row r="272" spans="1:68" ht="27" customHeight="1" x14ac:dyDescent="0.25">
      <c r="A272" s="60" t="s">
        <v>467</v>
      </c>
      <c r="B272" s="60" t="s">
        <v>468</v>
      </c>
      <c r="C272" s="34">
        <v>4301031222</v>
      </c>
      <c r="D272" s="652">
        <v>4680115884007</v>
      </c>
      <c r="E272" s="652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4"/>
      <c r="R272" s="654"/>
      <c r="S272" s="654"/>
      <c r="T272" s="655"/>
      <c r="U272" s="37" t="s">
        <v>46</v>
      </c>
      <c r="V272" s="37" t="s">
        <v>46</v>
      </c>
      <c r="W272" s="38" t="s">
        <v>0</v>
      </c>
      <c r="X272" s="56">
        <v>60</v>
      </c>
      <c r="Y272" s="53">
        <f t="shared" si="33"/>
        <v>61.2</v>
      </c>
      <c r="Z272" s="39">
        <f>IFERROR(IF(Y272=0,"",ROUNDUP(Y272/H272,0)*0.00502),"")</f>
        <v>0.17068</v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63.333333333333329</v>
      </c>
      <c r="BN272" s="75">
        <f t="shared" si="35"/>
        <v>64.599999999999994</v>
      </c>
      <c r="BO272" s="75">
        <f t="shared" si="36"/>
        <v>0.14245014245014248</v>
      </c>
      <c r="BP272" s="75">
        <f t="shared" si="37"/>
        <v>0.14529914529914531</v>
      </c>
    </row>
    <row r="273" spans="1:68" ht="27" customHeight="1" x14ac:dyDescent="0.25">
      <c r="A273" s="60" t="s">
        <v>469</v>
      </c>
      <c r="B273" s="60" t="s">
        <v>470</v>
      </c>
      <c r="C273" s="34">
        <v>4301031229</v>
      </c>
      <c r="D273" s="652">
        <v>4680115884038</v>
      </c>
      <c r="E273" s="652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4"/>
      <c r="R273" s="654"/>
      <c r="S273" s="654"/>
      <c r="T273" s="655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33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95</v>
      </c>
      <c r="BN273" s="75">
        <f t="shared" si="35"/>
        <v>95</v>
      </c>
      <c r="BO273" s="75">
        <f t="shared" si="36"/>
        <v>0.21367521367521369</v>
      </c>
      <c r="BP273" s="75">
        <f t="shared" si="37"/>
        <v>0.21367521367521369</v>
      </c>
    </row>
    <row r="274" spans="1:68" ht="27" customHeight="1" x14ac:dyDescent="0.25">
      <c r="A274" s="60" t="s">
        <v>471</v>
      </c>
      <c r="B274" s="60" t="s">
        <v>472</v>
      </c>
      <c r="C274" s="34">
        <v>4301031225</v>
      </c>
      <c r="D274" s="652">
        <v>4680115884021</v>
      </c>
      <c r="E274" s="65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4"/>
      <c r="R274" s="654"/>
      <c r="S274" s="654"/>
      <c r="T274" s="655"/>
      <c r="U274" s="37" t="s">
        <v>46</v>
      </c>
      <c r="V274" s="37" t="s">
        <v>46</v>
      </c>
      <c r="W274" s="38" t="s">
        <v>0</v>
      </c>
      <c r="X274" s="56">
        <v>45</v>
      </c>
      <c r="Y274" s="53">
        <f t="shared" si="33"/>
        <v>45</v>
      </c>
      <c r="Z274" s="39">
        <f>IFERROR(IF(Y274=0,"",ROUNDUP(Y274/H274,0)*0.00502),"")</f>
        <v>0.1255</v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47.5</v>
      </c>
      <c r="BN274" s="75">
        <f t="shared" si="35"/>
        <v>47.5</v>
      </c>
      <c r="BO274" s="75">
        <f t="shared" si="36"/>
        <v>0.10683760683760685</v>
      </c>
      <c r="BP274" s="75">
        <f t="shared" si="37"/>
        <v>0.10683760683760685</v>
      </c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47"/>
      <c r="P275" s="643" t="s">
        <v>40</v>
      </c>
      <c r="Q275" s="644"/>
      <c r="R275" s="644"/>
      <c r="S275" s="644"/>
      <c r="T275" s="644"/>
      <c r="U275" s="644"/>
      <c r="V275" s="645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325</v>
      </c>
      <c r="Y275" s="41">
        <f>IFERROR(Y267/H267,"0")+IFERROR(Y268/H268,"0")+IFERROR(Y269/H269,"0")+IFERROR(Y270/H270,"0")+IFERROR(Y271/H271,"0")+IFERROR(Y272/H272,"0")+IFERROR(Y273/H273,"0")+IFERROR(Y274/H274,"0")</f>
        <v>328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2.3225600000000002</v>
      </c>
      <c r="AA275" s="64"/>
      <c r="AB275" s="64"/>
      <c r="AC275" s="64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7"/>
      <c r="P276" s="643" t="s">
        <v>40</v>
      </c>
      <c r="Q276" s="644"/>
      <c r="R276" s="644"/>
      <c r="S276" s="644"/>
      <c r="T276" s="644"/>
      <c r="U276" s="644"/>
      <c r="V276" s="645"/>
      <c r="W276" s="40" t="s">
        <v>0</v>
      </c>
      <c r="X276" s="41">
        <f>IFERROR(SUM(X267:X274),"0")</f>
        <v>1185</v>
      </c>
      <c r="Y276" s="41">
        <f>IFERROR(SUM(Y267:Y274),"0")</f>
        <v>1198.8000000000002</v>
      </c>
      <c r="Z276" s="40"/>
      <c r="AA276" s="64"/>
      <c r="AB276" s="64"/>
      <c r="AC276" s="64"/>
    </row>
    <row r="277" spans="1:68" ht="14.25" hidden="1" customHeight="1" x14ac:dyDescent="0.25">
      <c r="A277" s="657" t="s">
        <v>86</v>
      </c>
      <c r="B277" s="657"/>
      <c r="C277" s="657"/>
      <c r="D277" s="657"/>
      <c r="E277" s="657"/>
      <c r="F277" s="657"/>
      <c r="G277" s="657"/>
      <c r="H277" s="657"/>
      <c r="I277" s="657"/>
      <c r="J277" s="657"/>
      <c r="K277" s="657"/>
      <c r="L277" s="657"/>
      <c r="M277" s="657"/>
      <c r="N277" s="657"/>
      <c r="O277" s="657"/>
      <c r="P277" s="657"/>
      <c r="Q277" s="657"/>
      <c r="R277" s="657"/>
      <c r="S277" s="657"/>
      <c r="T277" s="657"/>
      <c r="U277" s="657"/>
      <c r="V277" s="657"/>
      <c r="W277" s="657"/>
      <c r="X277" s="657"/>
      <c r="Y277" s="657"/>
      <c r="Z277" s="657"/>
      <c r="AA277" s="63"/>
      <c r="AB277" s="63"/>
      <c r="AC277" s="63"/>
    </row>
    <row r="278" spans="1:68" ht="27" customHeight="1" x14ac:dyDescent="0.25">
      <c r="A278" s="60" t="s">
        <v>473</v>
      </c>
      <c r="B278" s="60" t="s">
        <v>474</v>
      </c>
      <c r="C278" s="34">
        <v>4301051408</v>
      </c>
      <c r="D278" s="652">
        <v>4680115881594</v>
      </c>
      <c r="E278" s="652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4"/>
      <c r="R278" s="654"/>
      <c r="S278" s="654"/>
      <c r="T278" s="655"/>
      <c r="U278" s="37" t="s">
        <v>46</v>
      </c>
      <c r="V278" s="37" t="s">
        <v>46</v>
      </c>
      <c r="W278" s="38" t="s">
        <v>0</v>
      </c>
      <c r="X278" s="56">
        <v>600</v>
      </c>
      <c r="Y278" s="53">
        <f t="shared" ref="Y278:Y289" si="38">IFERROR(IF(X278="",0,CEILING((X278/$H278),1)*$H278),"")</f>
        <v>607.5</v>
      </c>
      <c r="Z278" s="39">
        <f>IFERROR(IF(Y278=0,"",ROUNDUP(Y278/H278,0)*0.01898),"")</f>
        <v>1.4235</v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636.59259259259261</v>
      </c>
      <c r="BN278" s="75">
        <f t="shared" ref="BN278:BN289" si="40">IFERROR(Y278*I278/H278,"0")</f>
        <v>644.54999999999995</v>
      </c>
      <c r="BO278" s="75">
        <f t="shared" ref="BO278:BO289" si="41">IFERROR(1/J278*(X278/H278),"0")</f>
        <v>1.1574074074074074</v>
      </c>
      <c r="BP278" s="75">
        <f t="shared" ref="BP278:BP289" si="42">IFERROR(1/J278*(Y278/H278),"0")</f>
        <v>1.171875</v>
      </c>
    </row>
    <row r="279" spans="1:68" ht="27" customHeight="1" x14ac:dyDescent="0.25">
      <c r="A279" s="60" t="s">
        <v>476</v>
      </c>
      <c r="B279" s="60" t="s">
        <v>477</v>
      </c>
      <c r="C279" s="34">
        <v>4301051411</v>
      </c>
      <c r="D279" s="652">
        <v>4680115881617</v>
      </c>
      <c r="E279" s="652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4"/>
      <c r="R279" s="654"/>
      <c r="S279" s="654"/>
      <c r="T279" s="655"/>
      <c r="U279" s="37" t="s">
        <v>46</v>
      </c>
      <c r="V279" s="37" t="s">
        <v>46</v>
      </c>
      <c r="W279" s="38" t="s">
        <v>0</v>
      </c>
      <c r="X279" s="56">
        <v>400</v>
      </c>
      <c r="Y279" s="53">
        <f t="shared" si="38"/>
        <v>405</v>
      </c>
      <c r="Z279" s="39">
        <f>IFERROR(IF(Y279=0,"",ROUNDUP(Y279/H279,0)*0.01898),"")</f>
        <v>0.94900000000000007</v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423.50617283950618</v>
      </c>
      <c r="BN279" s="75">
        <f t="shared" si="40"/>
        <v>428.80000000000007</v>
      </c>
      <c r="BO279" s="75">
        <f t="shared" si="41"/>
        <v>0.77160493827160492</v>
      </c>
      <c r="BP279" s="75">
        <f t="shared" si="42"/>
        <v>0.78125</v>
      </c>
    </row>
    <row r="280" spans="1:68" ht="27" customHeight="1" x14ac:dyDescent="0.25">
      <c r="A280" s="60" t="s">
        <v>479</v>
      </c>
      <c r="B280" s="60" t="s">
        <v>480</v>
      </c>
      <c r="C280" s="34">
        <v>4301051656</v>
      </c>
      <c r="D280" s="652">
        <v>4680115880573</v>
      </c>
      <c r="E280" s="652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4"/>
      <c r="R280" s="654"/>
      <c r="S280" s="654"/>
      <c r="T280" s="655"/>
      <c r="U280" s="37" t="s">
        <v>46</v>
      </c>
      <c r="V280" s="37" t="s">
        <v>46</v>
      </c>
      <c r="W280" s="38" t="s">
        <v>0</v>
      </c>
      <c r="X280" s="56">
        <v>150</v>
      </c>
      <c r="Y280" s="53">
        <f t="shared" si="38"/>
        <v>156.6</v>
      </c>
      <c r="Z280" s="39">
        <f>IFERROR(IF(Y280=0,"",ROUNDUP(Y280/H280,0)*0.01898),"")</f>
        <v>0.34164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158.51724137931038</v>
      </c>
      <c r="BN280" s="75">
        <f t="shared" si="40"/>
        <v>165.49200000000002</v>
      </c>
      <c r="BO280" s="75">
        <f t="shared" si="41"/>
        <v>0.26939655172413796</v>
      </c>
      <c r="BP280" s="75">
        <f t="shared" si="42"/>
        <v>0.28125</v>
      </c>
    </row>
    <row r="281" spans="1:68" ht="27" customHeight="1" x14ac:dyDescent="0.25">
      <c r="A281" s="60" t="s">
        <v>482</v>
      </c>
      <c r="B281" s="60" t="s">
        <v>483</v>
      </c>
      <c r="C281" s="34">
        <v>4301051407</v>
      </c>
      <c r="D281" s="652">
        <v>4680115882195</v>
      </c>
      <c r="E281" s="652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4"/>
      <c r="R281" s="654"/>
      <c r="S281" s="654"/>
      <c r="T281" s="655"/>
      <c r="U281" s="37" t="s">
        <v>46</v>
      </c>
      <c r="V281" s="37" t="s">
        <v>46</v>
      </c>
      <c r="W281" s="38" t="s">
        <v>0</v>
      </c>
      <c r="X281" s="56">
        <v>300</v>
      </c>
      <c r="Y281" s="53">
        <f t="shared" si="38"/>
        <v>300</v>
      </c>
      <c r="Z281" s="39">
        <f>IFERROR(IF(Y281=0,"",ROUNDUP(Y281/H281,0)*0.00651),"")</f>
        <v>0.81374999999999997</v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333.75</v>
      </c>
      <c r="BN281" s="75">
        <f t="shared" si="40"/>
        <v>333.75</v>
      </c>
      <c r="BO281" s="75">
        <f t="shared" si="41"/>
        <v>0.68681318681318682</v>
      </c>
      <c r="BP281" s="75">
        <f t="shared" si="42"/>
        <v>0.68681318681318682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652">
        <v>4680115882607</v>
      </c>
      <c r="E282" s="652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4"/>
      <c r="R282" s="654"/>
      <c r="S282" s="654"/>
      <c r="T282" s="65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652">
        <v>4680115882607</v>
      </c>
      <c r="E283" s="652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7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4"/>
      <c r="R283" s="654"/>
      <c r="S283" s="654"/>
      <c r="T283" s="65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652">
        <v>4680115880092</v>
      </c>
      <c r="E284" s="652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4"/>
      <c r="R284" s="654"/>
      <c r="S284" s="654"/>
      <c r="T284" s="655"/>
      <c r="U284" s="37" t="s">
        <v>46</v>
      </c>
      <c r="V284" s="37" t="s">
        <v>46</v>
      </c>
      <c r="W284" s="38" t="s">
        <v>0</v>
      </c>
      <c r="X284" s="56">
        <v>400</v>
      </c>
      <c r="Y284" s="53">
        <f t="shared" si="38"/>
        <v>400.8</v>
      </c>
      <c r="Z284" s="39">
        <f>IFERROR(IF(Y284=0,"",ROUNDUP(Y284/H284,0)*0.00651),"")</f>
        <v>1.08717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442</v>
      </c>
      <c r="BN284" s="75">
        <f t="shared" si="40"/>
        <v>442.88400000000007</v>
      </c>
      <c r="BO284" s="75">
        <f t="shared" si="41"/>
        <v>0.91575091575091594</v>
      </c>
      <c r="BP284" s="75">
        <f t="shared" si="42"/>
        <v>0.91758241758241765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652">
        <v>4680115889064</v>
      </c>
      <c r="E285" s="652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4"/>
      <c r="R285" s="654"/>
      <c r="S285" s="654"/>
      <c r="T285" s="65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4301051668</v>
      </c>
      <c r="D286" s="652">
        <v>4680115880221</v>
      </c>
      <c r="E286" s="65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4"/>
      <c r="R286" s="654"/>
      <c r="S286" s="654"/>
      <c r="T286" s="65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495</v>
      </c>
      <c r="B287" s="60" t="s">
        <v>496</v>
      </c>
      <c r="C287" s="34">
        <v>4301051945</v>
      </c>
      <c r="D287" s="652">
        <v>4680115880504</v>
      </c>
      <c r="E287" s="65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4"/>
      <c r="R287" s="654"/>
      <c r="S287" s="654"/>
      <c r="T287" s="655"/>
      <c r="U287" s="37" t="s">
        <v>46</v>
      </c>
      <c r="V287" s="37" t="s">
        <v>46</v>
      </c>
      <c r="W287" s="38" t="s">
        <v>0</v>
      </c>
      <c r="X287" s="56">
        <v>100</v>
      </c>
      <c r="Y287" s="53">
        <f t="shared" si="38"/>
        <v>100.8</v>
      </c>
      <c r="Z287" s="39">
        <f>IFERROR(IF(Y287=0,"",ROUNDUP(Y287/H287,0)*0.00651),"")</f>
        <v>0.27342</v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110.5</v>
      </c>
      <c r="BN287" s="75">
        <f t="shared" si="40"/>
        <v>111.384</v>
      </c>
      <c r="BO287" s="75">
        <f t="shared" si="41"/>
        <v>0.22893772893772898</v>
      </c>
      <c r="BP287" s="75">
        <f t="shared" si="42"/>
        <v>0.23076923076923078</v>
      </c>
    </row>
    <row r="288" spans="1:68" ht="27" customHeight="1" x14ac:dyDescent="0.25">
      <c r="A288" s="60" t="s">
        <v>498</v>
      </c>
      <c r="B288" s="60" t="s">
        <v>499</v>
      </c>
      <c r="C288" s="34">
        <v>4301051410</v>
      </c>
      <c r="D288" s="652">
        <v>4680115882164</v>
      </c>
      <c r="E288" s="652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4"/>
      <c r="R288" s="654"/>
      <c r="S288" s="654"/>
      <c r="T288" s="655"/>
      <c r="U288" s="37" t="s">
        <v>46</v>
      </c>
      <c r="V288" s="37" t="s">
        <v>46</v>
      </c>
      <c r="W288" s="38" t="s">
        <v>0</v>
      </c>
      <c r="X288" s="56">
        <v>500</v>
      </c>
      <c r="Y288" s="53">
        <f t="shared" si="38"/>
        <v>501.59999999999997</v>
      </c>
      <c r="Z288" s="39">
        <f>IFERROR(IF(Y288=0,"",ROUNDUP(Y288/H288,0)*0.00651),"")</f>
        <v>1.36059</v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553.75</v>
      </c>
      <c r="BN288" s="75">
        <f t="shared" si="40"/>
        <v>555.52200000000005</v>
      </c>
      <c r="BO288" s="75">
        <f t="shared" si="41"/>
        <v>1.1446886446886448</v>
      </c>
      <c r="BP288" s="75">
        <f t="shared" si="42"/>
        <v>1.1483516483516485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652">
        <v>4680115888340</v>
      </c>
      <c r="E289" s="65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4"/>
      <c r="R289" s="654"/>
      <c r="S289" s="654"/>
      <c r="T289" s="65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7"/>
      <c r="P290" s="643" t="s">
        <v>40</v>
      </c>
      <c r="Q290" s="644"/>
      <c r="R290" s="644"/>
      <c r="S290" s="644"/>
      <c r="T290" s="644"/>
      <c r="U290" s="644"/>
      <c r="V290" s="645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682.36483610046832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686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6.2490699999999997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7"/>
      <c r="P291" s="643" t="s">
        <v>40</v>
      </c>
      <c r="Q291" s="644"/>
      <c r="R291" s="644"/>
      <c r="S291" s="644"/>
      <c r="T291" s="644"/>
      <c r="U291" s="644"/>
      <c r="V291" s="645"/>
      <c r="W291" s="40" t="s">
        <v>0</v>
      </c>
      <c r="X291" s="41">
        <f>IFERROR(SUM(X278:X289),"0")</f>
        <v>2450</v>
      </c>
      <c r="Y291" s="41">
        <f>IFERROR(SUM(Y278:Y289),"0")</f>
        <v>2472.2999999999997</v>
      </c>
      <c r="Z291" s="40"/>
      <c r="AA291" s="64"/>
      <c r="AB291" s="64"/>
      <c r="AC291" s="64"/>
    </row>
    <row r="292" spans="1:68" ht="14.25" hidden="1" customHeight="1" x14ac:dyDescent="0.25">
      <c r="A292" s="657" t="s">
        <v>175</v>
      </c>
      <c r="B292" s="657"/>
      <c r="C292" s="657"/>
      <c r="D292" s="657"/>
      <c r="E292" s="657"/>
      <c r="F292" s="657"/>
      <c r="G292" s="657"/>
      <c r="H292" s="657"/>
      <c r="I292" s="657"/>
      <c r="J292" s="657"/>
      <c r="K292" s="657"/>
      <c r="L292" s="657"/>
      <c r="M292" s="657"/>
      <c r="N292" s="657"/>
      <c r="O292" s="657"/>
      <c r="P292" s="657"/>
      <c r="Q292" s="657"/>
      <c r="R292" s="657"/>
      <c r="S292" s="657"/>
      <c r="T292" s="657"/>
      <c r="U292" s="657"/>
      <c r="V292" s="657"/>
      <c r="W292" s="657"/>
      <c r="X292" s="657"/>
      <c r="Y292" s="657"/>
      <c r="Z292" s="657"/>
      <c r="AA292" s="63"/>
      <c r="AB292" s="63"/>
      <c r="AC292" s="63"/>
    </row>
    <row r="293" spans="1:68" ht="27" customHeight="1" x14ac:dyDescent="0.25">
      <c r="A293" s="60" t="s">
        <v>504</v>
      </c>
      <c r="B293" s="60" t="s">
        <v>505</v>
      </c>
      <c r="C293" s="34">
        <v>4301060463</v>
      </c>
      <c r="D293" s="652">
        <v>4680115880818</v>
      </c>
      <c r="E293" s="652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4"/>
      <c r="R293" s="654"/>
      <c r="S293" s="654"/>
      <c r="T293" s="655"/>
      <c r="U293" s="37" t="s">
        <v>46</v>
      </c>
      <c r="V293" s="37" t="s">
        <v>46</v>
      </c>
      <c r="W293" s="38" t="s">
        <v>0</v>
      </c>
      <c r="X293" s="56">
        <v>30</v>
      </c>
      <c r="Y293" s="53">
        <f>IFERROR(IF(X293="",0,CEILING((X293/$H293),1)*$H293),"")</f>
        <v>31.2</v>
      </c>
      <c r="Z293" s="39">
        <f>IFERROR(IF(Y293=0,"",ROUNDUP(Y293/H293,0)*0.00651),"")</f>
        <v>8.4629999999999997E-2</v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33.150000000000006</v>
      </c>
      <c r="BN293" s="75">
        <f>IFERROR(Y293*I293/H293,"0")</f>
        <v>34.476000000000006</v>
      </c>
      <c r="BO293" s="75">
        <f>IFERROR(1/J293*(X293/H293),"0")</f>
        <v>6.8681318681318687E-2</v>
      </c>
      <c r="BP293" s="75">
        <f>IFERROR(1/J293*(Y293/H293),"0")</f>
        <v>7.1428571428571438E-2</v>
      </c>
    </row>
    <row r="294" spans="1:68" ht="27" customHeight="1" x14ac:dyDescent="0.25">
      <c r="A294" s="60" t="s">
        <v>507</v>
      </c>
      <c r="B294" s="60" t="s">
        <v>508</v>
      </c>
      <c r="C294" s="34">
        <v>4301060389</v>
      </c>
      <c r="D294" s="652">
        <v>4680115880801</v>
      </c>
      <c r="E294" s="652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4"/>
      <c r="R294" s="654"/>
      <c r="S294" s="654"/>
      <c r="T294" s="655"/>
      <c r="U294" s="37" t="s">
        <v>46</v>
      </c>
      <c r="V294" s="37" t="s">
        <v>46</v>
      </c>
      <c r="W294" s="38" t="s">
        <v>0</v>
      </c>
      <c r="X294" s="56">
        <v>200</v>
      </c>
      <c r="Y294" s="53">
        <f>IFERROR(IF(X294="",0,CEILING((X294/$H294),1)*$H294),"")</f>
        <v>201.6</v>
      </c>
      <c r="Z294" s="39">
        <f>IFERROR(IF(Y294=0,"",ROUNDUP(Y294/H294,0)*0.00651),"")</f>
        <v>0.54683999999999999</v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221</v>
      </c>
      <c r="BN294" s="75">
        <f>IFERROR(Y294*I294/H294,"0")</f>
        <v>222.768</v>
      </c>
      <c r="BO294" s="75">
        <f>IFERROR(1/J294*(X294/H294),"0")</f>
        <v>0.45787545787545797</v>
      </c>
      <c r="BP294" s="75">
        <f>IFERROR(1/J294*(Y294/H294),"0")</f>
        <v>0.46153846153846156</v>
      </c>
    </row>
    <row r="295" spans="1:68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47"/>
      <c r="P295" s="643" t="s">
        <v>40</v>
      </c>
      <c r="Q295" s="644"/>
      <c r="R295" s="644"/>
      <c r="S295" s="644"/>
      <c r="T295" s="644"/>
      <c r="U295" s="644"/>
      <c r="V295" s="645"/>
      <c r="W295" s="40" t="s">
        <v>39</v>
      </c>
      <c r="X295" s="41">
        <f>IFERROR(X293/H293,"0")+IFERROR(X294/H294,"0")</f>
        <v>95.833333333333343</v>
      </c>
      <c r="Y295" s="41">
        <f>IFERROR(Y293/H293,"0")+IFERROR(Y294/H294,"0")</f>
        <v>97</v>
      </c>
      <c r="Z295" s="41">
        <f>IFERROR(IF(Z293="",0,Z293),"0")+IFERROR(IF(Z294="",0,Z294),"0")</f>
        <v>0.63146999999999998</v>
      </c>
      <c r="AA295" s="64"/>
      <c r="AB295" s="64"/>
      <c r="AC295" s="64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7"/>
      <c r="P296" s="643" t="s">
        <v>40</v>
      </c>
      <c r="Q296" s="644"/>
      <c r="R296" s="644"/>
      <c r="S296" s="644"/>
      <c r="T296" s="644"/>
      <c r="U296" s="644"/>
      <c r="V296" s="645"/>
      <c r="W296" s="40" t="s">
        <v>0</v>
      </c>
      <c r="X296" s="41">
        <f>IFERROR(SUM(X293:X294),"0")</f>
        <v>230</v>
      </c>
      <c r="Y296" s="41">
        <f>IFERROR(SUM(Y293:Y294),"0")</f>
        <v>232.79999999999998</v>
      </c>
      <c r="Z296" s="40"/>
      <c r="AA296" s="64"/>
      <c r="AB296" s="64"/>
      <c r="AC296" s="64"/>
    </row>
    <row r="297" spans="1:68" ht="16.5" hidden="1" customHeight="1" x14ac:dyDescent="0.25">
      <c r="A297" s="656" t="s">
        <v>510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2"/>
      <c r="AB297" s="62"/>
      <c r="AC297" s="62"/>
    </row>
    <row r="298" spans="1:68" ht="14.25" hidden="1" customHeight="1" x14ac:dyDescent="0.25">
      <c r="A298" s="657" t="s">
        <v>122</v>
      </c>
      <c r="B298" s="657"/>
      <c r="C298" s="657"/>
      <c r="D298" s="657"/>
      <c r="E298" s="657"/>
      <c r="F298" s="657"/>
      <c r="G298" s="657"/>
      <c r="H298" s="657"/>
      <c r="I298" s="657"/>
      <c r="J298" s="657"/>
      <c r="K298" s="657"/>
      <c r="L298" s="657"/>
      <c r="M298" s="657"/>
      <c r="N298" s="657"/>
      <c r="O298" s="657"/>
      <c r="P298" s="657"/>
      <c r="Q298" s="657"/>
      <c r="R298" s="657"/>
      <c r="S298" s="657"/>
      <c r="T298" s="657"/>
      <c r="U298" s="657"/>
      <c r="V298" s="657"/>
      <c r="W298" s="657"/>
      <c r="X298" s="657"/>
      <c r="Y298" s="657"/>
      <c r="Z298" s="657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652">
        <v>4680115884137</v>
      </c>
      <c r="E299" s="652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4"/>
      <c r="R299" s="654"/>
      <c r="S299" s="654"/>
      <c r="T299" s="655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652">
        <v>4680115884236</v>
      </c>
      <c r="E300" s="652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4"/>
      <c r="R300" s="654"/>
      <c r="S300" s="654"/>
      <c r="T300" s="655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4301011721</v>
      </c>
      <c r="D301" s="652">
        <v>4680115884175</v>
      </c>
      <c r="E301" s="65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4"/>
      <c r="R301" s="654"/>
      <c r="S301" s="654"/>
      <c r="T301" s="655"/>
      <c r="U301" s="37" t="s">
        <v>46</v>
      </c>
      <c r="V301" s="37" t="s">
        <v>46</v>
      </c>
      <c r="W301" s="38" t="s">
        <v>0</v>
      </c>
      <c r="X301" s="56">
        <v>40</v>
      </c>
      <c r="Y301" s="53">
        <f t="shared" si="43"/>
        <v>46.4</v>
      </c>
      <c r="Z301" s="39">
        <f>IFERROR(IF(Y301=0,"",ROUNDUP(Y301/H301,0)*0.01898),"")</f>
        <v>7.5920000000000001E-2</v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41.413793103448278</v>
      </c>
      <c r="BN301" s="75">
        <f t="shared" si="45"/>
        <v>48.04</v>
      </c>
      <c r="BO301" s="75">
        <f t="shared" si="46"/>
        <v>5.387931034482759E-2</v>
      </c>
      <c r="BP301" s="75">
        <f t="shared" si="47"/>
        <v>6.25E-2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652">
        <v>4680115884144</v>
      </c>
      <c r="E302" s="652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4"/>
      <c r="R302" s="654"/>
      <c r="S302" s="654"/>
      <c r="T302" s="655"/>
      <c r="U302" s="37" t="s">
        <v>46</v>
      </c>
      <c r="V302" s="37" t="s">
        <v>46</v>
      </c>
      <c r="W302" s="38" t="s">
        <v>0</v>
      </c>
      <c r="X302" s="56">
        <v>20</v>
      </c>
      <c r="Y302" s="53">
        <f t="shared" si="43"/>
        <v>20</v>
      </c>
      <c r="Z302" s="39">
        <f>IFERROR(IF(Y302=0,"",ROUNDUP(Y302/H302,0)*0.00902),"")</f>
        <v>4.5100000000000001E-2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20.950000000000003</v>
      </c>
      <c r="BN302" s="75">
        <f t="shared" si="45"/>
        <v>20.950000000000003</v>
      </c>
      <c r="BO302" s="75">
        <f t="shared" si="46"/>
        <v>3.787878787878788E-2</v>
      </c>
      <c r="BP302" s="75">
        <f t="shared" si="47"/>
        <v>3.787878787878788E-2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652">
        <v>4680115886551</v>
      </c>
      <c r="E303" s="652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7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4"/>
      <c r="R303" s="654"/>
      <c r="S303" s="654"/>
      <c r="T303" s="65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652">
        <v>4680115887282</v>
      </c>
      <c r="E304" s="652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7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4"/>
      <c r="R304" s="654"/>
      <c r="S304" s="654"/>
      <c r="T304" s="65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652">
        <v>4680115884205</v>
      </c>
      <c r="E305" s="65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4"/>
      <c r="R305" s="654"/>
      <c r="S305" s="654"/>
      <c r="T305" s="655"/>
      <c r="U305" s="37" t="s">
        <v>46</v>
      </c>
      <c r="V305" s="37" t="s">
        <v>46</v>
      </c>
      <c r="W305" s="38" t="s">
        <v>0</v>
      </c>
      <c r="X305" s="56">
        <v>10</v>
      </c>
      <c r="Y305" s="53">
        <f t="shared" si="43"/>
        <v>12</v>
      </c>
      <c r="Z305" s="39">
        <f>IFERROR(IF(Y305=0,"",ROUNDUP(Y305/H305,0)*0.00902),"")</f>
        <v>2.7060000000000001E-2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10.475000000000001</v>
      </c>
      <c r="BN305" s="75">
        <f t="shared" si="45"/>
        <v>12.57</v>
      </c>
      <c r="BO305" s="75">
        <f t="shared" si="46"/>
        <v>1.893939393939394E-2</v>
      </c>
      <c r="BP305" s="75">
        <f t="shared" si="47"/>
        <v>2.2727272727272728E-2</v>
      </c>
    </row>
    <row r="306" spans="1:68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47"/>
      <c r="P306" s="643" t="s">
        <v>40</v>
      </c>
      <c r="Q306" s="644"/>
      <c r="R306" s="644"/>
      <c r="S306" s="644"/>
      <c r="T306" s="644"/>
      <c r="U306" s="644"/>
      <c r="V306" s="645"/>
      <c r="W306" s="40" t="s">
        <v>39</v>
      </c>
      <c r="X306" s="41">
        <f>IFERROR(X299/H299,"0")+IFERROR(X300/H300,"0")+IFERROR(X301/H301,"0")+IFERROR(X302/H302,"0")+IFERROR(X303/H303,"0")+IFERROR(X304/H304,"0")+IFERROR(X305/H305,"0")</f>
        <v>10.948275862068966</v>
      </c>
      <c r="Y306" s="41">
        <f>IFERROR(Y299/H299,"0")+IFERROR(Y300/H300,"0")+IFERROR(Y301/H301,"0")+IFERROR(Y302/H302,"0")+IFERROR(Y303/H303,"0")+IFERROR(Y304/H304,"0")+IFERROR(Y305/H305,"0")</f>
        <v>12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0.14807999999999999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7"/>
      <c r="P307" s="643" t="s">
        <v>40</v>
      </c>
      <c r="Q307" s="644"/>
      <c r="R307" s="644"/>
      <c r="S307" s="644"/>
      <c r="T307" s="644"/>
      <c r="U307" s="644"/>
      <c r="V307" s="645"/>
      <c r="W307" s="40" t="s">
        <v>0</v>
      </c>
      <c r="X307" s="41">
        <f>IFERROR(SUM(X299:X305),"0")</f>
        <v>70</v>
      </c>
      <c r="Y307" s="41">
        <f>IFERROR(SUM(Y299:Y305),"0")</f>
        <v>78.400000000000006</v>
      </c>
      <c r="Z307" s="40"/>
      <c r="AA307" s="64"/>
      <c r="AB307" s="64"/>
      <c r="AC307" s="64"/>
    </row>
    <row r="308" spans="1:68" ht="14.25" hidden="1" customHeight="1" x14ac:dyDescent="0.25">
      <c r="A308" s="657" t="s">
        <v>158</v>
      </c>
      <c r="B308" s="657"/>
      <c r="C308" s="657"/>
      <c r="D308" s="657"/>
      <c r="E308" s="657"/>
      <c r="F308" s="657"/>
      <c r="G308" s="657"/>
      <c r="H308" s="657"/>
      <c r="I308" s="657"/>
      <c r="J308" s="657"/>
      <c r="K308" s="657"/>
      <c r="L308" s="657"/>
      <c r="M308" s="657"/>
      <c r="N308" s="657"/>
      <c r="O308" s="657"/>
      <c r="P308" s="657"/>
      <c r="Q308" s="657"/>
      <c r="R308" s="657"/>
      <c r="S308" s="657"/>
      <c r="T308" s="657"/>
      <c r="U308" s="657"/>
      <c r="V308" s="657"/>
      <c r="W308" s="657"/>
      <c r="X308" s="657"/>
      <c r="Y308" s="657"/>
      <c r="Z308" s="657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652">
        <v>4680115885981</v>
      </c>
      <c r="E309" s="652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77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4"/>
      <c r="R309" s="654"/>
      <c r="S309" s="654"/>
      <c r="T309" s="65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7"/>
      <c r="P310" s="643" t="s">
        <v>40</v>
      </c>
      <c r="Q310" s="644"/>
      <c r="R310" s="644"/>
      <c r="S310" s="644"/>
      <c r="T310" s="644"/>
      <c r="U310" s="644"/>
      <c r="V310" s="645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7"/>
      <c r="P311" s="643" t="s">
        <v>40</v>
      </c>
      <c r="Q311" s="644"/>
      <c r="R311" s="644"/>
      <c r="S311" s="644"/>
      <c r="T311" s="644"/>
      <c r="U311" s="644"/>
      <c r="V311" s="645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7" t="s">
        <v>532</v>
      </c>
      <c r="B312" s="657"/>
      <c r="C312" s="657"/>
      <c r="D312" s="657"/>
      <c r="E312" s="657"/>
      <c r="F312" s="657"/>
      <c r="G312" s="657"/>
      <c r="H312" s="657"/>
      <c r="I312" s="657"/>
      <c r="J312" s="657"/>
      <c r="K312" s="657"/>
      <c r="L312" s="657"/>
      <c r="M312" s="657"/>
      <c r="N312" s="657"/>
      <c r="O312" s="657"/>
      <c r="P312" s="657"/>
      <c r="Q312" s="657"/>
      <c r="R312" s="657"/>
      <c r="S312" s="657"/>
      <c r="T312" s="657"/>
      <c r="U312" s="657"/>
      <c r="V312" s="657"/>
      <c r="W312" s="657"/>
      <c r="X312" s="657"/>
      <c r="Y312" s="657"/>
      <c r="Z312" s="657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652">
        <v>4680115886803</v>
      </c>
      <c r="E313" s="652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4"/>
      <c r="R313" s="654"/>
      <c r="S313" s="654"/>
      <c r="T313" s="65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7"/>
      <c r="P314" s="643" t="s">
        <v>40</v>
      </c>
      <c r="Q314" s="644"/>
      <c r="R314" s="644"/>
      <c r="S314" s="644"/>
      <c r="T314" s="644"/>
      <c r="U314" s="644"/>
      <c r="V314" s="64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7"/>
      <c r="P315" s="643" t="s">
        <v>40</v>
      </c>
      <c r="Q315" s="644"/>
      <c r="R315" s="644"/>
      <c r="S315" s="644"/>
      <c r="T315" s="644"/>
      <c r="U315" s="644"/>
      <c r="V315" s="64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7" t="s">
        <v>349</v>
      </c>
      <c r="B316" s="657"/>
      <c r="C316" s="657"/>
      <c r="D316" s="657"/>
      <c r="E316" s="657"/>
      <c r="F316" s="657"/>
      <c r="G316" s="657"/>
      <c r="H316" s="657"/>
      <c r="I316" s="657"/>
      <c r="J316" s="657"/>
      <c r="K316" s="657"/>
      <c r="L316" s="657"/>
      <c r="M316" s="657"/>
      <c r="N316" s="657"/>
      <c r="O316" s="657"/>
      <c r="P316" s="657"/>
      <c r="Q316" s="657"/>
      <c r="R316" s="657"/>
      <c r="S316" s="657"/>
      <c r="T316" s="657"/>
      <c r="U316" s="657"/>
      <c r="V316" s="657"/>
      <c r="W316" s="657"/>
      <c r="X316" s="657"/>
      <c r="Y316" s="657"/>
      <c r="Z316" s="657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652">
        <v>4680115886704</v>
      </c>
      <c r="E317" s="652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77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4"/>
      <c r="R317" s="654"/>
      <c r="S317" s="654"/>
      <c r="T317" s="65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652">
        <v>4680115886681</v>
      </c>
      <c r="E318" s="652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4"/>
      <c r="R318" s="654"/>
      <c r="S318" s="654"/>
      <c r="T318" s="65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652">
        <v>4680115886735</v>
      </c>
      <c r="E319" s="652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7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4"/>
      <c r="R319" s="654"/>
      <c r="S319" s="654"/>
      <c r="T319" s="65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46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7"/>
      <c r="P320" s="643" t="s">
        <v>40</v>
      </c>
      <c r="Q320" s="644"/>
      <c r="R320" s="644"/>
      <c r="S320" s="644"/>
      <c r="T320" s="644"/>
      <c r="U320" s="644"/>
      <c r="V320" s="645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47"/>
      <c r="P321" s="643" t="s">
        <v>40</v>
      </c>
      <c r="Q321" s="644"/>
      <c r="R321" s="644"/>
      <c r="S321" s="644"/>
      <c r="T321" s="644"/>
      <c r="U321" s="644"/>
      <c r="V321" s="645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56" t="s">
        <v>543</v>
      </c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6"/>
      <c r="P322" s="656"/>
      <c r="Q322" s="656"/>
      <c r="R322" s="656"/>
      <c r="S322" s="656"/>
      <c r="T322" s="656"/>
      <c r="U322" s="656"/>
      <c r="V322" s="656"/>
      <c r="W322" s="656"/>
      <c r="X322" s="656"/>
      <c r="Y322" s="656"/>
      <c r="Z322" s="656"/>
      <c r="AA322" s="62"/>
      <c r="AB322" s="62"/>
      <c r="AC322" s="62"/>
    </row>
    <row r="323" spans="1:68" ht="14.25" hidden="1" customHeight="1" x14ac:dyDescent="0.25">
      <c r="A323" s="657" t="s">
        <v>122</v>
      </c>
      <c r="B323" s="657"/>
      <c r="C323" s="657"/>
      <c r="D323" s="657"/>
      <c r="E323" s="657"/>
      <c r="F323" s="657"/>
      <c r="G323" s="657"/>
      <c r="H323" s="657"/>
      <c r="I323" s="657"/>
      <c r="J323" s="657"/>
      <c r="K323" s="657"/>
      <c r="L323" s="657"/>
      <c r="M323" s="657"/>
      <c r="N323" s="657"/>
      <c r="O323" s="657"/>
      <c r="P323" s="657"/>
      <c r="Q323" s="657"/>
      <c r="R323" s="657"/>
      <c r="S323" s="657"/>
      <c r="T323" s="657"/>
      <c r="U323" s="657"/>
      <c r="V323" s="657"/>
      <c r="W323" s="657"/>
      <c r="X323" s="657"/>
      <c r="Y323" s="657"/>
      <c r="Z323" s="657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652">
        <v>4680115885837</v>
      </c>
      <c r="E324" s="652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4"/>
      <c r="R324" s="654"/>
      <c r="S324" s="654"/>
      <c r="T324" s="655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652">
        <v>4680115887237</v>
      </c>
      <c r="E325" s="652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7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4"/>
      <c r="R325" s="654"/>
      <c r="S325" s="654"/>
      <c r="T325" s="65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652">
        <v>4680115885806</v>
      </c>
      <c r="E326" s="65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4"/>
      <c r="R326" s="654"/>
      <c r="S326" s="654"/>
      <c r="T326" s="65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652">
        <v>4680115885844</v>
      </c>
      <c r="E327" s="652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4"/>
      <c r="R327" s="654"/>
      <c r="S327" s="654"/>
      <c r="T327" s="65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652">
        <v>4680115885820</v>
      </c>
      <c r="E328" s="652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7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4"/>
      <c r="R328" s="654"/>
      <c r="S328" s="654"/>
      <c r="T328" s="65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46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7"/>
      <c r="P329" s="643" t="s">
        <v>40</v>
      </c>
      <c r="Q329" s="644"/>
      <c r="R329" s="644"/>
      <c r="S329" s="644"/>
      <c r="T329" s="644"/>
      <c r="U329" s="644"/>
      <c r="V329" s="645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7"/>
      <c r="P330" s="643" t="s">
        <v>40</v>
      </c>
      <c r="Q330" s="644"/>
      <c r="R330" s="644"/>
      <c r="S330" s="644"/>
      <c r="T330" s="644"/>
      <c r="U330" s="644"/>
      <c r="V330" s="645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6" t="s">
        <v>559</v>
      </c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6"/>
      <c r="P331" s="656"/>
      <c r="Q331" s="656"/>
      <c r="R331" s="656"/>
      <c r="S331" s="656"/>
      <c r="T331" s="656"/>
      <c r="U331" s="656"/>
      <c r="V331" s="656"/>
      <c r="W331" s="656"/>
      <c r="X331" s="656"/>
      <c r="Y331" s="656"/>
      <c r="Z331" s="656"/>
      <c r="AA331" s="62"/>
      <c r="AB331" s="62"/>
      <c r="AC331" s="62"/>
    </row>
    <row r="332" spans="1:68" ht="14.25" hidden="1" customHeight="1" x14ac:dyDescent="0.25">
      <c r="A332" s="657" t="s">
        <v>86</v>
      </c>
      <c r="B332" s="657"/>
      <c r="C332" s="657"/>
      <c r="D332" s="657"/>
      <c r="E332" s="657"/>
      <c r="F332" s="657"/>
      <c r="G332" s="657"/>
      <c r="H332" s="657"/>
      <c r="I332" s="657"/>
      <c r="J332" s="657"/>
      <c r="K332" s="657"/>
      <c r="L332" s="657"/>
      <c r="M332" s="657"/>
      <c r="N332" s="657"/>
      <c r="O332" s="657"/>
      <c r="P332" s="657"/>
      <c r="Q332" s="657"/>
      <c r="R332" s="657"/>
      <c r="S332" s="657"/>
      <c r="T332" s="657"/>
      <c r="U332" s="657"/>
      <c r="V332" s="657"/>
      <c r="W332" s="657"/>
      <c r="X332" s="657"/>
      <c r="Y332" s="657"/>
      <c r="Z332" s="657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652">
        <v>4680115886186</v>
      </c>
      <c r="E333" s="652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4"/>
      <c r="R333" s="654"/>
      <c r="S333" s="654"/>
      <c r="T333" s="65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652">
        <v>4680115881228</v>
      </c>
      <c r="E334" s="652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4"/>
      <c r="R334" s="654"/>
      <c r="S334" s="654"/>
      <c r="T334" s="65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566</v>
      </c>
      <c r="B335" s="60" t="s">
        <v>567</v>
      </c>
      <c r="C335" s="34">
        <v>4301051388</v>
      </c>
      <c r="D335" s="652">
        <v>4680115881211</v>
      </c>
      <c r="E335" s="65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4"/>
      <c r="R335" s="654"/>
      <c r="S335" s="654"/>
      <c r="T335" s="655"/>
      <c r="U335" s="37" t="s">
        <v>46</v>
      </c>
      <c r="V335" s="37" t="s">
        <v>46</v>
      </c>
      <c r="W335" s="38" t="s">
        <v>0</v>
      </c>
      <c r="X335" s="56">
        <v>500</v>
      </c>
      <c r="Y335" s="53">
        <f>IFERROR(IF(X335="",0,CEILING((X335/$H335),1)*$H335),"")</f>
        <v>501.59999999999997</v>
      </c>
      <c r="Z335" s="39">
        <f>IFERROR(IF(Y335=0,"",ROUNDUP(Y335/H335,0)*0.00651),"")</f>
        <v>1.36059</v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537.5</v>
      </c>
      <c r="BN335" s="75">
        <f>IFERROR(Y335*I335/H335,"0")</f>
        <v>539.22</v>
      </c>
      <c r="BO335" s="75">
        <f>IFERROR(1/J335*(X335/H335),"0")</f>
        <v>1.1446886446886448</v>
      </c>
      <c r="BP335" s="75">
        <f>IFERROR(1/J335*(Y335/H335),"0")</f>
        <v>1.1483516483516485</v>
      </c>
    </row>
    <row r="336" spans="1:68" x14ac:dyDescent="0.2">
      <c r="A336" s="646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7"/>
      <c r="P336" s="643" t="s">
        <v>40</v>
      </c>
      <c r="Q336" s="644"/>
      <c r="R336" s="644"/>
      <c r="S336" s="644"/>
      <c r="T336" s="644"/>
      <c r="U336" s="644"/>
      <c r="V336" s="645"/>
      <c r="W336" s="40" t="s">
        <v>39</v>
      </c>
      <c r="X336" s="41">
        <f>IFERROR(X333/H333,"0")+IFERROR(X334/H334,"0")+IFERROR(X335/H335,"0")</f>
        <v>208.33333333333334</v>
      </c>
      <c r="Y336" s="41">
        <f>IFERROR(Y333/H333,"0")+IFERROR(Y334/H334,"0")+IFERROR(Y335/H335,"0")</f>
        <v>209</v>
      </c>
      <c r="Z336" s="41">
        <f>IFERROR(IF(Z333="",0,Z333),"0")+IFERROR(IF(Z334="",0,Z334),"0")+IFERROR(IF(Z335="",0,Z335),"0")</f>
        <v>1.36059</v>
      </c>
      <c r="AA336" s="64"/>
      <c r="AB336" s="64"/>
      <c r="AC336" s="64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7"/>
      <c r="P337" s="643" t="s">
        <v>40</v>
      </c>
      <c r="Q337" s="644"/>
      <c r="R337" s="644"/>
      <c r="S337" s="644"/>
      <c r="T337" s="644"/>
      <c r="U337" s="644"/>
      <c r="V337" s="645"/>
      <c r="W337" s="40" t="s">
        <v>0</v>
      </c>
      <c r="X337" s="41">
        <f>IFERROR(SUM(X333:X335),"0")</f>
        <v>500</v>
      </c>
      <c r="Y337" s="41">
        <f>IFERROR(SUM(Y333:Y335),"0")</f>
        <v>501.59999999999997</v>
      </c>
      <c r="Z337" s="40"/>
      <c r="AA337" s="64"/>
      <c r="AB337" s="64"/>
      <c r="AC337" s="64"/>
    </row>
    <row r="338" spans="1:68" ht="16.5" hidden="1" customHeight="1" x14ac:dyDescent="0.25">
      <c r="A338" s="656" t="s">
        <v>568</v>
      </c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6"/>
      <c r="P338" s="656"/>
      <c r="Q338" s="656"/>
      <c r="R338" s="656"/>
      <c r="S338" s="656"/>
      <c r="T338" s="656"/>
      <c r="U338" s="656"/>
      <c r="V338" s="656"/>
      <c r="W338" s="656"/>
      <c r="X338" s="656"/>
      <c r="Y338" s="656"/>
      <c r="Z338" s="656"/>
      <c r="AA338" s="62"/>
      <c r="AB338" s="62"/>
      <c r="AC338" s="62"/>
    </row>
    <row r="339" spans="1:68" ht="14.25" hidden="1" customHeight="1" x14ac:dyDescent="0.25">
      <c r="A339" s="657" t="s">
        <v>77</v>
      </c>
      <c r="B339" s="657"/>
      <c r="C339" s="657"/>
      <c r="D339" s="657"/>
      <c r="E339" s="657"/>
      <c r="F339" s="657"/>
      <c r="G339" s="657"/>
      <c r="H339" s="657"/>
      <c r="I339" s="657"/>
      <c r="J339" s="657"/>
      <c r="K339" s="657"/>
      <c r="L339" s="657"/>
      <c r="M339" s="657"/>
      <c r="N339" s="657"/>
      <c r="O339" s="657"/>
      <c r="P339" s="657"/>
      <c r="Q339" s="657"/>
      <c r="R339" s="657"/>
      <c r="S339" s="657"/>
      <c r="T339" s="657"/>
      <c r="U339" s="657"/>
      <c r="V339" s="657"/>
      <c r="W339" s="657"/>
      <c r="X339" s="657"/>
      <c r="Y339" s="657"/>
      <c r="Z339" s="657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652">
        <v>4680115888319</v>
      </c>
      <c r="E340" s="652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75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4"/>
      <c r="R340" s="654"/>
      <c r="S340" s="654"/>
      <c r="T340" s="65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652">
        <v>4680115884700</v>
      </c>
      <c r="E341" s="652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76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4"/>
      <c r="R341" s="654"/>
      <c r="S341" s="654"/>
      <c r="T341" s="65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652">
        <v>4680115880344</v>
      </c>
      <c r="E342" s="652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4"/>
      <c r="R342" s="654"/>
      <c r="S342" s="654"/>
      <c r="T342" s="65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652">
        <v>4680115886919</v>
      </c>
      <c r="E343" s="652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7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4"/>
      <c r="R343" s="654"/>
      <c r="S343" s="654"/>
      <c r="T343" s="65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652">
        <v>4680115883970</v>
      </c>
      <c r="E344" s="652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4"/>
      <c r="R344" s="654"/>
      <c r="S344" s="654"/>
      <c r="T344" s="65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46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7"/>
      <c r="P345" s="643" t="s">
        <v>40</v>
      </c>
      <c r="Q345" s="644"/>
      <c r="R345" s="644"/>
      <c r="S345" s="644"/>
      <c r="T345" s="644"/>
      <c r="U345" s="644"/>
      <c r="V345" s="645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47"/>
      <c r="P346" s="643" t="s">
        <v>40</v>
      </c>
      <c r="Q346" s="644"/>
      <c r="R346" s="644"/>
      <c r="S346" s="644"/>
      <c r="T346" s="644"/>
      <c r="U346" s="644"/>
      <c r="V346" s="645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7" t="s">
        <v>86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3"/>
      <c r="AB347" s="63"/>
      <c r="AC347" s="63"/>
    </row>
    <row r="348" spans="1:68" ht="27" hidden="1" customHeight="1" x14ac:dyDescent="0.25">
      <c r="A348" s="60" t="s">
        <v>583</v>
      </c>
      <c r="B348" s="60" t="s">
        <v>584</v>
      </c>
      <c r="C348" s="34">
        <v>4301051782</v>
      </c>
      <c r="D348" s="652">
        <v>4680115884618</v>
      </c>
      <c r="E348" s="652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7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4"/>
      <c r="R348" s="654"/>
      <c r="S348" s="654"/>
      <c r="T348" s="65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652">
        <v>4680115887114</v>
      </c>
      <c r="E349" s="652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7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4"/>
      <c r="R349" s="654"/>
      <c r="S349" s="654"/>
      <c r="T349" s="655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46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7"/>
      <c r="P350" s="643" t="s">
        <v>40</v>
      </c>
      <c r="Q350" s="644"/>
      <c r="R350" s="644"/>
      <c r="S350" s="644"/>
      <c r="T350" s="644"/>
      <c r="U350" s="644"/>
      <c r="V350" s="645"/>
      <c r="W350" s="40" t="s">
        <v>39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7"/>
      <c r="P351" s="643" t="s">
        <v>40</v>
      </c>
      <c r="Q351" s="644"/>
      <c r="R351" s="644"/>
      <c r="S351" s="644"/>
      <c r="T351" s="644"/>
      <c r="U351" s="644"/>
      <c r="V351" s="645"/>
      <c r="W351" s="40" t="s">
        <v>0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6" t="s">
        <v>589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2"/>
      <c r="AB352" s="62"/>
      <c r="AC352" s="62"/>
    </row>
    <row r="353" spans="1:68" ht="14.25" hidden="1" customHeight="1" x14ac:dyDescent="0.25">
      <c r="A353" s="657" t="s">
        <v>122</v>
      </c>
      <c r="B353" s="657"/>
      <c r="C353" s="657"/>
      <c r="D353" s="657"/>
      <c r="E353" s="657"/>
      <c r="F353" s="657"/>
      <c r="G353" s="657"/>
      <c r="H353" s="657"/>
      <c r="I353" s="657"/>
      <c r="J353" s="657"/>
      <c r="K353" s="657"/>
      <c r="L353" s="657"/>
      <c r="M353" s="657"/>
      <c r="N353" s="657"/>
      <c r="O353" s="657"/>
      <c r="P353" s="657"/>
      <c r="Q353" s="657"/>
      <c r="R353" s="657"/>
      <c r="S353" s="657"/>
      <c r="T353" s="657"/>
      <c r="U353" s="657"/>
      <c r="V353" s="657"/>
      <c r="W353" s="657"/>
      <c r="X353" s="657"/>
      <c r="Y353" s="657"/>
      <c r="Z353" s="657"/>
      <c r="AA353" s="63"/>
      <c r="AB353" s="63"/>
      <c r="AC353" s="63"/>
    </row>
    <row r="354" spans="1:68" ht="27" customHeight="1" x14ac:dyDescent="0.25">
      <c r="A354" s="60" t="s">
        <v>590</v>
      </c>
      <c r="B354" s="60" t="s">
        <v>591</v>
      </c>
      <c r="C354" s="34">
        <v>4301012324</v>
      </c>
      <c r="D354" s="652">
        <v>4680115887947</v>
      </c>
      <c r="E354" s="652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4"/>
      <c r="R354" s="654"/>
      <c r="S354" s="654"/>
      <c r="T354" s="655"/>
      <c r="U354" s="37" t="s">
        <v>46</v>
      </c>
      <c r="V354" s="37" t="s">
        <v>46</v>
      </c>
      <c r="W354" s="38" t="s">
        <v>0</v>
      </c>
      <c r="X354" s="56">
        <v>250</v>
      </c>
      <c r="Y354" s="53">
        <f>IFERROR(IF(X354="",0,CEILING((X354/$H354),1)*$H354),"")</f>
        <v>257.39999999999998</v>
      </c>
      <c r="Z354" s="39">
        <f>IFERROR(IF(Y354=0,"",ROUNDUP(Y354/H354,0)*0.01898),"")</f>
        <v>0.62634000000000001</v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263.14102564102564</v>
      </c>
      <c r="BN354" s="75">
        <f>IFERROR(Y354*I354/H354,"0")</f>
        <v>270.93</v>
      </c>
      <c r="BO354" s="75">
        <f>IFERROR(1/J354*(X354/H354),"0")</f>
        <v>0.50080128205128205</v>
      </c>
      <c r="BP354" s="75">
        <f>IFERROR(1/J354*(Y354/H354),"0")</f>
        <v>0.515625</v>
      </c>
    </row>
    <row r="355" spans="1:68" ht="27" customHeight="1" x14ac:dyDescent="0.25">
      <c r="A355" s="60" t="s">
        <v>592</v>
      </c>
      <c r="B355" s="60" t="s">
        <v>593</v>
      </c>
      <c r="C355" s="34">
        <v>4301012325</v>
      </c>
      <c r="D355" s="652">
        <v>4680115887978</v>
      </c>
      <c r="E355" s="652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7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4"/>
      <c r="R355" s="654"/>
      <c r="S355" s="654"/>
      <c r="T355" s="655"/>
      <c r="U355" s="37" t="s">
        <v>46</v>
      </c>
      <c r="V355" s="37" t="s">
        <v>46</v>
      </c>
      <c r="W355" s="38" t="s">
        <v>0</v>
      </c>
      <c r="X355" s="56">
        <v>250</v>
      </c>
      <c r="Y355" s="53">
        <f>IFERROR(IF(X355="",0,CEILING((X355/$H355),1)*$H355),"")</f>
        <v>257.39999999999998</v>
      </c>
      <c r="Z355" s="39">
        <f>IFERROR(IF(Y355=0,"",ROUNDUP(Y355/H355,0)*0.01898),"")</f>
        <v>0.62634000000000001</v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263.14102564102564</v>
      </c>
      <c r="BN355" s="75">
        <f>IFERROR(Y355*I355/H355,"0")</f>
        <v>270.93</v>
      </c>
      <c r="BO355" s="75">
        <f>IFERROR(1/J355*(X355/H355),"0")</f>
        <v>0.50080128205128205</v>
      </c>
      <c r="BP355" s="75">
        <f>IFERROR(1/J355*(Y355/H355),"0")</f>
        <v>0.515625</v>
      </c>
    </row>
    <row r="356" spans="1:68" ht="27" customHeight="1" x14ac:dyDescent="0.25">
      <c r="A356" s="60" t="s">
        <v>595</v>
      </c>
      <c r="B356" s="60" t="s">
        <v>596</v>
      </c>
      <c r="C356" s="34">
        <v>4301012327</v>
      </c>
      <c r="D356" s="652">
        <v>4680115887992</v>
      </c>
      <c r="E356" s="65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4"/>
      <c r="R356" s="654"/>
      <c r="S356" s="654"/>
      <c r="T356" s="655"/>
      <c r="U356" s="37" t="s">
        <v>46</v>
      </c>
      <c r="V356" s="37" t="s">
        <v>46</v>
      </c>
      <c r="W356" s="38" t="s">
        <v>0</v>
      </c>
      <c r="X356" s="56">
        <v>125</v>
      </c>
      <c r="Y356" s="53">
        <f>IFERROR(IF(X356="",0,CEILING((X356/$H356),1)*$H356),"")</f>
        <v>132.6</v>
      </c>
      <c r="Z356" s="39">
        <f>IFERROR(IF(Y356=0,"",ROUNDUP(Y356/H356,0)*0.01898),"")</f>
        <v>0.32266</v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131.57051282051282</v>
      </c>
      <c r="BN356" s="75">
        <f>IFERROR(Y356*I356/H356,"0")</f>
        <v>139.57</v>
      </c>
      <c r="BO356" s="75">
        <f>IFERROR(1/J356*(X356/H356),"0")</f>
        <v>0.25040064102564102</v>
      </c>
      <c r="BP356" s="75">
        <f>IFERROR(1/J356*(Y356/H356),"0")</f>
        <v>0.265625</v>
      </c>
    </row>
    <row r="357" spans="1:68" x14ac:dyDescent="0.2">
      <c r="A357" s="646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7"/>
      <c r="P357" s="643" t="s">
        <v>40</v>
      </c>
      <c r="Q357" s="644"/>
      <c r="R357" s="644"/>
      <c r="S357" s="644"/>
      <c r="T357" s="644"/>
      <c r="U357" s="644"/>
      <c r="V357" s="645"/>
      <c r="W357" s="40" t="s">
        <v>39</v>
      </c>
      <c r="X357" s="41">
        <f>IFERROR(X354/H354,"0")+IFERROR(X355/H355,"0")+IFERROR(X356/H356,"0")</f>
        <v>80.128205128205124</v>
      </c>
      <c r="Y357" s="41">
        <f>IFERROR(Y354/H354,"0")+IFERROR(Y355/H355,"0")+IFERROR(Y356/H356,"0")</f>
        <v>83</v>
      </c>
      <c r="Z357" s="41">
        <f>IFERROR(IF(Z354="",0,Z354),"0")+IFERROR(IF(Z355="",0,Z355),"0")+IFERROR(IF(Z356="",0,Z356),"0")</f>
        <v>1.57534</v>
      </c>
      <c r="AA357" s="64"/>
      <c r="AB357" s="64"/>
      <c r="AC357" s="64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7"/>
      <c r="P358" s="643" t="s">
        <v>40</v>
      </c>
      <c r="Q358" s="644"/>
      <c r="R358" s="644"/>
      <c r="S358" s="644"/>
      <c r="T358" s="644"/>
      <c r="U358" s="644"/>
      <c r="V358" s="645"/>
      <c r="W358" s="40" t="s">
        <v>0</v>
      </c>
      <c r="X358" s="41">
        <f>IFERROR(SUM(X354:X356),"0")</f>
        <v>625</v>
      </c>
      <c r="Y358" s="41">
        <f>IFERROR(SUM(Y354:Y356),"0")</f>
        <v>647.4</v>
      </c>
      <c r="Z358" s="40"/>
      <c r="AA358" s="64"/>
      <c r="AB358" s="64"/>
      <c r="AC358" s="64"/>
    </row>
    <row r="359" spans="1:68" ht="16.5" hidden="1" customHeight="1" x14ac:dyDescent="0.25">
      <c r="A359" s="656" t="s">
        <v>598</v>
      </c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6"/>
      <c r="P359" s="656"/>
      <c r="Q359" s="656"/>
      <c r="R359" s="656"/>
      <c r="S359" s="656"/>
      <c r="T359" s="656"/>
      <c r="U359" s="656"/>
      <c r="V359" s="656"/>
      <c r="W359" s="656"/>
      <c r="X359" s="656"/>
      <c r="Y359" s="656"/>
      <c r="Z359" s="656"/>
      <c r="AA359" s="62"/>
      <c r="AB359" s="62"/>
      <c r="AC359" s="62"/>
    </row>
    <row r="360" spans="1:68" ht="14.25" hidden="1" customHeight="1" x14ac:dyDescent="0.25">
      <c r="A360" s="657" t="s">
        <v>122</v>
      </c>
      <c r="B360" s="657"/>
      <c r="C360" s="657"/>
      <c r="D360" s="657"/>
      <c r="E360" s="657"/>
      <c r="F360" s="657"/>
      <c r="G360" s="657"/>
      <c r="H360" s="657"/>
      <c r="I360" s="657"/>
      <c r="J360" s="657"/>
      <c r="K360" s="657"/>
      <c r="L360" s="657"/>
      <c r="M360" s="657"/>
      <c r="N360" s="657"/>
      <c r="O360" s="657"/>
      <c r="P360" s="657"/>
      <c r="Q360" s="657"/>
      <c r="R360" s="657"/>
      <c r="S360" s="657"/>
      <c r="T360" s="657"/>
      <c r="U360" s="657"/>
      <c r="V360" s="657"/>
      <c r="W360" s="657"/>
      <c r="X360" s="657"/>
      <c r="Y360" s="657"/>
      <c r="Z360" s="657"/>
      <c r="AA360" s="63"/>
      <c r="AB360" s="63"/>
      <c r="AC360" s="63"/>
    </row>
    <row r="361" spans="1:68" ht="27" customHeight="1" x14ac:dyDescent="0.25">
      <c r="A361" s="60" t="s">
        <v>599</v>
      </c>
      <c r="B361" s="60" t="s">
        <v>600</v>
      </c>
      <c r="C361" s="34">
        <v>4301012126</v>
      </c>
      <c r="D361" s="652">
        <v>4607091386004</v>
      </c>
      <c r="E361" s="652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4"/>
      <c r="R361" s="654"/>
      <c r="S361" s="654"/>
      <c r="T361" s="655"/>
      <c r="U361" s="37" t="s">
        <v>46</v>
      </c>
      <c r="V361" s="37" t="s">
        <v>46</v>
      </c>
      <c r="W361" s="38" t="s">
        <v>0</v>
      </c>
      <c r="X361" s="56">
        <v>50</v>
      </c>
      <c r="Y361" s="53">
        <f t="shared" ref="Y361:Y366" si="48">IFERROR(IF(X361="",0,CEILING((X361/$H361),1)*$H361),"")</f>
        <v>54</v>
      </c>
      <c r="Z361" s="39">
        <f>IFERROR(IF(Y361=0,"",ROUNDUP(Y361/H361,0)*0.01898),"")</f>
        <v>9.4899999999999998E-2</v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51.898148148148145</v>
      </c>
      <c r="BN361" s="75">
        <f t="shared" ref="BN361:BN366" si="50">IFERROR(Y361*I361/H361,"0")</f>
        <v>56.05</v>
      </c>
      <c r="BO361" s="75">
        <f t="shared" ref="BO361:BO366" si="51">IFERROR(1/J361*(X361/H361),"0")</f>
        <v>7.2337962962962965E-2</v>
      </c>
      <c r="BP361" s="75">
        <f t="shared" ref="BP361:BP366" si="52">IFERROR(1/J361*(Y361/H361),"0")</f>
        <v>7.8125E-2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652">
        <v>4680115887190</v>
      </c>
      <c r="E362" s="652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4"/>
      <c r="R362" s="654"/>
      <c r="S362" s="654"/>
      <c r="T362" s="65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652">
        <v>4680115887138</v>
      </c>
      <c r="E363" s="65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4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4"/>
      <c r="R363" s="654"/>
      <c r="S363" s="654"/>
      <c r="T363" s="65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652">
        <v>4680115885554</v>
      </c>
      <c r="E364" s="65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4"/>
      <c r="R364" s="654"/>
      <c r="S364" s="654"/>
      <c r="T364" s="65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652">
        <v>4680115887220</v>
      </c>
      <c r="E365" s="652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4"/>
      <c r="R365" s="654"/>
      <c r="S365" s="654"/>
      <c r="T365" s="65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652">
        <v>4680115885608</v>
      </c>
      <c r="E366" s="65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4"/>
      <c r="R366" s="654"/>
      <c r="S366" s="654"/>
      <c r="T366" s="65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7"/>
      <c r="P367" s="643" t="s">
        <v>40</v>
      </c>
      <c r="Q367" s="644"/>
      <c r="R367" s="644"/>
      <c r="S367" s="644"/>
      <c r="T367" s="644"/>
      <c r="U367" s="644"/>
      <c r="V367" s="645"/>
      <c r="W367" s="40" t="s">
        <v>39</v>
      </c>
      <c r="X367" s="41">
        <f>IFERROR(X361/H361,"0")+IFERROR(X362/H362,"0")+IFERROR(X363/H363,"0")+IFERROR(X364/H364,"0")+IFERROR(X365/H365,"0")+IFERROR(X366/H366,"0")</f>
        <v>4.6296296296296298</v>
      </c>
      <c r="Y367" s="41">
        <f>IFERROR(Y361/H361,"0")+IFERROR(Y362/H362,"0")+IFERROR(Y363/H363,"0")+IFERROR(Y364/H364,"0")+IFERROR(Y365/H365,"0")+IFERROR(Y366/H366,"0")</f>
        <v>5</v>
      </c>
      <c r="Z367" s="41">
        <f>IFERROR(IF(Z361="",0,Z361),"0")+IFERROR(IF(Z362="",0,Z362),"0")+IFERROR(IF(Z363="",0,Z363),"0")+IFERROR(IF(Z364="",0,Z364),"0")+IFERROR(IF(Z365="",0,Z365),"0")+IFERROR(IF(Z366="",0,Z366),"0")</f>
        <v>9.4899999999999998E-2</v>
      </c>
      <c r="AA367" s="64"/>
      <c r="AB367" s="64"/>
      <c r="AC367" s="64"/>
    </row>
    <row r="368" spans="1:68" x14ac:dyDescent="0.2">
      <c r="A368" s="646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43" t="s">
        <v>40</v>
      </c>
      <c r="Q368" s="644"/>
      <c r="R368" s="644"/>
      <c r="S368" s="644"/>
      <c r="T368" s="644"/>
      <c r="U368" s="644"/>
      <c r="V368" s="645"/>
      <c r="W368" s="40" t="s">
        <v>0</v>
      </c>
      <c r="X368" s="41">
        <f>IFERROR(SUM(X361:X366),"0")</f>
        <v>50</v>
      </c>
      <c r="Y368" s="41">
        <f>IFERROR(SUM(Y361:Y366),"0")</f>
        <v>54</v>
      </c>
      <c r="Z368" s="40"/>
      <c r="AA368" s="64"/>
      <c r="AB368" s="64"/>
      <c r="AC368" s="64"/>
    </row>
    <row r="369" spans="1:68" ht="14.25" hidden="1" customHeight="1" x14ac:dyDescent="0.25">
      <c r="A369" s="657" t="s">
        <v>77</v>
      </c>
      <c r="B369" s="657"/>
      <c r="C369" s="657"/>
      <c r="D369" s="657"/>
      <c r="E369" s="657"/>
      <c r="F369" s="657"/>
      <c r="G369" s="657"/>
      <c r="H369" s="657"/>
      <c r="I369" s="657"/>
      <c r="J369" s="657"/>
      <c r="K369" s="657"/>
      <c r="L369" s="657"/>
      <c r="M369" s="657"/>
      <c r="N369" s="657"/>
      <c r="O369" s="657"/>
      <c r="P369" s="657"/>
      <c r="Q369" s="657"/>
      <c r="R369" s="657"/>
      <c r="S369" s="657"/>
      <c r="T369" s="657"/>
      <c r="U369" s="657"/>
      <c r="V369" s="657"/>
      <c r="W369" s="657"/>
      <c r="X369" s="657"/>
      <c r="Y369" s="657"/>
      <c r="Z369" s="65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652">
        <v>4607091387193</v>
      </c>
      <c r="E370" s="652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4"/>
      <c r="R370" s="654"/>
      <c r="S370" s="654"/>
      <c r="T370" s="655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652">
        <v>4607091387230</v>
      </c>
      <c r="E371" s="65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4"/>
      <c r="R371" s="654"/>
      <c r="S371" s="654"/>
      <c r="T371" s="65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652">
        <v>4607091387292</v>
      </c>
      <c r="E372" s="652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4"/>
      <c r="R372" s="654"/>
      <c r="S372" s="654"/>
      <c r="T372" s="65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652">
        <v>4607091387285</v>
      </c>
      <c r="E373" s="652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4"/>
      <c r="R373" s="654"/>
      <c r="S373" s="654"/>
      <c r="T373" s="65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652">
        <v>4607091389845</v>
      </c>
      <c r="E374" s="652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4"/>
      <c r="R374" s="654"/>
      <c r="S374" s="654"/>
      <c r="T374" s="655"/>
      <c r="U374" s="37" t="s">
        <v>46</v>
      </c>
      <c r="V374" s="37" t="s">
        <v>46</v>
      </c>
      <c r="W374" s="38" t="s">
        <v>0</v>
      </c>
      <c r="X374" s="56">
        <v>262.5</v>
      </c>
      <c r="Y374" s="53">
        <f t="shared" si="53"/>
        <v>262.5</v>
      </c>
      <c r="Z374" s="39">
        <f>IFERROR(IF(Y374=0,"",ROUNDUP(Y374/H374,0)*0.00502),"")</f>
        <v>0.62750000000000006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275</v>
      </c>
      <c r="BN374" s="75">
        <f t="shared" si="55"/>
        <v>275</v>
      </c>
      <c r="BO374" s="75">
        <f t="shared" si="56"/>
        <v>0.53418803418803429</v>
      </c>
      <c r="BP374" s="75">
        <f t="shared" si="57"/>
        <v>0.53418803418803429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652">
        <v>4680115887442</v>
      </c>
      <c r="E375" s="652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7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4"/>
      <c r="R375" s="654"/>
      <c r="S375" s="654"/>
      <c r="T375" s="65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652">
        <v>4607091383836</v>
      </c>
      <c r="E376" s="652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7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4"/>
      <c r="R376" s="654"/>
      <c r="S376" s="654"/>
      <c r="T376" s="655"/>
      <c r="U376" s="37" t="s">
        <v>46</v>
      </c>
      <c r="V376" s="37" t="s">
        <v>46</v>
      </c>
      <c r="W376" s="38" t="s">
        <v>0</v>
      </c>
      <c r="X376" s="56">
        <v>45</v>
      </c>
      <c r="Y376" s="53">
        <f t="shared" si="53"/>
        <v>45</v>
      </c>
      <c r="Z376" s="39">
        <f>IFERROR(IF(Y376=0,"",ROUNDUP(Y376/H376,0)*0.00651),"")</f>
        <v>0.16275000000000001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50.7</v>
      </c>
      <c r="BN376" s="75">
        <f t="shared" si="55"/>
        <v>50.7</v>
      </c>
      <c r="BO376" s="75">
        <f t="shared" si="56"/>
        <v>0.13736263736263737</v>
      </c>
      <c r="BP376" s="75">
        <f t="shared" si="57"/>
        <v>0.13736263736263737</v>
      </c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47"/>
      <c r="P377" s="643" t="s">
        <v>40</v>
      </c>
      <c r="Q377" s="644"/>
      <c r="R377" s="644"/>
      <c r="S377" s="644"/>
      <c r="T377" s="644"/>
      <c r="U377" s="644"/>
      <c r="V377" s="645"/>
      <c r="W377" s="40" t="s">
        <v>39</v>
      </c>
      <c r="X377" s="41">
        <f>IFERROR(X370/H370,"0")+IFERROR(X371/H371,"0")+IFERROR(X372/H372,"0")+IFERROR(X373/H373,"0")+IFERROR(X374/H374,"0")+IFERROR(X375/H375,"0")+IFERROR(X376/H376,"0")</f>
        <v>150</v>
      </c>
      <c r="Y377" s="41">
        <f>IFERROR(Y370/H370,"0")+IFERROR(Y371/H371,"0")+IFERROR(Y372/H372,"0")+IFERROR(Y373/H373,"0")+IFERROR(Y374/H374,"0")+IFERROR(Y375/H375,"0")+IFERROR(Y376/H376,"0")</f>
        <v>150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0.79025000000000012</v>
      </c>
      <c r="AA377" s="64"/>
      <c r="AB377" s="64"/>
      <c r="AC377" s="64"/>
    </row>
    <row r="378" spans="1:68" x14ac:dyDescent="0.2">
      <c r="A378" s="646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43" t="s">
        <v>40</v>
      </c>
      <c r="Q378" s="644"/>
      <c r="R378" s="644"/>
      <c r="S378" s="644"/>
      <c r="T378" s="644"/>
      <c r="U378" s="644"/>
      <c r="V378" s="645"/>
      <c r="W378" s="40" t="s">
        <v>0</v>
      </c>
      <c r="X378" s="41">
        <f>IFERROR(SUM(X370:X376),"0")</f>
        <v>307.5</v>
      </c>
      <c r="Y378" s="41">
        <f>IFERROR(SUM(Y370:Y376),"0")</f>
        <v>307.5</v>
      </c>
      <c r="Z378" s="40"/>
      <c r="AA378" s="64"/>
      <c r="AB378" s="64"/>
      <c r="AC378" s="64"/>
    </row>
    <row r="379" spans="1:68" ht="14.25" hidden="1" customHeight="1" x14ac:dyDescent="0.25">
      <c r="A379" s="657" t="s">
        <v>86</v>
      </c>
      <c r="B379" s="657"/>
      <c r="C379" s="657"/>
      <c r="D379" s="657"/>
      <c r="E379" s="657"/>
      <c r="F379" s="657"/>
      <c r="G379" s="657"/>
      <c r="H379" s="657"/>
      <c r="I379" s="657"/>
      <c r="J379" s="657"/>
      <c r="K379" s="657"/>
      <c r="L379" s="657"/>
      <c r="M379" s="657"/>
      <c r="N379" s="657"/>
      <c r="O379" s="657"/>
      <c r="P379" s="657"/>
      <c r="Q379" s="657"/>
      <c r="R379" s="657"/>
      <c r="S379" s="657"/>
      <c r="T379" s="657"/>
      <c r="U379" s="657"/>
      <c r="V379" s="657"/>
      <c r="W379" s="657"/>
      <c r="X379" s="657"/>
      <c r="Y379" s="657"/>
      <c r="Z379" s="657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652">
        <v>4607091387766</v>
      </c>
      <c r="E380" s="652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4"/>
      <c r="R380" s="654"/>
      <c r="S380" s="654"/>
      <c r="T380" s="65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652">
        <v>4607091387957</v>
      </c>
      <c r="E381" s="652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4"/>
      <c r="R381" s="654"/>
      <c r="S381" s="654"/>
      <c r="T381" s="65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652">
        <v>4607091387964</v>
      </c>
      <c r="E382" s="652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4"/>
      <c r="R382" s="654"/>
      <c r="S382" s="654"/>
      <c r="T382" s="65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652">
        <v>4680115884588</v>
      </c>
      <c r="E383" s="652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4"/>
      <c r="R383" s="654"/>
      <c r="S383" s="654"/>
      <c r="T383" s="65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7"/>
      <c r="P384" s="643" t="s">
        <v>40</v>
      </c>
      <c r="Q384" s="644"/>
      <c r="R384" s="644"/>
      <c r="S384" s="644"/>
      <c r="T384" s="644"/>
      <c r="U384" s="644"/>
      <c r="V384" s="645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646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43" t="s">
        <v>40</v>
      </c>
      <c r="Q385" s="644"/>
      <c r="R385" s="644"/>
      <c r="S385" s="644"/>
      <c r="T385" s="644"/>
      <c r="U385" s="644"/>
      <c r="V385" s="645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657" t="s">
        <v>175</v>
      </c>
      <c r="B386" s="657"/>
      <c r="C386" s="657"/>
      <c r="D386" s="657"/>
      <c r="E386" s="657"/>
      <c r="F386" s="657"/>
      <c r="G386" s="657"/>
      <c r="H386" s="657"/>
      <c r="I386" s="657"/>
      <c r="J386" s="657"/>
      <c r="K386" s="657"/>
      <c r="L386" s="657"/>
      <c r="M386" s="657"/>
      <c r="N386" s="657"/>
      <c r="O386" s="657"/>
      <c r="P386" s="657"/>
      <c r="Q386" s="657"/>
      <c r="R386" s="657"/>
      <c r="S386" s="657"/>
      <c r="T386" s="657"/>
      <c r="U386" s="657"/>
      <c r="V386" s="657"/>
      <c r="W386" s="657"/>
      <c r="X386" s="657"/>
      <c r="Y386" s="657"/>
      <c r="Z386" s="657"/>
      <c r="AA386" s="63"/>
      <c r="AB386" s="63"/>
      <c r="AC386" s="63"/>
    </row>
    <row r="387" spans="1:68" ht="27" customHeight="1" x14ac:dyDescent="0.25">
      <c r="A387" s="60" t="s">
        <v>646</v>
      </c>
      <c r="B387" s="60" t="s">
        <v>647</v>
      </c>
      <c r="C387" s="34">
        <v>4301060387</v>
      </c>
      <c r="D387" s="652">
        <v>4607091380880</v>
      </c>
      <c r="E387" s="652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4"/>
      <c r="R387" s="654"/>
      <c r="S387" s="654"/>
      <c r="T387" s="655"/>
      <c r="U387" s="37" t="s">
        <v>46</v>
      </c>
      <c r="V387" s="37" t="s">
        <v>46</v>
      </c>
      <c r="W387" s="38" t="s">
        <v>0</v>
      </c>
      <c r="X387" s="56">
        <v>450</v>
      </c>
      <c r="Y387" s="53">
        <f>IFERROR(IF(X387="",0,CEILING((X387/$H387),1)*$H387),"")</f>
        <v>453.6</v>
      </c>
      <c r="Z387" s="39">
        <f>IFERROR(IF(Y387=0,"",ROUNDUP(Y387/H387,0)*0.01898),"")</f>
        <v>1.0249200000000001</v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476.46428571428572</v>
      </c>
      <c r="BN387" s="75">
        <f>IFERROR(Y387*I387/H387,"0")</f>
        <v>480.27600000000001</v>
      </c>
      <c r="BO387" s="75">
        <f>IFERROR(1/J387*(X387/H387),"0")</f>
        <v>0.8370535714285714</v>
      </c>
      <c r="BP387" s="75">
        <f>IFERROR(1/J387*(Y387/H387),"0")</f>
        <v>0.84375</v>
      </c>
    </row>
    <row r="388" spans="1:68" ht="27" customHeight="1" x14ac:dyDescent="0.25">
      <c r="A388" s="60" t="s">
        <v>649</v>
      </c>
      <c r="B388" s="60" t="s">
        <v>650</v>
      </c>
      <c r="C388" s="34">
        <v>4301060406</v>
      </c>
      <c r="D388" s="652">
        <v>4607091384482</v>
      </c>
      <c r="E388" s="652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4"/>
      <c r="R388" s="654"/>
      <c r="S388" s="654"/>
      <c r="T388" s="655"/>
      <c r="U388" s="37" t="s">
        <v>46</v>
      </c>
      <c r="V388" s="37" t="s">
        <v>46</v>
      </c>
      <c r="W388" s="38" t="s">
        <v>0</v>
      </c>
      <c r="X388" s="56">
        <v>550</v>
      </c>
      <c r="Y388" s="53">
        <f>IFERROR(IF(X388="",0,CEILING((X388/$H388),1)*$H388),"")</f>
        <v>553.79999999999995</v>
      </c>
      <c r="Z388" s="39">
        <f>IFERROR(IF(Y388=0,"",ROUNDUP(Y388/H388,0)*0.01898),"")</f>
        <v>1.34758</v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584.83333333333337</v>
      </c>
      <c r="BN388" s="75">
        <f>IFERROR(Y388*I388/H388,"0")</f>
        <v>588.87400000000002</v>
      </c>
      <c r="BO388" s="75">
        <f>IFERROR(1/J388*(X388/H388),"0")</f>
        <v>1.1017628205128205</v>
      </c>
      <c r="BP388" s="75">
        <f>IFERROR(1/J388*(Y388/H388),"0")</f>
        <v>1.109375</v>
      </c>
    </row>
    <row r="389" spans="1:68" ht="27" customHeight="1" x14ac:dyDescent="0.25">
      <c r="A389" s="60" t="s">
        <v>652</v>
      </c>
      <c r="B389" s="60" t="s">
        <v>653</v>
      </c>
      <c r="C389" s="34">
        <v>4301060484</v>
      </c>
      <c r="D389" s="652">
        <v>4607091380897</v>
      </c>
      <c r="E389" s="652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4"/>
      <c r="R389" s="654"/>
      <c r="S389" s="654"/>
      <c r="T389" s="655"/>
      <c r="U389" s="37" t="s">
        <v>46</v>
      </c>
      <c r="V389" s="37" t="s">
        <v>46</v>
      </c>
      <c r="W389" s="38" t="s">
        <v>0</v>
      </c>
      <c r="X389" s="56">
        <v>125</v>
      </c>
      <c r="Y389" s="53">
        <f>IFERROR(IF(X389="",0,CEILING((X389/$H389),1)*$H389),"")</f>
        <v>126</v>
      </c>
      <c r="Z389" s="39">
        <f>IFERROR(IF(Y389=0,"",ROUNDUP(Y389/H389,0)*0.01898),"")</f>
        <v>0.28470000000000001</v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132.35119047619048</v>
      </c>
      <c r="BN389" s="75">
        <f>IFERROR(Y389*I389/H389,"0")</f>
        <v>133.41</v>
      </c>
      <c r="BO389" s="75">
        <f>IFERROR(1/J389*(X389/H389),"0")</f>
        <v>0.23251488095238093</v>
      </c>
      <c r="BP389" s="75">
        <f>IFERROR(1/J389*(Y389/H389),"0")</f>
        <v>0.234375</v>
      </c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47"/>
      <c r="P390" s="643" t="s">
        <v>40</v>
      </c>
      <c r="Q390" s="644"/>
      <c r="R390" s="644"/>
      <c r="S390" s="644"/>
      <c r="T390" s="644"/>
      <c r="U390" s="644"/>
      <c r="V390" s="645"/>
      <c r="W390" s="40" t="s">
        <v>39</v>
      </c>
      <c r="X390" s="41">
        <f>IFERROR(X387/H387,"0")+IFERROR(X388/H388,"0")+IFERROR(X389/H389,"0")</f>
        <v>138.96520146520146</v>
      </c>
      <c r="Y390" s="41">
        <f>IFERROR(Y387/H387,"0")+IFERROR(Y388/H388,"0")+IFERROR(Y389/H389,"0")</f>
        <v>140</v>
      </c>
      <c r="Z390" s="41">
        <f>IFERROR(IF(Z387="",0,Z387),"0")+IFERROR(IF(Z388="",0,Z388),"0")+IFERROR(IF(Z389="",0,Z389),"0")</f>
        <v>2.6572</v>
      </c>
      <c r="AA390" s="64"/>
      <c r="AB390" s="64"/>
      <c r="AC390" s="64"/>
    </row>
    <row r="391" spans="1:68" x14ac:dyDescent="0.2">
      <c r="A391" s="646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43" t="s">
        <v>40</v>
      </c>
      <c r="Q391" s="644"/>
      <c r="R391" s="644"/>
      <c r="S391" s="644"/>
      <c r="T391" s="644"/>
      <c r="U391" s="644"/>
      <c r="V391" s="645"/>
      <c r="W391" s="40" t="s">
        <v>0</v>
      </c>
      <c r="X391" s="41">
        <f>IFERROR(SUM(X387:X389),"0")</f>
        <v>1125</v>
      </c>
      <c r="Y391" s="41">
        <f>IFERROR(SUM(Y387:Y389),"0")</f>
        <v>1133.4000000000001</v>
      </c>
      <c r="Z391" s="40"/>
      <c r="AA391" s="64"/>
      <c r="AB391" s="64"/>
      <c r="AC391" s="64"/>
    </row>
    <row r="392" spans="1:68" ht="14.25" hidden="1" customHeight="1" x14ac:dyDescent="0.25">
      <c r="A392" s="657" t="s">
        <v>283</v>
      </c>
      <c r="B392" s="657"/>
      <c r="C392" s="657"/>
      <c r="D392" s="657"/>
      <c r="E392" s="657"/>
      <c r="F392" s="657"/>
      <c r="G392" s="657"/>
      <c r="H392" s="657"/>
      <c r="I392" s="657"/>
      <c r="J392" s="657"/>
      <c r="K392" s="657"/>
      <c r="L392" s="657"/>
      <c r="M392" s="657"/>
      <c r="N392" s="657"/>
      <c r="O392" s="657"/>
      <c r="P392" s="657"/>
      <c r="Q392" s="657"/>
      <c r="R392" s="657"/>
      <c r="S392" s="657"/>
      <c r="T392" s="657"/>
      <c r="U392" s="657"/>
      <c r="V392" s="657"/>
      <c r="W392" s="657"/>
      <c r="X392" s="657"/>
      <c r="Y392" s="657"/>
      <c r="Z392" s="657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652">
        <v>4607091388381</v>
      </c>
      <c r="E393" s="652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4"/>
      <c r="R393" s="654"/>
      <c r="S393" s="654"/>
      <c r="T393" s="65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652">
        <v>4607091388374</v>
      </c>
      <c r="E394" s="652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7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4"/>
      <c r="R394" s="654"/>
      <c r="S394" s="654"/>
      <c r="T394" s="65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4301032015</v>
      </c>
      <c r="D395" s="652">
        <v>4607091383102</v>
      </c>
      <c r="E395" s="652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4"/>
      <c r="R395" s="654"/>
      <c r="S395" s="654"/>
      <c r="T395" s="655"/>
      <c r="U395" s="37" t="s">
        <v>46</v>
      </c>
      <c r="V395" s="37" t="s">
        <v>46</v>
      </c>
      <c r="W395" s="38" t="s">
        <v>0</v>
      </c>
      <c r="X395" s="56">
        <v>85</v>
      </c>
      <c r="Y395" s="53">
        <f>IFERROR(IF(X395="",0,CEILING((X395/$H395),1)*$H395),"")</f>
        <v>86.699999999999989</v>
      </c>
      <c r="Z395" s="39">
        <f>IFERROR(IF(Y395=0,"",ROUNDUP(Y395/H395,0)*0.00651),"")</f>
        <v>0.22134000000000001</v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98.500000000000014</v>
      </c>
      <c r="BN395" s="75">
        <f>IFERROR(Y395*I395/H395,"0")</f>
        <v>100.47</v>
      </c>
      <c r="BO395" s="75">
        <f>IFERROR(1/J395*(X395/H395),"0")</f>
        <v>0.18315018315018317</v>
      </c>
      <c r="BP395" s="75">
        <f>IFERROR(1/J395*(Y395/H395),"0")</f>
        <v>0.18681318681318682</v>
      </c>
    </row>
    <row r="396" spans="1:68" ht="27" customHeight="1" x14ac:dyDescent="0.25">
      <c r="A396" s="60" t="s">
        <v>662</v>
      </c>
      <c r="B396" s="60" t="s">
        <v>663</v>
      </c>
      <c r="C396" s="34">
        <v>4301030233</v>
      </c>
      <c r="D396" s="652">
        <v>4607091388404</v>
      </c>
      <c r="E396" s="652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4"/>
      <c r="R396" s="654"/>
      <c r="S396" s="654"/>
      <c r="T396" s="655"/>
      <c r="U396" s="37" t="s">
        <v>46</v>
      </c>
      <c r="V396" s="37" t="s">
        <v>46</v>
      </c>
      <c r="W396" s="38" t="s">
        <v>0</v>
      </c>
      <c r="X396" s="56">
        <v>255.00000000000003</v>
      </c>
      <c r="Y396" s="53">
        <f>IFERROR(IF(X396="",0,CEILING((X396/$H396),1)*$H396),"")</f>
        <v>254.99999999999997</v>
      </c>
      <c r="Z396" s="39">
        <f>IFERROR(IF(Y396=0,"",ROUNDUP(Y396/H396,0)*0.00651),"")</f>
        <v>0.65100000000000002</v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288.00000000000006</v>
      </c>
      <c r="BN396" s="75">
        <f>IFERROR(Y396*I396/H396,"0")</f>
        <v>287.99999999999994</v>
      </c>
      <c r="BO396" s="75">
        <f>IFERROR(1/J396*(X396/H396),"0")</f>
        <v>0.54945054945054961</v>
      </c>
      <c r="BP396" s="75">
        <f>IFERROR(1/J396*(Y396/H396),"0")</f>
        <v>0.5494505494505495</v>
      </c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7"/>
      <c r="P397" s="643" t="s">
        <v>40</v>
      </c>
      <c r="Q397" s="644"/>
      <c r="R397" s="644"/>
      <c r="S397" s="644"/>
      <c r="T397" s="644"/>
      <c r="U397" s="644"/>
      <c r="V397" s="645"/>
      <c r="W397" s="40" t="s">
        <v>39</v>
      </c>
      <c r="X397" s="41">
        <f>IFERROR(X393/H393,"0")+IFERROR(X394/H394,"0")+IFERROR(X395/H395,"0")+IFERROR(X396/H396,"0")</f>
        <v>133.33333333333334</v>
      </c>
      <c r="Y397" s="41">
        <f>IFERROR(Y393/H393,"0")+IFERROR(Y394/H394,"0")+IFERROR(Y395/H395,"0")+IFERROR(Y396/H396,"0")</f>
        <v>134</v>
      </c>
      <c r="Z397" s="41">
        <f>IFERROR(IF(Z393="",0,Z393),"0")+IFERROR(IF(Z394="",0,Z394),"0")+IFERROR(IF(Z395="",0,Z395),"0")+IFERROR(IF(Z396="",0,Z396),"0")</f>
        <v>0.87234</v>
      </c>
      <c r="AA397" s="64"/>
      <c r="AB397" s="64"/>
      <c r="AC397" s="64"/>
    </row>
    <row r="398" spans="1:68" x14ac:dyDescent="0.2">
      <c r="A398" s="646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43" t="s">
        <v>40</v>
      </c>
      <c r="Q398" s="644"/>
      <c r="R398" s="644"/>
      <c r="S398" s="644"/>
      <c r="T398" s="644"/>
      <c r="U398" s="644"/>
      <c r="V398" s="645"/>
      <c r="W398" s="40" t="s">
        <v>0</v>
      </c>
      <c r="X398" s="41">
        <f>IFERROR(SUM(X393:X396),"0")</f>
        <v>340</v>
      </c>
      <c r="Y398" s="41">
        <f>IFERROR(SUM(Y393:Y396),"0")</f>
        <v>341.69999999999993</v>
      </c>
      <c r="Z398" s="40"/>
      <c r="AA398" s="64"/>
      <c r="AB398" s="64"/>
      <c r="AC398" s="64"/>
    </row>
    <row r="399" spans="1:68" ht="14.25" hidden="1" customHeight="1" x14ac:dyDescent="0.25">
      <c r="A399" s="657" t="s">
        <v>664</v>
      </c>
      <c r="B399" s="657"/>
      <c r="C399" s="657"/>
      <c r="D399" s="657"/>
      <c r="E399" s="657"/>
      <c r="F399" s="657"/>
      <c r="G399" s="657"/>
      <c r="H399" s="657"/>
      <c r="I399" s="657"/>
      <c r="J399" s="657"/>
      <c r="K399" s="657"/>
      <c r="L399" s="657"/>
      <c r="M399" s="657"/>
      <c r="N399" s="657"/>
      <c r="O399" s="657"/>
      <c r="P399" s="657"/>
      <c r="Q399" s="657"/>
      <c r="R399" s="657"/>
      <c r="S399" s="657"/>
      <c r="T399" s="657"/>
      <c r="U399" s="657"/>
      <c r="V399" s="657"/>
      <c r="W399" s="657"/>
      <c r="X399" s="657"/>
      <c r="Y399" s="657"/>
      <c r="Z399" s="657"/>
      <c r="AA399" s="63"/>
      <c r="AB399" s="63"/>
      <c r="AC399" s="63"/>
    </row>
    <row r="400" spans="1:68" ht="16.5" customHeight="1" x14ac:dyDescent="0.25">
      <c r="A400" s="60" t="s">
        <v>665</v>
      </c>
      <c r="B400" s="60" t="s">
        <v>666</v>
      </c>
      <c r="C400" s="34">
        <v>4301180007</v>
      </c>
      <c r="D400" s="652">
        <v>4680115881808</v>
      </c>
      <c r="E400" s="652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7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4"/>
      <c r="R400" s="654"/>
      <c r="S400" s="654"/>
      <c r="T400" s="655"/>
      <c r="U400" s="37" t="s">
        <v>46</v>
      </c>
      <c r="V400" s="37" t="s">
        <v>46</v>
      </c>
      <c r="W400" s="38" t="s">
        <v>0</v>
      </c>
      <c r="X400" s="56">
        <v>50</v>
      </c>
      <c r="Y400" s="53">
        <f>IFERROR(IF(X400="",0,CEILING((X400/$H400),1)*$H400),"")</f>
        <v>50</v>
      </c>
      <c r="Z400" s="39">
        <f>IFERROR(IF(Y400=0,"",ROUNDUP(Y400/H400,0)*0.00474),"")</f>
        <v>0.11850000000000001</v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56.000000000000007</v>
      </c>
      <c r="BN400" s="75">
        <f>IFERROR(Y400*I400/H400,"0")</f>
        <v>56.000000000000007</v>
      </c>
      <c r="BO400" s="75">
        <f>IFERROR(1/J400*(X400/H400),"0")</f>
        <v>0.10504201680672269</v>
      </c>
      <c r="BP400" s="75">
        <f>IFERROR(1/J400*(Y400/H400),"0")</f>
        <v>0.10504201680672269</v>
      </c>
    </row>
    <row r="401" spans="1:68" ht="27" customHeight="1" x14ac:dyDescent="0.25">
      <c r="A401" s="60" t="s">
        <v>669</v>
      </c>
      <c r="B401" s="60" t="s">
        <v>670</v>
      </c>
      <c r="C401" s="34">
        <v>4301180006</v>
      </c>
      <c r="D401" s="652">
        <v>4680115881822</v>
      </c>
      <c r="E401" s="65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4"/>
      <c r="R401" s="654"/>
      <c r="S401" s="654"/>
      <c r="T401" s="655"/>
      <c r="U401" s="37" t="s">
        <v>46</v>
      </c>
      <c r="V401" s="37" t="s">
        <v>46</v>
      </c>
      <c r="W401" s="38" t="s">
        <v>0</v>
      </c>
      <c r="X401" s="56">
        <v>25</v>
      </c>
      <c r="Y401" s="53">
        <f>IFERROR(IF(X401="",0,CEILING((X401/$H401),1)*$H401),"")</f>
        <v>26</v>
      </c>
      <c r="Z401" s="39">
        <f>IFERROR(IF(Y401=0,"",ROUNDUP(Y401/H401,0)*0.00474),"")</f>
        <v>6.1620000000000001E-2</v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28.000000000000004</v>
      </c>
      <c r="BN401" s="75">
        <f>IFERROR(Y401*I401/H401,"0")</f>
        <v>29.120000000000005</v>
      </c>
      <c r="BO401" s="75">
        <f>IFERROR(1/J401*(X401/H401),"0")</f>
        <v>5.2521008403361345E-2</v>
      </c>
      <c r="BP401" s="75">
        <f>IFERROR(1/J401*(Y401/H401),"0")</f>
        <v>5.4621848739495799E-2</v>
      </c>
    </row>
    <row r="402" spans="1:68" ht="27" customHeight="1" x14ac:dyDescent="0.25">
      <c r="A402" s="60" t="s">
        <v>671</v>
      </c>
      <c r="B402" s="60" t="s">
        <v>672</v>
      </c>
      <c r="C402" s="34">
        <v>4301180001</v>
      </c>
      <c r="D402" s="652">
        <v>4680115880016</v>
      </c>
      <c r="E402" s="65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4"/>
      <c r="R402" s="654"/>
      <c r="S402" s="654"/>
      <c r="T402" s="655"/>
      <c r="U402" s="37" t="s">
        <v>46</v>
      </c>
      <c r="V402" s="37" t="s">
        <v>46</v>
      </c>
      <c r="W402" s="38" t="s">
        <v>0</v>
      </c>
      <c r="X402" s="56">
        <v>50</v>
      </c>
      <c r="Y402" s="53">
        <f>IFERROR(IF(X402="",0,CEILING((X402/$H402),1)*$H402),"")</f>
        <v>50</v>
      </c>
      <c r="Z402" s="39">
        <f>IFERROR(IF(Y402=0,"",ROUNDUP(Y402/H402,0)*0.00474),"")</f>
        <v>0.11850000000000001</v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56.000000000000007</v>
      </c>
      <c r="BN402" s="75">
        <f>IFERROR(Y402*I402/H402,"0")</f>
        <v>56.000000000000007</v>
      </c>
      <c r="BO402" s="75">
        <f>IFERROR(1/J402*(X402/H402),"0")</f>
        <v>0.10504201680672269</v>
      </c>
      <c r="BP402" s="75">
        <f>IFERROR(1/J402*(Y402/H402),"0")</f>
        <v>0.10504201680672269</v>
      </c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7"/>
      <c r="P403" s="643" t="s">
        <v>40</v>
      </c>
      <c r="Q403" s="644"/>
      <c r="R403" s="644"/>
      <c r="S403" s="644"/>
      <c r="T403" s="644"/>
      <c r="U403" s="644"/>
      <c r="V403" s="645"/>
      <c r="W403" s="40" t="s">
        <v>39</v>
      </c>
      <c r="X403" s="41">
        <f>IFERROR(X400/H400,"0")+IFERROR(X401/H401,"0")+IFERROR(X402/H402,"0")</f>
        <v>62.5</v>
      </c>
      <c r="Y403" s="41">
        <f>IFERROR(Y400/H400,"0")+IFERROR(Y401/H401,"0")+IFERROR(Y402/H402,"0")</f>
        <v>63</v>
      </c>
      <c r="Z403" s="41">
        <f>IFERROR(IF(Z400="",0,Z400),"0")+IFERROR(IF(Z401="",0,Z401),"0")+IFERROR(IF(Z402="",0,Z402),"0")</f>
        <v>0.29862</v>
      </c>
      <c r="AA403" s="64"/>
      <c r="AB403" s="64"/>
      <c r="AC403" s="64"/>
    </row>
    <row r="404" spans="1:68" x14ac:dyDescent="0.2">
      <c r="A404" s="646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43" t="s">
        <v>40</v>
      </c>
      <c r="Q404" s="644"/>
      <c r="R404" s="644"/>
      <c r="S404" s="644"/>
      <c r="T404" s="644"/>
      <c r="U404" s="644"/>
      <c r="V404" s="645"/>
      <c r="W404" s="40" t="s">
        <v>0</v>
      </c>
      <c r="X404" s="41">
        <f>IFERROR(SUM(X400:X402),"0")</f>
        <v>125</v>
      </c>
      <c r="Y404" s="41">
        <f>IFERROR(SUM(Y400:Y402),"0")</f>
        <v>126</v>
      </c>
      <c r="Z404" s="40"/>
      <c r="AA404" s="64"/>
      <c r="AB404" s="64"/>
      <c r="AC404" s="64"/>
    </row>
    <row r="405" spans="1:68" ht="14.25" hidden="1" customHeight="1" x14ac:dyDescent="0.25">
      <c r="A405" s="657" t="s">
        <v>673</v>
      </c>
      <c r="B405" s="657"/>
      <c r="C405" s="657"/>
      <c r="D405" s="657"/>
      <c r="E405" s="657"/>
      <c r="F405" s="657"/>
      <c r="G405" s="657"/>
      <c r="H405" s="657"/>
      <c r="I405" s="657"/>
      <c r="J405" s="657"/>
      <c r="K405" s="657"/>
      <c r="L405" s="657"/>
      <c r="M405" s="657"/>
      <c r="N405" s="657"/>
      <c r="O405" s="657"/>
      <c r="P405" s="657"/>
      <c r="Q405" s="657"/>
      <c r="R405" s="657"/>
      <c r="S405" s="657"/>
      <c r="T405" s="657"/>
      <c r="U405" s="657"/>
      <c r="V405" s="657"/>
      <c r="W405" s="657"/>
      <c r="X405" s="657"/>
      <c r="Y405" s="657"/>
      <c r="Z405" s="657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652">
        <v>4680115888678</v>
      </c>
      <c r="E406" s="652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7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4"/>
      <c r="R406" s="654"/>
      <c r="S406" s="654"/>
      <c r="T406" s="65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652">
        <v>4680115888654</v>
      </c>
      <c r="E407" s="652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7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4"/>
      <c r="R407" s="654"/>
      <c r="S407" s="654"/>
      <c r="T407" s="65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652">
        <v>4680115888753</v>
      </c>
      <c r="E408" s="652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7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4"/>
      <c r="R408" s="654"/>
      <c r="S408" s="654"/>
      <c r="T408" s="65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47"/>
      <c r="P409" s="643" t="s">
        <v>40</v>
      </c>
      <c r="Q409" s="644"/>
      <c r="R409" s="644"/>
      <c r="S409" s="644"/>
      <c r="T409" s="644"/>
      <c r="U409" s="644"/>
      <c r="V409" s="645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646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43" t="s">
        <v>40</v>
      </c>
      <c r="Q410" s="644"/>
      <c r="R410" s="644"/>
      <c r="S410" s="644"/>
      <c r="T410" s="644"/>
      <c r="U410" s="644"/>
      <c r="V410" s="645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656" t="s">
        <v>682</v>
      </c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6"/>
      <c r="P411" s="656"/>
      <c r="Q411" s="656"/>
      <c r="R411" s="656"/>
      <c r="S411" s="656"/>
      <c r="T411" s="656"/>
      <c r="U411" s="656"/>
      <c r="V411" s="656"/>
      <c r="W411" s="656"/>
      <c r="X411" s="656"/>
      <c r="Y411" s="656"/>
      <c r="Z411" s="656"/>
      <c r="AA411" s="62"/>
      <c r="AB411" s="62"/>
      <c r="AC411" s="62"/>
    </row>
    <row r="412" spans="1:68" ht="14.25" hidden="1" customHeight="1" x14ac:dyDescent="0.25">
      <c r="A412" s="657" t="s">
        <v>86</v>
      </c>
      <c r="B412" s="657"/>
      <c r="C412" s="657"/>
      <c r="D412" s="657"/>
      <c r="E412" s="657"/>
      <c r="F412" s="657"/>
      <c r="G412" s="657"/>
      <c r="H412" s="657"/>
      <c r="I412" s="657"/>
      <c r="J412" s="657"/>
      <c r="K412" s="657"/>
      <c r="L412" s="657"/>
      <c r="M412" s="657"/>
      <c r="N412" s="657"/>
      <c r="O412" s="657"/>
      <c r="P412" s="657"/>
      <c r="Q412" s="657"/>
      <c r="R412" s="657"/>
      <c r="S412" s="657"/>
      <c r="T412" s="657"/>
      <c r="U412" s="657"/>
      <c r="V412" s="657"/>
      <c r="W412" s="657"/>
      <c r="X412" s="657"/>
      <c r="Y412" s="657"/>
      <c r="Z412" s="657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652">
        <v>4680115889415</v>
      </c>
      <c r="E413" s="652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3" t="s">
        <v>685</v>
      </c>
      <c r="Q413" s="654"/>
      <c r="R413" s="654"/>
      <c r="S413" s="654"/>
      <c r="T413" s="65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652">
        <v>4680115889422</v>
      </c>
      <c r="E414" s="652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720" t="s">
        <v>690</v>
      </c>
      <c r="Q414" s="654"/>
      <c r="R414" s="654"/>
      <c r="S414" s="654"/>
      <c r="T414" s="65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47"/>
      <c r="P415" s="643" t="s">
        <v>40</v>
      </c>
      <c r="Q415" s="644"/>
      <c r="R415" s="644"/>
      <c r="S415" s="644"/>
      <c r="T415" s="644"/>
      <c r="U415" s="644"/>
      <c r="V415" s="645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646"/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7"/>
      <c r="P416" s="643" t="s">
        <v>40</v>
      </c>
      <c r="Q416" s="644"/>
      <c r="R416" s="644"/>
      <c r="S416" s="644"/>
      <c r="T416" s="644"/>
      <c r="U416" s="644"/>
      <c r="V416" s="645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656" t="s">
        <v>692</v>
      </c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6"/>
      <c r="P417" s="656"/>
      <c r="Q417" s="656"/>
      <c r="R417" s="656"/>
      <c r="S417" s="656"/>
      <c r="T417" s="656"/>
      <c r="U417" s="656"/>
      <c r="V417" s="656"/>
      <c r="W417" s="656"/>
      <c r="X417" s="656"/>
      <c r="Y417" s="656"/>
      <c r="Z417" s="656"/>
      <c r="AA417" s="62"/>
      <c r="AB417" s="62"/>
      <c r="AC417" s="62"/>
    </row>
    <row r="418" spans="1:68" ht="14.25" hidden="1" customHeight="1" x14ac:dyDescent="0.25">
      <c r="A418" s="657" t="s">
        <v>86</v>
      </c>
      <c r="B418" s="657"/>
      <c r="C418" s="657"/>
      <c r="D418" s="657"/>
      <c r="E418" s="657"/>
      <c r="F418" s="657"/>
      <c r="G418" s="657"/>
      <c r="H418" s="657"/>
      <c r="I418" s="657"/>
      <c r="J418" s="657"/>
      <c r="K418" s="657"/>
      <c r="L418" s="657"/>
      <c r="M418" s="657"/>
      <c r="N418" s="657"/>
      <c r="O418" s="657"/>
      <c r="P418" s="657"/>
      <c r="Q418" s="657"/>
      <c r="R418" s="657"/>
      <c r="S418" s="657"/>
      <c r="T418" s="657"/>
      <c r="U418" s="657"/>
      <c r="V418" s="657"/>
      <c r="W418" s="657"/>
      <c r="X418" s="657"/>
      <c r="Y418" s="657"/>
      <c r="Z418" s="657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652">
        <v>4607091387919</v>
      </c>
      <c r="E419" s="652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4"/>
      <c r="R419" s="654"/>
      <c r="S419" s="654"/>
      <c r="T419" s="65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696</v>
      </c>
      <c r="B420" s="60" t="s">
        <v>697</v>
      </c>
      <c r="C420" s="34">
        <v>4301051461</v>
      </c>
      <c r="D420" s="652">
        <v>4680115883604</v>
      </c>
      <c r="E420" s="652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7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4"/>
      <c r="R420" s="654"/>
      <c r="S420" s="654"/>
      <c r="T420" s="655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699</v>
      </c>
      <c r="B421" s="60" t="s">
        <v>700</v>
      </c>
      <c r="C421" s="34">
        <v>4301051864</v>
      </c>
      <c r="D421" s="652">
        <v>4680115883567</v>
      </c>
      <c r="E421" s="652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7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4"/>
      <c r="R421" s="654"/>
      <c r="S421" s="654"/>
      <c r="T421" s="655"/>
      <c r="U421" s="37" t="s">
        <v>46</v>
      </c>
      <c r="V421" s="37" t="s">
        <v>46</v>
      </c>
      <c r="W421" s="38" t="s">
        <v>0</v>
      </c>
      <c r="X421" s="56">
        <v>735</v>
      </c>
      <c r="Y421" s="53">
        <f>IFERROR(IF(X421="",0,CEILING((X421/$H421),1)*$H421),"")</f>
        <v>735</v>
      </c>
      <c r="Z421" s="39">
        <f>IFERROR(IF(Y421=0,"",ROUNDUP(Y421/H421,0)*0.00651),"")</f>
        <v>2.2785000000000002</v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818.99999999999989</v>
      </c>
      <c r="BN421" s="75">
        <f>IFERROR(Y421*I421/H421,"0")</f>
        <v>818.99999999999989</v>
      </c>
      <c r="BO421" s="75">
        <f>IFERROR(1/J421*(X421/H421),"0")</f>
        <v>1.9230769230769231</v>
      </c>
      <c r="BP421" s="75">
        <f>IFERROR(1/J421*(Y421/H421),"0")</f>
        <v>1.9230769230769231</v>
      </c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47"/>
      <c r="P422" s="643" t="s">
        <v>40</v>
      </c>
      <c r="Q422" s="644"/>
      <c r="R422" s="644"/>
      <c r="S422" s="644"/>
      <c r="T422" s="644"/>
      <c r="U422" s="644"/>
      <c r="V422" s="645"/>
      <c r="W422" s="40" t="s">
        <v>39</v>
      </c>
      <c r="X422" s="41">
        <f>IFERROR(X419/H419,"0")+IFERROR(X420/H420,"0")+IFERROR(X421/H421,"0")</f>
        <v>350</v>
      </c>
      <c r="Y422" s="41">
        <f>IFERROR(Y419/H419,"0")+IFERROR(Y420/H420,"0")+IFERROR(Y421/H421,"0")</f>
        <v>350</v>
      </c>
      <c r="Z422" s="41">
        <f>IFERROR(IF(Z419="",0,Z419),"0")+IFERROR(IF(Z420="",0,Z420),"0")+IFERROR(IF(Z421="",0,Z421),"0")</f>
        <v>2.2785000000000002</v>
      </c>
      <c r="AA422" s="64"/>
      <c r="AB422" s="64"/>
      <c r="AC422" s="64"/>
    </row>
    <row r="423" spans="1:68" x14ac:dyDescent="0.2">
      <c r="A423" s="646"/>
      <c r="B423" s="646"/>
      <c r="C423" s="646"/>
      <c r="D423" s="646"/>
      <c r="E423" s="646"/>
      <c r="F423" s="646"/>
      <c r="G423" s="646"/>
      <c r="H423" s="646"/>
      <c r="I423" s="646"/>
      <c r="J423" s="646"/>
      <c r="K423" s="646"/>
      <c r="L423" s="646"/>
      <c r="M423" s="646"/>
      <c r="N423" s="646"/>
      <c r="O423" s="647"/>
      <c r="P423" s="643" t="s">
        <v>40</v>
      </c>
      <c r="Q423" s="644"/>
      <c r="R423" s="644"/>
      <c r="S423" s="644"/>
      <c r="T423" s="644"/>
      <c r="U423" s="644"/>
      <c r="V423" s="645"/>
      <c r="W423" s="40" t="s">
        <v>0</v>
      </c>
      <c r="X423" s="41">
        <f>IFERROR(SUM(X419:X421),"0")</f>
        <v>735</v>
      </c>
      <c r="Y423" s="41">
        <f>IFERROR(SUM(Y419:Y421),"0")</f>
        <v>735</v>
      </c>
      <c r="Z423" s="40"/>
      <c r="AA423" s="64"/>
      <c r="AB423" s="64"/>
      <c r="AC423" s="64"/>
    </row>
    <row r="424" spans="1:68" ht="27.75" hidden="1" customHeight="1" x14ac:dyDescent="0.2">
      <c r="A424" s="663" t="s">
        <v>702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  <c r="Y424" s="663"/>
      <c r="Z424" s="663"/>
      <c r="AA424" s="52"/>
      <c r="AB424" s="52"/>
      <c r="AC424" s="52"/>
    </row>
    <row r="425" spans="1:68" ht="16.5" hidden="1" customHeight="1" x14ac:dyDescent="0.25">
      <c r="A425" s="656" t="s">
        <v>703</v>
      </c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6"/>
      <c r="P425" s="656"/>
      <c r="Q425" s="656"/>
      <c r="R425" s="656"/>
      <c r="S425" s="656"/>
      <c r="T425" s="656"/>
      <c r="U425" s="656"/>
      <c r="V425" s="656"/>
      <c r="W425" s="656"/>
      <c r="X425" s="656"/>
      <c r="Y425" s="656"/>
      <c r="Z425" s="656"/>
      <c r="AA425" s="62"/>
      <c r="AB425" s="62"/>
      <c r="AC425" s="62"/>
    </row>
    <row r="426" spans="1:68" ht="14.25" hidden="1" customHeight="1" x14ac:dyDescent="0.25">
      <c r="A426" s="657" t="s">
        <v>122</v>
      </c>
      <c r="B426" s="657"/>
      <c r="C426" s="657"/>
      <c r="D426" s="657"/>
      <c r="E426" s="657"/>
      <c r="F426" s="657"/>
      <c r="G426" s="657"/>
      <c r="H426" s="657"/>
      <c r="I426" s="657"/>
      <c r="J426" s="657"/>
      <c r="K426" s="657"/>
      <c r="L426" s="657"/>
      <c r="M426" s="657"/>
      <c r="N426" s="657"/>
      <c r="O426" s="657"/>
      <c r="P426" s="657"/>
      <c r="Q426" s="657"/>
      <c r="R426" s="657"/>
      <c r="S426" s="657"/>
      <c r="T426" s="657"/>
      <c r="U426" s="657"/>
      <c r="V426" s="657"/>
      <c r="W426" s="657"/>
      <c r="X426" s="657"/>
      <c r="Y426" s="657"/>
      <c r="Z426" s="657"/>
      <c r="AA426" s="63"/>
      <c r="AB426" s="63"/>
      <c r="AC426" s="63"/>
    </row>
    <row r="427" spans="1:68" ht="27" customHeight="1" x14ac:dyDescent="0.25">
      <c r="A427" s="60" t="s">
        <v>704</v>
      </c>
      <c r="B427" s="60" t="s">
        <v>705</v>
      </c>
      <c r="C427" s="34">
        <v>4301012332</v>
      </c>
      <c r="D427" s="652">
        <v>4680115888401</v>
      </c>
      <c r="E427" s="652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7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4"/>
      <c r="R427" s="654"/>
      <c r="S427" s="654"/>
      <c r="T427" s="655"/>
      <c r="U427" s="37" t="s">
        <v>46</v>
      </c>
      <c r="V427" s="37" t="s">
        <v>46</v>
      </c>
      <c r="W427" s="38" t="s">
        <v>0</v>
      </c>
      <c r="X427" s="56">
        <v>100</v>
      </c>
      <c r="Y427" s="53">
        <f t="shared" ref="Y427:Y434" si="58">IFERROR(IF(X427="",0,CEILING((X427/$H427),1)*$H427),"")</f>
        <v>105</v>
      </c>
      <c r="Z427" s="39">
        <f>IFERROR(IF(Y427=0,"",ROUNDUP(Y427/H427,0)*0.02175),"")</f>
        <v>0.15225</v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103.13333333333334</v>
      </c>
      <c r="BN427" s="75">
        <f t="shared" ref="BN427:BN434" si="60">IFERROR(Y427*I427/H427,"0")</f>
        <v>108.29</v>
      </c>
      <c r="BO427" s="75">
        <f t="shared" ref="BO427:BO434" si="61">IFERROR(1/J427*(X427/H427),"0")</f>
        <v>0.1388888888888889</v>
      </c>
      <c r="BP427" s="75">
        <f t="shared" ref="BP427:BP434" si="62">IFERROR(1/J427*(Y427/H427),"0")</f>
        <v>0.14583333333333331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652">
        <v>4680115884847</v>
      </c>
      <c r="E428" s="652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7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4"/>
      <c r="R428" s="654"/>
      <c r="S428" s="654"/>
      <c r="T428" s="65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652">
        <v>4680115884854</v>
      </c>
      <c r="E429" s="652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7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4"/>
      <c r="R429" s="654"/>
      <c r="S429" s="654"/>
      <c r="T429" s="65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652">
        <v>4680115884830</v>
      </c>
      <c r="E430" s="652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4"/>
      <c r="R430" s="654"/>
      <c r="S430" s="654"/>
      <c r="T430" s="655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652">
        <v>4680115889231</v>
      </c>
      <c r="E431" s="652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4"/>
      <c r="R431" s="654"/>
      <c r="S431" s="654"/>
      <c r="T431" s="65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652">
        <v>4680115882638</v>
      </c>
      <c r="E432" s="652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4"/>
      <c r="R432" s="654"/>
      <c r="S432" s="654"/>
      <c r="T432" s="65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652">
        <v>4680115884922</v>
      </c>
      <c r="E433" s="652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4"/>
      <c r="R433" s="654"/>
      <c r="S433" s="654"/>
      <c r="T433" s="65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652">
        <v>4680115884861</v>
      </c>
      <c r="E434" s="652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4"/>
      <c r="R434" s="654"/>
      <c r="S434" s="654"/>
      <c r="T434" s="655"/>
      <c r="U434" s="37" t="s">
        <v>46</v>
      </c>
      <c r="V434" s="37" t="s">
        <v>46</v>
      </c>
      <c r="W434" s="38" t="s">
        <v>0</v>
      </c>
      <c r="X434" s="56">
        <v>25</v>
      </c>
      <c r="Y434" s="53">
        <f t="shared" si="58"/>
        <v>25</v>
      </c>
      <c r="Z434" s="39">
        <f>IFERROR(IF(Y434=0,"",ROUNDUP(Y434/H434,0)*0.00902),"")</f>
        <v>4.5100000000000001E-2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25.95</v>
      </c>
      <c r="BN434" s="75">
        <f t="shared" si="60"/>
        <v>25.95</v>
      </c>
      <c r="BO434" s="75">
        <f t="shared" si="61"/>
        <v>3.787878787878788E-2</v>
      </c>
      <c r="BP434" s="75">
        <f t="shared" si="62"/>
        <v>3.787878787878788E-2</v>
      </c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7"/>
      <c r="P435" s="643" t="s">
        <v>40</v>
      </c>
      <c r="Q435" s="644"/>
      <c r="R435" s="644"/>
      <c r="S435" s="644"/>
      <c r="T435" s="644"/>
      <c r="U435" s="644"/>
      <c r="V435" s="645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11.666666666666668</v>
      </c>
      <c r="Y435" s="41">
        <f>IFERROR(Y427/H427,"0")+IFERROR(Y428/H428,"0")+IFERROR(Y429/H429,"0")+IFERROR(Y430/H430,"0")+IFERROR(Y431/H431,"0")+IFERROR(Y432/H432,"0")+IFERROR(Y433/H433,"0")+IFERROR(Y434/H434,"0")</f>
        <v>12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0.19735</v>
      </c>
      <c r="AA435" s="64"/>
      <c r="AB435" s="64"/>
      <c r="AC435" s="64"/>
    </row>
    <row r="436" spans="1:68" x14ac:dyDescent="0.2">
      <c r="A436" s="646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43" t="s">
        <v>40</v>
      </c>
      <c r="Q436" s="644"/>
      <c r="R436" s="644"/>
      <c r="S436" s="644"/>
      <c r="T436" s="644"/>
      <c r="U436" s="644"/>
      <c r="V436" s="645"/>
      <c r="W436" s="40" t="s">
        <v>0</v>
      </c>
      <c r="X436" s="41">
        <f>IFERROR(SUM(X427:X434),"0")</f>
        <v>125</v>
      </c>
      <c r="Y436" s="41">
        <f>IFERROR(SUM(Y427:Y434),"0")</f>
        <v>130</v>
      </c>
      <c r="Z436" s="40"/>
      <c r="AA436" s="64"/>
      <c r="AB436" s="64"/>
      <c r="AC436" s="64"/>
    </row>
    <row r="437" spans="1:68" ht="14.25" hidden="1" customHeight="1" x14ac:dyDescent="0.25">
      <c r="A437" s="657" t="s">
        <v>158</v>
      </c>
      <c r="B437" s="657"/>
      <c r="C437" s="657"/>
      <c r="D437" s="657"/>
      <c r="E437" s="657"/>
      <c r="F437" s="657"/>
      <c r="G437" s="657"/>
      <c r="H437" s="657"/>
      <c r="I437" s="657"/>
      <c r="J437" s="657"/>
      <c r="K437" s="657"/>
      <c r="L437" s="657"/>
      <c r="M437" s="657"/>
      <c r="N437" s="657"/>
      <c r="O437" s="657"/>
      <c r="P437" s="657"/>
      <c r="Q437" s="657"/>
      <c r="R437" s="657"/>
      <c r="S437" s="657"/>
      <c r="T437" s="657"/>
      <c r="U437" s="657"/>
      <c r="V437" s="657"/>
      <c r="W437" s="657"/>
      <c r="X437" s="657"/>
      <c r="Y437" s="657"/>
      <c r="Z437" s="657"/>
      <c r="AA437" s="63"/>
      <c r="AB437" s="63"/>
      <c r="AC437" s="63"/>
    </row>
    <row r="438" spans="1:68" ht="27" customHeight="1" x14ac:dyDescent="0.25">
      <c r="A438" s="60" t="s">
        <v>728</v>
      </c>
      <c r="B438" s="60" t="s">
        <v>729</v>
      </c>
      <c r="C438" s="34">
        <v>4301020178</v>
      </c>
      <c r="D438" s="652">
        <v>4607091383980</v>
      </c>
      <c r="E438" s="652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4"/>
      <c r="R438" s="654"/>
      <c r="S438" s="654"/>
      <c r="T438" s="655"/>
      <c r="U438" s="37" t="s">
        <v>46</v>
      </c>
      <c r="V438" s="37" t="s">
        <v>46</v>
      </c>
      <c r="W438" s="38" t="s">
        <v>0</v>
      </c>
      <c r="X438" s="56">
        <v>520</v>
      </c>
      <c r="Y438" s="53">
        <f>IFERROR(IF(X438="",0,CEILING((X438/$H438),1)*$H438),"")</f>
        <v>525</v>
      </c>
      <c r="Z438" s="39">
        <f>IFERROR(IF(Y438=0,"",ROUNDUP(Y438/H438,0)*0.02175),"")</f>
        <v>0.76124999999999998</v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536.29333333333341</v>
      </c>
      <c r="BN438" s="75">
        <f>IFERROR(Y438*I438/H438,"0")</f>
        <v>541.45000000000005</v>
      </c>
      <c r="BO438" s="75">
        <f>IFERROR(1/J438*(X438/H438),"0")</f>
        <v>0.7222222222222221</v>
      </c>
      <c r="BP438" s="75">
        <f>IFERROR(1/J438*(Y438/H438),"0")</f>
        <v>0.72916666666666663</v>
      </c>
    </row>
    <row r="439" spans="1:68" ht="27" customHeight="1" x14ac:dyDescent="0.25">
      <c r="A439" s="60" t="s">
        <v>731</v>
      </c>
      <c r="B439" s="60" t="s">
        <v>732</v>
      </c>
      <c r="C439" s="34">
        <v>4301020355</v>
      </c>
      <c r="D439" s="652">
        <v>4680115888425</v>
      </c>
      <c r="E439" s="652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4"/>
      <c r="R439" s="654"/>
      <c r="S439" s="654"/>
      <c r="T439" s="655"/>
      <c r="U439" s="37" t="s">
        <v>46</v>
      </c>
      <c r="V439" s="37" t="s">
        <v>46</v>
      </c>
      <c r="W439" s="38" t="s">
        <v>0</v>
      </c>
      <c r="X439" s="56">
        <v>50</v>
      </c>
      <c r="Y439" s="53">
        <f>IFERROR(IF(X439="",0,CEILING((X439/$H439),1)*$H439),"")</f>
        <v>60</v>
      </c>
      <c r="Z439" s="39">
        <f>IFERROR(IF(Y439=0,"",ROUNDUP(Y439/H439,0)*0.02175),"")</f>
        <v>8.6999999999999994E-2</v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51.56666666666667</v>
      </c>
      <c r="BN439" s="75">
        <f>IFERROR(Y439*I439/H439,"0")</f>
        <v>61.88</v>
      </c>
      <c r="BO439" s="75">
        <f>IFERROR(1/J439*(X439/H439),"0")</f>
        <v>6.9444444444444448E-2</v>
      </c>
      <c r="BP439" s="75">
        <f>IFERROR(1/J439*(Y439/H439),"0")</f>
        <v>8.3333333333333329E-2</v>
      </c>
    </row>
    <row r="440" spans="1:68" ht="27" hidden="1" customHeight="1" x14ac:dyDescent="0.25">
      <c r="A440" s="60" t="s">
        <v>734</v>
      </c>
      <c r="B440" s="60" t="s">
        <v>735</v>
      </c>
      <c r="C440" s="34">
        <v>4301020179</v>
      </c>
      <c r="D440" s="652">
        <v>4607091384178</v>
      </c>
      <c r="E440" s="652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4"/>
      <c r="R440" s="654"/>
      <c r="S440" s="654"/>
      <c r="T440" s="65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7"/>
      <c r="P441" s="643" t="s">
        <v>40</v>
      </c>
      <c r="Q441" s="644"/>
      <c r="R441" s="644"/>
      <c r="S441" s="644"/>
      <c r="T441" s="644"/>
      <c r="U441" s="644"/>
      <c r="V441" s="645"/>
      <c r="W441" s="40" t="s">
        <v>39</v>
      </c>
      <c r="X441" s="41">
        <f>IFERROR(X438/H438,"0")+IFERROR(X439/H439,"0")+IFERROR(X440/H440,"0")</f>
        <v>38</v>
      </c>
      <c r="Y441" s="41">
        <f>IFERROR(Y438/H438,"0")+IFERROR(Y439/H439,"0")+IFERROR(Y440/H440,"0")</f>
        <v>39</v>
      </c>
      <c r="Z441" s="41">
        <f>IFERROR(IF(Z438="",0,Z438),"0")+IFERROR(IF(Z439="",0,Z439),"0")+IFERROR(IF(Z440="",0,Z440),"0")</f>
        <v>0.84824999999999995</v>
      </c>
      <c r="AA441" s="64"/>
      <c r="AB441" s="64"/>
      <c r="AC441" s="64"/>
    </row>
    <row r="442" spans="1:68" x14ac:dyDescent="0.2">
      <c r="A442" s="646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43" t="s">
        <v>40</v>
      </c>
      <c r="Q442" s="644"/>
      <c r="R442" s="644"/>
      <c r="S442" s="644"/>
      <c r="T442" s="644"/>
      <c r="U442" s="644"/>
      <c r="V442" s="645"/>
      <c r="W442" s="40" t="s">
        <v>0</v>
      </c>
      <c r="X442" s="41">
        <f>IFERROR(SUM(X438:X440),"0")</f>
        <v>570</v>
      </c>
      <c r="Y442" s="41">
        <f>IFERROR(SUM(Y438:Y440),"0")</f>
        <v>585</v>
      </c>
      <c r="Z442" s="40"/>
      <c r="AA442" s="64"/>
      <c r="AB442" s="64"/>
      <c r="AC442" s="64"/>
    </row>
    <row r="443" spans="1:68" ht="14.25" hidden="1" customHeight="1" x14ac:dyDescent="0.25">
      <c r="A443" s="657" t="s">
        <v>86</v>
      </c>
      <c r="B443" s="657"/>
      <c r="C443" s="657"/>
      <c r="D443" s="657"/>
      <c r="E443" s="657"/>
      <c r="F443" s="657"/>
      <c r="G443" s="657"/>
      <c r="H443" s="657"/>
      <c r="I443" s="657"/>
      <c r="J443" s="657"/>
      <c r="K443" s="657"/>
      <c r="L443" s="657"/>
      <c r="M443" s="657"/>
      <c r="N443" s="657"/>
      <c r="O443" s="657"/>
      <c r="P443" s="657"/>
      <c r="Q443" s="657"/>
      <c r="R443" s="657"/>
      <c r="S443" s="657"/>
      <c r="T443" s="657"/>
      <c r="U443" s="657"/>
      <c r="V443" s="657"/>
      <c r="W443" s="657"/>
      <c r="X443" s="657"/>
      <c r="Y443" s="657"/>
      <c r="Z443" s="657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652">
        <v>4607091383928</v>
      </c>
      <c r="E444" s="652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4"/>
      <c r="R444" s="654"/>
      <c r="S444" s="654"/>
      <c r="T444" s="65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customHeight="1" x14ac:dyDescent="0.25">
      <c r="A445" s="60" t="s">
        <v>740</v>
      </c>
      <c r="B445" s="60" t="s">
        <v>741</v>
      </c>
      <c r="C445" s="34">
        <v>4301051897</v>
      </c>
      <c r="D445" s="652">
        <v>4607091384260</v>
      </c>
      <c r="E445" s="652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7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4"/>
      <c r="R445" s="654"/>
      <c r="S445" s="654"/>
      <c r="T445" s="655"/>
      <c r="U445" s="37" t="s">
        <v>46</v>
      </c>
      <c r="V445" s="37" t="s">
        <v>46</v>
      </c>
      <c r="W445" s="38" t="s">
        <v>0</v>
      </c>
      <c r="X445" s="56">
        <v>100</v>
      </c>
      <c r="Y445" s="53">
        <f>IFERROR(IF(X445="",0,CEILING((X445/$H445),1)*$H445),"")</f>
        <v>108</v>
      </c>
      <c r="Z445" s="39">
        <f>IFERROR(IF(Y445=0,"",ROUNDUP(Y445/H445,0)*0.01898),"")</f>
        <v>0.22776000000000002</v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105.48888888888888</v>
      </c>
      <c r="BN445" s="75">
        <f>IFERROR(Y445*I445/H445,"0")</f>
        <v>113.92799999999998</v>
      </c>
      <c r="BO445" s="75">
        <f>IFERROR(1/J445*(X445/H445),"0")</f>
        <v>0.1736111111111111</v>
      </c>
      <c r="BP445" s="75">
        <f>IFERROR(1/J445*(Y445/H445),"0")</f>
        <v>0.1875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652">
        <v>4680115889538</v>
      </c>
      <c r="E446" s="652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7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4"/>
      <c r="R446" s="654"/>
      <c r="S446" s="654"/>
      <c r="T446" s="65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43" t="s">
        <v>40</v>
      </c>
      <c r="Q447" s="644"/>
      <c r="R447" s="644"/>
      <c r="S447" s="644"/>
      <c r="T447" s="644"/>
      <c r="U447" s="644"/>
      <c r="V447" s="645"/>
      <c r="W447" s="40" t="s">
        <v>39</v>
      </c>
      <c r="X447" s="41">
        <f>IFERROR(X444/H444,"0")+IFERROR(X445/H445,"0")+IFERROR(X446/H446,"0")</f>
        <v>11.111111111111111</v>
      </c>
      <c r="Y447" s="41">
        <f>IFERROR(Y444/H444,"0")+IFERROR(Y445/H445,"0")+IFERROR(Y446/H446,"0")</f>
        <v>12</v>
      </c>
      <c r="Z447" s="41">
        <f>IFERROR(IF(Z444="",0,Z444),"0")+IFERROR(IF(Z445="",0,Z445),"0")+IFERROR(IF(Z446="",0,Z446),"0")</f>
        <v>0.22776000000000002</v>
      </c>
      <c r="AA447" s="64"/>
      <c r="AB447" s="64"/>
      <c r="AC447" s="64"/>
    </row>
    <row r="448" spans="1:68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43" t="s">
        <v>40</v>
      </c>
      <c r="Q448" s="644"/>
      <c r="R448" s="644"/>
      <c r="S448" s="644"/>
      <c r="T448" s="644"/>
      <c r="U448" s="644"/>
      <c r="V448" s="645"/>
      <c r="W448" s="40" t="s">
        <v>0</v>
      </c>
      <c r="X448" s="41">
        <f>IFERROR(SUM(X444:X446),"0")</f>
        <v>100</v>
      </c>
      <c r="Y448" s="41">
        <f>IFERROR(SUM(Y444:Y446),"0")</f>
        <v>108</v>
      </c>
      <c r="Z448" s="40"/>
      <c r="AA448" s="64"/>
      <c r="AB448" s="64"/>
      <c r="AC448" s="64"/>
    </row>
    <row r="449" spans="1:68" ht="14.25" hidden="1" customHeight="1" x14ac:dyDescent="0.25">
      <c r="A449" s="657" t="s">
        <v>175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652">
        <v>4680115889545</v>
      </c>
      <c r="E450" s="652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70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4"/>
      <c r="R450" s="654"/>
      <c r="S450" s="654"/>
      <c r="T450" s="65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749</v>
      </c>
      <c r="B451" s="60" t="s">
        <v>750</v>
      </c>
      <c r="C451" s="34">
        <v>4301060524</v>
      </c>
      <c r="D451" s="652">
        <v>4607091384673</v>
      </c>
      <c r="E451" s="65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4"/>
      <c r="R451" s="654"/>
      <c r="S451" s="654"/>
      <c r="T451" s="655"/>
      <c r="U451" s="37" t="s">
        <v>46</v>
      </c>
      <c r="V451" s="37" t="s">
        <v>46</v>
      </c>
      <c r="W451" s="38" t="s">
        <v>0</v>
      </c>
      <c r="X451" s="56">
        <v>30</v>
      </c>
      <c r="Y451" s="53">
        <f>IFERROR(IF(X451="",0,CEILING((X451/$H451),1)*$H451),"")</f>
        <v>36</v>
      </c>
      <c r="Z451" s="39">
        <f>IFERROR(IF(Y451=0,"",ROUNDUP(Y451/H451,0)*0.01898),"")</f>
        <v>7.5920000000000001E-2</v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31.646666666666665</v>
      </c>
      <c r="BN451" s="75">
        <f>IFERROR(Y451*I451/H451,"0")</f>
        <v>37.975999999999999</v>
      </c>
      <c r="BO451" s="75">
        <f>IFERROR(1/J451*(X451/H451),"0")</f>
        <v>5.2083333333333336E-2</v>
      </c>
      <c r="BP451" s="75">
        <f>IFERROR(1/J451*(Y451/H451),"0")</f>
        <v>6.25E-2</v>
      </c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7"/>
      <c r="P452" s="643" t="s">
        <v>40</v>
      </c>
      <c r="Q452" s="644"/>
      <c r="R452" s="644"/>
      <c r="S452" s="644"/>
      <c r="T452" s="644"/>
      <c r="U452" s="644"/>
      <c r="V452" s="645"/>
      <c r="W452" s="40" t="s">
        <v>39</v>
      </c>
      <c r="X452" s="41">
        <f>IFERROR(X450/H450,"0")+IFERROR(X451/H451,"0")</f>
        <v>3.3333333333333335</v>
      </c>
      <c r="Y452" s="41">
        <f>IFERROR(Y450/H450,"0")+IFERROR(Y451/H451,"0")</f>
        <v>4</v>
      </c>
      <c r="Z452" s="41">
        <f>IFERROR(IF(Z450="",0,Z450),"0")+IFERROR(IF(Z451="",0,Z451),"0")</f>
        <v>7.5920000000000001E-2</v>
      </c>
      <c r="AA452" s="64"/>
      <c r="AB452" s="64"/>
      <c r="AC452" s="64"/>
    </row>
    <row r="453" spans="1:68" x14ac:dyDescent="0.2">
      <c r="A453" s="646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43" t="s">
        <v>40</v>
      </c>
      <c r="Q453" s="644"/>
      <c r="R453" s="644"/>
      <c r="S453" s="644"/>
      <c r="T453" s="644"/>
      <c r="U453" s="644"/>
      <c r="V453" s="645"/>
      <c r="W453" s="40" t="s">
        <v>0</v>
      </c>
      <c r="X453" s="41">
        <f>IFERROR(SUM(X450:X451),"0")</f>
        <v>30</v>
      </c>
      <c r="Y453" s="41">
        <f>IFERROR(SUM(Y450:Y451),"0")</f>
        <v>36</v>
      </c>
      <c r="Z453" s="40"/>
      <c r="AA453" s="64"/>
      <c r="AB453" s="64"/>
      <c r="AC453" s="64"/>
    </row>
    <row r="454" spans="1:68" ht="16.5" hidden="1" customHeight="1" x14ac:dyDescent="0.25">
      <c r="A454" s="656" t="s">
        <v>752</v>
      </c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6"/>
      <c r="P454" s="656"/>
      <c r="Q454" s="656"/>
      <c r="R454" s="656"/>
      <c r="S454" s="656"/>
      <c r="T454" s="656"/>
      <c r="U454" s="656"/>
      <c r="V454" s="656"/>
      <c r="W454" s="656"/>
      <c r="X454" s="656"/>
      <c r="Y454" s="656"/>
      <c r="Z454" s="656"/>
      <c r="AA454" s="62"/>
      <c r="AB454" s="62"/>
      <c r="AC454" s="62"/>
    </row>
    <row r="455" spans="1:68" ht="14.25" hidden="1" customHeight="1" x14ac:dyDescent="0.25">
      <c r="A455" s="657" t="s">
        <v>122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3"/>
      <c r="AB455" s="63"/>
      <c r="AC455" s="63"/>
    </row>
    <row r="456" spans="1:68" ht="27" customHeight="1" x14ac:dyDescent="0.25">
      <c r="A456" s="60" t="s">
        <v>753</v>
      </c>
      <c r="B456" s="60" t="s">
        <v>754</v>
      </c>
      <c r="C456" s="34">
        <v>4301011875</v>
      </c>
      <c r="D456" s="652">
        <v>4680115884885</v>
      </c>
      <c r="E456" s="652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7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4"/>
      <c r="R456" s="654"/>
      <c r="S456" s="654"/>
      <c r="T456" s="655"/>
      <c r="U456" s="37" t="s">
        <v>46</v>
      </c>
      <c r="V456" s="37" t="s">
        <v>46</v>
      </c>
      <c r="W456" s="38" t="s">
        <v>0</v>
      </c>
      <c r="X456" s="56">
        <v>50</v>
      </c>
      <c r="Y456" s="53">
        <f>IFERROR(IF(X456="",0,CEILING((X456/$H456),1)*$H456),"")</f>
        <v>60</v>
      </c>
      <c r="Z456" s="39">
        <f>IFERROR(IF(Y456=0,"",ROUNDUP(Y456/H456,0)*0.01898),"")</f>
        <v>9.4899999999999998E-2</v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51.708333333333336</v>
      </c>
      <c r="BN456" s="75">
        <f>IFERROR(Y456*I456/H456,"0")</f>
        <v>62.050000000000004</v>
      </c>
      <c r="BO456" s="75">
        <f>IFERROR(1/J456*(X456/H456),"0")</f>
        <v>6.5104166666666671E-2</v>
      </c>
      <c r="BP456" s="75">
        <f>IFERROR(1/J456*(Y456/H456),"0")</f>
        <v>7.8125E-2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652">
        <v>4680115884908</v>
      </c>
      <c r="E457" s="652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7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4"/>
      <c r="R457" s="654"/>
      <c r="S457" s="654"/>
      <c r="T457" s="655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43" t="s">
        <v>40</v>
      </c>
      <c r="Q458" s="644"/>
      <c r="R458" s="644"/>
      <c r="S458" s="644"/>
      <c r="T458" s="644"/>
      <c r="U458" s="644"/>
      <c r="V458" s="645"/>
      <c r="W458" s="40" t="s">
        <v>39</v>
      </c>
      <c r="X458" s="41">
        <f>IFERROR(X456/H456,"0")+IFERROR(X457/H457,"0")</f>
        <v>4.166666666666667</v>
      </c>
      <c r="Y458" s="41">
        <f>IFERROR(Y456/H456,"0")+IFERROR(Y457/H457,"0")</f>
        <v>5</v>
      </c>
      <c r="Z458" s="41">
        <f>IFERROR(IF(Z456="",0,Z456),"0")+IFERROR(IF(Z457="",0,Z457),"0")</f>
        <v>9.4899999999999998E-2</v>
      </c>
      <c r="AA458" s="64"/>
      <c r="AB458" s="64"/>
      <c r="AC458" s="64"/>
    </row>
    <row r="459" spans="1:68" x14ac:dyDescent="0.2">
      <c r="A459" s="646"/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7"/>
      <c r="P459" s="643" t="s">
        <v>40</v>
      </c>
      <c r="Q459" s="644"/>
      <c r="R459" s="644"/>
      <c r="S459" s="644"/>
      <c r="T459" s="644"/>
      <c r="U459" s="644"/>
      <c r="V459" s="645"/>
      <c r="W459" s="40" t="s">
        <v>0</v>
      </c>
      <c r="X459" s="41">
        <f>IFERROR(SUM(X456:X457),"0")</f>
        <v>50</v>
      </c>
      <c r="Y459" s="41">
        <f>IFERROR(SUM(Y456:Y457),"0")</f>
        <v>60</v>
      </c>
      <c r="Z459" s="40"/>
      <c r="AA459" s="64"/>
      <c r="AB459" s="64"/>
      <c r="AC459" s="64"/>
    </row>
    <row r="460" spans="1:68" ht="14.25" hidden="1" customHeight="1" x14ac:dyDescent="0.25">
      <c r="A460" s="657" t="s">
        <v>77</v>
      </c>
      <c r="B460" s="657"/>
      <c r="C460" s="657"/>
      <c r="D460" s="657"/>
      <c r="E460" s="657"/>
      <c r="F460" s="657"/>
      <c r="G460" s="657"/>
      <c r="H460" s="657"/>
      <c r="I460" s="657"/>
      <c r="J460" s="657"/>
      <c r="K460" s="657"/>
      <c r="L460" s="657"/>
      <c r="M460" s="657"/>
      <c r="N460" s="657"/>
      <c r="O460" s="657"/>
      <c r="P460" s="657"/>
      <c r="Q460" s="657"/>
      <c r="R460" s="657"/>
      <c r="S460" s="657"/>
      <c r="T460" s="657"/>
      <c r="U460" s="657"/>
      <c r="V460" s="657"/>
      <c r="W460" s="657"/>
      <c r="X460" s="657"/>
      <c r="Y460" s="657"/>
      <c r="Z460" s="657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652">
        <v>4607091384802</v>
      </c>
      <c r="E461" s="652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6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4"/>
      <c r="R461" s="654"/>
      <c r="S461" s="654"/>
      <c r="T461" s="65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47"/>
      <c r="P462" s="643" t="s">
        <v>40</v>
      </c>
      <c r="Q462" s="644"/>
      <c r="R462" s="644"/>
      <c r="S462" s="644"/>
      <c r="T462" s="644"/>
      <c r="U462" s="644"/>
      <c r="V462" s="645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646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43" t="s">
        <v>40</v>
      </c>
      <c r="Q463" s="644"/>
      <c r="R463" s="644"/>
      <c r="S463" s="644"/>
      <c r="T463" s="644"/>
      <c r="U463" s="644"/>
      <c r="V463" s="645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57" t="s">
        <v>86</v>
      </c>
      <c r="B464" s="657"/>
      <c r="C464" s="657"/>
      <c r="D464" s="657"/>
      <c r="E464" s="657"/>
      <c r="F464" s="657"/>
      <c r="G464" s="657"/>
      <c r="H464" s="657"/>
      <c r="I464" s="657"/>
      <c r="J464" s="657"/>
      <c r="K464" s="657"/>
      <c r="L464" s="657"/>
      <c r="M464" s="657"/>
      <c r="N464" s="657"/>
      <c r="O464" s="657"/>
      <c r="P464" s="657"/>
      <c r="Q464" s="657"/>
      <c r="R464" s="657"/>
      <c r="S464" s="657"/>
      <c r="T464" s="657"/>
      <c r="U464" s="657"/>
      <c r="V464" s="657"/>
      <c r="W464" s="657"/>
      <c r="X464" s="657"/>
      <c r="Y464" s="657"/>
      <c r="Z464" s="657"/>
      <c r="AA464" s="63"/>
      <c r="AB464" s="63"/>
      <c r="AC464" s="63"/>
    </row>
    <row r="465" spans="1:68" ht="27" customHeight="1" x14ac:dyDescent="0.25">
      <c r="A465" s="60" t="s">
        <v>761</v>
      </c>
      <c r="B465" s="60" t="s">
        <v>762</v>
      </c>
      <c r="C465" s="34">
        <v>4301051899</v>
      </c>
      <c r="D465" s="652">
        <v>4607091384246</v>
      </c>
      <c r="E465" s="652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4"/>
      <c r="R465" s="654"/>
      <c r="S465" s="654"/>
      <c r="T465" s="655"/>
      <c r="U465" s="37" t="s">
        <v>46</v>
      </c>
      <c r="V465" s="37" t="s">
        <v>46</v>
      </c>
      <c r="W465" s="38" t="s">
        <v>0</v>
      </c>
      <c r="X465" s="56">
        <v>25</v>
      </c>
      <c r="Y465" s="53">
        <f>IFERROR(IF(X465="",0,CEILING((X465/$H465),1)*$H465),"")</f>
        <v>27</v>
      </c>
      <c r="Z465" s="39">
        <f>IFERROR(IF(Y465=0,"",ROUNDUP(Y465/H465,0)*0.01898),"")</f>
        <v>5.6940000000000004E-2</v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26.37222222222222</v>
      </c>
      <c r="BN465" s="75">
        <f>IFERROR(Y465*I465/H465,"0")</f>
        <v>28.481999999999996</v>
      </c>
      <c r="BO465" s="75">
        <f>IFERROR(1/J465*(X465/H465),"0")</f>
        <v>4.3402777777777776E-2</v>
      </c>
      <c r="BP465" s="75">
        <f>IFERROR(1/J465*(Y465/H465),"0")</f>
        <v>4.6875E-2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652">
        <v>4607091384253</v>
      </c>
      <c r="E466" s="652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4"/>
      <c r="R466" s="654"/>
      <c r="S466" s="654"/>
      <c r="T466" s="655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652">
        <v>4607091384253</v>
      </c>
      <c r="E467" s="652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6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4"/>
      <c r="R467" s="654"/>
      <c r="S467" s="654"/>
      <c r="T467" s="655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47"/>
      <c r="P468" s="643" t="s">
        <v>40</v>
      </c>
      <c r="Q468" s="644"/>
      <c r="R468" s="644"/>
      <c r="S468" s="644"/>
      <c r="T468" s="644"/>
      <c r="U468" s="644"/>
      <c r="V468" s="645"/>
      <c r="W468" s="40" t="s">
        <v>39</v>
      </c>
      <c r="X468" s="41">
        <f>IFERROR(X465/H465,"0")+IFERROR(X466/H466,"0")+IFERROR(X467/H467,"0")</f>
        <v>2.7777777777777777</v>
      </c>
      <c r="Y468" s="41">
        <f>IFERROR(Y465/H465,"0")+IFERROR(Y466/H466,"0")+IFERROR(Y467/H467,"0")</f>
        <v>3</v>
      </c>
      <c r="Z468" s="41">
        <f>IFERROR(IF(Z465="",0,Z465),"0")+IFERROR(IF(Z466="",0,Z466),"0")+IFERROR(IF(Z467="",0,Z467),"0")</f>
        <v>5.6940000000000004E-2</v>
      </c>
      <c r="AA468" s="64"/>
      <c r="AB468" s="64"/>
      <c r="AC468" s="64"/>
    </row>
    <row r="469" spans="1:68" x14ac:dyDescent="0.2">
      <c r="A469" s="646"/>
      <c r="B469" s="646"/>
      <c r="C469" s="646"/>
      <c r="D469" s="646"/>
      <c r="E469" s="646"/>
      <c r="F469" s="646"/>
      <c r="G469" s="646"/>
      <c r="H469" s="646"/>
      <c r="I469" s="646"/>
      <c r="J469" s="646"/>
      <c r="K469" s="646"/>
      <c r="L469" s="646"/>
      <c r="M469" s="646"/>
      <c r="N469" s="646"/>
      <c r="O469" s="647"/>
      <c r="P469" s="643" t="s">
        <v>40</v>
      </c>
      <c r="Q469" s="644"/>
      <c r="R469" s="644"/>
      <c r="S469" s="644"/>
      <c r="T469" s="644"/>
      <c r="U469" s="644"/>
      <c r="V469" s="645"/>
      <c r="W469" s="40" t="s">
        <v>0</v>
      </c>
      <c r="X469" s="41">
        <f>IFERROR(SUM(X465:X467),"0")</f>
        <v>25</v>
      </c>
      <c r="Y469" s="41">
        <f>IFERROR(SUM(Y465:Y467),"0")</f>
        <v>27</v>
      </c>
      <c r="Z469" s="40"/>
      <c r="AA469" s="64"/>
      <c r="AB469" s="64"/>
      <c r="AC469" s="64"/>
    </row>
    <row r="470" spans="1:68" ht="27.75" hidden="1" customHeight="1" x14ac:dyDescent="0.2">
      <c r="A470" s="663" t="s">
        <v>768</v>
      </c>
      <c r="B470" s="663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N470" s="663"/>
      <c r="O470" s="663"/>
      <c r="P470" s="663"/>
      <c r="Q470" s="663"/>
      <c r="R470" s="663"/>
      <c r="S470" s="663"/>
      <c r="T470" s="663"/>
      <c r="U470" s="663"/>
      <c r="V470" s="663"/>
      <c r="W470" s="663"/>
      <c r="X470" s="663"/>
      <c r="Y470" s="663"/>
      <c r="Z470" s="663"/>
      <c r="AA470" s="52"/>
      <c r="AB470" s="52"/>
      <c r="AC470" s="52"/>
    </row>
    <row r="471" spans="1:68" ht="16.5" hidden="1" customHeight="1" x14ac:dyDescent="0.25">
      <c r="A471" s="656" t="s">
        <v>769</v>
      </c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6"/>
      <c r="P471" s="656"/>
      <c r="Q471" s="656"/>
      <c r="R471" s="656"/>
      <c r="S471" s="656"/>
      <c r="T471" s="656"/>
      <c r="U471" s="656"/>
      <c r="V471" s="656"/>
      <c r="W471" s="656"/>
      <c r="X471" s="656"/>
      <c r="Y471" s="656"/>
      <c r="Z471" s="656"/>
      <c r="AA471" s="62"/>
      <c r="AB471" s="62"/>
      <c r="AC471" s="62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652">
        <v>4680115886100</v>
      </c>
      <c r="E473" s="652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4"/>
      <c r="R473" s="654"/>
      <c r="S473" s="654"/>
      <c r="T473" s="65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652">
        <v>4680115886124</v>
      </c>
      <c r="E474" s="652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6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4"/>
      <c r="R474" s="654"/>
      <c r="S474" s="654"/>
      <c r="T474" s="65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652">
        <v>4607091384338</v>
      </c>
      <c r="E475" s="652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4"/>
      <c r="R475" s="654"/>
      <c r="S475" s="654"/>
      <c r="T475" s="65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652">
        <v>4680115883161</v>
      </c>
      <c r="E476" s="652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4"/>
      <c r="R476" s="654"/>
      <c r="S476" s="654"/>
      <c r="T476" s="65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652">
        <v>4607091389531</v>
      </c>
      <c r="E477" s="652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4"/>
      <c r="R477" s="654"/>
      <c r="S477" s="654"/>
      <c r="T477" s="65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hidden="1" customHeight="1" x14ac:dyDescent="0.25">
      <c r="A478" s="60" t="s">
        <v>784</v>
      </c>
      <c r="B478" s="60" t="s">
        <v>785</v>
      </c>
      <c r="C478" s="34">
        <v>4301031360</v>
      </c>
      <c r="D478" s="652">
        <v>4607091384345</v>
      </c>
      <c r="E478" s="652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4"/>
      <c r="R478" s="654"/>
      <c r="S478" s="654"/>
      <c r="T478" s="65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43" t="s">
        <v>40</v>
      </c>
      <c r="Q479" s="644"/>
      <c r="R479" s="644"/>
      <c r="S479" s="644"/>
      <c r="T479" s="644"/>
      <c r="U479" s="644"/>
      <c r="V479" s="645"/>
      <c r="W479" s="40" t="s">
        <v>39</v>
      </c>
      <c r="X479" s="41">
        <f>IFERROR(X473/H473,"0")+IFERROR(X474/H474,"0")+IFERROR(X475/H475,"0")+IFERROR(X476/H476,"0")+IFERROR(X477/H477,"0")+IFERROR(X478/H478,"0")</f>
        <v>0</v>
      </c>
      <c r="Y479" s="41">
        <f>IFERROR(Y473/H473,"0")+IFERROR(Y474/H474,"0")+IFERROR(Y475/H475,"0")+IFERROR(Y476/H476,"0")+IFERROR(Y477/H477,"0")+IFERROR(Y478/H478,"0")</f>
        <v>0</v>
      </c>
      <c r="Z479" s="41">
        <f>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43" t="s">
        <v>40</v>
      </c>
      <c r="Q480" s="644"/>
      <c r="R480" s="644"/>
      <c r="S480" s="644"/>
      <c r="T480" s="644"/>
      <c r="U480" s="644"/>
      <c r="V480" s="645"/>
      <c r="W480" s="40" t="s">
        <v>0</v>
      </c>
      <c r="X480" s="41">
        <f>IFERROR(SUM(X473:X478),"0")</f>
        <v>0</v>
      </c>
      <c r="Y480" s="41">
        <f>IFERROR(SUM(Y473:Y478),"0")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657" t="s">
        <v>86</v>
      </c>
      <c r="B481" s="657"/>
      <c r="C481" s="657"/>
      <c r="D481" s="657"/>
      <c r="E481" s="657"/>
      <c r="F481" s="657"/>
      <c r="G481" s="657"/>
      <c r="H481" s="657"/>
      <c r="I481" s="657"/>
      <c r="J481" s="657"/>
      <c r="K481" s="657"/>
      <c r="L481" s="657"/>
      <c r="M481" s="657"/>
      <c r="N481" s="657"/>
      <c r="O481" s="657"/>
      <c r="P481" s="657"/>
      <c r="Q481" s="657"/>
      <c r="R481" s="657"/>
      <c r="S481" s="657"/>
      <c r="T481" s="657"/>
      <c r="U481" s="657"/>
      <c r="V481" s="657"/>
      <c r="W481" s="657"/>
      <c r="X481" s="657"/>
      <c r="Y481" s="657"/>
      <c r="Z481" s="657"/>
      <c r="AA481" s="63"/>
      <c r="AB481" s="63"/>
      <c r="AC481" s="63"/>
    </row>
    <row r="482" spans="1:68" ht="27" hidden="1" customHeight="1" x14ac:dyDescent="0.25">
      <c r="A482" s="60" t="s">
        <v>786</v>
      </c>
      <c r="B482" s="60" t="s">
        <v>787</v>
      </c>
      <c r="C482" s="34">
        <v>4301051284</v>
      </c>
      <c r="D482" s="652">
        <v>4607091384352</v>
      </c>
      <c r="E482" s="652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4"/>
      <c r="R482" s="654"/>
      <c r="S482" s="654"/>
      <c r="T482" s="655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652">
        <v>4607091389654</v>
      </c>
      <c r="E483" s="652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6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4"/>
      <c r="R483" s="654"/>
      <c r="S483" s="654"/>
      <c r="T483" s="65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43" t="s">
        <v>40</v>
      </c>
      <c r="Q484" s="644"/>
      <c r="R484" s="644"/>
      <c r="S484" s="644"/>
      <c r="T484" s="644"/>
      <c r="U484" s="644"/>
      <c r="V484" s="645"/>
      <c r="W484" s="40" t="s">
        <v>39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43" t="s">
        <v>40</v>
      </c>
      <c r="Q485" s="644"/>
      <c r="R485" s="644"/>
      <c r="S485" s="644"/>
      <c r="T485" s="644"/>
      <c r="U485" s="644"/>
      <c r="V485" s="645"/>
      <c r="W485" s="40" t="s">
        <v>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656" t="s">
        <v>792</v>
      </c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6"/>
      <c r="P486" s="656"/>
      <c r="Q486" s="656"/>
      <c r="R486" s="656"/>
      <c r="S486" s="656"/>
      <c r="T486" s="656"/>
      <c r="U486" s="656"/>
      <c r="V486" s="656"/>
      <c r="W486" s="656"/>
      <c r="X486" s="656"/>
      <c r="Y486" s="656"/>
      <c r="Z486" s="656"/>
      <c r="AA486" s="62"/>
      <c r="AB486" s="62"/>
      <c r="AC486" s="62"/>
    </row>
    <row r="487" spans="1:68" ht="14.25" hidden="1" customHeight="1" x14ac:dyDescent="0.25">
      <c r="A487" s="657" t="s">
        <v>158</v>
      </c>
      <c r="B487" s="657"/>
      <c r="C487" s="657"/>
      <c r="D487" s="657"/>
      <c r="E487" s="657"/>
      <c r="F487" s="657"/>
      <c r="G487" s="657"/>
      <c r="H487" s="657"/>
      <c r="I487" s="657"/>
      <c r="J487" s="657"/>
      <c r="K487" s="657"/>
      <c r="L487" s="657"/>
      <c r="M487" s="657"/>
      <c r="N487" s="657"/>
      <c r="O487" s="657"/>
      <c r="P487" s="657"/>
      <c r="Q487" s="657"/>
      <c r="R487" s="657"/>
      <c r="S487" s="657"/>
      <c r="T487" s="657"/>
      <c r="U487" s="657"/>
      <c r="V487" s="657"/>
      <c r="W487" s="657"/>
      <c r="X487" s="657"/>
      <c r="Y487" s="657"/>
      <c r="Z487" s="657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652">
        <v>4680115885240</v>
      </c>
      <c r="E488" s="652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4"/>
      <c r="R488" s="654"/>
      <c r="S488" s="654"/>
      <c r="T488" s="65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47"/>
      <c r="P489" s="643" t="s">
        <v>40</v>
      </c>
      <c r="Q489" s="644"/>
      <c r="R489" s="644"/>
      <c r="S489" s="644"/>
      <c r="T489" s="644"/>
      <c r="U489" s="644"/>
      <c r="V489" s="645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46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43" t="s">
        <v>40</v>
      </c>
      <c r="Q490" s="644"/>
      <c r="R490" s="644"/>
      <c r="S490" s="644"/>
      <c r="T490" s="644"/>
      <c r="U490" s="644"/>
      <c r="V490" s="645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57" t="s">
        <v>77</v>
      </c>
      <c r="B491" s="657"/>
      <c r="C491" s="657"/>
      <c r="D491" s="657"/>
      <c r="E491" s="657"/>
      <c r="F491" s="657"/>
      <c r="G491" s="657"/>
      <c r="H491" s="657"/>
      <c r="I491" s="657"/>
      <c r="J491" s="657"/>
      <c r="K491" s="657"/>
      <c r="L491" s="657"/>
      <c r="M491" s="657"/>
      <c r="N491" s="657"/>
      <c r="O491" s="657"/>
      <c r="P491" s="657"/>
      <c r="Q491" s="657"/>
      <c r="R491" s="657"/>
      <c r="S491" s="657"/>
      <c r="T491" s="657"/>
      <c r="U491" s="657"/>
      <c r="V491" s="657"/>
      <c r="W491" s="657"/>
      <c r="X491" s="657"/>
      <c r="Y491" s="657"/>
      <c r="Z491" s="657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652">
        <v>4680115886094</v>
      </c>
      <c r="E492" s="652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68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4"/>
      <c r="R492" s="654"/>
      <c r="S492" s="654"/>
      <c r="T492" s="65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652">
        <v>4680115880771</v>
      </c>
      <c r="E493" s="652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4"/>
      <c r="R493" s="654"/>
      <c r="S493" s="654"/>
      <c r="T493" s="655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652">
        <v>4607091389500</v>
      </c>
      <c r="E494" s="652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4"/>
      <c r="R494" s="654"/>
      <c r="S494" s="654"/>
      <c r="T494" s="655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47"/>
      <c r="P495" s="643" t="s">
        <v>40</v>
      </c>
      <c r="Q495" s="644"/>
      <c r="R495" s="644"/>
      <c r="S495" s="644"/>
      <c r="T495" s="644"/>
      <c r="U495" s="644"/>
      <c r="V495" s="645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646"/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7"/>
      <c r="P496" s="643" t="s">
        <v>40</v>
      </c>
      <c r="Q496" s="644"/>
      <c r="R496" s="644"/>
      <c r="S496" s="644"/>
      <c r="T496" s="644"/>
      <c r="U496" s="644"/>
      <c r="V496" s="645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663" t="s">
        <v>804</v>
      </c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A497" s="52"/>
      <c r="AB497" s="52"/>
      <c r="AC497" s="52"/>
    </row>
    <row r="498" spans="1:68" ht="16.5" hidden="1" customHeight="1" x14ac:dyDescent="0.25">
      <c r="A498" s="656" t="s">
        <v>804</v>
      </c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6"/>
      <c r="P498" s="656"/>
      <c r="Q498" s="656"/>
      <c r="R498" s="656"/>
      <c r="S498" s="656"/>
      <c r="T498" s="656"/>
      <c r="U498" s="656"/>
      <c r="V498" s="656"/>
      <c r="W498" s="656"/>
      <c r="X498" s="656"/>
      <c r="Y498" s="656"/>
      <c r="Z498" s="656"/>
      <c r="AA498" s="62"/>
      <c r="AB498" s="62"/>
      <c r="AC498" s="62"/>
    </row>
    <row r="499" spans="1:68" ht="14.25" hidden="1" customHeight="1" x14ac:dyDescent="0.25">
      <c r="A499" s="657" t="s">
        <v>122</v>
      </c>
      <c r="B499" s="657"/>
      <c r="C499" s="657"/>
      <c r="D499" s="657"/>
      <c r="E499" s="657"/>
      <c r="F499" s="657"/>
      <c r="G499" s="657"/>
      <c r="H499" s="657"/>
      <c r="I499" s="657"/>
      <c r="J499" s="657"/>
      <c r="K499" s="657"/>
      <c r="L499" s="657"/>
      <c r="M499" s="657"/>
      <c r="N499" s="657"/>
      <c r="O499" s="657"/>
      <c r="P499" s="657"/>
      <c r="Q499" s="657"/>
      <c r="R499" s="657"/>
      <c r="S499" s="657"/>
      <c r="T499" s="657"/>
      <c r="U499" s="657"/>
      <c r="V499" s="657"/>
      <c r="W499" s="657"/>
      <c r="X499" s="657"/>
      <c r="Y499" s="657"/>
      <c r="Z499" s="657"/>
      <c r="AA499" s="63"/>
      <c r="AB499" s="63"/>
      <c r="AC499" s="63"/>
    </row>
    <row r="500" spans="1:68" ht="27" customHeight="1" x14ac:dyDescent="0.25">
      <c r="A500" s="60" t="s">
        <v>805</v>
      </c>
      <c r="B500" s="60" t="s">
        <v>806</v>
      </c>
      <c r="C500" s="34">
        <v>4301011769</v>
      </c>
      <c r="D500" s="652">
        <v>4607091389067</v>
      </c>
      <c r="E500" s="65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4"/>
      <c r="R500" s="654"/>
      <c r="S500" s="654"/>
      <c r="T500" s="655"/>
      <c r="U500" s="37" t="s">
        <v>46</v>
      </c>
      <c r="V500" s="37" t="s">
        <v>46</v>
      </c>
      <c r="W500" s="38" t="s">
        <v>0</v>
      </c>
      <c r="X500" s="56">
        <v>100</v>
      </c>
      <c r="Y500" s="53">
        <f t="shared" ref="Y500:Y508" si="68">IFERROR(IF(X500="",0,CEILING((X500/$H500),1)*$H500),"")</f>
        <v>100.32000000000001</v>
      </c>
      <c r="Z500" s="39">
        <f t="shared" ref="Z500:Z505" si="69">IFERROR(IF(Y500=0,"",ROUNDUP(Y500/H500,0)*0.01196),"")</f>
        <v>0.22724</v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106.62878787878788</v>
      </c>
      <c r="BN500" s="75">
        <f t="shared" ref="BN500:BN508" si="71">IFERROR(Y500*I500/H500,"0")</f>
        <v>106.97</v>
      </c>
      <c r="BO500" s="75">
        <f t="shared" ref="BO500:BO508" si="72">IFERROR(1/J500*(X500/H500),"0")</f>
        <v>0.18210955710955709</v>
      </c>
      <c r="BP500" s="75">
        <f t="shared" ref="BP500:BP508" si="73">IFERROR(1/J500*(Y500/H500),"0")</f>
        <v>0.18269230769230771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652">
        <v>4680115889576</v>
      </c>
      <c r="E501" s="652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4"/>
      <c r="R501" s="654"/>
      <c r="S501" s="654"/>
      <c r="T501" s="65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652">
        <v>4680115885271</v>
      </c>
      <c r="E502" s="652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4"/>
      <c r="R502" s="654"/>
      <c r="S502" s="654"/>
      <c r="T502" s="65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652">
        <v>4680115885226</v>
      </c>
      <c r="E503" s="652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4"/>
      <c r="R503" s="654"/>
      <c r="S503" s="654"/>
      <c r="T503" s="65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652">
        <v>4680115884502</v>
      </c>
      <c r="E504" s="65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4"/>
      <c r="R504" s="654"/>
      <c r="S504" s="654"/>
      <c r="T504" s="65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customHeight="1" x14ac:dyDescent="0.25">
      <c r="A505" s="60" t="s">
        <v>819</v>
      </c>
      <c r="B505" s="60" t="s">
        <v>820</v>
      </c>
      <c r="C505" s="34">
        <v>4301011771</v>
      </c>
      <c r="D505" s="652">
        <v>4607091389104</v>
      </c>
      <c r="E505" s="65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4"/>
      <c r="R505" s="654"/>
      <c r="S505" s="654"/>
      <c r="T505" s="655"/>
      <c r="U505" s="37" t="s">
        <v>46</v>
      </c>
      <c r="V505" s="37" t="s">
        <v>46</v>
      </c>
      <c r="W505" s="38" t="s">
        <v>0</v>
      </c>
      <c r="X505" s="56">
        <v>400</v>
      </c>
      <c r="Y505" s="53">
        <f t="shared" si="68"/>
        <v>401.28000000000003</v>
      </c>
      <c r="Z505" s="39">
        <f t="shared" si="69"/>
        <v>0.90895999999999999</v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426.5151515151515</v>
      </c>
      <c r="BN505" s="75">
        <f t="shared" si="71"/>
        <v>427.88</v>
      </c>
      <c r="BO505" s="75">
        <f t="shared" si="72"/>
        <v>0.72843822843822836</v>
      </c>
      <c r="BP505" s="75">
        <f t="shared" si="73"/>
        <v>0.73076923076923084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652">
        <v>4680115886391</v>
      </c>
      <c r="E506" s="652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4"/>
      <c r="R506" s="654"/>
      <c r="S506" s="654"/>
      <c r="T506" s="65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652">
        <v>4680115880603</v>
      </c>
      <c r="E507" s="65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4"/>
      <c r="R507" s="654"/>
      <c r="S507" s="654"/>
      <c r="T507" s="655"/>
      <c r="U507" s="37" t="s">
        <v>46</v>
      </c>
      <c r="V507" s="37" t="s">
        <v>46</v>
      </c>
      <c r="W507" s="38" t="s">
        <v>0</v>
      </c>
      <c r="X507" s="56">
        <v>30</v>
      </c>
      <c r="Y507" s="53">
        <f t="shared" si="68"/>
        <v>33.6</v>
      </c>
      <c r="Z507" s="39">
        <f>IFERROR(IF(Y507=0,"",ROUNDUP(Y507/H507,0)*0.00902),"")</f>
        <v>6.3140000000000002E-2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43.187500000000007</v>
      </c>
      <c r="BN507" s="75">
        <f t="shared" si="71"/>
        <v>48.370000000000005</v>
      </c>
      <c r="BO507" s="75">
        <f t="shared" si="72"/>
        <v>4.7348484848484848E-2</v>
      </c>
      <c r="BP507" s="75">
        <f t="shared" si="73"/>
        <v>5.3030303030303039E-2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652">
        <v>4607091389982</v>
      </c>
      <c r="E508" s="652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4"/>
      <c r="R508" s="654"/>
      <c r="S508" s="654"/>
      <c r="T508" s="655"/>
      <c r="U508" s="37" t="s">
        <v>46</v>
      </c>
      <c r="V508" s="37" t="s">
        <v>46</v>
      </c>
      <c r="W508" s="38" t="s">
        <v>0</v>
      </c>
      <c r="X508" s="56">
        <v>300</v>
      </c>
      <c r="Y508" s="53">
        <f t="shared" si="68"/>
        <v>302.39999999999998</v>
      </c>
      <c r="Z508" s="39">
        <f>IFERROR(IF(Y508=0,"",ROUNDUP(Y508/H508,0)*0.00902),"")</f>
        <v>0.56825999999999999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431.875</v>
      </c>
      <c r="BN508" s="75">
        <f t="shared" si="71"/>
        <v>435.33</v>
      </c>
      <c r="BO508" s="75">
        <f t="shared" si="72"/>
        <v>0.47348484848484851</v>
      </c>
      <c r="BP508" s="75">
        <f t="shared" si="73"/>
        <v>0.47727272727272729</v>
      </c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7"/>
      <c r="P509" s="643" t="s">
        <v>40</v>
      </c>
      <c r="Q509" s="644"/>
      <c r="R509" s="644"/>
      <c r="S509" s="644"/>
      <c r="T509" s="644"/>
      <c r="U509" s="644"/>
      <c r="V509" s="645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163.44696969696969</v>
      </c>
      <c r="Y509" s="41">
        <f>IFERROR(Y500/H500,"0")+IFERROR(Y501/H501,"0")+IFERROR(Y502/H502,"0")+IFERROR(Y503/H503,"0")+IFERROR(Y504/H504,"0")+IFERROR(Y505/H505,"0")+IFERROR(Y506/H506,"0")+IFERROR(Y507/H507,"0")+IFERROR(Y508/H508,"0")</f>
        <v>165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1.7676000000000001</v>
      </c>
      <c r="AA509" s="64"/>
      <c r="AB509" s="64"/>
      <c r="AC509" s="64"/>
    </row>
    <row r="510" spans="1:68" x14ac:dyDescent="0.2">
      <c r="A510" s="646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43" t="s">
        <v>40</v>
      </c>
      <c r="Q510" s="644"/>
      <c r="R510" s="644"/>
      <c r="S510" s="644"/>
      <c r="T510" s="644"/>
      <c r="U510" s="644"/>
      <c r="V510" s="645"/>
      <c r="W510" s="40" t="s">
        <v>0</v>
      </c>
      <c r="X510" s="41">
        <f>IFERROR(SUM(X500:X508),"0")</f>
        <v>830</v>
      </c>
      <c r="Y510" s="41">
        <f>IFERROR(SUM(Y500:Y508),"0")</f>
        <v>837.6</v>
      </c>
      <c r="Z510" s="40"/>
      <c r="AA510" s="64"/>
      <c r="AB510" s="64"/>
      <c r="AC510" s="64"/>
    </row>
    <row r="511" spans="1:68" ht="14.25" hidden="1" customHeight="1" x14ac:dyDescent="0.25">
      <c r="A511" s="657" t="s">
        <v>158</v>
      </c>
      <c r="B511" s="657"/>
      <c r="C511" s="657"/>
      <c r="D511" s="657"/>
      <c r="E511" s="657"/>
      <c r="F511" s="657"/>
      <c r="G511" s="657"/>
      <c r="H511" s="657"/>
      <c r="I511" s="657"/>
      <c r="J511" s="657"/>
      <c r="K511" s="657"/>
      <c r="L511" s="657"/>
      <c r="M511" s="657"/>
      <c r="N511" s="657"/>
      <c r="O511" s="657"/>
      <c r="P511" s="657"/>
      <c r="Q511" s="657"/>
      <c r="R511" s="657"/>
      <c r="S511" s="657"/>
      <c r="T511" s="657"/>
      <c r="U511" s="657"/>
      <c r="V511" s="657"/>
      <c r="W511" s="657"/>
      <c r="X511" s="657"/>
      <c r="Y511" s="657"/>
      <c r="Z511" s="657"/>
      <c r="AA511" s="63"/>
      <c r="AB511" s="63"/>
      <c r="AC511" s="63"/>
    </row>
    <row r="512" spans="1:68" ht="16.5" customHeight="1" x14ac:dyDescent="0.25">
      <c r="A512" s="60" t="s">
        <v>828</v>
      </c>
      <c r="B512" s="60" t="s">
        <v>829</v>
      </c>
      <c r="C512" s="34">
        <v>4301020334</v>
      </c>
      <c r="D512" s="652">
        <v>4607091388930</v>
      </c>
      <c r="E512" s="652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67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4"/>
      <c r="R512" s="654"/>
      <c r="S512" s="654"/>
      <c r="T512" s="655"/>
      <c r="U512" s="37" t="s">
        <v>46</v>
      </c>
      <c r="V512" s="37" t="s">
        <v>46</v>
      </c>
      <c r="W512" s="38" t="s">
        <v>0</v>
      </c>
      <c r="X512" s="56">
        <v>350</v>
      </c>
      <c r="Y512" s="53">
        <f>IFERROR(IF(X512="",0,CEILING((X512/$H512),1)*$H512),"")</f>
        <v>353.76</v>
      </c>
      <c r="Z512" s="39">
        <f>IFERROR(IF(Y512=0,"",ROUNDUP(Y512/H512,0)*0.01196),"")</f>
        <v>0.80132000000000003</v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373.20075757575756</v>
      </c>
      <c r="BN512" s="75">
        <f>IFERROR(Y512*I512/H512,"0")</f>
        <v>377.21</v>
      </c>
      <c r="BO512" s="75">
        <f>IFERROR(1/J512*(X512/H512),"0")</f>
        <v>0.63738344988344986</v>
      </c>
      <c r="BP512" s="75">
        <f>IFERROR(1/J512*(Y512/H512),"0")</f>
        <v>0.64423076923076927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652">
        <v>4680115886407</v>
      </c>
      <c r="E513" s="652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4"/>
      <c r="R513" s="654"/>
      <c r="S513" s="654"/>
      <c r="T513" s="655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customHeight="1" x14ac:dyDescent="0.25">
      <c r="A514" s="60" t="s">
        <v>833</v>
      </c>
      <c r="B514" s="60" t="s">
        <v>834</v>
      </c>
      <c r="C514" s="34">
        <v>4301020385</v>
      </c>
      <c r="D514" s="652">
        <v>4680115880054</v>
      </c>
      <c r="E514" s="652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6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4"/>
      <c r="R514" s="654"/>
      <c r="S514" s="654"/>
      <c r="T514" s="655"/>
      <c r="U514" s="37" t="s">
        <v>46</v>
      </c>
      <c r="V514" s="37" t="s">
        <v>46</v>
      </c>
      <c r="W514" s="38" t="s">
        <v>0</v>
      </c>
      <c r="X514" s="56">
        <v>120</v>
      </c>
      <c r="Y514" s="53">
        <f>IFERROR(IF(X514="",0,CEILING((X514/$H514),1)*$H514),"")</f>
        <v>120</v>
      </c>
      <c r="Z514" s="39">
        <f>IFERROR(IF(Y514=0,"",ROUNDUP(Y514/H514,0)*0.00902),"")</f>
        <v>0.22550000000000001</v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172.75000000000003</v>
      </c>
      <c r="BN514" s="75">
        <f>IFERROR(Y514*I514/H514,"0")</f>
        <v>172.75000000000003</v>
      </c>
      <c r="BO514" s="75">
        <f>IFERROR(1/J514*(X514/H514),"0")</f>
        <v>0.18939393939393939</v>
      </c>
      <c r="BP514" s="75">
        <f>IFERROR(1/J514*(Y514/H514),"0")</f>
        <v>0.18939393939393939</v>
      </c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47"/>
      <c r="P515" s="643" t="s">
        <v>40</v>
      </c>
      <c r="Q515" s="644"/>
      <c r="R515" s="644"/>
      <c r="S515" s="644"/>
      <c r="T515" s="644"/>
      <c r="U515" s="644"/>
      <c r="V515" s="645"/>
      <c r="W515" s="40" t="s">
        <v>39</v>
      </c>
      <c r="X515" s="41">
        <f>IFERROR(X512/H512,"0")+IFERROR(X513/H513,"0")+IFERROR(X514/H514,"0")</f>
        <v>91.287878787878782</v>
      </c>
      <c r="Y515" s="41">
        <f>IFERROR(Y512/H512,"0")+IFERROR(Y513/H513,"0")+IFERROR(Y514/H514,"0")</f>
        <v>92</v>
      </c>
      <c r="Z515" s="41">
        <f>IFERROR(IF(Z512="",0,Z512),"0")+IFERROR(IF(Z513="",0,Z513),"0")+IFERROR(IF(Z514="",0,Z514),"0")</f>
        <v>1.0268200000000001</v>
      </c>
      <c r="AA515" s="64"/>
      <c r="AB515" s="64"/>
      <c r="AC515" s="64"/>
    </row>
    <row r="516" spans="1:68" x14ac:dyDescent="0.2">
      <c r="A516" s="646"/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7"/>
      <c r="P516" s="643" t="s">
        <v>40</v>
      </c>
      <c r="Q516" s="644"/>
      <c r="R516" s="644"/>
      <c r="S516" s="644"/>
      <c r="T516" s="644"/>
      <c r="U516" s="644"/>
      <c r="V516" s="645"/>
      <c r="W516" s="40" t="s">
        <v>0</v>
      </c>
      <c r="X516" s="41">
        <f>IFERROR(SUM(X512:X514),"0")</f>
        <v>470</v>
      </c>
      <c r="Y516" s="41">
        <f>IFERROR(SUM(Y512:Y514),"0")</f>
        <v>473.76</v>
      </c>
      <c r="Z516" s="40"/>
      <c r="AA516" s="64"/>
      <c r="AB516" s="64"/>
      <c r="AC516" s="64"/>
    </row>
    <row r="517" spans="1:68" ht="14.25" hidden="1" customHeight="1" x14ac:dyDescent="0.25">
      <c r="A517" s="657" t="s">
        <v>77</v>
      </c>
      <c r="B517" s="657"/>
      <c r="C517" s="657"/>
      <c r="D517" s="657"/>
      <c r="E517" s="657"/>
      <c r="F517" s="657"/>
      <c r="G517" s="657"/>
      <c r="H517" s="657"/>
      <c r="I517" s="657"/>
      <c r="J517" s="657"/>
      <c r="K517" s="657"/>
      <c r="L517" s="657"/>
      <c r="M517" s="657"/>
      <c r="N517" s="657"/>
      <c r="O517" s="657"/>
      <c r="P517" s="657"/>
      <c r="Q517" s="657"/>
      <c r="R517" s="657"/>
      <c r="S517" s="657"/>
      <c r="T517" s="657"/>
      <c r="U517" s="657"/>
      <c r="V517" s="657"/>
      <c r="W517" s="657"/>
      <c r="X517" s="657"/>
      <c r="Y517" s="657"/>
      <c r="Z517" s="657"/>
      <c r="AA517" s="63"/>
      <c r="AB517" s="63"/>
      <c r="AC517" s="63"/>
    </row>
    <row r="518" spans="1:68" ht="27" customHeight="1" x14ac:dyDescent="0.25">
      <c r="A518" s="60" t="s">
        <v>835</v>
      </c>
      <c r="B518" s="60" t="s">
        <v>836</v>
      </c>
      <c r="C518" s="34">
        <v>4301031349</v>
      </c>
      <c r="D518" s="652">
        <v>4680115883116</v>
      </c>
      <c r="E518" s="652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6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4"/>
      <c r="R518" s="654"/>
      <c r="S518" s="654"/>
      <c r="T518" s="655"/>
      <c r="U518" s="37" t="s">
        <v>46</v>
      </c>
      <c r="V518" s="37" t="s">
        <v>46</v>
      </c>
      <c r="W518" s="38" t="s">
        <v>0</v>
      </c>
      <c r="X518" s="56">
        <v>25</v>
      </c>
      <c r="Y518" s="53">
        <f t="shared" ref="Y518:Y524" si="74">IFERROR(IF(X518="",0,CEILING((X518/$H518),1)*$H518),"")</f>
        <v>26.400000000000002</v>
      </c>
      <c r="Z518" s="39">
        <f>IFERROR(IF(Y518=0,"",ROUNDUP(Y518/H518,0)*0.01196),"")</f>
        <v>5.9799999999999999E-2</v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26.657196969696969</v>
      </c>
      <c r="BN518" s="75">
        <f t="shared" ref="BN518:BN524" si="76">IFERROR(Y518*I518/H518,"0")</f>
        <v>28.15</v>
      </c>
      <c r="BO518" s="75">
        <f t="shared" ref="BO518:BO524" si="77">IFERROR(1/J518*(X518/H518),"0")</f>
        <v>4.5527389277389273E-2</v>
      </c>
      <c r="BP518" s="75">
        <f t="shared" ref="BP518:BP524" si="78">IFERROR(1/J518*(Y518/H518),"0")</f>
        <v>4.807692307692308E-2</v>
      </c>
    </row>
    <row r="519" spans="1:68" ht="27" customHeight="1" x14ac:dyDescent="0.25">
      <c r="A519" s="60" t="s">
        <v>838</v>
      </c>
      <c r="B519" s="60" t="s">
        <v>839</v>
      </c>
      <c r="C519" s="34">
        <v>4301031350</v>
      </c>
      <c r="D519" s="652">
        <v>4680115883093</v>
      </c>
      <c r="E519" s="652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4"/>
      <c r="R519" s="654"/>
      <c r="S519" s="654"/>
      <c r="T519" s="655"/>
      <c r="U519" s="37" t="s">
        <v>46</v>
      </c>
      <c r="V519" s="37" t="s">
        <v>46</v>
      </c>
      <c r="W519" s="38" t="s">
        <v>0</v>
      </c>
      <c r="X519" s="56">
        <v>30</v>
      </c>
      <c r="Y519" s="53">
        <f t="shared" si="74"/>
        <v>31.68</v>
      </c>
      <c r="Z519" s="39">
        <f>IFERROR(IF(Y519=0,"",ROUNDUP(Y519/H519,0)*0.01196),"")</f>
        <v>7.1760000000000004E-2</v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31.988636363636363</v>
      </c>
      <c r="BN519" s="75">
        <f t="shared" si="76"/>
        <v>33.779999999999994</v>
      </c>
      <c r="BO519" s="75">
        <f t="shared" si="77"/>
        <v>5.4632867132867136E-2</v>
      </c>
      <c r="BP519" s="75">
        <f t="shared" si="78"/>
        <v>5.7692307692307696E-2</v>
      </c>
    </row>
    <row r="520" spans="1:68" ht="27" customHeight="1" x14ac:dyDescent="0.25">
      <c r="A520" s="60" t="s">
        <v>841</v>
      </c>
      <c r="B520" s="60" t="s">
        <v>842</v>
      </c>
      <c r="C520" s="34">
        <v>4301031353</v>
      </c>
      <c r="D520" s="652">
        <v>4680115883109</v>
      </c>
      <c r="E520" s="652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4"/>
      <c r="R520" s="654"/>
      <c r="S520" s="654"/>
      <c r="T520" s="655"/>
      <c r="U520" s="37" t="s">
        <v>46</v>
      </c>
      <c r="V520" s="37" t="s">
        <v>46</v>
      </c>
      <c r="W520" s="38" t="s">
        <v>0</v>
      </c>
      <c r="X520" s="56">
        <v>200</v>
      </c>
      <c r="Y520" s="53">
        <f t="shared" si="74"/>
        <v>200.64000000000001</v>
      </c>
      <c r="Z520" s="39">
        <f>IFERROR(IF(Y520=0,"",ROUNDUP(Y520/H520,0)*0.01196),"")</f>
        <v>0.45448</v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213.25757575757575</v>
      </c>
      <c r="BN520" s="75">
        <f t="shared" si="76"/>
        <v>213.94</v>
      </c>
      <c r="BO520" s="75">
        <f t="shared" si="77"/>
        <v>0.36421911421911418</v>
      </c>
      <c r="BP520" s="75">
        <f t="shared" si="78"/>
        <v>0.36538461538461542</v>
      </c>
    </row>
    <row r="521" spans="1:68" ht="27" customHeight="1" x14ac:dyDescent="0.25">
      <c r="A521" s="60" t="s">
        <v>844</v>
      </c>
      <c r="B521" s="60" t="s">
        <v>845</v>
      </c>
      <c r="C521" s="34">
        <v>4301031419</v>
      </c>
      <c r="D521" s="652">
        <v>4680115882072</v>
      </c>
      <c r="E521" s="652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6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4"/>
      <c r="R521" s="654"/>
      <c r="S521" s="654"/>
      <c r="T521" s="655"/>
      <c r="U521" s="37" t="s">
        <v>46</v>
      </c>
      <c r="V521" s="37" t="s">
        <v>46</v>
      </c>
      <c r="W521" s="38" t="s">
        <v>0</v>
      </c>
      <c r="X521" s="56">
        <v>60</v>
      </c>
      <c r="Y521" s="53">
        <f t="shared" si="74"/>
        <v>62.4</v>
      </c>
      <c r="Z521" s="39">
        <f>IFERROR(IF(Y521=0,"",ROUNDUP(Y521/H521,0)*0.00902),"")</f>
        <v>0.11726</v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86.375000000000014</v>
      </c>
      <c r="BN521" s="75">
        <f t="shared" si="76"/>
        <v>89.830000000000013</v>
      </c>
      <c r="BO521" s="75">
        <f t="shared" si="77"/>
        <v>9.4696969696969696E-2</v>
      </c>
      <c r="BP521" s="75">
        <f t="shared" si="78"/>
        <v>9.8484848484848481E-2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652">
        <v>4680115882102</v>
      </c>
      <c r="E522" s="652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6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4"/>
      <c r="R522" s="654"/>
      <c r="S522" s="654"/>
      <c r="T522" s="655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customHeight="1" x14ac:dyDescent="0.25">
      <c r="A523" s="60" t="s">
        <v>846</v>
      </c>
      <c r="B523" s="60" t="s">
        <v>848</v>
      </c>
      <c r="C523" s="34">
        <v>4301031418</v>
      </c>
      <c r="D523" s="652">
        <v>4680115882102</v>
      </c>
      <c r="E523" s="652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4"/>
      <c r="R523" s="654"/>
      <c r="S523" s="654"/>
      <c r="T523" s="655"/>
      <c r="U523" s="37" t="s">
        <v>46</v>
      </c>
      <c r="V523" s="37" t="s">
        <v>46</v>
      </c>
      <c r="W523" s="38" t="s">
        <v>0</v>
      </c>
      <c r="X523" s="56">
        <v>30</v>
      </c>
      <c r="Y523" s="53">
        <f t="shared" si="74"/>
        <v>33.6</v>
      </c>
      <c r="Z523" s="39">
        <f>IFERROR(IF(Y523=0,"",ROUNDUP(Y523/H523,0)*0.00902),"")</f>
        <v>6.3140000000000002E-2</v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41.6875</v>
      </c>
      <c r="BN523" s="75">
        <f t="shared" si="76"/>
        <v>46.69</v>
      </c>
      <c r="BO523" s="75">
        <f t="shared" si="77"/>
        <v>4.7348484848484848E-2</v>
      </c>
      <c r="BP523" s="75">
        <f t="shared" si="78"/>
        <v>5.3030303030303039E-2</v>
      </c>
    </row>
    <row r="524" spans="1:68" ht="27" customHeight="1" x14ac:dyDescent="0.25">
      <c r="A524" s="60" t="s">
        <v>849</v>
      </c>
      <c r="B524" s="60" t="s">
        <v>850</v>
      </c>
      <c r="C524" s="34">
        <v>4301031417</v>
      </c>
      <c r="D524" s="652">
        <v>4680115882096</v>
      </c>
      <c r="E524" s="652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4"/>
      <c r="R524" s="654"/>
      <c r="S524" s="654"/>
      <c r="T524" s="655"/>
      <c r="U524" s="37" t="s">
        <v>46</v>
      </c>
      <c r="V524" s="37" t="s">
        <v>46</v>
      </c>
      <c r="W524" s="38" t="s">
        <v>0</v>
      </c>
      <c r="X524" s="56">
        <v>180</v>
      </c>
      <c r="Y524" s="53">
        <f t="shared" si="74"/>
        <v>182.4</v>
      </c>
      <c r="Z524" s="39">
        <f>IFERROR(IF(Y524=0,"",ROUNDUP(Y524/H524,0)*0.00902),"")</f>
        <v>0.34276000000000001</v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250.125</v>
      </c>
      <c r="BN524" s="75">
        <f t="shared" si="76"/>
        <v>253.46</v>
      </c>
      <c r="BO524" s="75">
        <f t="shared" si="77"/>
        <v>0.28409090909090912</v>
      </c>
      <c r="BP524" s="75">
        <f t="shared" si="78"/>
        <v>0.2878787878787879</v>
      </c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7"/>
      <c r="P525" s="643" t="s">
        <v>40</v>
      </c>
      <c r="Q525" s="644"/>
      <c r="R525" s="644"/>
      <c r="S525" s="644"/>
      <c r="T525" s="644"/>
      <c r="U525" s="644"/>
      <c r="V525" s="645"/>
      <c r="W525" s="40" t="s">
        <v>39</v>
      </c>
      <c r="X525" s="41">
        <f>IFERROR(X518/H518,"0")+IFERROR(X519/H519,"0")+IFERROR(X520/H520,"0")+IFERROR(X521/H521,"0")+IFERROR(X522/H522,"0")+IFERROR(X523/H523,"0")+IFERROR(X524/H524,"0")</f>
        <v>104.54545454545453</v>
      </c>
      <c r="Y525" s="41">
        <f>IFERROR(Y518/H518,"0")+IFERROR(Y519/H519,"0")+IFERROR(Y520/H520,"0")+IFERROR(Y521/H521,"0")+IFERROR(Y522/H522,"0")+IFERROR(Y523/H523,"0")+IFERROR(Y524/H524,"0")</f>
        <v>107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1.1092</v>
      </c>
      <c r="AA525" s="64"/>
      <c r="AB525" s="64"/>
      <c r="AC525" s="64"/>
    </row>
    <row r="526" spans="1:68" x14ac:dyDescent="0.2">
      <c r="A526" s="646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43" t="s">
        <v>40</v>
      </c>
      <c r="Q526" s="644"/>
      <c r="R526" s="644"/>
      <c r="S526" s="644"/>
      <c r="T526" s="644"/>
      <c r="U526" s="644"/>
      <c r="V526" s="645"/>
      <c r="W526" s="40" t="s">
        <v>0</v>
      </c>
      <c r="X526" s="41">
        <f>IFERROR(SUM(X518:X524),"0")</f>
        <v>525</v>
      </c>
      <c r="Y526" s="41">
        <f>IFERROR(SUM(Y518:Y524),"0")</f>
        <v>537.12</v>
      </c>
      <c r="Z526" s="40"/>
      <c r="AA526" s="64"/>
      <c r="AB526" s="64"/>
      <c r="AC526" s="64"/>
    </row>
    <row r="527" spans="1:68" ht="27.75" hidden="1" customHeight="1" x14ac:dyDescent="0.2">
      <c r="A527" s="663" t="s">
        <v>851</v>
      </c>
      <c r="B527" s="663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N527" s="663"/>
      <c r="O527" s="663"/>
      <c r="P527" s="663"/>
      <c r="Q527" s="663"/>
      <c r="R527" s="663"/>
      <c r="S527" s="663"/>
      <c r="T527" s="663"/>
      <c r="U527" s="663"/>
      <c r="V527" s="663"/>
      <c r="W527" s="663"/>
      <c r="X527" s="663"/>
      <c r="Y527" s="663"/>
      <c r="Z527" s="663"/>
      <c r="AA527" s="52"/>
      <c r="AB527" s="52"/>
      <c r="AC527" s="52"/>
    </row>
    <row r="528" spans="1:68" ht="16.5" hidden="1" customHeight="1" x14ac:dyDescent="0.25">
      <c r="A528" s="656" t="s">
        <v>851</v>
      </c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6"/>
      <c r="P528" s="656"/>
      <c r="Q528" s="656"/>
      <c r="R528" s="656"/>
      <c r="S528" s="656"/>
      <c r="T528" s="656"/>
      <c r="U528" s="656"/>
      <c r="V528" s="656"/>
      <c r="W528" s="656"/>
      <c r="X528" s="656"/>
      <c r="Y528" s="656"/>
      <c r="Z528" s="656"/>
      <c r="AA528" s="62"/>
      <c r="AB528" s="62"/>
      <c r="AC528" s="62"/>
    </row>
    <row r="529" spans="1:68" ht="14.25" hidden="1" customHeight="1" x14ac:dyDescent="0.25">
      <c r="A529" s="657" t="s">
        <v>122</v>
      </c>
      <c r="B529" s="657"/>
      <c r="C529" s="657"/>
      <c r="D529" s="657"/>
      <c r="E529" s="657"/>
      <c r="F529" s="657"/>
      <c r="G529" s="657"/>
      <c r="H529" s="657"/>
      <c r="I529" s="657"/>
      <c r="J529" s="657"/>
      <c r="K529" s="657"/>
      <c r="L529" s="657"/>
      <c r="M529" s="657"/>
      <c r="N529" s="657"/>
      <c r="O529" s="657"/>
      <c r="P529" s="657"/>
      <c r="Q529" s="657"/>
      <c r="R529" s="657"/>
      <c r="S529" s="657"/>
      <c r="T529" s="657"/>
      <c r="U529" s="657"/>
      <c r="V529" s="657"/>
      <c r="W529" s="657"/>
      <c r="X529" s="657"/>
      <c r="Y529" s="657"/>
      <c r="Z529" s="657"/>
      <c r="AA529" s="63"/>
      <c r="AB529" s="63"/>
      <c r="AC529" s="63"/>
    </row>
    <row r="530" spans="1:68" ht="27" customHeight="1" x14ac:dyDescent="0.25">
      <c r="A530" s="60" t="s">
        <v>852</v>
      </c>
      <c r="B530" s="60" t="s">
        <v>853</v>
      </c>
      <c r="C530" s="34">
        <v>4301011584</v>
      </c>
      <c r="D530" s="652">
        <v>4640242180564</v>
      </c>
      <c r="E530" s="652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6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4"/>
      <c r="R530" s="654"/>
      <c r="S530" s="654"/>
      <c r="T530" s="655"/>
      <c r="U530" s="37" t="s">
        <v>46</v>
      </c>
      <c r="V530" s="37" t="s">
        <v>46</v>
      </c>
      <c r="W530" s="38" t="s">
        <v>0</v>
      </c>
      <c r="X530" s="56">
        <v>125</v>
      </c>
      <c r="Y530" s="53">
        <f>IFERROR(IF(X530="",0,CEILING((X530/$H530),1)*$H530),"")</f>
        <v>132</v>
      </c>
      <c r="Z530" s="39">
        <f>IFERROR(IF(Y530=0,"",ROUNDUP(Y530/H530,0)*0.01898),"")</f>
        <v>0.20877999999999999</v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129.27083333333334</v>
      </c>
      <c r="BN530" s="75">
        <f>IFERROR(Y530*I530/H530,"0")</f>
        <v>136.51000000000002</v>
      </c>
      <c r="BO530" s="75">
        <f>IFERROR(1/J530*(X530/H530),"0")</f>
        <v>0.16276041666666666</v>
      </c>
      <c r="BP530" s="75">
        <f>IFERROR(1/J530*(Y530/H530),"0")</f>
        <v>0.171875</v>
      </c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43" t="s">
        <v>40</v>
      </c>
      <c r="Q531" s="644"/>
      <c r="R531" s="644"/>
      <c r="S531" s="644"/>
      <c r="T531" s="644"/>
      <c r="U531" s="644"/>
      <c r="V531" s="645"/>
      <c r="W531" s="40" t="s">
        <v>39</v>
      </c>
      <c r="X531" s="41">
        <f>IFERROR(X530/H530,"0")</f>
        <v>10.416666666666666</v>
      </c>
      <c r="Y531" s="41">
        <f>IFERROR(Y530/H530,"0")</f>
        <v>11</v>
      </c>
      <c r="Z531" s="41">
        <f>IFERROR(IF(Z530="",0,Z530),"0")</f>
        <v>0.20877999999999999</v>
      </c>
      <c r="AA531" s="64"/>
      <c r="AB531" s="64"/>
      <c r="AC531" s="64"/>
    </row>
    <row r="532" spans="1:68" x14ac:dyDescent="0.2">
      <c r="A532" s="646"/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7"/>
      <c r="P532" s="643" t="s">
        <v>40</v>
      </c>
      <c r="Q532" s="644"/>
      <c r="R532" s="644"/>
      <c r="S532" s="644"/>
      <c r="T532" s="644"/>
      <c r="U532" s="644"/>
      <c r="V532" s="645"/>
      <c r="W532" s="40" t="s">
        <v>0</v>
      </c>
      <c r="X532" s="41">
        <f>IFERROR(SUM(X530:X530),"0")</f>
        <v>125</v>
      </c>
      <c r="Y532" s="41">
        <f>IFERROR(SUM(Y530:Y530),"0")</f>
        <v>132</v>
      </c>
      <c r="Z532" s="40"/>
      <c r="AA532" s="64"/>
      <c r="AB532" s="64"/>
      <c r="AC532" s="64"/>
    </row>
    <row r="533" spans="1:68" ht="14.25" hidden="1" customHeight="1" x14ac:dyDescent="0.25">
      <c r="A533" s="657" t="s">
        <v>158</v>
      </c>
      <c r="B533" s="657"/>
      <c r="C533" s="657"/>
      <c r="D533" s="657"/>
      <c r="E533" s="657"/>
      <c r="F533" s="657"/>
      <c r="G533" s="657"/>
      <c r="H533" s="657"/>
      <c r="I533" s="657"/>
      <c r="J533" s="657"/>
      <c r="K533" s="657"/>
      <c r="L533" s="657"/>
      <c r="M533" s="657"/>
      <c r="N533" s="657"/>
      <c r="O533" s="657"/>
      <c r="P533" s="657"/>
      <c r="Q533" s="657"/>
      <c r="R533" s="657"/>
      <c r="S533" s="657"/>
      <c r="T533" s="657"/>
      <c r="U533" s="657"/>
      <c r="V533" s="657"/>
      <c r="W533" s="657"/>
      <c r="X533" s="657"/>
      <c r="Y533" s="657"/>
      <c r="Z533" s="657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652">
        <v>4640242180519</v>
      </c>
      <c r="E534" s="652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4"/>
      <c r="R534" s="654"/>
      <c r="S534" s="654"/>
      <c r="T534" s="65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43" t="s">
        <v>40</v>
      </c>
      <c r="Q535" s="644"/>
      <c r="R535" s="644"/>
      <c r="S535" s="644"/>
      <c r="T535" s="644"/>
      <c r="U535" s="644"/>
      <c r="V535" s="64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6"/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7"/>
      <c r="P536" s="643" t="s">
        <v>40</v>
      </c>
      <c r="Q536" s="644"/>
      <c r="R536" s="644"/>
      <c r="S536" s="644"/>
      <c r="T536" s="644"/>
      <c r="U536" s="644"/>
      <c r="V536" s="64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7" t="s">
        <v>77</v>
      </c>
      <c r="B537" s="657"/>
      <c r="C537" s="657"/>
      <c r="D537" s="657"/>
      <c r="E537" s="657"/>
      <c r="F537" s="657"/>
      <c r="G537" s="657"/>
      <c r="H537" s="657"/>
      <c r="I537" s="657"/>
      <c r="J537" s="657"/>
      <c r="K537" s="657"/>
      <c r="L537" s="657"/>
      <c r="M537" s="657"/>
      <c r="N537" s="657"/>
      <c r="O537" s="657"/>
      <c r="P537" s="657"/>
      <c r="Q537" s="657"/>
      <c r="R537" s="657"/>
      <c r="S537" s="657"/>
      <c r="T537" s="657"/>
      <c r="U537" s="657"/>
      <c r="V537" s="657"/>
      <c r="W537" s="657"/>
      <c r="X537" s="657"/>
      <c r="Y537" s="657"/>
      <c r="Z537" s="657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652">
        <v>4640242180595</v>
      </c>
      <c r="E538" s="652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66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4"/>
      <c r="R538" s="654"/>
      <c r="S538" s="654"/>
      <c r="T538" s="655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43" t="s">
        <v>40</v>
      </c>
      <c r="Q539" s="644"/>
      <c r="R539" s="644"/>
      <c r="S539" s="644"/>
      <c r="T539" s="644"/>
      <c r="U539" s="644"/>
      <c r="V539" s="64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6"/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7"/>
      <c r="P540" s="643" t="s">
        <v>40</v>
      </c>
      <c r="Q540" s="644"/>
      <c r="R540" s="644"/>
      <c r="S540" s="644"/>
      <c r="T540" s="644"/>
      <c r="U540" s="644"/>
      <c r="V540" s="64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7" t="s">
        <v>86</v>
      </c>
      <c r="B541" s="657"/>
      <c r="C541" s="657"/>
      <c r="D541" s="657"/>
      <c r="E541" s="657"/>
      <c r="F541" s="657"/>
      <c r="G541" s="657"/>
      <c r="H541" s="657"/>
      <c r="I541" s="657"/>
      <c r="J541" s="657"/>
      <c r="K541" s="657"/>
      <c r="L541" s="657"/>
      <c r="M541" s="657"/>
      <c r="N541" s="657"/>
      <c r="O541" s="657"/>
      <c r="P541" s="657"/>
      <c r="Q541" s="657"/>
      <c r="R541" s="657"/>
      <c r="S541" s="657"/>
      <c r="T541" s="657"/>
      <c r="U541" s="657"/>
      <c r="V541" s="657"/>
      <c r="W541" s="657"/>
      <c r="X541" s="657"/>
      <c r="Y541" s="657"/>
      <c r="Z541" s="657"/>
      <c r="AA541" s="63"/>
      <c r="AB541" s="63"/>
      <c r="AC541" s="63"/>
    </row>
    <row r="542" spans="1:68" ht="27" customHeight="1" x14ac:dyDescent="0.25">
      <c r="A542" s="60" t="s">
        <v>861</v>
      </c>
      <c r="B542" s="60" t="s">
        <v>862</v>
      </c>
      <c r="C542" s="34">
        <v>4301052043</v>
      </c>
      <c r="D542" s="652">
        <v>4640242180533</v>
      </c>
      <c r="E542" s="652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4"/>
      <c r="R542" s="654"/>
      <c r="S542" s="654"/>
      <c r="T542" s="655"/>
      <c r="U542" s="37" t="s">
        <v>46</v>
      </c>
      <c r="V542" s="37" t="s">
        <v>46</v>
      </c>
      <c r="W542" s="38" t="s">
        <v>0</v>
      </c>
      <c r="X542" s="56">
        <v>500</v>
      </c>
      <c r="Y542" s="53">
        <f>IFERROR(IF(X542="",0,CEILING((X542/$H542),1)*$H542),"")</f>
        <v>504</v>
      </c>
      <c r="Z542" s="39">
        <f>IFERROR(IF(Y542=0,"",ROUNDUP(Y542/H542,0)*0.01898),"")</f>
        <v>1.06288</v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527.44444444444446</v>
      </c>
      <c r="BN542" s="75">
        <f>IFERROR(Y542*I542/H542,"0")</f>
        <v>531.66399999999999</v>
      </c>
      <c r="BO542" s="75">
        <f>IFERROR(1/J542*(X542/H542),"0")</f>
        <v>0.86805555555555558</v>
      </c>
      <c r="BP542" s="75">
        <f>IFERROR(1/J542*(Y542/H542),"0")</f>
        <v>0.875</v>
      </c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43" t="s">
        <v>40</v>
      </c>
      <c r="Q543" s="644"/>
      <c r="R543" s="644"/>
      <c r="S543" s="644"/>
      <c r="T543" s="644"/>
      <c r="U543" s="644"/>
      <c r="V543" s="645"/>
      <c r="W543" s="40" t="s">
        <v>39</v>
      </c>
      <c r="X543" s="41">
        <f>IFERROR(X542/H542,"0")</f>
        <v>55.555555555555557</v>
      </c>
      <c r="Y543" s="41">
        <f>IFERROR(Y542/H542,"0")</f>
        <v>56</v>
      </c>
      <c r="Z543" s="41">
        <f>IFERROR(IF(Z542="",0,Z542),"0")</f>
        <v>1.06288</v>
      </c>
      <c r="AA543" s="64"/>
      <c r="AB543" s="64"/>
      <c r="AC543" s="64"/>
    </row>
    <row r="544" spans="1:68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43" t="s">
        <v>40</v>
      </c>
      <c r="Q544" s="644"/>
      <c r="R544" s="644"/>
      <c r="S544" s="644"/>
      <c r="T544" s="644"/>
      <c r="U544" s="644"/>
      <c r="V544" s="645"/>
      <c r="W544" s="40" t="s">
        <v>0</v>
      </c>
      <c r="X544" s="41">
        <f>IFERROR(SUM(X542:X542),"0")</f>
        <v>500</v>
      </c>
      <c r="Y544" s="41">
        <f>IFERROR(SUM(Y542:Y542),"0")</f>
        <v>504</v>
      </c>
      <c r="Z544" s="40"/>
      <c r="AA544" s="64"/>
      <c r="AB544" s="64"/>
      <c r="AC544" s="64"/>
    </row>
    <row r="545" spans="1:68" ht="14.25" hidden="1" customHeight="1" x14ac:dyDescent="0.25">
      <c r="A545" s="657" t="s">
        <v>175</v>
      </c>
      <c r="B545" s="657"/>
      <c r="C545" s="657"/>
      <c r="D545" s="657"/>
      <c r="E545" s="657"/>
      <c r="F545" s="657"/>
      <c r="G545" s="657"/>
      <c r="H545" s="657"/>
      <c r="I545" s="657"/>
      <c r="J545" s="657"/>
      <c r="K545" s="657"/>
      <c r="L545" s="657"/>
      <c r="M545" s="657"/>
      <c r="N545" s="657"/>
      <c r="O545" s="657"/>
      <c r="P545" s="657"/>
      <c r="Q545" s="657"/>
      <c r="R545" s="657"/>
      <c r="S545" s="657"/>
      <c r="T545" s="657"/>
      <c r="U545" s="657"/>
      <c r="V545" s="657"/>
      <c r="W545" s="657"/>
      <c r="X545" s="657"/>
      <c r="Y545" s="657"/>
      <c r="Z545" s="657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652">
        <v>4640242180120</v>
      </c>
      <c r="E546" s="652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4"/>
      <c r="R546" s="654"/>
      <c r="S546" s="654"/>
      <c r="T546" s="655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652">
        <v>4640242180137</v>
      </c>
      <c r="E547" s="652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5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4"/>
      <c r="R547" s="654"/>
      <c r="S547" s="654"/>
      <c r="T547" s="65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43" t="s">
        <v>40</v>
      </c>
      <c r="Q548" s="644"/>
      <c r="R548" s="644"/>
      <c r="S548" s="644"/>
      <c r="T548" s="644"/>
      <c r="U548" s="644"/>
      <c r="V548" s="645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43" t="s">
        <v>40</v>
      </c>
      <c r="Q549" s="644"/>
      <c r="R549" s="644"/>
      <c r="S549" s="644"/>
      <c r="T549" s="644"/>
      <c r="U549" s="644"/>
      <c r="V549" s="645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656" t="s">
        <v>870</v>
      </c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6"/>
      <c r="P550" s="656"/>
      <c r="Q550" s="656"/>
      <c r="R550" s="656"/>
      <c r="S550" s="656"/>
      <c r="T550" s="656"/>
      <c r="U550" s="656"/>
      <c r="V550" s="656"/>
      <c r="W550" s="656"/>
      <c r="X550" s="656"/>
      <c r="Y550" s="656"/>
      <c r="Z550" s="656"/>
      <c r="AA550" s="62"/>
      <c r="AB550" s="62"/>
      <c r="AC550" s="62"/>
    </row>
    <row r="551" spans="1:68" ht="14.25" hidden="1" customHeight="1" x14ac:dyDescent="0.25">
      <c r="A551" s="657" t="s">
        <v>158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652">
        <v>4640242180090</v>
      </c>
      <c r="E552" s="652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65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4"/>
      <c r="R552" s="654"/>
      <c r="S552" s="654"/>
      <c r="T552" s="655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47"/>
      <c r="P553" s="643" t="s">
        <v>40</v>
      </c>
      <c r="Q553" s="644"/>
      <c r="R553" s="644"/>
      <c r="S553" s="644"/>
      <c r="T553" s="644"/>
      <c r="U553" s="644"/>
      <c r="V553" s="645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647"/>
      <c r="P554" s="643" t="s">
        <v>40</v>
      </c>
      <c r="Q554" s="644"/>
      <c r="R554" s="644"/>
      <c r="S554" s="644"/>
      <c r="T554" s="644"/>
      <c r="U554" s="644"/>
      <c r="V554" s="645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651"/>
      <c r="P555" s="648" t="s">
        <v>33</v>
      </c>
      <c r="Q555" s="649"/>
      <c r="R555" s="649"/>
      <c r="S555" s="649"/>
      <c r="T555" s="649"/>
      <c r="U555" s="649"/>
      <c r="V555" s="650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17289.650000000001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17506.84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651"/>
      <c r="P556" s="648" t="s">
        <v>34</v>
      </c>
      <c r="Q556" s="649"/>
      <c r="R556" s="649"/>
      <c r="S556" s="649"/>
      <c r="T556" s="649"/>
      <c r="U556" s="649"/>
      <c r="V556" s="650"/>
      <c r="W556" s="40" t="s">
        <v>0</v>
      </c>
      <c r="X556" s="41">
        <f>IFERROR(SUM(BM22:BM552),"0")</f>
        <v>18697.670897767624</v>
      </c>
      <c r="Y556" s="41">
        <f>IFERROR(SUM(BN22:BN552),"0")</f>
        <v>18931.777999999998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651"/>
      <c r="P557" s="648" t="s">
        <v>35</v>
      </c>
      <c r="Q557" s="649"/>
      <c r="R557" s="649"/>
      <c r="S557" s="649"/>
      <c r="T557" s="649"/>
      <c r="U557" s="649"/>
      <c r="V557" s="650"/>
      <c r="W557" s="40" t="s">
        <v>20</v>
      </c>
      <c r="X557" s="42">
        <f>ROUNDUP(SUM(BO22:BO552),0)</f>
        <v>34</v>
      </c>
      <c r="Y557" s="42">
        <f>ROUNDUP(SUM(BP22:BP552),0)</f>
        <v>35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651"/>
      <c r="P558" s="648" t="s">
        <v>36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GrossWeightTotal+PalletQtyTotal*25</f>
        <v>19547.670897767624</v>
      </c>
      <c r="Y558" s="41">
        <f>GrossWeightTotalR+PalletQtyTotalR*25</f>
        <v>19806.777999999998</v>
      </c>
      <c r="Z558" s="40"/>
      <c r="AA558" s="64"/>
      <c r="AB558" s="64"/>
      <c r="AC558" s="64"/>
    </row>
    <row r="559" spans="1:68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51"/>
      <c r="P559" s="648" t="s">
        <v>37</v>
      </c>
      <c r="Q559" s="649"/>
      <c r="R559" s="649"/>
      <c r="S559" s="649"/>
      <c r="T559" s="649"/>
      <c r="U559" s="649"/>
      <c r="V559" s="650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4529.1731531559135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4567</v>
      </c>
      <c r="Z559" s="40"/>
      <c r="AA559" s="64"/>
      <c r="AB559" s="64"/>
      <c r="AC559" s="64"/>
    </row>
    <row r="560" spans="1:68" ht="14.25" hidden="1" x14ac:dyDescent="0.2">
      <c r="A560" s="646"/>
      <c r="B560" s="646"/>
      <c r="C560" s="646"/>
      <c r="D560" s="646"/>
      <c r="E560" s="646"/>
      <c r="F560" s="646"/>
      <c r="G560" s="646"/>
      <c r="H560" s="646"/>
      <c r="I560" s="646"/>
      <c r="J560" s="646"/>
      <c r="K560" s="646"/>
      <c r="L560" s="646"/>
      <c r="M560" s="646"/>
      <c r="N560" s="646"/>
      <c r="O560" s="651"/>
      <c r="P560" s="648" t="s">
        <v>38</v>
      </c>
      <c r="Q560" s="649"/>
      <c r="R560" s="649"/>
      <c r="S560" s="649"/>
      <c r="T560" s="649"/>
      <c r="U560" s="649"/>
      <c r="V560" s="650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41.024330000000013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639" t="s">
        <v>120</v>
      </c>
      <c r="E562" s="639" t="s">
        <v>120</v>
      </c>
      <c r="F562" s="639" t="s">
        <v>120</v>
      </c>
      <c r="G562" s="639" t="s">
        <v>120</v>
      </c>
      <c r="H562" s="639" t="s">
        <v>120</v>
      </c>
      <c r="I562" s="639" t="s">
        <v>120</v>
      </c>
      <c r="J562" s="639" t="s">
        <v>120</v>
      </c>
      <c r="K562" s="639" t="s">
        <v>353</v>
      </c>
      <c r="L562" s="639" t="s">
        <v>353</v>
      </c>
      <c r="M562" s="639" t="s">
        <v>353</v>
      </c>
      <c r="N562" s="640"/>
      <c r="O562" s="639" t="s">
        <v>353</v>
      </c>
      <c r="P562" s="639" t="s">
        <v>353</v>
      </c>
      <c r="Q562" s="639" t="s">
        <v>353</v>
      </c>
      <c r="R562" s="639" t="s">
        <v>353</v>
      </c>
      <c r="S562" s="639" t="s">
        <v>353</v>
      </c>
      <c r="T562" s="639" t="s">
        <v>353</v>
      </c>
      <c r="U562" s="639" t="s">
        <v>353</v>
      </c>
      <c r="V562" s="639" t="s">
        <v>353</v>
      </c>
      <c r="W562" s="639" t="s">
        <v>702</v>
      </c>
      <c r="X562" s="639" t="s">
        <v>702</v>
      </c>
      <c r="Y562" s="639" t="s">
        <v>768</v>
      </c>
      <c r="Z562" s="639" t="s">
        <v>768</v>
      </c>
      <c r="AA562" s="80" t="s">
        <v>804</v>
      </c>
      <c r="AB562" s="639" t="s">
        <v>851</v>
      </c>
      <c r="AC562" s="639" t="s">
        <v>851</v>
      </c>
      <c r="AF562" s="1"/>
    </row>
    <row r="563" spans="1:32" ht="14.25" customHeight="1" thickTop="1" x14ac:dyDescent="0.2">
      <c r="A563" s="641" t="s">
        <v>10</v>
      </c>
      <c r="B563" s="639" t="s">
        <v>76</v>
      </c>
      <c r="C563" s="639" t="s">
        <v>104</v>
      </c>
      <c r="D563" s="639" t="s">
        <v>121</v>
      </c>
      <c r="E563" s="639" t="s">
        <v>137</v>
      </c>
      <c r="F563" s="639" t="s">
        <v>182</v>
      </c>
      <c r="G563" s="639" t="s">
        <v>203</v>
      </c>
      <c r="H563" s="639" t="s">
        <v>243</v>
      </c>
      <c r="I563" s="639" t="s">
        <v>267</v>
      </c>
      <c r="J563" s="639" t="s">
        <v>120</v>
      </c>
      <c r="K563" s="639" t="s">
        <v>354</v>
      </c>
      <c r="L563" s="639" t="s">
        <v>375</v>
      </c>
      <c r="M563" s="639" t="s">
        <v>442</v>
      </c>
      <c r="N563" s="1"/>
      <c r="O563" s="639" t="s">
        <v>510</v>
      </c>
      <c r="P563" s="639" t="s">
        <v>543</v>
      </c>
      <c r="Q563" s="639" t="s">
        <v>559</v>
      </c>
      <c r="R563" s="639" t="s">
        <v>568</v>
      </c>
      <c r="S563" s="639" t="s">
        <v>589</v>
      </c>
      <c r="T563" s="639" t="s">
        <v>598</v>
      </c>
      <c r="U563" s="639" t="s">
        <v>682</v>
      </c>
      <c r="V563" s="639" t="s">
        <v>692</v>
      </c>
      <c r="W563" s="639" t="s">
        <v>703</v>
      </c>
      <c r="X563" s="639" t="s">
        <v>752</v>
      </c>
      <c r="Y563" s="639" t="s">
        <v>769</v>
      </c>
      <c r="Z563" s="639" t="s">
        <v>792</v>
      </c>
      <c r="AA563" s="639" t="s">
        <v>804</v>
      </c>
      <c r="AB563" s="639" t="s">
        <v>851</v>
      </c>
      <c r="AC563" s="639" t="s">
        <v>870</v>
      </c>
      <c r="AF563" s="1"/>
    </row>
    <row r="564" spans="1:32" ht="13.5" thickBot="1" x14ac:dyDescent="0.25">
      <c r="A564" s="642"/>
      <c r="B564" s="639"/>
      <c r="C564" s="639"/>
      <c r="D564" s="639"/>
      <c r="E564" s="639"/>
      <c r="F564" s="639"/>
      <c r="G564" s="639"/>
      <c r="H564" s="639"/>
      <c r="I564" s="639"/>
      <c r="J564" s="639"/>
      <c r="K564" s="639"/>
      <c r="L564" s="639"/>
      <c r="M564" s="639"/>
      <c r="N564" s="1"/>
      <c r="O564" s="639"/>
      <c r="P564" s="639"/>
      <c r="Q564" s="639"/>
      <c r="R564" s="639"/>
      <c r="S564" s="639"/>
      <c r="T564" s="639"/>
      <c r="U564" s="639"/>
      <c r="V564" s="639"/>
      <c r="W564" s="639"/>
      <c r="X564" s="639"/>
      <c r="Y564" s="639"/>
      <c r="Z564" s="639"/>
      <c r="AA564" s="639"/>
      <c r="AB564" s="639"/>
      <c r="AC564" s="639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17.28</v>
      </c>
      <c r="D565" s="50">
        <f>IFERROR(Y47*1,"0")+IFERROR(Y48*1,"0")+IFERROR(Y49*1,"0")+IFERROR(Y50*1,"0")</f>
        <v>100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579.6</v>
      </c>
      <c r="F565" s="50">
        <f>IFERROR(Y84*1,"0")+IFERROR(Y85*1,"0")+IFERROR(Y86*1,"0")+IFERROR(Y87*1,"0")+IFERROR(Y91*1,"0")+IFERROR(Y92*1,"0")+IFERROR(Y93*1,"0")+IFERROR(Y94*1,"0")</f>
        <v>1568.7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1238.04</v>
      </c>
      <c r="H565" s="50">
        <f>IFERROR(Y129*1,"0")+IFERROR(Y130*1,"0")+IFERROR(Y131*1,"0")+IFERROR(Y135*1,"0")+IFERROR(Y136*1,"0")+IFERROR(Y137*1,"0")+IFERROR(Y138*1,"0")+IFERROR(Y142*1,"0")+IFERROR(Y143*1,"0")+IFERROR(Y144*1,"0")</f>
        <v>123.28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1609.7399999999998</v>
      </c>
      <c r="K565" s="50">
        <f>IFERROR(Y206*1,"0")+IFERROR(Y207*1,"0")+IFERROR(Y208*1,"0")+IFERROR(Y209*1,"0")+IFERROR(Y210*1,"0")+IFERROR(Y211*1,"0")+IFERROR(Y212*1,"0")</f>
        <v>205.20000000000002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805.62000000000012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3903.9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78.400000000000006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501.59999999999997</v>
      </c>
      <c r="R565" s="50">
        <f>IFERROR(Y340*1,"0")+IFERROR(Y341*1,"0")+IFERROR(Y342*1,"0")+IFERROR(Y343*1,"0")+IFERROR(Y344*1,"0")+IFERROR(Y348*1,"0")+IFERROR(Y349*1,"0")</f>
        <v>0</v>
      </c>
      <c r="S565" s="50">
        <f>IFERROR(Y354*1,"0")+IFERROR(Y355*1,"0")+IFERROR(Y356*1,"0")</f>
        <v>647.4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1962.6000000000001</v>
      </c>
      <c r="U565" s="50">
        <f>IFERROR(Y413*1,"0")+IFERROR(Y414*1,"0")</f>
        <v>0</v>
      </c>
      <c r="V565" s="50">
        <f>IFERROR(Y419*1,"0")+IFERROR(Y420*1,"0")+IFERROR(Y421*1,"0")</f>
        <v>735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859</v>
      </c>
      <c r="X565" s="50">
        <f>IFERROR(Y456*1,"0")+IFERROR(Y457*1,"0")+IFERROR(Y461*1,"0")+IFERROR(Y465*1,"0")+IFERROR(Y466*1,"0")+IFERROR(Y467*1,"0")</f>
        <v>87</v>
      </c>
      <c r="Y565" s="50">
        <f>IFERROR(Y473*1,"0")+IFERROR(Y474*1,"0")+IFERROR(Y475*1,"0")+IFERROR(Y476*1,"0")+IFERROR(Y477*1,"0")+IFERROR(Y478*1,"0")+IFERROR(Y482*1,"0")+IFERROR(Y483*1,"0")</f>
        <v>0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1848.4800000000005</v>
      </c>
      <c r="AB565" s="50">
        <f>IFERROR(Y530*1,"0")+IFERROR(Y534*1,"0")+IFERROR(Y538*1,"0")+IFERROR(Y542*1,"0")+IFERROR(Y546*1,"0")+IFERROR(Y547*1,"0")</f>
        <v>636</v>
      </c>
      <c r="AC565" s="50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5,00"/>
        <filter val="1 185,00"/>
        <filter val="1 225,00"/>
        <filter val="1 582,00"/>
        <filter val="10,00"/>
        <filter val="10,42"/>
        <filter val="10,95"/>
        <filter val="100,00"/>
        <filter val="104,55"/>
        <filter val="105,00"/>
        <filter val="11,11"/>
        <filter val="11,67"/>
        <filter val="112,00"/>
        <filter val="12,50"/>
        <filter val="120,00"/>
        <filter val="125,00"/>
        <filter val="13,50"/>
        <filter val="133,33"/>
        <filter val="138,97"/>
        <filter val="14,00"/>
        <filter val="140,00"/>
        <filter val="150,00"/>
        <filter val="16,00"/>
        <filter val="16,25"/>
        <filter val="163,45"/>
        <filter val="17 289,65"/>
        <filter val="18 697,67"/>
        <filter val="18,00"/>
        <filter val="18,52"/>
        <filter val="180,00"/>
        <filter val="19 547,67"/>
        <filter val="190,00"/>
        <filter val="2 450,00"/>
        <filter val="2,78"/>
        <filter val="20,00"/>
        <filter val="200,00"/>
        <filter val="206,79"/>
        <filter val="208,33"/>
        <filter val="225,00"/>
        <filter val="230,00"/>
        <filter val="239,20"/>
        <filter val="24,50"/>
        <filter val="24,75"/>
        <filter val="25,00"/>
        <filter val="250,00"/>
        <filter val="255,00"/>
        <filter val="262,50"/>
        <filter val="3,33"/>
        <filter val="30,00"/>
        <filter val="30,56"/>
        <filter val="300,00"/>
        <filter val="307,50"/>
        <filter val="309,76"/>
        <filter val="315,00"/>
        <filter val="325,00"/>
        <filter val="337,50"/>
        <filter val="34"/>
        <filter val="340,00"/>
        <filter val="35,00"/>
        <filter val="350,00"/>
        <filter val="375,00"/>
        <filter val="38,00"/>
        <filter val="38,50"/>
        <filter val="4 529,17"/>
        <filter val="4,17"/>
        <filter val="4,50"/>
        <filter val="4,63"/>
        <filter val="40,00"/>
        <filter val="400,00"/>
        <filter val="405,00"/>
        <filter val="42,59"/>
        <filter val="42,90"/>
        <filter val="45,00"/>
        <filter val="450,00"/>
        <filter val="470,00"/>
        <filter val="50,00"/>
        <filter val="500,00"/>
        <filter val="520,00"/>
        <filter val="525,00"/>
        <filter val="55,56"/>
        <filter val="550,00"/>
        <filter val="56,00"/>
        <filter val="570,00"/>
        <filter val="579,52"/>
        <filter val="6,25"/>
        <filter val="60,00"/>
        <filter val="600,00"/>
        <filter val="62,50"/>
        <filter val="625,00"/>
        <filter val="682,36"/>
        <filter val="70,00"/>
        <filter val="735,00"/>
        <filter val="75,00"/>
        <filter val="75,56"/>
        <filter val="760,00"/>
        <filter val="761,50"/>
        <filter val="8,00"/>
        <filter val="8,33"/>
        <filter val="80,13"/>
        <filter val="830,00"/>
        <filter val="85,00"/>
        <filter val="90,00"/>
        <filter val="91,29"/>
        <filter val="95,8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9" spans="2:8" x14ac:dyDescent="0.2">
      <c r="B9" s="51" t="s">
        <v>883</v>
      </c>
      <c r="C9" s="51" t="s">
        <v>878</v>
      </c>
      <c r="D9" s="51" t="s">
        <v>46</v>
      </c>
      <c r="E9" s="51" t="s">
        <v>46</v>
      </c>
    </row>
    <row r="11" spans="2:8" x14ac:dyDescent="0.2">
      <c r="B11" s="51" t="s">
        <v>883</v>
      </c>
      <c r="C11" s="51" t="s">
        <v>881</v>
      </c>
      <c r="D11" s="51" t="s">
        <v>46</v>
      </c>
      <c r="E11" s="51" t="s">
        <v>46</v>
      </c>
    </row>
    <row r="13" spans="2:8" x14ac:dyDescent="0.2">
      <c r="B13" s="51" t="s">
        <v>884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