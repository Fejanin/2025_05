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0306A4-1EFA-45C5-A9EE-223953DF5C2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72" i="2" l="1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32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<sst xmlns="http://schemas.openxmlformats.org/spreadsheetml/2006/main" count="4194" uniqueCount="891">
  <si>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</si>
  <si>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</si>
  <si>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</si>
  <si>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</si>
  <si>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</si>
  <si>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</si>
  <si>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</si>
  <si>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</si>
  <si>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</si>
  <si>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</si>
  <si>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</si>
  <si>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</si>
  <si>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</si>
  <si>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</si>
  <si>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</si>
  <si>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</si>
  <si>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</si>
  <si>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</si>
  <si>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</si>
  <si>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</si>
  <si>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</si>
  <si>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</si>
  <si>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</si>
  <si>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</si>
  <si>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</si>
  <si>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</si>
  <si>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</si>
  <si>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</si>
  <si>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</si>
  <si>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</si>
  <si>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</si>
  <si>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</si>
  <si>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</si>
  <si>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</si>
  <si>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</si>
  <si>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</si>
  <si>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</si>
  <si>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</si>
  <si>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</si>
  <si>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</si>
  <si>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</si>
  <si>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</si>
  <si>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</si>
  <si>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</si>
  <si>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</si>
  <si>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</si>
  <si>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</si>
  <si>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</si>
  <si>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</si>
  <si>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</si>
  <si>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</si>
  <si>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</si>
  <si>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</si>
  <si>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</si>
  <si>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</si>
  <si>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</si>
  <si>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</si>
  <si>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</si>
  <si>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</si>
  <si>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</si>
  <si>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</si>
  <si>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</si>
  <si>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</si>
  <si>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</si>
  <si>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</si>
  <si>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</si>
  <si>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</si>
  <si>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</si>
  <si>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</si>
  <si>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</si>
  <si>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</si>
  <si>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</si>
  <si>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</si>
  <si>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</si>
  <si>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</si>
  <si>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</si>
  <si>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</si>
  <si>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</si>
  <si>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</si>
  <si>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</si>
  <si>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</si>
  <si>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</si>
  <si>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</si>
  <si>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</si>
  <si>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</si>
  <si>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</si>
  <si>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</si>
  <si>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</si>
  <si>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</si>
  <si>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</si>
  <si>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</si>
  <si>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</si>
  <si>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</si>
  <si>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</si>
  <si>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</si>
  <si>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</si>
  <si>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</si>
  <si>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</si>
  <si>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</si>
  <si>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</si>
  <si>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</si>
  <si>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</si>
  <si>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</si>
  <si>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</si>
  <si>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</si>
  <si>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</si>
  <si>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</si>
  <si>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</si>
  <si>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</si>
  <si>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</si>
  <si>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</si>
  <si>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</si>
  <si>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</si>
  <si>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</si>
  <si>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</si>
  <si>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</si>
  <si>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</si>
  <si>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</si>
  <si>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</si>
  <si>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</si>
  <si>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</si>
  <si>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</si>
  <si>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</si>
  <si>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</si>
  <si>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</si>
  <si>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</si>
  <si>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</si>
  <si>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</si>
  <si>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</si>
  <si>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</si>
  <si>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</si>
  <si>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</si>
  <si>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</si>
  <si>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</si>
  <si>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</si>
  <si>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</si>
  <si>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</si>
  <si>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</si>
  <si>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</si>
  <si>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</si>
  <si>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</si>
  <si>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</si>
  <si>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</si>
  <si>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</si>
  <si>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</si>
  <si>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</si>
  <si>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</si>
  <si>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</si>
  <si>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</si>
  <si>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</si>
  <si>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</si>
  <si>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</si>
  <si>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</si>
  <si>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</si>
  <si>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</si>
  <si>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</si>
  <si>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</si>
  <si>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</si>
  <si>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</si>
  <si>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</si>
  <si>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</si>
  <si>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</si>
  <si>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</si>
  <si>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</si>
  <si>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</si>
  <si>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</si>
  <si>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</si>
  <si>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</si>
  <si>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</si>
  <si>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</si>
  <si>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</si>
  <si>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</si>
  <si>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</si>
  <si>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</si>
  <si>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</si>
  <si>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</si>
  <si>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</si>
  <si>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</si>
  <si>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</si>
  <si>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</si>
  <si>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</si>
  <si>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</si>
  <si>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</si>
  <si>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</si>
  <si>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</si>
  <si>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</si>
  <si>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</si>
  <si>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</si>
  <si>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</si>
  <si>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</si>
  <si>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</si>
  <si>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</si>
  <si>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</si>
  <si>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</si>
  <si>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</si>
  <si>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</si>
  <si>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</si>
  <si>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</si>
  <si>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</si>
  <si>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</si>
  <si>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</si>
  <si>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</si>
  <si>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</si>
  <si>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</si>
  <si>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</si>
  <si>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</si>
  <si>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</si>
  <si>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</si>
  <si>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</si>
  <si>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</si>
  <si>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</si>
  <si>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</si>
  <si>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</si>
  <si>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</si>
  <si>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</si>
  <si>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</si>
  <si>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</si>
  <si>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</si>
  <si>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</si>
  <si>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</si>
  <si>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</si>
  <si>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</si>
  <si>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</si>
  <si>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</si>
  <si>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</si>
  <si>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</si>
  <si>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</si>
  <si>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</si>
  <si>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</si>
  <si>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</si>
  <si>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</si>
  <si>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</si>
  <si>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</si>
  <si>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</si>
  <si>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</si>
  <si>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</si>
  <si>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</si>
  <si>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</si>
  <si>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</si>
  <si>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</si>
  <si>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</si>
  <si>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</si>
  <si>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</si>
  <si>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</si>
  <si>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</si>
  <si>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</si>
  <si>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</si>
  <si>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</si>
  <si>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</si>
  <si>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</si>
  <si>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</si>
  <si>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</si>
  <si>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</si>
  <si>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</si>
  <si>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</si>
  <si>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</si>
  <si>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</si>
  <si>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</si>
  <si>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</si>
  <si>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</si>
  <si>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</si>
  <si>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</si>
  <si>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</si>
  <si>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</si>
  <si>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</si>
  <si>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</si>
  <si>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</si>
  <si>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</si>
  <si>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</si>
  <si>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</si>
  <si>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</si>
  <si>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</si>
  <si>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</si>
  <si>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</si>
  <si>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</si>
  <si>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</si>
  <si>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</si>
  <si>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</si>
  <si>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</si>
  <si>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</si>
  <si>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</si>
  <si>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</si>
  <si>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</si>
  <si>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</si>
  <si>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</si>
  <si>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</si>
  <si>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</si>
  <si>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</si>
  <si>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</si>
  <si>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</si>
  <si>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</si>
  <si>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</si>
  <si>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</si>
  <si>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</si>
  <si>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</si>
  <si>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</si>
  <si>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</si>
  <si>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</si>
  <si>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</si>
  <si>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</si>
  <si>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</si>
  <si>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</si>
  <si>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</si>
  <si>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</si>
  <si>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</si>
  <si>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</si>
  <si>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</si>
  <si>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</si>
  <si>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</si>
  <si>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</si>
  <si>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</si>
  <si>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</si>
  <si>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</si>
  <si>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</si>
  <si>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</si>
  <si>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</si>
  <si>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</si>
  <si>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</si>
  <si>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</si>
  <si>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</si>
  <si>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</si>
  <si>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</si>
  <si>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</si>
  <si>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</si>
  <si>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</si>
  <si>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</si>
  <si>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</si>
  <si>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</si>
  <si>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</si>
  <si>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</si>
  <si>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</si>
  <si>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</si>
  <si>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</si>
  <si>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</si>
  <si>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</si>
  <si>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</si>
  <si>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</si>
  <si>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</si>
  <si>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</si>
  <si>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</si>
  <si>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</si>
  <si>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</si>
  <si>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</si>
  <si>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</si>
  <si>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</si>
  <si>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</si>
  <si>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</si>
  <si>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</si>
  <si>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</si>
  <si>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</si>
  <si>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</si>
  <si>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</si>
  <si>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</si>
  <si>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</si>
  <si>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</si>
  <si>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</si>
  <si>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</si>
  <si>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</si>
  <si>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</si>
  <si>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</si>
  <si>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</si>
  <si>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</si>
  <si>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</si>
  <si>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</si>
  <si>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</si>
  <si>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</si>
  <si>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</si>
  <si>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</si>
  <si>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</si>
  <si>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</si>
  <si>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</si>
  <si>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</si>
  <si>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</si>
  <si>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</si>
  <si>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</si>
  <si>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</si>
  <si>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</si>
  <si>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</si>
  <si>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</si>
  <si>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</si>
  <si>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</si>
  <si>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</si>
  <si>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</si>
  <si>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</si>
  <si>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</si>
  <si>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</si>
  <si>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</si>
  <si>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</si>
  <si>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</si>
  <si>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</si>
  <si>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</si>
  <si>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</si>
  <si>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</si>
  <si>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</si>
  <si>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</si>
  <si>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</si>
  <si>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</si>
  <si>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</si>
  <si>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</si>
  <si>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</si>
  <si>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</si>
  <si>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</si>
  <si>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</si>
  <si>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</si>
  <si>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</si>
  <si>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</si>
  <si>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</si>
  <si>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</si>
  <si>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</si>
  <si>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</si>
  <si>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</si>
  <si>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</si>
  <si>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</si>
  <si>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</si>
  <si>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</si>
  <si>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</si>
  <si>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</si>
  <si>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</si>
  <si>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</si>
  <si>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</si>
  <si>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</si>
  <si>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</si>
  <si>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</si>
  <si>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</si>
  <si>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</si>
  <si>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</si>
  <si>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</si>
  <si>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</si>
  <si>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</si>
  <si>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</si>
  <si>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</si>
  <si>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</si>
  <si>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</si>
  <si>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</si>
  <si>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</si>
  <si>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</si>
  <si>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</si>
  <si>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</si>
  <si>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</si>
  <si>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</si>
  <si>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</si>
  <si>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</si>
  <si>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</si>
  <si>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</si>
  <si>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</si>
  <si>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</si>
  <si>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</si>
  <si>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</si>
  <si>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</si>
  <si>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</si>
  <si>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</si>
  <si>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</si>
  <si>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</si>
  <si>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</si>
  <si>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</si>
  <si>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</si>
  <si>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</si>
  <si>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</si>
  <si>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</si>
  <si>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</si>
  <si>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</si>
  <si>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</si>
  <si>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</si>
  <si>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</si>
  <si>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</si>
  <si>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</si>
  <si>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</si>
  <si>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</si>
  <si>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</si>
  <si>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</si>
  <si>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</si>
  <si>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</si>
  <si>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</si>
  <si>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</si>
  <si>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</si>
  <si>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</si>
  <si>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</si>
  <si>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</si>
  <si>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</si>
  <si>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</si>
  <si>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</si>
  <si>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</si>
  <si>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</si>
  <si>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</si>
  <si>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</si>
  <si>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</si>
  <si>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</si>
  <si>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</si>
  <si>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</si>
  <si>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</si>
  <si>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</si>
  <si>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</si>
  <si>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</si>
  <si>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</si>
  <si>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</si>
  <si>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</si>
  <si>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</si>
  <si>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</si>
  <si>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</si>
  <si>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</si>
  <si>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</si>
  <si>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</si>
  <si>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</si>
  <si>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</si>
  <si>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</si>
  <si>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</si>
  <si>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</si>
  <si>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</si>
  <si>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</si>
  <si>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</si>
  <si>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</si>
  <si>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</si>
  <si>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</si>
  <si>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</si>
  <si>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</si>
  <si>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</si>
  <si>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</si>
  <si>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</si>
  <si>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</si>
  <si>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</si>
  <si>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</si>
  <si>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</si>
  <si>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</si>
  <si>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</si>
  <si>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</si>
  <si>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</si>
  <si>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</si>
  <si>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</si>
  <si>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</si>
  <si>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</si>
  <si>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</si>
  <si>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</si>
  <si>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</si>
  <si>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</si>
  <si>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</si>
  <si>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</si>
  <si>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</si>
  <si>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</si>
  <si>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</si>
  <si>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</si>
  <si>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</si>
  <si>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</si>
  <si>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</si>
  <si>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</si>
  <si>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</si>
  <si>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</si>
  <si>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</si>
  <si>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</si>
  <si>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</si>
  <si>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</si>
  <si>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</si>
  <si>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</si>
  <si>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</si>
  <si>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</si>
  <si>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</si>
  <si>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</si>
  <si>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</si>
  <si>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</si>
  <si>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</si>
  <si>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</si>
  <si>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</si>
  <si>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</si>
  <si>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</si>
  <si>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</si>
  <si>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</si>
  <si>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</si>
  <si>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</si>
  <si>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</si>
  <si>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</si>
  <si>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</si>
  <si>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</si>
  <si>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</si>
  <si>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</si>
  <si>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</si>
  <si>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</si>
  <si>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</si>
  <si>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</si>
  <si>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</si>
  <si>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</si>
  <si>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</si>
  <si>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</si>
  <si>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</si>
  <si>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</si>
  <si>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</si>
  <si>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</si>
  <si>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</si>
  <si>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</si>
  <si>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</si>
  <si>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</si>
  <si>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</si>
  <si>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</si>
  <si>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</si>
  <si>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</si>
  <si>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</si>
  <si>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</si>
  <si>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</si>
  <si>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</si>
  <si>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</si>
  <si>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</si>
  <si>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</si>
  <si>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</si>
  <si>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</si>
  <si>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</si>
  <si>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</si>
  <si>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</si>
  <si>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</si>
  <si>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</si>
  <si>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</si>
  <si>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</si>
  <si>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</si>
  <si>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</si>
  <si>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</si>
  <si>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</si>
  <si>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</si>
  <si>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</si>
  <si>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</si>
  <si>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</si>
  <si>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</si>
  <si>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</si>
  <si>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</si>
  <si>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</si>
  <si>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</si>
  <si>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</si>
  <si>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</si>
  <si>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</si>
  <si>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</si>
  <si>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</si>
  <si>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</si>
  <si>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</si>
  <si>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</si>
  <si>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</si>
  <si>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</si>
  <si>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</si>
  <si>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</si>
  <si>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</si>
  <si>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</si>
  <si>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</si>
  <si>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</si>
  <si>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</si>
  <si>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</si>
  <si>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</si>
  <si>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</si>
  <si>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</si>
  <si>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</si>
  <si>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</si>
  <si>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</si>
  <si>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</si>
  <si>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</si>
  <si>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</si>
  <si>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</si>
  <si>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</si>
  <si>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</si>
  <si>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</si>
  <si>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</si>
  <si>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</si>
  <si>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</si>
  <si>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</si>
  <si>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</si>
  <si>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</si>
  <si>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</si>
  <si>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</si>
  <si>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</si>
  <si>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</si>
  <si>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</si>
  <si>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</si>
  <si>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</si>
  <si>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</si>
  <si>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</si>
  <si>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</si>
  <si>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</si>
  <si>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</si>
  <si>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</si>
  <si>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</si>
  <si>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</si>
  <si>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</si>
  <si>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</si>
  <si>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</si>
  <si>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</si>
  <si>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</si>
  <si>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</si>
  <si>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</si>
  <si>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</si>
  <si>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</si>
  <si>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</si>
  <si>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</si>
  <si>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</si>
  <si>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</si>
  <si>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</si>
  <si>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</si>
  <si>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</si>
  <si>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</si>
  <si>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</si>
  <si>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</si>
  <si>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</si>
  <si>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</si>
  <si>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</si>
  <si>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</si>
  <si>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</si>
  <si>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</si>
  <si>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</si>
  <si>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</si>
  <si>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</si>
  <si>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</si>
  <si>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</si>
  <si>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</si>
  <si>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</si>
  <si>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</si>
  <si>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</si>
  <si>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</si>
  <si>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</si>
  <si>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</si>
  <si>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</si>
  <si>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</si>
  <si>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</si>
  <si>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</si>
  <si>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</si>
  <si>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</si>
  <si>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</si>
  <si>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</si>
  <si>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</si>
  <si>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</si>
  <si>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</si>
  <si>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</si>
  <si>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</si>
  <si>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</si>
  <si>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</si>
  <si>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</si>
  <si>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</si>
  <si>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</si>
  <si>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</si>
  <si>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</si>
  <si>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</si>
  <si>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</si>
  <si>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</si>
  <si>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</si>
  <si>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</si>
  <si>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</si>
  <si>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</si>
  <si>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</si>
  <si>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</si>
  <si>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</si>
  <si>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</si>
  <si>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</si>
  <si>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</si>
  <si>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</si>
  <si>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</si>
  <si>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</si>
  <si>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</si>
  <si>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</si>
  <si>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</si>
  <si>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</si>
  <si>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</si>
  <si>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</si>
  <si>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</si>
  <si>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</si>
  <si>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</si>
  <si>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</si>
  <si>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</si>
  <si>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</si>
  <si>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</si>
  <si>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</si>
  <si>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</si>
  <si>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</si>
  <si>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</si>
  <si>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</si>
  <si>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</si>
  <si>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</si>
  <si>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</si>
  <si>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</si>
  <si>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</si>
  <si>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</si>
  <si>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</si>
  <si>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</si>
  <si>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</si>
  <si>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</si>
  <si>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</si>
  <si>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</si>
  <si>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</si>
  <si>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</si>
  <si>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</si>
  <si>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</si>
  <si>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</si>
  <si>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</si>
  <si>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</si>
  <si>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</si>
  <si>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</si>
  <si>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</si>
  <si>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</si>
  <si>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</si>
  <si>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</si>
  <si>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</si>
  <si>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</si>
  <si>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</si>
  <si>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</si>
  <si>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</si>
  <si>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</si>
  <si>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</si>
  <si>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</si>
  <si>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</si>
  <si>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</si>
  <si>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</si>
  <si>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</si>
  <si>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</si>
  <si>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</si>
  <si>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</si>
  <si>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</si>
  <si>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</si>
  <si>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</si>
  <si>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</si>
  <si>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</si>
  <si>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</si>
  <si>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</si>
  <si>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</si>
  <si>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</si>
  <si>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</si>
  <si>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</si>
  <si>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</si>
  <si>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</si>
  <si>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</si>
  <si>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</si>
  <si>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</si>
  <si>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</si>
  <si>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</si>
  <si>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</si>
  <si>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</si>
  <si>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</si>
  <si>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</si>
  <si>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</si>
  <si>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</si>
  <si>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</si>
  <si>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</si>
  <si>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</si>
  <si>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</si>
  <si>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</si>
  <si>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</si>
  <si>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</si>
  <si>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</si>
  <si>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</si>
  <si>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</si>
  <si>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</si>
  <si>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</si>
  <si>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</si>
  <si>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</si>
  <si>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</si>
  <si>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</si>
  <si>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</si>
  <si>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</si>
  <si>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</si>
  <si>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</si>
  <si>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</si>
  <si>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</si>
  <si>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</si>
  <si>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</si>
  <si>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</si>
  <si>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</si>
  <si>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</si>
  <si>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</si>
  <si>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</si>
  <si>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</si>
  <si>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</si>
  <si>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</si>
  <si>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</si>
  <si>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</si>
  <si>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</si>
  <si>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</si>
  <si>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</si>
  <si>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</si>
  <si>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</si>
  <si>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</si>
  <si>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</si>
  <si>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</si>
  <si>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</si>
  <si>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</si>
  <si>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</si>
  <si>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</si>
  <si>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</si>
  <si>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</si>
  <si>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</si>
  <si>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</si>
  <si>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</si>
  <si>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</si>
  <si>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</si>
  <si>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</si>
  <si>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</si>
  <si>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</si>
  <si>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</si>
  <si>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</si>
  <si>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</si>
  <si>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</si>
  <si>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</si>
  <si>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2й дозаказ 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</si>
</sst>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6" sqref="AA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46255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700</v>
      </c>
      <c r="Y426" s="55">
        <f t="shared" si="52"/>
        <v>705</v>
      </c>
      <c r="Z426" s="41">
        <f>IFERROR(IF(Y426=0,"",ROUNDUP(Y426/H426,0)*0.02175),"")</f>
        <v>1.0222499999999999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721.93333333333328</v>
      </c>
      <c r="BN426" s="78">
        <f t="shared" si="54"/>
        <v>727.09</v>
      </c>
      <c r="BO426" s="78">
        <f t="shared" si="55"/>
        <v>0.9722222222222221</v>
      </c>
      <c r="BP426" s="78">
        <f t="shared" si="56"/>
        <v>0.97916666666666663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46.666666666666664</v>
      </c>
      <c r="Y431" s="43">
        <f>IFERROR(Y423/H423,"0")+IFERROR(Y424/H424,"0")+IFERROR(Y425/H425,"0")+IFERROR(Y426/H426,"0")+IFERROR(Y427/H427,"0")+IFERROR(Y428/H428,"0")+IFERROR(Y429/H429,"0")+IFERROR(Y430/H430,"0")</f>
        <v>47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1.0222499999999999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700</v>
      </c>
      <c r="Y432" s="43">
        <f>IFERROR(SUM(Y423:Y430),"0")</f>
        <v>705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700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705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721.93333333333328</v>
      </c>
      <c r="Y552" s="43">
        <f>IFERROR(SUM(BN22:BN548),"0")</f>
        <v>727.09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746.93333333333328</v>
      </c>
      <c r="Y554" s="43">
        <f>GrossWeightTotalR+PalletQtyTotalR*25</f>
        <v>752.09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46.666666666666664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47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1.0222499999999999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705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6,67"/>
        <filter val="700,00"/>
        <filter val="721,93"/>
        <filter val="746,93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