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9C48722-6DBC-4992-9F22-E94A10CFEEF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1" i="2" l="1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80" i="2"/>
  <c r="X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X267" i="2"/>
  <c r="X266" i="2"/>
  <c r="BO265" i="2"/>
  <c r="BM265" i="2"/>
  <c r="Z265" i="2"/>
  <c r="Y265" i="2"/>
  <c r="BP265" i="2" s="1"/>
  <c r="P265" i="2"/>
  <c r="BO264" i="2"/>
  <c r="BM264" i="2"/>
  <c r="Z264" i="2"/>
  <c r="Y264" i="2"/>
  <c r="BN264" i="2" s="1"/>
  <c r="P264" i="2"/>
  <c r="BO263" i="2"/>
  <c r="BM263" i="2"/>
  <c r="Z263" i="2"/>
  <c r="Y263" i="2"/>
  <c r="P263" i="2"/>
  <c r="X261" i="2"/>
  <c r="X260" i="2"/>
  <c r="BO259" i="2"/>
  <c r="BM259" i="2"/>
  <c r="Z259" i="2"/>
  <c r="Z260" i="2" s="1"/>
  <c r="Y259" i="2"/>
  <c r="Y260" i="2" s="1"/>
  <c r="P259" i="2"/>
  <c r="X257" i="2"/>
  <c r="X256" i="2"/>
  <c r="BO255" i="2"/>
  <c r="BN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Y246" i="2" s="1"/>
  <c r="P244" i="2"/>
  <c r="X240" i="2"/>
  <c r="X239" i="2"/>
  <c r="BO238" i="2"/>
  <c r="BM238" i="2"/>
  <c r="Z238" i="2"/>
  <c r="Z239" i="2" s="1"/>
  <c r="Y238" i="2"/>
  <c r="Y239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P228" i="2" s="1"/>
  <c r="P228" i="2"/>
  <c r="X224" i="2"/>
  <c r="X223" i="2"/>
  <c r="BO222" i="2"/>
  <c r="BM222" i="2"/>
  <c r="Z222" i="2"/>
  <c r="Z223" i="2" s="1"/>
  <c r="Y222" i="2"/>
  <c r="Y223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P212" i="2"/>
  <c r="BO211" i="2"/>
  <c r="BM211" i="2"/>
  <c r="Z211" i="2"/>
  <c r="Y211" i="2"/>
  <c r="BN211" i="2" s="1"/>
  <c r="P211" i="2"/>
  <c r="X208" i="2"/>
  <c r="X207" i="2"/>
  <c r="BO206" i="2"/>
  <c r="BM206" i="2"/>
  <c r="Z206" i="2"/>
  <c r="Y206" i="2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N191" i="2" s="1"/>
  <c r="P191" i="2"/>
  <c r="X187" i="2"/>
  <c r="X186" i="2"/>
  <c r="BO185" i="2"/>
  <c r="BM185" i="2"/>
  <c r="Z185" i="2"/>
  <c r="Z186" i="2" s="1"/>
  <c r="Y185" i="2"/>
  <c r="BP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BP168" i="2" s="1"/>
  <c r="P168" i="2"/>
  <c r="X165" i="2"/>
  <c r="X164" i="2"/>
  <c r="BO163" i="2"/>
  <c r="BM163" i="2"/>
  <c r="Z163" i="2"/>
  <c r="Z164" i="2" s="1"/>
  <c r="Y163" i="2"/>
  <c r="Y165" i="2" s="1"/>
  <c r="P163" i="2"/>
  <c r="X160" i="2"/>
  <c r="X159" i="2"/>
  <c r="BO158" i="2"/>
  <c r="BM158" i="2"/>
  <c r="Z158" i="2"/>
  <c r="Y158" i="2"/>
  <c r="BN158" i="2" s="1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N152" i="2" s="1"/>
  <c r="P152" i="2"/>
  <c r="BO151" i="2"/>
  <c r="BM151" i="2"/>
  <c r="Z151" i="2"/>
  <c r="Y151" i="2"/>
  <c r="BN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N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BP138" i="2" s="1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BP126" i="2" s="1"/>
  <c r="P126" i="2"/>
  <c r="X124" i="2"/>
  <c r="X123" i="2"/>
  <c r="BO122" i="2"/>
  <c r="BN122" i="2"/>
  <c r="BM122" i="2"/>
  <c r="Z122" i="2"/>
  <c r="Z123" i="2" s="1"/>
  <c r="Y122" i="2"/>
  <c r="Y123" i="2" s="1"/>
  <c r="P122" i="2"/>
  <c r="X120" i="2"/>
  <c r="X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P110" i="2" s="1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BN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Y85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BP65" i="2" s="1"/>
  <c r="P65" i="2"/>
  <c r="X63" i="2"/>
  <c r="X62" i="2"/>
  <c r="BO61" i="2"/>
  <c r="BN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P26" i="2"/>
  <c r="BO25" i="2"/>
  <c r="BN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Y235" i="2" l="1"/>
  <c r="BN29" i="2"/>
  <c r="Z36" i="2"/>
  <c r="BN96" i="2"/>
  <c r="BN117" i="2"/>
  <c r="BN204" i="2"/>
  <c r="BN205" i="2"/>
  <c r="BN234" i="2"/>
  <c r="Y261" i="2"/>
  <c r="BN217" i="2"/>
  <c r="Y201" i="2"/>
  <c r="BN200" i="2"/>
  <c r="Y182" i="2"/>
  <c r="Z159" i="2"/>
  <c r="BN139" i="2"/>
  <c r="BP122" i="2"/>
  <c r="BN112" i="2"/>
  <c r="Z57" i="2"/>
  <c r="Y218" i="2"/>
  <c r="BN23" i="2"/>
  <c r="BP111" i="2"/>
  <c r="BN56" i="2"/>
  <c r="Y50" i="2"/>
  <c r="BN275" i="2"/>
  <c r="BN272" i="2"/>
  <c r="BN269" i="2"/>
  <c r="Z279" i="2"/>
  <c r="BN265" i="2"/>
  <c r="BP234" i="2"/>
  <c r="Z213" i="2"/>
  <c r="BP211" i="2"/>
  <c r="Y213" i="2"/>
  <c r="Y208" i="2"/>
  <c r="BP200" i="2"/>
  <c r="BN194" i="2"/>
  <c r="Y181" i="2"/>
  <c r="Z181" i="2"/>
  <c r="Y170" i="2"/>
  <c r="Y169" i="2"/>
  <c r="BN168" i="2"/>
  <c r="BN146" i="2"/>
  <c r="Z141" i="2"/>
  <c r="BP131" i="2"/>
  <c r="BN126" i="2"/>
  <c r="Z119" i="2"/>
  <c r="BN116" i="2"/>
  <c r="BN113" i="2"/>
  <c r="Z106" i="2"/>
  <c r="BP95" i="2"/>
  <c r="Y80" i="2"/>
  <c r="Y79" i="2"/>
  <c r="BP70" i="2"/>
  <c r="Y74" i="2"/>
  <c r="BN66" i="2"/>
  <c r="BN55" i="2"/>
  <c r="Y58" i="2"/>
  <c r="Z49" i="2"/>
  <c r="Z43" i="2"/>
  <c r="Y37" i="2"/>
  <c r="BN35" i="2"/>
  <c r="Y30" i="2"/>
  <c r="Z30" i="2"/>
  <c r="BP24" i="2"/>
  <c r="BP28" i="2"/>
  <c r="X285" i="2"/>
  <c r="Y68" i="2"/>
  <c r="Z100" i="2"/>
  <c r="BP94" i="2"/>
  <c r="Y101" i="2"/>
  <c r="BP105" i="2"/>
  <c r="BP118" i="2"/>
  <c r="Y128" i="2"/>
  <c r="BP140" i="2"/>
  <c r="Y195" i="2"/>
  <c r="Y196" i="2"/>
  <c r="Z207" i="2"/>
  <c r="BP248" i="2"/>
  <c r="X282" i="2"/>
  <c r="X281" i="2"/>
  <c r="Z67" i="2"/>
  <c r="BP88" i="2"/>
  <c r="Y136" i="2"/>
  <c r="Y148" i="2"/>
  <c r="Y154" i="2"/>
  <c r="BP191" i="2"/>
  <c r="BP212" i="2"/>
  <c r="Y224" i="2"/>
  <c r="Y267" i="2"/>
  <c r="Z266" i="2"/>
  <c r="BP277" i="2"/>
  <c r="BP22" i="2"/>
  <c r="Y107" i="2"/>
  <c r="BP134" i="2"/>
  <c r="Y142" i="2"/>
  <c r="BP276" i="2"/>
  <c r="Y31" i="2"/>
  <c r="X283" i="2"/>
  <c r="BN34" i="2"/>
  <c r="Y44" i="2"/>
  <c r="BP61" i="2"/>
  <c r="Y67" i="2"/>
  <c r="Z73" i="2"/>
  <c r="Z79" i="2"/>
  <c r="Z90" i="2"/>
  <c r="BN89" i="2"/>
  <c r="BP99" i="2"/>
  <c r="Y119" i="2"/>
  <c r="Y124" i="2"/>
  <c r="Y127" i="2"/>
  <c r="Z135" i="2"/>
  <c r="Z147" i="2"/>
  <c r="BP145" i="2"/>
  <c r="Z153" i="2"/>
  <c r="Y160" i="2"/>
  <c r="Z195" i="2"/>
  <c r="Y214" i="2"/>
  <c r="BP217" i="2"/>
  <c r="Y240" i="2"/>
  <c r="BN248" i="2"/>
  <c r="Y249" i="2"/>
  <c r="Z256" i="2"/>
  <c r="Y257" i="2"/>
  <c r="BP264" i="2"/>
  <c r="F9" i="2"/>
  <c r="BN71" i="2"/>
  <c r="BN97" i="2"/>
  <c r="BN157" i="2"/>
  <c r="BN270" i="2"/>
  <c r="J9" i="2"/>
  <c r="BN26" i="2"/>
  <c r="BP41" i="2"/>
  <c r="BN53" i="2"/>
  <c r="BN77" i="2"/>
  <c r="Y106" i="2"/>
  <c r="BN114" i="2"/>
  <c r="BP151" i="2"/>
  <c r="BN163" i="2"/>
  <c r="BN179" i="2"/>
  <c r="BN206" i="2"/>
  <c r="Y256" i="2"/>
  <c r="H9" i="2"/>
  <c r="BP34" i="2"/>
  <c r="BN47" i="2"/>
  <c r="Y100" i="2"/>
  <c r="Y120" i="2"/>
  <c r="BN132" i="2"/>
  <c r="Y135" i="2"/>
  <c r="A10" i="2"/>
  <c r="BP47" i="2"/>
  <c r="Y62" i="2"/>
  <c r="BP71" i="2"/>
  <c r="BN83" i="2"/>
  <c r="BP97" i="2"/>
  <c r="BP132" i="2"/>
  <c r="BP157" i="2"/>
  <c r="BN185" i="2"/>
  <c r="BN212" i="2"/>
  <c r="BN228" i="2"/>
  <c r="BN244" i="2"/>
  <c r="BN278" i="2"/>
  <c r="BP163" i="2"/>
  <c r="BP179" i="2"/>
  <c r="BN192" i="2"/>
  <c r="BP206" i="2"/>
  <c r="BN263" i="2"/>
  <c r="Y266" i="2"/>
  <c r="BN273" i="2"/>
  <c r="BP53" i="2"/>
  <c r="BP83" i="2"/>
  <c r="BP244" i="2"/>
  <c r="Y164" i="2"/>
  <c r="Y207" i="2"/>
  <c r="BP263" i="2"/>
  <c r="Y84" i="2"/>
  <c r="Y229" i="2"/>
  <c r="Y245" i="2"/>
  <c r="Y279" i="2"/>
  <c r="BN271" i="2"/>
  <c r="BP26" i="2"/>
  <c r="BN42" i="2"/>
  <c r="Y186" i="2"/>
  <c r="Y141" i="2"/>
  <c r="BN180" i="2"/>
  <c r="BN222" i="2"/>
  <c r="BP77" i="2"/>
  <c r="BN72" i="2"/>
  <c r="BN98" i="2"/>
  <c r="BN133" i="2"/>
  <c r="BN173" i="2"/>
  <c r="BN27" i="2"/>
  <c r="Y57" i="2"/>
  <c r="BN104" i="2"/>
  <c r="BN115" i="2"/>
  <c r="BN138" i="2"/>
  <c r="BP152" i="2"/>
  <c r="BN238" i="2"/>
  <c r="BN254" i="2"/>
  <c r="BN22" i="2"/>
  <c r="Y36" i="2"/>
  <c r="BP48" i="2"/>
  <c r="BN110" i="2"/>
  <c r="Y147" i="2"/>
  <c r="BP158" i="2"/>
  <c r="BP173" i="2"/>
  <c r="Y187" i="2"/>
  <c r="Y230" i="2"/>
  <c r="BN259" i="2"/>
  <c r="Y280" i="2"/>
  <c r="Y90" i="2"/>
  <c r="BN54" i="2"/>
  <c r="BN78" i="2"/>
  <c r="Y43" i="2"/>
  <c r="BN65" i="2"/>
  <c r="Y91" i="2"/>
  <c r="Y153" i="2"/>
  <c r="BN193" i="2"/>
  <c r="BP222" i="2"/>
  <c r="BP238" i="2"/>
  <c r="BN274" i="2"/>
  <c r="Y49" i="2"/>
  <c r="Y159" i="2"/>
  <c r="Y174" i="2"/>
  <c r="BP259" i="2"/>
  <c r="Y73" i="2"/>
  <c r="Z286" i="2" l="1"/>
  <c r="X284" i="2"/>
  <c r="Y283" i="2"/>
  <c r="Y285" i="2"/>
  <c r="Y281" i="2"/>
  <c r="Y282" i="2"/>
  <c r="Y284" i="2" l="1"/>
  <c r="B294" i="2" l="1"/>
  <c r="C294" i="2"/>
  <c r="A294" i="2"/>
</calcChain>
</file>

<file path=xl/sharedStrings.xml><?xml version="1.0" encoding="utf-8"?>
<sst xmlns="http://schemas.openxmlformats.org/spreadsheetml/2006/main" count="1748" uniqueCount="406">
  <si>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</si>
  <si>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</si>
  <si>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</si>
  <si>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</si>
  <si>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</si>
  <si>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</si>
  <si>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</si>
  <si>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</si>
  <si>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</si>
  <si>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</si>
  <si>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</si>
  <si>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</si>
  <si>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</si>
  <si>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</si>
  <si>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</si>
  <si>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</si>
  <si>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</si>
  <si>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</si>
  <si>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</si>
  <si>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</si>
  <si>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</si>
  <si>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</si>
  <si>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</si>
  <si>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</si>
  <si>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</si>
  <si>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</si>
  <si>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</si>
  <si>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</si>
  <si>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</si>
  <si>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</si>
  <si>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</si>
  <si>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</si>
  <si>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</si>
  <si>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</si>
  <si>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</si>
  <si>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</si>
  <si>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</si>
  <si>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</si>
  <si>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</si>
  <si>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</si>
  <si>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</si>
  <si>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</si>
  <si>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</si>
  <si>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</si>
  <si>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</si>
  <si>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</si>
  <si>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</si>
  <si>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</si>
  <si>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</si>
  <si>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</si>
  <si>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</si>
  <si>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</si>
  <si>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</si>
  <si>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</si>
  <si>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</si>
  <si>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</si>
  <si>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</si>
  <si>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</si>
  <si>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</si>
  <si>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</si>
  <si>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</si>
  <si>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</si>
  <si>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</si>
  <si>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</si>
  <si>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</si>
  <si>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</si>
  <si>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</si>
  <si>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</si>
  <si>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</si>
  <si>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</si>
  <si>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</si>
  <si>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29.08.2026</t>
  </si>
  <si>
    <t>27.08.2026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</si>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</sst>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4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5" t="s">
        <v>26</v>
      </c>
      <c r="E1" s="465"/>
      <c r="F1" s="465"/>
      <c r="G1" s="14" t="s">
        <v>70</v>
      </c>
      <c r="H1" s="465" t="s">
        <v>47</v>
      </c>
      <c r="I1" s="465"/>
      <c r="J1" s="465"/>
      <c r="K1" s="465"/>
      <c r="L1" s="465"/>
      <c r="M1" s="465"/>
      <c r="N1" s="465"/>
      <c r="O1" s="465"/>
      <c r="P1" s="465"/>
      <c r="Q1" s="465"/>
      <c r="R1" s="466" t="s">
        <v>71</v>
      </c>
      <c r="S1" s="467"/>
      <c r="T1" s="46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8"/>
      <c r="R2" s="468"/>
      <c r="S2" s="468"/>
      <c r="T2" s="468"/>
      <c r="U2" s="468"/>
      <c r="V2" s="468"/>
      <c r="W2" s="46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8"/>
      <c r="Q3" s="468"/>
      <c r="R3" s="468"/>
      <c r="S3" s="468"/>
      <c r="T3" s="468"/>
      <c r="U3" s="468"/>
      <c r="V3" s="468"/>
      <c r="W3" s="46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7" t="s">
        <v>8</v>
      </c>
      <c r="B5" s="447"/>
      <c r="C5" s="447"/>
      <c r="D5" s="469"/>
      <c r="E5" s="469"/>
      <c r="F5" s="470" t="s">
        <v>14</v>
      </c>
      <c r="G5" s="470"/>
      <c r="H5" s="469"/>
      <c r="I5" s="469"/>
      <c r="J5" s="469"/>
      <c r="K5" s="469"/>
      <c r="L5" s="469"/>
      <c r="M5" s="469"/>
      <c r="N5" s="75"/>
      <c r="P5" s="27" t="s">
        <v>4</v>
      </c>
      <c r="Q5" s="471">
        <v>46264</v>
      </c>
      <c r="R5" s="471"/>
      <c r="T5" s="472" t="s">
        <v>3</v>
      </c>
      <c r="U5" s="473"/>
      <c r="V5" s="474" t="s">
        <v>392</v>
      </c>
      <c r="W5" s="475"/>
      <c r="AB5" s="59"/>
      <c r="AC5" s="59"/>
      <c r="AD5" s="59"/>
      <c r="AE5" s="59"/>
    </row>
    <row r="6" spans="1:32" s="17" customFormat="1" ht="24" customHeight="1" x14ac:dyDescent="0.2">
      <c r="A6" s="447" t="s">
        <v>1</v>
      </c>
      <c r="B6" s="447"/>
      <c r="C6" s="447"/>
      <c r="D6" s="448" t="s">
        <v>79</v>
      </c>
      <c r="E6" s="448"/>
      <c r="F6" s="448"/>
      <c r="G6" s="448"/>
      <c r="H6" s="448"/>
      <c r="I6" s="448"/>
      <c r="J6" s="448"/>
      <c r="K6" s="448"/>
      <c r="L6" s="448"/>
      <c r="M6" s="448"/>
      <c r="N6" s="76"/>
      <c r="P6" s="27" t="s">
        <v>27</v>
      </c>
      <c r="Q6" s="449" t="str">
        <f>IF(Q5=0," ",CHOOSE(WEEKDAY(Q5,2),"Понедельник","Вторник","Среда","Четверг","Пятница","Суббота","Воскресенье"))</f>
        <v>Воскресенье</v>
      </c>
      <c r="R6" s="449"/>
      <c r="T6" s="450" t="s">
        <v>5</v>
      </c>
      <c r="U6" s="451"/>
      <c r="V6" s="452" t="s">
        <v>73</v>
      </c>
      <c r="W6" s="4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8" t="str">
        <f>IFERROR(VLOOKUP(DeliveryAddress,Table,3,0),1)</f>
        <v>1</v>
      </c>
      <c r="E7" s="459"/>
      <c r="F7" s="459"/>
      <c r="G7" s="459"/>
      <c r="H7" s="459"/>
      <c r="I7" s="459"/>
      <c r="J7" s="459"/>
      <c r="K7" s="459"/>
      <c r="L7" s="459"/>
      <c r="M7" s="460"/>
      <c r="N7" s="77"/>
      <c r="P7" s="29"/>
      <c r="Q7" s="48"/>
      <c r="R7" s="48"/>
      <c r="T7" s="450"/>
      <c r="U7" s="451"/>
      <c r="V7" s="454"/>
      <c r="W7" s="455"/>
      <c r="AB7" s="59"/>
      <c r="AC7" s="59"/>
      <c r="AD7" s="59"/>
      <c r="AE7" s="59"/>
    </row>
    <row r="8" spans="1:32" s="17" customFormat="1" ht="25.5" customHeight="1" x14ac:dyDescent="0.2">
      <c r="A8" s="461" t="s">
        <v>58</v>
      </c>
      <c r="B8" s="461"/>
      <c r="C8" s="461"/>
      <c r="D8" s="462" t="s">
        <v>80</v>
      </c>
      <c r="E8" s="462"/>
      <c r="F8" s="462"/>
      <c r="G8" s="462"/>
      <c r="H8" s="462"/>
      <c r="I8" s="462"/>
      <c r="J8" s="462"/>
      <c r="K8" s="462"/>
      <c r="L8" s="462"/>
      <c r="M8" s="462"/>
      <c r="N8" s="78"/>
      <c r="P8" s="27" t="s">
        <v>11</v>
      </c>
      <c r="Q8" s="445">
        <v>0.375</v>
      </c>
      <c r="R8" s="445"/>
      <c r="T8" s="450"/>
      <c r="U8" s="451"/>
      <c r="V8" s="454"/>
      <c r="W8" s="455"/>
      <c r="AB8" s="59"/>
      <c r="AC8" s="59"/>
      <c r="AD8" s="59"/>
      <c r="AE8" s="59"/>
    </row>
    <row r="9" spans="1:32" s="17" customFormat="1" ht="39.950000000000003" customHeight="1" x14ac:dyDescent="0.2">
      <c r="A9" s="4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7"/>
      <c r="C9" s="437"/>
      <c r="D9" s="438" t="s">
        <v>46</v>
      </c>
      <c r="E9" s="439"/>
      <c r="F9" s="4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7"/>
      <c r="H9" s="463" t="str">
        <f>IF(AND($A$9="Тип доверенности/получателя при получении в адресе перегруза:",$D$9="Разовая доверенность"),"Введите ФИО","")</f>
        <v/>
      </c>
      <c r="I9" s="463"/>
      <c r="J9" s="4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3"/>
      <c r="L9" s="463"/>
      <c r="M9" s="463"/>
      <c r="N9" s="73"/>
      <c r="P9" s="31" t="s">
        <v>15</v>
      </c>
      <c r="Q9" s="464"/>
      <c r="R9" s="464"/>
      <c r="T9" s="450"/>
      <c r="U9" s="451"/>
      <c r="V9" s="456"/>
      <c r="W9" s="4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7"/>
      <c r="C10" s="437"/>
      <c r="D10" s="438"/>
      <c r="E10" s="439"/>
      <c r="F10" s="4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7"/>
      <c r="H10" s="440" t="str">
        <f>IFERROR(VLOOKUP($D$10,Proxy,2,FALSE),"")</f>
        <v/>
      </c>
      <c r="I10" s="440"/>
      <c r="J10" s="440"/>
      <c r="K10" s="440"/>
      <c r="L10" s="440"/>
      <c r="M10" s="440"/>
      <c r="N10" s="74"/>
      <c r="P10" s="31" t="s">
        <v>32</v>
      </c>
      <c r="Q10" s="441"/>
      <c r="R10" s="441"/>
      <c r="U10" s="29" t="s">
        <v>12</v>
      </c>
      <c r="V10" s="442" t="s">
        <v>74</v>
      </c>
      <c r="W10" s="44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4"/>
      <c r="R11" s="444"/>
      <c r="U11" s="29" t="s">
        <v>28</v>
      </c>
      <c r="V11" s="423" t="s">
        <v>55</v>
      </c>
      <c r="W11" s="4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2" t="s">
        <v>75</v>
      </c>
      <c r="B12" s="422"/>
      <c r="C12" s="422"/>
      <c r="D12" s="422"/>
      <c r="E12" s="422"/>
      <c r="F12" s="422"/>
      <c r="G12" s="422"/>
      <c r="H12" s="422"/>
      <c r="I12" s="422"/>
      <c r="J12" s="422"/>
      <c r="K12" s="422"/>
      <c r="L12" s="422"/>
      <c r="M12" s="422"/>
      <c r="N12" s="79"/>
      <c r="P12" s="27" t="s">
        <v>30</v>
      </c>
      <c r="Q12" s="445"/>
      <c r="R12" s="445"/>
      <c r="S12" s="28"/>
      <c r="T12"/>
      <c r="U12" s="29" t="s">
        <v>46</v>
      </c>
      <c r="V12" s="446"/>
      <c r="W12" s="446"/>
      <c r="X12"/>
      <c r="AB12" s="59"/>
      <c r="AC12" s="59"/>
      <c r="AD12" s="59"/>
      <c r="AE12" s="59"/>
    </row>
    <row r="13" spans="1:32" s="17" customFormat="1" ht="23.25" customHeight="1" x14ac:dyDescent="0.2">
      <c r="A13" s="422" t="s">
        <v>76</v>
      </c>
      <c r="B13" s="422"/>
      <c r="C13" s="422"/>
      <c r="D13" s="422"/>
      <c r="E13" s="422"/>
      <c r="F13" s="422"/>
      <c r="G13" s="422"/>
      <c r="H13" s="422"/>
      <c r="I13" s="422"/>
      <c r="J13" s="422"/>
      <c r="K13" s="422"/>
      <c r="L13" s="422"/>
      <c r="M13" s="422"/>
      <c r="N13" s="79"/>
      <c r="O13" s="31"/>
      <c r="P13" s="31" t="s">
        <v>31</v>
      </c>
      <c r="Q13" s="423"/>
      <c r="R13" s="4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2" t="s">
        <v>77</v>
      </c>
      <c r="B14" s="422"/>
      <c r="C14" s="422"/>
      <c r="D14" s="422"/>
      <c r="E14" s="422"/>
      <c r="F14" s="422"/>
      <c r="G14" s="422"/>
      <c r="H14" s="422"/>
      <c r="I14" s="422"/>
      <c r="J14" s="422"/>
      <c r="K14" s="422"/>
      <c r="L14" s="422"/>
      <c r="M14" s="4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4" t="s">
        <v>78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80"/>
      <c r="O15"/>
      <c r="P15" s="425" t="s">
        <v>61</v>
      </c>
      <c r="Q15" s="425"/>
      <c r="R15" s="425"/>
      <c r="S15" s="425"/>
      <c r="T15" s="4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6"/>
      <c r="Q16" s="426"/>
      <c r="R16" s="426"/>
      <c r="S16" s="426"/>
      <c r="T16" s="4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8" t="s">
        <v>59</v>
      </c>
      <c r="B17" s="408" t="s">
        <v>49</v>
      </c>
      <c r="C17" s="429" t="s">
        <v>48</v>
      </c>
      <c r="D17" s="431" t="s">
        <v>50</v>
      </c>
      <c r="E17" s="432"/>
      <c r="F17" s="408" t="s">
        <v>21</v>
      </c>
      <c r="G17" s="408" t="s">
        <v>24</v>
      </c>
      <c r="H17" s="408" t="s">
        <v>22</v>
      </c>
      <c r="I17" s="408" t="s">
        <v>23</v>
      </c>
      <c r="J17" s="408" t="s">
        <v>16</v>
      </c>
      <c r="K17" s="408" t="s">
        <v>69</v>
      </c>
      <c r="L17" s="408" t="s">
        <v>67</v>
      </c>
      <c r="M17" s="408" t="s">
        <v>2</v>
      </c>
      <c r="N17" s="408" t="s">
        <v>66</v>
      </c>
      <c r="O17" s="408" t="s">
        <v>25</v>
      </c>
      <c r="P17" s="431" t="s">
        <v>17</v>
      </c>
      <c r="Q17" s="435"/>
      <c r="R17" s="435"/>
      <c r="S17" s="435"/>
      <c r="T17" s="432"/>
      <c r="U17" s="427" t="s">
        <v>56</v>
      </c>
      <c r="V17" s="428"/>
      <c r="W17" s="408" t="s">
        <v>6</v>
      </c>
      <c r="X17" s="408" t="s">
        <v>41</v>
      </c>
      <c r="Y17" s="410" t="s">
        <v>54</v>
      </c>
      <c r="Z17" s="412" t="s">
        <v>18</v>
      </c>
      <c r="AA17" s="414" t="s">
        <v>60</v>
      </c>
      <c r="AB17" s="414" t="s">
        <v>19</v>
      </c>
      <c r="AC17" s="414" t="s">
        <v>68</v>
      </c>
      <c r="AD17" s="416" t="s">
        <v>57</v>
      </c>
      <c r="AE17" s="417"/>
      <c r="AF17" s="418"/>
      <c r="AG17" s="85"/>
      <c r="BD17" s="84" t="s">
        <v>64</v>
      </c>
    </row>
    <row r="18" spans="1:68" ht="14.25" customHeight="1" x14ac:dyDescent="0.2">
      <c r="A18" s="409"/>
      <c r="B18" s="409"/>
      <c r="C18" s="430"/>
      <c r="D18" s="433"/>
      <c r="E18" s="434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33"/>
      <c r="Q18" s="436"/>
      <c r="R18" s="436"/>
      <c r="S18" s="436"/>
      <c r="T18" s="434"/>
      <c r="U18" s="86" t="s">
        <v>44</v>
      </c>
      <c r="V18" s="86" t="s">
        <v>43</v>
      </c>
      <c r="W18" s="409"/>
      <c r="X18" s="409"/>
      <c r="Y18" s="411"/>
      <c r="Z18" s="413"/>
      <c r="AA18" s="415"/>
      <c r="AB18" s="415"/>
      <c r="AC18" s="415"/>
      <c r="AD18" s="419"/>
      <c r="AE18" s="420"/>
      <c r="AF18" s="421"/>
      <c r="AG18" s="85"/>
      <c r="BD18" s="84"/>
    </row>
    <row r="19" spans="1:68" ht="27.75" hidden="1" customHeight="1" x14ac:dyDescent="0.2">
      <c r="A19" s="320" t="s">
        <v>81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54"/>
      <c r="AB19" s="54"/>
      <c r="AC19" s="54"/>
    </row>
    <row r="20" spans="1:68" ht="16.5" hidden="1" customHeight="1" x14ac:dyDescent="0.25">
      <c r="A20" s="321" t="s">
        <v>81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65"/>
      <c r="AB20" s="65"/>
      <c r="AC20" s="82"/>
    </row>
    <row r="21" spans="1:68" ht="14.25" hidden="1" customHeight="1" x14ac:dyDescent="0.25">
      <c r="A21" s="316" t="s">
        <v>82</v>
      </c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8">
        <v>4620207491508</v>
      </c>
      <c r="E22" s="29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0"/>
      <c r="R22" s="300"/>
      <c r="S22" s="300"/>
      <c r="T22" s="30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8">
        <v>4620207491256</v>
      </c>
      <c r="E23" s="29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0"/>
      <c r="R23" s="300"/>
      <c r="S23" s="300"/>
      <c r="T23" s="301"/>
      <c r="U23" s="39" t="s">
        <v>46</v>
      </c>
      <c r="V23" s="39" t="s">
        <v>46</v>
      </c>
      <c r="W23" s="40" t="s">
        <v>39</v>
      </c>
      <c r="X23" s="58">
        <v>48</v>
      </c>
      <c r="Y23" s="55">
        <f t="shared" si="0"/>
        <v>48</v>
      </c>
      <c r="Z23" s="41">
        <f t="shared" si="1"/>
        <v>0.74399999999999999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318.24</v>
      </c>
      <c r="BN23" s="81">
        <f t="shared" si="3"/>
        <v>318.24</v>
      </c>
      <c r="BO23" s="81">
        <f t="shared" si="4"/>
        <v>0.5714285714285714</v>
      </c>
      <c r="BP23" s="81">
        <f t="shared" si="5"/>
        <v>0.5714285714285714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8">
        <v>4620207491713</v>
      </c>
      <c r="E24" s="29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0"/>
      <c r="R24" s="300"/>
      <c r="S24" s="300"/>
      <c r="T24" s="30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8">
        <v>4620207491720</v>
      </c>
      <c r="E25" s="29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0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0"/>
      <c r="R25" s="300"/>
      <c r="S25" s="300"/>
      <c r="T25" s="30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8">
        <v>4607111035912</v>
      </c>
      <c r="E26" s="29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0"/>
      <c r="R26" s="300"/>
      <c r="S26" s="300"/>
      <c r="T26" s="30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8">
        <v>4607111035929</v>
      </c>
      <c r="E27" s="29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0"/>
      <c r="R27" s="300"/>
      <c r="S27" s="300"/>
      <c r="T27" s="301"/>
      <c r="U27" s="39" t="s">
        <v>46</v>
      </c>
      <c r="V27" s="39" t="s">
        <v>46</v>
      </c>
      <c r="W27" s="40" t="s">
        <v>39</v>
      </c>
      <c r="X27" s="58">
        <v>24</v>
      </c>
      <c r="Y27" s="55">
        <f t="shared" si="0"/>
        <v>24</v>
      </c>
      <c r="Z27" s="41">
        <f t="shared" si="1"/>
        <v>0.372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179.28</v>
      </c>
      <c r="BN27" s="81">
        <f t="shared" si="3"/>
        <v>179.28</v>
      </c>
      <c r="BO27" s="81">
        <f t="shared" si="4"/>
        <v>0.2857142857142857</v>
      </c>
      <c r="BP27" s="81">
        <f t="shared" si="5"/>
        <v>0.2857142857142857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8">
        <v>4607111035882</v>
      </c>
      <c r="E28" s="29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0"/>
      <c r="R28" s="300"/>
      <c r="S28" s="300"/>
      <c r="T28" s="30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8">
        <v>4607111035905</v>
      </c>
      <c r="E29" s="29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0"/>
      <c r="R29" s="300"/>
      <c r="S29" s="300"/>
      <c r="T29" s="30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308"/>
      <c r="P30" s="305" t="s">
        <v>40</v>
      </c>
      <c r="Q30" s="306"/>
      <c r="R30" s="306"/>
      <c r="S30" s="306"/>
      <c r="T30" s="306"/>
      <c r="U30" s="306"/>
      <c r="V30" s="307"/>
      <c r="W30" s="42" t="s">
        <v>39</v>
      </c>
      <c r="X30" s="43">
        <f>IFERROR(SUM(X22:X29),"0")</f>
        <v>72</v>
      </c>
      <c r="Y30" s="43">
        <f>IFERROR(SUM(Y22:Y29),"0")</f>
        <v>72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1.1160000000000001</v>
      </c>
      <c r="AA30" s="67"/>
      <c r="AB30" s="67"/>
      <c r="AC30" s="67"/>
    </row>
    <row r="31" spans="1:68" x14ac:dyDescent="0.2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308"/>
      <c r="P31" s="305" t="s">
        <v>40</v>
      </c>
      <c r="Q31" s="306"/>
      <c r="R31" s="306"/>
      <c r="S31" s="306"/>
      <c r="T31" s="306"/>
      <c r="U31" s="306"/>
      <c r="V31" s="307"/>
      <c r="W31" s="42" t="s">
        <v>0</v>
      </c>
      <c r="X31" s="43">
        <f>IFERROR(SUMPRODUCT(X22:X29*H22:H29),"0")</f>
        <v>480.00000000000006</v>
      </c>
      <c r="Y31" s="43">
        <f>IFERROR(SUMPRODUCT(Y22:Y29*H22:H29),"0")</f>
        <v>480.00000000000006</v>
      </c>
      <c r="Z31" s="42"/>
      <c r="AA31" s="67"/>
      <c r="AB31" s="67"/>
      <c r="AC31" s="67"/>
    </row>
    <row r="32" spans="1:68" ht="16.5" hidden="1" customHeight="1" x14ac:dyDescent="0.25">
      <c r="A32" s="321" t="s">
        <v>106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65"/>
      <c r="AB32" s="65"/>
      <c r="AC32" s="82"/>
    </row>
    <row r="33" spans="1:68" ht="14.25" hidden="1" customHeight="1" x14ac:dyDescent="0.25">
      <c r="A33" s="316" t="s">
        <v>82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298">
        <v>4607111039019</v>
      </c>
      <c r="E34" s="29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9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0"/>
      <c r="R34" s="300"/>
      <c r="S34" s="300"/>
      <c r="T34" s="30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298">
        <v>4607111038708</v>
      </c>
      <c r="E35" s="29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0"/>
      <c r="R35" s="300"/>
      <c r="S35" s="300"/>
      <c r="T35" s="30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5"/>
      <c r="B36" s="295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308"/>
      <c r="P36" s="305" t="s">
        <v>40</v>
      </c>
      <c r="Q36" s="306"/>
      <c r="R36" s="306"/>
      <c r="S36" s="306"/>
      <c r="T36" s="306"/>
      <c r="U36" s="306"/>
      <c r="V36" s="30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5"/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308"/>
      <c r="P37" s="305" t="s">
        <v>40</v>
      </c>
      <c r="Q37" s="306"/>
      <c r="R37" s="306"/>
      <c r="S37" s="306"/>
      <c r="T37" s="306"/>
      <c r="U37" s="306"/>
      <c r="V37" s="30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20" t="s">
        <v>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54"/>
      <c r="AB38" s="54"/>
      <c r="AC38" s="54"/>
    </row>
    <row r="39" spans="1:68" ht="16.5" hidden="1" customHeight="1" x14ac:dyDescent="0.25">
      <c r="A39" s="321" t="s">
        <v>112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65"/>
      <c r="AB39" s="65"/>
      <c r="AC39" s="82"/>
    </row>
    <row r="40" spans="1:68" ht="14.25" hidden="1" customHeight="1" x14ac:dyDescent="0.25">
      <c r="A40" s="316" t="s">
        <v>113</v>
      </c>
      <c r="B40" s="316"/>
      <c r="C40" s="316"/>
      <c r="D40" s="316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8">
        <v>4607111036537</v>
      </c>
      <c r="E41" s="29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0"/>
      <c r="R41" s="300"/>
      <c r="S41" s="300"/>
      <c r="T41" s="301"/>
      <c r="U41" s="39" t="s">
        <v>46</v>
      </c>
      <c r="V41" s="39" t="s">
        <v>46</v>
      </c>
      <c r="W41" s="40" t="s">
        <v>39</v>
      </c>
      <c r="X41" s="58">
        <v>70</v>
      </c>
      <c r="Y41" s="55">
        <f>IFERROR(IF(X41="","",X41),"")</f>
        <v>70</v>
      </c>
      <c r="Z41" s="41">
        <f>IFERROR(IF(X41="","",X41*0.00941),"")</f>
        <v>0.65869999999999995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134.52600000000001</v>
      </c>
      <c r="BN41" s="81">
        <f>IFERROR(Y41*I41,"0")</f>
        <v>134.52600000000001</v>
      </c>
      <c r="BO41" s="81">
        <f>IFERROR(X41/J41,"0")</f>
        <v>0.5</v>
      </c>
      <c r="BP41" s="81">
        <f>IFERROR(Y41/J41,"0")</f>
        <v>0.5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298">
        <v>4607111036605</v>
      </c>
      <c r="E42" s="29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9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0"/>
      <c r="R42" s="300"/>
      <c r="S42" s="300"/>
      <c r="T42" s="30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5"/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308"/>
      <c r="P43" s="305" t="s">
        <v>40</v>
      </c>
      <c r="Q43" s="306"/>
      <c r="R43" s="306"/>
      <c r="S43" s="306"/>
      <c r="T43" s="306"/>
      <c r="U43" s="306"/>
      <c r="V43" s="307"/>
      <c r="W43" s="42" t="s">
        <v>39</v>
      </c>
      <c r="X43" s="43">
        <f>IFERROR(SUM(X41:X42),"0")</f>
        <v>70</v>
      </c>
      <c r="Y43" s="43">
        <f>IFERROR(SUM(Y41:Y42),"0")</f>
        <v>70</v>
      </c>
      <c r="Z43" s="43">
        <f>IFERROR(IF(Z41="",0,Z41),"0")+IFERROR(IF(Z42="",0,Z42),"0")</f>
        <v>0.65869999999999995</v>
      </c>
      <c r="AA43" s="67"/>
      <c r="AB43" s="67"/>
      <c r="AC43" s="67"/>
    </row>
    <row r="44" spans="1:68" x14ac:dyDescent="0.2">
      <c r="A44" s="295"/>
      <c r="B44" s="295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308"/>
      <c r="P44" s="305" t="s">
        <v>40</v>
      </c>
      <c r="Q44" s="306"/>
      <c r="R44" s="306"/>
      <c r="S44" s="306"/>
      <c r="T44" s="306"/>
      <c r="U44" s="306"/>
      <c r="V44" s="307"/>
      <c r="W44" s="42" t="s">
        <v>0</v>
      </c>
      <c r="X44" s="43">
        <f>IFERROR(SUMPRODUCT(X41:X42*H41:H42),"0")</f>
        <v>105</v>
      </c>
      <c r="Y44" s="43">
        <f>IFERROR(SUMPRODUCT(Y41:Y42*H41:H42),"0")</f>
        <v>105</v>
      </c>
      <c r="Z44" s="42"/>
      <c r="AA44" s="67"/>
      <c r="AB44" s="67"/>
      <c r="AC44" s="67"/>
    </row>
    <row r="45" spans="1:68" ht="16.5" hidden="1" customHeight="1" x14ac:dyDescent="0.25">
      <c r="A45" s="321" t="s">
        <v>123</v>
      </c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65"/>
      <c r="AB45" s="65"/>
      <c r="AC45" s="82"/>
    </row>
    <row r="46" spans="1:68" ht="14.25" hidden="1" customHeight="1" x14ac:dyDescent="0.25">
      <c r="A46" s="316" t="s">
        <v>82</v>
      </c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  <c r="Z46" s="316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298">
        <v>4620207490075</v>
      </c>
      <c r="E47" s="29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0"/>
      <c r="R47" s="300"/>
      <c r="S47" s="300"/>
      <c r="T47" s="30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298">
        <v>4620207490174</v>
      </c>
      <c r="E48" s="29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0"/>
      <c r="R48" s="300"/>
      <c r="S48" s="300"/>
      <c r="T48" s="301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x14ac:dyDescent="0.2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308"/>
      <c r="P49" s="305" t="s">
        <v>40</v>
      </c>
      <c r="Q49" s="306"/>
      <c r="R49" s="306"/>
      <c r="S49" s="306"/>
      <c r="T49" s="306"/>
      <c r="U49" s="306"/>
      <c r="V49" s="307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295"/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308"/>
      <c r="P50" s="305" t="s">
        <v>40</v>
      </c>
      <c r="Q50" s="306"/>
      <c r="R50" s="306"/>
      <c r="S50" s="306"/>
      <c r="T50" s="306"/>
      <c r="U50" s="306"/>
      <c r="V50" s="307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21" t="s">
        <v>130</v>
      </c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65"/>
      <c r="AB51" s="65"/>
      <c r="AC51" s="82"/>
    </row>
    <row r="52" spans="1:68" ht="14.25" hidden="1" customHeight="1" x14ac:dyDescent="0.25">
      <c r="A52" s="316" t="s">
        <v>82</v>
      </c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298">
        <v>4607111039385</v>
      </c>
      <c r="E53" s="298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0"/>
      <c r="R53" s="300"/>
      <c r="S53" s="300"/>
      <c r="T53" s="301"/>
      <c r="U53" s="39" t="s">
        <v>46</v>
      </c>
      <c r="V53" s="39" t="s">
        <v>46</v>
      </c>
      <c r="W53" s="40" t="s">
        <v>39</v>
      </c>
      <c r="X53" s="58">
        <v>36</v>
      </c>
      <c r="Y53" s="55">
        <f>IFERROR(IF(X53="","",X53),"")</f>
        <v>36</v>
      </c>
      <c r="Z53" s="41">
        <f>IFERROR(IF(X53="","",X53*0.0155),"")</f>
        <v>0.55800000000000005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262.8</v>
      </c>
      <c r="BN53" s="81">
        <f>IFERROR(Y53*I53,"0")</f>
        <v>262.8</v>
      </c>
      <c r="BO53" s="81">
        <f>IFERROR(X53/J53,"0")</f>
        <v>0.42857142857142855</v>
      </c>
      <c r="BP53" s="81">
        <f>IFERROR(Y53/J53,"0")</f>
        <v>0.42857142857142855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298">
        <v>4607111038982</v>
      </c>
      <c r="E54" s="298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0"/>
      <c r="R54" s="300"/>
      <c r="S54" s="300"/>
      <c r="T54" s="301"/>
      <c r="U54" s="39" t="s">
        <v>46</v>
      </c>
      <c r="V54" s="39" t="s">
        <v>46</v>
      </c>
      <c r="W54" s="40" t="s">
        <v>39</v>
      </c>
      <c r="X54" s="58">
        <v>60</v>
      </c>
      <c r="Y54" s="55">
        <f>IFERROR(IF(X54="","",X54),"")</f>
        <v>60</v>
      </c>
      <c r="Z54" s="41">
        <f>IFERROR(IF(X54="","",X54*0.0155),"")</f>
        <v>0.92999999999999994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437.15999999999997</v>
      </c>
      <c r="BN54" s="81">
        <f>IFERROR(Y54*I54,"0")</f>
        <v>437.15999999999997</v>
      </c>
      <c r="BO54" s="81">
        <f>IFERROR(X54/J54,"0")</f>
        <v>0.7142857142857143</v>
      </c>
      <c r="BP54" s="81">
        <f>IFERROR(Y54/J54,"0")</f>
        <v>0.7142857142857143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298">
        <v>4607111039354</v>
      </c>
      <c r="E55" s="298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0"/>
      <c r="R55" s="300"/>
      <c r="S55" s="300"/>
      <c r="T55" s="30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298">
        <v>4607111039330</v>
      </c>
      <c r="E56" s="298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0"/>
      <c r="R56" s="300"/>
      <c r="S56" s="300"/>
      <c r="T56" s="301"/>
      <c r="U56" s="39" t="s">
        <v>46</v>
      </c>
      <c r="V56" s="39" t="s">
        <v>46</v>
      </c>
      <c r="W56" s="40" t="s">
        <v>39</v>
      </c>
      <c r="X56" s="58">
        <v>132</v>
      </c>
      <c r="Y56" s="55">
        <f>IFERROR(IF(X56="","",X56),"")</f>
        <v>132</v>
      </c>
      <c r="Z56" s="41">
        <f>IFERROR(IF(X56="","",X56*0.0155),"")</f>
        <v>2.0459999999999998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963.6</v>
      </c>
      <c r="BN56" s="81">
        <f>IFERROR(Y56*I56,"0")</f>
        <v>963.6</v>
      </c>
      <c r="BO56" s="81">
        <f>IFERROR(X56/J56,"0")</f>
        <v>1.5714285714285714</v>
      </c>
      <c r="BP56" s="81">
        <f>IFERROR(Y56/J56,"0")</f>
        <v>1.5714285714285714</v>
      </c>
    </row>
    <row r="57" spans="1:68" x14ac:dyDescent="0.2">
      <c r="A57" s="295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308"/>
      <c r="P57" s="305" t="s">
        <v>40</v>
      </c>
      <c r="Q57" s="306"/>
      <c r="R57" s="306"/>
      <c r="S57" s="306"/>
      <c r="T57" s="306"/>
      <c r="U57" s="306"/>
      <c r="V57" s="307"/>
      <c r="W57" s="42" t="s">
        <v>39</v>
      </c>
      <c r="X57" s="43">
        <f>IFERROR(SUM(X53:X56),"0")</f>
        <v>228</v>
      </c>
      <c r="Y57" s="43">
        <f>IFERROR(SUM(Y53:Y56),"0")</f>
        <v>228</v>
      </c>
      <c r="Z57" s="43">
        <f>IFERROR(IF(Z53="",0,Z53),"0")+IFERROR(IF(Z54="",0,Z54),"0")+IFERROR(IF(Z55="",0,Z55),"0")+IFERROR(IF(Z56="",0,Z56),"0")</f>
        <v>3.5339999999999998</v>
      </c>
      <c r="AA57" s="67"/>
      <c r="AB57" s="67"/>
      <c r="AC57" s="67"/>
    </row>
    <row r="58" spans="1:68" x14ac:dyDescent="0.2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308"/>
      <c r="P58" s="305" t="s">
        <v>40</v>
      </c>
      <c r="Q58" s="306"/>
      <c r="R58" s="306"/>
      <c r="S58" s="306"/>
      <c r="T58" s="306"/>
      <c r="U58" s="306"/>
      <c r="V58" s="307"/>
      <c r="W58" s="42" t="s">
        <v>0</v>
      </c>
      <c r="X58" s="43">
        <f>IFERROR(SUMPRODUCT(X53:X56*H53:H56),"0")</f>
        <v>1596</v>
      </c>
      <c r="Y58" s="43">
        <f>IFERROR(SUMPRODUCT(Y53:Y56*H53:H56),"0")</f>
        <v>1596</v>
      </c>
      <c r="Z58" s="42"/>
      <c r="AA58" s="67"/>
      <c r="AB58" s="67"/>
      <c r="AC58" s="67"/>
    </row>
    <row r="59" spans="1:68" ht="16.5" hidden="1" customHeight="1" x14ac:dyDescent="0.25">
      <c r="A59" s="321" t="s">
        <v>141</v>
      </c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65"/>
      <c r="AB59" s="65"/>
      <c r="AC59" s="82"/>
    </row>
    <row r="60" spans="1:68" ht="14.25" hidden="1" customHeight="1" x14ac:dyDescent="0.25">
      <c r="A60" s="316" t="s">
        <v>113</v>
      </c>
      <c r="B60" s="316"/>
      <c r="C60" s="316"/>
      <c r="D60" s="316"/>
      <c r="E60" s="316"/>
      <c r="F60" s="316"/>
      <c r="G60" s="316"/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298">
        <v>4607111039712</v>
      </c>
      <c r="E61" s="298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0"/>
      <c r="R61" s="300"/>
      <c r="S61" s="300"/>
      <c r="T61" s="301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295"/>
      <c r="B62" s="295"/>
      <c r="C62" s="295"/>
      <c r="D62" s="295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308"/>
      <c r="P62" s="305" t="s">
        <v>40</v>
      </c>
      <c r="Q62" s="306"/>
      <c r="R62" s="306"/>
      <c r="S62" s="306"/>
      <c r="T62" s="306"/>
      <c r="U62" s="306"/>
      <c r="V62" s="307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308"/>
      <c r="P63" s="305" t="s">
        <v>40</v>
      </c>
      <c r="Q63" s="306"/>
      <c r="R63" s="306"/>
      <c r="S63" s="306"/>
      <c r="T63" s="306"/>
      <c r="U63" s="306"/>
      <c r="V63" s="307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6" t="s">
        <v>145</v>
      </c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298">
        <v>4607111037008</v>
      </c>
      <c r="E65" s="298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00"/>
      <c r="R65" s="300"/>
      <c r="S65" s="300"/>
      <c r="T65" s="301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298">
        <v>4607111037398</v>
      </c>
      <c r="E66" s="298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00"/>
      <c r="R66" s="300"/>
      <c r="S66" s="300"/>
      <c r="T66" s="301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308"/>
      <c r="P67" s="305" t="s">
        <v>40</v>
      </c>
      <c r="Q67" s="306"/>
      <c r="R67" s="306"/>
      <c r="S67" s="306"/>
      <c r="T67" s="306"/>
      <c r="U67" s="306"/>
      <c r="V67" s="307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308"/>
      <c r="P68" s="305" t="s">
        <v>40</v>
      </c>
      <c r="Q68" s="306"/>
      <c r="R68" s="306"/>
      <c r="S68" s="306"/>
      <c r="T68" s="306"/>
      <c r="U68" s="306"/>
      <c r="V68" s="307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6" t="s">
        <v>151</v>
      </c>
      <c r="B69" s="316"/>
      <c r="C69" s="316"/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298">
        <v>4607111039705</v>
      </c>
      <c r="E70" s="298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00"/>
      <c r="R70" s="300"/>
      <c r="S70" s="300"/>
      <c r="T70" s="30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298">
        <v>4607111039729</v>
      </c>
      <c r="E71" s="298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00"/>
      <c r="R71" s="300"/>
      <c r="S71" s="300"/>
      <c r="T71" s="301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156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298">
        <v>4620207490228</v>
      </c>
      <c r="E72" s="298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119</v>
      </c>
      <c r="M72" s="38" t="s">
        <v>86</v>
      </c>
      <c r="N72" s="38"/>
      <c r="O72" s="37">
        <v>365</v>
      </c>
      <c r="P72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00"/>
      <c r="R72" s="300"/>
      <c r="S72" s="300"/>
      <c r="T72" s="301"/>
      <c r="U72" s="39" t="s">
        <v>46</v>
      </c>
      <c r="V72" s="39" t="s">
        <v>46</v>
      </c>
      <c r="W72" s="40" t="s">
        <v>39</v>
      </c>
      <c r="X72" s="58">
        <v>14</v>
      </c>
      <c r="Y72" s="55">
        <f>IFERROR(IF(X72="","",X72),"")</f>
        <v>14</v>
      </c>
      <c r="Z72" s="41">
        <f>IFERROR(IF(X72="","",X72*0.00941),"")</f>
        <v>0.13174</v>
      </c>
      <c r="AA72" s="68" t="s">
        <v>46</v>
      </c>
      <c r="AB72" s="69" t="s">
        <v>46</v>
      </c>
      <c r="AC72" s="135" t="s">
        <v>156</v>
      </c>
      <c r="AG72" s="81"/>
      <c r="AJ72" s="87" t="s">
        <v>120</v>
      </c>
      <c r="AK72" s="87">
        <v>14</v>
      </c>
      <c r="BB72" s="136" t="s">
        <v>117</v>
      </c>
      <c r="BM72" s="81">
        <f>IFERROR(X72*I72,"0")</f>
        <v>21.84</v>
      </c>
      <c r="BN72" s="81">
        <f>IFERROR(Y72*I72,"0")</f>
        <v>21.84</v>
      </c>
      <c r="BO72" s="81">
        <f>IFERROR(X72/J72,"0")</f>
        <v>0.1</v>
      </c>
      <c r="BP72" s="81">
        <f>IFERROR(Y72/J72,"0")</f>
        <v>0.1</v>
      </c>
    </row>
    <row r="73" spans="1:68" x14ac:dyDescent="0.2">
      <c r="A73" s="295"/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308"/>
      <c r="P73" s="305" t="s">
        <v>40</v>
      </c>
      <c r="Q73" s="306"/>
      <c r="R73" s="306"/>
      <c r="S73" s="306"/>
      <c r="T73" s="306"/>
      <c r="U73" s="306"/>
      <c r="V73" s="307"/>
      <c r="W73" s="42" t="s">
        <v>39</v>
      </c>
      <c r="X73" s="43">
        <f>IFERROR(SUM(X70:X72),"0")</f>
        <v>28</v>
      </c>
      <c r="Y73" s="43">
        <f>IFERROR(SUM(Y70:Y72),"0")</f>
        <v>28</v>
      </c>
      <c r="Z73" s="43">
        <f>IFERROR(IF(Z70="",0,Z70),"0")+IFERROR(IF(Z71="",0,Z71),"0")+IFERROR(IF(Z72="",0,Z72),"0")</f>
        <v>0.26347999999999999</v>
      </c>
      <c r="AA73" s="67"/>
      <c r="AB73" s="67"/>
      <c r="AC73" s="67"/>
    </row>
    <row r="74" spans="1:68" x14ac:dyDescent="0.2">
      <c r="A74" s="295"/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308"/>
      <c r="P74" s="305" t="s">
        <v>40</v>
      </c>
      <c r="Q74" s="306"/>
      <c r="R74" s="306"/>
      <c r="S74" s="306"/>
      <c r="T74" s="306"/>
      <c r="U74" s="306"/>
      <c r="V74" s="307"/>
      <c r="W74" s="42" t="s">
        <v>0</v>
      </c>
      <c r="X74" s="43">
        <f>IFERROR(SUMPRODUCT(X70:X72*H70:H72),"0")</f>
        <v>33.6</v>
      </c>
      <c r="Y74" s="43">
        <f>IFERROR(SUMPRODUCT(Y70:Y72*H70:H72),"0")</f>
        <v>33.6</v>
      </c>
      <c r="Z74" s="42"/>
      <c r="AA74" s="67"/>
      <c r="AB74" s="67"/>
      <c r="AC74" s="67"/>
    </row>
    <row r="75" spans="1:68" ht="16.5" hidden="1" customHeight="1" x14ac:dyDescent="0.25">
      <c r="A75" s="321" t="s">
        <v>159</v>
      </c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65"/>
      <c r="AB75" s="65"/>
      <c r="AC75" s="82"/>
    </row>
    <row r="76" spans="1:68" ht="14.25" hidden="1" customHeight="1" x14ac:dyDescent="0.25">
      <c r="A76" s="316" t="s">
        <v>82</v>
      </c>
      <c r="B76" s="316"/>
      <c r="C76" s="316"/>
      <c r="D76" s="316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6"/>
      <c r="P76" s="316"/>
      <c r="Q76" s="316"/>
      <c r="R76" s="316"/>
      <c r="S76" s="316"/>
      <c r="T76" s="316"/>
      <c r="U76" s="316"/>
      <c r="V76" s="316"/>
      <c r="W76" s="316"/>
      <c r="X76" s="316"/>
      <c r="Y76" s="316"/>
      <c r="Z76" s="316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298">
        <v>4607111037411</v>
      </c>
      <c r="E77" s="298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00"/>
      <c r="R77" s="300"/>
      <c r="S77" s="300"/>
      <c r="T77" s="30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298">
        <v>4607111036728</v>
      </c>
      <c r="E78" s="298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00"/>
      <c r="R78" s="300"/>
      <c r="S78" s="300"/>
      <c r="T78" s="301"/>
      <c r="U78" s="39" t="s">
        <v>46</v>
      </c>
      <c r="V78" s="39" t="s">
        <v>46</v>
      </c>
      <c r="W78" s="40" t="s">
        <v>39</v>
      </c>
      <c r="X78" s="58">
        <v>384</v>
      </c>
      <c r="Y78" s="55">
        <f>IFERROR(IF(X78="","",X78),"")</f>
        <v>384</v>
      </c>
      <c r="Z78" s="41">
        <f>IFERROR(IF(X78="","",X78*0.00866),"")</f>
        <v>3.3254399999999995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2001.8687999999997</v>
      </c>
      <c r="BN78" s="81">
        <f>IFERROR(Y78*I78,"0")</f>
        <v>2001.8687999999997</v>
      </c>
      <c r="BO78" s="81">
        <f>IFERROR(X78/J78,"0")</f>
        <v>2.6666666666666665</v>
      </c>
      <c r="BP78" s="81">
        <f>IFERROR(Y78/J78,"0")</f>
        <v>2.6666666666666665</v>
      </c>
    </row>
    <row r="79" spans="1:68" x14ac:dyDescent="0.2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308"/>
      <c r="P79" s="305" t="s">
        <v>40</v>
      </c>
      <c r="Q79" s="306"/>
      <c r="R79" s="306"/>
      <c r="S79" s="306"/>
      <c r="T79" s="306"/>
      <c r="U79" s="306"/>
      <c r="V79" s="307"/>
      <c r="W79" s="42" t="s">
        <v>39</v>
      </c>
      <c r="X79" s="43">
        <f>IFERROR(SUM(X77:X78),"0")</f>
        <v>384</v>
      </c>
      <c r="Y79" s="43">
        <f>IFERROR(SUM(Y77:Y78),"0")</f>
        <v>384</v>
      </c>
      <c r="Z79" s="43">
        <f>IFERROR(IF(Z77="",0,Z77),"0")+IFERROR(IF(Z78="",0,Z78),"0")</f>
        <v>3.3254399999999995</v>
      </c>
      <c r="AA79" s="67"/>
      <c r="AB79" s="67"/>
      <c r="AC79" s="67"/>
    </row>
    <row r="80" spans="1:68" x14ac:dyDescent="0.2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308"/>
      <c r="P80" s="305" t="s">
        <v>40</v>
      </c>
      <c r="Q80" s="306"/>
      <c r="R80" s="306"/>
      <c r="S80" s="306"/>
      <c r="T80" s="306"/>
      <c r="U80" s="306"/>
      <c r="V80" s="307"/>
      <c r="W80" s="42" t="s">
        <v>0</v>
      </c>
      <c r="X80" s="43">
        <f>IFERROR(SUMPRODUCT(X77:X78*H77:H78),"0")</f>
        <v>1920</v>
      </c>
      <c r="Y80" s="43">
        <f>IFERROR(SUMPRODUCT(Y77:Y78*H77:H78),"0")</f>
        <v>1920</v>
      </c>
      <c r="Z80" s="42"/>
      <c r="AA80" s="67"/>
      <c r="AB80" s="67"/>
      <c r="AC80" s="67"/>
    </row>
    <row r="81" spans="1:68" ht="16.5" hidden="1" customHeight="1" x14ac:dyDescent="0.25">
      <c r="A81" s="321" t="s">
        <v>166</v>
      </c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65"/>
      <c r="AB81" s="65"/>
      <c r="AC81" s="82"/>
    </row>
    <row r="82" spans="1:68" ht="14.25" hidden="1" customHeight="1" x14ac:dyDescent="0.25">
      <c r="A82" s="316" t="s">
        <v>151</v>
      </c>
      <c r="B82" s="316"/>
      <c r="C82" s="316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16"/>
      <c r="V82" s="316"/>
      <c r="W82" s="316"/>
      <c r="X82" s="316"/>
      <c r="Y82" s="316"/>
      <c r="Z82" s="316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298">
        <v>4607111033659</v>
      </c>
      <c r="E83" s="298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00"/>
      <c r="R83" s="300"/>
      <c r="S83" s="300"/>
      <c r="T83" s="301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308"/>
      <c r="P84" s="305" t="s">
        <v>40</v>
      </c>
      <c r="Q84" s="306"/>
      <c r="R84" s="306"/>
      <c r="S84" s="306"/>
      <c r="T84" s="306"/>
      <c r="U84" s="306"/>
      <c r="V84" s="307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308"/>
      <c r="P85" s="305" t="s">
        <v>40</v>
      </c>
      <c r="Q85" s="306"/>
      <c r="R85" s="306"/>
      <c r="S85" s="306"/>
      <c r="T85" s="306"/>
      <c r="U85" s="306"/>
      <c r="V85" s="307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21" t="s">
        <v>170</v>
      </c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65"/>
      <c r="AB86" s="65"/>
      <c r="AC86" s="82"/>
    </row>
    <row r="87" spans="1:68" ht="14.25" hidden="1" customHeight="1" x14ac:dyDescent="0.25">
      <c r="A87" s="316" t="s">
        <v>171</v>
      </c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8">
        <v>4607111034120</v>
      </c>
      <c r="E88" s="29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00"/>
      <c r="R88" s="300"/>
      <c r="S88" s="300"/>
      <c r="T88" s="301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298">
        <v>4607111034137</v>
      </c>
      <c r="E89" s="298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00"/>
      <c r="R89" s="300"/>
      <c r="S89" s="300"/>
      <c r="T89" s="301"/>
      <c r="U89" s="39" t="s">
        <v>46</v>
      </c>
      <c r="V89" s="39" t="s">
        <v>46</v>
      </c>
      <c r="W89" s="40" t="s">
        <v>39</v>
      </c>
      <c r="X89" s="58">
        <v>14</v>
      </c>
      <c r="Y89" s="55">
        <f>IFERROR(IF(X89="","",X89),"")</f>
        <v>14</v>
      </c>
      <c r="Z89" s="41">
        <f>IFERROR(IF(X89="","",X89*0.01788),"")</f>
        <v>0.25031999999999999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60.250400000000006</v>
      </c>
      <c r="BN89" s="81">
        <f>IFERROR(Y89*I89,"0")</f>
        <v>60.250400000000006</v>
      </c>
      <c r="BO89" s="81">
        <f>IFERROR(X89/J89,"0")</f>
        <v>0.2</v>
      </c>
      <c r="BP89" s="81">
        <f>IFERROR(Y89/J89,"0")</f>
        <v>0.2</v>
      </c>
    </row>
    <row r="90" spans="1:68" x14ac:dyDescent="0.2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308"/>
      <c r="P90" s="305" t="s">
        <v>40</v>
      </c>
      <c r="Q90" s="306"/>
      <c r="R90" s="306"/>
      <c r="S90" s="306"/>
      <c r="T90" s="306"/>
      <c r="U90" s="306"/>
      <c r="V90" s="307"/>
      <c r="W90" s="42" t="s">
        <v>39</v>
      </c>
      <c r="X90" s="43">
        <f>IFERROR(SUM(X88:X89),"0")</f>
        <v>28</v>
      </c>
      <c r="Y90" s="43">
        <f>IFERROR(SUM(Y88:Y89),"0")</f>
        <v>28</v>
      </c>
      <c r="Z90" s="43">
        <f>IFERROR(IF(Z88="",0,Z88),"0")+IFERROR(IF(Z89="",0,Z89),"0")</f>
        <v>0.50063999999999997</v>
      </c>
      <c r="AA90" s="67"/>
      <c r="AB90" s="67"/>
      <c r="AC90" s="67"/>
    </row>
    <row r="91" spans="1:68" x14ac:dyDescent="0.2">
      <c r="A91" s="295"/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308"/>
      <c r="P91" s="305" t="s">
        <v>40</v>
      </c>
      <c r="Q91" s="306"/>
      <c r="R91" s="306"/>
      <c r="S91" s="306"/>
      <c r="T91" s="306"/>
      <c r="U91" s="306"/>
      <c r="V91" s="307"/>
      <c r="W91" s="42" t="s">
        <v>0</v>
      </c>
      <c r="X91" s="43">
        <f>IFERROR(SUMPRODUCT(X88:X89*H88:H89),"0")</f>
        <v>100.8</v>
      </c>
      <c r="Y91" s="43">
        <f>IFERROR(SUMPRODUCT(Y88:Y89*H88:H89),"0")</f>
        <v>100.8</v>
      </c>
      <c r="Z91" s="42"/>
      <c r="AA91" s="67"/>
      <c r="AB91" s="67"/>
      <c r="AC91" s="67"/>
    </row>
    <row r="92" spans="1:68" ht="16.5" hidden="1" customHeight="1" x14ac:dyDescent="0.25">
      <c r="A92" s="321" t="s">
        <v>178</v>
      </c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65"/>
      <c r="AB92" s="65"/>
      <c r="AC92" s="82"/>
    </row>
    <row r="93" spans="1:68" ht="14.25" hidden="1" customHeight="1" x14ac:dyDescent="0.25">
      <c r="A93" s="316" t="s">
        <v>151</v>
      </c>
      <c r="B93" s="316"/>
      <c r="C93" s="316"/>
      <c r="D93" s="316"/>
      <c r="E93" s="316"/>
      <c r="F93" s="316"/>
      <c r="G93" s="316"/>
      <c r="H93" s="316"/>
      <c r="I93" s="316"/>
      <c r="J93" s="316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  <c r="Z93" s="316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298">
        <v>4620207491027</v>
      </c>
      <c r="E94" s="298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7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00"/>
      <c r="R94" s="300"/>
      <c r="S94" s="300"/>
      <c r="T94" s="301"/>
      <c r="U94" s="39" t="s">
        <v>46</v>
      </c>
      <c r="V94" s="39" t="s">
        <v>46</v>
      </c>
      <c r="W94" s="40" t="s">
        <v>39</v>
      </c>
      <c r="X94" s="58">
        <v>14</v>
      </c>
      <c r="Y94" s="55">
        <f t="shared" ref="Y94:Y99" si="6">IFERROR(IF(X94="","",X94),"")</f>
        <v>14</v>
      </c>
      <c r="Z94" s="41">
        <f t="shared" ref="Z94:Z99" si="7">IFERROR(IF(X94="","",X94*0.01788),"")</f>
        <v>0.25031999999999999</v>
      </c>
      <c r="AA94" s="68" t="s">
        <v>46</v>
      </c>
      <c r="AB94" s="69" t="s">
        <v>46</v>
      </c>
      <c r="AC94" s="147" t="s">
        <v>169</v>
      </c>
      <c r="AG94" s="81"/>
      <c r="AJ94" s="87" t="s">
        <v>120</v>
      </c>
      <c r="AK94" s="87">
        <v>14</v>
      </c>
      <c r="BB94" s="148" t="s">
        <v>117</v>
      </c>
      <c r="BM94" s="81">
        <f t="shared" ref="BM94:BM99" si="8">IFERROR(X94*I94,"0")</f>
        <v>50.170400000000001</v>
      </c>
      <c r="BN94" s="81">
        <f t="shared" ref="BN94:BN99" si="9">IFERROR(Y94*I94,"0")</f>
        <v>50.170400000000001</v>
      </c>
      <c r="BO94" s="81">
        <f t="shared" ref="BO94:BO99" si="10">IFERROR(X94/J94,"0")</f>
        <v>0.2</v>
      </c>
      <c r="BP94" s="81">
        <f t="shared" ref="BP94:BP99" si="11">IFERROR(Y94/J94,"0")</f>
        <v>0.2</v>
      </c>
    </row>
    <row r="95" spans="1:68" ht="27" customHeight="1" x14ac:dyDescent="0.25">
      <c r="A95" s="63" t="s">
        <v>181</v>
      </c>
      <c r="B95" s="63" t="s">
        <v>182</v>
      </c>
      <c r="C95" s="36">
        <v>4301135914</v>
      </c>
      <c r="D95" s="298">
        <v>4620207491621</v>
      </c>
      <c r="E95" s="298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7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00"/>
      <c r="R95" s="300"/>
      <c r="S95" s="300"/>
      <c r="T95" s="301"/>
      <c r="U95" s="39" t="s">
        <v>46</v>
      </c>
      <c r="V95" s="39" t="s">
        <v>46</v>
      </c>
      <c r="W95" s="40" t="s">
        <v>39</v>
      </c>
      <c r="X95" s="58">
        <v>168</v>
      </c>
      <c r="Y95" s="55">
        <f t="shared" si="6"/>
        <v>168</v>
      </c>
      <c r="Z95" s="41">
        <f t="shared" si="7"/>
        <v>3.0038399999999998</v>
      </c>
      <c r="AA95" s="68" t="s">
        <v>46</v>
      </c>
      <c r="AB95" s="69" t="s">
        <v>46</v>
      </c>
      <c r="AC95" s="149" t="s">
        <v>183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602.04480000000001</v>
      </c>
      <c r="BN95" s="81">
        <f t="shared" si="9"/>
        <v>602.04480000000001</v>
      </c>
      <c r="BO95" s="81">
        <f t="shared" si="10"/>
        <v>2.4</v>
      </c>
      <c r="BP95" s="81">
        <f t="shared" si="11"/>
        <v>2.4</v>
      </c>
    </row>
    <row r="96" spans="1:68" ht="27" hidden="1" customHeight="1" x14ac:dyDescent="0.25">
      <c r="A96" s="63" t="s">
        <v>184</v>
      </c>
      <c r="B96" s="63" t="s">
        <v>185</v>
      </c>
      <c r="C96" s="36">
        <v>4301135768</v>
      </c>
      <c r="D96" s="298">
        <v>4620207491034</v>
      </c>
      <c r="E96" s="298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00"/>
      <c r="R96" s="300"/>
      <c r="S96" s="300"/>
      <c r="T96" s="301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186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187</v>
      </c>
      <c r="B97" s="63" t="s">
        <v>188</v>
      </c>
      <c r="C97" s="36">
        <v>4301135760</v>
      </c>
      <c r="D97" s="298">
        <v>4620207491010</v>
      </c>
      <c r="E97" s="29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7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00"/>
      <c r="R97" s="300"/>
      <c r="S97" s="300"/>
      <c r="T97" s="301"/>
      <c r="U97" s="39" t="s">
        <v>46</v>
      </c>
      <c r="V97" s="39" t="s">
        <v>46</v>
      </c>
      <c r="W97" s="40" t="s">
        <v>39</v>
      </c>
      <c r="X97" s="58">
        <v>168</v>
      </c>
      <c r="Y97" s="55">
        <f t="shared" si="6"/>
        <v>168</v>
      </c>
      <c r="Z97" s="41">
        <f t="shared" si="7"/>
        <v>3.0038399999999998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602.04480000000001</v>
      </c>
      <c r="BN97" s="81">
        <f t="shared" si="9"/>
        <v>602.04480000000001</v>
      </c>
      <c r="BO97" s="81">
        <f t="shared" si="10"/>
        <v>2.4</v>
      </c>
      <c r="BP97" s="81">
        <f t="shared" si="11"/>
        <v>2.4</v>
      </c>
    </row>
    <row r="98" spans="1:68" ht="27" hidden="1" customHeight="1" x14ac:dyDescent="0.25">
      <c r="A98" s="63" t="s">
        <v>189</v>
      </c>
      <c r="B98" s="63" t="s">
        <v>190</v>
      </c>
      <c r="C98" s="36">
        <v>4301135571</v>
      </c>
      <c r="D98" s="298">
        <v>4607111035028</v>
      </c>
      <c r="E98" s="298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7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00"/>
      <c r="R98" s="300"/>
      <c r="S98" s="300"/>
      <c r="T98" s="30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169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191</v>
      </c>
      <c r="B99" s="63" t="s">
        <v>192</v>
      </c>
      <c r="C99" s="36">
        <v>4301135285</v>
      </c>
      <c r="D99" s="298">
        <v>4607111036407</v>
      </c>
      <c r="E99" s="298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00"/>
      <c r="R99" s="300"/>
      <c r="S99" s="300"/>
      <c r="T99" s="30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193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5"/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308"/>
      <c r="P100" s="305" t="s">
        <v>40</v>
      </c>
      <c r="Q100" s="306"/>
      <c r="R100" s="306"/>
      <c r="S100" s="306"/>
      <c r="T100" s="306"/>
      <c r="U100" s="306"/>
      <c r="V100" s="307"/>
      <c r="W100" s="42" t="s">
        <v>39</v>
      </c>
      <c r="X100" s="43">
        <f>IFERROR(SUM(X94:X99),"0")</f>
        <v>350</v>
      </c>
      <c r="Y100" s="43">
        <f>IFERROR(SUM(Y94:Y99),"0")</f>
        <v>350</v>
      </c>
      <c r="Z100" s="43">
        <f>IFERROR(IF(Z94="",0,Z94),"0")+IFERROR(IF(Z95="",0,Z95),"0")+IFERROR(IF(Z96="",0,Z96),"0")+IFERROR(IF(Z97="",0,Z97),"0")+IFERROR(IF(Z98="",0,Z98),"0")+IFERROR(IF(Z99="",0,Z99),"0")</f>
        <v>6.2579999999999991</v>
      </c>
      <c r="AA100" s="67"/>
      <c r="AB100" s="67"/>
      <c r="AC100" s="67"/>
    </row>
    <row r="101" spans="1:68" x14ac:dyDescent="0.2">
      <c r="A101" s="295"/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308"/>
      <c r="P101" s="305" t="s">
        <v>40</v>
      </c>
      <c r="Q101" s="306"/>
      <c r="R101" s="306"/>
      <c r="S101" s="306"/>
      <c r="T101" s="306"/>
      <c r="U101" s="306"/>
      <c r="V101" s="307"/>
      <c r="W101" s="42" t="s">
        <v>0</v>
      </c>
      <c r="X101" s="43">
        <f>IFERROR(SUMPRODUCT(X94:X99*H94:H99),"0")</f>
        <v>1008</v>
      </c>
      <c r="Y101" s="43">
        <f>IFERROR(SUMPRODUCT(Y94:Y99*H94:H99),"0")</f>
        <v>1008</v>
      </c>
      <c r="Z101" s="42"/>
      <c r="AA101" s="67"/>
      <c r="AB101" s="67"/>
      <c r="AC101" s="67"/>
    </row>
    <row r="102" spans="1:68" ht="16.5" hidden="1" customHeight="1" x14ac:dyDescent="0.25">
      <c r="A102" s="321" t="s">
        <v>194</v>
      </c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65"/>
      <c r="AB102" s="65"/>
      <c r="AC102" s="82"/>
    </row>
    <row r="103" spans="1:68" ht="14.25" hidden="1" customHeight="1" x14ac:dyDescent="0.25">
      <c r="A103" s="316" t="s">
        <v>145</v>
      </c>
      <c r="B103" s="316"/>
      <c r="C103" s="316"/>
      <c r="D103" s="316"/>
      <c r="E103" s="316"/>
      <c r="F103" s="316"/>
      <c r="G103" s="316"/>
      <c r="H103" s="316"/>
      <c r="I103" s="316"/>
      <c r="J103" s="316"/>
      <c r="K103" s="316"/>
      <c r="L103" s="316"/>
      <c r="M103" s="316"/>
      <c r="N103" s="316"/>
      <c r="O103" s="316"/>
      <c r="P103" s="316"/>
      <c r="Q103" s="316"/>
      <c r="R103" s="316"/>
      <c r="S103" s="316"/>
      <c r="T103" s="316"/>
      <c r="U103" s="316"/>
      <c r="V103" s="316"/>
      <c r="W103" s="316"/>
      <c r="X103" s="316"/>
      <c r="Y103" s="316"/>
      <c r="Z103" s="316"/>
      <c r="AA103" s="66"/>
      <c r="AB103" s="66"/>
      <c r="AC103" s="83"/>
    </row>
    <row r="104" spans="1:68" ht="27" hidden="1" customHeight="1" x14ac:dyDescent="0.25">
      <c r="A104" s="63" t="s">
        <v>195</v>
      </c>
      <c r="B104" s="63" t="s">
        <v>196</v>
      </c>
      <c r="C104" s="36">
        <v>4301136070</v>
      </c>
      <c r="D104" s="298">
        <v>4607025784012</v>
      </c>
      <c r="E104" s="298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00"/>
      <c r="R104" s="300"/>
      <c r="S104" s="300"/>
      <c r="T104" s="301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197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198</v>
      </c>
      <c r="B105" s="63" t="s">
        <v>199</v>
      </c>
      <c r="C105" s="36">
        <v>4301136103</v>
      </c>
      <c r="D105" s="298">
        <v>4620207491645</v>
      </c>
      <c r="E105" s="298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00"/>
      <c r="R105" s="300"/>
      <c r="S105" s="300"/>
      <c r="T105" s="301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200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308"/>
      <c r="P106" s="305" t="s">
        <v>40</v>
      </c>
      <c r="Q106" s="306"/>
      <c r="R106" s="306"/>
      <c r="S106" s="306"/>
      <c r="T106" s="306"/>
      <c r="U106" s="306"/>
      <c r="V106" s="307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295"/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308"/>
      <c r="P107" s="305" t="s">
        <v>40</v>
      </c>
      <c r="Q107" s="306"/>
      <c r="R107" s="306"/>
      <c r="S107" s="306"/>
      <c r="T107" s="306"/>
      <c r="U107" s="306"/>
      <c r="V107" s="307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21" t="s">
        <v>201</v>
      </c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65"/>
      <c r="AB108" s="65"/>
      <c r="AC108" s="82"/>
    </row>
    <row r="109" spans="1:68" ht="14.25" hidden="1" customHeight="1" x14ac:dyDescent="0.25">
      <c r="A109" s="316" t="s">
        <v>82</v>
      </c>
      <c r="B109" s="316"/>
      <c r="C109" s="316"/>
      <c r="D109" s="316"/>
      <c r="E109" s="316"/>
      <c r="F109" s="316"/>
      <c r="G109" s="316"/>
      <c r="H109" s="316"/>
      <c r="I109" s="316"/>
      <c r="J109" s="316"/>
      <c r="K109" s="316"/>
      <c r="L109" s="316"/>
      <c r="M109" s="316"/>
      <c r="N109" s="316"/>
      <c r="O109" s="316"/>
      <c r="P109" s="316"/>
      <c r="Q109" s="316"/>
      <c r="R109" s="316"/>
      <c r="S109" s="316"/>
      <c r="T109" s="316"/>
      <c r="U109" s="316"/>
      <c r="V109" s="316"/>
      <c r="W109" s="316"/>
      <c r="X109" s="316"/>
      <c r="Y109" s="316"/>
      <c r="Z109" s="316"/>
      <c r="AA109" s="66"/>
      <c r="AB109" s="66"/>
      <c r="AC109" s="83"/>
    </row>
    <row r="110" spans="1:68" ht="27" customHeight="1" x14ac:dyDescent="0.25">
      <c r="A110" s="63" t="s">
        <v>202</v>
      </c>
      <c r="B110" s="63" t="s">
        <v>203</v>
      </c>
      <c r="C110" s="36">
        <v>4301071074</v>
      </c>
      <c r="D110" s="298">
        <v>4620207491157</v>
      </c>
      <c r="E110" s="298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00"/>
      <c r="R110" s="300"/>
      <c r="S110" s="300"/>
      <c r="T110" s="301"/>
      <c r="U110" s="39" t="s">
        <v>46</v>
      </c>
      <c r="V110" s="39" t="s">
        <v>46</v>
      </c>
      <c r="W110" s="40" t="s">
        <v>39</v>
      </c>
      <c r="X110" s="58">
        <v>60</v>
      </c>
      <c r="Y110" s="55">
        <f t="shared" ref="Y110:Y118" si="12">IFERROR(IF(X110="","",X110),"")</f>
        <v>60</v>
      </c>
      <c r="Z110" s="41">
        <f t="shared" ref="Z110:Z118" si="13">IFERROR(IF(X110="","",X110*0.0155),"")</f>
        <v>0.92999999999999994</v>
      </c>
      <c r="AA110" s="68" t="s">
        <v>46</v>
      </c>
      <c r="AB110" s="69" t="s">
        <v>46</v>
      </c>
      <c r="AC110" s="163" t="s">
        <v>204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436.8</v>
      </c>
      <c r="BN110" s="81">
        <f t="shared" ref="BN110:BN118" si="15">IFERROR(Y110*I110,"0")</f>
        <v>436.8</v>
      </c>
      <c r="BO110" s="81">
        <f t="shared" ref="BO110:BO118" si="16">IFERROR(X110/J110,"0")</f>
        <v>0.7142857142857143</v>
      </c>
      <c r="BP110" s="81">
        <f t="shared" ref="BP110:BP118" si="17">IFERROR(Y110/J110,"0")</f>
        <v>0.7142857142857143</v>
      </c>
    </row>
    <row r="111" spans="1:68" ht="27" customHeight="1" x14ac:dyDescent="0.25">
      <c r="A111" s="63" t="s">
        <v>205</v>
      </c>
      <c r="B111" s="63" t="s">
        <v>206</v>
      </c>
      <c r="C111" s="36">
        <v>4301071121</v>
      </c>
      <c r="D111" s="298">
        <v>4620207491393</v>
      </c>
      <c r="E111" s="298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00"/>
      <c r="R111" s="300"/>
      <c r="S111" s="300"/>
      <c r="T111" s="301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65" t="s">
        <v>207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80.52</v>
      </c>
      <c r="BN111" s="81">
        <f t="shared" si="15"/>
        <v>80.52</v>
      </c>
      <c r="BO111" s="81">
        <f t="shared" si="16"/>
        <v>0.14285714285714285</v>
      </c>
      <c r="BP111" s="81">
        <f t="shared" si="17"/>
        <v>0.14285714285714285</v>
      </c>
    </row>
    <row r="112" spans="1:68" ht="27" hidden="1" customHeight="1" x14ac:dyDescent="0.25">
      <c r="A112" s="63" t="s">
        <v>208</v>
      </c>
      <c r="B112" s="63" t="s">
        <v>209</v>
      </c>
      <c r="C112" s="36">
        <v>4301071136</v>
      </c>
      <c r="D112" s="298">
        <v>4620207491829</v>
      </c>
      <c r="E112" s="298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6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00"/>
      <c r="R112" s="300"/>
      <c r="S112" s="300"/>
      <c r="T112" s="301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207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210</v>
      </c>
      <c r="B113" s="63" t="s">
        <v>211</v>
      </c>
      <c r="C113" s="36">
        <v>4301071051</v>
      </c>
      <c r="D113" s="298">
        <v>4607111039262</v>
      </c>
      <c r="E113" s="298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6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00"/>
      <c r="R113" s="300"/>
      <c r="S113" s="300"/>
      <c r="T113" s="301"/>
      <c r="U113" s="39" t="s">
        <v>46</v>
      </c>
      <c r="V113" s="39" t="s">
        <v>46</v>
      </c>
      <c r="W113" s="40" t="s">
        <v>39</v>
      </c>
      <c r="X113" s="58">
        <v>60</v>
      </c>
      <c r="Y113" s="55">
        <f t="shared" si="12"/>
        <v>60</v>
      </c>
      <c r="Z113" s="41">
        <f t="shared" si="13"/>
        <v>0.92999999999999994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403.17599999999999</v>
      </c>
      <c r="BN113" s="81">
        <f t="shared" si="15"/>
        <v>403.17599999999999</v>
      </c>
      <c r="BO113" s="81">
        <f t="shared" si="16"/>
        <v>0.7142857142857143</v>
      </c>
      <c r="BP113" s="81">
        <f t="shared" si="17"/>
        <v>0.7142857142857143</v>
      </c>
    </row>
    <row r="114" spans="1:68" ht="27" customHeight="1" x14ac:dyDescent="0.25">
      <c r="A114" s="63" t="s">
        <v>212</v>
      </c>
      <c r="B114" s="63" t="s">
        <v>213</v>
      </c>
      <c r="C114" s="36">
        <v>4301071038</v>
      </c>
      <c r="D114" s="298">
        <v>4607111039248</v>
      </c>
      <c r="E114" s="298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6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00"/>
      <c r="R114" s="300"/>
      <c r="S114" s="300"/>
      <c r="T114" s="301"/>
      <c r="U114" s="39" t="s">
        <v>46</v>
      </c>
      <c r="V114" s="39" t="s">
        <v>46</v>
      </c>
      <c r="W114" s="40" t="s">
        <v>39</v>
      </c>
      <c r="X114" s="58">
        <v>300</v>
      </c>
      <c r="Y114" s="55">
        <f t="shared" si="12"/>
        <v>300</v>
      </c>
      <c r="Z114" s="41">
        <f t="shared" si="13"/>
        <v>4.6500000000000004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2190</v>
      </c>
      <c r="BN114" s="81">
        <f t="shared" si="15"/>
        <v>2190</v>
      </c>
      <c r="BO114" s="81">
        <f t="shared" si="16"/>
        <v>3.5714285714285716</v>
      </c>
      <c r="BP114" s="81">
        <f t="shared" si="17"/>
        <v>3.5714285714285716</v>
      </c>
    </row>
    <row r="115" spans="1:68" ht="27" hidden="1" customHeight="1" x14ac:dyDescent="0.25">
      <c r="A115" s="63" t="s">
        <v>214</v>
      </c>
      <c r="B115" s="63" t="s">
        <v>215</v>
      </c>
      <c r="C115" s="36">
        <v>4301070979</v>
      </c>
      <c r="D115" s="298">
        <v>4607111037145</v>
      </c>
      <c r="E115" s="298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6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00"/>
      <c r="R115" s="300"/>
      <c r="S115" s="300"/>
      <c r="T115" s="30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216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217</v>
      </c>
      <c r="B116" s="63" t="s">
        <v>218</v>
      </c>
      <c r="C116" s="36">
        <v>4301071075</v>
      </c>
      <c r="D116" s="298">
        <v>4620207491102</v>
      </c>
      <c r="E116" s="298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00"/>
      <c r="R116" s="300"/>
      <c r="S116" s="300"/>
      <c r="T116" s="301"/>
      <c r="U116" s="39" t="s">
        <v>46</v>
      </c>
      <c r="V116" s="39" t="s">
        <v>46</v>
      </c>
      <c r="W116" s="40" t="s">
        <v>39</v>
      </c>
      <c r="X116" s="58">
        <v>84</v>
      </c>
      <c r="Y116" s="55">
        <f t="shared" si="12"/>
        <v>84</v>
      </c>
      <c r="Z116" s="41">
        <f t="shared" si="13"/>
        <v>1.302</v>
      </c>
      <c r="AA116" s="68" t="s">
        <v>46</v>
      </c>
      <c r="AB116" s="69" t="s">
        <v>46</v>
      </c>
      <c r="AC116" s="175" t="s">
        <v>219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607.32000000000005</v>
      </c>
      <c r="BN116" s="81">
        <f t="shared" si="15"/>
        <v>607.32000000000005</v>
      </c>
      <c r="BO116" s="81">
        <f t="shared" si="16"/>
        <v>1</v>
      </c>
      <c r="BP116" s="81">
        <f t="shared" si="17"/>
        <v>1</v>
      </c>
    </row>
    <row r="117" spans="1:68" ht="27" customHeight="1" x14ac:dyDescent="0.25">
      <c r="A117" s="63" t="s">
        <v>220</v>
      </c>
      <c r="B117" s="63" t="s">
        <v>221</v>
      </c>
      <c r="C117" s="36">
        <v>4301071049</v>
      </c>
      <c r="D117" s="298">
        <v>4607111039293</v>
      </c>
      <c r="E117" s="298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00"/>
      <c r="R117" s="300"/>
      <c r="S117" s="300"/>
      <c r="T117" s="301"/>
      <c r="U117" s="39" t="s">
        <v>46</v>
      </c>
      <c r="V117" s="39" t="s">
        <v>46</v>
      </c>
      <c r="W117" s="40" t="s">
        <v>39</v>
      </c>
      <c r="X117" s="58">
        <v>72</v>
      </c>
      <c r="Y117" s="55">
        <f t="shared" si="12"/>
        <v>72</v>
      </c>
      <c r="Z117" s="41">
        <f t="shared" si="13"/>
        <v>1.1160000000000001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483.81119999999999</v>
      </c>
      <c r="BN117" s="81">
        <f t="shared" si="15"/>
        <v>483.81119999999999</v>
      </c>
      <c r="BO117" s="81">
        <f t="shared" si="16"/>
        <v>0.8571428571428571</v>
      </c>
      <c r="BP117" s="81">
        <f t="shared" si="17"/>
        <v>0.8571428571428571</v>
      </c>
    </row>
    <row r="118" spans="1:68" ht="27" customHeight="1" x14ac:dyDescent="0.25">
      <c r="A118" s="63" t="s">
        <v>222</v>
      </c>
      <c r="B118" s="63" t="s">
        <v>223</v>
      </c>
      <c r="C118" s="36">
        <v>4301071039</v>
      </c>
      <c r="D118" s="298">
        <v>4607111039279</v>
      </c>
      <c r="E118" s="298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00"/>
      <c r="R118" s="300"/>
      <c r="S118" s="300"/>
      <c r="T118" s="301"/>
      <c r="U118" s="39" t="s">
        <v>46</v>
      </c>
      <c r="V118" s="39" t="s">
        <v>46</v>
      </c>
      <c r="W118" s="40" t="s">
        <v>39</v>
      </c>
      <c r="X118" s="58">
        <v>216</v>
      </c>
      <c r="Y118" s="55">
        <f t="shared" si="12"/>
        <v>216</v>
      </c>
      <c r="Z118" s="41">
        <f t="shared" si="13"/>
        <v>3.3479999999999999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1576.8</v>
      </c>
      <c r="BN118" s="81">
        <f t="shared" si="15"/>
        <v>1576.8</v>
      </c>
      <c r="BO118" s="81">
        <f t="shared" si="16"/>
        <v>2.5714285714285716</v>
      </c>
      <c r="BP118" s="81">
        <f t="shared" si="17"/>
        <v>2.5714285714285716</v>
      </c>
    </row>
    <row r="119" spans="1:68" x14ac:dyDescent="0.2">
      <c r="A119" s="295"/>
      <c r="B119" s="295"/>
      <c r="C119" s="295"/>
      <c r="D119" s="295"/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308"/>
      <c r="P119" s="305" t="s">
        <v>40</v>
      </c>
      <c r="Q119" s="306"/>
      <c r="R119" s="306"/>
      <c r="S119" s="306"/>
      <c r="T119" s="306"/>
      <c r="U119" s="306"/>
      <c r="V119" s="307"/>
      <c r="W119" s="42" t="s">
        <v>39</v>
      </c>
      <c r="X119" s="43">
        <f>IFERROR(SUM(X110:X118),"0")</f>
        <v>804</v>
      </c>
      <c r="Y119" s="43">
        <f>IFERROR(SUM(Y110:Y118),"0")</f>
        <v>804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12.462</v>
      </c>
      <c r="AA119" s="67"/>
      <c r="AB119" s="67"/>
      <c r="AC119" s="67"/>
    </row>
    <row r="120" spans="1:68" x14ac:dyDescent="0.2">
      <c r="A120" s="295"/>
      <c r="B120" s="295"/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308"/>
      <c r="P120" s="305" t="s">
        <v>40</v>
      </c>
      <c r="Q120" s="306"/>
      <c r="R120" s="306"/>
      <c r="S120" s="306"/>
      <c r="T120" s="306"/>
      <c r="U120" s="306"/>
      <c r="V120" s="307"/>
      <c r="W120" s="42" t="s">
        <v>0</v>
      </c>
      <c r="X120" s="43">
        <f>IFERROR(SUMPRODUCT(X110:X118*H110:H118),"0")</f>
        <v>5541.6</v>
      </c>
      <c r="Y120" s="43">
        <f>IFERROR(SUMPRODUCT(Y110:Y118*H110:H118),"0")</f>
        <v>5541.6</v>
      </c>
      <c r="Z120" s="42"/>
      <c r="AA120" s="67"/>
      <c r="AB120" s="67"/>
      <c r="AC120" s="67"/>
    </row>
    <row r="121" spans="1:68" ht="14.25" hidden="1" customHeight="1" x14ac:dyDescent="0.25">
      <c r="A121" s="316" t="s">
        <v>151</v>
      </c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16"/>
      <c r="AA121" s="66"/>
      <c r="AB121" s="66"/>
      <c r="AC121" s="83"/>
    </row>
    <row r="122" spans="1:68" ht="27" hidden="1" customHeight="1" x14ac:dyDescent="0.25">
      <c r="A122" s="63" t="s">
        <v>224</v>
      </c>
      <c r="B122" s="63" t="s">
        <v>225</v>
      </c>
      <c r="C122" s="36">
        <v>4301135826</v>
      </c>
      <c r="D122" s="298">
        <v>4620207490983</v>
      </c>
      <c r="E122" s="298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00"/>
      <c r="R122" s="300"/>
      <c r="S122" s="300"/>
      <c r="T122" s="30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226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308"/>
      <c r="P123" s="305" t="s">
        <v>40</v>
      </c>
      <c r="Q123" s="306"/>
      <c r="R123" s="306"/>
      <c r="S123" s="306"/>
      <c r="T123" s="306"/>
      <c r="U123" s="306"/>
      <c r="V123" s="307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308"/>
      <c r="P124" s="305" t="s">
        <v>40</v>
      </c>
      <c r="Q124" s="306"/>
      <c r="R124" s="306"/>
      <c r="S124" s="306"/>
      <c r="T124" s="306"/>
      <c r="U124" s="306"/>
      <c r="V124" s="307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6" t="s">
        <v>227</v>
      </c>
      <c r="B125" s="316"/>
      <c r="C125" s="316"/>
      <c r="D125" s="316"/>
      <c r="E125" s="316"/>
      <c r="F125" s="316"/>
      <c r="G125" s="316"/>
      <c r="H125" s="316"/>
      <c r="I125" s="316"/>
      <c r="J125" s="316"/>
      <c r="K125" s="316"/>
      <c r="L125" s="316"/>
      <c r="M125" s="316"/>
      <c r="N125" s="316"/>
      <c r="O125" s="316"/>
      <c r="P125" s="316"/>
      <c r="Q125" s="316"/>
      <c r="R125" s="316"/>
      <c r="S125" s="316"/>
      <c r="T125" s="316"/>
      <c r="U125" s="316"/>
      <c r="V125" s="316"/>
      <c r="W125" s="316"/>
      <c r="X125" s="316"/>
      <c r="Y125" s="316"/>
      <c r="Z125" s="316"/>
      <c r="AA125" s="66"/>
      <c r="AB125" s="66"/>
      <c r="AC125" s="83"/>
    </row>
    <row r="126" spans="1:68" ht="27" customHeight="1" x14ac:dyDescent="0.25">
      <c r="A126" s="63" t="s">
        <v>228</v>
      </c>
      <c r="B126" s="63" t="s">
        <v>229</v>
      </c>
      <c r="C126" s="36">
        <v>4301071094</v>
      </c>
      <c r="D126" s="298">
        <v>4620207491140</v>
      </c>
      <c r="E126" s="298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00"/>
      <c r="R126" s="300"/>
      <c r="S126" s="300"/>
      <c r="T126" s="301"/>
      <c r="U126" s="39" t="s">
        <v>46</v>
      </c>
      <c r="V126" s="39" t="s">
        <v>46</v>
      </c>
      <c r="W126" s="40" t="s">
        <v>39</v>
      </c>
      <c r="X126" s="58">
        <v>12</v>
      </c>
      <c r="Y126" s="55">
        <f>IFERROR(IF(X126="","",X126),"")</f>
        <v>12</v>
      </c>
      <c r="Z126" s="41">
        <f>IFERROR(IF(X126="","",X126*0.0155),"")</f>
        <v>0.186</v>
      </c>
      <c r="AA126" s="68" t="s">
        <v>46</v>
      </c>
      <c r="AB126" s="69" t="s">
        <v>46</v>
      </c>
      <c r="AC126" s="183" t="s">
        <v>230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75.36</v>
      </c>
      <c r="BN126" s="81">
        <f>IFERROR(Y126*I126,"0")</f>
        <v>75.36</v>
      </c>
      <c r="BO126" s="81">
        <f>IFERROR(X126/J126,"0")</f>
        <v>0.14285714285714285</v>
      </c>
      <c r="BP126" s="81">
        <f>IFERROR(Y126/J126,"0")</f>
        <v>0.14285714285714285</v>
      </c>
    </row>
    <row r="127" spans="1:68" x14ac:dyDescent="0.2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308"/>
      <c r="P127" s="305" t="s">
        <v>40</v>
      </c>
      <c r="Q127" s="306"/>
      <c r="R127" s="306"/>
      <c r="S127" s="306"/>
      <c r="T127" s="306"/>
      <c r="U127" s="306"/>
      <c r="V127" s="307"/>
      <c r="W127" s="42" t="s">
        <v>39</v>
      </c>
      <c r="X127" s="43">
        <f>IFERROR(SUM(X126:X126),"0")</f>
        <v>12</v>
      </c>
      <c r="Y127" s="43">
        <f>IFERROR(SUM(Y126:Y126),"0")</f>
        <v>12</v>
      </c>
      <c r="Z127" s="43">
        <f>IFERROR(IF(Z126="",0,Z126),"0")</f>
        <v>0.186</v>
      </c>
      <c r="AA127" s="67"/>
      <c r="AB127" s="67"/>
      <c r="AC127" s="67"/>
    </row>
    <row r="128" spans="1:68" x14ac:dyDescent="0.2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308"/>
      <c r="P128" s="305" t="s">
        <v>40</v>
      </c>
      <c r="Q128" s="306"/>
      <c r="R128" s="306"/>
      <c r="S128" s="306"/>
      <c r="T128" s="306"/>
      <c r="U128" s="306"/>
      <c r="V128" s="307"/>
      <c r="W128" s="42" t="s">
        <v>0</v>
      </c>
      <c r="X128" s="43">
        <f>IFERROR(SUMPRODUCT(X126:X126*H126:H126),"0")</f>
        <v>72</v>
      </c>
      <c r="Y128" s="43">
        <f>IFERROR(SUMPRODUCT(Y126:Y126*H126:H126),"0")</f>
        <v>72</v>
      </c>
      <c r="Z128" s="42"/>
      <c r="AA128" s="67"/>
      <c r="AB128" s="67"/>
      <c r="AC128" s="67"/>
    </row>
    <row r="129" spans="1:68" ht="16.5" hidden="1" customHeight="1" x14ac:dyDescent="0.25">
      <c r="A129" s="321" t="s">
        <v>231</v>
      </c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65"/>
      <c r="AB129" s="65"/>
      <c r="AC129" s="82"/>
    </row>
    <row r="130" spans="1:68" ht="14.25" hidden="1" customHeight="1" x14ac:dyDescent="0.25">
      <c r="A130" s="316" t="s">
        <v>151</v>
      </c>
      <c r="B130" s="316"/>
      <c r="C130" s="316"/>
      <c r="D130" s="316"/>
      <c r="E130" s="316"/>
      <c r="F130" s="316"/>
      <c r="G130" s="316"/>
      <c r="H130" s="316"/>
      <c r="I130" s="316"/>
      <c r="J130" s="316"/>
      <c r="K130" s="316"/>
      <c r="L130" s="316"/>
      <c r="M130" s="316"/>
      <c r="N130" s="316"/>
      <c r="O130" s="316"/>
      <c r="P130" s="316"/>
      <c r="Q130" s="316"/>
      <c r="R130" s="316"/>
      <c r="S130" s="316"/>
      <c r="T130" s="316"/>
      <c r="U130" s="316"/>
      <c r="V130" s="316"/>
      <c r="W130" s="316"/>
      <c r="X130" s="316"/>
      <c r="Y130" s="316"/>
      <c r="Z130" s="316"/>
      <c r="AA130" s="66"/>
      <c r="AB130" s="66"/>
      <c r="AC130" s="83"/>
    </row>
    <row r="131" spans="1:68" ht="27" hidden="1" customHeight="1" x14ac:dyDescent="0.25">
      <c r="A131" s="63" t="s">
        <v>232</v>
      </c>
      <c r="B131" s="63" t="s">
        <v>233</v>
      </c>
      <c r="C131" s="36">
        <v>4301135848</v>
      </c>
      <c r="D131" s="298">
        <v>4620207491799</v>
      </c>
      <c r="E131" s="298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5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00"/>
      <c r="R131" s="300"/>
      <c r="S131" s="300"/>
      <c r="T131" s="301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234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hidden="1" customHeight="1" x14ac:dyDescent="0.25">
      <c r="A132" s="63" t="s">
        <v>235</v>
      </c>
      <c r="B132" s="63" t="s">
        <v>236</v>
      </c>
      <c r="C132" s="36">
        <v>4301135850</v>
      </c>
      <c r="D132" s="298">
        <v>4620207491492</v>
      </c>
      <c r="E132" s="298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5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00"/>
      <c r="R132" s="300"/>
      <c r="S132" s="300"/>
      <c r="T132" s="301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234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237</v>
      </c>
      <c r="B133" s="63" t="s">
        <v>238</v>
      </c>
      <c r="C133" s="36">
        <v>4301190118</v>
      </c>
      <c r="D133" s="298">
        <v>4620207491461</v>
      </c>
      <c r="E133" s="298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00"/>
      <c r="R133" s="300"/>
      <c r="S133" s="300"/>
      <c r="T133" s="301"/>
      <c r="U133" s="39" t="s">
        <v>46</v>
      </c>
      <c r="V133" s="39" t="s">
        <v>46</v>
      </c>
      <c r="W133" s="40" t="s">
        <v>39</v>
      </c>
      <c r="X133" s="58">
        <v>28</v>
      </c>
      <c r="Y133" s="55">
        <f>IFERROR(IF(X133="","",X133),"")</f>
        <v>28</v>
      </c>
      <c r="Z133" s="41">
        <f>IFERROR(IF(X133="","",X133*0.00941),"")</f>
        <v>0.26347999999999999</v>
      </c>
      <c r="AA133" s="68" t="s">
        <v>46</v>
      </c>
      <c r="AB133" s="69" t="s">
        <v>46</v>
      </c>
      <c r="AC133" s="189" t="s">
        <v>234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48.72</v>
      </c>
      <c r="BN133" s="81">
        <f>IFERROR(Y133*I133,"0")</f>
        <v>48.72</v>
      </c>
      <c r="BO133" s="81">
        <f>IFERROR(X133/J133,"0")</f>
        <v>0.2</v>
      </c>
      <c r="BP133" s="81">
        <f>IFERROR(Y133/J133,"0")</f>
        <v>0.2</v>
      </c>
    </row>
    <row r="134" spans="1:68" ht="27" customHeight="1" x14ac:dyDescent="0.25">
      <c r="A134" s="63" t="s">
        <v>239</v>
      </c>
      <c r="B134" s="63" t="s">
        <v>240</v>
      </c>
      <c r="C134" s="36">
        <v>4301135865</v>
      </c>
      <c r="D134" s="298">
        <v>4620207491485</v>
      </c>
      <c r="E134" s="298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00"/>
      <c r="R134" s="300"/>
      <c r="S134" s="300"/>
      <c r="T134" s="301"/>
      <c r="U134" s="39" t="s">
        <v>46</v>
      </c>
      <c r="V134" s="39" t="s">
        <v>46</v>
      </c>
      <c r="W134" s="40" t="s">
        <v>39</v>
      </c>
      <c r="X134" s="58">
        <v>70</v>
      </c>
      <c r="Y134" s="55">
        <f>IFERROR(IF(X134="","",X134),"")</f>
        <v>70</v>
      </c>
      <c r="Z134" s="41">
        <f>IFERROR(IF(X134="","",X134*0.00941),"")</f>
        <v>0.65869999999999995</v>
      </c>
      <c r="AA134" s="68" t="s">
        <v>46</v>
      </c>
      <c r="AB134" s="69" t="s">
        <v>46</v>
      </c>
      <c r="AC134" s="191" t="s">
        <v>234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126</v>
      </c>
      <c r="BN134" s="81">
        <f>IFERROR(Y134*I134,"0")</f>
        <v>126</v>
      </c>
      <c r="BO134" s="81">
        <f>IFERROR(X134/J134,"0")</f>
        <v>0.5</v>
      </c>
      <c r="BP134" s="81">
        <f>IFERROR(Y134/J134,"0")</f>
        <v>0.5</v>
      </c>
    </row>
    <row r="135" spans="1:68" x14ac:dyDescent="0.2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308"/>
      <c r="P135" s="305" t="s">
        <v>40</v>
      </c>
      <c r="Q135" s="306"/>
      <c r="R135" s="306"/>
      <c r="S135" s="306"/>
      <c r="T135" s="306"/>
      <c r="U135" s="306"/>
      <c r="V135" s="307"/>
      <c r="W135" s="42" t="s">
        <v>39</v>
      </c>
      <c r="X135" s="43">
        <f>IFERROR(SUM(X131:X134),"0")</f>
        <v>98</v>
      </c>
      <c r="Y135" s="43">
        <f>IFERROR(SUM(Y131:Y134),"0")</f>
        <v>98</v>
      </c>
      <c r="Z135" s="43">
        <f>IFERROR(IF(Z131="",0,Z131),"0")+IFERROR(IF(Z132="",0,Z132),"0")+IFERROR(IF(Z133="",0,Z133),"0")+IFERROR(IF(Z134="",0,Z134),"0")</f>
        <v>0.92218</v>
      </c>
      <c r="AA135" s="67"/>
      <c r="AB135" s="67"/>
      <c r="AC135" s="67"/>
    </row>
    <row r="136" spans="1:68" x14ac:dyDescent="0.2">
      <c r="A136" s="295"/>
      <c r="B136" s="295"/>
      <c r="C136" s="295"/>
      <c r="D136" s="295"/>
      <c r="E136" s="295"/>
      <c r="F136" s="295"/>
      <c r="G136" s="295"/>
      <c r="H136" s="295"/>
      <c r="I136" s="295"/>
      <c r="J136" s="295"/>
      <c r="K136" s="295"/>
      <c r="L136" s="295"/>
      <c r="M136" s="295"/>
      <c r="N136" s="295"/>
      <c r="O136" s="308"/>
      <c r="P136" s="305" t="s">
        <v>40</v>
      </c>
      <c r="Q136" s="306"/>
      <c r="R136" s="306"/>
      <c r="S136" s="306"/>
      <c r="T136" s="306"/>
      <c r="U136" s="306"/>
      <c r="V136" s="307"/>
      <c r="W136" s="42" t="s">
        <v>0</v>
      </c>
      <c r="X136" s="43">
        <f>IFERROR(SUMPRODUCT(X131:X134*H131:H134),"0")</f>
        <v>133.56</v>
      </c>
      <c r="Y136" s="43">
        <f>IFERROR(SUMPRODUCT(Y131:Y134*H131:H134),"0")</f>
        <v>133.56</v>
      </c>
      <c r="Z136" s="42"/>
      <c r="AA136" s="67"/>
      <c r="AB136" s="67"/>
      <c r="AC136" s="67"/>
    </row>
    <row r="137" spans="1:68" ht="14.25" hidden="1" customHeight="1" x14ac:dyDescent="0.25">
      <c r="A137" s="316" t="s">
        <v>241</v>
      </c>
      <c r="B137" s="316"/>
      <c r="C137" s="316"/>
      <c r="D137" s="316"/>
      <c r="E137" s="316"/>
      <c r="F137" s="316"/>
      <c r="G137" s="316"/>
      <c r="H137" s="316"/>
      <c r="I137" s="316"/>
      <c r="J137" s="316"/>
      <c r="K137" s="316"/>
      <c r="L137" s="316"/>
      <c r="M137" s="316"/>
      <c r="N137" s="316"/>
      <c r="O137" s="316"/>
      <c r="P137" s="316"/>
      <c r="Q137" s="316"/>
      <c r="R137" s="316"/>
      <c r="S137" s="316"/>
      <c r="T137" s="316"/>
      <c r="U137" s="316"/>
      <c r="V137" s="316"/>
      <c r="W137" s="316"/>
      <c r="X137" s="316"/>
      <c r="Y137" s="316"/>
      <c r="Z137" s="316"/>
      <c r="AA137" s="66"/>
      <c r="AB137" s="66"/>
      <c r="AC137" s="83"/>
    </row>
    <row r="138" spans="1:68" ht="27" hidden="1" customHeight="1" x14ac:dyDescent="0.25">
      <c r="A138" s="63" t="s">
        <v>242</v>
      </c>
      <c r="B138" s="63" t="s">
        <v>243</v>
      </c>
      <c r="C138" s="36">
        <v>4301190117</v>
      </c>
      <c r="D138" s="298">
        <v>4620207491386</v>
      </c>
      <c r="E138" s="298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5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00"/>
      <c r="R138" s="300"/>
      <c r="S138" s="300"/>
      <c r="T138" s="30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244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245</v>
      </c>
      <c r="B139" s="63" t="s">
        <v>246</v>
      </c>
      <c r="C139" s="36">
        <v>4301190115</v>
      </c>
      <c r="D139" s="298">
        <v>4620207491362</v>
      </c>
      <c r="E139" s="298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00"/>
      <c r="R139" s="300"/>
      <c r="S139" s="300"/>
      <c r="T139" s="30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244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247</v>
      </c>
      <c r="B140" s="63" t="s">
        <v>248</v>
      </c>
      <c r="C140" s="36">
        <v>4301190116</v>
      </c>
      <c r="D140" s="298">
        <v>4620207491379</v>
      </c>
      <c r="E140" s="298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00"/>
      <c r="R140" s="300"/>
      <c r="S140" s="300"/>
      <c r="T140" s="30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244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295"/>
      <c r="B141" s="295"/>
      <c r="C141" s="295"/>
      <c r="D141" s="295"/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308"/>
      <c r="P141" s="305" t="s">
        <v>40</v>
      </c>
      <c r="Q141" s="306"/>
      <c r="R141" s="306"/>
      <c r="S141" s="306"/>
      <c r="T141" s="306"/>
      <c r="U141" s="306"/>
      <c r="V141" s="307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295"/>
      <c r="B142" s="295"/>
      <c r="C142" s="295"/>
      <c r="D142" s="295"/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308"/>
      <c r="P142" s="305" t="s">
        <v>40</v>
      </c>
      <c r="Q142" s="306"/>
      <c r="R142" s="306"/>
      <c r="S142" s="306"/>
      <c r="T142" s="306"/>
      <c r="U142" s="306"/>
      <c r="V142" s="307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21" t="s">
        <v>249</v>
      </c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65"/>
      <c r="AB143" s="65"/>
      <c r="AC143" s="82"/>
    </row>
    <row r="144" spans="1:68" ht="14.25" hidden="1" customHeight="1" x14ac:dyDescent="0.25">
      <c r="A144" s="316" t="s">
        <v>151</v>
      </c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66"/>
      <c r="AB144" s="66"/>
      <c r="AC144" s="83"/>
    </row>
    <row r="145" spans="1:68" ht="27" customHeight="1" x14ac:dyDescent="0.25">
      <c r="A145" s="63" t="s">
        <v>250</v>
      </c>
      <c r="B145" s="63" t="s">
        <v>251</v>
      </c>
      <c r="C145" s="36">
        <v>4301135555</v>
      </c>
      <c r="D145" s="298">
        <v>4607111034014</v>
      </c>
      <c r="E145" s="298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00"/>
      <c r="R145" s="300"/>
      <c r="S145" s="300"/>
      <c r="T145" s="301"/>
      <c r="U145" s="39" t="s">
        <v>46</v>
      </c>
      <c r="V145" s="39" t="s">
        <v>46</v>
      </c>
      <c r="W145" s="40" t="s">
        <v>39</v>
      </c>
      <c r="X145" s="58">
        <v>126</v>
      </c>
      <c r="Y145" s="55">
        <f>IFERROR(IF(X145="","",X145),"")</f>
        <v>126</v>
      </c>
      <c r="Z145" s="41">
        <f>IFERROR(IF(X145="","",X145*0.01788),"")</f>
        <v>2.2528800000000002</v>
      </c>
      <c r="AA145" s="68" t="s">
        <v>46</v>
      </c>
      <c r="AB145" s="69" t="s">
        <v>46</v>
      </c>
      <c r="AC145" s="199" t="s">
        <v>252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466.65359999999998</v>
      </c>
      <c r="BN145" s="81">
        <f>IFERROR(Y145*I145,"0")</f>
        <v>466.65359999999998</v>
      </c>
      <c r="BO145" s="81">
        <f>IFERROR(X145/J145,"0")</f>
        <v>1.8</v>
      </c>
      <c r="BP145" s="81">
        <f>IFERROR(Y145/J145,"0")</f>
        <v>1.8</v>
      </c>
    </row>
    <row r="146" spans="1:68" ht="27" customHeight="1" x14ac:dyDescent="0.25">
      <c r="A146" s="63" t="s">
        <v>253</v>
      </c>
      <c r="B146" s="63" t="s">
        <v>254</v>
      </c>
      <c r="C146" s="36">
        <v>4301135532</v>
      </c>
      <c r="D146" s="298">
        <v>4607111033994</v>
      </c>
      <c r="E146" s="298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5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00"/>
      <c r="R146" s="300"/>
      <c r="S146" s="300"/>
      <c r="T146" s="301"/>
      <c r="U146" s="39" t="s">
        <v>46</v>
      </c>
      <c r="V146" s="39" t="s">
        <v>46</v>
      </c>
      <c r="W146" s="40" t="s">
        <v>39</v>
      </c>
      <c r="X146" s="58">
        <v>196</v>
      </c>
      <c r="Y146" s="55">
        <f>IFERROR(IF(X146="","",X146),"")</f>
        <v>196</v>
      </c>
      <c r="Z146" s="41">
        <f>IFERROR(IF(X146="","",X146*0.01788),"")</f>
        <v>3.50448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725.90559999999994</v>
      </c>
      <c r="BN146" s="81">
        <f>IFERROR(Y146*I146,"0")</f>
        <v>725.90559999999994</v>
      </c>
      <c r="BO146" s="81">
        <f>IFERROR(X146/J146,"0")</f>
        <v>2.8</v>
      </c>
      <c r="BP146" s="81">
        <f>IFERROR(Y146/J146,"0")</f>
        <v>2.8</v>
      </c>
    </row>
    <row r="147" spans="1:68" x14ac:dyDescent="0.2">
      <c r="A147" s="295"/>
      <c r="B147" s="295"/>
      <c r="C147" s="295"/>
      <c r="D147" s="295"/>
      <c r="E147" s="295"/>
      <c r="F147" s="295"/>
      <c r="G147" s="295"/>
      <c r="H147" s="295"/>
      <c r="I147" s="295"/>
      <c r="J147" s="295"/>
      <c r="K147" s="295"/>
      <c r="L147" s="295"/>
      <c r="M147" s="295"/>
      <c r="N147" s="295"/>
      <c r="O147" s="308"/>
      <c r="P147" s="305" t="s">
        <v>40</v>
      </c>
      <c r="Q147" s="306"/>
      <c r="R147" s="306"/>
      <c r="S147" s="306"/>
      <c r="T147" s="306"/>
      <c r="U147" s="306"/>
      <c r="V147" s="307"/>
      <c r="W147" s="42" t="s">
        <v>39</v>
      </c>
      <c r="X147" s="43">
        <f>IFERROR(SUM(X145:X146),"0")</f>
        <v>322</v>
      </c>
      <c r="Y147" s="43">
        <f>IFERROR(SUM(Y145:Y146),"0")</f>
        <v>322</v>
      </c>
      <c r="Z147" s="43">
        <f>IFERROR(IF(Z145="",0,Z145),"0")+IFERROR(IF(Z146="",0,Z146),"0")</f>
        <v>5.7573600000000003</v>
      </c>
      <c r="AA147" s="67"/>
      <c r="AB147" s="67"/>
      <c r="AC147" s="67"/>
    </row>
    <row r="148" spans="1:68" x14ac:dyDescent="0.2">
      <c r="A148" s="295"/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308"/>
      <c r="P148" s="305" t="s">
        <v>40</v>
      </c>
      <c r="Q148" s="306"/>
      <c r="R148" s="306"/>
      <c r="S148" s="306"/>
      <c r="T148" s="306"/>
      <c r="U148" s="306"/>
      <c r="V148" s="307"/>
      <c r="W148" s="42" t="s">
        <v>0</v>
      </c>
      <c r="X148" s="43">
        <f>IFERROR(SUMPRODUCT(X145:X146*H145:H146),"0")</f>
        <v>966</v>
      </c>
      <c r="Y148" s="43">
        <f>IFERROR(SUMPRODUCT(Y145:Y146*H145:H146),"0")</f>
        <v>966</v>
      </c>
      <c r="Z148" s="42"/>
      <c r="AA148" s="67"/>
      <c r="AB148" s="67"/>
      <c r="AC148" s="67"/>
    </row>
    <row r="149" spans="1:68" ht="16.5" hidden="1" customHeight="1" x14ac:dyDescent="0.25">
      <c r="A149" s="321" t="s">
        <v>255</v>
      </c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65"/>
      <c r="AB149" s="65"/>
      <c r="AC149" s="82"/>
    </row>
    <row r="150" spans="1:68" ht="14.25" hidden="1" customHeight="1" x14ac:dyDescent="0.25">
      <c r="A150" s="316" t="s">
        <v>151</v>
      </c>
      <c r="B150" s="316"/>
      <c r="C150" s="316"/>
      <c r="D150" s="316"/>
      <c r="E150" s="316"/>
      <c r="F150" s="316"/>
      <c r="G150" s="316"/>
      <c r="H150" s="316"/>
      <c r="I150" s="316"/>
      <c r="J150" s="316"/>
      <c r="K150" s="316"/>
      <c r="L150" s="316"/>
      <c r="M150" s="316"/>
      <c r="N150" s="316"/>
      <c r="O150" s="316"/>
      <c r="P150" s="316"/>
      <c r="Q150" s="316"/>
      <c r="R150" s="316"/>
      <c r="S150" s="316"/>
      <c r="T150" s="316"/>
      <c r="U150" s="316"/>
      <c r="V150" s="316"/>
      <c r="W150" s="316"/>
      <c r="X150" s="316"/>
      <c r="Y150" s="316"/>
      <c r="Z150" s="316"/>
      <c r="AA150" s="66"/>
      <c r="AB150" s="66"/>
      <c r="AC150" s="83"/>
    </row>
    <row r="151" spans="1:68" ht="27" customHeight="1" x14ac:dyDescent="0.25">
      <c r="A151" s="63" t="s">
        <v>256</v>
      </c>
      <c r="B151" s="63" t="s">
        <v>257</v>
      </c>
      <c r="C151" s="36">
        <v>4301135824</v>
      </c>
      <c r="D151" s="298">
        <v>4607111039095</v>
      </c>
      <c r="E151" s="298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4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00"/>
      <c r="R151" s="300"/>
      <c r="S151" s="300"/>
      <c r="T151" s="301"/>
      <c r="U151" s="39" t="s">
        <v>46</v>
      </c>
      <c r="V151" s="39" t="s">
        <v>46</v>
      </c>
      <c r="W151" s="40" t="s">
        <v>39</v>
      </c>
      <c r="X151" s="58">
        <v>28</v>
      </c>
      <c r="Y151" s="55">
        <f>IFERROR(IF(X151="","",X151),"")</f>
        <v>28</v>
      </c>
      <c r="Z151" s="41">
        <f>IFERROR(IF(X151="","",X151*0.01788),"")</f>
        <v>0.50063999999999997</v>
      </c>
      <c r="AA151" s="68" t="s">
        <v>46</v>
      </c>
      <c r="AB151" s="69" t="s">
        <v>46</v>
      </c>
      <c r="AC151" s="203" t="s">
        <v>258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104.944</v>
      </c>
      <c r="BN151" s="81">
        <f>IFERROR(Y151*I151,"0")</f>
        <v>104.944</v>
      </c>
      <c r="BO151" s="81">
        <f>IFERROR(X151/J151,"0")</f>
        <v>0.4</v>
      </c>
      <c r="BP151" s="81">
        <f>IFERROR(Y151/J151,"0")</f>
        <v>0.4</v>
      </c>
    </row>
    <row r="152" spans="1:68" ht="16.5" customHeight="1" x14ac:dyDescent="0.25">
      <c r="A152" s="63" t="s">
        <v>259</v>
      </c>
      <c r="B152" s="63" t="s">
        <v>260</v>
      </c>
      <c r="C152" s="36">
        <v>4301135946</v>
      </c>
      <c r="D152" s="298">
        <v>4620207491553</v>
      </c>
      <c r="E152" s="298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00"/>
      <c r="R152" s="300"/>
      <c r="S152" s="300"/>
      <c r="T152" s="301"/>
      <c r="U152" s="39" t="s">
        <v>46</v>
      </c>
      <c r="V152" s="39" t="s">
        <v>46</v>
      </c>
      <c r="W152" s="40" t="s">
        <v>39</v>
      </c>
      <c r="X152" s="58">
        <v>84</v>
      </c>
      <c r="Y152" s="55">
        <f>IFERROR(IF(X152="","",X152),"")</f>
        <v>84</v>
      </c>
      <c r="Z152" s="41">
        <f>IFERROR(IF(X152="","",X152*0.01788),"")</f>
        <v>1.5019199999999999</v>
      </c>
      <c r="AA152" s="68" t="s">
        <v>46</v>
      </c>
      <c r="AB152" s="69" t="s">
        <v>46</v>
      </c>
      <c r="AC152" s="205" t="s">
        <v>261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311.10239999999999</v>
      </c>
      <c r="BN152" s="81">
        <f>IFERROR(Y152*I152,"0")</f>
        <v>311.10239999999999</v>
      </c>
      <c r="BO152" s="81">
        <f>IFERROR(X152/J152,"0")</f>
        <v>1.2</v>
      </c>
      <c r="BP152" s="81">
        <f>IFERROR(Y152/J152,"0")</f>
        <v>1.2</v>
      </c>
    </row>
    <row r="153" spans="1:68" x14ac:dyDescent="0.2">
      <c r="A153" s="295"/>
      <c r="B153" s="295"/>
      <c r="C153" s="295"/>
      <c r="D153" s="295"/>
      <c r="E153" s="295"/>
      <c r="F153" s="295"/>
      <c r="G153" s="295"/>
      <c r="H153" s="295"/>
      <c r="I153" s="295"/>
      <c r="J153" s="295"/>
      <c r="K153" s="295"/>
      <c r="L153" s="295"/>
      <c r="M153" s="295"/>
      <c r="N153" s="295"/>
      <c r="O153" s="308"/>
      <c r="P153" s="305" t="s">
        <v>40</v>
      </c>
      <c r="Q153" s="306"/>
      <c r="R153" s="306"/>
      <c r="S153" s="306"/>
      <c r="T153" s="306"/>
      <c r="U153" s="306"/>
      <c r="V153" s="307"/>
      <c r="W153" s="42" t="s">
        <v>39</v>
      </c>
      <c r="X153" s="43">
        <f>IFERROR(SUM(X151:X152),"0")</f>
        <v>112</v>
      </c>
      <c r="Y153" s="43">
        <f>IFERROR(SUM(Y151:Y152),"0")</f>
        <v>112</v>
      </c>
      <c r="Z153" s="43">
        <f>IFERROR(IF(Z151="",0,Z151),"0")+IFERROR(IF(Z152="",0,Z152),"0")</f>
        <v>2.0025599999999999</v>
      </c>
      <c r="AA153" s="67"/>
      <c r="AB153" s="67"/>
      <c r="AC153" s="67"/>
    </row>
    <row r="154" spans="1:68" x14ac:dyDescent="0.2">
      <c r="A154" s="295"/>
      <c r="B154" s="295"/>
      <c r="C154" s="295"/>
      <c r="D154" s="295"/>
      <c r="E154" s="295"/>
      <c r="F154" s="295"/>
      <c r="G154" s="295"/>
      <c r="H154" s="295"/>
      <c r="I154" s="295"/>
      <c r="J154" s="295"/>
      <c r="K154" s="295"/>
      <c r="L154" s="295"/>
      <c r="M154" s="295"/>
      <c r="N154" s="295"/>
      <c r="O154" s="308"/>
      <c r="P154" s="305" t="s">
        <v>40</v>
      </c>
      <c r="Q154" s="306"/>
      <c r="R154" s="306"/>
      <c r="S154" s="306"/>
      <c r="T154" s="306"/>
      <c r="U154" s="306"/>
      <c r="V154" s="307"/>
      <c r="W154" s="42" t="s">
        <v>0</v>
      </c>
      <c r="X154" s="43">
        <f>IFERROR(SUMPRODUCT(X151:X152*H151:H152),"0")</f>
        <v>336</v>
      </c>
      <c r="Y154" s="43">
        <f>IFERROR(SUMPRODUCT(Y151:Y152*H151:H152),"0")</f>
        <v>336</v>
      </c>
      <c r="Z154" s="42"/>
      <c r="AA154" s="67"/>
      <c r="AB154" s="67"/>
      <c r="AC154" s="67"/>
    </row>
    <row r="155" spans="1:68" ht="16.5" hidden="1" customHeight="1" x14ac:dyDescent="0.25">
      <c r="A155" s="321" t="s">
        <v>262</v>
      </c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65"/>
      <c r="AB155" s="65"/>
      <c r="AC155" s="82"/>
    </row>
    <row r="156" spans="1:68" ht="14.25" hidden="1" customHeight="1" x14ac:dyDescent="0.25">
      <c r="A156" s="316" t="s">
        <v>151</v>
      </c>
      <c r="B156" s="316"/>
      <c r="C156" s="316"/>
      <c r="D156" s="316"/>
      <c r="E156" s="316"/>
      <c r="F156" s="316"/>
      <c r="G156" s="316"/>
      <c r="H156" s="316"/>
      <c r="I156" s="316"/>
      <c r="J156" s="316"/>
      <c r="K156" s="316"/>
      <c r="L156" s="316"/>
      <c r="M156" s="316"/>
      <c r="N156" s="316"/>
      <c r="O156" s="316"/>
      <c r="P156" s="316"/>
      <c r="Q156" s="316"/>
      <c r="R156" s="316"/>
      <c r="S156" s="316"/>
      <c r="T156" s="316"/>
      <c r="U156" s="316"/>
      <c r="V156" s="316"/>
      <c r="W156" s="316"/>
      <c r="X156" s="316"/>
      <c r="Y156" s="316"/>
      <c r="Z156" s="316"/>
      <c r="AA156" s="66"/>
      <c r="AB156" s="66"/>
      <c r="AC156" s="83"/>
    </row>
    <row r="157" spans="1:68" ht="27" hidden="1" customHeight="1" x14ac:dyDescent="0.25">
      <c r="A157" s="63" t="s">
        <v>263</v>
      </c>
      <c r="B157" s="63" t="s">
        <v>264</v>
      </c>
      <c r="C157" s="36">
        <v>4301135753</v>
      </c>
      <c r="D157" s="298">
        <v>4620207490914</v>
      </c>
      <c r="E157" s="298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34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00"/>
      <c r="R157" s="300"/>
      <c r="S157" s="300"/>
      <c r="T157" s="301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252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hidden="1" customHeight="1" x14ac:dyDescent="0.25">
      <c r="A158" s="63" t="s">
        <v>265</v>
      </c>
      <c r="B158" s="63" t="s">
        <v>266</v>
      </c>
      <c r="C158" s="36">
        <v>4301135778</v>
      </c>
      <c r="D158" s="298">
        <v>4620207490853</v>
      </c>
      <c r="E158" s="298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00"/>
      <c r="R158" s="300"/>
      <c r="S158" s="300"/>
      <c r="T158" s="301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252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hidden="1" x14ac:dyDescent="0.2">
      <c r="A159" s="295"/>
      <c r="B159" s="295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308"/>
      <c r="P159" s="305" t="s">
        <v>40</v>
      </c>
      <c r="Q159" s="306"/>
      <c r="R159" s="306"/>
      <c r="S159" s="306"/>
      <c r="T159" s="306"/>
      <c r="U159" s="306"/>
      <c r="V159" s="307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hidden="1" x14ac:dyDescent="0.2">
      <c r="A160" s="295"/>
      <c r="B160" s="295"/>
      <c r="C160" s="295"/>
      <c r="D160" s="295"/>
      <c r="E160" s="295"/>
      <c r="F160" s="295"/>
      <c r="G160" s="295"/>
      <c r="H160" s="295"/>
      <c r="I160" s="295"/>
      <c r="J160" s="295"/>
      <c r="K160" s="295"/>
      <c r="L160" s="295"/>
      <c r="M160" s="295"/>
      <c r="N160" s="295"/>
      <c r="O160" s="308"/>
      <c r="P160" s="305" t="s">
        <v>40</v>
      </c>
      <c r="Q160" s="306"/>
      <c r="R160" s="306"/>
      <c r="S160" s="306"/>
      <c r="T160" s="306"/>
      <c r="U160" s="306"/>
      <c r="V160" s="307"/>
      <c r="W160" s="42" t="s">
        <v>0</v>
      </c>
      <c r="X160" s="43">
        <f>IFERROR(SUMPRODUCT(X157:X158*H157:H158),"0")</f>
        <v>0</v>
      </c>
      <c r="Y160" s="43">
        <f>IFERROR(SUMPRODUCT(Y157:Y158*H157:H158),"0")</f>
        <v>0</v>
      </c>
      <c r="Z160" s="42"/>
      <c r="AA160" s="67"/>
      <c r="AB160" s="67"/>
      <c r="AC160" s="67"/>
    </row>
    <row r="161" spans="1:68" ht="16.5" hidden="1" customHeight="1" x14ac:dyDescent="0.25">
      <c r="A161" s="321" t="s">
        <v>267</v>
      </c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65"/>
      <c r="AB161" s="65"/>
      <c r="AC161" s="82"/>
    </row>
    <row r="162" spans="1:68" ht="14.25" hidden="1" customHeight="1" x14ac:dyDescent="0.25">
      <c r="A162" s="316" t="s">
        <v>151</v>
      </c>
      <c r="B162" s="316"/>
      <c r="C162" s="316"/>
      <c r="D162" s="316"/>
      <c r="E162" s="316"/>
      <c r="F162" s="316"/>
      <c r="G162" s="316"/>
      <c r="H162" s="316"/>
      <c r="I162" s="316"/>
      <c r="J162" s="316"/>
      <c r="K162" s="316"/>
      <c r="L162" s="316"/>
      <c r="M162" s="316"/>
      <c r="N162" s="316"/>
      <c r="O162" s="316"/>
      <c r="P162" s="316"/>
      <c r="Q162" s="316"/>
      <c r="R162" s="316"/>
      <c r="S162" s="316"/>
      <c r="T162" s="316"/>
      <c r="U162" s="316"/>
      <c r="V162" s="316"/>
      <c r="W162" s="316"/>
      <c r="X162" s="316"/>
      <c r="Y162" s="316"/>
      <c r="Z162" s="316"/>
      <c r="AA162" s="66"/>
      <c r="AB162" s="66"/>
      <c r="AC162" s="83"/>
    </row>
    <row r="163" spans="1:68" ht="27" hidden="1" customHeight="1" x14ac:dyDescent="0.25">
      <c r="A163" s="63" t="s">
        <v>268</v>
      </c>
      <c r="B163" s="63" t="s">
        <v>269</v>
      </c>
      <c r="C163" s="36">
        <v>4301135570</v>
      </c>
      <c r="D163" s="298">
        <v>4607111035806</v>
      </c>
      <c r="E163" s="298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119</v>
      </c>
      <c r="M163" s="38" t="s">
        <v>86</v>
      </c>
      <c r="N163" s="38"/>
      <c r="O163" s="37">
        <v>180</v>
      </c>
      <c r="P163" s="34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300"/>
      <c r="R163" s="300"/>
      <c r="S163" s="300"/>
      <c r="T163" s="301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270</v>
      </c>
      <c r="AG163" s="81"/>
      <c r="AJ163" s="87" t="s">
        <v>120</v>
      </c>
      <c r="AK163" s="87">
        <v>14</v>
      </c>
      <c r="BB163" s="212" t="s">
        <v>117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hidden="1" x14ac:dyDescent="0.2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295"/>
      <c r="L164" s="295"/>
      <c r="M164" s="295"/>
      <c r="N164" s="295"/>
      <c r="O164" s="308"/>
      <c r="P164" s="305" t="s">
        <v>40</v>
      </c>
      <c r="Q164" s="306"/>
      <c r="R164" s="306"/>
      <c r="S164" s="306"/>
      <c r="T164" s="306"/>
      <c r="U164" s="306"/>
      <c r="V164" s="307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295"/>
      <c r="B165" s="295"/>
      <c r="C165" s="295"/>
      <c r="D165" s="295"/>
      <c r="E165" s="295"/>
      <c r="F165" s="295"/>
      <c r="G165" s="295"/>
      <c r="H165" s="295"/>
      <c r="I165" s="295"/>
      <c r="J165" s="295"/>
      <c r="K165" s="295"/>
      <c r="L165" s="295"/>
      <c r="M165" s="295"/>
      <c r="N165" s="295"/>
      <c r="O165" s="308"/>
      <c r="P165" s="305" t="s">
        <v>40</v>
      </c>
      <c r="Q165" s="306"/>
      <c r="R165" s="306"/>
      <c r="S165" s="306"/>
      <c r="T165" s="306"/>
      <c r="U165" s="306"/>
      <c r="V165" s="307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21" t="s">
        <v>271</v>
      </c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65"/>
      <c r="AB166" s="65"/>
      <c r="AC166" s="82"/>
    </row>
    <row r="167" spans="1:68" ht="14.25" hidden="1" customHeight="1" x14ac:dyDescent="0.25">
      <c r="A167" s="316" t="s">
        <v>151</v>
      </c>
      <c r="B167" s="316"/>
      <c r="C167" s="316"/>
      <c r="D167" s="316"/>
      <c r="E167" s="316"/>
      <c r="F167" s="316"/>
      <c r="G167" s="316"/>
      <c r="H167" s="316"/>
      <c r="I167" s="316"/>
      <c r="J167" s="316"/>
      <c r="K167" s="316"/>
      <c r="L167" s="316"/>
      <c r="M167" s="316"/>
      <c r="N167" s="316"/>
      <c r="O167" s="316"/>
      <c r="P167" s="316"/>
      <c r="Q167" s="316"/>
      <c r="R167" s="316"/>
      <c r="S167" s="316"/>
      <c r="T167" s="316"/>
      <c r="U167" s="316"/>
      <c r="V167" s="316"/>
      <c r="W167" s="316"/>
      <c r="X167" s="316"/>
      <c r="Y167" s="316"/>
      <c r="Z167" s="316"/>
      <c r="AA167" s="66"/>
      <c r="AB167" s="66"/>
      <c r="AC167" s="83"/>
    </row>
    <row r="168" spans="1:68" ht="16.5" hidden="1" customHeight="1" x14ac:dyDescent="0.25">
      <c r="A168" s="63" t="s">
        <v>272</v>
      </c>
      <c r="B168" s="63" t="s">
        <v>273</v>
      </c>
      <c r="C168" s="36">
        <v>4301135607</v>
      </c>
      <c r="D168" s="298">
        <v>4607111039613</v>
      </c>
      <c r="E168" s="298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00"/>
      <c r="R168" s="300"/>
      <c r="S168" s="300"/>
      <c r="T168" s="301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258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308"/>
      <c r="P169" s="305" t="s">
        <v>40</v>
      </c>
      <c r="Q169" s="306"/>
      <c r="R169" s="306"/>
      <c r="S169" s="306"/>
      <c r="T169" s="306"/>
      <c r="U169" s="306"/>
      <c r="V169" s="307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295"/>
      <c r="B170" s="295"/>
      <c r="C170" s="295"/>
      <c r="D170" s="295"/>
      <c r="E170" s="295"/>
      <c r="F170" s="295"/>
      <c r="G170" s="295"/>
      <c r="H170" s="295"/>
      <c r="I170" s="295"/>
      <c r="J170" s="295"/>
      <c r="K170" s="295"/>
      <c r="L170" s="295"/>
      <c r="M170" s="295"/>
      <c r="N170" s="295"/>
      <c r="O170" s="308"/>
      <c r="P170" s="305" t="s">
        <v>40</v>
      </c>
      <c r="Q170" s="306"/>
      <c r="R170" s="306"/>
      <c r="S170" s="306"/>
      <c r="T170" s="306"/>
      <c r="U170" s="306"/>
      <c r="V170" s="307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21" t="s">
        <v>274</v>
      </c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65"/>
      <c r="AB171" s="65"/>
      <c r="AC171" s="82"/>
    </row>
    <row r="172" spans="1:68" ht="14.25" hidden="1" customHeight="1" x14ac:dyDescent="0.25">
      <c r="A172" s="316" t="s">
        <v>151</v>
      </c>
      <c r="B172" s="316"/>
      <c r="C172" s="316"/>
      <c r="D172" s="316"/>
      <c r="E172" s="316"/>
      <c r="F172" s="316"/>
      <c r="G172" s="316"/>
      <c r="H172" s="316"/>
      <c r="I172" s="316"/>
      <c r="J172" s="316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66"/>
      <c r="AB172" s="66"/>
      <c r="AC172" s="83"/>
    </row>
    <row r="173" spans="1:68" ht="27" hidden="1" customHeight="1" x14ac:dyDescent="0.25">
      <c r="A173" s="63" t="s">
        <v>275</v>
      </c>
      <c r="B173" s="63" t="s">
        <v>276</v>
      </c>
      <c r="C173" s="36">
        <v>4301135591</v>
      </c>
      <c r="D173" s="298">
        <v>4607111036568</v>
      </c>
      <c r="E173" s="298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00"/>
      <c r="R173" s="300"/>
      <c r="S173" s="300"/>
      <c r="T173" s="30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277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295"/>
      <c r="L174" s="295"/>
      <c r="M174" s="295"/>
      <c r="N174" s="295"/>
      <c r="O174" s="308"/>
      <c r="P174" s="305" t="s">
        <v>40</v>
      </c>
      <c r="Q174" s="306"/>
      <c r="R174" s="306"/>
      <c r="S174" s="306"/>
      <c r="T174" s="306"/>
      <c r="U174" s="306"/>
      <c r="V174" s="307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295"/>
      <c r="B175" s="295"/>
      <c r="C175" s="295"/>
      <c r="D175" s="295"/>
      <c r="E175" s="295"/>
      <c r="F175" s="295"/>
      <c r="G175" s="295"/>
      <c r="H175" s="295"/>
      <c r="I175" s="295"/>
      <c r="J175" s="295"/>
      <c r="K175" s="295"/>
      <c r="L175" s="295"/>
      <c r="M175" s="295"/>
      <c r="N175" s="295"/>
      <c r="O175" s="308"/>
      <c r="P175" s="305" t="s">
        <v>40</v>
      </c>
      <c r="Q175" s="306"/>
      <c r="R175" s="306"/>
      <c r="S175" s="306"/>
      <c r="T175" s="306"/>
      <c r="U175" s="306"/>
      <c r="V175" s="307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20" t="s">
        <v>278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54"/>
      <c r="AB176" s="54"/>
      <c r="AC176" s="54"/>
    </row>
    <row r="177" spans="1:68" ht="16.5" hidden="1" customHeight="1" x14ac:dyDescent="0.25">
      <c r="A177" s="321" t="s">
        <v>279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65"/>
      <c r="AB177" s="65"/>
      <c r="AC177" s="82"/>
    </row>
    <row r="178" spans="1:68" ht="14.25" hidden="1" customHeight="1" x14ac:dyDescent="0.25">
      <c r="A178" s="316" t="s">
        <v>82</v>
      </c>
      <c r="B178" s="316"/>
      <c r="C178" s="316"/>
      <c r="D178" s="316"/>
      <c r="E178" s="316"/>
      <c r="F178" s="316"/>
      <c r="G178" s="316"/>
      <c r="H178" s="316"/>
      <c r="I178" s="316"/>
      <c r="J178" s="316"/>
      <c r="K178" s="316"/>
      <c r="L178" s="316"/>
      <c r="M178" s="316"/>
      <c r="N178" s="316"/>
      <c r="O178" s="316"/>
      <c r="P178" s="316"/>
      <c r="Q178" s="316"/>
      <c r="R178" s="316"/>
      <c r="S178" s="316"/>
      <c r="T178" s="316"/>
      <c r="U178" s="316"/>
      <c r="V178" s="316"/>
      <c r="W178" s="316"/>
      <c r="X178" s="316"/>
      <c r="Y178" s="316"/>
      <c r="Z178" s="316"/>
      <c r="AA178" s="66"/>
      <c r="AB178" s="66"/>
      <c r="AC178" s="83"/>
    </row>
    <row r="179" spans="1:68" ht="16.5" hidden="1" customHeight="1" x14ac:dyDescent="0.25">
      <c r="A179" s="63" t="s">
        <v>280</v>
      </c>
      <c r="B179" s="63" t="s">
        <v>281</v>
      </c>
      <c r="C179" s="36">
        <v>4301071062</v>
      </c>
      <c r="D179" s="298">
        <v>4607111036384</v>
      </c>
      <c r="E179" s="298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00"/>
      <c r="R179" s="300"/>
      <c r="S179" s="300"/>
      <c r="T179" s="30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282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283</v>
      </c>
      <c r="B180" s="63" t="s">
        <v>284</v>
      </c>
      <c r="C180" s="36">
        <v>4301071050</v>
      </c>
      <c r="D180" s="298">
        <v>4607111036216</v>
      </c>
      <c r="E180" s="298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00"/>
      <c r="R180" s="300"/>
      <c r="S180" s="300"/>
      <c r="T180" s="301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285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295"/>
      <c r="B181" s="295"/>
      <c r="C181" s="295"/>
      <c r="D181" s="295"/>
      <c r="E181" s="295"/>
      <c r="F181" s="295"/>
      <c r="G181" s="295"/>
      <c r="H181" s="295"/>
      <c r="I181" s="295"/>
      <c r="J181" s="295"/>
      <c r="K181" s="295"/>
      <c r="L181" s="295"/>
      <c r="M181" s="295"/>
      <c r="N181" s="295"/>
      <c r="O181" s="308"/>
      <c r="P181" s="305" t="s">
        <v>40</v>
      </c>
      <c r="Q181" s="306"/>
      <c r="R181" s="306"/>
      <c r="S181" s="306"/>
      <c r="T181" s="306"/>
      <c r="U181" s="306"/>
      <c r="V181" s="307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295"/>
      <c r="B182" s="295"/>
      <c r="C182" s="295"/>
      <c r="D182" s="295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308"/>
      <c r="P182" s="305" t="s">
        <v>40</v>
      </c>
      <c r="Q182" s="306"/>
      <c r="R182" s="306"/>
      <c r="S182" s="306"/>
      <c r="T182" s="306"/>
      <c r="U182" s="306"/>
      <c r="V182" s="307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21" t="s">
        <v>286</v>
      </c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65"/>
      <c r="AB183" s="65"/>
      <c r="AC183" s="82"/>
    </row>
    <row r="184" spans="1:68" ht="14.25" hidden="1" customHeight="1" x14ac:dyDescent="0.25">
      <c r="A184" s="316" t="s">
        <v>82</v>
      </c>
      <c r="B184" s="316"/>
      <c r="C184" s="316"/>
      <c r="D184" s="316"/>
      <c r="E184" s="316"/>
      <c r="F184" s="316"/>
      <c r="G184" s="316"/>
      <c r="H184" s="316"/>
      <c r="I184" s="316"/>
      <c r="J184" s="316"/>
      <c r="K184" s="316"/>
      <c r="L184" s="316"/>
      <c r="M184" s="316"/>
      <c r="N184" s="316"/>
      <c r="O184" s="316"/>
      <c r="P184" s="316"/>
      <c r="Q184" s="316"/>
      <c r="R184" s="316"/>
      <c r="S184" s="316"/>
      <c r="T184" s="316"/>
      <c r="U184" s="316"/>
      <c r="V184" s="316"/>
      <c r="W184" s="316"/>
      <c r="X184" s="316"/>
      <c r="Y184" s="316"/>
      <c r="Z184" s="316"/>
      <c r="AA184" s="66"/>
      <c r="AB184" s="66"/>
      <c r="AC184" s="83"/>
    </row>
    <row r="185" spans="1:68" ht="27" customHeight="1" x14ac:dyDescent="0.25">
      <c r="A185" s="63" t="s">
        <v>287</v>
      </c>
      <c r="B185" s="63" t="s">
        <v>288</v>
      </c>
      <c r="C185" s="36">
        <v>4301071117</v>
      </c>
      <c r="D185" s="298">
        <v>4620207491737</v>
      </c>
      <c r="E185" s="298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00"/>
      <c r="R185" s="300"/>
      <c r="S185" s="300"/>
      <c r="T185" s="301"/>
      <c r="U185" s="39" t="s">
        <v>46</v>
      </c>
      <c r="V185" s="39" t="s">
        <v>46</v>
      </c>
      <c r="W185" s="40" t="s">
        <v>39</v>
      </c>
      <c r="X185" s="58">
        <v>156</v>
      </c>
      <c r="Y185" s="55">
        <f>IFERROR(IF(X185="","",X185),"")</f>
        <v>156</v>
      </c>
      <c r="Z185" s="41">
        <f>IFERROR(IF(X185="","",X185*0.0155),"")</f>
        <v>2.4180000000000001</v>
      </c>
      <c r="AA185" s="68" t="s">
        <v>46</v>
      </c>
      <c r="AB185" s="69" t="s">
        <v>46</v>
      </c>
      <c r="AC185" s="221" t="s">
        <v>285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820.87199999999996</v>
      </c>
      <c r="BN185" s="81">
        <f>IFERROR(Y185*I185,"0")</f>
        <v>820.87199999999996</v>
      </c>
      <c r="BO185" s="81">
        <f>IFERROR(X185/J185,"0")</f>
        <v>1.8571428571428572</v>
      </c>
      <c r="BP185" s="81">
        <f>IFERROR(Y185/J185,"0")</f>
        <v>1.8571428571428572</v>
      </c>
    </row>
    <row r="186" spans="1:68" x14ac:dyDescent="0.2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308"/>
      <c r="P186" s="305" t="s">
        <v>40</v>
      </c>
      <c r="Q186" s="306"/>
      <c r="R186" s="306"/>
      <c r="S186" s="306"/>
      <c r="T186" s="306"/>
      <c r="U186" s="306"/>
      <c r="V186" s="307"/>
      <c r="W186" s="42" t="s">
        <v>39</v>
      </c>
      <c r="X186" s="43">
        <f>IFERROR(SUM(X185:X185),"0")</f>
        <v>156</v>
      </c>
      <c r="Y186" s="43">
        <f>IFERROR(SUM(Y185:Y185),"0")</f>
        <v>156</v>
      </c>
      <c r="Z186" s="43">
        <f>IFERROR(IF(Z185="",0,Z185),"0")</f>
        <v>2.4180000000000001</v>
      </c>
      <c r="AA186" s="67"/>
      <c r="AB186" s="67"/>
      <c r="AC186" s="67"/>
    </row>
    <row r="187" spans="1:68" x14ac:dyDescent="0.2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308"/>
      <c r="P187" s="305" t="s">
        <v>40</v>
      </c>
      <c r="Q187" s="306"/>
      <c r="R187" s="306"/>
      <c r="S187" s="306"/>
      <c r="T187" s="306"/>
      <c r="U187" s="306"/>
      <c r="V187" s="307"/>
      <c r="W187" s="42" t="s">
        <v>0</v>
      </c>
      <c r="X187" s="43">
        <f>IFERROR(SUMPRODUCT(X185:X185*H185:H185),"0")</f>
        <v>780</v>
      </c>
      <c r="Y187" s="43">
        <f>IFERROR(SUMPRODUCT(Y185:Y185*H185:H185),"0")</f>
        <v>780</v>
      </c>
      <c r="Z187" s="42"/>
      <c r="AA187" s="67"/>
      <c r="AB187" s="67"/>
      <c r="AC187" s="67"/>
    </row>
    <row r="188" spans="1:68" ht="27.75" hidden="1" customHeight="1" x14ac:dyDescent="0.2">
      <c r="A188" s="320" t="s">
        <v>289</v>
      </c>
      <c r="B188" s="320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54"/>
      <c r="AB188" s="54"/>
      <c r="AC188" s="54"/>
    </row>
    <row r="189" spans="1:68" ht="16.5" hidden="1" customHeight="1" x14ac:dyDescent="0.25">
      <c r="A189" s="321" t="s">
        <v>290</v>
      </c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65"/>
      <c r="AB189" s="65"/>
      <c r="AC189" s="82"/>
    </row>
    <row r="190" spans="1:68" ht="14.25" hidden="1" customHeight="1" x14ac:dyDescent="0.25">
      <c r="A190" s="316" t="s">
        <v>113</v>
      </c>
      <c r="B190" s="316"/>
      <c r="C190" s="316"/>
      <c r="D190" s="316"/>
      <c r="E190" s="316"/>
      <c r="F190" s="316"/>
      <c r="G190" s="316"/>
      <c r="H190" s="316"/>
      <c r="I190" s="316"/>
      <c r="J190" s="316"/>
      <c r="K190" s="316"/>
      <c r="L190" s="316"/>
      <c r="M190" s="316"/>
      <c r="N190" s="316"/>
      <c r="O190" s="316"/>
      <c r="P190" s="316"/>
      <c r="Q190" s="316"/>
      <c r="R190" s="316"/>
      <c r="S190" s="316"/>
      <c r="T190" s="316"/>
      <c r="U190" s="316"/>
      <c r="V190" s="316"/>
      <c r="W190" s="316"/>
      <c r="X190" s="316"/>
      <c r="Y190" s="316"/>
      <c r="Z190" s="316"/>
      <c r="AA190" s="66"/>
      <c r="AB190" s="66"/>
      <c r="AC190" s="83"/>
    </row>
    <row r="191" spans="1:68" ht="16.5" customHeight="1" x14ac:dyDescent="0.25">
      <c r="A191" s="63" t="s">
        <v>291</v>
      </c>
      <c r="B191" s="63" t="s">
        <v>292</v>
      </c>
      <c r="C191" s="36">
        <v>4301132179</v>
      </c>
      <c r="D191" s="298">
        <v>4607111035691</v>
      </c>
      <c r="E191" s="298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00"/>
      <c r="R191" s="300"/>
      <c r="S191" s="300"/>
      <c r="T191" s="301"/>
      <c r="U191" s="39" t="s">
        <v>46</v>
      </c>
      <c r="V191" s="39" t="s">
        <v>46</v>
      </c>
      <c r="W191" s="40" t="s">
        <v>39</v>
      </c>
      <c r="X191" s="58">
        <v>70</v>
      </c>
      <c r="Y191" s="55">
        <f>IFERROR(IF(X191="","",X191),"")</f>
        <v>70</v>
      </c>
      <c r="Z191" s="41">
        <f>IFERROR(IF(X191="","",X191*0.01788),"")</f>
        <v>1.2516</v>
      </c>
      <c r="AA191" s="68" t="s">
        <v>46</v>
      </c>
      <c r="AB191" s="69" t="s">
        <v>46</v>
      </c>
      <c r="AC191" s="223" t="s">
        <v>293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237.16</v>
      </c>
      <c r="BN191" s="81">
        <f>IFERROR(Y191*I191,"0")</f>
        <v>237.16</v>
      </c>
      <c r="BO191" s="81">
        <f>IFERROR(X191/J191,"0")</f>
        <v>1</v>
      </c>
      <c r="BP191" s="81">
        <f>IFERROR(Y191/J191,"0")</f>
        <v>1</v>
      </c>
    </row>
    <row r="192" spans="1:68" ht="27" customHeight="1" x14ac:dyDescent="0.25">
      <c r="A192" s="63" t="s">
        <v>294</v>
      </c>
      <c r="B192" s="63" t="s">
        <v>295</v>
      </c>
      <c r="C192" s="36">
        <v>4301132182</v>
      </c>
      <c r="D192" s="298">
        <v>4607111035721</v>
      </c>
      <c r="E192" s="298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00"/>
      <c r="R192" s="300"/>
      <c r="S192" s="300"/>
      <c r="T192" s="301"/>
      <c r="U192" s="39" t="s">
        <v>46</v>
      </c>
      <c r="V192" s="39" t="s">
        <v>46</v>
      </c>
      <c r="W192" s="40" t="s">
        <v>39</v>
      </c>
      <c r="X192" s="58">
        <v>70</v>
      </c>
      <c r="Y192" s="55">
        <f>IFERROR(IF(X192="","",X192),"")</f>
        <v>70</v>
      </c>
      <c r="Z192" s="41">
        <f>IFERROR(IF(X192="","",X192*0.01788),"")</f>
        <v>1.2516</v>
      </c>
      <c r="AA192" s="68" t="s">
        <v>46</v>
      </c>
      <c r="AB192" s="69" t="s">
        <v>46</v>
      </c>
      <c r="AC192" s="225" t="s">
        <v>296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237.16</v>
      </c>
      <c r="BN192" s="81">
        <f>IFERROR(Y192*I192,"0")</f>
        <v>237.16</v>
      </c>
      <c r="BO192" s="81">
        <f>IFERROR(X192/J192,"0")</f>
        <v>1</v>
      </c>
      <c r="BP192" s="81">
        <f>IFERROR(Y192/J192,"0")</f>
        <v>1</v>
      </c>
    </row>
    <row r="193" spans="1:68" ht="27" customHeight="1" x14ac:dyDescent="0.25">
      <c r="A193" s="63" t="s">
        <v>297</v>
      </c>
      <c r="B193" s="63" t="s">
        <v>298</v>
      </c>
      <c r="C193" s="36">
        <v>4301132170</v>
      </c>
      <c r="D193" s="298">
        <v>4607111038487</v>
      </c>
      <c r="E193" s="298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00"/>
      <c r="R193" s="300"/>
      <c r="S193" s="300"/>
      <c r="T193" s="301"/>
      <c r="U193" s="39" t="s">
        <v>46</v>
      </c>
      <c r="V193" s="39" t="s">
        <v>46</v>
      </c>
      <c r="W193" s="40" t="s">
        <v>39</v>
      </c>
      <c r="X193" s="58">
        <v>70</v>
      </c>
      <c r="Y193" s="55">
        <f>IFERROR(IF(X193="","",X193),"")</f>
        <v>70</v>
      </c>
      <c r="Z193" s="41">
        <f>IFERROR(IF(X193="","",X193*0.01788),"")</f>
        <v>1.2516</v>
      </c>
      <c r="AA193" s="68" t="s">
        <v>46</v>
      </c>
      <c r="AB193" s="69" t="s">
        <v>46</v>
      </c>
      <c r="AC193" s="227" t="s">
        <v>299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261.52000000000004</v>
      </c>
      <c r="BN193" s="81">
        <f>IFERROR(Y193*I193,"0")</f>
        <v>261.52000000000004</v>
      </c>
      <c r="BO193" s="81">
        <f>IFERROR(X193/J193,"0")</f>
        <v>1</v>
      </c>
      <c r="BP193" s="81">
        <f>IFERROR(Y193/J193,"0")</f>
        <v>1</v>
      </c>
    </row>
    <row r="194" spans="1:68" ht="27" customHeight="1" x14ac:dyDescent="0.25">
      <c r="A194" s="63" t="s">
        <v>300</v>
      </c>
      <c r="B194" s="63" t="s">
        <v>301</v>
      </c>
      <c r="C194" s="36">
        <v>4301132243</v>
      </c>
      <c r="D194" s="298">
        <v>4620207491195</v>
      </c>
      <c r="E194" s="298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00"/>
      <c r="R194" s="300"/>
      <c r="S194" s="300"/>
      <c r="T194" s="301"/>
      <c r="U194" s="39" t="s">
        <v>46</v>
      </c>
      <c r="V194" s="39" t="s">
        <v>46</v>
      </c>
      <c r="W194" s="40" t="s">
        <v>39</v>
      </c>
      <c r="X194" s="58">
        <v>42</v>
      </c>
      <c r="Y194" s="55">
        <f>IFERROR(IF(X194="","",X194),"")</f>
        <v>42</v>
      </c>
      <c r="Z194" s="41">
        <f>IFERROR(IF(X194="","",X194*0.01788),"")</f>
        <v>0.75095999999999996</v>
      </c>
      <c r="AA194" s="68" t="s">
        <v>46</v>
      </c>
      <c r="AB194" s="69" t="s">
        <v>46</v>
      </c>
      <c r="AC194" s="229" t="s">
        <v>302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132.21600000000001</v>
      </c>
      <c r="BN194" s="81">
        <f>IFERROR(Y194*I194,"0")</f>
        <v>132.21600000000001</v>
      </c>
      <c r="BO194" s="81">
        <f>IFERROR(X194/J194,"0")</f>
        <v>0.6</v>
      </c>
      <c r="BP194" s="81">
        <f>IFERROR(Y194/J194,"0")</f>
        <v>0.6</v>
      </c>
    </row>
    <row r="195" spans="1:68" x14ac:dyDescent="0.2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308"/>
      <c r="P195" s="305" t="s">
        <v>40</v>
      </c>
      <c r="Q195" s="306"/>
      <c r="R195" s="306"/>
      <c r="S195" s="306"/>
      <c r="T195" s="306"/>
      <c r="U195" s="306"/>
      <c r="V195" s="307"/>
      <c r="W195" s="42" t="s">
        <v>39</v>
      </c>
      <c r="X195" s="43">
        <f>IFERROR(SUM(X191:X194),"0")</f>
        <v>252</v>
      </c>
      <c r="Y195" s="43">
        <f>IFERROR(SUM(Y191:Y194),"0")</f>
        <v>252</v>
      </c>
      <c r="Z195" s="43">
        <f>IFERROR(IF(Z191="",0,Z191),"0")+IFERROR(IF(Z192="",0,Z192),"0")+IFERROR(IF(Z193="",0,Z193),"0")+IFERROR(IF(Z194="",0,Z194),"0")</f>
        <v>4.5057600000000004</v>
      </c>
      <c r="AA195" s="67"/>
      <c r="AB195" s="67"/>
      <c r="AC195" s="67"/>
    </row>
    <row r="196" spans="1:68" x14ac:dyDescent="0.2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308"/>
      <c r="P196" s="305" t="s">
        <v>40</v>
      </c>
      <c r="Q196" s="306"/>
      <c r="R196" s="306"/>
      <c r="S196" s="306"/>
      <c r="T196" s="306"/>
      <c r="U196" s="306"/>
      <c r="V196" s="307"/>
      <c r="W196" s="42" t="s">
        <v>0</v>
      </c>
      <c r="X196" s="43">
        <f>IFERROR(SUMPRODUCT(X191:X194*H191:H194),"0")</f>
        <v>745.92</v>
      </c>
      <c r="Y196" s="43">
        <f>IFERROR(SUMPRODUCT(Y191:Y194*H191:H194),"0")</f>
        <v>745.92</v>
      </c>
      <c r="Z196" s="42"/>
      <c r="AA196" s="67"/>
      <c r="AB196" s="67"/>
      <c r="AC196" s="67"/>
    </row>
    <row r="197" spans="1:68" ht="27.75" hidden="1" customHeight="1" x14ac:dyDescent="0.2">
      <c r="A197" s="320" t="s">
        <v>303</v>
      </c>
      <c r="B197" s="320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320"/>
      <c r="P197" s="320"/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54"/>
      <c r="AB197" s="54"/>
      <c r="AC197" s="54"/>
    </row>
    <row r="198" spans="1:68" ht="16.5" hidden="1" customHeight="1" x14ac:dyDescent="0.25">
      <c r="A198" s="321" t="s">
        <v>304</v>
      </c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65"/>
      <c r="AB198" s="65"/>
      <c r="AC198" s="82"/>
    </row>
    <row r="199" spans="1:68" ht="14.25" hidden="1" customHeight="1" x14ac:dyDescent="0.25">
      <c r="A199" s="316" t="s">
        <v>113</v>
      </c>
      <c r="B199" s="316"/>
      <c r="C199" s="316"/>
      <c r="D199" s="316"/>
      <c r="E199" s="316"/>
      <c r="F199" s="316"/>
      <c r="G199" s="316"/>
      <c r="H199" s="316"/>
      <c r="I199" s="316"/>
      <c r="J199" s="316"/>
      <c r="K199" s="316"/>
      <c r="L199" s="316"/>
      <c r="M199" s="316"/>
      <c r="N199" s="316"/>
      <c r="O199" s="316"/>
      <c r="P199" s="316"/>
      <c r="Q199" s="316"/>
      <c r="R199" s="316"/>
      <c r="S199" s="316"/>
      <c r="T199" s="316"/>
      <c r="U199" s="316"/>
      <c r="V199" s="316"/>
      <c r="W199" s="316"/>
      <c r="X199" s="316"/>
      <c r="Y199" s="316"/>
      <c r="Z199" s="316"/>
      <c r="AA199" s="66"/>
      <c r="AB199" s="66"/>
      <c r="AC199" s="83"/>
    </row>
    <row r="200" spans="1:68" ht="27" hidden="1" customHeight="1" x14ac:dyDescent="0.25">
      <c r="A200" s="63" t="s">
        <v>305</v>
      </c>
      <c r="B200" s="63" t="s">
        <v>306</v>
      </c>
      <c r="C200" s="36">
        <v>4301132227</v>
      </c>
      <c r="D200" s="298">
        <v>4620207491133</v>
      </c>
      <c r="E200" s="298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00"/>
      <c r="R200" s="300"/>
      <c r="S200" s="300"/>
      <c r="T200" s="30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1" t="s">
        <v>307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idden="1" x14ac:dyDescent="0.2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308"/>
      <c r="P201" s="305" t="s">
        <v>40</v>
      </c>
      <c r="Q201" s="306"/>
      <c r="R201" s="306"/>
      <c r="S201" s="306"/>
      <c r="T201" s="306"/>
      <c r="U201" s="306"/>
      <c r="V201" s="307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308"/>
      <c r="P202" s="305" t="s">
        <v>40</v>
      </c>
      <c r="Q202" s="306"/>
      <c r="R202" s="306"/>
      <c r="S202" s="306"/>
      <c r="T202" s="306"/>
      <c r="U202" s="306"/>
      <c r="V202" s="307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hidden="1" customHeight="1" x14ac:dyDescent="0.25">
      <c r="A203" s="316" t="s">
        <v>151</v>
      </c>
      <c r="B203" s="316"/>
      <c r="C203" s="316"/>
      <c r="D203" s="316"/>
      <c r="E203" s="316"/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66"/>
      <c r="AB203" s="66"/>
      <c r="AC203" s="83"/>
    </row>
    <row r="204" spans="1:68" ht="27" hidden="1" customHeight="1" x14ac:dyDescent="0.25">
      <c r="A204" s="63" t="s">
        <v>308</v>
      </c>
      <c r="B204" s="63" t="s">
        <v>309</v>
      </c>
      <c r="C204" s="36">
        <v>4301135834</v>
      </c>
      <c r="D204" s="298">
        <v>4620207491188</v>
      </c>
      <c r="E204" s="298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00"/>
      <c r="R204" s="300"/>
      <c r="S204" s="300"/>
      <c r="T204" s="30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310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311</v>
      </c>
      <c r="B205" s="63" t="s">
        <v>312</v>
      </c>
      <c r="C205" s="36">
        <v>4301135696</v>
      </c>
      <c r="D205" s="298">
        <v>4620207490235</v>
      </c>
      <c r="E205" s="298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00"/>
      <c r="R205" s="300"/>
      <c r="S205" s="300"/>
      <c r="T205" s="30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313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314</v>
      </c>
      <c r="B206" s="63" t="s">
        <v>315</v>
      </c>
      <c r="C206" s="36">
        <v>4301135697</v>
      </c>
      <c r="D206" s="298">
        <v>4620207490259</v>
      </c>
      <c r="E206" s="298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180</v>
      </c>
      <c r="P206" s="3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00"/>
      <c r="R206" s="300"/>
      <c r="S206" s="300"/>
      <c r="T206" s="301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316</v>
      </c>
      <c r="AG206" s="81"/>
      <c r="AJ206" s="87" t="s">
        <v>120</v>
      </c>
      <c r="AK206" s="87">
        <v>14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308"/>
      <c r="P207" s="305" t="s">
        <v>40</v>
      </c>
      <c r="Q207" s="306"/>
      <c r="R207" s="306"/>
      <c r="S207" s="306"/>
      <c r="T207" s="306"/>
      <c r="U207" s="306"/>
      <c r="V207" s="307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308"/>
      <c r="P208" s="305" t="s">
        <v>40</v>
      </c>
      <c r="Q208" s="306"/>
      <c r="R208" s="306"/>
      <c r="S208" s="306"/>
      <c r="T208" s="306"/>
      <c r="U208" s="306"/>
      <c r="V208" s="307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21" t="s">
        <v>317</v>
      </c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65"/>
      <c r="AB209" s="65"/>
      <c r="AC209" s="82"/>
    </row>
    <row r="210" spans="1:68" ht="14.25" hidden="1" customHeight="1" x14ac:dyDescent="0.25">
      <c r="A210" s="316" t="s">
        <v>151</v>
      </c>
      <c r="B210" s="316"/>
      <c r="C210" s="316"/>
      <c r="D210" s="316"/>
      <c r="E210" s="316"/>
      <c r="F210" s="316"/>
      <c r="G210" s="316"/>
      <c r="H210" s="316"/>
      <c r="I210" s="316"/>
      <c r="J210" s="316"/>
      <c r="K210" s="316"/>
      <c r="L210" s="316"/>
      <c r="M210" s="316"/>
      <c r="N210" s="316"/>
      <c r="O210" s="316"/>
      <c r="P210" s="316"/>
      <c r="Q210" s="316"/>
      <c r="R210" s="316"/>
      <c r="S210" s="316"/>
      <c r="T210" s="316"/>
      <c r="U210" s="316"/>
      <c r="V210" s="316"/>
      <c r="W210" s="316"/>
      <c r="X210" s="316"/>
      <c r="Y210" s="316"/>
      <c r="Z210" s="316"/>
      <c r="AA210" s="66"/>
      <c r="AB210" s="66"/>
      <c r="AC210" s="83"/>
    </row>
    <row r="211" spans="1:68" ht="27" hidden="1" customHeight="1" x14ac:dyDescent="0.25">
      <c r="A211" s="63" t="s">
        <v>318</v>
      </c>
      <c r="B211" s="63" t="s">
        <v>319</v>
      </c>
      <c r="C211" s="36">
        <v>4301135854</v>
      </c>
      <c r="D211" s="298">
        <v>4620207491706</v>
      </c>
      <c r="E211" s="29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00"/>
      <c r="R211" s="300"/>
      <c r="S211" s="300"/>
      <c r="T211" s="30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320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321</v>
      </c>
      <c r="B212" s="63" t="s">
        <v>322</v>
      </c>
      <c r="C212" s="36">
        <v>4301135895</v>
      </c>
      <c r="D212" s="298">
        <v>4620207491522</v>
      </c>
      <c r="E212" s="298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00"/>
      <c r="R212" s="300"/>
      <c r="S212" s="300"/>
      <c r="T212" s="301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323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308"/>
      <c r="P213" s="305" t="s">
        <v>40</v>
      </c>
      <c r="Q213" s="306"/>
      <c r="R213" s="306"/>
      <c r="S213" s="306"/>
      <c r="T213" s="306"/>
      <c r="U213" s="306"/>
      <c r="V213" s="307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308"/>
      <c r="P214" s="305" t="s">
        <v>40</v>
      </c>
      <c r="Q214" s="306"/>
      <c r="R214" s="306"/>
      <c r="S214" s="306"/>
      <c r="T214" s="306"/>
      <c r="U214" s="306"/>
      <c r="V214" s="307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21" t="s">
        <v>324</v>
      </c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65"/>
      <c r="AB215" s="65"/>
      <c r="AC215" s="82"/>
    </row>
    <row r="216" spans="1:68" ht="14.25" hidden="1" customHeight="1" x14ac:dyDescent="0.25">
      <c r="A216" s="316" t="s">
        <v>82</v>
      </c>
      <c r="B216" s="316"/>
      <c r="C216" s="316"/>
      <c r="D216" s="316"/>
      <c r="E216" s="316"/>
      <c r="F216" s="316"/>
      <c r="G216" s="316"/>
      <c r="H216" s="316"/>
      <c r="I216" s="316"/>
      <c r="J216" s="316"/>
      <c r="K216" s="316"/>
      <c r="L216" s="316"/>
      <c r="M216" s="316"/>
      <c r="N216" s="316"/>
      <c r="O216" s="316"/>
      <c r="P216" s="316"/>
      <c r="Q216" s="316"/>
      <c r="R216" s="316"/>
      <c r="S216" s="316"/>
      <c r="T216" s="316"/>
      <c r="U216" s="316"/>
      <c r="V216" s="316"/>
      <c r="W216" s="316"/>
      <c r="X216" s="316"/>
      <c r="Y216" s="316"/>
      <c r="Z216" s="316"/>
      <c r="AA216" s="66"/>
      <c r="AB216" s="66"/>
      <c r="AC216" s="83"/>
    </row>
    <row r="217" spans="1:68" ht="27" customHeight="1" x14ac:dyDescent="0.25">
      <c r="A217" s="63" t="s">
        <v>325</v>
      </c>
      <c r="B217" s="63" t="s">
        <v>326</v>
      </c>
      <c r="C217" s="36">
        <v>4301071097</v>
      </c>
      <c r="D217" s="298">
        <v>4620207491096</v>
      </c>
      <c r="E217" s="298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00"/>
      <c r="R217" s="300"/>
      <c r="S217" s="300"/>
      <c r="T217" s="301"/>
      <c r="U217" s="39" t="s">
        <v>46</v>
      </c>
      <c r="V217" s="39" t="s">
        <v>46</v>
      </c>
      <c r="W217" s="40" t="s">
        <v>39</v>
      </c>
      <c r="X217" s="58">
        <v>108</v>
      </c>
      <c r="Y217" s="55">
        <f>IFERROR(IF(X217="","",X217),"")</f>
        <v>108</v>
      </c>
      <c r="Z217" s="41">
        <f>IFERROR(IF(X217="","",X217*0.0155),"")</f>
        <v>1.6739999999999999</v>
      </c>
      <c r="AA217" s="68" t="s">
        <v>46</v>
      </c>
      <c r="AB217" s="69" t="s">
        <v>46</v>
      </c>
      <c r="AC217" s="243" t="s">
        <v>327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564.84</v>
      </c>
      <c r="BN217" s="81">
        <f>IFERROR(Y217*I217,"0")</f>
        <v>564.84</v>
      </c>
      <c r="BO217" s="81">
        <f>IFERROR(X217/J217,"0")</f>
        <v>1.2857142857142858</v>
      </c>
      <c r="BP217" s="81">
        <f>IFERROR(Y217/J217,"0")</f>
        <v>1.2857142857142858</v>
      </c>
    </row>
    <row r="218" spans="1:68" x14ac:dyDescent="0.2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308"/>
      <c r="P218" s="305" t="s">
        <v>40</v>
      </c>
      <c r="Q218" s="306"/>
      <c r="R218" s="306"/>
      <c r="S218" s="306"/>
      <c r="T218" s="306"/>
      <c r="U218" s="306"/>
      <c r="V218" s="307"/>
      <c r="W218" s="42" t="s">
        <v>39</v>
      </c>
      <c r="X218" s="43">
        <f>IFERROR(SUM(X217:X217),"0")</f>
        <v>108</v>
      </c>
      <c r="Y218" s="43">
        <f>IFERROR(SUM(Y217:Y217),"0")</f>
        <v>108</v>
      </c>
      <c r="Z218" s="43">
        <f>IFERROR(IF(Z217="",0,Z217),"0")</f>
        <v>1.6739999999999999</v>
      </c>
      <c r="AA218" s="67"/>
      <c r="AB218" s="67"/>
      <c r="AC218" s="67"/>
    </row>
    <row r="219" spans="1:68" x14ac:dyDescent="0.2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308"/>
      <c r="P219" s="305" t="s">
        <v>40</v>
      </c>
      <c r="Q219" s="306"/>
      <c r="R219" s="306"/>
      <c r="S219" s="306"/>
      <c r="T219" s="306"/>
      <c r="U219" s="306"/>
      <c r="V219" s="307"/>
      <c r="W219" s="42" t="s">
        <v>0</v>
      </c>
      <c r="X219" s="43">
        <f>IFERROR(SUMPRODUCT(X217:X217*H217:H217),"0")</f>
        <v>540</v>
      </c>
      <c r="Y219" s="43">
        <f>IFERROR(SUMPRODUCT(Y217:Y217*H217:H217),"0")</f>
        <v>540</v>
      </c>
      <c r="Z219" s="42"/>
      <c r="AA219" s="67"/>
      <c r="AB219" s="67"/>
      <c r="AC219" s="67"/>
    </row>
    <row r="220" spans="1:68" ht="16.5" hidden="1" customHeight="1" x14ac:dyDescent="0.25">
      <c r="A220" s="321" t="s">
        <v>328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65"/>
      <c r="AB220" s="65"/>
      <c r="AC220" s="82"/>
    </row>
    <row r="221" spans="1:68" ht="14.25" hidden="1" customHeight="1" x14ac:dyDescent="0.25">
      <c r="A221" s="316" t="s">
        <v>151</v>
      </c>
      <c r="B221" s="316"/>
      <c r="C221" s="316"/>
      <c r="D221" s="316"/>
      <c r="E221" s="316"/>
      <c r="F221" s="316"/>
      <c r="G221" s="316"/>
      <c r="H221" s="316"/>
      <c r="I221" s="316"/>
      <c r="J221" s="316"/>
      <c r="K221" s="316"/>
      <c r="L221" s="316"/>
      <c r="M221" s="316"/>
      <c r="N221" s="316"/>
      <c r="O221" s="316"/>
      <c r="P221" s="316"/>
      <c r="Q221" s="316"/>
      <c r="R221" s="316"/>
      <c r="S221" s="316"/>
      <c r="T221" s="316"/>
      <c r="U221" s="316"/>
      <c r="V221" s="316"/>
      <c r="W221" s="316"/>
      <c r="X221" s="316"/>
      <c r="Y221" s="316"/>
      <c r="Z221" s="316"/>
      <c r="AA221" s="66"/>
      <c r="AB221" s="66"/>
      <c r="AC221" s="83"/>
    </row>
    <row r="222" spans="1:68" ht="27" hidden="1" customHeight="1" x14ac:dyDescent="0.25">
      <c r="A222" s="63" t="s">
        <v>329</v>
      </c>
      <c r="B222" s="63" t="s">
        <v>330</v>
      </c>
      <c r="C222" s="36">
        <v>4301135694</v>
      </c>
      <c r="D222" s="298">
        <v>4620207490501</v>
      </c>
      <c r="E222" s="298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00"/>
      <c r="R222" s="300"/>
      <c r="S222" s="300"/>
      <c r="T222" s="301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331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308"/>
      <c r="P223" s="305" t="s">
        <v>40</v>
      </c>
      <c r="Q223" s="306"/>
      <c r="R223" s="306"/>
      <c r="S223" s="306"/>
      <c r="T223" s="306"/>
      <c r="U223" s="306"/>
      <c r="V223" s="307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308"/>
      <c r="P224" s="305" t="s">
        <v>40</v>
      </c>
      <c r="Q224" s="306"/>
      <c r="R224" s="306"/>
      <c r="S224" s="306"/>
      <c r="T224" s="306"/>
      <c r="U224" s="306"/>
      <c r="V224" s="307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20" t="s">
        <v>332</v>
      </c>
      <c r="B225" s="320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320"/>
      <c r="P225" s="320"/>
      <c r="Q225" s="320"/>
      <c r="R225" s="320"/>
      <c r="S225" s="320"/>
      <c r="T225" s="320"/>
      <c r="U225" s="320"/>
      <c r="V225" s="320"/>
      <c r="W225" s="320"/>
      <c r="X225" s="320"/>
      <c r="Y225" s="320"/>
      <c r="Z225" s="320"/>
      <c r="AA225" s="54"/>
      <c r="AB225" s="54"/>
      <c r="AC225" s="54"/>
    </row>
    <row r="226" spans="1:68" ht="16.5" hidden="1" customHeight="1" x14ac:dyDescent="0.25">
      <c r="A226" s="321" t="s">
        <v>333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65"/>
      <c r="AB226" s="65"/>
      <c r="AC226" s="82"/>
    </row>
    <row r="227" spans="1:68" ht="14.25" hidden="1" customHeight="1" x14ac:dyDescent="0.25">
      <c r="A227" s="316" t="s">
        <v>82</v>
      </c>
      <c r="B227" s="316"/>
      <c r="C227" s="316"/>
      <c r="D227" s="316"/>
      <c r="E227" s="316"/>
      <c r="F227" s="316"/>
      <c r="G227" s="316"/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66"/>
      <c r="AB227" s="66"/>
      <c r="AC227" s="83"/>
    </row>
    <row r="228" spans="1:68" ht="27" hidden="1" customHeight="1" x14ac:dyDescent="0.25">
      <c r="A228" s="63" t="s">
        <v>334</v>
      </c>
      <c r="B228" s="63" t="s">
        <v>335</v>
      </c>
      <c r="C228" s="36">
        <v>4301071036</v>
      </c>
      <c r="D228" s="298">
        <v>4607111036162</v>
      </c>
      <c r="E228" s="298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00"/>
      <c r="R228" s="300"/>
      <c r="S228" s="300"/>
      <c r="T228" s="301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336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308"/>
      <c r="P229" s="305" t="s">
        <v>40</v>
      </c>
      <c r="Q229" s="306"/>
      <c r="R229" s="306"/>
      <c r="S229" s="306"/>
      <c r="T229" s="306"/>
      <c r="U229" s="306"/>
      <c r="V229" s="307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308"/>
      <c r="P230" s="305" t="s">
        <v>40</v>
      </c>
      <c r="Q230" s="306"/>
      <c r="R230" s="306"/>
      <c r="S230" s="306"/>
      <c r="T230" s="306"/>
      <c r="U230" s="306"/>
      <c r="V230" s="307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20" t="s">
        <v>337</v>
      </c>
      <c r="B231" s="320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320"/>
      <c r="P231" s="320"/>
      <c r="Q231" s="320"/>
      <c r="R231" s="320"/>
      <c r="S231" s="320"/>
      <c r="T231" s="320"/>
      <c r="U231" s="320"/>
      <c r="V231" s="320"/>
      <c r="W231" s="320"/>
      <c r="X231" s="320"/>
      <c r="Y231" s="320"/>
      <c r="Z231" s="320"/>
      <c r="AA231" s="54"/>
      <c r="AB231" s="54"/>
      <c r="AC231" s="54"/>
    </row>
    <row r="232" spans="1:68" ht="16.5" hidden="1" customHeight="1" x14ac:dyDescent="0.25">
      <c r="A232" s="321" t="s">
        <v>338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65"/>
      <c r="AB232" s="65"/>
      <c r="AC232" s="82"/>
    </row>
    <row r="233" spans="1:68" ht="14.25" hidden="1" customHeight="1" x14ac:dyDescent="0.25">
      <c r="A233" s="316" t="s">
        <v>339</v>
      </c>
      <c r="B233" s="316"/>
      <c r="C233" s="316"/>
      <c r="D233" s="316"/>
      <c r="E233" s="316"/>
      <c r="F233" s="316"/>
      <c r="G233" s="316"/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66"/>
      <c r="AB233" s="66"/>
      <c r="AC233" s="83"/>
    </row>
    <row r="234" spans="1:68" ht="27" hidden="1" customHeight="1" x14ac:dyDescent="0.25">
      <c r="A234" s="63" t="s">
        <v>340</v>
      </c>
      <c r="B234" s="63" t="s">
        <v>341</v>
      </c>
      <c r="C234" s="36">
        <v>4301133004</v>
      </c>
      <c r="D234" s="298">
        <v>4607111039774</v>
      </c>
      <c r="E234" s="298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2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00"/>
      <c r="R234" s="300"/>
      <c r="S234" s="300"/>
      <c r="T234" s="301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342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295"/>
      <c r="B235" s="295"/>
      <c r="C235" s="295"/>
      <c r="D235" s="295"/>
      <c r="E235" s="295"/>
      <c r="F235" s="295"/>
      <c r="G235" s="295"/>
      <c r="H235" s="295"/>
      <c r="I235" s="295"/>
      <c r="J235" s="295"/>
      <c r="K235" s="295"/>
      <c r="L235" s="295"/>
      <c r="M235" s="295"/>
      <c r="N235" s="295"/>
      <c r="O235" s="308"/>
      <c r="P235" s="305" t="s">
        <v>40</v>
      </c>
      <c r="Q235" s="306"/>
      <c r="R235" s="306"/>
      <c r="S235" s="306"/>
      <c r="T235" s="306"/>
      <c r="U235" s="306"/>
      <c r="V235" s="307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295"/>
      <c r="B236" s="295"/>
      <c r="C236" s="295"/>
      <c r="D236" s="295"/>
      <c r="E236" s="295"/>
      <c r="F236" s="295"/>
      <c r="G236" s="295"/>
      <c r="H236" s="295"/>
      <c r="I236" s="295"/>
      <c r="J236" s="295"/>
      <c r="K236" s="295"/>
      <c r="L236" s="295"/>
      <c r="M236" s="295"/>
      <c r="N236" s="295"/>
      <c r="O236" s="308"/>
      <c r="P236" s="305" t="s">
        <v>40</v>
      </c>
      <c r="Q236" s="306"/>
      <c r="R236" s="306"/>
      <c r="S236" s="306"/>
      <c r="T236" s="306"/>
      <c r="U236" s="306"/>
      <c r="V236" s="307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16" t="s">
        <v>151</v>
      </c>
      <c r="B237" s="316"/>
      <c r="C237" s="316"/>
      <c r="D237" s="316"/>
      <c r="E237" s="316"/>
      <c r="F237" s="316"/>
      <c r="G237" s="316"/>
      <c r="H237" s="316"/>
      <c r="I237" s="316"/>
      <c r="J237" s="316"/>
      <c r="K237" s="316"/>
      <c r="L237" s="316"/>
      <c r="M237" s="316"/>
      <c r="N237" s="316"/>
      <c r="O237" s="316"/>
      <c r="P237" s="316"/>
      <c r="Q237" s="316"/>
      <c r="R237" s="316"/>
      <c r="S237" s="316"/>
      <c r="T237" s="316"/>
      <c r="U237" s="316"/>
      <c r="V237" s="316"/>
      <c r="W237" s="316"/>
      <c r="X237" s="316"/>
      <c r="Y237" s="316"/>
      <c r="Z237" s="316"/>
      <c r="AA237" s="66"/>
      <c r="AB237" s="66"/>
      <c r="AC237" s="83"/>
    </row>
    <row r="238" spans="1:68" ht="37.5" hidden="1" customHeight="1" x14ac:dyDescent="0.25">
      <c r="A238" s="63" t="s">
        <v>343</v>
      </c>
      <c r="B238" s="63" t="s">
        <v>344</v>
      </c>
      <c r="C238" s="36">
        <v>4301135400</v>
      </c>
      <c r="D238" s="298">
        <v>4607111039361</v>
      </c>
      <c r="E238" s="298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00"/>
      <c r="R238" s="300"/>
      <c r="S238" s="300"/>
      <c r="T238" s="301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342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295"/>
      <c r="B239" s="295"/>
      <c r="C239" s="295"/>
      <c r="D239" s="295"/>
      <c r="E239" s="295"/>
      <c r="F239" s="295"/>
      <c r="G239" s="295"/>
      <c r="H239" s="295"/>
      <c r="I239" s="295"/>
      <c r="J239" s="295"/>
      <c r="K239" s="295"/>
      <c r="L239" s="295"/>
      <c r="M239" s="295"/>
      <c r="N239" s="295"/>
      <c r="O239" s="308"/>
      <c r="P239" s="305" t="s">
        <v>40</v>
      </c>
      <c r="Q239" s="306"/>
      <c r="R239" s="306"/>
      <c r="S239" s="306"/>
      <c r="T239" s="306"/>
      <c r="U239" s="306"/>
      <c r="V239" s="307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295"/>
      <c r="B240" s="295"/>
      <c r="C240" s="295"/>
      <c r="D240" s="295"/>
      <c r="E240" s="295"/>
      <c r="F240" s="295"/>
      <c r="G240" s="295"/>
      <c r="H240" s="295"/>
      <c r="I240" s="295"/>
      <c r="J240" s="295"/>
      <c r="K240" s="295"/>
      <c r="L240" s="295"/>
      <c r="M240" s="295"/>
      <c r="N240" s="295"/>
      <c r="O240" s="308"/>
      <c r="P240" s="305" t="s">
        <v>40</v>
      </c>
      <c r="Q240" s="306"/>
      <c r="R240" s="306"/>
      <c r="S240" s="306"/>
      <c r="T240" s="306"/>
      <c r="U240" s="306"/>
      <c r="V240" s="307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20" t="s">
        <v>345</v>
      </c>
      <c r="B241" s="320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320"/>
      <c r="P241" s="320"/>
      <c r="Q241" s="320"/>
      <c r="R241" s="320"/>
      <c r="S241" s="320"/>
      <c r="T241" s="320"/>
      <c r="U241" s="320"/>
      <c r="V241" s="320"/>
      <c r="W241" s="320"/>
      <c r="X241" s="320"/>
      <c r="Y241" s="320"/>
      <c r="Z241" s="320"/>
      <c r="AA241" s="54"/>
      <c r="AB241" s="54"/>
      <c r="AC241" s="54"/>
    </row>
    <row r="242" spans="1:68" ht="16.5" hidden="1" customHeight="1" x14ac:dyDescent="0.25">
      <c r="A242" s="321" t="s">
        <v>345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65"/>
      <c r="AB242" s="65"/>
      <c r="AC242" s="82"/>
    </row>
    <row r="243" spans="1:68" ht="14.25" hidden="1" customHeight="1" x14ac:dyDescent="0.25">
      <c r="A243" s="316" t="s">
        <v>113</v>
      </c>
      <c r="B243" s="316"/>
      <c r="C243" s="316"/>
      <c r="D243" s="316"/>
      <c r="E243" s="316"/>
      <c r="F243" s="316"/>
      <c r="G243" s="316"/>
      <c r="H243" s="316"/>
      <c r="I243" s="316"/>
      <c r="J243" s="316"/>
      <c r="K243" s="316"/>
      <c r="L243" s="316"/>
      <c r="M243" s="316"/>
      <c r="N243" s="316"/>
      <c r="O243" s="316"/>
      <c r="P243" s="316"/>
      <c r="Q243" s="316"/>
      <c r="R243" s="316"/>
      <c r="S243" s="316"/>
      <c r="T243" s="316"/>
      <c r="U243" s="316"/>
      <c r="V243" s="316"/>
      <c r="W243" s="316"/>
      <c r="X243" s="316"/>
      <c r="Y243" s="316"/>
      <c r="Z243" s="316"/>
      <c r="AA243" s="66"/>
      <c r="AB243" s="66"/>
      <c r="AC243" s="83"/>
    </row>
    <row r="244" spans="1:68" ht="27" hidden="1" customHeight="1" x14ac:dyDescent="0.25">
      <c r="A244" s="63" t="s">
        <v>346</v>
      </c>
      <c r="B244" s="63" t="s">
        <v>347</v>
      </c>
      <c r="C244" s="36">
        <v>4301132228</v>
      </c>
      <c r="D244" s="298">
        <v>4640242181950</v>
      </c>
      <c r="E244" s="298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00"/>
      <c r="R244" s="300"/>
      <c r="S244" s="300"/>
      <c r="T244" s="301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348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295"/>
      <c r="B245" s="295"/>
      <c r="C245" s="295"/>
      <c r="D245" s="295"/>
      <c r="E245" s="295"/>
      <c r="F245" s="295"/>
      <c r="G245" s="295"/>
      <c r="H245" s="295"/>
      <c r="I245" s="295"/>
      <c r="J245" s="295"/>
      <c r="K245" s="295"/>
      <c r="L245" s="295"/>
      <c r="M245" s="295"/>
      <c r="N245" s="295"/>
      <c r="O245" s="308"/>
      <c r="P245" s="305" t="s">
        <v>40</v>
      </c>
      <c r="Q245" s="306"/>
      <c r="R245" s="306"/>
      <c r="S245" s="306"/>
      <c r="T245" s="306"/>
      <c r="U245" s="306"/>
      <c r="V245" s="30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295"/>
      <c r="B246" s="295"/>
      <c r="C246" s="295"/>
      <c r="D246" s="295"/>
      <c r="E246" s="295"/>
      <c r="F246" s="295"/>
      <c r="G246" s="295"/>
      <c r="H246" s="295"/>
      <c r="I246" s="295"/>
      <c r="J246" s="295"/>
      <c r="K246" s="295"/>
      <c r="L246" s="295"/>
      <c r="M246" s="295"/>
      <c r="N246" s="295"/>
      <c r="O246" s="308"/>
      <c r="P246" s="305" t="s">
        <v>40</v>
      </c>
      <c r="Q246" s="306"/>
      <c r="R246" s="306"/>
      <c r="S246" s="306"/>
      <c r="T246" s="306"/>
      <c r="U246" s="306"/>
      <c r="V246" s="30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16" t="s">
        <v>145</v>
      </c>
      <c r="B247" s="316"/>
      <c r="C247" s="316"/>
      <c r="D247" s="316"/>
      <c r="E247" s="316"/>
      <c r="F247" s="316"/>
      <c r="G247" s="316"/>
      <c r="H247" s="316"/>
      <c r="I247" s="316"/>
      <c r="J247" s="316"/>
      <c r="K247" s="316"/>
      <c r="L247" s="316"/>
      <c r="M247" s="316"/>
      <c r="N247" s="316"/>
      <c r="O247" s="316"/>
      <c r="P247" s="316"/>
      <c r="Q247" s="316"/>
      <c r="R247" s="316"/>
      <c r="S247" s="316"/>
      <c r="T247" s="316"/>
      <c r="U247" s="316"/>
      <c r="V247" s="316"/>
      <c r="W247" s="316"/>
      <c r="X247" s="316"/>
      <c r="Y247" s="316"/>
      <c r="Z247" s="316"/>
      <c r="AA247" s="66"/>
      <c r="AB247" s="66"/>
      <c r="AC247" s="83"/>
    </row>
    <row r="248" spans="1:68" ht="27" hidden="1" customHeight="1" x14ac:dyDescent="0.25">
      <c r="A248" s="63" t="s">
        <v>349</v>
      </c>
      <c r="B248" s="63" t="s">
        <v>350</v>
      </c>
      <c r="C248" s="36">
        <v>4301136098</v>
      </c>
      <c r="D248" s="298">
        <v>4640242181943</v>
      </c>
      <c r="E248" s="298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00"/>
      <c r="R248" s="300"/>
      <c r="S248" s="300"/>
      <c r="T248" s="30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351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295"/>
      <c r="B249" s="295"/>
      <c r="C249" s="295"/>
      <c r="D249" s="295"/>
      <c r="E249" s="295"/>
      <c r="F249" s="295"/>
      <c r="G249" s="295"/>
      <c r="H249" s="295"/>
      <c r="I249" s="295"/>
      <c r="J249" s="295"/>
      <c r="K249" s="295"/>
      <c r="L249" s="295"/>
      <c r="M249" s="295"/>
      <c r="N249" s="295"/>
      <c r="O249" s="308"/>
      <c r="P249" s="305" t="s">
        <v>40</v>
      </c>
      <c r="Q249" s="306"/>
      <c r="R249" s="306"/>
      <c r="S249" s="306"/>
      <c r="T249" s="306"/>
      <c r="U249" s="306"/>
      <c r="V249" s="307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295"/>
      <c r="B250" s="295"/>
      <c r="C250" s="295"/>
      <c r="D250" s="295"/>
      <c r="E250" s="295"/>
      <c r="F250" s="295"/>
      <c r="G250" s="295"/>
      <c r="H250" s="295"/>
      <c r="I250" s="295"/>
      <c r="J250" s="295"/>
      <c r="K250" s="295"/>
      <c r="L250" s="295"/>
      <c r="M250" s="295"/>
      <c r="N250" s="295"/>
      <c r="O250" s="308"/>
      <c r="P250" s="305" t="s">
        <v>40</v>
      </c>
      <c r="Q250" s="306"/>
      <c r="R250" s="306"/>
      <c r="S250" s="306"/>
      <c r="T250" s="306"/>
      <c r="U250" s="306"/>
      <c r="V250" s="307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20" t="s">
        <v>352</v>
      </c>
      <c r="B251" s="320"/>
      <c r="C251" s="320"/>
      <c r="D251" s="320"/>
      <c r="E251" s="320"/>
      <c r="F251" s="320"/>
      <c r="G251" s="320"/>
      <c r="H251" s="320"/>
      <c r="I251" s="320"/>
      <c r="J251" s="320"/>
      <c r="K251" s="320"/>
      <c r="L251" s="320"/>
      <c r="M251" s="320"/>
      <c r="N251" s="320"/>
      <c r="O251" s="320"/>
      <c r="P251" s="320"/>
      <c r="Q251" s="320"/>
      <c r="R251" s="320"/>
      <c r="S251" s="320"/>
      <c r="T251" s="320"/>
      <c r="U251" s="320"/>
      <c r="V251" s="320"/>
      <c r="W251" s="320"/>
      <c r="X251" s="320"/>
      <c r="Y251" s="320"/>
      <c r="Z251" s="320"/>
      <c r="AA251" s="54"/>
      <c r="AB251" s="54"/>
      <c r="AC251" s="54"/>
    </row>
    <row r="252" spans="1:68" ht="16.5" hidden="1" customHeight="1" x14ac:dyDescent="0.25">
      <c r="A252" s="321" t="s">
        <v>352</v>
      </c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65"/>
      <c r="AB252" s="65"/>
      <c r="AC252" s="82"/>
    </row>
    <row r="253" spans="1:68" ht="14.25" hidden="1" customHeight="1" x14ac:dyDescent="0.25">
      <c r="A253" s="316" t="s">
        <v>82</v>
      </c>
      <c r="B253" s="316"/>
      <c r="C253" s="316"/>
      <c r="D253" s="316"/>
      <c r="E253" s="316"/>
      <c r="F253" s="316"/>
      <c r="G253" s="316"/>
      <c r="H253" s="316"/>
      <c r="I253" s="316"/>
      <c r="J253" s="316"/>
      <c r="K253" s="316"/>
      <c r="L253" s="316"/>
      <c r="M253" s="316"/>
      <c r="N253" s="316"/>
      <c r="O253" s="316"/>
      <c r="P253" s="316"/>
      <c r="Q253" s="316"/>
      <c r="R253" s="316"/>
      <c r="S253" s="316"/>
      <c r="T253" s="316"/>
      <c r="U253" s="316"/>
      <c r="V253" s="316"/>
      <c r="W253" s="316"/>
      <c r="X253" s="316"/>
      <c r="Y253" s="316"/>
      <c r="Z253" s="316"/>
      <c r="AA253" s="66"/>
      <c r="AB253" s="66"/>
      <c r="AC253" s="83"/>
    </row>
    <row r="254" spans="1:68" ht="27" hidden="1" customHeight="1" x14ac:dyDescent="0.25">
      <c r="A254" s="63" t="s">
        <v>353</v>
      </c>
      <c r="B254" s="63" t="s">
        <v>354</v>
      </c>
      <c r="C254" s="36">
        <v>4301071014</v>
      </c>
      <c r="D254" s="298">
        <v>4640242181264</v>
      </c>
      <c r="E254" s="298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00"/>
      <c r="R254" s="300"/>
      <c r="S254" s="300"/>
      <c r="T254" s="30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355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356</v>
      </c>
      <c r="B255" s="63" t="s">
        <v>357</v>
      </c>
      <c r="C255" s="36">
        <v>4301071021</v>
      </c>
      <c r="D255" s="298">
        <v>4640242181325</v>
      </c>
      <c r="E255" s="298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00"/>
      <c r="R255" s="300"/>
      <c r="S255" s="300"/>
      <c r="T255" s="301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355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idden="1" x14ac:dyDescent="0.2">
      <c r="A256" s="295"/>
      <c r="B256" s="295"/>
      <c r="C256" s="295"/>
      <c r="D256" s="295"/>
      <c r="E256" s="295"/>
      <c r="F256" s="295"/>
      <c r="G256" s="295"/>
      <c r="H256" s="295"/>
      <c r="I256" s="295"/>
      <c r="J256" s="295"/>
      <c r="K256" s="295"/>
      <c r="L256" s="295"/>
      <c r="M256" s="295"/>
      <c r="N256" s="295"/>
      <c r="O256" s="308"/>
      <c r="P256" s="305" t="s">
        <v>40</v>
      </c>
      <c r="Q256" s="306"/>
      <c r="R256" s="306"/>
      <c r="S256" s="306"/>
      <c r="T256" s="306"/>
      <c r="U256" s="306"/>
      <c r="V256" s="307"/>
      <c r="W256" s="42" t="s">
        <v>39</v>
      </c>
      <c r="X256" s="43">
        <f>IFERROR(SUM(X254:X255),"0")</f>
        <v>0</v>
      </c>
      <c r="Y256" s="43">
        <f>IFERROR(SUM(Y254:Y255),"0")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295"/>
      <c r="B257" s="295"/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308"/>
      <c r="P257" s="305" t="s">
        <v>40</v>
      </c>
      <c r="Q257" s="306"/>
      <c r="R257" s="306"/>
      <c r="S257" s="306"/>
      <c r="T257" s="306"/>
      <c r="U257" s="306"/>
      <c r="V257" s="307"/>
      <c r="W257" s="42" t="s">
        <v>0</v>
      </c>
      <c r="X257" s="43">
        <f>IFERROR(SUMPRODUCT(X254:X255*H254:H255),"0")</f>
        <v>0</v>
      </c>
      <c r="Y257" s="43">
        <f>IFERROR(SUMPRODUCT(Y254:Y255*H254:H255),"0")</f>
        <v>0</v>
      </c>
      <c r="Z257" s="42"/>
      <c r="AA257" s="67"/>
      <c r="AB257" s="67"/>
      <c r="AC257" s="67"/>
    </row>
    <row r="258" spans="1:68" ht="14.25" hidden="1" customHeight="1" x14ac:dyDescent="0.25">
      <c r="A258" s="316" t="s">
        <v>113</v>
      </c>
      <c r="B258" s="316"/>
      <c r="C258" s="316"/>
      <c r="D258" s="316"/>
      <c r="E258" s="316"/>
      <c r="F258" s="316"/>
      <c r="G258" s="316"/>
      <c r="H258" s="316"/>
      <c r="I258" s="316"/>
      <c r="J258" s="316"/>
      <c r="K258" s="316"/>
      <c r="L258" s="316"/>
      <c r="M258" s="316"/>
      <c r="N258" s="316"/>
      <c r="O258" s="316"/>
      <c r="P258" s="316"/>
      <c r="Q258" s="316"/>
      <c r="R258" s="316"/>
      <c r="S258" s="316"/>
      <c r="T258" s="316"/>
      <c r="U258" s="316"/>
      <c r="V258" s="316"/>
      <c r="W258" s="316"/>
      <c r="X258" s="316"/>
      <c r="Y258" s="316"/>
      <c r="Z258" s="316"/>
      <c r="AA258" s="66"/>
      <c r="AB258" s="66"/>
      <c r="AC258" s="83"/>
    </row>
    <row r="259" spans="1:68" ht="27" customHeight="1" x14ac:dyDescent="0.25">
      <c r="A259" s="63" t="s">
        <v>358</v>
      </c>
      <c r="B259" s="63" t="s">
        <v>359</v>
      </c>
      <c r="C259" s="36">
        <v>4301132080</v>
      </c>
      <c r="D259" s="298">
        <v>4640242180397</v>
      </c>
      <c r="E259" s="298"/>
      <c r="F259" s="62">
        <v>1</v>
      </c>
      <c r="G259" s="37">
        <v>6</v>
      </c>
      <c r="H259" s="62">
        <v>6</v>
      </c>
      <c r="I259" s="62">
        <v>6.26</v>
      </c>
      <c r="J259" s="37">
        <v>84</v>
      </c>
      <c r="K259" s="37" t="s">
        <v>87</v>
      </c>
      <c r="L259" s="37" t="s">
        <v>119</v>
      </c>
      <c r="M259" s="38" t="s">
        <v>86</v>
      </c>
      <c r="N259" s="38"/>
      <c r="O259" s="37">
        <v>180</v>
      </c>
      <c r="P259" s="3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9" s="300"/>
      <c r="R259" s="300"/>
      <c r="S259" s="300"/>
      <c r="T259" s="301"/>
      <c r="U259" s="39" t="s">
        <v>46</v>
      </c>
      <c r="V259" s="39" t="s">
        <v>46</v>
      </c>
      <c r="W259" s="40" t="s">
        <v>39</v>
      </c>
      <c r="X259" s="58">
        <v>216</v>
      </c>
      <c r="Y259" s="55">
        <f>IFERROR(IF(X259="","",X259),"")</f>
        <v>216</v>
      </c>
      <c r="Z259" s="41">
        <f>IFERROR(IF(X259="","",X259*0.0155),"")</f>
        <v>3.3479999999999999</v>
      </c>
      <c r="AA259" s="68" t="s">
        <v>46</v>
      </c>
      <c r="AB259" s="69" t="s">
        <v>46</v>
      </c>
      <c r="AC259" s="261" t="s">
        <v>360</v>
      </c>
      <c r="AG259" s="81"/>
      <c r="AJ259" s="87" t="s">
        <v>120</v>
      </c>
      <c r="AK259" s="87">
        <v>12</v>
      </c>
      <c r="BB259" s="262" t="s">
        <v>117</v>
      </c>
      <c r="BM259" s="81">
        <f>IFERROR(X259*I259,"0")</f>
        <v>1352.1599999999999</v>
      </c>
      <c r="BN259" s="81">
        <f>IFERROR(Y259*I259,"0")</f>
        <v>1352.1599999999999</v>
      </c>
      <c r="BO259" s="81">
        <f>IFERROR(X259/J259,"0")</f>
        <v>2.5714285714285716</v>
      </c>
      <c r="BP259" s="81">
        <f>IFERROR(Y259/J259,"0")</f>
        <v>2.5714285714285716</v>
      </c>
    </row>
    <row r="260" spans="1:68" x14ac:dyDescent="0.2">
      <c r="A260" s="295"/>
      <c r="B260" s="295"/>
      <c r="C260" s="295"/>
      <c r="D260" s="295"/>
      <c r="E260" s="295"/>
      <c r="F260" s="295"/>
      <c r="G260" s="295"/>
      <c r="H260" s="295"/>
      <c r="I260" s="295"/>
      <c r="J260" s="295"/>
      <c r="K260" s="295"/>
      <c r="L260" s="295"/>
      <c r="M260" s="295"/>
      <c r="N260" s="295"/>
      <c r="O260" s="308"/>
      <c r="P260" s="305" t="s">
        <v>40</v>
      </c>
      <c r="Q260" s="306"/>
      <c r="R260" s="306"/>
      <c r="S260" s="306"/>
      <c r="T260" s="306"/>
      <c r="U260" s="306"/>
      <c r="V260" s="307"/>
      <c r="W260" s="42" t="s">
        <v>39</v>
      </c>
      <c r="X260" s="43">
        <f>IFERROR(SUM(X259:X259),"0")</f>
        <v>216</v>
      </c>
      <c r="Y260" s="43">
        <f>IFERROR(SUM(Y259:Y259),"0")</f>
        <v>216</v>
      </c>
      <c r="Z260" s="43">
        <f>IFERROR(IF(Z259="",0,Z259),"0")</f>
        <v>3.3479999999999999</v>
      </c>
      <c r="AA260" s="67"/>
      <c r="AB260" s="67"/>
      <c r="AC260" s="67"/>
    </row>
    <row r="261" spans="1:68" x14ac:dyDescent="0.2">
      <c r="A261" s="295"/>
      <c r="B261" s="295"/>
      <c r="C261" s="295"/>
      <c r="D261" s="295"/>
      <c r="E261" s="295"/>
      <c r="F261" s="295"/>
      <c r="G261" s="295"/>
      <c r="H261" s="295"/>
      <c r="I261" s="295"/>
      <c r="J261" s="295"/>
      <c r="K261" s="295"/>
      <c r="L261" s="295"/>
      <c r="M261" s="295"/>
      <c r="N261" s="295"/>
      <c r="O261" s="308"/>
      <c r="P261" s="305" t="s">
        <v>40</v>
      </c>
      <c r="Q261" s="306"/>
      <c r="R261" s="306"/>
      <c r="S261" s="306"/>
      <c r="T261" s="306"/>
      <c r="U261" s="306"/>
      <c r="V261" s="307"/>
      <c r="W261" s="42" t="s">
        <v>0</v>
      </c>
      <c r="X261" s="43">
        <f>IFERROR(SUMPRODUCT(X259:X259*H259:H259),"0")</f>
        <v>1296</v>
      </c>
      <c r="Y261" s="43">
        <f>IFERROR(SUMPRODUCT(Y259:Y259*H259:H259),"0")</f>
        <v>1296</v>
      </c>
      <c r="Z261" s="42"/>
      <c r="AA261" s="67"/>
      <c r="AB261" s="67"/>
      <c r="AC261" s="67"/>
    </row>
    <row r="262" spans="1:68" ht="14.25" hidden="1" customHeight="1" x14ac:dyDescent="0.25">
      <c r="A262" s="316" t="s">
        <v>145</v>
      </c>
      <c r="B262" s="316"/>
      <c r="C262" s="316"/>
      <c r="D262" s="316"/>
      <c r="E262" s="316"/>
      <c r="F262" s="316"/>
      <c r="G262" s="316"/>
      <c r="H262" s="316"/>
      <c r="I262" s="316"/>
      <c r="J262" s="316"/>
      <c r="K262" s="316"/>
      <c r="L262" s="316"/>
      <c r="M262" s="316"/>
      <c r="N262" s="316"/>
      <c r="O262" s="316"/>
      <c r="P262" s="316"/>
      <c r="Q262" s="316"/>
      <c r="R262" s="316"/>
      <c r="S262" s="316"/>
      <c r="T262" s="316"/>
      <c r="U262" s="316"/>
      <c r="V262" s="316"/>
      <c r="W262" s="316"/>
      <c r="X262" s="316"/>
      <c r="Y262" s="316"/>
      <c r="Z262" s="316"/>
      <c r="AA262" s="66"/>
      <c r="AB262" s="66"/>
      <c r="AC262" s="83"/>
    </row>
    <row r="263" spans="1:68" ht="27" hidden="1" customHeight="1" x14ac:dyDescent="0.25">
      <c r="A263" s="63" t="s">
        <v>361</v>
      </c>
      <c r="B263" s="63" t="s">
        <v>362</v>
      </c>
      <c r="C263" s="36">
        <v>4301136051</v>
      </c>
      <c r="D263" s="298">
        <v>4640242180304</v>
      </c>
      <c r="E263" s="298"/>
      <c r="F263" s="62">
        <v>2.7</v>
      </c>
      <c r="G263" s="37">
        <v>1</v>
      </c>
      <c r="H263" s="62">
        <v>2.7</v>
      </c>
      <c r="I263" s="62">
        <v>2.8906000000000001</v>
      </c>
      <c r="J263" s="37">
        <v>126</v>
      </c>
      <c r="K263" s="37" t="s">
        <v>118</v>
      </c>
      <c r="L263" s="37" t="s">
        <v>119</v>
      </c>
      <c r="M263" s="38" t="s">
        <v>86</v>
      </c>
      <c r="N263" s="38"/>
      <c r="O263" s="37">
        <v>180</v>
      </c>
      <c r="P263" s="31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3" s="300"/>
      <c r="R263" s="300"/>
      <c r="S263" s="300"/>
      <c r="T263" s="301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363</v>
      </c>
      <c r="AG263" s="81"/>
      <c r="AJ263" s="87" t="s">
        <v>120</v>
      </c>
      <c r="AK263" s="87">
        <v>14</v>
      </c>
      <c r="BB263" s="264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364</v>
      </c>
      <c r="B264" s="63" t="s">
        <v>365</v>
      </c>
      <c r="C264" s="36">
        <v>4301136053</v>
      </c>
      <c r="D264" s="298">
        <v>4640242180236</v>
      </c>
      <c r="E264" s="298"/>
      <c r="F264" s="62">
        <v>5</v>
      </c>
      <c r="G264" s="37">
        <v>1</v>
      </c>
      <c r="H264" s="62">
        <v>5</v>
      </c>
      <c r="I264" s="62">
        <v>5.2350000000000003</v>
      </c>
      <c r="J264" s="37">
        <v>84</v>
      </c>
      <c r="K264" s="37" t="s">
        <v>87</v>
      </c>
      <c r="L264" s="37" t="s">
        <v>119</v>
      </c>
      <c r="M264" s="38" t="s">
        <v>86</v>
      </c>
      <c r="N264" s="38"/>
      <c r="O264" s="37">
        <v>180</v>
      </c>
      <c r="P264" s="31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4" s="300"/>
      <c r="R264" s="300"/>
      <c r="S264" s="300"/>
      <c r="T264" s="301"/>
      <c r="U264" s="39" t="s">
        <v>46</v>
      </c>
      <c r="V264" s="39" t="s">
        <v>46</v>
      </c>
      <c r="W264" s="40" t="s">
        <v>39</v>
      </c>
      <c r="X264" s="58">
        <v>180</v>
      </c>
      <c r="Y264" s="55">
        <f>IFERROR(IF(X264="","",X264),"")</f>
        <v>180</v>
      </c>
      <c r="Z264" s="41">
        <f>IFERROR(IF(X264="","",X264*0.0155),"")</f>
        <v>2.79</v>
      </c>
      <c r="AA264" s="68" t="s">
        <v>46</v>
      </c>
      <c r="AB264" s="69" t="s">
        <v>46</v>
      </c>
      <c r="AC264" s="265" t="s">
        <v>363</v>
      </c>
      <c r="AG264" s="81"/>
      <c r="AJ264" s="87" t="s">
        <v>120</v>
      </c>
      <c r="AK264" s="87">
        <v>12</v>
      </c>
      <c r="BB264" s="266" t="s">
        <v>117</v>
      </c>
      <c r="BM264" s="81">
        <f>IFERROR(X264*I264,"0")</f>
        <v>942.30000000000007</v>
      </c>
      <c r="BN264" s="81">
        <f>IFERROR(Y264*I264,"0")</f>
        <v>942.30000000000007</v>
      </c>
      <c r="BO264" s="81">
        <f>IFERROR(X264/J264,"0")</f>
        <v>2.1428571428571428</v>
      </c>
      <c r="BP264" s="81">
        <f>IFERROR(Y264/J264,"0")</f>
        <v>2.1428571428571428</v>
      </c>
    </row>
    <row r="265" spans="1:68" ht="27" customHeight="1" x14ac:dyDescent="0.25">
      <c r="A265" s="63" t="s">
        <v>366</v>
      </c>
      <c r="B265" s="63" t="s">
        <v>367</v>
      </c>
      <c r="C265" s="36">
        <v>4301136052</v>
      </c>
      <c r="D265" s="298">
        <v>4640242180410</v>
      </c>
      <c r="E265" s="298"/>
      <c r="F265" s="62">
        <v>2.2400000000000002</v>
      </c>
      <c r="G265" s="37">
        <v>1</v>
      </c>
      <c r="H265" s="62">
        <v>2.2400000000000002</v>
      </c>
      <c r="I265" s="62">
        <v>2.4319999999999999</v>
      </c>
      <c r="J265" s="37">
        <v>126</v>
      </c>
      <c r="K265" s="37" t="s">
        <v>118</v>
      </c>
      <c r="L265" s="37" t="s">
        <v>119</v>
      </c>
      <c r="M265" s="38" t="s">
        <v>86</v>
      </c>
      <c r="N265" s="38"/>
      <c r="O265" s="37">
        <v>180</v>
      </c>
      <c r="P265" s="31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5" s="300"/>
      <c r="R265" s="300"/>
      <c r="S265" s="300"/>
      <c r="T265" s="301"/>
      <c r="U265" s="39" t="s">
        <v>46</v>
      </c>
      <c r="V265" s="39" t="s">
        <v>46</v>
      </c>
      <c r="W265" s="40" t="s">
        <v>39</v>
      </c>
      <c r="X265" s="58">
        <v>28</v>
      </c>
      <c r="Y265" s="55">
        <f>IFERROR(IF(X265="","",X265),"")</f>
        <v>28</v>
      </c>
      <c r="Z265" s="41">
        <f>IFERROR(IF(X265="","",X265*0.00936),"")</f>
        <v>0.26207999999999998</v>
      </c>
      <c r="AA265" s="68" t="s">
        <v>46</v>
      </c>
      <c r="AB265" s="69" t="s">
        <v>46</v>
      </c>
      <c r="AC265" s="267" t="s">
        <v>363</v>
      </c>
      <c r="AG265" s="81"/>
      <c r="AJ265" s="87" t="s">
        <v>120</v>
      </c>
      <c r="AK265" s="87">
        <v>14</v>
      </c>
      <c r="BB265" s="268" t="s">
        <v>117</v>
      </c>
      <c r="BM265" s="81">
        <f>IFERROR(X265*I265,"0")</f>
        <v>68.096000000000004</v>
      </c>
      <c r="BN265" s="81">
        <f>IFERROR(Y265*I265,"0")</f>
        <v>68.096000000000004</v>
      </c>
      <c r="BO265" s="81">
        <f>IFERROR(X265/J265,"0")</f>
        <v>0.22222222222222221</v>
      </c>
      <c r="BP265" s="81">
        <f>IFERROR(Y265/J265,"0")</f>
        <v>0.22222222222222221</v>
      </c>
    </row>
    <row r="266" spans="1:68" x14ac:dyDescent="0.2">
      <c r="A266" s="295"/>
      <c r="B266" s="295"/>
      <c r="C266" s="295"/>
      <c r="D266" s="295"/>
      <c r="E266" s="295"/>
      <c r="F266" s="295"/>
      <c r="G266" s="295"/>
      <c r="H266" s="295"/>
      <c r="I266" s="295"/>
      <c r="J266" s="295"/>
      <c r="K266" s="295"/>
      <c r="L266" s="295"/>
      <c r="M266" s="295"/>
      <c r="N266" s="295"/>
      <c r="O266" s="308"/>
      <c r="P266" s="305" t="s">
        <v>40</v>
      </c>
      <c r="Q266" s="306"/>
      <c r="R266" s="306"/>
      <c r="S266" s="306"/>
      <c r="T266" s="306"/>
      <c r="U266" s="306"/>
      <c r="V266" s="307"/>
      <c r="W266" s="42" t="s">
        <v>39</v>
      </c>
      <c r="X266" s="43">
        <f>IFERROR(SUM(X263:X265),"0")</f>
        <v>208</v>
      </c>
      <c r="Y266" s="43">
        <f>IFERROR(SUM(Y263:Y265),"0")</f>
        <v>208</v>
      </c>
      <c r="Z266" s="43">
        <f>IFERROR(IF(Z263="",0,Z263),"0")+IFERROR(IF(Z264="",0,Z264),"0")+IFERROR(IF(Z265="",0,Z265),"0")</f>
        <v>3.0520800000000001</v>
      </c>
      <c r="AA266" s="67"/>
      <c r="AB266" s="67"/>
      <c r="AC266" s="67"/>
    </row>
    <row r="267" spans="1:68" x14ac:dyDescent="0.2">
      <c r="A267" s="295"/>
      <c r="B267" s="295"/>
      <c r="C267" s="295"/>
      <c r="D267" s="295"/>
      <c r="E267" s="295"/>
      <c r="F267" s="295"/>
      <c r="G267" s="295"/>
      <c r="H267" s="295"/>
      <c r="I267" s="295"/>
      <c r="J267" s="295"/>
      <c r="K267" s="295"/>
      <c r="L267" s="295"/>
      <c r="M267" s="295"/>
      <c r="N267" s="295"/>
      <c r="O267" s="308"/>
      <c r="P267" s="305" t="s">
        <v>40</v>
      </c>
      <c r="Q267" s="306"/>
      <c r="R267" s="306"/>
      <c r="S267" s="306"/>
      <c r="T267" s="306"/>
      <c r="U267" s="306"/>
      <c r="V267" s="307"/>
      <c r="W267" s="42" t="s">
        <v>0</v>
      </c>
      <c r="X267" s="43">
        <f>IFERROR(SUMPRODUCT(X263:X265*H263:H265),"0")</f>
        <v>962.72</v>
      </c>
      <c r="Y267" s="43">
        <f>IFERROR(SUMPRODUCT(Y263:Y265*H263:H265),"0")</f>
        <v>962.72</v>
      </c>
      <c r="Z267" s="42"/>
      <c r="AA267" s="67"/>
      <c r="AB267" s="67"/>
      <c r="AC267" s="67"/>
    </row>
    <row r="268" spans="1:68" ht="14.25" hidden="1" customHeight="1" x14ac:dyDescent="0.25">
      <c r="A268" s="316" t="s">
        <v>151</v>
      </c>
      <c r="B268" s="316"/>
      <c r="C268" s="316"/>
      <c r="D268" s="316"/>
      <c r="E268" s="316"/>
      <c r="F268" s="316"/>
      <c r="G268" s="316"/>
      <c r="H268" s="316"/>
      <c r="I268" s="316"/>
      <c r="J268" s="316"/>
      <c r="K268" s="316"/>
      <c r="L268" s="316"/>
      <c r="M268" s="316"/>
      <c r="N268" s="316"/>
      <c r="O268" s="316"/>
      <c r="P268" s="316"/>
      <c r="Q268" s="316"/>
      <c r="R268" s="316"/>
      <c r="S268" s="316"/>
      <c r="T268" s="316"/>
      <c r="U268" s="316"/>
      <c r="V268" s="316"/>
      <c r="W268" s="316"/>
      <c r="X268" s="316"/>
      <c r="Y268" s="316"/>
      <c r="Z268" s="316"/>
      <c r="AA268" s="66"/>
      <c r="AB268" s="66"/>
      <c r="AC268" s="83"/>
    </row>
    <row r="269" spans="1:68" ht="37.5" hidden="1" customHeight="1" x14ac:dyDescent="0.25">
      <c r="A269" s="63" t="s">
        <v>368</v>
      </c>
      <c r="B269" s="63" t="s">
        <v>369</v>
      </c>
      <c r="C269" s="36">
        <v>4301135504</v>
      </c>
      <c r="D269" s="298">
        <v>4640242181554</v>
      </c>
      <c r="E269" s="298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118</v>
      </c>
      <c r="L269" s="37" t="s">
        <v>88</v>
      </c>
      <c r="M269" s="38" t="s">
        <v>86</v>
      </c>
      <c r="N269" s="38"/>
      <c r="O269" s="37">
        <v>180</v>
      </c>
      <c r="P269" s="31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9" s="300"/>
      <c r="R269" s="300"/>
      <c r="S269" s="300"/>
      <c r="T269" s="30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ref="Y269:Y278" si="18"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370</v>
      </c>
      <c r="AG269" s="81"/>
      <c r="AJ269" s="87" t="s">
        <v>89</v>
      </c>
      <c r="AK269" s="87">
        <v>1</v>
      </c>
      <c r="BB269" s="270" t="s">
        <v>117</v>
      </c>
      <c r="BM269" s="81">
        <f t="shared" ref="BM269:BM278" si="19">IFERROR(X269*I269,"0")</f>
        <v>0</v>
      </c>
      <c r="BN269" s="81">
        <f t="shared" ref="BN269:BN278" si="20">IFERROR(Y269*I269,"0")</f>
        <v>0</v>
      </c>
      <c r="BO269" s="81">
        <f t="shared" ref="BO269:BO278" si="21">IFERROR(X269/J269,"0")</f>
        <v>0</v>
      </c>
      <c r="BP269" s="81">
        <f t="shared" ref="BP269:BP278" si="22">IFERROR(Y269/J269,"0")</f>
        <v>0</v>
      </c>
    </row>
    <row r="270" spans="1:68" ht="27" customHeight="1" x14ac:dyDescent="0.25">
      <c r="A270" s="63" t="s">
        <v>371</v>
      </c>
      <c r="B270" s="63" t="s">
        <v>372</v>
      </c>
      <c r="C270" s="36">
        <v>4301135518</v>
      </c>
      <c r="D270" s="298">
        <v>4640242181561</v>
      </c>
      <c r="E270" s="298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118</v>
      </c>
      <c r="L270" s="37" t="s">
        <v>119</v>
      </c>
      <c r="M270" s="38" t="s">
        <v>86</v>
      </c>
      <c r="N270" s="38"/>
      <c r="O270" s="37">
        <v>180</v>
      </c>
      <c r="P270" s="30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0" s="300"/>
      <c r="R270" s="300"/>
      <c r="S270" s="300"/>
      <c r="T270" s="301"/>
      <c r="U270" s="39" t="s">
        <v>46</v>
      </c>
      <c r="V270" s="39" t="s">
        <v>46</v>
      </c>
      <c r="W270" s="40" t="s">
        <v>39</v>
      </c>
      <c r="X270" s="58">
        <v>42</v>
      </c>
      <c r="Y270" s="55">
        <f t="shared" si="18"/>
        <v>42</v>
      </c>
      <c r="Z270" s="41">
        <f>IFERROR(IF(X270="","",X270*0.00936),"")</f>
        <v>0.39312000000000002</v>
      </c>
      <c r="AA270" s="68" t="s">
        <v>46</v>
      </c>
      <c r="AB270" s="69" t="s">
        <v>46</v>
      </c>
      <c r="AC270" s="271" t="s">
        <v>373</v>
      </c>
      <c r="AG270" s="81"/>
      <c r="AJ270" s="87" t="s">
        <v>120</v>
      </c>
      <c r="AK270" s="87">
        <v>14</v>
      </c>
      <c r="BB270" s="272" t="s">
        <v>117</v>
      </c>
      <c r="BM270" s="81">
        <f t="shared" si="19"/>
        <v>163.464</v>
      </c>
      <c r="BN270" s="81">
        <f t="shared" si="20"/>
        <v>163.464</v>
      </c>
      <c r="BO270" s="81">
        <f t="shared" si="21"/>
        <v>0.33333333333333331</v>
      </c>
      <c r="BP270" s="81">
        <f t="shared" si="22"/>
        <v>0.33333333333333331</v>
      </c>
    </row>
    <row r="271" spans="1:68" ht="27" customHeight="1" x14ac:dyDescent="0.25">
      <c r="A271" s="63" t="s">
        <v>374</v>
      </c>
      <c r="B271" s="63" t="s">
        <v>375</v>
      </c>
      <c r="C271" s="36">
        <v>4301135374</v>
      </c>
      <c r="D271" s="298">
        <v>4640242181424</v>
      </c>
      <c r="E271" s="298"/>
      <c r="F271" s="62">
        <v>5.5</v>
      </c>
      <c r="G271" s="37">
        <v>1</v>
      </c>
      <c r="H271" s="62">
        <v>5.5</v>
      </c>
      <c r="I271" s="62">
        <v>5.7350000000000003</v>
      </c>
      <c r="J271" s="37">
        <v>84</v>
      </c>
      <c r="K271" s="37" t="s">
        <v>87</v>
      </c>
      <c r="L271" s="37" t="s">
        <v>119</v>
      </c>
      <c r="M271" s="38" t="s">
        <v>86</v>
      </c>
      <c r="N271" s="38"/>
      <c r="O271" s="37">
        <v>180</v>
      </c>
      <c r="P271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1" s="300"/>
      <c r="R271" s="300"/>
      <c r="S271" s="300"/>
      <c r="T271" s="301"/>
      <c r="U271" s="39" t="s">
        <v>46</v>
      </c>
      <c r="V271" s="39" t="s">
        <v>46</v>
      </c>
      <c r="W271" s="40" t="s">
        <v>39</v>
      </c>
      <c r="X271" s="58">
        <v>12</v>
      </c>
      <c r="Y271" s="55">
        <f t="shared" si="18"/>
        <v>12</v>
      </c>
      <c r="Z271" s="41">
        <f>IFERROR(IF(X271="","",X271*0.0155),"")</f>
        <v>0.186</v>
      </c>
      <c r="AA271" s="68" t="s">
        <v>46</v>
      </c>
      <c r="AB271" s="69" t="s">
        <v>46</v>
      </c>
      <c r="AC271" s="273" t="s">
        <v>370</v>
      </c>
      <c r="AG271" s="81"/>
      <c r="AJ271" s="87" t="s">
        <v>120</v>
      </c>
      <c r="AK271" s="87">
        <v>12</v>
      </c>
      <c r="BB271" s="274" t="s">
        <v>117</v>
      </c>
      <c r="BM271" s="81">
        <f t="shared" si="19"/>
        <v>68.820000000000007</v>
      </c>
      <c r="BN271" s="81">
        <f t="shared" si="20"/>
        <v>68.820000000000007</v>
      </c>
      <c r="BO271" s="81">
        <f t="shared" si="21"/>
        <v>0.14285714285714285</v>
      </c>
      <c r="BP271" s="81">
        <f t="shared" si="22"/>
        <v>0.14285714285714285</v>
      </c>
    </row>
    <row r="272" spans="1:68" ht="27" customHeight="1" x14ac:dyDescent="0.25">
      <c r="A272" s="63" t="s">
        <v>376</v>
      </c>
      <c r="B272" s="63" t="s">
        <v>377</v>
      </c>
      <c r="C272" s="36">
        <v>4301135405</v>
      </c>
      <c r="D272" s="298">
        <v>4640242181523</v>
      </c>
      <c r="E272" s="298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118</v>
      </c>
      <c r="L272" s="37" t="s">
        <v>119</v>
      </c>
      <c r="M272" s="38" t="s">
        <v>86</v>
      </c>
      <c r="N272" s="38"/>
      <c r="O272" s="37">
        <v>180</v>
      </c>
      <c r="P272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2" s="300"/>
      <c r="R272" s="300"/>
      <c r="S272" s="300"/>
      <c r="T272" s="301"/>
      <c r="U272" s="39" t="s">
        <v>46</v>
      </c>
      <c r="V272" s="39" t="s">
        <v>46</v>
      </c>
      <c r="W272" s="40" t="s">
        <v>39</v>
      </c>
      <c r="X272" s="58">
        <v>14</v>
      </c>
      <c r="Y272" s="55">
        <f t="shared" si="18"/>
        <v>14</v>
      </c>
      <c r="Z272" s="41">
        <f t="shared" ref="Z272:Z277" si="23">IFERROR(IF(X272="","",X272*0.00936),"")</f>
        <v>0.13103999999999999</v>
      </c>
      <c r="AA272" s="68" t="s">
        <v>46</v>
      </c>
      <c r="AB272" s="69" t="s">
        <v>46</v>
      </c>
      <c r="AC272" s="275" t="s">
        <v>373</v>
      </c>
      <c r="AG272" s="81"/>
      <c r="AJ272" s="87" t="s">
        <v>120</v>
      </c>
      <c r="AK272" s="87">
        <v>14</v>
      </c>
      <c r="BB272" s="276" t="s">
        <v>117</v>
      </c>
      <c r="BM272" s="81">
        <f t="shared" si="19"/>
        <v>44.688000000000002</v>
      </c>
      <c r="BN272" s="81">
        <f t="shared" si="20"/>
        <v>44.688000000000002</v>
      </c>
      <c r="BO272" s="81">
        <f t="shared" si="21"/>
        <v>0.1111111111111111</v>
      </c>
      <c r="BP272" s="81">
        <f t="shared" si="22"/>
        <v>0.1111111111111111</v>
      </c>
    </row>
    <row r="273" spans="1:68" ht="27" hidden="1" customHeight="1" x14ac:dyDescent="0.25">
      <c r="A273" s="63" t="s">
        <v>378</v>
      </c>
      <c r="B273" s="63" t="s">
        <v>379</v>
      </c>
      <c r="C273" s="36">
        <v>4301135375</v>
      </c>
      <c r="D273" s="298">
        <v>4640242181486</v>
      </c>
      <c r="E273" s="298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3" s="300"/>
      <c r="R273" s="300"/>
      <c r="S273" s="300"/>
      <c r="T273" s="301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370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380</v>
      </c>
      <c r="B274" s="63" t="s">
        <v>381</v>
      </c>
      <c r="C274" s="36">
        <v>4301135402</v>
      </c>
      <c r="D274" s="298">
        <v>4640242181493</v>
      </c>
      <c r="E274" s="298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31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4" s="300"/>
      <c r="R274" s="300"/>
      <c r="S274" s="300"/>
      <c r="T274" s="301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370</v>
      </c>
      <c r="AG274" s="81"/>
      <c r="AJ274" s="87" t="s">
        <v>89</v>
      </c>
      <c r="AK274" s="87">
        <v>1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382</v>
      </c>
      <c r="B275" s="63" t="s">
        <v>383</v>
      </c>
      <c r="C275" s="36">
        <v>4301135403</v>
      </c>
      <c r="D275" s="298">
        <v>4640242181509</v>
      </c>
      <c r="E275" s="298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29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5" s="300"/>
      <c r="R275" s="300"/>
      <c r="S275" s="300"/>
      <c r="T275" s="301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370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384</v>
      </c>
      <c r="B276" s="63" t="s">
        <v>385</v>
      </c>
      <c r="C276" s="36">
        <v>4301135304</v>
      </c>
      <c r="D276" s="298">
        <v>4640242181240</v>
      </c>
      <c r="E276" s="298"/>
      <c r="F276" s="62">
        <v>0.3</v>
      </c>
      <c r="G276" s="37">
        <v>9</v>
      </c>
      <c r="H276" s="62">
        <v>2.7</v>
      </c>
      <c r="I276" s="62">
        <v>2.88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30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6" s="300"/>
      <c r="R276" s="300"/>
      <c r="S276" s="300"/>
      <c r="T276" s="301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370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386</v>
      </c>
      <c r="B277" s="63" t="s">
        <v>387</v>
      </c>
      <c r="C277" s="36">
        <v>4301135610</v>
      </c>
      <c r="D277" s="298">
        <v>4640242181318</v>
      </c>
      <c r="E277" s="298"/>
      <c r="F277" s="62">
        <v>0.3</v>
      </c>
      <c r="G277" s="37">
        <v>9</v>
      </c>
      <c r="H277" s="62">
        <v>2.7</v>
      </c>
      <c r="I277" s="62">
        <v>2.988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7" s="300"/>
      <c r="R277" s="300"/>
      <c r="S277" s="300"/>
      <c r="T277" s="301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373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388</v>
      </c>
      <c r="B278" s="63" t="s">
        <v>389</v>
      </c>
      <c r="C278" s="36">
        <v>4301135306</v>
      </c>
      <c r="D278" s="298">
        <v>4640242181387</v>
      </c>
      <c r="E278" s="298"/>
      <c r="F278" s="62">
        <v>0.3</v>
      </c>
      <c r="G278" s="37">
        <v>9</v>
      </c>
      <c r="H278" s="62">
        <v>2.7</v>
      </c>
      <c r="I278" s="62">
        <v>2.8450000000000002</v>
      </c>
      <c r="J278" s="37">
        <v>234</v>
      </c>
      <c r="K278" s="37" t="s">
        <v>163</v>
      </c>
      <c r="L278" s="37" t="s">
        <v>88</v>
      </c>
      <c r="M278" s="38" t="s">
        <v>86</v>
      </c>
      <c r="N278" s="38"/>
      <c r="O278" s="37">
        <v>180</v>
      </c>
      <c r="P278" s="30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8" s="300"/>
      <c r="R278" s="300"/>
      <c r="S278" s="300"/>
      <c r="T278" s="301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IFERROR(IF(X278="","",X278*0.00502),"")</f>
        <v>0</v>
      </c>
      <c r="AA278" s="68" t="s">
        <v>46</v>
      </c>
      <c r="AB278" s="69" t="s">
        <v>46</v>
      </c>
      <c r="AC278" s="287" t="s">
        <v>370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x14ac:dyDescent="0.2">
      <c r="A279" s="295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95"/>
      <c r="O279" s="308"/>
      <c r="P279" s="305" t="s">
        <v>40</v>
      </c>
      <c r="Q279" s="306"/>
      <c r="R279" s="306"/>
      <c r="S279" s="306"/>
      <c r="T279" s="306"/>
      <c r="U279" s="306"/>
      <c r="V279" s="307"/>
      <c r="W279" s="42" t="s">
        <v>39</v>
      </c>
      <c r="X279" s="43">
        <f>IFERROR(SUM(X269:X278),"0")</f>
        <v>68</v>
      </c>
      <c r="Y279" s="43">
        <f>IFERROR(SUM(Y269:Y278),"0")</f>
        <v>68</v>
      </c>
      <c r="Z279" s="43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>0.71016000000000012</v>
      </c>
      <c r="AA279" s="67"/>
      <c r="AB279" s="67"/>
      <c r="AC279" s="67"/>
    </row>
    <row r="280" spans="1:68" x14ac:dyDescent="0.2">
      <c r="A280" s="295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95"/>
      <c r="O280" s="308"/>
      <c r="P280" s="305" t="s">
        <v>40</v>
      </c>
      <c r="Q280" s="306"/>
      <c r="R280" s="306"/>
      <c r="S280" s="306"/>
      <c r="T280" s="306"/>
      <c r="U280" s="306"/>
      <c r="V280" s="307"/>
      <c r="W280" s="42" t="s">
        <v>0</v>
      </c>
      <c r="X280" s="43">
        <f>IFERROR(SUMPRODUCT(X269:X278*H269:H278),"0")</f>
        <v>263.39999999999998</v>
      </c>
      <c r="Y280" s="43">
        <f>IFERROR(SUMPRODUCT(Y269:Y278*H269:H278),"0")</f>
        <v>263.39999999999998</v>
      </c>
      <c r="Z280" s="42"/>
      <c r="AA280" s="67"/>
      <c r="AB280" s="67"/>
      <c r="AC280" s="67"/>
    </row>
    <row r="281" spans="1:68" ht="15" customHeight="1" x14ac:dyDescent="0.2">
      <c r="A281" s="295"/>
      <c r="B281" s="295"/>
      <c r="C281" s="295"/>
      <c r="D281" s="295"/>
      <c r="E281" s="295"/>
      <c r="F281" s="295"/>
      <c r="G281" s="295"/>
      <c r="H281" s="295"/>
      <c r="I281" s="295"/>
      <c r="J281" s="295"/>
      <c r="K281" s="295"/>
      <c r="L281" s="295"/>
      <c r="M281" s="295"/>
      <c r="N281" s="295"/>
      <c r="O281" s="296"/>
      <c r="P281" s="292" t="s">
        <v>33</v>
      </c>
      <c r="Q281" s="293"/>
      <c r="R281" s="293"/>
      <c r="S281" s="293"/>
      <c r="T281" s="293"/>
      <c r="U281" s="293"/>
      <c r="V281" s="294"/>
      <c r="W281" s="42" t="s">
        <v>0</v>
      </c>
      <c r="X281" s="43">
        <f>IFERROR(X31+X37+X44+X50+X58+X63+X68+X74+X80+X85+X91+X101+X107+X120+X124+X128+X136+X142+X148+X154+X160+X165+X170+X175+X182+X187+X196+X202+X208+X214+X219+X224+X230+X236+X240+X246+X250+X257+X261+X267+X280,"0")</f>
        <v>17015.000000000004</v>
      </c>
      <c r="Y281" s="43">
        <f>IFERROR(Y31+Y37+Y44+Y50+Y58+Y63+Y68+Y74+Y80+Y85+Y91+Y101+Y107+Y120+Y124+Y128+Y136+Y142+Y148+Y154+Y160+Y165+Y170+Y175+Y182+Y187+Y196+Y202+Y208+Y214+Y219+Y224+Y230+Y236+Y240+Y246+Y250+Y257+Y261+Y267+Y280,"0")</f>
        <v>17015.000000000004</v>
      </c>
      <c r="Z281" s="42"/>
      <c r="AA281" s="67"/>
      <c r="AB281" s="67"/>
      <c r="AC281" s="67"/>
    </row>
    <row r="282" spans="1:68" x14ac:dyDescent="0.2">
      <c r="A282" s="295"/>
      <c r="B282" s="295"/>
      <c r="C282" s="295"/>
      <c r="D282" s="295"/>
      <c r="E282" s="295"/>
      <c r="F282" s="295"/>
      <c r="G282" s="295"/>
      <c r="H282" s="295"/>
      <c r="I282" s="295"/>
      <c r="J282" s="295"/>
      <c r="K282" s="295"/>
      <c r="L282" s="295"/>
      <c r="M282" s="295"/>
      <c r="N282" s="295"/>
      <c r="O282" s="296"/>
      <c r="P282" s="292" t="s">
        <v>34</v>
      </c>
      <c r="Q282" s="293"/>
      <c r="R282" s="293"/>
      <c r="S282" s="293"/>
      <c r="T282" s="293"/>
      <c r="U282" s="293"/>
      <c r="V282" s="294"/>
      <c r="W282" s="42" t="s">
        <v>0</v>
      </c>
      <c r="X282" s="43">
        <f>IFERROR(SUM(BM22:BM278),"0")</f>
        <v>18387.204399999999</v>
      </c>
      <c r="Y282" s="43">
        <f>IFERROR(SUM(BN22:BN278),"0")</f>
        <v>18387.204399999999</v>
      </c>
      <c r="Z282" s="42"/>
      <c r="AA282" s="67"/>
      <c r="AB282" s="67"/>
      <c r="AC282" s="67"/>
    </row>
    <row r="283" spans="1:68" x14ac:dyDescent="0.2">
      <c r="A283" s="295"/>
      <c r="B283" s="295"/>
      <c r="C283" s="295"/>
      <c r="D283" s="295"/>
      <c r="E283" s="295"/>
      <c r="F283" s="295"/>
      <c r="G283" s="295"/>
      <c r="H283" s="295"/>
      <c r="I283" s="295"/>
      <c r="J283" s="295"/>
      <c r="K283" s="295"/>
      <c r="L283" s="295"/>
      <c r="M283" s="295"/>
      <c r="N283" s="295"/>
      <c r="O283" s="296"/>
      <c r="P283" s="292" t="s">
        <v>35</v>
      </c>
      <c r="Q283" s="293"/>
      <c r="R283" s="293"/>
      <c r="S283" s="293"/>
      <c r="T283" s="293"/>
      <c r="U283" s="293"/>
      <c r="V283" s="294"/>
      <c r="W283" s="42" t="s">
        <v>20</v>
      </c>
      <c r="X283" s="44">
        <f>ROUNDUP(SUM(BO22:BO278),0)</f>
        <v>42</v>
      </c>
      <c r="Y283" s="44">
        <f>ROUNDUP(SUM(BP22:BP278),0)</f>
        <v>42</v>
      </c>
      <c r="Z283" s="42"/>
      <c r="AA283" s="67"/>
      <c r="AB283" s="67"/>
      <c r="AC283" s="67"/>
    </row>
    <row r="284" spans="1:68" x14ac:dyDescent="0.2">
      <c r="A284" s="295"/>
      <c r="B284" s="295"/>
      <c r="C284" s="295"/>
      <c r="D284" s="295"/>
      <c r="E284" s="295"/>
      <c r="F284" s="295"/>
      <c r="G284" s="295"/>
      <c r="H284" s="295"/>
      <c r="I284" s="295"/>
      <c r="J284" s="295"/>
      <c r="K284" s="295"/>
      <c r="L284" s="295"/>
      <c r="M284" s="295"/>
      <c r="N284" s="295"/>
      <c r="O284" s="296"/>
      <c r="P284" s="292" t="s">
        <v>36</v>
      </c>
      <c r="Q284" s="293"/>
      <c r="R284" s="293"/>
      <c r="S284" s="293"/>
      <c r="T284" s="293"/>
      <c r="U284" s="293"/>
      <c r="V284" s="294"/>
      <c r="W284" s="42" t="s">
        <v>0</v>
      </c>
      <c r="X284" s="43">
        <f>GrossWeightTotal+PalletQtyTotal*25</f>
        <v>19437.204399999999</v>
      </c>
      <c r="Y284" s="43">
        <f>GrossWeightTotalR+PalletQtyTotalR*25</f>
        <v>19437.204399999999</v>
      </c>
      <c r="Z284" s="42"/>
      <c r="AA284" s="67"/>
      <c r="AB284" s="67"/>
      <c r="AC284" s="67"/>
    </row>
    <row r="285" spans="1:68" x14ac:dyDescent="0.2">
      <c r="A285" s="295"/>
      <c r="B285" s="295"/>
      <c r="C285" s="295"/>
      <c r="D285" s="295"/>
      <c r="E285" s="295"/>
      <c r="F285" s="295"/>
      <c r="G285" s="295"/>
      <c r="H285" s="295"/>
      <c r="I285" s="295"/>
      <c r="J285" s="295"/>
      <c r="K285" s="295"/>
      <c r="L285" s="295"/>
      <c r="M285" s="295"/>
      <c r="N285" s="295"/>
      <c r="O285" s="296"/>
      <c r="P285" s="292" t="s">
        <v>37</v>
      </c>
      <c r="Q285" s="293"/>
      <c r="R285" s="293"/>
      <c r="S285" s="293"/>
      <c r="T285" s="293"/>
      <c r="U285" s="293"/>
      <c r="V285" s="294"/>
      <c r="W285" s="42" t="s">
        <v>20</v>
      </c>
      <c r="X285" s="43">
        <f>IFERROR(X30+X36+X43+X49+X57+X62+X67+X73+X79+X84+X90+X100+X106+X119+X123+X127+X135+X141+X147+X153+X159+X164+X169+X174+X181+X186+X195+X201+X207+X213+X218+X223+X229+X235+X239+X245+X249+X256+X260+X266+X279,"0")</f>
        <v>3540</v>
      </c>
      <c r="Y285" s="43">
        <f>IFERROR(Y30+Y36+Y43+Y49+Y57+Y62+Y67+Y73+Y79+Y84+Y90+Y100+Y106+Y119+Y123+Y127+Y135+Y141+Y147+Y153+Y159+Y164+Y169+Y174+Y181+Y186+Y195+Y201+Y207+Y213+Y218+Y223+Y229+Y235+Y239+Y245+Y249+Y256+Y260+Y266+Y279,"0")</f>
        <v>3540</v>
      </c>
      <c r="Z285" s="42"/>
      <c r="AA285" s="67"/>
      <c r="AB285" s="67"/>
      <c r="AC285" s="67"/>
    </row>
    <row r="286" spans="1:68" ht="14.25" hidden="1" x14ac:dyDescent="0.2">
      <c r="A286" s="295"/>
      <c r="B286" s="295"/>
      <c r="C286" s="295"/>
      <c r="D286" s="295"/>
      <c r="E286" s="295"/>
      <c r="F286" s="295"/>
      <c r="G286" s="295"/>
      <c r="H286" s="295"/>
      <c r="I286" s="295"/>
      <c r="J286" s="295"/>
      <c r="K286" s="295"/>
      <c r="L286" s="295"/>
      <c r="M286" s="295"/>
      <c r="N286" s="295"/>
      <c r="O286" s="296"/>
      <c r="P286" s="292" t="s">
        <v>38</v>
      </c>
      <c r="Q286" s="293"/>
      <c r="R286" s="293"/>
      <c r="S286" s="293"/>
      <c r="T286" s="293"/>
      <c r="U286" s="293"/>
      <c r="V286" s="294"/>
      <c r="W286" s="45" t="s">
        <v>52</v>
      </c>
      <c r="X286" s="42"/>
      <c r="Y286" s="42"/>
      <c r="Z286" s="42">
        <f>IFERROR(Z30+Z36+Z43+Z49+Z57+Z62+Z67+Z73+Z79+Z84+Z90+Z100+Z106+Z119+Z123+Z127+Z135+Z141+Z147+Z153+Z159+Z164+Z169+Z174+Z181+Z186+Z195+Z201+Z207+Z213+Z218+Z223+Z229+Z235+Z239+Z245+Z249+Z256+Z260+Z266+Z279,"0")</f>
        <v>53.066360000000003</v>
      </c>
      <c r="AA286" s="67"/>
      <c r="AB286" s="67"/>
      <c r="AC286" s="67"/>
    </row>
    <row r="287" spans="1:68" ht="13.5" thickBot="1" x14ac:dyDescent="0.25"/>
    <row r="288" spans="1:68" ht="27" thickTop="1" thickBot="1" x14ac:dyDescent="0.25">
      <c r="A288" s="46" t="s">
        <v>9</v>
      </c>
      <c r="B288" s="289" t="s">
        <v>81</v>
      </c>
      <c r="C288" s="289" t="s">
        <v>81</v>
      </c>
      <c r="D288" s="289" t="s">
        <v>45</v>
      </c>
      <c r="E288" s="289" t="s">
        <v>45</v>
      </c>
      <c r="F288" s="289" t="s">
        <v>45</v>
      </c>
      <c r="G288" s="289" t="s">
        <v>45</v>
      </c>
      <c r="H288" s="289" t="s">
        <v>45</v>
      </c>
      <c r="I288" s="289" t="s">
        <v>45</v>
      </c>
      <c r="J288" s="289" t="s">
        <v>45</v>
      </c>
      <c r="K288" s="289" t="s">
        <v>45</v>
      </c>
      <c r="L288" s="289" t="s">
        <v>45</v>
      </c>
      <c r="M288" s="289" t="s">
        <v>45</v>
      </c>
      <c r="N288" s="297"/>
      <c r="O288" s="289" t="s">
        <v>45</v>
      </c>
      <c r="P288" s="289" t="s">
        <v>45</v>
      </c>
      <c r="Q288" s="289" t="s">
        <v>45</v>
      </c>
      <c r="R288" s="289" t="s">
        <v>45</v>
      </c>
      <c r="S288" s="289" t="s">
        <v>45</v>
      </c>
      <c r="T288" s="289" t="s">
        <v>45</v>
      </c>
      <c r="U288" s="289" t="s">
        <v>45</v>
      </c>
      <c r="V288" s="289" t="s">
        <v>278</v>
      </c>
      <c r="W288" s="289" t="s">
        <v>278</v>
      </c>
      <c r="X288" s="88" t="s">
        <v>289</v>
      </c>
      <c r="Y288" s="289" t="s">
        <v>303</v>
      </c>
      <c r="Z288" s="289" t="s">
        <v>303</v>
      </c>
      <c r="AA288" s="289" t="s">
        <v>303</v>
      </c>
      <c r="AB288" s="289" t="s">
        <v>303</v>
      </c>
      <c r="AC288" s="88" t="s">
        <v>332</v>
      </c>
      <c r="AD288" s="88" t="s">
        <v>337</v>
      </c>
      <c r="AE288" s="88" t="s">
        <v>345</v>
      </c>
      <c r="AF288" s="88" t="s">
        <v>352</v>
      </c>
    </row>
    <row r="289" spans="1:32" ht="14.25" customHeight="1" thickTop="1" x14ac:dyDescent="0.2">
      <c r="A289" s="290" t="s">
        <v>10</v>
      </c>
      <c r="B289" s="289" t="s">
        <v>81</v>
      </c>
      <c r="C289" s="289" t="s">
        <v>106</v>
      </c>
      <c r="D289" s="289" t="s">
        <v>112</v>
      </c>
      <c r="E289" s="289" t="s">
        <v>123</v>
      </c>
      <c r="F289" s="289" t="s">
        <v>130</v>
      </c>
      <c r="G289" s="289" t="s">
        <v>141</v>
      </c>
      <c r="H289" s="289" t="s">
        <v>159</v>
      </c>
      <c r="I289" s="289" t="s">
        <v>166</v>
      </c>
      <c r="J289" s="289" t="s">
        <v>170</v>
      </c>
      <c r="K289" s="289" t="s">
        <v>178</v>
      </c>
      <c r="L289" s="289" t="s">
        <v>194</v>
      </c>
      <c r="M289" s="289" t="s">
        <v>201</v>
      </c>
      <c r="N289" s="1"/>
      <c r="O289" s="289" t="s">
        <v>231</v>
      </c>
      <c r="P289" s="289" t="s">
        <v>249</v>
      </c>
      <c r="Q289" s="289" t="s">
        <v>255</v>
      </c>
      <c r="R289" s="289" t="s">
        <v>262</v>
      </c>
      <c r="S289" s="289" t="s">
        <v>267</v>
      </c>
      <c r="T289" s="289" t="s">
        <v>271</v>
      </c>
      <c r="U289" s="289" t="s">
        <v>274</v>
      </c>
      <c r="V289" s="289" t="s">
        <v>279</v>
      </c>
      <c r="W289" s="289" t="s">
        <v>286</v>
      </c>
      <c r="X289" s="289" t="s">
        <v>290</v>
      </c>
      <c r="Y289" s="289" t="s">
        <v>304</v>
      </c>
      <c r="Z289" s="289" t="s">
        <v>317</v>
      </c>
      <c r="AA289" s="289" t="s">
        <v>324</v>
      </c>
      <c r="AB289" s="289" t="s">
        <v>328</v>
      </c>
      <c r="AC289" s="289" t="s">
        <v>333</v>
      </c>
      <c r="AD289" s="289" t="s">
        <v>338</v>
      </c>
      <c r="AE289" s="289" t="s">
        <v>345</v>
      </c>
      <c r="AF289" s="289" t="s">
        <v>352</v>
      </c>
    </row>
    <row r="290" spans="1:32" ht="13.5" thickBot="1" x14ac:dyDescent="0.25">
      <c r="A290" s="291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1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  <c r="AC290" s="289"/>
      <c r="AD290" s="289"/>
      <c r="AE290" s="289"/>
      <c r="AF290" s="289"/>
    </row>
    <row r="291" spans="1:32" ht="18" thickTop="1" thickBot="1" x14ac:dyDescent="0.25">
      <c r="A291" s="46" t="s">
        <v>13</v>
      </c>
      <c r="B291" s="52">
        <f>IFERROR(X22*H22,"0")+IFERROR(X23*H23,"0")+IFERROR(X24*H24,"0")+IFERROR(X25*H25,"0")+IFERROR(X26*H26,"0")+IFERROR(X27*H27,"0")+IFERROR(X28*H28,"0")+IFERROR(X29*H29,"0")</f>
        <v>480.00000000000006</v>
      </c>
      <c r="C291" s="52">
        <f>IFERROR(X34*H34,"0")+IFERROR(X35*H35,"0")</f>
        <v>0</v>
      </c>
      <c r="D291" s="52">
        <f>IFERROR(X41*H41,"0")+IFERROR(X42*H42,"0")</f>
        <v>105</v>
      </c>
      <c r="E291" s="52">
        <f>IFERROR(X47*H47,"0")+IFERROR(X48*H48,"0")</f>
        <v>134.39999999999998</v>
      </c>
      <c r="F291" s="52">
        <f>IFERROR(X53*H53,"0")+IFERROR(X54*H54,"0")+IFERROR(X55*H55,"0")+IFERROR(X56*H56,"0")</f>
        <v>1596</v>
      </c>
      <c r="G291" s="52">
        <f>IFERROR(X61*H61,"0")+IFERROR(X65*H65,"0")+IFERROR(X66*H66,"0")+IFERROR(X70*H70,"0")+IFERROR(X71*H71,"0")+IFERROR(X72*H72,"0")</f>
        <v>33.6</v>
      </c>
      <c r="H291" s="52">
        <f>IFERROR(X77*H77,"0")+IFERROR(X78*H78,"0")</f>
        <v>1920</v>
      </c>
      <c r="I291" s="52">
        <f>IFERROR(X83*H83,"0")</f>
        <v>0</v>
      </c>
      <c r="J291" s="52">
        <f>IFERROR(X88*H88,"0")+IFERROR(X89*H89,"0")</f>
        <v>100.8</v>
      </c>
      <c r="K291" s="52">
        <f>IFERROR(X94*H94,"0")+IFERROR(X95*H95,"0")+IFERROR(X96*H96,"0")+IFERROR(X97*H97,"0")+IFERROR(X98*H98,"0")+IFERROR(X99*H99,"0")</f>
        <v>1008</v>
      </c>
      <c r="L291" s="52">
        <f>IFERROR(X104*H104,"0")+IFERROR(X105*H105,"0")</f>
        <v>0</v>
      </c>
      <c r="M291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5613.6</v>
      </c>
      <c r="N291" s="1"/>
      <c r="O291" s="52">
        <f>IFERROR(X131*H131,"0")+IFERROR(X132*H132,"0")+IFERROR(X133*H133,"0")+IFERROR(X134*H134,"0")+IFERROR(X138*H138,"0")+IFERROR(X139*H139,"0")+IFERROR(X140*H140,"0")</f>
        <v>133.56</v>
      </c>
      <c r="P291" s="52">
        <f>IFERROR(X145*H145,"0")+IFERROR(X146*H146,"0")</f>
        <v>966</v>
      </c>
      <c r="Q291" s="52">
        <f>IFERROR(X151*H151,"0")+IFERROR(X152*H152,"0")</f>
        <v>336</v>
      </c>
      <c r="R291" s="52">
        <f>IFERROR(X157*H157,"0")+IFERROR(X158*H158,"0")</f>
        <v>0</v>
      </c>
      <c r="S291" s="52">
        <f>IFERROR(X163*H163,"0")</f>
        <v>0</v>
      </c>
      <c r="T291" s="52">
        <f>IFERROR(X168*H168,"0")</f>
        <v>0</v>
      </c>
      <c r="U291" s="52">
        <f>IFERROR(X173*H173,"0")</f>
        <v>0</v>
      </c>
      <c r="V291" s="52">
        <f>IFERROR(X179*H179,"0")+IFERROR(X180*H180,"0")</f>
        <v>0</v>
      </c>
      <c r="W291" s="52">
        <f>IFERROR(X185*H185,"0")</f>
        <v>780</v>
      </c>
      <c r="X291" s="52">
        <f>IFERROR(X191*H191,"0")+IFERROR(X192*H192,"0")+IFERROR(X193*H193,"0")+IFERROR(X194*H194,"0")</f>
        <v>745.92</v>
      </c>
      <c r="Y291" s="52">
        <f>IFERROR(X200*H200,"0")+IFERROR(X204*H204,"0")+IFERROR(X205*H205,"0")+IFERROR(X206*H206,"0")</f>
        <v>0</v>
      </c>
      <c r="Z291" s="52">
        <f>IFERROR(X211*H211,"0")+IFERROR(X212*H212,"0")</f>
        <v>0</v>
      </c>
      <c r="AA291" s="52">
        <f>IFERROR(X217*H217,"0")</f>
        <v>540</v>
      </c>
      <c r="AB291" s="52">
        <f>IFERROR(X222*H222,"0")</f>
        <v>0</v>
      </c>
      <c r="AC291" s="52">
        <f>IFERROR(X228*H228,"0")</f>
        <v>0</v>
      </c>
      <c r="AD291" s="52">
        <f>IFERROR(X234*H234,"0")+IFERROR(X238*H238,"0")</f>
        <v>0</v>
      </c>
      <c r="AE291" s="52">
        <f>IFERROR(X244*H244,"0")+IFERROR(X248*H248,"0")</f>
        <v>0</v>
      </c>
      <c r="AF291" s="52">
        <f>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>2522.12</v>
      </c>
    </row>
    <row r="292" spans="1:32" ht="13.5" thickTop="1" x14ac:dyDescent="0.2">
      <c r="C292" s="1"/>
    </row>
    <row r="293" spans="1:32" ht="19.5" customHeight="1" x14ac:dyDescent="0.2">
      <c r="A293" s="70" t="s">
        <v>62</v>
      </c>
      <c r="B293" s="70" t="s">
        <v>63</v>
      </c>
      <c r="C293" s="70" t="s">
        <v>65</v>
      </c>
    </row>
    <row r="294" spans="1:32" x14ac:dyDescent="0.2">
      <c r="A294" s="71">
        <f>SUMPRODUCT(--(BB:BB="ЗПФ"),--(W:W="кор"),H:H,Y:Y)+SUMPRODUCT(--(BB:BB="ЗПФ"),--(W:W="кг"),Y:Y)</f>
        <v>10992</v>
      </c>
      <c r="B294" s="72">
        <f>SUMPRODUCT(--(BB:BB="ПГП"),--(W:W="кор"),H:H,Y:Y)+SUMPRODUCT(--(BB:BB="ПГП"),--(W:W="кг"),Y:Y)</f>
        <v>6023</v>
      </c>
      <c r="C294" s="72">
        <f>SUMPRODUCT(--(BB:BB="КИЗ"),--(W:W="кор"),H:H,Y:Y)+SUMPRODUCT(--(BB:BB="КИЗ"),--(W:W="кг"),Y:Y)</f>
        <v>0</v>
      </c>
    </row>
  </sheetData>
  <sheetProtection algorithmName="SHA-512" hashValue="1SMODQG15xj3uNBcAu287HlDOwsAn5s9Dj0Ph/VRZjVK5zPU4+/zY1pxz3UCruaLWiH/Xx71KFLckE3aTmZ0pQ==" saltValue="jhphcYpEuJAjDXV1A/gv3g==" spinCount="100000" sheet="1" objects="1" scenarios="1" sort="0" autoFilter="0" pivotTables="0"/>
  <autoFilter ref="A18:AF28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296,00"/>
        <filter val="1 596,00"/>
        <filter val="1 920,00"/>
        <filter val="100,80"/>
        <filter val="105,00"/>
        <filter val="108,00"/>
        <filter val="112,00"/>
        <filter val="12,00"/>
        <filter val="126,00"/>
        <filter val="132,00"/>
        <filter val="133,56"/>
        <filter val="134,40"/>
        <filter val="14,00"/>
        <filter val="156,00"/>
        <filter val="168,00"/>
        <filter val="17 015,00"/>
        <filter val="18 387,20"/>
        <filter val="180,00"/>
        <filter val="19 437,20"/>
        <filter val="196,00"/>
        <filter val="208,00"/>
        <filter val="216,00"/>
        <filter val="228,00"/>
        <filter val="24,00"/>
        <filter val="252,00"/>
        <filter val="263,40"/>
        <filter val="28,00"/>
        <filter val="3 540,00"/>
        <filter val="300,00"/>
        <filter val="322,00"/>
        <filter val="33,60"/>
        <filter val="336,00"/>
        <filter val="350,00"/>
        <filter val="36,00"/>
        <filter val="384,00"/>
        <filter val="42"/>
        <filter val="42,00"/>
        <filter val="48,00"/>
        <filter val="480,00"/>
        <filter val="5 541,60"/>
        <filter val="540,00"/>
        <filter val="60,00"/>
        <filter val="68,00"/>
        <filter val="70,00"/>
        <filter val="72,00"/>
        <filter val="745,92"/>
        <filter val="780,00"/>
        <filter val="804,00"/>
        <filter val="84,00"/>
        <filter val="962,72"/>
        <filter val="966,00"/>
        <filter val="98,00"/>
      </filters>
    </filterColumn>
    <filterColumn colId="29" showButton="0"/>
    <filterColumn colId="30" showButton="0"/>
  </autoFilter>
  <dataConsolidate/>
  <mergeCells count="5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P260:V260"/>
    <mergeCell ref="A260:O261"/>
    <mergeCell ref="P261:V261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T289:T290"/>
    <mergeCell ref="U289:U290"/>
    <mergeCell ref="V289:V290"/>
    <mergeCell ref="W289:W290"/>
    <mergeCell ref="X289:X290"/>
    <mergeCell ref="P281:V281"/>
    <mergeCell ref="A281:O286"/>
    <mergeCell ref="P282:V282"/>
    <mergeCell ref="P283:V283"/>
    <mergeCell ref="P284:V284"/>
    <mergeCell ref="P285:V285"/>
    <mergeCell ref="P286:V286"/>
    <mergeCell ref="B288:C288"/>
    <mergeCell ref="D288:U288"/>
    <mergeCell ref="V288:W288"/>
    <mergeCell ref="J289:J290"/>
    <mergeCell ref="K289:K290"/>
    <mergeCell ref="L289:L290"/>
    <mergeCell ref="M289:M290"/>
    <mergeCell ref="O289:O290"/>
    <mergeCell ref="P289:P290"/>
    <mergeCell ref="Q289:Q290"/>
    <mergeCell ref="R289:R290"/>
    <mergeCell ref="S289:S290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Y289:Y290"/>
    <mergeCell ref="Z289:Z290"/>
    <mergeCell ref="AA289:AA290"/>
    <mergeCell ref="AB289:AB290"/>
    <mergeCell ref="AC289:AC290"/>
    <mergeCell ref="AD289:AD290"/>
    <mergeCell ref="AE289:AE290"/>
    <mergeCell ref="AF289:AF290"/>
    <mergeCell ref="Y288:AB28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:X278 X269 X254:X255 X248 X244 X238 X234 X228 X222 X211:X212 X204 X194 X185 X173 X157 X151:X152 X138:X140 X131:X134 X126 X122 X115:X116 X111:X112 X105 X98 X95: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0:X273 X263:X265 X259 X217 X205:X206 X200 X191:X193 X179:X180 X168 X163 X158 X145:X146 X117:X118 X113:X114 X110 X104 X99 X97 X94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390</v>
      </c>
      <c r="H1" s="9"/>
    </row>
    <row r="3" spans="2:8" x14ac:dyDescent="0.2">
      <c r="B3" s="53" t="s">
        <v>391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393</v>
      </c>
      <c r="D6" s="53" t="s">
        <v>394</v>
      </c>
      <c r="E6" s="53" t="s">
        <v>46</v>
      </c>
    </row>
    <row r="8" spans="2:8" x14ac:dyDescent="0.2">
      <c r="B8" s="53" t="s">
        <v>80</v>
      </c>
      <c r="C8" s="53" t="s">
        <v>393</v>
      </c>
      <c r="D8" s="53" t="s">
        <v>46</v>
      </c>
      <c r="E8" s="53" t="s">
        <v>46</v>
      </c>
    </row>
    <row r="10" spans="2:8" x14ac:dyDescent="0.2">
      <c r="B10" s="53" t="s">
        <v>395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405</v>
      </c>
      <c r="C20" s="53" t="s">
        <v>46</v>
      </c>
      <c r="D20" s="53" t="s">
        <v>46</v>
      </c>
      <c r="E20" s="53" t="s">
        <v>46</v>
      </c>
    </row>
  </sheetData>
  <sheetProtection algorithmName="SHA-512" hashValue="O7UgjMboGYN+U/XYugWlPxcTrPq7GXpSrwt4yWQjRI9Aw6WooGQAUPRI4FqLNKidRsdbaDwcMlikqg8nGCywkA==" saltValue="+hNfV6iRY3Gq8jvvVm6/r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