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65D6E1-D72A-4AAE-B04F-1E3304D2034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Y55" i="2"/>
  <c r="Y412" i="2"/>
  <c r="BN402" i="2"/>
  <c r="BN47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18" i="2" l="1"/>
  <c r="Z32" i="2"/>
  <c r="Z386" i="2"/>
  <c r="Z338" i="2"/>
  <c r="Z124" i="2"/>
  <c r="Z369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<sst xmlns="http://schemas.openxmlformats.org/spreadsheetml/2006/main" count="4194" uniqueCount="891">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</sst>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46249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300</v>
      </c>
      <c r="Y61" s="53">
        <f t="shared" si="0"/>
        <v>302.40000000000003</v>
      </c>
      <c r="Z61" s="39">
        <f>IFERROR(IF(Y61=0,"",ROUNDUP(Y61/H61,0)*0.01898),"")</f>
        <v>0.53144000000000002</v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311.38888888888891</v>
      </c>
      <c r="BN61" s="75">
        <f t="shared" si="2"/>
        <v>313.88</v>
      </c>
      <c r="BO61" s="75">
        <f t="shared" si="3"/>
        <v>0.43402777777777773</v>
      </c>
      <c r="BP61" s="75">
        <f t="shared" si="4"/>
        <v>0.4375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27.777777777777775</v>
      </c>
      <c r="Y67" s="41">
        <f>IFERROR(Y59/H59,"0")+IFERROR(Y60/H60,"0")+IFERROR(Y61/H61,"0")+IFERROR(Y62/H62,"0")+IFERROR(Y63/H63,"0")+IFERROR(Y64/H64,"0")+IFERROR(Y65/H65,"0")+IFERROR(Y66/H66,"0")</f>
        <v>28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0.53144000000000002</v>
      </c>
      <c r="AA67" s="64"/>
      <c r="AB67" s="64"/>
      <c r="AC67" s="64"/>
    </row>
    <row r="68" spans="1:68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300</v>
      </c>
      <c r="Y68" s="41">
        <f>IFERROR(SUM(Y59:Y66),"0")</f>
        <v>302.40000000000003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200</v>
      </c>
      <c r="Y88" s="53">
        <f>IFERROR(IF(X88="",0,CEILING((X88/$H88),1)*$H88),"")</f>
        <v>205.20000000000002</v>
      </c>
      <c r="Z88" s="39">
        <f>IFERROR(IF(Y88=0,"",ROUNDUP(Y88/H88,0)*0.01898),"")</f>
        <v>0.36062</v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207.59259259259258</v>
      </c>
      <c r="BN88" s="75">
        <f>IFERROR(Y88*I88/H88,"0")</f>
        <v>212.99</v>
      </c>
      <c r="BO88" s="75">
        <f>IFERROR(1/J88*(X88/H88),"0")</f>
        <v>0.28935185185185186</v>
      </c>
      <c r="BP88" s="75">
        <f>IFERROR(1/J88*(Y88/H88),"0")</f>
        <v>0.296875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18.518518518518519</v>
      </c>
      <c r="Y92" s="41">
        <f>IFERROR(Y88/H88,"0")+IFERROR(Y89/H89,"0")+IFERROR(Y90/H90,"0")+IFERROR(Y91/H91,"0")</f>
        <v>19</v>
      </c>
      <c r="Z92" s="41">
        <f>IFERROR(IF(Z88="",0,Z88),"0")+IFERROR(IF(Z89="",0,Z89),"0")+IFERROR(IF(Z90="",0,Z90),"0")+IFERROR(IF(Z91="",0,Z91),"0")</f>
        <v>0.36062</v>
      </c>
      <c r="AA92" s="64"/>
      <c r="AB92" s="64"/>
      <c r="AC92" s="64"/>
    </row>
    <row r="93" spans="1:68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200</v>
      </c>
      <c r="Y93" s="41">
        <f>IFERROR(SUM(Y88:Y91),"0")</f>
        <v>205.20000000000002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hidden="1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1000</v>
      </c>
      <c r="Y426" s="53">
        <f t="shared" si="52"/>
        <v>1005</v>
      </c>
      <c r="Z426" s="39">
        <f>IFERROR(IF(Y426=0,"",ROUNDUP(Y426/H426,0)*0.02175),"")</f>
        <v>1.4572499999999999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1031.3333333333333</v>
      </c>
      <c r="BN426" s="75">
        <f t="shared" si="54"/>
        <v>1036.49</v>
      </c>
      <c r="BO426" s="75">
        <f t="shared" si="55"/>
        <v>1.3888888888888888</v>
      </c>
      <c r="BP426" s="75">
        <f t="shared" si="56"/>
        <v>1.3958333333333333</v>
      </c>
    </row>
    <row r="427" spans="1:68" ht="27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1300</v>
      </c>
      <c r="Y427" s="53">
        <f t="shared" si="52"/>
        <v>1305</v>
      </c>
      <c r="Z427" s="39">
        <f>IFERROR(IF(Y427=0,"",ROUNDUP(Y427/H427,0)*0.02175),"")</f>
        <v>1.8922499999999998</v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1340.7333333333333</v>
      </c>
      <c r="BN427" s="75">
        <f t="shared" si="54"/>
        <v>1345.89</v>
      </c>
      <c r="BO427" s="75">
        <f t="shared" si="55"/>
        <v>1.8055555555555556</v>
      </c>
      <c r="BP427" s="75">
        <f t="shared" si="56"/>
        <v>1.8125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153.33333333333334</v>
      </c>
      <c r="Y431" s="41">
        <f>IFERROR(Y423/H423,"0")+IFERROR(Y424/H424,"0")+IFERROR(Y425/H425,"0")+IFERROR(Y426/H426,"0")+IFERROR(Y427/H427,"0")+IFERROR(Y428/H428,"0")+IFERROR(Y429/H429,"0")+IFERROR(Y430/H430,"0")</f>
        <v>154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3.3494999999999999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2300</v>
      </c>
      <c r="Y432" s="41">
        <f>IFERROR(SUM(Y423:Y430),"0")</f>
        <v>2310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1600</v>
      </c>
      <c r="Y434" s="53">
        <f>IFERROR(IF(X434="",0,CEILING((X434/$H434),1)*$H434),"")</f>
        <v>1605</v>
      </c>
      <c r="Z434" s="39">
        <f>IFERROR(IF(Y434=0,"",ROUNDUP(Y434/H434,0)*0.02175),"")</f>
        <v>2.3272499999999998</v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1650.1333333333334</v>
      </c>
      <c r="BN434" s="75">
        <f>IFERROR(Y434*I434/H434,"0")</f>
        <v>1655.2900000000002</v>
      </c>
      <c r="BO434" s="75">
        <f>IFERROR(1/J434*(X434/H434),"0")</f>
        <v>2.2222222222222223</v>
      </c>
      <c r="BP434" s="75">
        <f>IFERROR(1/J434*(Y434/H434),"0")</f>
        <v>2.2291666666666665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106.66666666666667</v>
      </c>
      <c r="Y437" s="41">
        <f>IFERROR(Y434/H434,"0")+IFERROR(Y435/H435,"0")+IFERROR(Y436/H436,"0")</f>
        <v>107</v>
      </c>
      <c r="Z437" s="41">
        <f>IFERROR(IF(Z434="",0,Z434),"0")+IFERROR(IF(Z435="",0,Z435),"0")+IFERROR(IF(Z436="",0,Z436),"0")</f>
        <v>2.3272499999999998</v>
      </c>
      <c r="AA437" s="64"/>
      <c r="AB437" s="64"/>
      <c r="AC437" s="64"/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1600</v>
      </c>
      <c r="Y438" s="41">
        <f>IFERROR(SUM(Y434:Y436),"0")</f>
        <v>1605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4400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4422.6000000000004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4541.1814814814816</v>
      </c>
      <c r="Y552" s="41">
        <f>IFERROR(SUM(BN22:BN548),"0")</f>
        <v>4564.54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7</v>
      </c>
      <c r="Y553" s="42">
        <f>ROUNDUP(SUM(BP22:BP548),0)</f>
        <v>7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4716.1814814814816</v>
      </c>
      <c r="Y554" s="41">
        <f>GrossWeightTotalR+PalletQtyTotalR*25</f>
        <v>4739.54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306.2962962962963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308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6.5688099999999991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302.40000000000003</v>
      </c>
      <c r="F561" s="50">
        <f>IFERROR(Y88*1,"0")+IFERROR(Y89*1,"0")+IFERROR(Y90*1,"0")+IFERROR(Y91*1,"0")+IFERROR(Y95*1,"0")+IFERROR(Y96*1,"0")+IFERROR(Y97*1,"0")+IFERROR(Y98*1,"0")</f>
        <v>205.20000000000002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3915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 600,00"/>
        <filter val="106,67"/>
        <filter val="153,33"/>
        <filter val="18,52"/>
        <filter val="2 300,00"/>
        <filter val="200,00"/>
        <filter val="27,78"/>
        <filter val="300,00"/>
        <filter val="306,30"/>
        <filter val="4 400,00"/>
        <filter val="4 541,18"/>
        <filter val="4 716,18"/>
        <filter val="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