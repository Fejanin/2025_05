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FC6EDE-34C4-4BAD-8EBB-54AB7950481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BP545" i="1" s="1"/>
  <c r="P545" i="1"/>
  <c r="X543" i="1"/>
  <c r="X542" i="1"/>
  <c r="BO541" i="1"/>
  <c r="BM541" i="1"/>
  <c r="Y541" i="1"/>
  <c r="BP541" i="1" s="1"/>
  <c r="P541" i="1"/>
  <c r="X539" i="1"/>
  <c r="X538" i="1"/>
  <c r="BO537" i="1"/>
  <c r="BM537" i="1"/>
  <c r="Y537" i="1"/>
  <c r="BN537" i="1" s="1"/>
  <c r="P537" i="1"/>
  <c r="X535" i="1"/>
  <c r="X534" i="1"/>
  <c r="BO533" i="1"/>
  <c r="BM533" i="1"/>
  <c r="Y533" i="1"/>
  <c r="Y534" i="1" s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BN523" i="1" s="1"/>
  <c r="P523" i="1"/>
  <c r="BO522" i="1"/>
  <c r="BM522" i="1"/>
  <c r="Y522" i="1"/>
  <c r="BP522" i="1" s="1"/>
  <c r="P522" i="1"/>
  <c r="BO521" i="1"/>
  <c r="BM521" i="1"/>
  <c r="Y521" i="1"/>
  <c r="BN521" i="1" s="1"/>
  <c r="P521" i="1"/>
  <c r="BO520" i="1"/>
  <c r="BM520" i="1"/>
  <c r="Y520" i="1"/>
  <c r="P520" i="1"/>
  <c r="BO519" i="1"/>
  <c r="BM519" i="1"/>
  <c r="Y519" i="1"/>
  <c r="BP519" i="1" s="1"/>
  <c r="P519" i="1"/>
  <c r="BO518" i="1"/>
  <c r="BM518" i="1"/>
  <c r="Y518" i="1"/>
  <c r="BN518" i="1" s="1"/>
  <c r="P518" i="1"/>
  <c r="BO517" i="1"/>
  <c r="BM517" i="1"/>
  <c r="Y517" i="1"/>
  <c r="Z517" i="1" s="1"/>
  <c r="P517" i="1"/>
  <c r="X515" i="1"/>
  <c r="X514" i="1"/>
  <c r="BO513" i="1"/>
  <c r="BM513" i="1"/>
  <c r="Y513" i="1"/>
  <c r="BN513" i="1" s="1"/>
  <c r="P513" i="1"/>
  <c r="BO512" i="1"/>
  <c r="BM512" i="1"/>
  <c r="Y512" i="1"/>
  <c r="P512" i="1"/>
  <c r="BO511" i="1"/>
  <c r="BM511" i="1"/>
  <c r="Y511" i="1"/>
  <c r="BP511" i="1" s="1"/>
  <c r="P511" i="1"/>
  <c r="X509" i="1"/>
  <c r="X508" i="1"/>
  <c r="BO507" i="1"/>
  <c r="BM507" i="1"/>
  <c r="Y507" i="1"/>
  <c r="BN507" i="1" s="1"/>
  <c r="P507" i="1"/>
  <c r="BO506" i="1"/>
  <c r="BN506" i="1"/>
  <c r="BM506" i="1"/>
  <c r="Y506" i="1"/>
  <c r="BP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BP503" i="1" s="1"/>
  <c r="P503" i="1"/>
  <c r="BO502" i="1"/>
  <c r="BM502" i="1"/>
  <c r="Y502" i="1"/>
  <c r="BN502" i="1" s="1"/>
  <c r="P502" i="1"/>
  <c r="BO501" i="1"/>
  <c r="BM501" i="1"/>
  <c r="Y501" i="1"/>
  <c r="Z501" i="1" s="1"/>
  <c r="P501" i="1"/>
  <c r="BO500" i="1"/>
  <c r="BM500" i="1"/>
  <c r="Y500" i="1"/>
  <c r="Z500" i="1" s="1"/>
  <c r="P500" i="1"/>
  <c r="BP499" i="1"/>
  <c r="BO499" i="1"/>
  <c r="BM499" i="1"/>
  <c r="Y499" i="1"/>
  <c r="P499" i="1"/>
  <c r="X495" i="1"/>
  <c r="X494" i="1"/>
  <c r="BO493" i="1"/>
  <c r="BM493" i="1"/>
  <c r="Y493" i="1"/>
  <c r="BN493" i="1" s="1"/>
  <c r="P493" i="1"/>
  <c r="BO492" i="1"/>
  <c r="BM492" i="1"/>
  <c r="Y492" i="1"/>
  <c r="BP492" i="1" s="1"/>
  <c r="P492" i="1"/>
  <c r="BO491" i="1"/>
  <c r="BM491" i="1"/>
  <c r="Y491" i="1"/>
  <c r="Z491" i="1" s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BP476" i="1" s="1"/>
  <c r="P476" i="1"/>
  <c r="BO475" i="1"/>
  <c r="BM475" i="1"/>
  <c r="Y475" i="1"/>
  <c r="Z475" i="1" s="1"/>
  <c r="P475" i="1"/>
  <c r="BO474" i="1"/>
  <c r="BM474" i="1"/>
  <c r="Y474" i="1"/>
  <c r="BN474" i="1" s="1"/>
  <c r="P474" i="1"/>
  <c r="BO473" i="1"/>
  <c r="BM473" i="1"/>
  <c r="Y473" i="1"/>
  <c r="BP473" i="1" s="1"/>
  <c r="P473" i="1"/>
  <c r="BO472" i="1"/>
  <c r="BM472" i="1"/>
  <c r="Y472" i="1"/>
  <c r="BN472" i="1" s="1"/>
  <c r="P472" i="1"/>
  <c r="X468" i="1"/>
  <c r="X467" i="1"/>
  <c r="BO466" i="1"/>
  <c r="BM466" i="1"/>
  <c r="Y466" i="1"/>
  <c r="BP466" i="1" s="1"/>
  <c r="P466" i="1"/>
  <c r="BP465" i="1"/>
  <c r="BO465" i="1"/>
  <c r="BN465" i="1"/>
  <c r="BM465" i="1"/>
  <c r="Y465" i="1"/>
  <c r="Z465" i="1" s="1"/>
  <c r="P465" i="1"/>
  <c r="BO464" i="1"/>
  <c r="BM464" i="1"/>
  <c r="Y464" i="1"/>
  <c r="BN464" i="1" s="1"/>
  <c r="P464" i="1"/>
  <c r="X462" i="1"/>
  <c r="X461" i="1"/>
  <c r="BO460" i="1"/>
  <c r="BM460" i="1"/>
  <c r="Z460" i="1"/>
  <c r="Z461" i="1" s="1"/>
  <c r="Y460" i="1"/>
  <c r="BN460" i="1" s="1"/>
  <c r="P460" i="1"/>
  <c r="X458" i="1"/>
  <c r="X457" i="1"/>
  <c r="BO456" i="1"/>
  <c r="BM456" i="1"/>
  <c r="Y456" i="1"/>
  <c r="BP456" i="1" s="1"/>
  <c r="P456" i="1"/>
  <c r="BO455" i="1"/>
  <c r="BM455" i="1"/>
  <c r="Y455" i="1"/>
  <c r="Z455" i="1" s="1"/>
  <c r="P455" i="1"/>
  <c r="X452" i="1"/>
  <c r="Y451" i="1"/>
  <c r="X451" i="1"/>
  <c r="BP450" i="1"/>
  <c r="BO450" i="1"/>
  <c r="BN450" i="1"/>
  <c r="BM450" i="1"/>
  <c r="Y450" i="1"/>
  <c r="Z450" i="1" s="1"/>
  <c r="P450" i="1"/>
  <c r="BO449" i="1"/>
  <c r="BM449" i="1"/>
  <c r="Y449" i="1"/>
  <c r="P449" i="1"/>
  <c r="X447" i="1"/>
  <c r="X446" i="1"/>
  <c r="BP445" i="1"/>
  <c r="BO445" i="1"/>
  <c r="BM445" i="1"/>
  <c r="Z445" i="1"/>
  <c r="Y445" i="1"/>
  <c r="BN445" i="1" s="1"/>
  <c r="P445" i="1"/>
  <c r="BO444" i="1"/>
  <c r="BM444" i="1"/>
  <c r="Y444" i="1"/>
  <c r="Z444" i="1" s="1"/>
  <c r="P444" i="1"/>
  <c r="BO443" i="1"/>
  <c r="BM443" i="1"/>
  <c r="Y443" i="1"/>
  <c r="Z443" i="1" s="1"/>
  <c r="P443" i="1"/>
  <c r="X441" i="1"/>
  <c r="X440" i="1"/>
  <c r="BP439" i="1"/>
  <c r="BO439" i="1"/>
  <c r="BM439" i="1"/>
  <c r="Y439" i="1"/>
  <c r="Z439" i="1" s="1"/>
  <c r="P439" i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X435" i="1"/>
  <c r="X434" i="1"/>
  <c r="BO433" i="1"/>
  <c r="BM433" i="1"/>
  <c r="Y433" i="1"/>
  <c r="BP433" i="1" s="1"/>
  <c r="P433" i="1"/>
  <c r="BO432" i="1"/>
  <c r="BM432" i="1"/>
  <c r="Z432" i="1"/>
  <c r="Y432" i="1"/>
  <c r="BN432" i="1" s="1"/>
  <c r="P432" i="1"/>
  <c r="BO431" i="1"/>
  <c r="BM431" i="1"/>
  <c r="Y431" i="1"/>
  <c r="Z431" i="1" s="1"/>
  <c r="P431" i="1"/>
  <c r="BO430" i="1"/>
  <c r="BM430" i="1"/>
  <c r="Y430" i="1"/>
  <c r="P430" i="1"/>
  <c r="BO429" i="1"/>
  <c r="BM429" i="1"/>
  <c r="Y429" i="1"/>
  <c r="BP429" i="1" s="1"/>
  <c r="P429" i="1"/>
  <c r="BO428" i="1"/>
  <c r="BN428" i="1"/>
  <c r="BM428" i="1"/>
  <c r="Y428" i="1"/>
  <c r="BP428" i="1" s="1"/>
  <c r="P428" i="1"/>
  <c r="BO427" i="1"/>
  <c r="BM427" i="1"/>
  <c r="Y427" i="1"/>
  <c r="BN427" i="1" s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M419" i="1"/>
  <c r="Y419" i="1"/>
  <c r="BP419" i="1" s="1"/>
  <c r="P419" i="1"/>
  <c r="BO418" i="1"/>
  <c r="BN418" i="1"/>
  <c r="BM418" i="1"/>
  <c r="Z418" i="1"/>
  <c r="Y418" i="1"/>
  <c r="BP418" i="1" s="1"/>
  <c r="P418" i="1"/>
  <c r="X415" i="1"/>
  <c r="X414" i="1"/>
  <c r="BO413" i="1"/>
  <c r="BM413" i="1"/>
  <c r="Y413" i="1"/>
  <c r="Y414" i="1" s="1"/>
  <c r="BO412" i="1"/>
  <c r="BM412" i="1"/>
  <c r="Y412" i="1"/>
  <c r="Y415" i="1" s="1"/>
  <c r="X409" i="1"/>
  <c r="X408" i="1"/>
  <c r="BO407" i="1"/>
  <c r="BM407" i="1"/>
  <c r="Y407" i="1"/>
  <c r="BN407" i="1" s="1"/>
  <c r="P407" i="1"/>
  <c r="BO406" i="1"/>
  <c r="BM406" i="1"/>
  <c r="Y406" i="1"/>
  <c r="BN406" i="1" s="1"/>
  <c r="P406" i="1"/>
  <c r="BO405" i="1"/>
  <c r="BM405" i="1"/>
  <c r="Y405" i="1"/>
  <c r="BP405" i="1" s="1"/>
  <c r="P405" i="1"/>
  <c r="X403" i="1"/>
  <c r="X402" i="1"/>
  <c r="BO401" i="1"/>
  <c r="BM401" i="1"/>
  <c r="Y401" i="1"/>
  <c r="BN401" i="1" s="1"/>
  <c r="P401" i="1"/>
  <c r="BO400" i="1"/>
  <c r="BN400" i="1"/>
  <c r="BM400" i="1"/>
  <c r="Z400" i="1"/>
  <c r="Y400" i="1"/>
  <c r="BP400" i="1" s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BP394" i="1" s="1"/>
  <c r="P394" i="1"/>
  <c r="BP393" i="1"/>
  <c r="BO393" i="1"/>
  <c r="BM393" i="1"/>
  <c r="Z393" i="1"/>
  <c r="Y393" i="1"/>
  <c r="BN393" i="1" s="1"/>
  <c r="P393" i="1"/>
  <c r="BO392" i="1"/>
  <c r="BM392" i="1"/>
  <c r="Y392" i="1"/>
  <c r="BP392" i="1" s="1"/>
  <c r="P392" i="1"/>
  <c r="X390" i="1"/>
  <c r="X389" i="1"/>
  <c r="BP388" i="1"/>
  <c r="BO388" i="1"/>
  <c r="BM388" i="1"/>
  <c r="Y388" i="1"/>
  <c r="Z388" i="1" s="1"/>
  <c r="P388" i="1"/>
  <c r="BO387" i="1"/>
  <c r="BM387" i="1"/>
  <c r="Y387" i="1"/>
  <c r="Y389" i="1" s="1"/>
  <c r="P387" i="1"/>
  <c r="BO386" i="1"/>
  <c r="BM386" i="1"/>
  <c r="Z386" i="1"/>
  <c r="Y386" i="1"/>
  <c r="BP386" i="1" s="1"/>
  <c r="P386" i="1"/>
  <c r="X384" i="1"/>
  <c r="X383" i="1"/>
  <c r="BO382" i="1"/>
  <c r="BM382" i="1"/>
  <c r="Y382" i="1"/>
  <c r="BN382" i="1" s="1"/>
  <c r="P382" i="1"/>
  <c r="BO381" i="1"/>
  <c r="BM381" i="1"/>
  <c r="Z381" i="1"/>
  <c r="Y381" i="1"/>
  <c r="BN381" i="1" s="1"/>
  <c r="P381" i="1"/>
  <c r="BO380" i="1"/>
  <c r="BM380" i="1"/>
  <c r="Y380" i="1"/>
  <c r="Z380" i="1" s="1"/>
  <c r="P380" i="1"/>
  <c r="BO379" i="1"/>
  <c r="BM379" i="1"/>
  <c r="Y379" i="1"/>
  <c r="BP379" i="1" s="1"/>
  <c r="P379" i="1"/>
  <c r="X377" i="1"/>
  <c r="X376" i="1"/>
  <c r="BP375" i="1"/>
  <c r="BO375" i="1"/>
  <c r="BM375" i="1"/>
  <c r="Y375" i="1"/>
  <c r="BN375" i="1" s="1"/>
  <c r="P375" i="1"/>
  <c r="BP374" i="1"/>
  <c r="BO374" i="1"/>
  <c r="BN374" i="1"/>
  <c r="BM374" i="1"/>
  <c r="Z374" i="1"/>
  <c r="Y374" i="1"/>
  <c r="P374" i="1"/>
  <c r="BO373" i="1"/>
  <c r="BM373" i="1"/>
  <c r="Y373" i="1"/>
  <c r="BN373" i="1" s="1"/>
  <c r="P373" i="1"/>
  <c r="BO372" i="1"/>
  <c r="BM372" i="1"/>
  <c r="Y372" i="1"/>
  <c r="Z372" i="1" s="1"/>
  <c r="P372" i="1"/>
  <c r="BO371" i="1"/>
  <c r="BM371" i="1"/>
  <c r="Y371" i="1"/>
  <c r="BP371" i="1" s="1"/>
  <c r="P371" i="1"/>
  <c r="BO370" i="1"/>
  <c r="BM370" i="1"/>
  <c r="Y370" i="1"/>
  <c r="BP370" i="1" s="1"/>
  <c r="P370" i="1"/>
  <c r="BO369" i="1"/>
  <c r="BM369" i="1"/>
  <c r="Y369" i="1"/>
  <c r="BP369" i="1" s="1"/>
  <c r="P369" i="1"/>
  <c r="X367" i="1"/>
  <c r="X366" i="1"/>
  <c r="BO365" i="1"/>
  <c r="BM365" i="1"/>
  <c r="Y365" i="1"/>
  <c r="BN365" i="1" s="1"/>
  <c r="P365" i="1"/>
  <c r="BO364" i="1"/>
  <c r="BN364" i="1"/>
  <c r="BM364" i="1"/>
  <c r="Y364" i="1"/>
  <c r="Z364" i="1" s="1"/>
  <c r="P364" i="1"/>
  <c r="BO363" i="1"/>
  <c r="BM363" i="1"/>
  <c r="Y363" i="1"/>
  <c r="BP363" i="1" s="1"/>
  <c r="P363" i="1"/>
  <c r="BO362" i="1"/>
  <c r="BM362" i="1"/>
  <c r="Z362" i="1"/>
  <c r="Y362" i="1"/>
  <c r="BP362" i="1" s="1"/>
  <c r="P362" i="1"/>
  <c r="BP361" i="1"/>
  <c r="BO361" i="1"/>
  <c r="BM361" i="1"/>
  <c r="Z361" i="1"/>
  <c r="Y361" i="1"/>
  <c r="P361" i="1"/>
  <c r="X358" i="1"/>
  <c r="X357" i="1"/>
  <c r="BO356" i="1"/>
  <c r="BM356" i="1"/>
  <c r="Y356" i="1"/>
  <c r="BN356" i="1" s="1"/>
  <c r="P356" i="1"/>
  <c r="BO355" i="1"/>
  <c r="BM355" i="1"/>
  <c r="Y355" i="1"/>
  <c r="Z355" i="1" s="1"/>
  <c r="P355" i="1"/>
  <c r="BO354" i="1"/>
  <c r="BM354" i="1"/>
  <c r="Y354" i="1"/>
  <c r="P354" i="1"/>
  <c r="X351" i="1"/>
  <c r="X350" i="1"/>
  <c r="BO349" i="1"/>
  <c r="BM349" i="1"/>
  <c r="Y349" i="1"/>
  <c r="BP349" i="1" s="1"/>
  <c r="P349" i="1"/>
  <c r="BO348" i="1"/>
  <c r="BM348" i="1"/>
  <c r="Z348" i="1"/>
  <c r="Y348" i="1"/>
  <c r="P348" i="1"/>
  <c r="Y346" i="1"/>
  <c r="X346" i="1"/>
  <c r="X345" i="1"/>
  <c r="BO344" i="1"/>
  <c r="BM344" i="1"/>
  <c r="Z344" i="1"/>
  <c r="Y344" i="1"/>
  <c r="BP344" i="1" s="1"/>
  <c r="P344" i="1"/>
  <c r="BO343" i="1"/>
  <c r="BN343" i="1"/>
  <c r="BM343" i="1"/>
  <c r="Y343" i="1"/>
  <c r="Z343" i="1" s="1"/>
  <c r="P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BP340" i="1" s="1"/>
  <c r="P340" i="1"/>
  <c r="X337" i="1"/>
  <c r="X336" i="1"/>
  <c r="BO335" i="1"/>
  <c r="BM335" i="1"/>
  <c r="Y335" i="1"/>
  <c r="BP335" i="1" s="1"/>
  <c r="P335" i="1"/>
  <c r="BO334" i="1"/>
  <c r="BM334" i="1"/>
  <c r="Y334" i="1"/>
  <c r="Z334" i="1" s="1"/>
  <c r="P334" i="1"/>
  <c r="BO333" i="1"/>
  <c r="BM333" i="1"/>
  <c r="Y333" i="1"/>
  <c r="BP333" i="1" s="1"/>
  <c r="P333" i="1"/>
  <c r="X330" i="1"/>
  <c r="X329" i="1"/>
  <c r="BO328" i="1"/>
  <c r="BM328" i="1"/>
  <c r="Y328" i="1"/>
  <c r="BP328" i="1" s="1"/>
  <c r="P328" i="1"/>
  <c r="BO327" i="1"/>
  <c r="BM327" i="1"/>
  <c r="Y327" i="1"/>
  <c r="BP327" i="1" s="1"/>
  <c r="P327" i="1"/>
  <c r="BP326" i="1"/>
  <c r="BO326" i="1"/>
  <c r="BN326" i="1"/>
  <c r="BM326" i="1"/>
  <c r="Y326" i="1"/>
  <c r="Z326" i="1" s="1"/>
  <c r="P326" i="1"/>
  <c r="BO325" i="1"/>
  <c r="BM325" i="1"/>
  <c r="Y325" i="1"/>
  <c r="Z325" i="1" s="1"/>
  <c r="P325" i="1"/>
  <c r="BO324" i="1"/>
  <c r="BM324" i="1"/>
  <c r="Y324" i="1"/>
  <c r="P324" i="1"/>
  <c r="X321" i="1"/>
  <c r="X320" i="1"/>
  <c r="BO319" i="1"/>
  <c r="BM319" i="1"/>
  <c r="Y319" i="1"/>
  <c r="BP319" i="1" s="1"/>
  <c r="P319" i="1"/>
  <c r="BP318" i="1"/>
  <c r="BO318" i="1"/>
  <c r="BM318" i="1"/>
  <c r="Y318" i="1"/>
  <c r="BN318" i="1" s="1"/>
  <c r="P318" i="1"/>
  <c r="BP317" i="1"/>
  <c r="BO317" i="1"/>
  <c r="BM317" i="1"/>
  <c r="Y317" i="1"/>
  <c r="P317" i="1"/>
  <c r="X315" i="1"/>
  <c r="X314" i="1"/>
  <c r="BO313" i="1"/>
  <c r="BM313" i="1"/>
  <c r="Y313" i="1"/>
  <c r="Z313" i="1" s="1"/>
  <c r="Z314" i="1" s="1"/>
  <c r="P313" i="1"/>
  <c r="X311" i="1"/>
  <c r="Y310" i="1"/>
  <c r="X310" i="1"/>
  <c r="BP309" i="1"/>
  <c r="BO309" i="1"/>
  <c r="BM309" i="1"/>
  <c r="Z309" i="1"/>
  <c r="Z310" i="1" s="1"/>
  <c r="Y309" i="1"/>
  <c r="BN309" i="1" s="1"/>
  <c r="P309" i="1"/>
  <c r="X307" i="1"/>
  <c r="X306" i="1"/>
  <c r="BO305" i="1"/>
  <c r="BM305" i="1"/>
  <c r="Z305" i="1"/>
  <c r="Y305" i="1"/>
  <c r="BP305" i="1" s="1"/>
  <c r="P305" i="1"/>
  <c r="BO304" i="1"/>
  <c r="BM304" i="1"/>
  <c r="Z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N301" i="1" s="1"/>
  <c r="P301" i="1"/>
  <c r="BO300" i="1"/>
  <c r="BM300" i="1"/>
  <c r="Y300" i="1"/>
  <c r="BP300" i="1" s="1"/>
  <c r="P300" i="1"/>
  <c r="BO299" i="1"/>
  <c r="BM299" i="1"/>
  <c r="Y299" i="1"/>
  <c r="P299" i="1"/>
  <c r="X296" i="1"/>
  <c r="X295" i="1"/>
  <c r="BO294" i="1"/>
  <c r="BM294" i="1"/>
  <c r="Y294" i="1"/>
  <c r="Y296" i="1" s="1"/>
  <c r="P294" i="1"/>
  <c r="BO293" i="1"/>
  <c r="BM293" i="1"/>
  <c r="Y293" i="1"/>
  <c r="BN293" i="1" s="1"/>
  <c r="P293" i="1"/>
  <c r="X291" i="1"/>
  <c r="X290" i="1"/>
  <c r="BO289" i="1"/>
  <c r="BM289" i="1"/>
  <c r="Y289" i="1"/>
  <c r="BP289" i="1" s="1"/>
  <c r="P289" i="1"/>
  <c r="BO288" i="1"/>
  <c r="BM288" i="1"/>
  <c r="Z288" i="1"/>
  <c r="Y288" i="1"/>
  <c r="BP288" i="1" s="1"/>
  <c r="P288" i="1"/>
  <c r="BO287" i="1"/>
  <c r="BN287" i="1"/>
  <c r="BM287" i="1"/>
  <c r="Y287" i="1"/>
  <c r="BP287" i="1" s="1"/>
  <c r="P287" i="1"/>
  <c r="BO286" i="1"/>
  <c r="BM286" i="1"/>
  <c r="Y286" i="1"/>
  <c r="Z286" i="1" s="1"/>
  <c r="P286" i="1"/>
  <c r="BO285" i="1"/>
  <c r="BM285" i="1"/>
  <c r="Y285" i="1"/>
  <c r="P285" i="1"/>
  <c r="BO284" i="1"/>
  <c r="BM284" i="1"/>
  <c r="Y284" i="1"/>
  <c r="BN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M280" i="1"/>
  <c r="Y280" i="1"/>
  <c r="Z280" i="1" s="1"/>
  <c r="P280" i="1"/>
  <c r="BO279" i="1"/>
  <c r="BM279" i="1"/>
  <c r="Y279" i="1"/>
  <c r="BN279" i="1" s="1"/>
  <c r="P279" i="1"/>
  <c r="BO278" i="1"/>
  <c r="BN278" i="1"/>
  <c r="BM278" i="1"/>
  <c r="Y278" i="1"/>
  <c r="BP278" i="1" s="1"/>
  <c r="P278" i="1"/>
  <c r="X276" i="1"/>
  <c r="X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Z272" i="1" s="1"/>
  <c r="P272" i="1"/>
  <c r="BO271" i="1"/>
  <c r="BM271" i="1"/>
  <c r="Y271" i="1"/>
  <c r="BN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P267" i="1"/>
  <c r="X265" i="1"/>
  <c r="X264" i="1"/>
  <c r="BO263" i="1"/>
  <c r="BM263" i="1"/>
  <c r="Z263" i="1"/>
  <c r="Y263" i="1"/>
  <c r="P263" i="1"/>
  <c r="BO262" i="1"/>
  <c r="BM262" i="1"/>
  <c r="Y262" i="1"/>
  <c r="BP262" i="1" s="1"/>
  <c r="P262" i="1"/>
  <c r="X260" i="1"/>
  <c r="X259" i="1"/>
  <c r="BO258" i="1"/>
  <c r="BM258" i="1"/>
  <c r="Y258" i="1"/>
  <c r="BP258" i="1" s="1"/>
  <c r="P258" i="1"/>
  <c r="BO257" i="1"/>
  <c r="BM257" i="1"/>
  <c r="Y257" i="1"/>
  <c r="BN257" i="1" s="1"/>
  <c r="P257" i="1"/>
  <c r="X254" i="1"/>
  <c r="X253" i="1"/>
  <c r="BO252" i="1"/>
  <c r="BN252" i="1"/>
  <c r="BM252" i="1"/>
  <c r="Y252" i="1"/>
  <c r="Y254" i="1" s="1"/>
  <c r="P252" i="1"/>
  <c r="X250" i="1"/>
  <c r="X249" i="1"/>
  <c r="BO248" i="1"/>
  <c r="BM248" i="1"/>
  <c r="Y248" i="1"/>
  <c r="BN248" i="1" s="1"/>
  <c r="P248" i="1"/>
  <c r="BO247" i="1"/>
  <c r="BM247" i="1"/>
  <c r="Y247" i="1"/>
  <c r="BP247" i="1" s="1"/>
  <c r="P247" i="1"/>
  <c r="BO246" i="1"/>
  <c r="BM246" i="1"/>
  <c r="Y246" i="1"/>
  <c r="BP246" i="1" s="1"/>
  <c r="P246" i="1"/>
  <c r="X244" i="1"/>
  <c r="Y243" i="1"/>
  <c r="X243" i="1"/>
  <c r="BO242" i="1"/>
  <c r="BM242" i="1"/>
  <c r="Y242" i="1"/>
  <c r="BN242" i="1" s="1"/>
  <c r="P242" i="1"/>
  <c r="BO241" i="1"/>
  <c r="BM241" i="1"/>
  <c r="Y241" i="1"/>
  <c r="Z241" i="1" s="1"/>
  <c r="P241" i="1"/>
  <c r="BO240" i="1"/>
  <c r="BM240" i="1"/>
  <c r="Y240" i="1"/>
  <c r="BN240" i="1" s="1"/>
  <c r="P240" i="1"/>
  <c r="BO239" i="1"/>
  <c r="BM239" i="1"/>
  <c r="Z239" i="1"/>
  <c r="Y239" i="1"/>
  <c r="BP239" i="1" s="1"/>
  <c r="P239" i="1"/>
  <c r="BP238" i="1"/>
  <c r="BO238" i="1"/>
  <c r="BM238" i="1"/>
  <c r="Y238" i="1"/>
  <c r="BN238" i="1" s="1"/>
  <c r="P238" i="1"/>
  <c r="X236" i="1"/>
  <c r="X235" i="1"/>
  <c r="BO234" i="1"/>
  <c r="BM234" i="1"/>
  <c r="Y234" i="1"/>
  <c r="BN234" i="1" s="1"/>
  <c r="P234" i="1"/>
  <c r="BO233" i="1"/>
  <c r="BM233" i="1"/>
  <c r="Y233" i="1"/>
  <c r="Z233" i="1" s="1"/>
  <c r="P233" i="1"/>
  <c r="BO232" i="1"/>
  <c r="BM232" i="1"/>
  <c r="Y232" i="1"/>
  <c r="BN232" i="1" s="1"/>
  <c r="P232" i="1"/>
  <c r="BO231" i="1"/>
  <c r="BM231" i="1"/>
  <c r="Z231" i="1"/>
  <c r="Y231" i="1"/>
  <c r="BP231" i="1" s="1"/>
  <c r="P231" i="1"/>
  <c r="BO230" i="1"/>
  <c r="BM230" i="1"/>
  <c r="Y230" i="1"/>
  <c r="BP230" i="1" s="1"/>
  <c r="P230" i="1"/>
  <c r="BO229" i="1"/>
  <c r="BN229" i="1"/>
  <c r="BM229" i="1"/>
  <c r="Z229" i="1"/>
  <c r="Y229" i="1"/>
  <c r="BP229" i="1" s="1"/>
  <c r="P229" i="1"/>
  <c r="BO228" i="1"/>
  <c r="BM228" i="1"/>
  <c r="Y228" i="1"/>
  <c r="BN228" i="1" s="1"/>
  <c r="P228" i="1"/>
  <c r="BO227" i="1"/>
  <c r="BM227" i="1"/>
  <c r="Y227" i="1"/>
  <c r="BN227" i="1" s="1"/>
  <c r="P227" i="1"/>
  <c r="BO226" i="1"/>
  <c r="BM226" i="1"/>
  <c r="Y226" i="1"/>
  <c r="BN226" i="1" s="1"/>
  <c r="P226" i="1"/>
  <c r="BO225" i="1"/>
  <c r="BM225" i="1"/>
  <c r="Y225" i="1"/>
  <c r="BP225" i="1" s="1"/>
  <c r="P225" i="1"/>
  <c r="BP224" i="1"/>
  <c r="BO224" i="1"/>
  <c r="BM224" i="1"/>
  <c r="Z224" i="1"/>
  <c r="Y224" i="1"/>
  <c r="BN224" i="1" s="1"/>
  <c r="P224" i="1"/>
  <c r="BO223" i="1"/>
  <c r="BM223" i="1"/>
  <c r="Y223" i="1"/>
  <c r="Z223" i="1" s="1"/>
  <c r="P223" i="1"/>
  <c r="BO222" i="1"/>
  <c r="BM222" i="1"/>
  <c r="Y222" i="1"/>
  <c r="BN222" i="1" s="1"/>
  <c r="P222" i="1"/>
  <c r="BO221" i="1"/>
  <c r="BM221" i="1"/>
  <c r="Y221" i="1"/>
  <c r="BP221" i="1" s="1"/>
  <c r="P221" i="1"/>
  <c r="X219" i="1"/>
  <c r="X218" i="1"/>
  <c r="BO217" i="1"/>
  <c r="BM217" i="1"/>
  <c r="Y217" i="1"/>
  <c r="Y219" i="1" s="1"/>
  <c r="P217" i="1"/>
  <c r="X214" i="1"/>
  <c r="X213" i="1"/>
  <c r="BP212" i="1"/>
  <c r="BO212" i="1"/>
  <c r="BM212" i="1"/>
  <c r="Y212" i="1"/>
  <c r="BN212" i="1" s="1"/>
  <c r="P212" i="1"/>
  <c r="BO211" i="1"/>
  <c r="BM211" i="1"/>
  <c r="Y211" i="1"/>
  <c r="BN211" i="1" s="1"/>
  <c r="P211" i="1"/>
  <c r="BO210" i="1"/>
  <c r="BM210" i="1"/>
  <c r="Y210" i="1"/>
  <c r="BN210" i="1" s="1"/>
  <c r="P210" i="1"/>
  <c r="BO209" i="1"/>
  <c r="BM209" i="1"/>
  <c r="Z209" i="1"/>
  <c r="Y209" i="1"/>
  <c r="BP209" i="1" s="1"/>
  <c r="P209" i="1"/>
  <c r="BO208" i="1"/>
  <c r="BM208" i="1"/>
  <c r="Z208" i="1"/>
  <c r="Y208" i="1"/>
  <c r="BP208" i="1" s="1"/>
  <c r="P208" i="1"/>
  <c r="BO207" i="1"/>
  <c r="BM207" i="1"/>
  <c r="Y207" i="1"/>
  <c r="BP207" i="1" s="1"/>
  <c r="P207" i="1"/>
  <c r="BP206" i="1"/>
  <c r="BO206" i="1"/>
  <c r="BM206" i="1"/>
  <c r="Y206" i="1"/>
  <c r="Z206" i="1" s="1"/>
  <c r="P206" i="1"/>
  <c r="Y202" i="1"/>
  <c r="X202" i="1"/>
  <c r="Y201" i="1"/>
  <c r="X201" i="1"/>
  <c r="BO200" i="1"/>
  <c r="BM200" i="1"/>
  <c r="Y200" i="1"/>
  <c r="BN200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BN191" i="1" s="1"/>
  <c r="P191" i="1"/>
  <c r="BO190" i="1"/>
  <c r="BM190" i="1"/>
  <c r="Y190" i="1"/>
  <c r="Z190" i="1" s="1"/>
  <c r="P190" i="1"/>
  <c r="BO189" i="1"/>
  <c r="BM189" i="1"/>
  <c r="Y189" i="1"/>
  <c r="BN189" i="1" s="1"/>
  <c r="P189" i="1"/>
  <c r="X187" i="1"/>
  <c r="X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N183" i="1" s="1"/>
  <c r="P183" i="1"/>
  <c r="BP182" i="1"/>
  <c r="BO182" i="1"/>
  <c r="BN182" i="1"/>
  <c r="BM182" i="1"/>
  <c r="Y182" i="1"/>
  <c r="Z182" i="1" s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BP175" i="1" s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Z166" i="1" s="1"/>
  <c r="P166" i="1"/>
  <c r="BO165" i="1"/>
  <c r="BM165" i="1"/>
  <c r="Z165" i="1"/>
  <c r="Y165" i="1"/>
  <c r="BN165" i="1" s="1"/>
  <c r="P165" i="1"/>
  <c r="BO164" i="1"/>
  <c r="BM164" i="1"/>
  <c r="Y164" i="1"/>
  <c r="Z164" i="1" s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O154" i="1"/>
  <c r="BM154" i="1"/>
  <c r="Y154" i="1"/>
  <c r="Z154" i="1" s="1"/>
  <c r="P154" i="1"/>
  <c r="BO153" i="1"/>
  <c r="BM153" i="1"/>
  <c r="Y153" i="1"/>
  <c r="P153" i="1"/>
  <c r="BO152" i="1"/>
  <c r="BN152" i="1"/>
  <c r="BM152" i="1"/>
  <c r="Y152" i="1"/>
  <c r="Z152" i="1" s="1"/>
  <c r="P152" i="1"/>
  <c r="BO151" i="1"/>
  <c r="BM151" i="1"/>
  <c r="Z151" i="1"/>
  <c r="Y151" i="1"/>
  <c r="BP151" i="1" s="1"/>
  <c r="P151" i="1"/>
  <c r="BO150" i="1"/>
  <c r="BM150" i="1"/>
  <c r="Y150" i="1"/>
  <c r="BN150" i="1" s="1"/>
  <c r="P150" i="1"/>
  <c r="BO149" i="1"/>
  <c r="BM149" i="1"/>
  <c r="Y149" i="1"/>
  <c r="BP149" i="1" s="1"/>
  <c r="P149" i="1"/>
  <c r="X146" i="1"/>
  <c r="X145" i="1"/>
  <c r="BO144" i="1"/>
  <c r="BM144" i="1"/>
  <c r="Y144" i="1"/>
  <c r="BP144" i="1" s="1"/>
  <c r="P144" i="1"/>
  <c r="BO143" i="1"/>
  <c r="BM143" i="1"/>
  <c r="Y143" i="1"/>
  <c r="BP143" i="1" s="1"/>
  <c r="P143" i="1"/>
  <c r="BO142" i="1"/>
  <c r="BM142" i="1"/>
  <c r="Y142" i="1"/>
  <c r="BP142" i="1" s="1"/>
  <c r="P142" i="1"/>
  <c r="X140" i="1"/>
  <c r="X139" i="1"/>
  <c r="BO138" i="1"/>
  <c r="BM138" i="1"/>
  <c r="Z138" i="1"/>
  <c r="Y138" i="1"/>
  <c r="BP138" i="1" s="1"/>
  <c r="P138" i="1"/>
  <c r="BO137" i="1"/>
  <c r="BM137" i="1"/>
  <c r="Y137" i="1"/>
  <c r="Z137" i="1" s="1"/>
  <c r="P137" i="1"/>
  <c r="BO136" i="1"/>
  <c r="BM136" i="1"/>
  <c r="Y136" i="1"/>
  <c r="BP136" i="1" s="1"/>
  <c r="P136" i="1"/>
  <c r="BO135" i="1"/>
  <c r="BM135" i="1"/>
  <c r="Y135" i="1"/>
  <c r="Z135" i="1" s="1"/>
  <c r="P135" i="1"/>
  <c r="X133" i="1"/>
  <c r="X132" i="1"/>
  <c r="BO131" i="1"/>
  <c r="BM131" i="1"/>
  <c r="Y131" i="1"/>
  <c r="Z131" i="1" s="1"/>
  <c r="P131" i="1"/>
  <c r="BO130" i="1"/>
  <c r="BM130" i="1"/>
  <c r="Y130" i="1"/>
  <c r="BP130" i="1" s="1"/>
  <c r="P130" i="1"/>
  <c r="BO129" i="1"/>
  <c r="BM129" i="1"/>
  <c r="Y129" i="1"/>
  <c r="BN129" i="1" s="1"/>
  <c r="P129" i="1"/>
  <c r="X126" i="1"/>
  <c r="X125" i="1"/>
  <c r="BO124" i="1"/>
  <c r="BM124" i="1"/>
  <c r="Y124" i="1"/>
  <c r="Y125" i="1" s="1"/>
  <c r="P124" i="1"/>
  <c r="X122" i="1"/>
  <c r="X121" i="1"/>
  <c r="BO120" i="1"/>
  <c r="BN120" i="1"/>
  <c r="BM120" i="1"/>
  <c r="Z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Z118" i="1" s="1"/>
  <c r="P118" i="1"/>
  <c r="BP117" i="1"/>
  <c r="BO117" i="1"/>
  <c r="BM117" i="1"/>
  <c r="Y117" i="1"/>
  <c r="Z117" i="1" s="1"/>
  <c r="P117" i="1"/>
  <c r="X115" i="1"/>
  <c r="X114" i="1"/>
  <c r="BO113" i="1"/>
  <c r="BM113" i="1"/>
  <c r="Y113" i="1"/>
  <c r="BN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BO110" i="1"/>
  <c r="BM110" i="1"/>
  <c r="Y110" i="1"/>
  <c r="Z110" i="1" s="1"/>
  <c r="P110" i="1"/>
  <c r="BO109" i="1"/>
  <c r="BM109" i="1"/>
  <c r="Y109" i="1"/>
  <c r="Z109" i="1" s="1"/>
  <c r="P109" i="1"/>
  <c r="X107" i="1"/>
  <c r="X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Z101" i="1" s="1"/>
  <c r="P101" i="1"/>
  <c r="BO100" i="1"/>
  <c r="BM100" i="1"/>
  <c r="Y100" i="1"/>
  <c r="Z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Z93" i="1" s="1"/>
  <c r="P93" i="1"/>
  <c r="BO92" i="1"/>
  <c r="BM92" i="1"/>
  <c r="Y92" i="1"/>
  <c r="Z92" i="1" s="1"/>
  <c r="P92" i="1"/>
  <c r="BO91" i="1"/>
  <c r="BM91" i="1"/>
  <c r="Y91" i="1"/>
  <c r="P91" i="1"/>
  <c r="X89" i="1"/>
  <c r="X88" i="1"/>
  <c r="BO87" i="1"/>
  <c r="BM87" i="1"/>
  <c r="Y87" i="1"/>
  <c r="BN87" i="1" s="1"/>
  <c r="P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N78" i="1"/>
  <c r="BM78" i="1"/>
  <c r="Y78" i="1"/>
  <c r="Z78" i="1" s="1"/>
  <c r="P78" i="1"/>
  <c r="X76" i="1"/>
  <c r="X75" i="1"/>
  <c r="BO74" i="1"/>
  <c r="BM74" i="1"/>
  <c r="Y74" i="1"/>
  <c r="Y75" i="1" s="1"/>
  <c r="P74" i="1"/>
  <c r="BO73" i="1"/>
  <c r="BM73" i="1"/>
  <c r="Z73" i="1"/>
  <c r="Y73" i="1"/>
  <c r="BP73" i="1" s="1"/>
  <c r="P73" i="1"/>
  <c r="X71" i="1"/>
  <c r="X70" i="1"/>
  <c r="BO69" i="1"/>
  <c r="BM69" i="1"/>
  <c r="Y69" i="1"/>
  <c r="Z69" i="1" s="1"/>
  <c r="P69" i="1"/>
  <c r="BO68" i="1"/>
  <c r="BM68" i="1"/>
  <c r="Y68" i="1"/>
  <c r="BN68" i="1" s="1"/>
  <c r="P68" i="1"/>
  <c r="BO67" i="1"/>
  <c r="BM67" i="1"/>
  <c r="Y67" i="1"/>
  <c r="BP67" i="1" s="1"/>
  <c r="P67" i="1"/>
  <c r="BO66" i="1"/>
  <c r="BN66" i="1"/>
  <c r="BM66" i="1"/>
  <c r="Y66" i="1"/>
  <c r="Z66" i="1" s="1"/>
  <c r="P66" i="1"/>
  <c r="X64" i="1"/>
  <c r="X63" i="1"/>
  <c r="BO62" i="1"/>
  <c r="BM62" i="1"/>
  <c r="Y62" i="1"/>
  <c r="BN62" i="1" s="1"/>
  <c r="P62" i="1"/>
  <c r="BO61" i="1"/>
  <c r="BM61" i="1"/>
  <c r="Y61" i="1"/>
  <c r="Z61" i="1" s="1"/>
  <c r="P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Z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N41" i="1" s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N31" i="1" s="1"/>
  <c r="P31" i="1"/>
  <c r="BO30" i="1"/>
  <c r="BN30" i="1"/>
  <c r="BM30" i="1"/>
  <c r="Y30" i="1"/>
  <c r="BP30" i="1" s="1"/>
  <c r="P30" i="1"/>
  <c r="BO29" i="1"/>
  <c r="BM29" i="1"/>
  <c r="Y29" i="1"/>
  <c r="Z29" i="1" s="1"/>
  <c r="P29" i="1"/>
  <c r="BO28" i="1"/>
  <c r="BM28" i="1"/>
  <c r="Y28" i="1"/>
  <c r="Z28" i="1" s="1"/>
  <c r="P28" i="1"/>
  <c r="BO27" i="1"/>
  <c r="BM27" i="1"/>
  <c r="Y27" i="1"/>
  <c r="BN27" i="1" s="1"/>
  <c r="P27" i="1"/>
  <c r="X25" i="1"/>
  <c r="Y24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J9" i="1" s="1"/>
  <c r="D7" i="1"/>
  <c r="Q6" i="1"/>
  <c r="P2" i="1"/>
  <c r="BP78" i="1" l="1"/>
  <c r="BN178" i="1"/>
  <c r="Z225" i="1"/>
  <c r="BN269" i="1"/>
  <c r="BN280" i="1"/>
  <c r="Z319" i="1"/>
  <c r="Y351" i="1"/>
  <c r="Z356" i="1"/>
  <c r="BP427" i="1"/>
  <c r="BN444" i="1"/>
  <c r="Z472" i="1"/>
  <c r="Z269" i="1"/>
  <c r="BN190" i="1"/>
  <c r="BN207" i="1"/>
  <c r="BN221" i="1"/>
  <c r="BP232" i="1"/>
  <c r="BP313" i="1"/>
  <c r="BN476" i="1"/>
  <c r="BP493" i="1"/>
  <c r="BN135" i="1"/>
  <c r="BN225" i="1"/>
  <c r="BN319" i="1"/>
  <c r="Z335" i="1"/>
  <c r="Z394" i="1"/>
  <c r="BP444" i="1"/>
  <c r="BP502" i="1"/>
  <c r="Z87" i="1"/>
  <c r="Y126" i="1"/>
  <c r="BP190" i="1"/>
  <c r="Y314" i="1"/>
  <c r="BP356" i="1"/>
  <c r="BN388" i="1"/>
  <c r="Z401" i="1"/>
  <c r="Z428" i="1"/>
  <c r="Z178" i="1"/>
  <c r="BN313" i="1"/>
  <c r="BN102" i="1"/>
  <c r="Z155" i="1"/>
  <c r="Z200" i="1"/>
  <c r="Z201" i="1" s="1"/>
  <c r="Z212" i="1"/>
  <c r="Z257" i="1"/>
  <c r="BN335" i="1"/>
  <c r="Z375" i="1"/>
  <c r="Z412" i="1"/>
  <c r="BP507" i="1"/>
  <c r="Z262" i="1"/>
  <c r="Z493" i="1"/>
  <c r="Z473" i="1"/>
  <c r="BN124" i="1"/>
  <c r="Z476" i="1"/>
  <c r="BP87" i="1"/>
  <c r="BN155" i="1"/>
  <c r="BP165" i="1"/>
  <c r="Z226" i="1"/>
  <c r="Y315" i="1"/>
  <c r="Z382" i="1"/>
  <c r="BP401" i="1"/>
  <c r="BN412" i="1"/>
  <c r="BN477" i="1"/>
  <c r="BP533" i="1"/>
  <c r="BN101" i="1"/>
  <c r="BN28" i="1"/>
  <c r="BN109" i="1"/>
  <c r="BN151" i="1"/>
  <c r="BP200" i="1"/>
  <c r="BN208" i="1"/>
  <c r="BN328" i="1"/>
  <c r="BP432" i="1"/>
  <c r="BN455" i="1"/>
  <c r="Z232" i="1"/>
  <c r="Y107" i="1"/>
  <c r="BP191" i="1"/>
  <c r="BP28" i="1"/>
  <c r="BP109" i="1"/>
  <c r="BP226" i="1"/>
  <c r="Z248" i="1"/>
  <c r="Z278" i="1"/>
  <c r="Z413" i="1"/>
  <c r="Z414" i="1" s="1"/>
  <c r="Z511" i="1"/>
  <c r="BN67" i="1"/>
  <c r="BN84" i="1"/>
  <c r="BN103" i="1"/>
  <c r="Y192" i="1"/>
  <c r="Z258" i="1"/>
  <c r="Z340" i="1"/>
  <c r="Y421" i="1"/>
  <c r="Z429" i="1"/>
  <c r="Z474" i="1"/>
  <c r="Z502" i="1"/>
  <c r="BP365" i="1"/>
  <c r="BN511" i="1"/>
  <c r="BP518" i="1"/>
  <c r="Y63" i="1"/>
  <c r="BP137" i="1"/>
  <c r="Z227" i="1"/>
  <c r="BP248" i="1"/>
  <c r="BN258" i="1"/>
  <c r="BN340" i="1"/>
  <c r="BN392" i="1"/>
  <c r="BN429" i="1"/>
  <c r="Z481" i="1"/>
  <c r="Z221" i="1"/>
  <c r="BN110" i="1"/>
  <c r="Y198" i="1"/>
  <c r="Y435" i="1"/>
  <c r="Z446" i="1"/>
  <c r="BP523" i="1"/>
  <c r="Z48" i="1"/>
  <c r="BN100" i="1"/>
  <c r="Z104" i="1"/>
  <c r="Y146" i="1"/>
  <c r="BN177" i="1"/>
  <c r="Z238" i="1"/>
  <c r="BN272" i="1"/>
  <c r="Z318" i="1"/>
  <c r="BN481" i="1"/>
  <c r="Z23" i="1"/>
  <c r="BN48" i="1"/>
  <c r="BN117" i="1"/>
  <c r="BN206" i="1"/>
  <c r="BP227" i="1"/>
  <c r="Y311" i="1"/>
  <c r="BN23" i="1"/>
  <c r="BP68" i="1"/>
  <c r="BN104" i="1"/>
  <c r="BP131" i="1"/>
  <c r="BP272" i="1"/>
  <c r="BP101" i="1"/>
  <c r="BP113" i="1"/>
  <c r="Z175" i="1"/>
  <c r="BN209" i="1"/>
  <c r="BN223" i="1"/>
  <c r="BP286" i="1"/>
  <c r="Z300" i="1"/>
  <c r="BP325" i="1"/>
  <c r="Z369" i="1"/>
  <c r="Z373" i="1"/>
  <c r="BP382" i="1"/>
  <c r="BP460" i="1"/>
  <c r="Z466" i="1"/>
  <c r="Z529" i="1"/>
  <c r="Z530" i="1" s="1"/>
  <c r="BP152" i="1"/>
  <c r="BN166" i="1"/>
  <c r="BN262" i="1"/>
  <c r="BN348" i="1"/>
  <c r="BN426" i="1"/>
  <c r="Y494" i="1"/>
  <c r="Z518" i="1"/>
  <c r="BP110" i="1"/>
  <c r="BP135" i="1"/>
  <c r="Z22" i="1"/>
  <c r="Z49" i="1"/>
  <c r="Z142" i="1"/>
  <c r="Z159" i="1"/>
  <c r="Z160" i="1" s="1"/>
  <c r="BN175" i="1"/>
  <c r="Z179" i="1"/>
  <c r="BP223" i="1"/>
  <c r="Z230" i="1"/>
  <c r="Z279" i="1"/>
  <c r="Z283" i="1"/>
  <c r="BN300" i="1"/>
  <c r="Y409" i="1"/>
  <c r="Z433" i="1"/>
  <c r="Y461" i="1"/>
  <c r="BN466" i="1"/>
  <c r="BN529" i="1"/>
  <c r="Z546" i="1"/>
  <c r="Z41" i="1"/>
  <c r="Y96" i="1"/>
  <c r="Z102" i="1"/>
  <c r="Z105" i="1"/>
  <c r="Y115" i="1"/>
  <c r="BP166" i="1"/>
  <c r="Z240" i="1"/>
  <c r="Z287" i="1"/>
  <c r="BP348" i="1"/>
  <c r="Z392" i="1"/>
  <c r="Z396" i="1" s="1"/>
  <c r="Y396" i="1"/>
  <c r="U564" i="1"/>
  <c r="BP426" i="1"/>
  <c r="Z506" i="1"/>
  <c r="Y114" i="1"/>
  <c r="BN49" i="1"/>
  <c r="Z62" i="1"/>
  <c r="Z85" i="1"/>
  <c r="Z99" i="1"/>
  <c r="Z111" i="1"/>
  <c r="Z130" i="1"/>
  <c r="BN142" i="1"/>
  <c r="BN179" i="1"/>
  <c r="Z183" i="1"/>
  <c r="Z196" i="1"/>
  <c r="BN230" i="1"/>
  <c r="Z234" i="1"/>
  <c r="Z247" i="1"/>
  <c r="BN283" i="1"/>
  <c r="Y345" i="1"/>
  <c r="BN433" i="1"/>
  <c r="Y509" i="1"/>
  <c r="Z522" i="1"/>
  <c r="BP529" i="1"/>
  <c r="BN546" i="1"/>
  <c r="Y167" i="1"/>
  <c r="Y462" i="1"/>
  <c r="BP31" i="1"/>
  <c r="BN85" i="1"/>
  <c r="BN99" i="1"/>
  <c r="BN111" i="1"/>
  <c r="BP240" i="1"/>
  <c r="Z294" i="1"/>
  <c r="Z349" i="1"/>
  <c r="Z350" i="1" s="1"/>
  <c r="Z370" i="1"/>
  <c r="Z405" i="1"/>
  <c r="Z419" i="1"/>
  <c r="Z427" i="1"/>
  <c r="Y468" i="1"/>
  <c r="BN522" i="1"/>
  <c r="Y530" i="1"/>
  <c r="BN475" i="1"/>
  <c r="Z541" i="1"/>
  <c r="Z542" i="1" s="1"/>
  <c r="BN29" i="1"/>
  <c r="Z50" i="1"/>
  <c r="BP111" i="1"/>
  <c r="Z143" i="1"/>
  <c r="Y173" i="1"/>
  <c r="Z270" i="1"/>
  <c r="Z274" i="1"/>
  <c r="BN294" i="1"/>
  <c r="BN349" i="1"/>
  <c r="BP380" i="1"/>
  <c r="BN405" i="1"/>
  <c r="BN419" i="1"/>
  <c r="Z464" i="1"/>
  <c r="Z492" i="1"/>
  <c r="Z503" i="1"/>
  <c r="Z519" i="1"/>
  <c r="Y547" i="1"/>
  <c r="BN92" i="1"/>
  <c r="BP475" i="1"/>
  <c r="Z167" i="1"/>
  <c r="BP29" i="1"/>
  <c r="Z38" i="1"/>
  <c r="BN50" i="1"/>
  <c r="Y70" i="1"/>
  <c r="Z124" i="1"/>
  <c r="Z125" i="1" s="1"/>
  <c r="BN131" i="1"/>
  <c r="BN137" i="1"/>
  <c r="BN143" i="1"/>
  <c r="Y265" i="1"/>
  <c r="BN270" i="1"/>
  <c r="BN274" i="1"/>
  <c r="BP280" i="1"/>
  <c r="BP294" i="1"/>
  <c r="Z327" i="1"/>
  <c r="Y484" i="1"/>
  <c r="BN492" i="1"/>
  <c r="BN503" i="1"/>
  <c r="Z507" i="1"/>
  <c r="BN519" i="1"/>
  <c r="Z533" i="1"/>
  <c r="Z534" i="1" s="1"/>
  <c r="Y106" i="1"/>
  <c r="BN154" i="1"/>
  <c r="BN47" i="1"/>
  <c r="BP92" i="1"/>
  <c r="Y121" i="1"/>
  <c r="BP154" i="1"/>
  <c r="Y321" i="1"/>
  <c r="BN334" i="1"/>
  <c r="BN344" i="1"/>
  <c r="BN413" i="1"/>
  <c r="BP464" i="1"/>
  <c r="BN500" i="1"/>
  <c r="Z523" i="1"/>
  <c r="Y542" i="1"/>
  <c r="Y548" i="1"/>
  <c r="Y329" i="1"/>
  <c r="BN327" i="1"/>
  <c r="Y350" i="1"/>
  <c r="BP431" i="1"/>
  <c r="BN533" i="1"/>
  <c r="Z30" i="1"/>
  <c r="Z171" i="1"/>
  <c r="Z185" i="1"/>
  <c r="BN317" i="1"/>
  <c r="BP334" i="1"/>
  <c r="BP413" i="1"/>
  <c r="BP500" i="1"/>
  <c r="Y543" i="1"/>
  <c r="Y25" i="1"/>
  <c r="BP100" i="1"/>
  <c r="BP181" i="1"/>
  <c r="BN185" i="1"/>
  <c r="Y250" i="1"/>
  <c r="Z545" i="1"/>
  <c r="Z547" i="1" s="1"/>
  <c r="Z67" i="1"/>
  <c r="Z282" i="1"/>
  <c r="Z328" i="1"/>
  <c r="BN473" i="1"/>
  <c r="Y535" i="1"/>
  <c r="BN286" i="1"/>
  <c r="BN325" i="1"/>
  <c r="BN545" i="1"/>
  <c r="Y553" i="1"/>
  <c r="Z264" i="1"/>
  <c r="BP93" i="1"/>
  <c r="X555" i="1"/>
  <c r="Z58" i="1"/>
  <c r="BN61" i="1"/>
  <c r="BP66" i="1"/>
  <c r="Z184" i="1"/>
  <c r="BP189" i="1"/>
  <c r="Z195" i="1"/>
  <c r="Z197" i="1" s="1"/>
  <c r="BN233" i="1"/>
  <c r="Z242" i="1"/>
  <c r="Z243" i="1" s="1"/>
  <c r="Z268" i="1"/>
  <c r="Z271" i="1"/>
  <c r="Y290" i="1"/>
  <c r="BP302" i="1"/>
  <c r="Z302" i="1"/>
  <c r="BN354" i="1"/>
  <c r="Y357" i="1"/>
  <c r="Z354" i="1"/>
  <c r="Z357" i="1" s="1"/>
  <c r="S564" i="1"/>
  <c r="Y358" i="1"/>
  <c r="Y366" i="1"/>
  <c r="T564" i="1"/>
  <c r="BN361" i="1"/>
  <c r="Y367" i="1"/>
  <c r="BP364" i="1"/>
  <c r="BN395" i="1"/>
  <c r="Z395" i="1"/>
  <c r="BP406" i="1"/>
  <c r="BN420" i="1"/>
  <c r="Z420" i="1"/>
  <c r="Z421" i="1" s="1"/>
  <c r="BP482" i="1"/>
  <c r="BN512" i="1"/>
  <c r="Z512" i="1"/>
  <c r="Y514" i="1"/>
  <c r="BP56" i="1"/>
  <c r="H9" i="1"/>
  <c r="BP27" i="1"/>
  <c r="BP86" i="1"/>
  <c r="Y76" i="1"/>
  <c r="BN118" i="1"/>
  <c r="BN130" i="1"/>
  <c r="Y140" i="1"/>
  <c r="Y307" i="1"/>
  <c r="BP299" i="1"/>
  <c r="O564" i="1"/>
  <c r="BP39" i="1"/>
  <c r="Z74" i="1"/>
  <c r="Z75" i="1" s="1"/>
  <c r="BP79" i="1"/>
  <c r="BN38" i="1"/>
  <c r="F564" i="1"/>
  <c r="Y384" i="1"/>
  <c r="Z31" i="1"/>
  <c r="BP41" i="1"/>
  <c r="BN58" i="1"/>
  <c r="BP61" i="1"/>
  <c r="Z113" i="1"/>
  <c r="Z114" i="1" s="1"/>
  <c r="BN136" i="1"/>
  <c r="Y139" i="1"/>
  <c r="Z136" i="1"/>
  <c r="Z139" i="1" s="1"/>
  <c r="Y145" i="1"/>
  <c r="Y161" i="1"/>
  <c r="Z181" i="1"/>
  <c r="BN184" i="1"/>
  <c r="BN195" i="1"/>
  <c r="BP233" i="1"/>
  <c r="Y260" i="1"/>
  <c r="Y259" i="1"/>
  <c r="M564" i="1"/>
  <c r="BN268" i="1"/>
  <c r="Y291" i="1"/>
  <c r="Z299" i="1"/>
  <c r="BN302" i="1"/>
  <c r="BN342" i="1"/>
  <c r="Z342" i="1"/>
  <c r="Z345" i="1" s="1"/>
  <c r="BN371" i="1"/>
  <c r="Z371" i="1"/>
  <c r="BP407" i="1"/>
  <c r="Z407" i="1"/>
  <c r="BN431" i="1"/>
  <c r="E564" i="1"/>
  <c r="BN55" i="1"/>
  <c r="Y81" i="1"/>
  <c r="X556" i="1"/>
  <c r="BP55" i="1"/>
  <c r="G564" i="1"/>
  <c r="BP118" i="1"/>
  <c r="Y187" i="1"/>
  <c r="BP242" i="1"/>
  <c r="BP271" i="1"/>
  <c r="BP354" i="1"/>
  <c r="Z365" i="1"/>
  <c r="BN380" i="1"/>
  <c r="BP395" i="1"/>
  <c r="BP420" i="1"/>
  <c r="Y441" i="1"/>
  <c r="X564" i="1"/>
  <c r="Y458" i="1"/>
  <c r="Y457" i="1"/>
  <c r="BP455" i="1"/>
  <c r="Z477" i="1"/>
  <c r="Z478" i="1" s="1"/>
  <c r="BP512" i="1"/>
  <c r="C564" i="1"/>
  <c r="Z37" i="1"/>
  <c r="Y172" i="1"/>
  <c r="Y42" i="1"/>
  <c r="BP164" i="1"/>
  <c r="Y168" i="1"/>
  <c r="BN164" i="1"/>
  <c r="J564" i="1"/>
  <c r="BP195" i="1"/>
  <c r="Y264" i="1"/>
  <c r="BN263" i="1"/>
  <c r="BP293" i="1"/>
  <c r="Z293" i="1"/>
  <c r="Z295" i="1" s="1"/>
  <c r="BN299" i="1"/>
  <c r="Y306" i="1"/>
  <c r="Y446" i="1"/>
  <c r="Z487" i="1"/>
  <c r="Z488" i="1" s="1"/>
  <c r="Z564" i="1"/>
  <c r="Y488" i="1"/>
  <c r="BP487" i="1"/>
  <c r="Z39" i="1"/>
  <c r="Y337" i="1"/>
  <c r="V564" i="1"/>
  <c r="BN504" i="1"/>
  <c r="Z504" i="1"/>
  <c r="Y32" i="1"/>
  <c r="Z59" i="1"/>
  <c r="BN73" i="1"/>
  <c r="BP105" i="1"/>
  <c r="BP124" i="1"/>
  <c r="BP257" i="1"/>
  <c r="BN333" i="1"/>
  <c r="Y336" i="1"/>
  <c r="Z333" i="1"/>
  <c r="Z336" i="1" s="1"/>
  <c r="Q564" i="1"/>
  <c r="BN355" i="1"/>
  <c r="Y397" i="1"/>
  <c r="Y408" i="1"/>
  <c r="Y422" i="1"/>
  <c r="Y467" i="1"/>
  <c r="BN487" i="1"/>
  <c r="BP501" i="1"/>
  <c r="BN501" i="1"/>
  <c r="Y447" i="1"/>
  <c r="BN443" i="1"/>
  <c r="Z513" i="1"/>
  <c r="BP513" i="1"/>
  <c r="Y43" i="1"/>
  <c r="Z56" i="1"/>
  <c r="Z119" i="1"/>
  <c r="Z121" i="1" s="1"/>
  <c r="Y156" i="1"/>
  <c r="Z149" i="1"/>
  <c r="I564" i="1"/>
  <c r="Z170" i="1"/>
  <c r="Z172" i="1" s="1"/>
  <c r="Z281" i="1"/>
  <c r="Z284" i="1"/>
  <c r="Z303" i="1"/>
  <c r="Y52" i="1"/>
  <c r="D564" i="1"/>
  <c r="BN56" i="1"/>
  <c r="BP62" i="1"/>
  <c r="Y88" i="1"/>
  <c r="BN93" i="1"/>
  <c r="BN119" i="1"/>
  <c r="BN149" i="1"/>
  <c r="BN170" i="1"/>
  <c r="BP228" i="1"/>
  <c r="Z228" i="1"/>
  <c r="BP234" i="1"/>
  <c r="Y244" i="1"/>
  <c r="Y249" i="1"/>
  <c r="BP263" i="1"/>
  <c r="BN281" i="1"/>
  <c r="BN303" i="1"/>
  <c r="Y320" i="1"/>
  <c r="BN387" i="1"/>
  <c r="Z387" i="1"/>
  <c r="Z389" i="1" s="1"/>
  <c r="Y390" i="1"/>
  <c r="BN449" i="1"/>
  <c r="Z449" i="1"/>
  <c r="Z451" i="1" s="1"/>
  <c r="Y452" i="1"/>
  <c r="BP474" i="1"/>
  <c r="X558" i="1"/>
  <c r="Y33" i="1"/>
  <c r="Z47" i="1"/>
  <c r="Z51" i="1" s="1"/>
  <c r="BN59" i="1"/>
  <c r="Z68" i="1"/>
  <c r="Z70" i="1" s="1"/>
  <c r="Z191" i="1"/>
  <c r="Y213" i="1"/>
  <c r="BP284" i="1"/>
  <c r="Z317" i="1"/>
  <c r="Z320" i="1" s="1"/>
  <c r="BP355" i="1"/>
  <c r="BN372" i="1"/>
  <c r="BP399" i="1"/>
  <c r="Y403" i="1"/>
  <c r="Y402" i="1"/>
  <c r="Z399" i="1"/>
  <c r="Z402" i="1" s="1"/>
  <c r="Y434" i="1"/>
  <c r="W564" i="1"/>
  <c r="Z426" i="1"/>
  <c r="BP443" i="1"/>
  <c r="BN456" i="1"/>
  <c r="Z456" i="1"/>
  <c r="Z457" i="1" s="1"/>
  <c r="BP504" i="1"/>
  <c r="Y235" i="1"/>
  <c r="Z79" i="1"/>
  <c r="Z80" i="1" s="1"/>
  <c r="Y157" i="1"/>
  <c r="Z176" i="1"/>
  <c r="Y197" i="1"/>
  <c r="Z222" i="1"/>
  <c r="Z235" i="1" s="1"/>
  <c r="Z246" i="1"/>
  <c r="Z249" i="1" s="1"/>
  <c r="BP285" i="1"/>
  <c r="Z285" i="1"/>
  <c r="BP343" i="1"/>
  <c r="BN363" i="1"/>
  <c r="Z363" i="1"/>
  <c r="Z366" i="1" s="1"/>
  <c r="Y377" i="1"/>
  <c r="BN369" i="1"/>
  <c r="BP372" i="1"/>
  <c r="BP381" i="1"/>
  <c r="BP387" i="1"/>
  <c r="BP449" i="1"/>
  <c r="Z505" i="1"/>
  <c r="BP505" i="1"/>
  <c r="F9" i="1"/>
  <c r="Y95" i="1"/>
  <c r="BN153" i="1"/>
  <c r="Z153" i="1"/>
  <c r="Z207" i="1"/>
  <c r="Z210" i="1"/>
  <c r="Y214" i="1"/>
  <c r="BP252" i="1"/>
  <c r="Z252" i="1"/>
  <c r="Z253" i="1" s="1"/>
  <c r="Z273" i="1"/>
  <c r="BN324" i="1"/>
  <c r="Z324" i="1"/>
  <c r="Y330" i="1"/>
  <c r="P564" i="1"/>
  <c r="Y479" i="1"/>
  <c r="Y489" i="1"/>
  <c r="Y515" i="1"/>
  <c r="H564" i="1"/>
  <c r="Y132" i="1"/>
  <c r="Z129" i="1"/>
  <c r="Z132" i="1" s="1"/>
  <c r="A10" i="1"/>
  <c r="Z40" i="1"/>
  <c r="Z57" i="1"/>
  <c r="Z60" i="1"/>
  <c r="Y64" i="1"/>
  <c r="Z91" i="1"/>
  <c r="Z94" i="1"/>
  <c r="Y133" i="1"/>
  <c r="Z150" i="1"/>
  <c r="Y186" i="1"/>
  <c r="Y236" i="1"/>
  <c r="BN246" i="1"/>
  <c r="Z267" i="1"/>
  <c r="Y276" i="1"/>
  <c r="Y275" i="1"/>
  <c r="BN285" i="1"/>
  <c r="Y376" i="1"/>
  <c r="BN505" i="1"/>
  <c r="BP520" i="1"/>
  <c r="BN520" i="1"/>
  <c r="Z520" i="1"/>
  <c r="BP176" i="1"/>
  <c r="BN273" i="1"/>
  <c r="BP491" i="1"/>
  <c r="Y495" i="1"/>
  <c r="BN491" i="1"/>
  <c r="Y524" i="1"/>
  <c r="BP517" i="1"/>
  <c r="BN517" i="1"/>
  <c r="Y525" i="1"/>
  <c r="BN438" i="1"/>
  <c r="Z438" i="1"/>
  <c r="Z440" i="1" s="1"/>
  <c r="Y440" i="1"/>
  <c r="Y218" i="1"/>
  <c r="BP217" i="1"/>
  <c r="L564" i="1"/>
  <c r="BP222" i="1"/>
  <c r="Z27" i="1"/>
  <c r="BN40" i="1"/>
  <c r="Y51" i="1"/>
  <c r="BN57" i="1"/>
  <c r="Y71" i="1"/>
  <c r="Z86" i="1"/>
  <c r="BN91" i="1"/>
  <c r="BN94" i="1"/>
  <c r="BP153" i="1"/>
  <c r="BN171" i="1"/>
  <c r="BP210" i="1"/>
  <c r="Z217" i="1"/>
  <c r="Z218" i="1" s="1"/>
  <c r="BN241" i="1"/>
  <c r="BN267" i="1"/>
  <c r="BN282" i="1"/>
  <c r="BN289" i="1"/>
  <c r="Z289" i="1"/>
  <c r="Z301" i="1"/>
  <c r="BN304" i="1"/>
  <c r="BP324" i="1"/>
  <c r="BN430" i="1"/>
  <c r="Z430" i="1"/>
  <c r="Z494" i="1"/>
  <c r="BP170" i="1"/>
  <c r="Y295" i="1"/>
  <c r="BN379" i="1"/>
  <c r="Z379" i="1"/>
  <c r="Z383" i="1" s="1"/>
  <c r="Y383" i="1"/>
  <c r="Y483" i="1"/>
  <c r="BN482" i="1"/>
  <c r="Y508" i="1"/>
  <c r="BN499" i="1"/>
  <c r="AA564" i="1"/>
  <c r="Z499" i="1"/>
  <c r="X554" i="1"/>
  <c r="BP37" i="1"/>
  <c r="BP60" i="1"/>
  <c r="BN69" i="1"/>
  <c r="BP74" i="1"/>
  <c r="Y80" i="1"/>
  <c r="BP129" i="1"/>
  <c r="BN138" i="1"/>
  <c r="BP150" i="1"/>
  <c r="BN159" i="1"/>
  <c r="BP180" i="1"/>
  <c r="BN180" i="1"/>
  <c r="BP22" i="1"/>
  <c r="B564" i="1"/>
  <c r="BP91" i="1"/>
  <c r="BN144" i="1"/>
  <c r="Z144" i="1"/>
  <c r="Z177" i="1"/>
  <c r="Z180" i="1"/>
  <c r="BP183" i="1"/>
  <c r="Z189" i="1"/>
  <c r="Z192" i="1" s="1"/>
  <c r="Y193" i="1"/>
  <c r="BP211" i="1"/>
  <c r="Z211" i="1"/>
  <c r="BN217" i="1"/>
  <c r="BP241" i="1"/>
  <c r="Y253" i="1"/>
  <c r="BP267" i="1"/>
  <c r="BP279" i="1"/>
  <c r="BP373" i="1"/>
  <c r="Z406" i="1"/>
  <c r="BN439" i="1"/>
  <c r="Z482" i="1"/>
  <c r="Z483" i="1" s="1"/>
  <c r="Z521" i="1"/>
  <c r="BP521" i="1"/>
  <c r="F10" i="1"/>
  <c r="BN74" i="1"/>
  <c r="BP69" i="1"/>
  <c r="BP159" i="1"/>
  <c r="BP301" i="1"/>
  <c r="BP430" i="1"/>
  <c r="Y539" i="1"/>
  <c r="Y538" i="1"/>
  <c r="BP537" i="1"/>
  <c r="Z537" i="1"/>
  <c r="Z538" i="1" s="1"/>
  <c r="K564" i="1"/>
  <c r="BN541" i="1"/>
  <c r="Y89" i="1"/>
  <c r="BP99" i="1"/>
  <c r="Y122" i="1"/>
  <c r="BP412" i="1"/>
  <c r="R564" i="1"/>
  <c r="BN196" i="1"/>
  <c r="BN231" i="1"/>
  <c r="BN239" i="1"/>
  <c r="BN247" i="1"/>
  <c r="BN288" i="1"/>
  <c r="BN305" i="1"/>
  <c r="BN362" i="1"/>
  <c r="BN370" i="1"/>
  <c r="BN386" i="1"/>
  <c r="BN394" i="1"/>
  <c r="Z551" i="1"/>
  <c r="Z552" i="1" s="1"/>
  <c r="Z84" i="1"/>
  <c r="Y478" i="1"/>
  <c r="Y531" i="1"/>
  <c r="BN551" i="1"/>
  <c r="Y564" i="1"/>
  <c r="BP551" i="1"/>
  <c r="BP472" i="1"/>
  <c r="Y552" i="1"/>
  <c r="Z467" i="1" l="1"/>
  <c r="Z32" i="1"/>
  <c r="Z24" i="1"/>
  <c r="Z106" i="1"/>
  <c r="Z145" i="1"/>
  <c r="Z329" i="1"/>
  <c r="Z290" i="1"/>
  <c r="Z508" i="1"/>
  <c r="Z376" i="1"/>
  <c r="Z259" i="1"/>
  <c r="Z524" i="1"/>
  <c r="Z213" i="1"/>
  <c r="Z186" i="1"/>
  <c r="Z63" i="1"/>
  <c r="Z408" i="1"/>
  <c r="Y555" i="1"/>
  <c r="Y558" i="1"/>
  <c r="Z88" i="1"/>
  <c r="Z434" i="1"/>
  <c r="Z42" i="1"/>
  <c r="Y554" i="1"/>
  <c r="X557" i="1"/>
  <c r="Z95" i="1"/>
  <c r="Z156" i="1"/>
  <c r="Y556" i="1"/>
  <c r="Z514" i="1"/>
  <c r="Z306" i="1"/>
  <c r="Z275" i="1"/>
  <c r="Y557" i="1" l="1"/>
  <c r="Z559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<sst xmlns="http://schemas.openxmlformats.org/spreadsheetml/2006/main" count="2517" uniqueCount="913">
  <si>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</si>
  <si>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</si>
  <si>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</si>
  <si>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</si>
  <si>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</si>
  <si>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</si>
  <si>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</si>
  <si>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</si>
  <si>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</si>
  <si>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</si>
  <si>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</si>
  <si>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</si>
  <si>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</si>
  <si>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</si>
  <si>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</si>
  <si>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</si>
  <si>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</si>
  <si>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</si>
  <si>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</si>
  <si>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</si>
  <si>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</si>
  <si>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</si>
  <si>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</si>
  <si>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</si>
  <si>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</si>
  <si>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</si>
  <si>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</si>
  <si>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</si>
  <si>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</si>
  <si>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</si>
  <si>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</si>
  <si>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</si>
  <si>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</si>
  <si>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</si>
  <si>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</si>
  <si>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</si>
  <si>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</si>
  <si>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</si>
  <si>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</si>
  <si>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</si>
  <si>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</si>
  <si>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</si>
  <si>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</si>
  <si>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</si>
  <si>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</si>
  <si>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</si>
  <si>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</si>
  <si>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</si>
  <si>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</si>
  <si>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</si>
  <si>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</si>
  <si>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</si>
  <si>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</si>
  <si>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</si>
  <si>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</si>
  <si>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</si>
  <si>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</si>
  <si>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</si>
  <si>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</si>
  <si>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</si>
  <si>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</si>
  <si>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</si>
  <si>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</si>
  <si>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</si>
  <si>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</si>
  <si>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</si>
  <si>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</si>
  <si>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</si>
  <si>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</si>
  <si>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</si>
  <si>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</si>
  <si>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</si>
  <si>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</si>
  <si>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</si>
  <si>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</si>
  <si>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</si>
  <si>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</si>
  <si>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</si>
  <si>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</si>
  <si>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</si>
  <si>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</si>
  <si>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</si>
  <si>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</si>
  <si>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</si>
  <si>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</si>
  <si>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</si>
  <si>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</si>
  <si>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</si>
  <si>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</si>
  <si>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</si>
  <si>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</si>
  <si>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</si>
  <si>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</si>
  <si>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</si>
  <si>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</si>
  <si>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</si>
  <si>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</si>
  <si>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</si>
  <si>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</si>
  <si>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</si>
  <si>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</si>
  <si>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</si>
  <si>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</si>
  <si>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</si>
  <si>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</si>
  <si>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</si>
  <si>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</si>
  <si>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</si>
  <si>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</si>
  <si>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</si>
  <si>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</si>
  <si>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</si>
  <si>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</si>
  <si>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</si>
  <si>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</si>
  <si>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</si>
  <si>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</si>
  <si>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</si>
  <si>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</si>
  <si>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</si>
  <si>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</si>
  <si>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</si>
  <si>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</si>
  <si>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</si>
  <si>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</si>
  <si>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</si>
  <si>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</si>
  <si>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</si>
  <si>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</si>
  <si>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</si>
  <si>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</si>
  <si>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</si>
  <si>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</si>
  <si>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</si>
  <si>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</si>
  <si>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</si>
  <si>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</si>
  <si>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</si>
  <si>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</si>
  <si>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</si>
  <si>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</si>
  <si>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</si>
  <si>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</si>
  <si>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</si>
  <si>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</si>
  <si>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</si>
  <si>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</si>
  <si>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</si>
  <si>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</si>
  <si>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</si>
  <si>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</si>
  <si>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</si>
  <si>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</si>
  <si>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</si>
  <si>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</si>
  <si>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</si>
  <si>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</si>
  <si>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</si>
  <si>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</si>
  <si>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</si>
  <si>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</si>
  <si>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</si>
  <si>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</si>
  <si>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</si>
  <si>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</si>
  <si>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</si>
  <si>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</si>
  <si>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</si>
  <si>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</si>
  <si>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</si>
  <si>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</si>
  <si>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</si>
  <si>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</si>
  <si>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</si>
  <si>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</si>
  <si>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</si>
  <si>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</si>
  <si>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</si>
  <si>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</si>
  <si>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</si>
  <si>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</si>
  <si>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</si>
  <si>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</si>
  <si>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</si>
  <si>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</si>
  <si>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</si>
  <si>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</si>
  <si>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</si>
  <si>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</si>
  <si>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</si>
  <si>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</si>
  <si>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</si>
  <si>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</si>
  <si>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</si>
  <si>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</si>
  <si>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</si>
  <si>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</si>
  <si>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</si>
  <si>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</si>
  <si>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</si>
  <si>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</si>
  <si>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</si>
  <si>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</si>
  <si>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</si>
  <si>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</si>
  <si>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</si>
  <si>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</si>
  <si>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</si>
  <si>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</si>
  <si>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</si>
  <si>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</si>
  <si>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</si>
  <si>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</si>
  <si>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</si>
  <si>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</si>
  <si>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</si>
  <si>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</si>
  <si>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</si>
  <si>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</si>
  <si>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</si>
  <si>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</si>
  <si>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</si>
  <si>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</si>
  <si>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</si>
  <si>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</si>
  <si>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</si>
  <si>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</si>
  <si>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</si>
  <si>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</si>
  <si>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</si>
  <si>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</si>
  <si>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</si>
  <si>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</si>
  <si>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</si>
  <si>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</si>
  <si>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</si>
  <si>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</si>
  <si>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</si>
  <si>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</si>
  <si>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</si>
  <si>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</si>
  <si>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</si>
  <si>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</si>
  <si>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</si>
  <si>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</si>
  <si>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</si>
  <si>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</si>
  <si>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</si>
  <si>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</si>
  <si>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</si>
  <si>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</si>
  <si>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</si>
  <si>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</si>
  <si>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</si>
  <si>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</si>
  <si>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</si>
  <si>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</si>
  <si>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</si>
  <si>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</si>
  <si>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</si>
  <si>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</si>
  <si>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</si>
  <si>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</si>
  <si>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</si>
  <si>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</si>
  <si>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</si>
  <si>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</si>
  <si>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</si>
  <si>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</si>
  <si>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</si>
  <si>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</si>
  <si>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</si>
  <si>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</si>
  <si>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</si>
  <si>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</si>
  <si>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</si>
  <si>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</si>
  <si>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</si>
  <si>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</si>
  <si>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</si>
  <si>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</si>
  <si>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</si>
  <si>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</si>
  <si>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</si>
  <si>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</si>
  <si>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</si>
  <si>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</si>
  <si>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</si>
  <si>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</si>
  <si>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</si>
  <si>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</si>
  <si>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</si>
  <si>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</si>
  <si>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</si>
  <si>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</si>
  <si>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</si>
  <si>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</si>
  <si>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</si>
  <si>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</si>
  <si>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</si>
  <si>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</si>
  <si>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</si>
  <si>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</si>
  <si>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</si>
  <si>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</si>
  <si>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</si>
  <si>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</si>
  <si>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</si>
  <si>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</si>
  <si>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</si>
  <si>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</si>
  <si>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</si>
  <si>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</si>
  <si>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</si>
  <si>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</si>
  <si>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</si>
  <si>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</si>
  <si>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</si>
  <si>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</si>
  <si>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</si>
  <si>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</si>
  <si>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</si>
  <si>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</si>
  <si>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</si>
  <si>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</si>
  <si>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</si>
  <si>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</si>
  <si>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</si>
  <si>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</si>
  <si>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</si>
  <si>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</si>
  <si>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</si>
  <si>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</si>
  <si>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</si>
  <si>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</si>
  <si>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</si>
  <si>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</si>
  <si>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</si>
  <si>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</si>
  <si>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</si>
  <si>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</si>
  <si>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</si>
  <si>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</si>
  <si>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</si>
  <si>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</si>
  <si>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</si>
  <si>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</si>
  <si>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</si>
  <si>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</si>
  <si>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</si>
  <si>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</si>
  <si>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</si>
  <si>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</si>
  <si>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</si>
  <si>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</si>
  <si>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</si>
  <si>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</si>
  <si>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</si>
  <si>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</si>
  <si>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</si>
  <si>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</si>
  <si>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</si>
  <si>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</si>
  <si>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</si>
  <si>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</si>
  <si>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</si>
  <si>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</si>
  <si>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</si>
  <si>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</si>
  <si>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</si>
  <si>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</si>
  <si>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</si>
  <si>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</si>
  <si>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</si>
  <si>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</si>
  <si>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</si>
  <si>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</si>
  <si>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</si>
  <si>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</si>
  <si>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</si>
  <si>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</si>
  <si>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</si>
  <si>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</si>
  <si>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</si>
  <si>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</si>
  <si>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</si>
  <si>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</si>
  <si>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</si>
  <si>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</si>
  <si>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</si>
  <si>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</si>
  <si>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</si>
  <si>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</si>
  <si>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</si>
  <si>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</si>
  <si>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</si>
  <si>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</si>
  <si>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</si>
  <si>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</si>
  <si>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</si>
  <si>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</si>
  <si>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</si>
  <si>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</si>
  <si>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</si>
  <si>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</si>
  <si>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</si>
  <si>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</si>
  <si>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</si>
  <si>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</si>
  <si>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</si>
  <si>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</si>
  <si>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</si>
  <si>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</si>
  <si>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</si>
  <si>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</si>
  <si>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</si>
  <si>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</si>
  <si>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</si>
  <si>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</si>
  <si>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</si>
  <si>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</si>
  <si>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</si>
  <si>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</si>
  <si>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</si>
  <si>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</si>
  <si>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</si>
  <si>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</si>
  <si>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</si>
  <si>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</si>
  <si>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</si>
  <si>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</si>
  <si>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</si>
  <si>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</si>
  <si>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</si>
  <si>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</si>
  <si>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</si>
  <si>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</si>
  <si>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</si>
  <si>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</si>
  <si>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</si>
  <si>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</si>
  <si>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</si>
  <si>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</si>
  <si>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</si>
  <si>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</si>
  <si>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</si>
  <si>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</si>
  <si>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</si>
  <si>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</si>
  <si>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</si>
  <si>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</si>
  <si>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</si>
  <si>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</si>
  <si>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</si>
  <si>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</si>
  <si>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</si>
  <si>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</si>
  <si>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</si>
  <si>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</si>
  <si>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</si>
  <si>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</si>
  <si>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</si>
  <si>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</si>
  <si>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</si>
  <si>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</si>
  <si>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</si>
  <si>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</si>
  <si>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</si>
  <si>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</si>
  <si>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</si>
  <si>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</si>
  <si>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</si>
  <si>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</si>
  <si>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</si>
  <si>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</si>
  <si>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</si>
  <si>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</si>
  <si>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</si>
  <si>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</si>
  <si>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</si>
  <si>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</si>
  <si>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</si>
  <si>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</si>
  <si>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</si>
  <si>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</si>
  <si>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</si>
  <si>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</si>
  <si>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</si>
  <si>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</si>
  <si>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</si>
  <si>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</si>
  <si>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</si>
  <si>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</si>
  <si>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</si>
  <si>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</si>
  <si>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</si>
  <si>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</si>
  <si>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</si>
  <si>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</si>
  <si>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</si>
  <si>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</si>
  <si>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</si>
  <si>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</si>
  <si>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</si>
  <si>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</si>
  <si>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</si>
  <si>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</si>
  <si>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</si>
  <si>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</si>
  <si>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</si>
  <si>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</si>
  <si>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</si>
  <si>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</si>
  <si>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</si>
  <si>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</si>
  <si>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</si>
  <si>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</si>
  <si>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</si>
  <si>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</si>
  <si>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</si>
  <si>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</si>
  <si>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</si>
  <si>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</si>
  <si>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</si>
  <si>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</si>
  <si>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</si>
  <si>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</si>
  <si>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</si>
  <si>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</si>
  <si>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</si>
  <si>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</si>
  <si>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</si>
  <si>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</si>
  <si>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</si>
  <si>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</si>
  <si>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</si>
  <si>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</si>
  <si>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</si>
  <si>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</si>
  <si>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</si>
  <si>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</si>
  <si>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</si>
  <si>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</si>
  <si>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</si>
  <si>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</si>
  <si>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</si>
  <si>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</si>
  <si>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</si>
  <si>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</si>
  <si>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</si>
  <si>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</si>
  <si>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</si>
  <si>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</si>
  <si>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</si>
  <si>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</si>
  <si>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</si>
  <si>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</si>
  <si>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</si>
  <si>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</si>
  <si>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</si>
  <si>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</si>
  <si>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</si>
  <si>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</si>
  <si>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</si>
  <si>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</si>
  <si>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</si>
  <si>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</si>
  <si>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</si>
  <si>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</si>
  <si>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</si>
  <si>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</si>
  <si>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</si>
  <si>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</si>
  <si>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</si>
  <si>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</si>
  <si>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</si>
  <si>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</si>
  <si>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</si>
  <si>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</si>
  <si>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</si>
  <si>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</si>
  <si>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</si>
  <si>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</si>
  <si>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</si>
  <si>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</si>
  <si>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</si>
  <si>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</si>
  <si>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</si>
  <si>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</si>
  <si>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</si>
  <si>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</si>
  <si>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</si>
  <si>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</si>
  <si>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</si>
  <si>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</si>
  <si>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</si>
  <si>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</si>
  <si>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</si>
  <si>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</si>
  <si>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</si>
  <si>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</si>
  <si>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</si>
  <si>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</si>
  <si>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</si>
  <si>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</si>
  <si>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</si>
  <si>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</si>
  <si>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</si>
  <si>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</si>
  <si>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</si>
  <si>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</si>
  <si>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</si>
  <si>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</si>
  <si>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</si>
  <si>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</si>
  <si>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</si>
  <si>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</si>
  <si>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</si>
  <si>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</si>
  <si>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</si>
  <si>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</si>
  <si>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</si>
  <si>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</si>
  <si>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</si>
  <si>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</si>
  <si>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</si>
  <si>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</si>
  <si>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</si>
  <si>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</si>
  <si>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</si>
  <si>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</si>
  <si>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</si>
  <si>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</si>
  <si>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</si>
  <si>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</si>
  <si>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</si>
  <si>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</si>
  <si>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</si>
  <si>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</si>
  <si>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</si>
  <si>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</si>
  <si>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</si>
  <si>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</si>
  <si>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</si>
  <si>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</si>
  <si>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</si>
  <si>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</si>
  <si>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</si>
  <si>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</si>
  <si>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</si>
  <si>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</si>
  <si>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</si>
  <si>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</si>
  <si>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</si>
  <si>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</si>
  <si>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</si>
  <si>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</si>
  <si>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</si>
  <si>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</si>
  <si>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</si>
  <si>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</si>
  <si>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</si>
  <si>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</si>
  <si>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</si>
  <si>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</si>
  <si>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</si>
  <si>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</si>
  <si>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</si>
  <si>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</si>
  <si>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</si>
  <si>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</si>
  <si>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</si>
  <si>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</si>
  <si>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</si>
  <si>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</si>
  <si>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</si>
  <si>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</si>
  <si>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</si>
  <si>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</si>
  <si>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</si>
  <si>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</si>
  <si>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</si>
  <si>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</si>
  <si>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</si>
  <si>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</si>
  <si>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</si>
  <si>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</si>
  <si>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</si>
  <si>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</si>
  <si>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</si>
  <si>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</si>
  <si>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</si>
  <si>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</si>
  <si>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</si>
  <si>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</si>
  <si>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</si>
  <si>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</si>
  <si>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</si>
  <si>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</si>
  <si>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</si>
  <si>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</si>
  <si>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</si>
  <si>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</si>
  <si>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</si>
  <si>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</si>
  <si>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</si>
  <si>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</si>
  <si>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</si>
  <si>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</si>
  <si>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</si>
  <si>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</si>
  <si>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</si>
  <si>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</si>
  <si>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</si>
  <si>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</si>
  <si>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</si>
  <si>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</si>
  <si>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</si>
  <si>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</si>
  <si>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</si>
  <si>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</si>
  <si>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</si>
  <si>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</si>
  <si>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</si>
  <si>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</si>
  <si>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</si>
  <si>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</si>
  <si>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</si>
  <si>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</si>
  <si>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</si>
  <si>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</si>
  <si>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</si>
  <si>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</si>
  <si>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</si>
  <si>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</si>
  <si>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</si>
  <si>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</si>
  <si>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</si>
  <si>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</si>
  <si>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</si>
  <si>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</si>
  <si>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</si>
  <si>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</si>
  <si>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</si>
  <si>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</si>
  <si>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</si>
  <si>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</si>
  <si>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</si>
  <si>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</si>
  <si>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</si>
  <si>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</si>
  <si>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</si>
  <si>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</si>
  <si>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</si>
  <si>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</si>
  <si>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</si>
  <si>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</si>
  <si>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</si>
  <si>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</si>
  <si>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</si>
  <si>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</si>
  <si>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</si>
  <si>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</si>
  <si>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</si>
  <si>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</si>
  <si>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</si>
  <si>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</si>
  <si>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</si>
  <si>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</si>
  <si>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</si>
  <si>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</si>
  <si>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</si>
  <si>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</si>
  <si>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</si>
  <si>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</si>
  <si>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</si>
  <si>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</si>
  <si>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</si>
  <si>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</si>
  <si>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</si>
  <si>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</si>
  <si>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</si>
  <si>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</si>
  <si>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</si>
  <si>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</si>
  <si>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</si>
  <si>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</si>
  <si>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</si>
  <si>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</si>
  <si>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</si>
  <si>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</si>
  <si>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</si>
  <si>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</si>
  <si>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</si>
  <si>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</si>
  <si>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</si>
  <si>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</si>
  <si>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</si>
  <si>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</si>
  <si>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</si>
  <si>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</si>
  <si>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</si>
  <si>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</si>
  <si>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</si>
  <si>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</si>
  <si>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</si>
  <si>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</si>
  <si>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</si>
  <si>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</si>
  <si>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</si>
  <si>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</si>
  <si>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</si>
  <si>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</si>
  <si>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</si>
  <si>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</si>
  <si>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</si>
  <si>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</si>
  <si>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</si>
  <si>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</si>
  <si>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</si>
  <si>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</si>
  <si>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</si>
  <si>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</si>
  <si>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</si>
  <si>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</si>
  <si>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</si>
  <si>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</si>
  <si>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</si>
  <si>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</si>
  <si>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</si>
  <si>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</si>
  <si>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</si>
  <si>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</si>
  <si>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</si>
  <si>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</si>
  <si>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</si>
  <si>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</si>
  <si>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</si>
  <si>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</si>
  <si>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</si>
  <si>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</si>
  <si>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</si>
  <si>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</si>
  <si>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</si>
  <si>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</si>
  <si>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</si>
  <si>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</si>
  <si>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</si>
  <si>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</si>
  <si>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</si>
  <si>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</si>
  <si>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</si>
  <si>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</si>
  <si>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</si>
  <si>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</si>
  <si>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</si>
  <si>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</si>
  <si>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</si>
  <si>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</si>
  <si>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</si>
  <si>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</si>
  <si>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</si>
  <si>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</si>
  <si>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</si>
  <si>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</si>
  <si>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</si>
  <si>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</si>
  <si>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</si>
  <si>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</si>
  <si>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</si>
  <si>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</si>
  <si>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</si>
  <si>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</si>
  <si>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</si>
  <si>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</si>
  <si>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</si>
  <si>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</si>
  <si>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</si>
  <si>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</si>
  <si>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</si>
  <si>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</si>
  <si>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</si>
  <si>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</si>
  <si>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</si>
  <si>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</si>
  <si>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</si>
  <si>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</si>
  <si>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</si>
  <si>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</si>
  <si>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</si>
  <si>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</si>
  <si>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</si>
  <si>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</si>
  <si>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</si>
  <si>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</si>
  <si>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</si>
  <si>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</si>
  <si>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</si>
  <si>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</si>
  <si>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</si>
  <si>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</si>
  <si>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</si>
  <si>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</si>
  <si>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</si>
  <si>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</si>
  <si>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</si>
  <si>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</si>
  <si>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</si>
  <si>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</si>
  <si>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</si>
  <si>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</si>
  <si>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6292219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</si>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</sst>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89" t="s">
        <v>0</v>
      </c>
      <c r="E1" s="674"/>
      <c r="F1" s="674"/>
      <c r="G1" s="14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0"/>
      <c r="Q3" s="640"/>
      <c r="R3" s="640"/>
      <c r="S3" s="640"/>
      <c r="T3" s="640"/>
      <c r="U3" s="640"/>
      <c r="V3" s="640"/>
      <c r="W3" s="64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911</v>
      </c>
      <c r="I5" s="909"/>
      <c r="J5" s="909"/>
      <c r="K5" s="909"/>
      <c r="L5" s="909"/>
      <c r="M5" s="728"/>
      <c r="N5" s="69"/>
      <c r="P5" s="26" t="s">
        <v>10</v>
      </c>
      <c r="Q5" s="983">
        <v>46249</v>
      </c>
      <c r="R5" s="784"/>
      <c r="T5" s="832" t="s">
        <v>11</v>
      </c>
      <c r="U5" s="725"/>
      <c r="V5" s="834" t="s">
        <v>12</v>
      </c>
      <c r="W5" s="784"/>
      <c r="AB5" s="57"/>
      <c r="AC5" s="57"/>
      <c r="AD5" s="57"/>
      <c r="AE5" s="57"/>
    </row>
    <row r="6" spans="1:32" s="17" customFormat="1" ht="24" customHeight="1" x14ac:dyDescent="0.2">
      <c r="A6" s="785" t="s">
        <v>13</v>
      </c>
      <c r="B6" s="664"/>
      <c r="C6" s="665"/>
      <c r="D6" s="911" t="s">
        <v>890</v>
      </c>
      <c r="E6" s="912"/>
      <c r="F6" s="912"/>
      <c r="G6" s="912"/>
      <c r="H6" s="912"/>
      <c r="I6" s="912"/>
      <c r="J6" s="912"/>
      <c r="K6" s="912"/>
      <c r="L6" s="912"/>
      <c r="M6" s="784"/>
      <c r="N6" s="70"/>
      <c r="P6" s="26" t="s">
        <v>14</v>
      </c>
      <c r="Q6" s="993" t="str">
        <f>IF(Q5=0," ",CHOOSE(WEEKDAY(Q5,2),"Понедельник","Вторник","Среда","Четверг","Пятница","Суббота","Воскресенье"))</f>
        <v>Суббота</v>
      </c>
      <c r="R6" s="638"/>
      <c r="T6" s="839" t="s">
        <v>15</v>
      </c>
      <c r="U6" s="725"/>
      <c r="V6" s="893" t="s">
        <v>16</v>
      </c>
      <c r="W6" s="6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83" t="str">
        <f>IFERROR(VLOOKUP(DeliveryAddress,Table,3,0),1)</f>
        <v>7</v>
      </c>
      <c r="E7" s="684"/>
      <c r="F7" s="684"/>
      <c r="G7" s="684"/>
      <c r="H7" s="684"/>
      <c r="I7" s="684"/>
      <c r="J7" s="684"/>
      <c r="K7" s="684"/>
      <c r="L7" s="684"/>
      <c r="M7" s="685"/>
      <c r="N7" s="71"/>
      <c r="P7" s="26"/>
      <c r="Q7" s="46"/>
      <c r="R7" s="46"/>
      <c r="T7" s="640"/>
      <c r="U7" s="725"/>
      <c r="V7" s="894"/>
      <c r="W7" s="895"/>
      <c r="AB7" s="57"/>
      <c r="AC7" s="57"/>
      <c r="AD7" s="57"/>
      <c r="AE7" s="57"/>
    </row>
    <row r="8" spans="1:32" s="1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72"/>
      <c r="P8" s="26" t="s">
        <v>18</v>
      </c>
      <c r="Q8" s="793">
        <v>0.45833333333333331</v>
      </c>
      <c r="R8" s="685"/>
      <c r="T8" s="640"/>
      <c r="U8" s="725"/>
      <c r="V8" s="894"/>
      <c r="W8" s="895"/>
      <c r="AB8" s="57"/>
      <c r="AC8" s="57"/>
      <c r="AD8" s="57"/>
      <c r="AE8" s="57"/>
    </row>
    <row r="9" spans="1:32" s="1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19</v>
      </c>
      <c r="Q9" s="780"/>
      <c r="R9" s="781"/>
      <c r="T9" s="640"/>
      <c r="U9" s="725"/>
      <c r="V9" s="896"/>
      <c r="W9" s="89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8"/>
      <c r="P10" s="29" t="s">
        <v>20</v>
      </c>
      <c r="Q10" s="840"/>
      <c r="R10" s="841"/>
      <c r="U10" s="26" t="s">
        <v>21</v>
      </c>
      <c r="V10" s="654" t="s">
        <v>22</v>
      </c>
      <c r="W10" s="65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83"/>
      <c r="R11" s="784"/>
      <c r="U11" s="26" t="s">
        <v>25</v>
      </c>
      <c r="V11" s="969" t="s">
        <v>912</v>
      </c>
      <c r="W11" s="7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25" t="s">
        <v>26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73"/>
      <c r="P12" s="26" t="s">
        <v>27</v>
      </c>
      <c r="Q12" s="793"/>
      <c r="R12" s="685"/>
      <c r="S12" s="27"/>
      <c r="U12" s="26"/>
      <c r="V12" s="674"/>
      <c r="W12" s="640"/>
      <c r="AB12" s="57"/>
      <c r="AC12" s="57"/>
      <c r="AD12" s="57"/>
      <c r="AE12" s="57"/>
    </row>
    <row r="13" spans="1:32" s="17" customFormat="1" ht="23.25" customHeight="1" x14ac:dyDescent="0.2">
      <c r="A13" s="825" t="s">
        <v>28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73"/>
      <c r="O13" s="29"/>
      <c r="P13" s="29" t="s">
        <v>29</v>
      </c>
      <c r="Q13" s="969"/>
      <c r="R13" s="78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25" t="s">
        <v>30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45" t="s">
        <v>31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74"/>
      <c r="P15" s="808" t="s">
        <v>32</v>
      </c>
      <c r="Q15" s="674"/>
      <c r="R15" s="674"/>
      <c r="S15" s="674"/>
      <c r="T15" s="674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09"/>
      <c r="Q16" s="809"/>
      <c r="R16" s="809"/>
      <c r="S16" s="809"/>
      <c r="T16" s="80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2" t="s">
        <v>33</v>
      </c>
      <c r="B17" s="692" t="s">
        <v>34</v>
      </c>
      <c r="C17" s="800" t="s">
        <v>35</v>
      </c>
      <c r="D17" s="692" t="s">
        <v>36</v>
      </c>
      <c r="E17" s="749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48"/>
      <c r="R17" s="748"/>
      <c r="S17" s="748"/>
      <c r="T17" s="749"/>
      <c r="U17" s="974" t="s">
        <v>48</v>
      </c>
      <c r="V17" s="665"/>
      <c r="W17" s="692" t="s">
        <v>49</v>
      </c>
      <c r="X17" s="692" t="s">
        <v>50</v>
      </c>
      <c r="Y17" s="975" t="s">
        <v>51</v>
      </c>
      <c r="Z17" s="907" t="s">
        <v>52</v>
      </c>
      <c r="AA17" s="878" t="s">
        <v>53</v>
      </c>
      <c r="AB17" s="878" t="s">
        <v>54</v>
      </c>
      <c r="AC17" s="878" t="s">
        <v>55</v>
      </c>
      <c r="AD17" s="878" t="s">
        <v>56</v>
      </c>
      <c r="AE17" s="962"/>
      <c r="AF17" s="963"/>
      <c r="AG17" s="77"/>
      <c r="BD17" s="76" t="s">
        <v>57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78" t="s">
        <v>58</v>
      </c>
      <c r="V18" s="78" t="s">
        <v>59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77"/>
      <c r="BD18" s="76"/>
    </row>
    <row r="19" spans="1:68" ht="27.75" hidden="1" customHeight="1" x14ac:dyDescent="0.2">
      <c r="A19" s="718" t="s">
        <v>60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52"/>
      <c r="AB19" s="52"/>
      <c r="AC19" s="52"/>
    </row>
    <row r="20" spans="1:68" ht="16.5" hidden="1" customHeight="1" x14ac:dyDescent="0.25">
      <c r="A20" s="639" t="s">
        <v>60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"/>
      <c r="AB20" s="62"/>
      <c r="AC20" s="62"/>
    </row>
    <row r="21" spans="1:68" ht="14.25" hidden="1" customHeight="1" x14ac:dyDescent="0.25">
      <c r="A21" s="644" t="s">
        <v>61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3"/>
      <c r="AB21" s="63"/>
      <c r="AC21" s="63"/>
    </row>
    <row r="22" spans="1:68" ht="27" hidden="1" customHeight="1" x14ac:dyDescent="0.25">
      <c r="A22" s="60" t="s">
        <v>62</v>
      </c>
      <c r="B22" s="60" t="s">
        <v>63</v>
      </c>
      <c r="C22" s="34">
        <v>4301031278</v>
      </c>
      <c r="D22" s="637">
        <v>4680115886643</v>
      </c>
      <c r="E22" s="63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64</v>
      </c>
      <c r="L22" s="35"/>
      <c r="M22" s="36" t="s">
        <v>65</v>
      </c>
      <c r="N22" s="36"/>
      <c r="O22" s="35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/>
      <c r="V22" s="37"/>
      <c r="W22" s="38" t="s">
        <v>66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67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68</v>
      </c>
      <c r="B23" s="60" t="s">
        <v>69</v>
      </c>
      <c r="C23" s="34">
        <v>4301031508</v>
      </c>
      <c r="D23" s="637">
        <v>4680115889071</v>
      </c>
      <c r="E23" s="63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64</v>
      </c>
      <c r="L23" s="35"/>
      <c r="M23" s="36" t="s">
        <v>65</v>
      </c>
      <c r="N23" s="36"/>
      <c r="O23" s="35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/>
      <c r="V23" s="37"/>
      <c r="W23" s="38" t="s">
        <v>66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70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71</v>
      </c>
      <c r="Q24" s="642"/>
      <c r="R24" s="642"/>
      <c r="S24" s="642"/>
      <c r="T24" s="642"/>
      <c r="U24" s="642"/>
      <c r="V24" s="643"/>
      <c r="W24" s="40" t="s">
        <v>72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71</v>
      </c>
      <c r="Q25" s="642"/>
      <c r="R25" s="642"/>
      <c r="S25" s="642"/>
      <c r="T25" s="642"/>
      <c r="U25" s="642"/>
      <c r="V25" s="643"/>
      <c r="W25" s="40" t="s">
        <v>66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4" t="s">
        <v>73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3"/>
      <c r="AB26" s="63"/>
      <c r="AC26" s="63"/>
    </row>
    <row r="27" spans="1:68" ht="27" hidden="1" customHeight="1" x14ac:dyDescent="0.25">
      <c r="A27" s="60" t="s">
        <v>74</v>
      </c>
      <c r="B27" s="60" t="s">
        <v>75</v>
      </c>
      <c r="C27" s="34">
        <v>4301051866</v>
      </c>
      <c r="D27" s="637">
        <v>4680115885912</v>
      </c>
      <c r="E27" s="63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76</v>
      </c>
      <c r="L27" s="35"/>
      <c r="M27" s="36" t="s">
        <v>77</v>
      </c>
      <c r="N27" s="36"/>
      <c r="O27" s="35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/>
      <c r="V27" s="37"/>
      <c r="W27" s="38" t="s">
        <v>66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78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79</v>
      </c>
      <c r="B28" s="60" t="s">
        <v>80</v>
      </c>
      <c r="C28" s="34">
        <v>4301051776</v>
      </c>
      <c r="D28" s="637">
        <v>4607091388237</v>
      </c>
      <c r="E28" s="63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76</v>
      </c>
      <c r="L28" s="35"/>
      <c r="M28" s="36" t="s">
        <v>77</v>
      </c>
      <c r="N28" s="36"/>
      <c r="O28" s="35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/>
      <c r="V28" s="37"/>
      <c r="W28" s="38" t="s">
        <v>66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78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81</v>
      </c>
      <c r="B29" s="60" t="s">
        <v>82</v>
      </c>
      <c r="C29" s="34">
        <v>4301052063</v>
      </c>
      <c r="D29" s="637">
        <v>4680115887350</v>
      </c>
      <c r="E29" s="63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76</v>
      </c>
      <c r="L29" s="35"/>
      <c r="M29" s="36" t="s">
        <v>83</v>
      </c>
      <c r="N29" s="36"/>
      <c r="O29" s="35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/>
      <c r="V29" s="37"/>
      <c r="W29" s="38" t="s">
        <v>66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84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85</v>
      </c>
      <c r="B30" s="60" t="s">
        <v>86</v>
      </c>
      <c r="C30" s="34">
        <v>4301051863</v>
      </c>
      <c r="D30" s="637">
        <v>4680115885905</v>
      </c>
      <c r="E30" s="63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76</v>
      </c>
      <c r="L30" s="35"/>
      <c r="M30" s="36" t="s">
        <v>83</v>
      </c>
      <c r="N30" s="36"/>
      <c r="O30" s="35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/>
      <c r="V30" s="37"/>
      <c r="W30" s="38" t="s">
        <v>66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87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88</v>
      </c>
      <c r="B31" s="60" t="s">
        <v>89</v>
      </c>
      <c r="C31" s="34">
        <v>4301052071</v>
      </c>
      <c r="D31" s="637">
        <v>4680115887619</v>
      </c>
      <c r="E31" s="63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76</v>
      </c>
      <c r="L31" s="35"/>
      <c r="M31" s="36" t="s">
        <v>77</v>
      </c>
      <c r="N31" s="36"/>
      <c r="O31" s="35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/>
      <c r="V31" s="37"/>
      <c r="W31" s="38" t="s">
        <v>66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90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71</v>
      </c>
      <c r="Q32" s="642"/>
      <c r="R32" s="642"/>
      <c r="S32" s="642"/>
      <c r="T32" s="642"/>
      <c r="U32" s="642"/>
      <c r="V32" s="643"/>
      <c r="W32" s="40" t="s">
        <v>72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71</v>
      </c>
      <c r="Q33" s="642"/>
      <c r="R33" s="642"/>
      <c r="S33" s="642"/>
      <c r="T33" s="642"/>
      <c r="U33" s="642"/>
      <c r="V33" s="643"/>
      <c r="W33" s="40" t="s">
        <v>66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8" t="s">
        <v>91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52"/>
      <c r="AB34" s="52"/>
      <c r="AC34" s="52"/>
    </row>
    <row r="35" spans="1:68" ht="16.5" hidden="1" customHeight="1" x14ac:dyDescent="0.25">
      <c r="A35" s="639" t="s">
        <v>92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"/>
      <c r="AB35" s="62"/>
      <c r="AC35" s="62"/>
    </row>
    <row r="36" spans="1:68" ht="14.25" hidden="1" customHeight="1" x14ac:dyDescent="0.25">
      <c r="A36" s="644" t="s">
        <v>73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3"/>
      <c r="AB36" s="63"/>
      <c r="AC36" s="63"/>
    </row>
    <row r="37" spans="1:68" ht="27" hidden="1" customHeight="1" x14ac:dyDescent="0.25">
      <c r="A37" s="60" t="s">
        <v>93</v>
      </c>
      <c r="B37" s="60" t="s">
        <v>94</v>
      </c>
      <c r="C37" s="34">
        <v>4301052187</v>
      </c>
      <c r="D37" s="637">
        <v>4680115889354</v>
      </c>
      <c r="E37" s="63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76</v>
      </c>
      <c r="L37" s="35"/>
      <c r="M37" s="36" t="s">
        <v>83</v>
      </c>
      <c r="N37" s="36"/>
      <c r="O37" s="35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7"/>
      <c r="V37" s="37"/>
      <c r="W37" s="38" t="s">
        <v>66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/>
      <c r="AB37" s="66"/>
      <c r="AC37" s="95" t="s">
        <v>95</v>
      </c>
      <c r="AG37" s="75"/>
      <c r="AJ37" s="79"/>
      <c r="AK37" s="79">
        <v>0</v>
      </c>
      <c r="BB37" s="96" t="s">
        <v>1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96</v>
      </c>
      <c r="B38" s="60" t="s">
        <v>97</v>
      </c>
      <c r="C38" s="34">
        <v>4301052198</v>
      </c>
      <c r="D38" s="637">
        <v>4680115888463</v>
      </c>
      <c r="E38" s="63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76</v>
      </c>
      <c r="L38" s="35"/>
      <c r="M38" s="36" t="s">
        <v>77</v>
      </c>
      <c r="N38" s="36"/>
      <c r="O38" s="35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7"/>
      <c r="V38" s="37"/>
      <c r="W38" s="38" t="s">
        <v>66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/>
      <c r="AB38" s="66"/>
      <c r="AC38" s="97" t="s">
        <v>98</v>
      </c>
      <c r="AG38" s="75"/>
      <c r="AJ38" s="79"/>
      <c r="AK38" s="79">
        <v>0</v>
      </c>
      <c r="BB38" s="98" t="s">
        <v>1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99</v>
      </c>
      <c r="B39" s="60" t="s">
        <v>100</v>
      </c>
      <c r="C39" s="34">
        <v>4301052202</v>
      </c>
      <c r="D39" s="637">
        <v>4680115888494</v>
      </c>
      <c r="E39" s="638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76</v>
      </c>
      <c r="L39" s="35"/>
      <c r="M39" s="36" t="s">
        <v>77</v>
      </c>
      <c r="N39" s="36"/>
      <c r="O39" s="35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7"/>
      <c r="V39" s="37"/>
      <c r="W39" s="38" t="s">
        <v>66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/>
      <c r="AB39" s="66"/>
      <c r="AC39" s="99" t="s">
        <v>101</v>
      </c>
      <c r="AG39" s="75"/>
      <c r="AJ39" s="79"/>
      <c r="AK39" s="79">
        <v>0</v>
      </c>
      <c r="BB39" s="100" t="s">
        <v>1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102</v>
      </c>
      <c r="B40" s="60" t="s">
        <v>103</v>
      </c>
      <c r="C40" s="34">
        <v>4301052184</v>
      </c>
      <c r="D40" s="637">
        <v>4680115888272</v>
      </c>
      <c r="E40" s="63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76</v>
      </c>
      <c r="L40" s="35"/>
      <c r="M40" s="36" t="s">
        <v>77</v>
      </c>
      <c r="N40" s="36"/>
      <c r="O40" s="35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7"/>
      <c r="V40" s="37"/>
      <c r="W40" s="38" t="s">
        <v>66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/>
      <c r="AB40" s="66"/>
      <c r="AC40" s="101" t="s">
        <v>104</v>
      </c>
      <c r="AG40" s="75"/>
      <c r="AJ40" s="79"/>
      <c r="AK40" s="79">
        <v>0</v>
      </c>
      <c r="BB40" s="102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105</v>
      </c>
      <c r="B41" s="60" t="s">
        <v>106</v>
      </c>
      <c r="C41" s="34">
        <v>4301052188</v>
      </c>
      <c r="D41" s="637">
        <v>4680115888364</v>
      </c>
      <c r="E41" s="63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76</v>
      </c>
      <c r="L41" s="35"/>
      <c r="M41" s="36" t="s">
        <v>77</v>
      </c>
      <c r="N41" s="36"/>
      <c r="O41" s="35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7"/>
      <c r="V41" s="37"/>
      <c r="W41" s="38" t="s">
        <v>66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103" t="s">
        <v>107</v>
      </c>
      <c r="AG41" s="75"/>
      <c r="AJ41" s="79"/>
      <c r="AK41" s="79">
        <v>0</v>
      </c>
      <c r="BB41" s="104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71</v>
      </c>
      <c r="Q42" s="642"/>
      <c r="R42" s="642"/>
      <c r="S42" s="642"/>
      <c r="T42" s="642"/>
      <c r="U42" s="642"/>
      <c r="V42" s="643"/>
      <c r="W42" s="40" t="s">
        <v>72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71</v>
      </c>
      <c r="Q43" s="642"/>
      <c r="R43" s="642"/>
      <c r="S43" s="642"/>
      <c r="T43" s="642"/>
      <c r="U43" s="642"/>
      <c r="V43" s="643"/>
      <c r="W43" s="40" t="s">
        <v>66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8" t="s">
        <v>108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52"/>
      <c r="AB44" s="52"/>
      <c r="AC44" s="52"/>
    </row>
    <row r="45" spans="1:68" ht="16.5" hidden="1" customHeight="1" x14ac:dyDescent="0.25">
      <c r="A45" s="639" t="s">
        <v>109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"/>
      <c r="AB45" s="62"/>
      <c r="AC45" s="62"/>
    </row>
    <row r="46" spans="1:68" ht="14.25" hidden="1" customHeight="1" x14ac:dyDescent="0.25">
      <c r="A46" s="644" t="s">
        <v>110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3"/>
      <c r="AB46" s="63"/>
      <c r="AC46" s="63"/>
    </row>
    <row r="47" spans="1:68" ht="16.5" customHeight="1" x14ac:dyDescent="0.25">
      <c r="A47" s="60" t="s">
        <v>111</v>
      </c>
      <c r="B47" s="60" t="s">
        <v>112</v>
      </c>
      <c r="C47" s="34">
        <v>4301011380</v>
      </c>
      <c r="D47" s="637">
        <v>4607091385670</v>
      </c>
      <c r="E47" s="63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113</v>
      </c>
      <c r="L47" s="35"/>
      <c r="M47" s="36" t="s">
        <v>114</v>
      </c>
      <c r="N47" s="36"/>
      <c r="O47" s="35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7"/>
      <c r="V47" s="37"/>
      <c r="W47" s="38" t="s">
        <v>66</v>
      </c>
      <c r="X47" s="56">
        <v>150</v>
      </c>
      <c r="Y47" s="53">
        <f>IFERROR(IF(X47="",0,CEILING((X47/$H47),1)*$H47),"")</f>
        <v>151.20000000000002</v>
      </c>
      <c r="Z47" s="39">
        <f>IFERROR(IF(Y47=0,"",ROUNDUP(Y47/H47,0)*0.01898),"")</f>
        <v>0.26572000000000001</v>
      </c>
      <c r="AA47" s="65"/>
      <c r="AB47" s="66"/>
      <c r="AC47" s="105" t="s">
        <v>115</v>
      </c>
      <c r="AG47" s="75"/>
      <c r="AJ47" s="79"/>
      <c r="AK47" s="79">
        <v>0</v>
      </c>
      <c r="BB47" s="106" t="s">
        <v>1</v>
      </c>
      <c r="BM47" s="75">
        <f>IFERROR(X47*I47/H47,"0")</f>
        <v>155.69444444444446</v>
      </c>
      <c r="BN47" s="75">
        <f>IFERROR(Y47*I47/H47,"0")</f>
        <v>156.94</v>
      </c>
      <c r="BO47" s="75">
        <f>IFERROR(1/J47*(X47/H47),"0")</f>
        <v>0.21701388888888887</v>
      </c>
      <c r="BP47" s="75">
        <f>IFERROR(1/J47*(Y47/H47),"0")</f>
        <v>0.21875</v>
      </c>
    </row>
    <row r="48" spans="1:68" ht="27" hidden="1" customHeight="1" x14ac:dyDescent="0.25">
      <c r="A48" s="60" t="s">
        <v>116</v>
      </c>
      <c r="B48" s="60" t="s">
        <v>117</v>
      </c>
      <c r="C48" s="34">
        <v>4301012053</v>
      </c>
      <c r="D48" s="637">
        <v>4680115887725</v>
      </c>
      <c r="E48" s="63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118</v>
      </c>
      <c r="L48" s="35"/>
      <c r="M48" s="36" t="s">
        <v>65</v>
      </c>
      <c r="N48" s="36"/>
      <c r="O48" s="35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7"/>
      <c r="V48" s="37"/>
      <c r="W48" s="38" t="s">
        <v>66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/>
      <c r="AB48" s="66"/>
      <c r="AC48" s="107" t="s">
        <v>119</v>
      </c>
      <c r="AG48" s="75"/>
      <c r="AJ48" s="79"/>
      <c r="AK48" s="79">
        <v>0</v>
      </c>
      <c r="BB48" s="108" t="s">
        <v>1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120</v>
      </c>
      <c r="B49" s="60" t="s">
        <v>121</v>
      </c>
      <c r="C49" s="34">
        <v>4301011382</v>
      </c>
      <c r="D49" s="637">
        <v>4607091385687</v>
      </c>
      <c r="E49" s="63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122</v>
      </c>
      <c r="L49" s="35"/>
      <c r="M49" s="36" t="s">
        <v>77</v>
      </c>
      <c r="N49" s="36"/>
      <c r="O49" s="35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7"/>
      <c r="V49" s="37"/>
      <c r="W49" s="38" t="s">
        <v>66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/>
      <c r="AB49" s="66"/>
      <c r="AC49" s="109" t="s">
        <v>115</v>
      </c>
      <c r="AG49" s="75"/>
      <c r="AJ49" s="79"/>
      <c r="AK49" s="79">
        <v>0</v>
      </c>
      <c r="BB49" s="110" t="s">
        <v>1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123</v>
      </c>
      <c r="B50" s="60" t="s">
        <v>124</v>
      </c>
      <c r="C50" s="34">
        <v>4301011565</v>
      </c>
      <c r="D50" s="637">
        <v>4680115882539</v>
      </c>
      <c r="E50" s="63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122</v>
      </c>
      <c r="L50" s="35"/>
      <c r="M50" s="36" t="s">
        <v>77</v>
      </c>
      <c r="N50" s="36"/>
      <c r="O50" s="35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7"/>
      <c r="V50" s="37"/>
      <c r="W50" s="38" t="s">
        <v>66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/>
      <c r="AB50" s="66"/>
      <c r="AC50" s="111" t="s">
        <v>115</v>
      </c>
      <c r="AG50" s="75"/>
      <c r="AJ50" s="79"/>
      <c r="AK50" s="79">
        <v>0</v>
      </c>
      <c r="BB50" s="112" t="s">
        <v>1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71</v>
      </c>
      <c r="Q51" s="642"/>
      <c r="R51" s="642"/>
      <c r="S51" s="642"/>
      <c r="T51" s="642"/>
      <c r="U51" s="642"/>
      <c r="V51" s="643"/>
      <c r="W51" s="40" t="s">
        <v>72</v>
      </c>
      <c r="X51" s="41">
        <f>IFERROR(X47/H47,"0")+IFERROR(X48/H48,"0")+IFERROR(X49/H49,"0")+IFERROR(X50/H50,"0")</f>
        <v>13.888888888888888</v>
      </c>
      <c r="Y51" s="41">
        <f>IFERROR(Y47/H47,"0")+IFERROR(Y48/H48,"0")+IFERROR(Y49/H49,"0")+IFERROR(Y50/H50,"0")</f>
        <v>14</v>
      </c>
      <c r="Z51" s="41">
        <f>IFERROR(IF(Z47="",0,Z47),"0")+IFERROR(IF(Z48="",0,Z48),"0")+IFERROR(IF(Z49="",0,Z49),"0")+IFERROR(IF(Z50="",0,Z50),"0")</f>
        <v>0.26572000000000001</v>
      </c>
      <c r="AA51" s="64"/>
      <c r="AB51" s="64"/>
      <c r="AC51" s="64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71</v>
      </c>
      <c r="Q52" s="642"/>
      <c r="R52" s="642"/>
      <c r="S52" s="642"/>
      <c r="T52" s="642"/>
      <c r="U52" s="642"/>
      <c r="V52" s="643"/>
      <c r="W52" s="40" t="s">
        <v>66</v>
      </c>
      <c r="X52" s="41">
        <f>IFERROR(SUM(X47:X50),"0")</f>
        <v>150</v>
      </c>
      <c r="Y52" s="41">
        <f>IFERROR(SUM(Y47:Y50),"0")</f>
        <v>151.20000000000002</v>
      </c>
      <c r="Z52" s="40"/>
      <c r="AA52" s="64"/>
      <c r="AB52" s="64"/>
      <c r="AC52" s="64"/>
    </row>
    <row r="53" spans="1:68" ht="16.5" hidden="1" customHeight="1" x14ac:dyDescent="0.25">
      <c r="A53" s="639" t="s">
        <v>125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"/>
      <c r="AB53" s="62"/>
      <c r="AC53" s="62"/>
    </row>
    <row r="54" spans="1:68" ht="14.25" hidden="1" customHeight="1" x14ac:dyDescent="0.25">
      <c r="A54" s="644" t="s">
        <v>110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3"/>
      <c r="AB54" s="63"/>
      <c r="AC54" s="63"/>
    </row>
    <row r="55" spans="1:68" ht="27" hidden="1" customHeight="1" x14ac:dyDescent="0.25">
      <c r="A55" s="60" t="s">
        <v>126</v>
      </c>
      <c r="B55" s="60" t="s">
        <v>127</v>
      </c>
      <c r="C55" s="34">
        <v>4301012030</v>
      </c>
      <c r="D55" s="637">
        <v>4680115885882</v>
      </c>
      <c r="E55" s="63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113</v>
      </c>
      <c r="L55" s="35"/>
      <c r="M55" s="36" t="s">
        <v>77</v>
      </c>
      <c r="N55" s="36"/>
      <c r="O55" s="35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7"/>
      <c r="V55" s="37"/>
      <c r="W55" s="38" t="s">
        <v>66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/>
      <c r="AB55" s="66"/>
      <c r="AC55" s="113" t="s">
        <v>128</v>
      </c>
      <c r="AG55" s="75"/>
      <c r="AJ55" s="79"/>
      <c r="AK55" s="79">
        <v>0</v>
      </c>
      <c r="BB55" s="114" t="s">
        <v>1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126</v>
      </c>
      <c r="B56" s="60" t="s">
        <v>129</v>
      </c>
      <c r="C56" s="34">
        <v>4301012161</v>
      </c>
      <c r="D56" s="637">
        <v>4680115885882</v>
      </c>
      <c r="E56" s="638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113</v>
      </c>
      <c r="L56" s="35"/>
      <c r="M56" s="36" t="s">
        <v>114</v>
      </c>
      <c r="N56" s="36"/>
      <c r="O56" s="35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7"/>
      <c r="V56" s="37"/>
      <c r="W56" s="38" t="s">
        <v>66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/>
      <c r="AB56" s="66"/>
      <c r="AC56" s="115" t="s">
        <v>130</v>
      </c>
      <c r="AG56" s="75"/>
      <c r="AJ56" s="79"/>
      <c r="AK56" s="79">
        <v>0</v>
      </c>
      <c r="BB56" s="116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131</v>
      </c>
      <c r="B57" s="60" t="s">
        <v>132</v>
      </c>
      <c r="C57" s="34">
        <v>4301011816</v>
      </c>
      <c r="D57" s="637">
        <v>4680115881426</v>
      </c>
      <c r="E57" s="638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113</v>
      </c>
      <c r="L57" s="35"/>
      <c r="M57" s="36" t="s">
        <v>114</v>
      </c>
      <c r="N57" s="36"/>
      <c r="O57" s="35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7"/>
      <c r="V57" s="37"/>
      <c r="W57" s="38" t="s">
        <v>66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/>
      <c r="AB57" s="66"/>
      <c r="AC57" s="117" t="s">
        <v>133</v>
      </c>
      <c r="AG57" s="75"/>
      <c r="AJ57" s="79"/>
      <c r="AK57" s="79">
        <v>0</v>
      </c>
      <c r="BB57" s="118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134</v>
      </c>
      <c r="B58" s="60" t="s">
        <v>135</v>
      </c>
      <c r="C58" s="34">
        <v>4301011386</v>
      </c>
      <c r="D58" s="637">
        <v>4680115880283</v>
      </c>
      <c r="E58" s="638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122</v>
      </c>
      <c r="L58" s="35"/>
      <c r="M58" s="36" t="s">
        <v>114</v>
      </c>
      <c r="N58" s="36"/>
      <c r="O58" s="35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7"/>
      <c r="V58" s="37"/>
      <c r="W58" s="38" t="s">
        <v>66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/>
      <c r="AB58" s="66"/>
      <c r="AC58" s="119" t="s">
        <v>136</v>
      </c>
      <c r="AG58" s="75"/>
      <c r="AJ58" s="79"/>
      <c r="AK58" s="79">
        <v>0</v>
      </c>
      <c r="BB58" s="120" t="s">
        <v>1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134</v>
      </c>
      <c r="B59" s="60" t="s">
        <v>137</v>
      </c>
      <c r="C59" s="34">
        <v>4301012259</v>
      </c>
      <c r="D59" s="637">
        <v>4680115880283</v>
      </c>
      <c r="E59" s="638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122</v>
      </c>
      <c r="L59" s="35"/>
      <c r="M59" s="36" t="s">
        <v>114</v>
      </c>
      <c r="N59" s="36"/>
      <c r="O59" s="35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7"/>
      <c r="V59" s="37"/>
      <c r="W59" s="38" t="s">
        <v>66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/>
      <c r="AB59" s="66"/>
      <c r="AC59" s="121" t="s">
        <v>136</v>
      </c>
      <c r="AG59" s="75"/>
      <c r="AJ59" s="79"/>
      <c r="AK59" s="79">
        <v>0</v>
      </c>
      <c r="BB59" s="122" t="s">
        <v>1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138</v>
      </c>
      <c r="B60" s="60" t="s">
        <v>139</v>
      </c>
      <c r="C60" s="34">
        <v>4301011806</v>
      </c>
      <c r="D60" s="637">
        <v>4680115881525</v>
      </c>
      <c r="E60" s="638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122</v>
      </c>
      <c r="L60" s="35"/>
      <c r="M60" s="36" t="s">
        <v>114</v>
      </c>
      <c r="N60" s="36"/>
      <c r="O60" s="35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7"/>
      <c r="V60" s="37"/>
      <c r="W60" s="38" t="s">
        <v>66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/>
      <c r="AB60" s="66"/>
      <c r="AC60" s="123" t="s">
        <v>140</v>
      </c>
      <c r="AG60" s="75"/>
      <c r="AJ60" s="79"/>
      <c r="AK60" s="79">
        <v>0</v>
      </c>
      <c r="BB60" s="124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141</v>
      </c>
      <c r="B61" s="60" t="s">
        <v>142</v>
      </c>
      <c r="C61" s="34">
        <v>4301012165</v>
      </c>
      <c r="D61" s="637">
        <v>4680115885899</v>
      </c>
      <c r="E61" s="638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76</v>
      </c>
      <c r="L61" s="35"/>
      <c r="M61" s="36" t="s">
        <v>114</v>
      </c>
      <c r="N61" s="36"/>
      <c r="O61" s="35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7"/>
      <c r="V61" s="37"/>
      <c r="W61" s="38" t="s">
        <v>66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/>
      <c r="AB61" s="66"/>
      <c r="AC61" s="125" t="s">
        <v>130</v>
      </c>
      <c r="AG61" s="75"/>
      <c r="AJ61" s="79"/>
      <c r="AK61" s="79">
        <v>0</v>
      </c>
      <c r="BB61" s="126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143</v>
      </c>
      <c r="B62" s="60" t="s">
        <v>144</v>
      </c>
      <c r="C62" s="34">
        <v>4301011801</v>
      </c>
      <c r="D62" s="637">
        <v>4680115881419</v>
      </c>
      <c r="E62" s="638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122</v>
      </c>
      <c r="L62" s="35"/>
      <c r="M62" s="36" t="s">
        <v>114</v>
      </c>
      <c r="N62" s="36"/>
      <c r="O62" s="35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7"/>
      <c r="V62" s="37"/>
      <c r="W62" s="38" t="s">
        <v>66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7" t="s">
        <v>145</v>
      </c>
      <c r="AG62" s="75"/>
      <c r="AJ62" s="79"/>
      <c r="AK62" s="79">
        <v>0</v>
      </c>
      <c r="BB62" s="128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71</v>
      </c>
      <c r="Q63" s="642"/>
      <c r="R63" s="642"/>
      <c r="S63" s="642"/>
      <c r="T63" s="642"/>
      <c r="U63" s="642"/>
      <c r="V63" s="643"/>
      <c r="W63" s="40" t="s">
        <v>72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71</v>
      </c>
      <c r="Q64" s="642"/>
      <c r="R64" s="642"/>
      <c r="S64" s="642"/>
      <c r="T64" s="642"/>
      <c r="U64" s="642"/>
      <c r="V64" s="643"/>
      <c r="W64" s="40" t="s">
        <v>66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644" t="s">
        <v>146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3"/>
      <c r="AB65" s="63"/>
      <c r="AC65" s="63"/>
    </row>
    <row r="66" spans="1:68" ht="16.5" hidden="1" customHeight="1" x14ac:dyDescent="0.25">
      <c r="A66" s="60" t="s">
        <v>147</v>
      </c>
      <c r="B66" s="60" t="s">
        <v>148</v>
      </c>
      <c r="C66" s="34">
        <v>4301020298</v>
      </c>
      <c r="D66" s="637">
        <v>4680115881440</v>
      </c>
      <c r="E66" s="638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113</v>
      </c>
      <c r="L66" s="35"/>
      <c r="M66" s="36" t="s">
        <v>114</v>
      </c>
      <c r="N66" s="36"/>
      <c r="O66" s="35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7"/>
      <c r="V66" s="37"/>
      <c r="W66" s="38" t="s">
        <v>66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/>
      <c r="AB66" s="66"/>
      <c r="AC66" s="129" t="s">
        <v>149</v>
      </c>
      <c r="AG66" s="75"/>
      <c r="AJ66" s="79"/>
      <c r="AK66" s="79">
        <v>0</v>
      </c>
      <c r="BB66" s="130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150</v>
      </c>
      <c r="B67" s="60" t="s">
        <v>151</v>
      </c>
      <c r="C67" s="34">
        <v>4301020358</v>
      </c>
      <c r="D67" s="637">
        <v>4680115885950</v>
      </c>
      <c r="E67" s="638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76</v>
      </c>
      <c r="L67" s="35"/>
      <c r="M67" s="36" t="s">
        <v>77</v>
      </c>
      <c r="N67" s="36"/>
      <c r="O67" s="35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7"/>
      <c r="V67" s="37"/>
      <c r="W67" s="38" t="s">
        <v>66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/>
      <c r="AB67" s="66"/>
      <c r="AC67" s="131" t="s">
        <v>149</v>
      </c>
      <c r="AG67" s="75"/>
      <c r="AJ67" s="79"/>
      <c r="AK67" s="79">
        <v>0</v>
      </c>
      <c r="BB67" s="132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152</v>
      </c>
      <c r="B68" s="60" t="s">
        <v>153</v>
      </c>
      <c r="C68" s="34">
        <v>4301020371</v>
      </c>
      <c r="D68" s="637">
        <v>4680115887688</v>
      </c>
      <c r="E68" s="638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118</v>
      </c>
      <c r="L68" s="35"/>
      <c r="M68" s="36" t="s">
        <v>65</v>
      </c>
      <c r="N68" s="36"/>
      <c r="O68" s="35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7"/>
      <c r="V68" s="37"/>
      <c r="W68" s="38" t="s">
        <v>66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/>
      <c r="AB68" s="66"/>
      <c r="AC68" s="133" t="s">
        <v>154</v>
      </c>
      <c r="AG68" s="75"/>
      <c r="AJ68" s="79"/>
      <c r="AK68" s="79">
        <v>0</v>
      </c>
      <c r="BB68" s="134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155</v>
      </c>
      <c r="B69" s="60" t="s">
        <v>156</v>
      </c>
      <c r="C69" s="34">
        <v>4301020296</v>
      </c>
      <c r="D69" s="637">
        <v>4680115881433</v>
      </c>
      <c r="E69" s="638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76</v>
      </c>
      <c r="L69" s="35"/>
      <c r="M69" s="36" t="s">
        <v>114</v>
      </c>
      <c r="N69" s="36"/>
      <c r="O69" s="35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7"/>
      <c r="V69" s="37"/>
      <c r="W69" s="38" t="s">
        <v>66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/>
      <c r="AB69" s="66"/>
      <c r="AC69" s="135" t="s">
        <v>149</v>
      </c>
      <c r="AG69" s="75"/>
      <c r="AJ69" s="79"/>
      <c r="AK69" s="79">
        <v>0</v>
      </c>
      <c r="BB69" s="136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71</v>
      </c>
      <c r="Q70" s="642"/>
      <c r="R70" s="642"/>
      <c r="S70" s="642"/>
      <c r="T70" s="642"/>
      <c r="U70" s="642"/>
      <c r="V70" s="643"/>
      <c r="W70" s="40" t="s">
        <v>72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71</v>
      </c>
      <c r="Q71" s="642"/>
      <c r="R71" s="642"/>
      <c r="S71" s="642"/>
      <c r="T71" s="642"/>
      <c r="U71" s="642"/>
      <c r="V71" s="643"/>
      <c r="W71" s="40" t="s">
        <v>66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644" t="s">
        <v>73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3"/>
      <c r="AB72" s="63"/>
      <c r="AC72" s="63"/>
    </row>
    <row r="73" spans="1:68" ht="16.5" hidden="1" customHeight="1" x14ac:dyDescent="0.25">
      <c r="A73" s="60" t="s">
        <v>157</v>
      </c>
      <c r="B73" s="60" t="s">
        <v>158</v>
      </c>
      <c r="C73" s="34">
        <v>4301051837</v>
      </c>
      <c r="D73" s="637">
        <v>4680115884311</v>
      </c>
      <c r="E73" s="638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76</v>
      </c>
      <c r="L73" s="35"/>
      <c r="M73" s="36" t="s">
        <v>77</v>
      </c>
      <c r="N73" s="36"/>
      <c r="O73" s="35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7"/>
      <c r="V73" s="37"/>
      <c r="W73" s="38" t="s">
        <v>66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159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160</v>
      </c>
      <c r="B74" s="60" t="s">
        <v>161</v>
      </c>
      <c r="C74" s="34">
        <v>4301051929</v>
      </c>
      <c r="D74" s="637">
        <v>4680115884403</v>
      </c>
      <c r="E74" s="63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76</v>
      </c>
      <c r="L74" s="35"/>
      <c r="M74" s="36" t="s">
        <v>77</v>
      </c>
      <c r="N74" s="36"/>
      <c r="O74" s="35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7"/>
      <c r="V74" s="37"/>
      <c r="W74" s="38" t="s">
        <v>66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9" t="s">
        <v>162</v>
      </c>
      <c r="AG74" s="75"/>
      <c r="AJ74" s="79"/>
      <c r="AK74" s="79">
        <v>0</v>
      </c>
      <c r="BB74" s="140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71</v>
      </c>
      <c r="Q75" s="642"/>
      <c r="R75" s="642"/>
      <c r="S75" s="642"/>
      <c r="T75" s="642"/>
      <c r="U75" s="642"/>
      <c r="V75" s="643"/>
      <c r="W75" s="40" t="s">
        <v>72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71</v>
      </c>
      <c r="Q76" s="642"/>
      <c r="R76" s="642"/>
      <c r="S76" s="642"/>
      <c r="T76" s="642"/>
      <c r="U76" s="642"/>
      <c r="V76" s="643"/>
      <c r="W76" s="40" t="s">
        <v>66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644" t="s">
        <v>163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3"/>
      <c r="AB77" s="63"/>
      <c r="AC77" s="63"/>
    </row>
    <row r="78" spans="1:68" ht="27" hidden="1" customHeight="1" x14ac:dyDescent="0.25">
      <c r="A78" s="60" t="s">
        <v>164</v>
      </c>
      <c r="B78" s="60" t="s">
        <v>165</v>
      </c>
      <c r="C78" s="34">
        <v>4301060455</v>
      </c>
      <c r="D78" s="637">
        <v>4680115881532</v>
      </c>
      <c r="E78" s="63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113</v>
      </c>
      <c r="L78" s="35"/>
      <c r="M78" s="36" t="s">
        <v>83</v>
      </c>
      <c r="N78" s="36"/>
      <c r="O78" s="35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7"/>
      <c r="V78" s="37"/>
      <c r="W78" s="38" t="s">
        <v>66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41" t="s">
        <v>166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167</v>
      </c>
      <c r="B79" s="60" t="s">
        <v>168</v>
      </c>
      <c r="C79" s="34">
        <v>4301060351</v>
      </c>
      <c r="D79" s="637">
        <v>4680115881464</v>
      </c>
      <c r="E79" s="63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122</v>
      </c>
      <c r="L79" s="35"/>
      <c r="M79" s="36" t="s">
        <v>77</v>
      </c>
      <c r="N79" s="36"/>
      <c r="O79" s="35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7"/>
      <c r="V79" s="37"/>
      <c r="W79" s="38" t="s">
        <v>66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43" t="s">
        <v>169</v>
      </c>
      <c r="AG79" s="75"/>
      <c r="AJ79" s="79"/>
      <c r="AK79" s="79">
        <v>0</v>
      </c>
      <c r="BB79" s="144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71</v>
      </c>
      <c r="Q80" s="642"/>
      <c r="R80" s="642"/>
      <c r="S80" s="642"/>
      <c r="T80" s="642"/>
      <c r="U80" s="642"/>
      <c r="V80" s="643"/>
      <c r="W80" s="40" t="s">
        <v>72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71</v>
      </c>
      <c r="Q81" s="642"/>
      <c r="R81" s="642"/>
      <c r="S81" s="642"/>
      <c r="T81" s="642"/>
      <c r="U81" s="642"/>
      <c r="V81" s="643"/>
      <c r="W81" s="40" t="s">
        <v>66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639" t="s">
        <v>170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"/>
      <c r="AB82" s="62"/>
      <c r="AC82" s="62"/>
    </row>
    <row r="83" spans="1:68" ht="14.25" hidden="1" customHeight="1" x14ac:dyDescent="0.25">
      <c r="A83" s="644" t="s">
        <v>110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3"/>
      <c r="AB83" s="63"/>
      <c r="AC83" s="63"/>
    </row>
    <row r="84" spans="1:68" ht="27" hidden="1" customHeight="1" x14ac:dyDescent="0.25">
      <c r="A84" s="60" t="s">
        <v>171</v>
      </c>
      <c r="B84" s="60" t="s">
        <v>172</v>
      </c>
      <c r="C84" s="34">
        <v>4301011468</v>
      </c>
      <c r="D84" s="637">
        <v>4680115881327</v>
      </c>
      <c r="E84" s="638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113</v>
      </c>
      <c r="L84" s="35"/>
      <c r="M84" s="36" t="s">
        <v>83</v>
      </c>
      <c r="N84" s="36"/>
      <c r="O84" s="35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7"/>
      <c r="V84" s="37"/>
      <c r="W84" s="38" t="s">
        <v>66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/>
      <c r="AB84" s="66"/>
      <c r="AC84" s="145" t="s">
        <v>173</v>
      </c>
      <c r="AG84" s="75"/>
      <c r="AJ84" s="79"/>
      <c r="AK84" s="79">
        <v>0</v>
      </c>
      <c r="BB84" s="146" t="s">
        <v>1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174</v>
      </c>
      <c r="B85" s="60" t="s">
        <v>175</v>
      </c>
      <c r="C85" s="34">
        <v>4301011261</v>
      </c>
      <c r="D85" s="637">
        <v>4680115887732</v>
      </c>
      <c r="E85" s="638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118</v>
      </c>
      <c r="L85" s="35"/>
      <c r="M85" s="36" t="s">
        <v>65</v>
      </c>
      <c r="N85" s="36"/>
      <c r="O85" s="35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7"/>
      <c r="V85" s="37"/>
      <c r="W85" s="38" t="s">
        <v>66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47" t="s">
        <v>176</v>
      </c>
      <c r="AG85" s="75"/>
      <c r="AJ85" s="79"/>
      <c r="AK85" s="79">
        <v>0</v>
      </c>
      <c r="BB85" s="148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177</v>
      </c>
      <c r="B86" s="60" t="s">
        <v>178</v>
      </c>
      <c r="C86" s="34">
        <v>4301011476</v>
      </c>
      <c r="D86" s="637">
        <v>4680115881518</v>
      </c>
      <c r="E86" s="638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122</v>
      </c>
      <c r="L86" s="35"/>
      <c r="M86" s="36" t="s">
        <v>77</v>
      </c>
      <c r="N86" s="36"/>
      <c r="O86" s="35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7"/>
      <c r="V86" s="37"/>
      <c r="W86" s="38" t="s">
        <v>66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9" t="s">
        <v>173</v>
      </c>
      <c r="AG86" s="75"/>
      <c r="AJ86" s="79"/>
      <c r="AK86" s="79">
        <v>0</v>
      </c>
      <c r="BB86" s="150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179</v>
      </c>
      <c r="B87" s="60" t="s">
        <v>180</v>
      </c>
      <c r="C87" s="34">
        <v>4301011443</v>
      </c>
      <c r="D87" s="637">
        <v>4680115881303</v>
      </c>
      <c r="E87" s="638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122</v>
      </c>
      <c r="L87" s="35"/>
      <c r="M87" s="36" t="s">
        <v>83</v>
      </c>
      <c r="N87" s="36"/>
      <c r="O87" s="35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7"/>
      <c r="V87" s="37"/>
      <c r="W87" s="38" t="s">
        <v>66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51" t="s">
        <v>173</v>
      </c>
      <c r="AG87" s="75"/>
      <c r="AJ87" s="79"/>
      <c r="AK87" s="79">
        <v>0</v>
      </c>
      <c r="BB87" s="152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71</v>
      </c>
      <c r="Q88" s="642"/>
      <c r="R88" s="642"/>
      <c r="S88" s="642"/>
      <c r="T88" s="642"/>
      <c r="U88" s="642"/>
      <c r="V88" s="643"/>
      <c r="W88" s="40" t="s">
        <v>72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71</v>
      </c>
      <c r="Q89" s="642"/>
      <c r="R89" s="642"/>
      <c r="S89" s="642"/>
      <c r="T89" s="642"/>
      <c r="U89" s="642"/>
      <c r="V89" s="643"/>
      <c r="W89" s="40" t="s">
        <v>66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644" t="s">
        <v>73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3"/>
      <c r="AB90" s="63"/>
      <c r="AC90" s="63"/>
    </row>
    <row r="91" spans="1:68" ht="27" customHeight="1" x14ac:dyDescent="0.25">
      <c r="A91" s="60" t="s">
        <v>181</v>
      </c>
      <c r="B91" s="60" t="s">
        <v>182</v>
      </c>
      <c r="C91" s="34">
        <v>4301051712</v>
      </c>
      <c r="D91" s="637">
        <v>4607091386967</v>
      </c>
      <c r="E91" s="638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113</v>
      </c>
      <c r="L91" s="35"/>
      <c r="M91" s="36" t="s">
        <v>83</v>
      </c>
      <c r="N91" s="36"/>
      <c r="O91" s="35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7"/>
      <c r="V91" s="37"/>
      <c r="W91" s="38" t="s">
        <v>66</v>
      </c>
      <c r="X91" s="56">
        <v>350</v>
      </c>
      <c r="Y91" s="53">
        <f>IFERROR(IF(X91="",0,CEILING((X91/$H91),1)*$H91),"")</f>
        <v>356.4</v>
      </c>
      <c r="Z91" s="39">
        <f>IFERROR(IF(Y91=0,"",ROUNDUP(Y91/H91,0)*0.01898),"")</f>
        <v>0.83511999999999997</v>
      </c>
      <c r="AA91" s="65"/>
      <c r="AB91" s="66"/>
      <c r="AC91" s="153" t="s">
        <v>183</v>
      </c>
      <c r="AG91" s="75"/>
      <c r="AJ91" s="79"/>
      <c r="AK91" s="79">
        <v>0</v>
      </c>
      <c r="BB91" s="154" t="s">
        <v>1</v>
      </c>
      <c r="BM91" s="75">
        <f>IFERROR(X91*I91/H91,"0")</f>
        <v>371.34567901234567</v>
      </c>
      <c r="BN91" s="75">
        <f>IFERROR(Y91*I91/H91,"0")</f>
        <v>378.13599999999997</v>
      </c>
      <c r="BO91" s="75">
        <f>IFERROR(1/J91*(X91/H91),"0")</f>
        <v>0.67515432098765438</v>
      </c>
      <c r="BP91" s="75">
        <f>IFERROR(1/J91*(Y91/H91),"0")</f>
        <v>0.6875</v>
      </c>
    </row>
    <row r="92" spans="1:68" ht="27" hidden="1" customHeight="1" x14ac:dyDescent="0.25">
      <c r="A92" s="60" t="s">
        <v>184</v>
      </c>
      <c r="B92" s="60" t="s">
        <v>185</v>
      </c>
      <c r="C92" s="34">
        <v>4301051788</v>
      </c>
      <c r="D92" s="637">
        <v>4680115884953</v>
      </c>
      <c r="E92" s="638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76</v>
      </c>
      <c r="L92" s="35"/>
      <c r="M92" s="36" t="s">
        <v>77</v>
      </c>
      <c r="N92" s="36"/>
      <c r="O92" s="35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7"/>
      <c r="V92" s="37"/>
      <c r="W92" s="38" t="s">
        <v>66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55" t="s">
        <v>183</v>
      </c>
      <c r="AG92" s="75"/>
      <c r="AJ92" s="79"/>
      <c r="AK92" s="79">
        <v>0</v>
      </c>
      <c r="BB92" s="156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186</v>
      </c>
      <c r="B93" s="60" t="s">
        <v>187</v>
      </c>
      <c r="C93" s="34">
        <v>4301051718</v>
      </c>
      <c r="D93" s="637">
        <v>4607091385731</v>
      </c>
      <c r="E93" s="638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76</v>
      </c>
      <c r="L93" s="35"/>
      <c r="M93" s="36" t="s">
        <v>83</v>
      </c>
      <c r="N93" s="36"/>
      <c r="O93" s="35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7"/>
      <c r="V93" s="37"/>
      <c r="W93" s="38" t="s">
        <v>66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57" t="s">
        <v>183</v>
      </c>
      <c r="AG93" s="75"/>
      <c r="AJ93" s="79"/>
      <c r="AK93" s="79">
        <v>0</v>
      </c>
      <c r="BB93" s="158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hidden="1" customHeight="1" x14ac:dyDescent="0.25">
      <c r="A94" s="60" t="s">
        <v>188</v>
      </c>
      <c r="B94" s="60" t="s">
        <v>189</v>
      </c>
      <c r="C94" s="34">
        <v>4301052092</v>
      </c>
      <c r="D94" s="637">
        <v>4680115880894</v>
      </c>
      <c r="E94" s="638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76</v>
      </c>
      <c r="L94" s="35"/>
      <c r="M94" s="36" t="s">
        <v>77</v>
      </c>
      <c r="N94" s="36"/>
      <c r="O94" s="35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7"/>
      <c r="V94" s="37"/>
      <c r="W94" s="38" t="s">
        <v>66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9" t="s">
        <v>190</v>
      </c>
      <c r="AG94" s="75"/>
      <c r="AJ94" s="79"/>
      <c r="AK94" s="79">
        <v>0</v>
      </c>
      <c r="BB94" s="160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71</v>
      </c>
      <c r="Q95" s="642"/>
      <c r="R95" s="642"/>
      <c r="S95" s="642"/>
      <c r="T95" s="642"/>
      <c r="U95" s="642"/>
      <c r="V95" s="643"/>
      <c r="W95" s="40" t="s">
        <v>72</v>
      </c>
      <c r="X95" s="41">
        <f>IFERROR(X91/H91,"0")+IFERROR(X92/H92,"0")+IFERROR(X93/H93,"0")+IFERROR(X94/H94,"0")</f>
        <v>43.20987654320988</v>
      </c>
      <c r="Y95" s="41">
        <f>IFERROR(Y91/H91,"0")+IFERROR(Y92/H92,"0")+IFERROR(Y93/H93,"0")+IFERROR(Y94/H94,"0")</f>
        <v>44</v>
      </c>
      <c r="Z95" s="41">
        <f>IFERROR(IF(Z91="",0,Z91),"0")+IFERROR(IF(Z92="",0,Z92),"0")+IFERROR(IF(Z93="",0,Z93),"0")+IFERROR(IF(Z94="",0,Z94),"0")</f>
        <v>0.83511999999999997</v>
      </c>
      <c r="AA95" s="64"/>
      <c r="AB95" s="64"/>
      <c r="AC95" s="64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71</v>
      </c>
      <c r="Q96" s="642"/>
      <c r="R96" s="642"/>
      <c r="S96" s="642"/>
      <c r="T96" s="642"/>
      <c r="U96" s="642"/>
      <c r="V96" s="643"/>
      <c r="W96" s="40" t="s">
        <v>66</v>
      </c>
      <c r="X96" s="41">
        <f>IFERROR(SUM(X91:X94),"0")</f>
        <v>350</v>
      </c>
      <c r="Y96" s="41">
        <f>IFERROR(SUM(Y91:Y94),"0")</f>
        <v>356.4</v>
      </c>
      <c r="Z96" s="40"/>
      <c r="AA96" s="64"/>
      <c r="AB96" s="64"/>
      <c r="AC96" s="64"/>
    </row>
    <row r="97" spans="1:68" ht="16.5" hidden="1" customHeight="1" x14ac:dyDescent="0.25">
      <c r="A97" s="639" t="s">
        <v>191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"/>
      <c r="AB97" s="62"/>
      <c r="AC97" s="62"/>
    </row>
    <row r="98" spans="1:68" ht="14.25" hidden="1" customHeight="1" x14ac:dyDescent="0.25">
      <c r="A98" s="644" t="s">
        <v>110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3"/>
      <c r="AB98" s="63"/>
      <c r="AC98" s="63"/>
    </row>
    <row r="99" spans="1:68" ht="37.5" hidden="1" customHeight="1" x14ac:dyDescent="0.25">
      <c r="A99" s="60" t="s">
        <v>192</v>
      </c>
      <c r="B99" s="60" t="s">
        <v>193</v>
      </c>
      <c r="C99" s="34">
        <v>4301011514</v>
      </c>
      <c r="D99" s="637">
        <v>4680115882133</v>
      </c>
      <c r="E99" s="638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113</v>
      </c>
      <c r="L99" s="35"/>
      <c r="M99" s="36" t="s">
        <v>114</v>
      </c>
      <c r="N99" s="36"/>
      <c r="O99" s="35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7"/>
      <c r="V99" s="37"/>
      <c r="W99" s="38" t="s">
        <v>66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/>
      <c r="AB99" s="66"/>
      <c r="AC99" s="161" t="s">
        <v>194</v>
      </c>
      <c r="AG99" s="75"/>
      <c r="AJ99" s="79"/>
      <c r="AK99" s="79">
        <v>0</v>
      </c>
      <c r="BB99" s="162" t="s">
        <v>1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195</v>
      </c>
      <c r="B100" s="60" t="s">
        <v>196</v>
      </c>
      <c r="C100" s="34">
        <v>4301012051</v>
      </c>
      <c r="D100" s="637">
        <v>4680115887718</v>
      </c>
      <c r="E100" s="638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118</v>
      </c>
      <c r="L100" s="35"/>
      <c r="M100" s="36" t="s">
        <v>65</v>
      </c>
      <c r="N100" s="36"/>
      <c r="O100" s="35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7"/>
      <c r="V100" s="37"/>
      <c r="W100" s="38" t="s">
        <v>66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/>
      <c r="AB100" s="66"/>
      <c r="AC100" s="163" t="s">
        <v>197</v>
      </c>
      <c r="AG100" s="75"/>
      <c r="AJ100" s="79"/>
      <c r="AK100" s="79">
        <v>0</v>
      </c>
      <c r="BB100" s="164" t="s">
        <v>1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195</v>
      </c>
      <c r="B101" s="60" t="s">
        <v>198</v>
      </c>
      <c r="C101" s="34">
        <v>4301012334</v>
      </c>
      <c r="D101" s="637">
        <v>4680115887718</v>
      </c>
      <c r="E101" s="638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118</v>
      </c>
      <c r="L101" s="35"/>
      <c r="M101" s="36" t="s">
        <v>65</v>
      </c>
      <c r="N101" s="36"/>
      <c r="O101" s="35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7"/>
      <c r="V101" s="37"/>
      <c r="W101" s="38" t="s">
        <v>66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/>
      <c r="AB101" s="66"/>
      <c r="AC101" s="165" t="s">
        <v>197</v>
      </c>
      <c r="AG101" s="75"/>
      <c r="AJ101" s="79"/>
      <c r="AK101" s="79">
        <v>0</v>
      </c>
      <c r="BB101" s="166" t="s">
        <v>1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195</v>
      </c>
      <c r="B102" s="60" t="s">
        <v>199</v>
      </c>
      <c r="C102" s="34">
        <v>4301012379</v>
      </c>
      <c r="D102" s="637">
        <v>4680115887718</v>
      </c>
      <c r="E102" s="638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118</v>
      </c>
      <c r="L102" s="35"/>
      <c r="M102" s="36" t="s">
        <v>65</v>
      </c>
      <c r="N102" s="36"/>
      <c r="O102" s="35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7"/>
      <c r="V102" s="37"/>
      <c r="W102" s="38" t="s">
        <v>66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/>
      <c r="AB102" s="66"/>
      <c r="AC102" s="167" t="s">
        <v>197</v>
      </c>
      <c r="AG102" s="75"/>
      <c r="AJ102" s="79"/>
      <c r="AK102" s="79">
        <v>0</v>
      </c>
      <c r="BB102" s="168" t="s">
        <v>1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200</v>
      </c>
      <c r="B103" s="60" t="s">
        <v>201</v>
      </c>
      <c r="C103" s="34">
        <v>4301011417</v>
      </c>
      <c r="D103" s="637">
        <v>4680115880269</v>
      </c>
      <c r="E103" s="638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/>
      <c r="M103" s="36" t="s">
        <v>77</v>
      </c>
      <c r="N103" s="36"/>
      <c r="O103" s="35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7"/>
      <c r="V103" s="37"/>
      <c r="W103" s="38" t="s">
        <v>66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/>
      <c r="AB103" s="66"/>
      <c r="AC103" s="169" t="s">
        <v>194</v>
      </c>
      <c r="AG103" s="75"/>
      <c r="AJ103" s="79"/>
      <c r="AK103" s="79">
        <v>0</v>
      </c>
      <c r="BB103" s="170" t="s">
        <v>1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202</v>
      </c>
      <c r="B104" s="60" t="s">
        <v>203</v>
      </c>
      <c r="C104" s="34">
        <v>4301011415</v>
      </c>
      <c r="D104" s="637">
        <v>4680115880429</v>
      </c>
      <c r="E104" s="638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/>
      <c r="M104" s="36" t="s">
        <v>77</v>
      </c>
      <c r="N104" s="36"/>
      <c r="O104" s="35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7"/>
      <c r="V104" s="37"/>
      <c r="W104" s="38" t="s">
        <v>66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/>
      <c r="AB104" s="66"/>
      <c r="AC104" s="171" t="s">
        <v>194</v>
      </c>
      <c r="AG104" s="75"/>
      <c r="AJ104" s="79"/>
      <c r="AK104" s="79">
        <v>0</v>
      </c>
      <c r="BB104" s="172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204</v>
      </c>
      <c r="B105" s="60" t="s">
        <v>205</v>
      </c>
      <c r="C105" s="34">
        <v>4301011462</v>
      </c>
      <c r="D105" s="637">
        <v>4680115881457</v>
      </c>
      <c r="E105" s="638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/>
      <c r="M105" s="36" t="s">
        <v>77</v>
      </c>
      <c r="N105" s="36"/>
      <c r="O105" s="35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7"/>
      <c r="V105" s="37"/>
      <c r="W105" s="38" t="s">
        <v>66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/>
      <c r="AB105" s="66"/>
      <c r="AC105" s="173" t="s">
        <v>194</v>
      </c>
      <c r="AG105" s="75"/>
      <c r="AJ105" s="79"/>
      <c r="AK105" s="79">
        <v>0</v>
      </c>
      <c r="BB105" s="174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71</v>
      </c>
      <c r="Q106" s="642"/>
      <c r="R106" s="642"/>
      <c r="S106" s="642"/>
      <c r="T106" s="642"/>
      <c r="U106" s="642"/>
      <c r="V106" s="643"/>
      <c r="W106" s="40" t="s">
        <v>72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71</v>
      </c>
      <c r="Q107" s="642"/>
      <c r="R107" s="642"/>
      <c r="S107" s="642"/>
      <c r="T107" s="642"/>
      <c r="U107" s="642"/>
      <c r="V107" s="643"/>
      <c r="W107" s="40" t="s">
        <v>66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hidden="1" customHeight="1" x14ac:dyDescent="0.25">
      <c r="A108" s="644" t="s">
        <v>146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3"/>
      <c r="AB108" s="63"/>
      <c r="AC108" s="63"/>
    </row>
    <row r="109" spans="1:68" ht="27" hidden="1" customHeight="1" x14ac:dyDescent="0.25">
      <c r="A109" s="60" t="s">
        <v>206</v>
      </c>
      <c r="B109" s="60" t="s">
        <v>207</v>
      </c>
      <c r="C109" s="34">
        <v>4301020391</v>
      </c>
      <c r="D109" s="637">
        <v>4680115881488</v>
      </c>
      <c r="E109" s="638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113</v>
      </c>
      <c r="L109" s="35"/>
      <c r="M109" s="36" t="s">
        <v>114</v>
      </c>
      <c r="N109" s="36"/>
      <c r="O109" s="35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7"/>
      <c r="V109" s="37"/>
      <c r="W109" s="38" t="s">
        <v>66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/>
      <c r="AB109" s="66"/>
      <c r="AC109" s="175" t="s">
        <v>208</v>
      </c>
      <c r="AG109" s="75"/>
      <c r="AJ109" s="79"/>
      <c r="AK109" s="79">
        <v>0</v>
      </c>
      <c r="BB109" s="176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209</v>
      </c>
      <c r="B110" s="60" t="s">
        <v>210</v>
      </c>
      <c r="C110" s="34">
        <v>4301020186</v>
      </c>
      <c r="D110" s="637">
        <v>4680115887664</v>
      </c>
      <c r="E110" s="638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211</v>
      </c>
      <c r="L110" s="35"/>
      <c r="M110" s="36" t="s">
        <v>65</v>
      </c>
      <c r="N110" s="36"/>
      <c r="O110" s="35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7"/>
      <c r="V110" s="37"/>
      <c r="W110" s="38" t="s">
        <v>66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/>
      <c r="AB110" s="66"/>
      <c r="AC110" s="177" t="s">
        <v>212</v>
      </c>
      <c r="AG110" s="75"/>
      <c r="AJ110" s="79"/>
      <c r="AK110" s="79">
        <v>0</v>
      </c>
      <c r="BB110" s="178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209</v>
      </c>
      <c r="B111" s="60" t="s">
        <v>213</v>
      </c>
      <c r="C111" s="34">
        <v>4301020430</v>
      </c>
      <c r="D111" s="637">
        <v>4680115887664</v>
      </c>
      <c r="E111" s="638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211</v>
      </c>
      <c r="L111" s="35"/>
      <c r="M111" s="36" t="s">
        <v>65</v>
      </c>
      <c r="N111" s="36"/>
      <c r="O111" s="35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7"/>
      <c r="V111" s="37"/>
      <c r="W111" s="38" t="s">
        <v>66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/>
      <c r="AB111" s="66"/>
      <c r="AC111" s="179" t="s">
        <v>212</v>
      </c>
      <c r="AG111" s="75"/>
      <c r="AJ111" s="79"/>
      <c r="AK111" s="79">
        <v>0</v>
      </c>
      <c r="BB111" s="180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214</v>
      </c>
      <c r="B112" s="60" t="s">
        <v>215</v>
      </c>
      <c r="C112" s="34">
        <v>4301020393</v>
      </c>
      <c r="D112" s="637">
        <v>4680115882775</v>
      </c>
      <c r="E112" s="638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64</v>
      </c>
      <c r="L112" s="35"/>
      <c r="M112" s="36" t="s">
        <v>114</v>
      </c>
      <c r="N112" s="36"/>
      <c r="O112" s="35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7"/>
      <c r="V112" s="37"/>
      <c r="W112" s="38" t="s">
        <v>66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/>
      <c r="AB112" s="66"/>
      <c r="AC112" s="181" t="s">
        <v>208</v>
      </c>
      <c r="AG112" s="75"/>
      <c r="AJ112" s="79"/>
      <c r="AK112" s="79">
        <v>0</v>
      </c>
      <c r="BB112" s="182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216</v>
      </c>
      <c r="B113" s="60" t="s">
        <v>217</v>
      </c>
      <c r="C113" s="34">
        <v>4301020392</v>
      </c>
      <c r="D113" s="637">
        <v>4680115880658</v>
      </c>
      <c r="E113" s="638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76</v>
      </c>
      <c r="L113" s="35"/>
      <c r="M113" s="36" t="s">
        <v>114</v>
      </c>
      <c r="N113" s="36"/>
      <c r="O113" s="35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7"/>
      <c r="V113" s="37"/>
      <c r="W113" s="38" t="s">
        <v>66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/>
      <c r="AB113" s="66"/>
      <c r="AC113" s="183" t="s">
        <v>208</v>
      </c>
      <c r="AG113" s="75"/>
      <c r="AJ113" s="79"/>
      <c r="AK113" s="79">
        <v>0</v>
      </c>
      <c r="BB113" s="184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71</v>
      </c>
      <c r="Q114" s="642"/>
      <c r="R114" s="642"/>
      <c r="S114" s="642"/>
      <c r="T114" s="642"/>
      <c r="U114" s="642"/>
      <c r="V114" s="643"/>
      <c r="W114" s="40" t="s">
        <v>72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71</v>
      </c>
      <c r="Q115" s="642"/>
      <c r="R115" s="642"/>
      <c r="S115" s="642"/>
      <c r="T115" s="642"/>
      <c r="U115" s="642"/>
      <c r="V115" s="643"/>
      <c r="W115" s="40" t="s">
        <v>66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644" t="s">
        <v>73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3"/>
      <c r="AB116" s="63"/>
      <c r="AC116" s="63"/>
    </row>
    <row r="117" spans="1:68" ht="27" customHeight="1" x14ac:dyDescent="0.25">
      <c r="A117" s="60" t="s">
        <v>218</v>
      </c>
      <c r="B117" s="60" t="s">
        <v>219</v>
      </c>
      <c r="C117" s="34">
        <v>4301051724</v>
      </c>
      <c r="D117" s="637">
        <v>4607091385168</v>
      </c>
      <c r="E117" s="638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113</v>
      </c>
      <c r="L117" s="35"/>
      <c r="M117" s="36" t="s">
        <v>83</v>
      </c>
      <c r="N117" s="36"/>
      <c r="O117" s="35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7"/>
      <c r="V117" s="37"/>
      <c r="W117" s="38" t="s">
        <v>66</v>
      </c>
      <c r="X117" s="56">
        <v>300</v>
      </c>
      <c r="Y117" s="53">
        <f>IFERROR(IF(X117="",0,CEILING((X117/$H117),1)*$H117),"")</f>
        <v>307.8</v>
      </c>
      <c r="Z117" s="39">
        <f>IFERROR(IF(Y117=0,"",ROUNDUP(Y117/H117,0)*0.01898),"")</f>
        <v>0.72123999999999999</v>
      </c>
      <c r="AA117" s="65"/>
      <c r="AB117" s="66"/>
      <c r="AC117" s="185" t="s">
        <v>220</v>
      </c>
      <c r="AG117" s="75"/>
      <c r="AJ117" s="79"/>
      <c r="AK117" s="79">
        <v>0</v>
      </c>
      <c r="BB117" s="186" t="s">
        <v>1</v>
      </c>
      <c r="BM117" s="75">
        <f>IFERROR(X117*I117/H117,"0")</f>
        <v>318.07407407407402</v>
      </c>
      <c r="BN117" s="75">
        <f>IFERROR(Y117*I117/H117,"0")</f>
        <v>326.34399999999999</v>
      </c>
      <c r="BO117" s="75">
        <f>IFERROR(1/J117*(X117/H117),"0")</f>
        <v>0.57870370370370372</v>
      </c>
      <c r="BP117" s="75">
        <f>IFERROR(1/J117*(Y117/H117),"0")</f>
        <v>0.59375</v>
      </c>
    </row>
    <row r="118" spans="1:68" ht="27" hidden="1" customHeight="1" x14ac:dyDescent="0.25">
      <c r="A118" s="60" t="s">
        <v>221</v>
      </c>
      <c r="B118" s="60" t="s">
        <v>222</v>
      </c>
      <c r="C118" s="34">
        <v>4301051730</v>
      </c>
      <c r="D118" s="637">
        <v>4607091383256</v>
      </c>
      <c r="E118" s="638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76</v>
      </c>
      <c r="L118" s="35"/>
      <c r="M118" s="36" t="s">
        <v>83</v>
      </c>
      <c r="N118" s="36"/>
      <c r="O118" s="35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7"/>
      <c r="V118" s="37"/>
      <c r="W118" s="38" t="s">
        <v>66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87" t="s">
        <v>220</v>
      </c>
      <c r="AG118" s="75"/>
      <c r="AJ118" s="79"/>
      <c r="AK118" s="79">
        <v>0</v>
      </c>
      <c r="BB118" s="188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223</v>
      </c>
      <c r="B119" s="60" t="s">
        <v>224</v>
      </c>
      <c r="C119" s="34">
        <v>4301051721</v>
      </c>
      <c r="D119" s="637">
        <v>4607091385748</v>
      </c>
      <c r="E119" s="638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76</v>
      </c>
      <c r="L119" s="35"/>
      <c r="M119" s="36" t="s">
        <v>83</v>
      </c>
      <c r="N119" s="36"/>
      <c r="O119" s="35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7"/>
      <c r="V119" s="37"/>
      <c r="W119" s="38" t="s">
        <v>66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/>
      <c r="AB119" s="66"/>
      <c r="AC119" s="189" t="s">
        <v>220</v>
      </c>
      <c r="AG119" s="75"/>
      <c r="AJ119" s="79"/>
      <c r="AK119" s="79">
        <v>0</v>
      </c>
      <c r="BB119" s="190" t="s">
        <v>1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225</v>
      </c>
      <c r="B120" s="60" t="s">
        <v>226</v>
      </c>
      <c r="C120" s="34">
        <v>4301051740</v>
      </c>
      <c r="D120" s="637">
        <v>4680115884533</v>
      </c>
      <c r="E120" s="638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76</v>
      </c>
      <c r="L120" s="35"/>
      <c r="M120" s="36" t="s">
        <v>77</v>
      </c>
      <c r="N120" s="36"/>
      <c r="O120" s="35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7"/>
      <c r="V120" s="37"/>
      <c r="W120" s="38" t="s">
        <v>66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91" t="s">
        <v>227</v>
      </c>
      <c r="AG120" s="75"/>
      <c r="AJ120" s="79"/>
      <c r="AK120" s="79">
        <v>0</v>
      </c>
      <c r="BB120" s="192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71</v>
      </c>
      <c r="Q121" s="642"/>
      <c r="R121" s="642"/>
      <c r="S121" s="642"/>
      <c r="T121" s="642"/>
      <c r="U121" s="642"/>
      <c r="V121" s="643"/>
      <c r="W121" s="40" t="s">
        <v>72</v>
      </c>
      <c r="X121" s="41">
        <f>IFERROR(X117/H117,"0")+IFERROR(X118/H118,"0")+IFERROR(X119/H119,"0")+IFERROR(X120/H120,"0")</f>
        <v>37.037037037037038</v>
      </c>
      <c r="Y121" s="41">
        <f>IFERROR(Y117/H117,"0")+IFERROR(Y118/H118,"0")+IFERROR(Y119/H119,"0")+IFERROR(Y120/H120,"0")</f>
        <v>38</v>
      </c>
      <c r="Z121" s="41">
        <f>IFERROR(IF(Z117="",0,Z117),"0")+IFERROR(IF(Z118="",0,Z118),"0")+IFERROR(IF(Z119="",0,Z119),"0")+IFERROR(IF(Z120="",0,Z120),"0")</f>
        <v>0.72123999999999999</v>
      </c>
      <c r="AA121" s="64"/>
      <c r="AB121" s="64"/>
      <c r="AC121" s="64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71</v>
      </c>
      <c r="Q122" s="642"/>
      <c r="R122" s="642"/>
      <c r="S122" s="642"/>
      <c r="T122" s="642"/>
      <c r="U122" s="642"/>
      <c r="V122" s="643"/>
      <c r="W122" s="40" t="s">
        <v>66</v>
      </c>
      <c r="X122" s="41">
        <f>IFERROR(SUM(X117:X120),"0")</f>
        <v>300</v>
      </c>
      <c r="Y122" s="41">
        <f>IFERROR(SUM(Y117:Y120),"0")</f>
        <v>307.8</v>
      </c>
      <c r="Z122" s="40"/>
      <c r="AA122" s="64"/>
      <c r="AB122" s="64"/>
      <c r="AC122" s="64"/>
    </row>
    <row r="123" spans="1:68" ht="14.25" hidden="1" customHeight="1" x14ac:dyDescent="0.25">
      <c r="A123" s="644" t="s">
        <v>163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3"/>
      <c r="AB123" s="63"/>
      <c r="AC123" s="63"/>
    </row>
    <row r="124" spans="1:68" ht="16.5" hidden="1" customHeight="1" x14ac:dyDescent="0.25">
      <c r="A124" s="60" t="s">
        <v>228</v>
      </c>
      <c r="B124" s="60" t="s">
        <v>229</v>
      </c>
      <c r="C124" s="34">
        <v>4301060317</v>
      </c>
      <c r="D124" s="637">
        <v>4680115880238</v>
      </c>
      <c r="E124" s="638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76</v>
      </c>
      <c r="L124" s="35"/>
      <c r="M124" s="36" t="s">
        <v>77</v>
      </c>
      <c r="N124" s="36"/>
      <c r="O124" s="35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7"/>
      <c r="V124" s="37"/>
      <c r="W124" s="38" t="s">
        <v>66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230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71</v>
      </c>
      <c r="Q125" s="642"/>
      <c r="R125" s="642"/>
      <c r="S125" s="642"/>
      <c r="T125" s="642"/>
      <c r="U125" s="642"/>
      <c r="V125" s="643"/>
      <c r="W125" s="40" t="s">
        <v>72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71</v>
      </c>
      <c r="Q126" s="642"/>
      <c r="R126" s="642"/>
      <c r="S126" s="642"/>
      <c r="T126" s="642"/>
      <c r="U126" s="642"/>
      <c r="V126" s="643"/>
      <c r="W126" s="40" t="s">
        <v>66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639" t="s">
        <v>231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"/>
      <c r="AB127" s="62"/>
      <c r="AC127" s="62"/>
    </row>
    <row r="128" spans="1:68" ht="14.25" hidden="1" customHeight="1" x14ac:dyDescent="0.25">
      <c r="A128" s="644" t="s">
        <v>110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3"/>
      <c r="AB128" s="63"/>
      <c r="AC128" s="63"/>
    </row>
    <row r="129" spans="1:68" ht="27" hidden="1" customHeight="1" x14ac:dyDescent="0.25">
      <c r="A129" s="60" t="s">
        <v>232</v>
      </c>
      <c r="B129" s="60" t="s">
        <v>233</v>
      </c>
      <c r="C129" s="34">
        <v>4301012347</v>
      </c>
      <c r="D129" s="637">
        <v>4680115888784</v>
      </c>
      <c r="E129" s="638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113</v>
      </c>
      <c r="L129" s="35"/>
      <c r="M129" s="36" t="s">
        <v>234</v>
      </c>
      <c r="N129" s="36"/>
      <c r="O129" s="35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7"/>
      <c r="V129" s="37"/>
      <c r="W129" s="38" t="s">
        <v>66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/>
      <c r="AB129" s="66"/>
      <c r="AC129" s="195" t="s">
        <v>235</v>
      </c>
      <c r="AG129" s="75"/>
      <c r="AJ129" s="79"/>
      <c r="AK129" s="79">
        <v>0</v>
      </c>
      <c r="BB129" s="196" t="s">
        <v>1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236</v>
      </c>
      <c r="B130" s="60" t="s">
        <v>237</v>
      </c>
      <c r="C130" s="34">
        <v>4301011562</v>
      </c>
      <c r="D130" s="637">
        <v>4680115882577</v>
      </c>
      <c r="E130" s="638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76</v>
      </c>
      <c r="L130" s="35"/>
      <c r="M130" s="36" t="s">
        <v>238</v>
      </c>
      <c r="N130" s="36"/>
      <c r="O130" s="35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7"/>
      <c r="V130" s="37"/>
      <c r="W130" s="38" t="s">
        <v>66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97" t="s">
        <v>239</v>
      </c>
      <c r="AG130" s="75"/>
      <c r="AJ130" s="79"/>
      <c r="AK130" s="79">
        <v>0</v>
      </c>
      <c r="BB130" s="198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236</v>
      </c>
      <c r="B131" s="60" t="s">
        <v>240</v>
      </c>
      <c r="C131" s="34">
        <v>4301011564</v>
      </c>
      <c r="D131" s="637">
        <v>4680115882577</v>
      </c>
      <c r="E131" s="63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76</v>
      </c>
      <c r="L131" s="35"/>
      <c r="M131" s="36" t="s">
        <v>238</v>
      </c>
      <c r="N131" s="36"/>
      <c r="O131" s="35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7"/>
      <c r="V131" s="37"/>
      <c r="W131" s="38" t="s">
        <v>66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99" t="s">
        <v>239</v>
      </c>
      <c r="AG131" s="75"/>
      <c r="AJ131" s="79"/>
      <c r="AK131" s="79">
        <v>0</v>
      </c>
      <c r="BB131" s="200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71</v>
      </c>
      <c r="Q132" s="642"/>
      <c r="R132" s="642"/>
      <c r="S132" s="642"/>
      <c r="T132" s="642"/>
      <c r="U132" s="642"/>
      <c r="V132" s="643"/>
      <c r="W132" s="40" t="s">
        <v>72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71</v>
      </c>
      <c r="Q133" s="642"/>
      <c r="R133" s="642"/>
      <c r="S133" s="642"/>
      <c r="T133" s="642"/>
      <c r="U133" s="642"/>
      <c r="V133" s="643"/>
      <c r="W133" s="40" t="s">
        <v>66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644" t="s">
        <v>61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3"/>
      <c r="AB134" s="63"/>
      <c r="AC134" s="63"/>
    </row>
    <row r="135" spans="1:68" ht="16.5" hidden="1" customHeight="1" x14ac:dyDescent="0.25">
      <c r="A135" s="60" t="s">
        <v>241</v>
      </c>
      <c r="B135" s="60" t="s">
        <v>242</v>
      </c>
      <c r="C135" s="34">
        <v>4301031506</v>
      </c>
      <c r="D135" s="637">
        <v>4680115888913</v>
      </c>
      <c r="E135" s="638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113</v>
      </c>
      <c r="L135" s="35"/>
      <c r="M135" s="36" t="s">
        <v>234</v>
      </c>
      <c r="N135" s="36"/>
      <c r="O135" s="35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7"/>
      <c r="V135" s="37"/>
      <c r="W135" s="38" t="s">
        <v>66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/>
      <c r="AB135" s="66"/>
      <c r="AC135" s="201" t="s">
        <v>243</v>
      </c>
      <c r="AG135" s="75"/>
      <c r="AJ135" s="79"/>
      <c r="AK135" s="79">
        <v>0</v>
      </c>
      <c r="BB135" s="202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244</v>
      </c>
      <c r="B136" s="60" t="s">
        <v>245</v>
      </c>
      <c r="C136" s="34">
        <v>4301031234</v>
      </c>
      <c r="D136" s="637">
        <v>4680115883444</v>
      </c>
      <c r="E136" s="63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76</v>
      </c>
      <c r="L136" s="35"/>
      <c r="M136" s="36" t="s">
        <v>238</v>
      </c>
      <c r="N136" s="36"/>
      <c r="O136" s="35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7"/>
      <c r="V136" s="37"/>
      <c r="W136" s="38" t="s">
        <v>66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203" t="s">
        <v>246</v>
      </c>
      <c r="AG136" s="75"/>
      <c r="AJ136" s="79"/>
      <c r="AK136" s="79">
        <v>0</v>
      </c>
      <c r="BB136" s="204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244</v>
      </c>
      <c r="B137" s="60" t="s">
        <v>247</v>
      </c>
      <c r="C137" s="34">
        <v>4301031235</v>
      </c>
      <c r="D137" s="637">
        <v>4680115883444</v>
      </c>
      <c r="E137" s="63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76</v>
      </c>
      <c r="L137" s="35"/>
      <c r="M137" s="36" t="s">
        <v>238</v>
      </c>
      <c r="N137" s="36"/>
      <c r="O137" s="35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7"/>
      <c r="V137" s="37"/>
      <c r="W137" s="38" t="s">
        <v>66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205" t="s">
        <v>246</v>
      </c>
      <c r="AG137" s="75"/>
      <c r="AJ137" s="79"/>
      <c r="AK137" s="79">
        <v>0</v>
      </c>
      <c r="BB137" s="206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248</v>
      </c>
      <c r="B138" s="60" t="s">
        <v>249</v>
      </c>
      <c r="C138" s="34">
        <v>4301031504</v>
      </c>
      <c r="D138" s="637">
        <v>4680115888920</v>
      </c>
      <c r="E138" s="638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64</v>
      </c>
      <c r="L138" s="35"/>
      <c r="M138" s="36" t="s">
        <v>234</v>
      </c>
      <c r="N138" s="36"/>
      <c r="O138" s="35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7"/>
      <c r="V138" s="37"/>
      <c r="W138" s="38" t="s">
        <v>66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/>
      <c r="AB138" s="66"/>
      <c r="AC138" s="207" t="s">
        <v>243</v>
      </c>
      <c r="AG138" s="75"/>
      <c r="AJ138" s="79"/>
      <c r="AK138" s="79">
        <v>0</v>
      </c>
      <c r="BB138" s="208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71</v>
      </c>
      <c r="Q139" s="642"/>
      <c r="R139" s="642"/>
      <c r="S139" s="642"/>
      <c r="T139" s="642"/>
      <c r="U139" s="642"/>
      <c r="V139" s="643"/>
      <c r="W139" s="40" t="s">
        <v>72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71</v>
      </c>
      <c r="Q140" s="642"/>
      <c r="R140" s="642"/>
      <c r="S140" s="642"/>
      <c r="T140" s="642"/>
      <c r="U140" s="642"/>
      <c r="V140" s="643"/>
      <c r="W140" s="40" t="s">
        <v>66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4" t="s">
        <v>73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3"/>
      <c r="AB141" s="63"/>
      <c r="AC141" s="63"/>
    </row>
    <row r="142" spans="1:68" ht="16.5" hidden="1" customHeight="1" x14ac:dyDescent="0.25">
      <c r="A142" s="60" t="s">
        <v>250</v>
      </c>
      <c r="B142" s="60" t="s">
        <v>251</v>
      </c>
      <c r="C142" s="34">
        <v>4301052219</v>
      </c>
      <c r="D142" s="637">
        <v>4680115888944</v>
      </c>
      <c r="E142" s="638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76</v>
      </c>
      <c r="L142" s="35"/>
      <c r="M142" s="36" t="s">
        <v>234</v>
      </c>
      <c r="N142" s="36"/>
      <c r="O142" s="35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7"/>
      <c r="V142" s="37"/>
      <c r="W142" s="38" t="s">
        <v>66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9" t="s">
        <v>235</v>
      </c>
      <c r="AG142" s="75"/>
      <c r="AJ142" s="79"/>
      <c r="AK142" s="79">
        <v>0</v>
      </c>
      <c r="BB142" s="210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252</v>
      </c>
      <c r="B143" s="60" t="s">
        <v>253</v>
      </c>
      <c r="C143" s="34">
        <v>4301051476</v>
      </c>
      <c r="D143" s="637">
        <v>4680115882584</v>
      </c>
      <c r="E143" s="63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76</v>
      </c>
      <c r="L143" s="35"/>
      <c r="M143" s="36" t="s">
        <v>238</v>
      </c>
      <c r="N143" s="36"/>
      <c r="O143" s="35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7"/>
      <c r="V143" s="37"/>
      <c r="W143" s="38" t="s">
        <v>66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11" t="s">
        <v>239</v>
      </c>
      <c r="AG143" s="75"/>
      <c r="AJ143" s="79"/>
      <c r="AK143" s="79">
        <v>0</v>
      </c>
      <c r="BB143" s="212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252</v>
      </c>
      <c r="B144" s="60" t="s">
        <v>254</v>
      </c>
      <c r="C144" s="34">
        <v>4301051477</v>
      </c>
      <c r="D144" s="637">
        <v>4680115882584</v>
      </c>
      <c r="E144" s="63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76</v>
      </c>
      <c r="L144" s="35"/>
      <c r="M144" s="36" t="s">
        <v>238</v>
      </c>
      <c r="N144" s="36"/>
      <c r="O144" s="35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7"/>
      <c r="V144" s="37"/>
      <c r="W144" s="38" t="s">
        <v>66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13" t="s">
        <v>239</v>
      </c>
      <c r="AG144" s="75"/>
      <c r="AJ144" s="79"/>
      <c r="AK144" s="79">
        <v>0</v>
      </c>
      <c r="BB144" s="214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71</v>
      </c>
      <c r="Q145" s="642"/>
      <c r="R145" s="642"/>
      <c r="S145" s="642"/>
      <c r="T145" s="642"/>
      <c r="U145" s="642"/>
      <c r="V145" s="643"/>
      <c r="W145" s="40" t="s">
        <v>72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71</v>
      </c>
      <c r="Q146" s="642"/>
      <c r="R146" s="642"/>
      <c r="S146" s="642"/>
      <c r="T146" s="642"/>
      <c r="U146" s="642"/>
      <c r="V146" s="643"/>
      <c r="W146" s="40" t="s">
        <v>66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39" t="s">
        <v>255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"/>
      <c r="AB147" s="62"/>
      <c r="AC147" s="62"/>
    </row>
    <row r="148" spans="1:68" ht="14.25" hidden="1" customHeight="1" x14ac:dyDescent="0.25">
      <c r="A148" s="644" t="s">
        <v>73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3"/>
      <c r="AB148" s="63"/>
      <c r="AC148" s="63"/>
    </row>
    <row r="149" spans="1:68" ht="27" hidden="1" customHeight="1" x14ac:dyDescent="0.25">
      <c r="A149" s="60" t="s">
        <v>256</v>
      </c>
      <c r="B149" s="60" t="s">
        <v>257</v>
      </c>
      <c r="C149" s="34">
        <v>4301052254</v>
      </c>
      <c r="D149" s="637">
        <v>4680115888203</v>
      </c>
      <c r="E149" s="63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76</v>
      </c>
      <c r="L149" s="35"/>
      <c r="M149" s="36" t="s">
        <v>83</v>
      </c>
      <c r="N149" s="36"/>
      <c r="O149" s="35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7"/>
      <c r="V149" s="37"/>
      <c r="W149" s="38" t="s">
        <v>66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/>
      <c r="AB149" s="66"/>
      <c r="AC149" s="215" t="s">
        <v>258</v>
      </c>
      <c r="AG149" s="75"/>
      <c r="AJ149" s="79"/>
      <c r="AK149" s="79">
        <v>0</v>
      </c>
      <c r="BB149" s="216" t="s">
        <v>1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4301052172</v>
      </c>
      <c r="D150" s="637">
        <v>4680115888180</v>
      </c>
      <c r="E150" s="63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76</v>
      </c>
      <c r="L150" s="35"/>
      <c r="M150" s="36" t="s">
        <v>83</v>
      </c>
      <c r="N150" s="36"/>
      <c r="O150" s="35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7"/>
      <c r="V150" s="37"/>
      <c r="W150" s="38" t="s">
        <v>66</v>
      </c>
      <c r="X150" s="56">
        <v>0</v>
      </c>
      <c r="Y150" s="53">
        <f t="shared" si="10"/>
        <v>0</v>
      </c>
      <c r="Z150" s="39" t="str">
        <f t="shared" si="11"/>
        <v/>
      </c>
      <c r="AA150" s="65"/>
      <c r="AB150" s="66"/>
      <c r="AC150" s="217" t="s">
        <v>261</v>
      </c>
      <c r="AG150" s="75"/>
      <c r="AJ150" s="79"/>
      <c r="AK150" s="79">
        <v>0</v>
      </c>
      <c r="BB150" s="218" t="s">
        <v>1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259</v>
      </c>
      <c r="B151" s="60" t="s">
        <v>262</v>
      </c>
      <c r="C151" s="34">
        <v>4301052252</v>
      </c>
      <c r="D151" s="637">
        <v>4680115888180</v>
      </c>
      <c r="E151" s="63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76</v>
      </c>
      <c r="L151" s="35"/>
      <c r="M151" s="36" t="s">
        <v>83</v>
      </c>
      <c r="N151" s="36"/>
      <c r="O151" s="35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7"/>
      <c r="V151" s="37"/>
      <c r="W151" s="38" t="s">
        <v>66</v>
      </c>
      <c r="X151" s="56">
        <v>0</v>
      </c>
      <c r="Y151" s="53">
        <f t="shared" si="10"/>
        <v>0</v>
      </c>
      <c r="Z151" s="39" t="str">
        <f t="shared" si="11"/>
        <v/>
      </c>
      <c r="AA151" s="65"/>
      <c r="AB151" s="66"/>
      <c r="AC151" s="219" t="s">
        <v>261</v>
      </c>
      <c r="AG151" s="75"/>
      <c r="AJ151" s="79"/>
      <c r="AK151" s="79">
        <v>0</v>
      </c>
      <c r="BB151" s="220" t="s">
        <v>1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263</v>
      </c>
      <c r="B152" s="60" t="s">
        <v>264</v>
      </c>
      <c r="C152" s="34">
        <v>4301052173</v>
      </c>
      <c r="D152" s="637">
        <v>4680115888197</v>
      </c>
      <c r="E152" s="63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76</v>
      </c>
      <c r="L152" s="35"/>
      <c r="M152" s="36" t="s">
        <v>83</v>
      </c>
      <c r="N152" s="36"/>
      <c r="O152" s="35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7"/>
      <c r="V152" s="37"/>
      <c r="W152" s="38" t="s">
        <v>66</v>
      </c>
      <c r="X152" s="56">
        <v>0</v>
      </c>
      <c r="Y152" s="53">
        <f t="shared" si="10"/>
        <v>0</v>
      </c>
      <c r="Z152" s="39" t="str">
        <f t="shared" si="11"/>
        <v/>
      </c>
      <c r="AA152" s="65"/>
      <c r="AB152" s="66"/>
      <c r="AC152" s="221" t="s">
        <v>265</v>
      </c>
      <c r="AG152" s="75"/>
      <c r="AJ152" s="79"/>
      <c r="AK152" s="79">
        <v>0</v>
      </c>
      <c r="BB152" s="222" t="s">
        <v>1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263</v>
      </c>
      <c r="B153" s="60" t="s">
        <v>266</v>
      </c>
      <c r="C153" s="34">
        <v>4301052253</v>
      </c>
      <c r="D153" s="637">
        <v>4680115888197</v>
      </c>
      <c r="E153" s="638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76</v>
      </c>
      <c r="L153" s="35"/>
      <c r="M153" s="36" t="s">
        <v>83</v>
      </c>
      <c r="N153" s="36"/>
      <c r="O153" s="35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7"/>
      <c r="V153" s="37"/>
      <c r="W153" s="38" t="s">
        <v>66</v>
      </c>
      <c r="X153" s="56">
        <v>0</v>
      </c>
      <c r="Y153" s="53">
        <f t="shared" si="10"/>
        <v>0</v>
      </c>
      <c r="Z153" s="39" t="str">
        <f t="shared" si="11"/>
        <v/>
      </c>
      <c r="AA153" s="65"/>
      <c r="AB153" s="66"/>
      <c r="AC153" s="223" t="s">
        <v>265</v>
      </c>
      <c r="AG153" s="75"/>
      <c r="AJ153" s="79"/>
      <c r="AK153" s="79">
        <v>0</v>
      </c>
      <c r="BB153" s="224" t="s">
        <v>1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267</v>
      </c>
      <c r="B154" s="60" t="s">
        <v>268</v>
      </c>
      <c r="C154" s="34">
        <v>4301052175</v>
      </c>
      <c r="D154" s="637">
        <v>4680115888210</v>
      </c>
      <c r="E154" s="638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76</v>
      </c>
      <c r="L154" s="35"/>
      <c r="M154" s="36" t="s">
        <v>83</v>
      </c>
      <c r="N154" s="36"/>
      <c r="O154" s="35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7"/>
      <c r="V154" s="37"/>
      <c r="W154" s="38" t="s">
        <v>66</v>
      </c>
      <c r="X154" s="56">
        <v>0</v>
      </c>
      <c r="Y154" s="53">
        <f t="shared" si="10"/>
        <v>0</v>
      </c>
      <c r="Z154" s="39" t="str">
        <f t="shared" si="11"/>
        <v/>
      </c>
      <c r="AA154" s="65"/>
      <c r="AB154" s="66"/>
      <c r="AC154" s="225" t="s">
        <v>269</v>
      </c>
      <c r="AG154" s="75"/>
      <c r="AJ154" s="79"/>
      <c r="AK154" s="79">
        <v>0</v>
      </c>
      <c r="BB154" s="226" t="s">
        <v>1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267</v>
      </c>
      <c r="B155" s="60" t="s">
        <v>270</v>
      </c>
      <c r="C155" s="34">
        <v>4301052255</v>
      </c>
      <c r="D155" s="637">
        <v>4680115888210</v>
      </c>
      <c r="E155" s="638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76</v>
      </c>
      <c r="L155" s="35"/>
      <c r="M155" s="36" t="s">
        <v>83</v>
      </c>
      <c r="N155" s="36"/>
      <c r="O155" s="35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7"/>
      <c r="V155" s="37"/>
      <c r="W155" s="38" t="s">
        <v>66</v>
      </c>
      <c r="X155" s="56">
        <v>0</v>
      </c>
      <c r="Y155" s="53">
        <f t="shared" si="10"/>
        <v>0</v>
      </c>
      <c r="Z155" s="39" t="str">
        <f t="shared" si="11"/>
        <v/>
      </c>
      <c r="AA155" s="65"/>
      <c r="AB155" s="66"/>
      <c r="AC155" s="227" t="s">
        <v>269</v>
      </c>
      <c r="AG155" s="75"/>
      <c r="AJ155" s="79"/>
      <c r="AK155" s="79">
        <v>0</v>
      </c>
      <c r="BB155" s="228" t="s">
        <v>1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71</v>
      </c>
      <c r="Q156" s="642"/>
      <c r="R156" s="642"/>
      <c r="S156" s="642"/>
      <c r="T156" s="642"/>
      <c r="U156" s="642"/>
      <c r="V156" s="643"/>
      <c r="W156" s="40" t="s">
        <v>72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71</v>
      </c>
      <c r="Q157" s="642"/>
      <c r="R157" s="642"/>
      <c r="S157" s="642"/>
      <c r="T157" s="642"/>
      <c r="U157" s="642"/>
      <c r="V157" s="643"/>
      <c r="W157" s="40" t="s">
        <v>66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44" t="s">
        <v>271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3"/>
      <c r="AB158" s="63"/>
      <c r="AC158" s="63"/>
    </row>
    <row r="159" spans="1:68" ht="27" hidden="1" customHeight="1" x14ac:dyDescent="0.25">
      <c r="A159" s="60" t="s">
        <v>272</v>
      </c>
      <c r="B159" s="60" t="s">
        <v>273</v>
      </c>
      <c r="C159" s="34">
        <v>4301032067</v>
      </c>
      <c r="D159" s="637">
        <v>4680115889132</v>
      </c>
      <c r="E159" s="638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274</v>
      </c>
      <c r="L159" s="35"/>
      <c r="M159" s="36" t="s">
        <v>275</v>
      </c>
      <c r="N159" s="36"/>
      <c r="O159" s="35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7"/>
      <c r="V159" s="37"/>
      <c r="W159" s="38" t="s">
        <v>66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/>
      <c r="AB159" s="66"/>
      <c r="AC159" s="229" t="s">
        <v>276</v>
      </c>
      <c r="AG159" s="75"/>
      <c r="AJ159" s="79"/>
      <c r="AK159" s="79">
        <v>0</v>
      </c>
      <c r="BB159" s="230" t="s">
        <v>277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71</v>
      </c>
      <c r="Q160" s="642"/>
      <c r="R160" s="642"/>
      <c r="S160" s="642"/>
      <c r="T160" s="642"/>
      <c r="U160" s="642"/>
      <c r="V160" s="643"/>
      <c r="W160" s="40" t="s">
        <v>72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71</v>
      </c>
      <c r="Q161" s="642"/>
      <c r="R161" s="642"/>
      <c r="S161" s="642"/>
      <c r="T161" s="642"/>
      <c r="U161" s="642"/>
      <c r="V161" s="643"/>
      <c r="W161" s="40" t="s">
        <v>66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39" t="s">
        <v>108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"/>
      <c r="AB162" s="62"/>
      <c r="AC162" s="62"/>
    </row>
    <row r="163" spans="1:68" ht="14.25" hidden="1" customHeight="1" x14ac:dyDescent="0.25">
      <c r="A163" s="644" t="s">
        <v>110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3"/>
      <c r="AB163" s="63"/>
      <c r="AC163" s="63"/>
    </row>
    <row r="164" spans="1:68" ht="27" hidden="1" customHeight="1" x14ac:dyDescent="0.25">
      <c r="A164" s="60" t="s">
        <v>278</v>
      </c>
      <c r="B164" s="60" t="s">
        <v>279</v>
      </c>
      <c r="C164" s="34">
        <v>4301012338</v>
      </c>
      <c r="D164" s="637">
        <v>4680115887374</v>
      </c>
      <c r="E164" s="638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113</v>
      </c>
      <c r="L164" s="35"/>
      <c r="M164" s="36" t="s">
        <v>114</v>
      </c>
      <c r="N164" s="36"/>
      <c r="O164" s="35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7"/>
      <c r="V164" s="37"/>
      <c r="W164" s="38" t="s">
        <v>66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/>
      <c r="AB164" s="66"/>
      <c r="AC164" s="231" t="s">
        <v>280</v>
      </c>
      <c r="AG164" s="75"/>
      <c r="AJ164" s="79"/>
      <c r="AK164" s="79">
        <v>0</v>
      </c>
      <c r="BB164" s="232" t="s">
        <v>1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281</v>
      </c>
      <c r="B165" s="60" t="s">
        <v>282</v>
      </c>
      <c r="C165" s="34">
        <v>4301011705</v>
      </c>
      <c r="D165" s="637">
        <v>4607091384604</v>
      </c>
      <c r="E165" s="63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122</v>
      </c>
      <c r="L165" s="35"/>
      <c r="M165" s="36" t="s">
        <v>114</v>
      </c>
      <c r="N165" s="36"/>
      <c r="O165" s="35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7"/>
      <c r="V165" s="37"/>
      <c r="W165" s="38" t="s">
        <v>66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/>
      <c r="AB165" s="66"/>
      <c r="AC165" s="233" t="s">
        <v>283</v>
      </c>
      <c r="AG165" s="75"/>
      <c r="AJ165" s="79"/>
      <c r="AK165" s="79">
        <v>0</v>
      </c>
      <c r="BB165" s="234" t="s">
        <v>1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284</v>
      </c>
      <c r="B166" s="60" t="s">
        <v>285</v>
      </c>
      <c r="C166" s="34">
        <v>4301012344</v>
      </c>
      <c r="D166" s="637">
        <v>4680115888876</v>
      </c>
      <c r="E166" s="63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76</v>
      </c>
      <c r="L166" s="35"/>
      <c r="M166" s="36" t="s">
        <v>77</v>
      </c>
      <c r="N166" s="36"/>
      <c r="O166" s="35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/>
      <c r="V166" s="37"/>
      <c r="W166" s="38" t="s">
        <v>66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/>
      <c r="AB166" s="66"/>
      <c r="AC166" s="235" t="s">
        <v>286</v>
      </c>
      <c r="AG166" s="75"/>
      <c r="AJ166" s="79"/>
      <c r="AK166" s="79">
        <v>0</v>
      </c>
      <c r="BB166" s="236" t="s">
        <v>1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71</v>
      </c>
      <c r="Q167" s="642"/>
      <c r="R167" s="642"/>
      <c r="S167" s="642"/>
      <c r="T167" s="642"/>
      <c r="U167" s="642"/>
      <c r="V167" s="643"/>
      <c r="W167" s="40" t="s">
        <v>72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71</v>
      </c>
      <c r="Q168" s="642"/>
      <c r="R168" s="642"/>
      <c r="S168" s="642"/>
      <c r="T168" s="642"/>
      <c r="U168" s="642"/>
      <c r="V168" s="643"/>
      <c r="W168" s="40" t="s">
        <v>66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44" t="s">
        <v>146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3"/>
      <c r="AB169" s="63"/>
      <c r="AC169" s="63"/>
    </row>
    <row r="170" spans="1:68" ht="16.5" hidden="1" customHeight="1" x14ac:dyDescent="0.25">
      <c r="A170" s="60" t="s">
        <v>287</v>
      </c>
      <c r="B170" s="60" t="s">
        <v>288</v>
      </c>
      <c r="C170" s="34">
        <v>4301020410</v>
      </c>
      <c r="D170" s="637">
        <v>4680115887695</v>
      </c>
      <c r="E170" s="638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64</v>
      </c>
      <c r="L170" s="35"/>
      <c r="M170" s="36" t="s">
        <v>65</v>
      </c>
      <c r="N170" s="36"/>
      <c r="O170" s="35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7"/>
      <c r="V170" s="37"/>
      <c r="W170" s="38" t="s">
        <v>66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/>
      <c r="AB170" s="66"/>
      <c r="AC170" s="237" t="s">
        <v>289</v>
      </c>
      <c r="AG170" s="75"/>
      <c r="AJ170" s="79"/>
      <c r="AK170" s="79">
        <v>0</v>
      </c>
      <c r="BB170" s="238" t="s">
        <v>1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290</v>
      </c>
      <c r="B171" s="60" t="s">
        <v>291</v>
      </c>
      <c r="C171" s="34">
        <v>4301020439</v>
      </c>
      <c r="D171" s="637">
        <v>4680115889491</v>
      </c>
      <c r="E171" s="63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64</v>
      </c>
      <c r="L171" s="35"/>
      <c r="M171" s="36" t="s">
        <v>114</v>
      </c>
      <c r="N171" s="36"/>
      <c r="O171" s="35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7"/>
      <c r="V171" s="37"/>
      <c r="W171" s="38" t="s">
        <v>66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/>
      <c r="AB171" s="66"/>
      <c r="AC171" s="239" t="s">
        <v>292</v>
      </c>
      <c r="AG171" s="75"/>
      <c r="AJ171" s="79"/>
      <c r="AK171" s="79">
        <v>0</v>
      </c>
      <c r="BB171" s="240" t="s">
        <v>1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71</v>
      </c>
      <c r="Q172" s="642"/>
      <c r="R172" s="642"/>
      <c r="S172" s="642"/>
      <c r="T172" s="642"/>
      <c r="U172" s="642"/>
      <c r="V172" s="643"/>
      <c r="W172" s="40" t="s">
        <v>72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71</v>
      </c>
      <c r="Q173" s="642"/>
      <c r="R173" s="642"/>
      <c r="S173" s="642"/>
      <c r="T173" s="642"/>
      <c r="U173" s="642"/>
      <c r="V173" s="643"/>
      <c r="W173" s="40" t="s">
        <v>66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44" t="s">
        <v>61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3"/>
      <c r="AB174" s="63"/>
      <c r="AC174" s="63"/>
    </row>
    <row r="175" spans="1:68" ht="27" hidden="1" customHeight="1" x14ac:dyDescent="0.25">
      <c r="A175" s="60" t="s">
        <v>293</v>
      </c>
      <c r="B175" s="60" t="s">
        <v>294</v>
      </c>
      <c r="C175" s="34">
        <v>4301031496</v>
      </c>
      <c r="D175" s="637">
        <v>4680115887428</v>
      </c>
      <c r="E175" s="63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122</v>
      </c>
      <c r="L175" s="35"/>
      <c r="M175" s="36" t="s">
        <v>65</v>
      </c>
      <c r="N175" s="36"/>
      <c r="O175" s="35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7"/>
      <c r="V175" s="37"/>
      <c r="W175" s="38" t="s">
        <v>66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/>
      <c r="AB175" s="66"/>
      <c r="AC175" s="241" t="s">
        <v>295</v>
      </c>
      <c r="AG175" s="75"/>
      <c r="AJ175" s="79"/>
      <c r="AK175" s="79">
        <v>0</v>
      </c>
      <c r="BB175" s="242" t="s">
        <v>1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296</v>
      </c>
      <c r="B176" s="60" t="s">
        <v>297</v>
      </c>
      <c r="C176" s="34">
        <v>4301031509</v>
      </c>
      <c r="D176" s="637">
        <v>4680115889170</v>
      </c>
      <c r="E176" s="63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122</v>
      </c>
      <c r="L176" s="35"/>
      <c r="M176" s="36" t="s">
        <v>65</v>
      </c>
      <c r="N176" s="36"/>
      <c r="O176" s="35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7"/>
      <c r="V176" s="37"/>
      <c r="W176" s="38" t="s">
        <v>66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/>
      <c r="AB176" s="66"/>
      <c r="AC176" s="243" t="s">
        <v>298</v>
      </c>
      <c r="AG176" s="75"/>
      <c r="AJ176" s="79"/>
      <c r="AK176" s="79">
        <v>0</v>
      </c>
      <c r="BB176" s="244" t="s">
        <v>1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299</v>
      </c>
      <c r="B177" s="60" t="s">
        <v>300</v>
      </c>
      <c r="C177" s="34">
        <v>4301031498</v>
      </c>
      <c r="D177" s="637">
        <v>4680115887398</v>
      </c>
      <c r="E177" s="63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122</v>
      </c>
      <c r="L177" s="35"/>
      <c r="M177" s="36" t="s">
        <v>65</v>
      </c>
      <c r="N177" s="36"/>
      <c r="O177" s="35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7"/>
      <c r="V177" s="37"/>
      <c r="W177" s="38" t="s">
        <v>66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/>
      <c r="AB177" s="66"/>
      <c r="AC177" s="245" t="s">
        <v>301</v>
      </c>
      <c r="AG177" s="75"/>
      <c r="AJ177" s="79"/>
      <c r="AK177" s="79">
        <v>0</v>
      </c>
      <c r="BB177" s="246" t="s">
        <v>1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302</v>
      </c>
      <c r="B178" s="60" t="s">
        <v>303</v>
      </c>
      <c r="C178" s="34">
        <v>4301031497</v>
      </c>
      <c r="D178" s="637">
        <v>4680115887336</v>
      </c>
      <c r="E178" s="63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122</v>
      </c>
      <c r="L178" s="35"/>
      <c r="M178" s="36" t="s">
        <v>65</v>
      </c>
      <c r="N178" s="36"/>
      <c r="O178" s="35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7"/>
      <c r="V178" s="37"/>
      <c r="W178" s="38" t="s">
        <v>66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/>
      <c r="AB178" s="66"/>
      <c r="AC178" s="247" t="s">
        <v>304</v>
      </c>
      <c r="AG178" s="75"/>
      <c r="AJ178" s="79"/>
      <c r="AK178" s="79">
        <v>0</v>
      </c>
      <c r="BB178" s="248" t="s">
        <v>1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305</v>
      </c>
      <c r="B179" s="60" t="s">
        <v>306</v>
      </c>
      <c r="C179" s="34">
        <v>4301032049</v>
      </c>
      <c r="D179" s="637">
        <v>4680115887787</v>
      </c>
      <c r="E179" s="63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118</v>
      </c>
      <c r="L179" s="35"/>
      <c r="M179" s="36" t="s">
        <v>65</v>
      </c>
      <c r="N179" s="36"/>
      <c r="O179" s="35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7"/>
      <c r="V179" s="37"/>
      <c r="W179" s="38" t="s">
        <v>66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/>
      <c r="AB179" s="66"/>
      <c r="AC179" s="249" t="s">
        <v>307</v>
      </c>
      <c r="AG179" s="75"/>
      <c r="AJ179" s="79"/>
      <c r="AK179" s="79">
        <v>0</v>
      </c>
      <c r="BB179" s="250" t="s">
        <v>1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308</v>
      </c>
      <c r="B180" s="60" t="s">
        <v>309</v>
      </c>
      <c r="C180" s="34">
        <v>4301031448</v>
      </c>
      <c r="D180" s="637">
        <v>4680115887503</v>
      </c>
      <c r="E180" s="638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64</v>
      </c>
      <c r="L180" s="35"/>
      <c r="M180" s="36" t="s">
        <v>65</v>
      </c>
      <c r="N180" s="36"/>
      <c r="O180" s="35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7"/>
      <c r="V180" s="37"/>
      <c r="W180" s="38" t="s">
        <v>66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/>
      <c r="AB180" s="66"/>
      <c r="AC180" s="251" t="s">
        <v>295</v>
      </c>
      <c r="AG180" s="75"/>
      <c r="AJ180" s="79"/>
      <c r="AK180" s="79">
        <v>0</v>
      </c>
      <c r="BB180" s="252" t="s">
        <v>1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310</v>
      </c>
      <c r="B181" s="60" t="s">
        <v>311</v>
      </c>
      <c r="C181" s="34">
        <v>4301031389</v>
      </c>
      <c r="D181" s="637">
        <v>4680115887763</v>
      </c>
      <c r="E181" s="638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118</v>
      </c>
      <c r="L181" s="35"/>
      <c r="M181" s="36" t="s">
        <v>65</v>
      </c>
      <c r="N181" s="36"/>
      <c r="O181" s="35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7"/>
      <c r="V181" s="37"/>
      <c r="W181" s="38" t="s">
        <v>66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/>
      <c r="AB181" s="66"/>
      <c r="AC181" s="253" t="s">
        <v>312</v>
      </c>
      <c r="AG181" s="75"/>
      <c r="AJ181" s="79"/>
      <c r="AK181" s="79">
        <v>0</v>
      </c>
      <c r="BB181" s="254" t="s">
        <v>1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310</v>
      </c>
      <c r="B182" s="60" t="s">
        <v>313</v>
      </c>
      <c r="C182" s="34">
        <v>4301031510</v>
      </c>
      <c r="D182" s="637">
        <v>4680115887763</v>
      </c>
      <c r="E182" s="638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118</v>
      </c>
      <c r="L182" s="35"/>
      <c r="M182" s="36" t="s">
        <v>65</v>
      </c>
      <c r="N182" s="36"/>
      <c r="O182" s="35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7"/>
      <c r="V182" s="37"/>
      <c r="W182" s="38" t="s">
        <v>66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/>
      <c r="AB182" s="66"/>
      <c r="AC182" s="255" t="s">
        <v>312</v>
      </c>
      <c r="AG182" s="75"/>
      <c r="AJ182" s="79"/>
      <c r="AK182" s="79">
        <v>0</v>
      </c>
      <c r="BB182" s="256" t="s">
        <v>1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314</v>
      </c>
      <c r="B183" s="60" t="s">
        <v>315</v>
      </c>
      <c r="C183" s="34">
        <v>4301031454</v>
      </c>
      <c r="D183" s="637">
        <v>4680115887480</v>
      </c>
      <c r="E183" s="63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64</v>
      </c>
      <c r="L183" s="35"/>
      <c r="M183" s="36" t="s">
        <v>65</v>
      </c>
      <c r="N183" s="36"/>
      <c r="O183" s="35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7"/>
      <c r="V183" s="37"/>
      <c r="W183" s="38" t="s">
        <v>66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/>
      <c r="AB183" s="66"/>
      <c r="AC183" s="257" t="s">
        <v>301</v>
      </c>
      <c r="AG183" s="75"/>
      <c r="AJ183" s="79"/>
      <c r="AK183" s="79">
        <v>0</v>
      </c>
      <c r="BB183" s="258" t="s">
        <v>1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316</v>
      </c>
      <c r="B184" s="60" t="s">
        <v>317</v>
      </c>
      <c r="C184" s="34">
        <v>4301031434</v>
      </c>
      <c r="D184" s="637">
        <v>4680115888067</v>
      </c>
      <c r="E184" s="638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118</v>
      </c>
      <c r="L184" s="35"/>
      <c r="M184" s="36" t="s">
        <v>65</v>
      </c>
      <c r="N184" s="36"/>
      <c r="O184" s="35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7"/>
      <c r="V184" s="37"/>
      <c r="W184" s="38" t="s">
        <v>66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/>
      <c r="AB184" s="66"/>
      <c r="AC184" s="259" t="s">
        <v>318</v>
      </c>
      <c r="AG184" s="75"/>
      <c r="AJ184" s="79"/>
      <c r="AK184" s="79">
        <v>0</v>
      </c>
      <c r="BB184" s="260" t="s">
        <v>1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319</v>
      </c>
      <c r="B185" s="60" t="s">
        <v>320</v>
      </c>
      <c r="C185" s="34">
        <v>4301031451</v>
      </c>
      <c r="D185" s="637">
        <v>4680115887435</v>
      </c>
      <c r="E185" s="638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64</v>
      </c>
      <c r="L185" s="35"/>
      <c r="M185" s="36" t="s">
        <v>65</v>
      </c>
      <c r="N185" s="36"/>
      <c r="O185" s="35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7"/>
      <c r="V185" s="37"/>
      <c r="W185" s="38" t="s">
        <v>66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/>
      <c r="AB185" s="66"/>
      <c r="AC185" s="261" t="s">
        <v>304</v>
      </c>
      <c r="AG185" s="75"/>
      <c r="AJ185" s="79"/>
      <c r="AK185" s="79">
        <v>0</v>
      </c>
      <c r="BB185" s="262" t="s">
        <v>1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71</v>
      </c>
      <c r="Q186" s="642"/>
      <c r="R186" s="642"/>
      <c r="S186" s="642"/>
      <c r="T186" s="642"/>
      <c r="U186" s="642"/>
      <c r="V186" s="643"/>
      <c r="W186" s="40" t="s">
        <v>72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71</v>
      </c>
      <c r="Q187" s="642"/>
      <c r="R187" s="642"/>
      <c r="S187" s="642"/>
      <c r="T187" s="642"/>
      <c r="U187" s="642"/>
      <c r="V187" s="643"/>
      <c r="W187" s="40" t="s">
        <v>66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44" t="s">
        <v>73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3"/>
      <c r="AB188" s="63"/>
      <c r="AC188" s="63"/>
    </row>
    <row r="189" spans="1:68" ht="16.5" hidden="1" customHeight="1" x14ac:dyDescent="0.25">
      <c r="A189" s="60" t="s">
        <v>321</v>
      </c>
      <c r="B189" s="60" t="s">
        <v>322</v>
      </c>
      <c r="C189" s="34">
        <v>4301052193</v>
      </c>
      <c r="D189" s="637">
        <v>4680115888395</v>
      </c>
      <c r="E189" s="63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76</v>
      </c>
      <c r="L189" s="35"/>
      <c r="M189" s="36" t="s">
        <v>83</v>
      </c>
      <c r="N189" s="36"/>
      <c r="O189" s="35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7"/>
      <c r="V189" s="37"/>
      <c r="W189" s="38" t="s">
        <v>66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/>
      <c r="AB189" s="66"/>
      <c r="AC189" s="263" t="s">
        <v>323</v>
      </c>
      <c r="AG189" s="75"/>
      <c r="AJ189" s="79"/>
      <c r="AK189" s="79">
        <v>0</v>
      </c>
      <c r="BB189" s="264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324</v>
      </c>
      <c r="B190" s="60" t="s">
        <v>325</v>
      </c>
      <c r="C190" s="34">
        <v>4301052191</v>
      </c>
      <c r="D190" s="637">
        <v>4680115888371</v>
      </c>
      <c r="E190" s="638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76</v>
      </c>
      <c r="L190" s="35"/>
      <c r="M190" s="36" t="s">
        <v>83</v>
      </c>
      <c r="N190" s="36"/>
      <c r="O190" s="35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7"/>
      <c r="V190" s="37"/>
      <c r="W190" s="38" t="s">
        <v>66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/>
      <c r="AB190" s="66"/>
      <c r="AC190" s="265" t="s">
        <v>326</v>
      </c>
      <c r="AG190" s="75"/>
      <c r="AJ190" s="79"/>
      <c r="AK190" s="79">
        <v>0</v>
      </c>
      <c r="BB190" s="266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327</v>
      </c>
      <c r="B191" s="60" t="s">
        <v>328</v>
      </c>
      <c r="C191" s="34">
        <v>4301052064</v>
      </c>
      <c r="D191" s="637">
        <v>4680115887459</v>
      </c>
      <c r="E191" s="638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76</v>
      </c>
      <c r="L191" s="35"/>
      <c r="M191" s="36" t="s">
        <v>77</v>
      </c>
      <c r="N191" s="36"/>
      <c r="O191" s="35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7"/>
      <c r="V191" s="37"/>
      <c r="W191" s="38" t="s">
        <v>66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/>
      <c r="AB191" s="66"/>
      <c r="AC191" s="267" t="s">
        <v>329</v>
      </c>
      <c r="AG191" s="75"/>
      <c r="AJ191" s="79"/>
      <c r="AK191" s="79">
        <v>0</v>
      </c>
      <c r="BB191" s="26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71</v>
      </c>
      <c r="Q192" s="642"/>
      <c r="R192" s="642"/>
      <c r="S192" s="642"/>
      <c r="T192" s="642"/>
      <c r="U192" s="642"/>
      <c r="V192" s="643"/>
      <c r="W192" s="40" t="s">
        <v>72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71</v>
      </c>
      <c r="Q193" s="642"/>
      <c r="R193" s="642"/>
      <c r="S193" s="642"/>
      <c r="T193" s="642"/>
      <c r="U193" s="642"/>
      <c r="V193" s="643"/>
      <c r="W193" s="40" t="s">
        <v>66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44" t="s">
        <v>271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3"/>
      <c r="AB194" s="63"/>
      <c r="AC194" s="63"/>
    </row>
    <row r="195" spans="1:68" ht="16.5" hidden="1" customHeight="1" x14ac:dyDescent="0.25">
      <c r="A195" s="60" t="s">
        <v>330</v>
      </c>
      <c r="B195" s="60" t="s">
        <v>331</v>
      </c>
      <c r="C195" s="34">
        <v>4301032058</v>
      </c>
      <c r="D195" s="637">
        <v>4680115889026</v>
      </c>
      <c r="E195" s="638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332</v>
      </c>
      <c r="L195" s="35"/>
      <c r="M195" s="36" t="s">
        <v>275</v>
      </c>
      <c r="N195" s="36"/>
      <c r="O195" s="35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7"/>
      <c r="V195" s="37"/>
      <c r="W195" s="38" t="s">
        <v>66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/>
      <c r="AB195" s="66"/>
      <c r="AC195" s="269" t="s">
        <v>333</v>
      </c>
      <c r="AG195" s="75"/>
      <c r="AJ195" s="79"/>
      <c r="AK195" s="79">
        <v>0</v>
      </c>
      <c r="BB195" s="270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334</v>
      </c>
      <c r="B196" s="60" t="s">
        <v>335</v>
      </c>
      <c r="C196" s="34">
        <v>4301032057</v>
      </c>
      <c r="D196" s="637">
        <v>4680115889088</v>
      </c>
      <c r="E196" s="638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332</v>
      </c>
      <c r="L196" s="35"/>
      <c r="M196" s="36" t="s">
        <v>275</v>
      </c>
      <c r="N196" s="36"/>
      <c r="O196" s="35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7"/>
      <c r="V196" s="37"/>
      <c r="W196" s="38" t="s">
        <v>66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/>
      <c r="AB196" s="66"/>
      <c r="AC196" s="271" t="s">
        <v>336</v>
      </c>
      <c r="AG196" s="75"/>
      <c r="AJ196" s="79"/>
      <c r="AK196" s="79">
        <v>0</v>
      </c>
      <c r="BB196" s="272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71</v>
      </c>
      <c r="Q197" s="642"/>
      <c r="R197" s="642"/>
      <c r="S197" s="642"/>
      <c r="T197" s="642"/>
      <c r="U197" s="642"/>
      <c r="V197" s="643"/>
      <c r="W197" s="40" t="s">
        <v>72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71</v>
      </c>
      <c r="Q198" s="642"/>
      <c r="R198" s="642"/>
      <c r="S198" s="642"/>
      <c r="T198" s="642"/>
      <c r="U198" s="642"/>
      <c r="V198" s="643"/>
      <c r="W198" s="40" t="s">
        <v>66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44" t="s">
        <v>337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3"/>
      <c r="AB199" s="63"/>
      <c r="AC199" s="63"/>
    </row>
    <row r="200" spans="1:68" ht="27" hidden="1" customHeight="1" x14ac:dyDescent="0.25">
      <c r="A200" s="60" t="s">
        <v>338</v>
      </c>
      <c r="B200" s="60" t="s">
        <v>339</v>
      </c>
      <c r="C200" s="34">
        <v>4301041009</v>
      </c>
      <c r="D200" s="637">
        <v>4680115889033</v>
      </c>
      <c r="E200" s="638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332</v>
      </c>
      <c r="L200" s="35"/>
      <c r="M200" s="36" t="s">
        <v>275</v>
      </c>
      <c r="N200" s="36"/>
      <c r="O200" s="35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7"/>
      <c r="V200" s="37"/>
      <c r="W200" s="38" t="s">
        <v>66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/>
      <c r="AB200" s="66"/>
      <c r="AC200" s="273" t="s">
        <v>340</v>
      </c>
      <c r="AG200" s="75"/>
      <c r="AJ200" s="79"/>
      <c r="AK200" s="79">
        <v>0</v>
      </c>
      <c r="BB200" s="274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71</v>
      </c>
      <c r="Q201" s="642"/>
      <c r="R201" s="642"/>
      <c r="S201" s="642"/>
      <c r="T201" s="642"/>
      <c r="U201" s="642"/>
      <c r="V201" s="643"/>
      <c r="W201" s="40" t="s">
        <v>72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71</v>
      </c>
      <c r="Q202" s="642"/>
      <c r="R202" s="642"/>
      <c r="S202" s="642"/>
      <c r="T202" s="642"/>
      <c r="U202" s="642"/>
      <c r="V202" s="643"/>
      <c r="W202" s="40" t="s">
        <v>66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718" t="s">
        <v>341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52"/>
      <c r="AB203" s="52"/>
      <c r="AC203" s="52"/>
    </row>
    <row r="204" spans="1:68" ht="16.5" hidden="1" customHeight="1" x14ac:dyDescent="0.25">
      <c r="A204" s="639" t="s">
        <v>342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"/>
      <c r="AB204" s="62"/>
      <c r="AC204" s="62"/>
    </row>
    <row r="205" spans="1:68" ht="14.25" hidden="1" customHeight="1" x14ac:dyDescent="0.25">
      <c r="A205" s="644" t="s">
        <v>110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3"/>
      <c r="AB205" s="63"/>
      <c r="AC205" s="63"/>
    </row>
    <row r="206" spans="1:68" ht="27" hidden="1" customHeight="1" x14ac:dyDescent="0.25">
      <c r="A206" s="60" t="s">
        <v>343</v>
      </c>
      <c r="B206" s="60" t="s">
        <v>344</v>
      </c>
      <c r="C206" s="34">
        <v>4301011223</v>
      </c>
      <c r="D206" s="637">
        <v>4607091383423</v>
      </c>
      <c r="E206" s="638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113</v>
      </c>
      <c r="L206" s="35"/>
      <c r="M206" s="36" t="s">
        <v>77</v>
      </c>
      <c r="N206" s="36"/>
      <c r="O206" s="35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7"/>
      <c r="V206" s="37"/>
      <c r="W206" s="38" t="s">
        <v>66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/>
      <c r="AB206" s="66"/>
      <c r="AC206" s="275" t="s">
        <v>115</v>
      </c>
      <c r="AG206" s="75"/>
      <c r="AJ206" s="79"/>
      <c r="AK206" s="79">
        <v>0</v>
      </c>
      <c r="BB206" s="276" t="s">
        <v>1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345</v>
      </c>
      <c r="B207" s="60" t="s">
        <v>346</v>
      </c>
      <c r="C207" s="34">
        <v>4301012340</v>
      </c>
      <c r="D207" s="637">
        <v>4680115888760</v>
      </c>
      <c r="E207" s="638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113</v>
      </c>
      <c r="L207" s="35"/>
      <c r="M207" s="36" t="s">
        <v>77</v>
      </c>
      <c r="N207" s="36"/>
      <c r="O207" s="35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7"/>
      <c r="V207" s="37"/>
      <c r="W207" s="38" t="s">
        <v>66</v>
      </c>
      <c r="X207" s="56">
        <v>0</v>
      </c>
      <c r="Y207" s="53">
        <f t="shared" si="21"/>
        <v>0</v>
      </c>
      <c r="Z207" s="39" t="str">
        <f t="shared" si="22"/>
        <v/>
      </c>
      <c r="AA207" s="65"/>
      <c r="AB207" s="66"/>
      <c r="AC207" s="277" t="s">
        <v>347</v>
      </c>
      <c r="AG207" s="75"/>
      <c r="AJ207" s="79"/>
      <c r="AK207" s="79">
        <v>0</v>
      </c>
      <c r="BB207" s="278" t="s">
        <v>1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348</v>
      </c>
      <c r="B208" s="60" t="s">
        <v>349</v>
      </c>
      <c r="C208" s="34">
        <v>4301012341</v>
      </c>
      <c r="D208" s="637">
        <v>4680115888807</v>
      </c>
      <c r="E208" s="638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113</v>
      </c>
      <c r="L208" s="35"/>
      <c r="M208" s="36" t="s">
        <v>77</v>
      </c>
      <c r="N208" s="36"/>
      <c r="O208" s="35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7"/>
      <c r="V208" s="37"/>
      <c r="W208" s="38" t="s">
        <v>66</v>
      </c>
      <c r="X208" s="56">
        <v>0</v>
      </c>
      <c r="Y208" s="53">
        <f t="shared" si="21"/>
        <v>0</v>
      </c>
      <c r="Z208" s="39" t="str">
        <f t="shared" si="22"/>
        <v/>
      </c>
      <c r="AA208" s="65"/>
      <c r="AB208" s="66"/>
      <c r="AC208" s="279" t="s">
        <v>350</v>
      </c>
      <c r="AG208" s="75"/>
      <c r="AJ208" s="79"/>
      <c r="AK208" s="79">
        <v>0</v>
      </c>
      <c r="BB208" s="280" t="s">
        <v>1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351</v>
      </c>
      <c r="B209" s="60" t="s">
        <v>352</v>
      </c>
      <c r="C209" s="34">
        <v>4301012342</v>
      </c>
      <c r="D209" s="637">
        <v>4680115888852</v>
      </c>
      <c r="E209" s="638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113</v>
      </c>
      <c r="L209" s="35"/>
      <c r="M209" s="36" t="s">
        <v>77</v>
      </c>
      <c r="N209" s="36"/>
      <c r="O209" s="35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7"/>
      <c r="V209" s="37"/>
      <c r="W209" s="38" t="s">
        <v>66</v>
      </c>
      <c r="X209" s="56">
        <v>0</v>
      </c>
      <c r="Y209" s="53">
        <f t="shared" si="21"/>
        <v>0</v>
      </c>
      <c r="Z209" s="39" t="str">
        <f t="shared" si="22"/>
        <v/>
      </c>
      <c r="AA209" s="65"/>
      <c r="AB209" s="66"/>
      <c r="AC209" s="281" t="s">
        <v>353</v>
      </c>
      <c r="AG209" s="75"/>
      <c r="AJ209" s="79"/>
      <c r="AK209" s="79">
        <v>0</v>
      </c>
      <c r="BB209" s="282" t="s">
        <v>1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354</v>
      </c>
      <c r="B210" s="60" t="s">
        <v>355</v>
      </c>
      <c r="C210" s="34">
        <v>4301012370</v>
      </c>
      <c r="D210" s="637">
        <v>4680115886957</v>
      </c>
      <c r="E210" s="638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113</v>
      </c>
      <c r="L210" s="35"/>
      <c r="M210" s="36" t="s">
        <v>77</v>
      </c>
      <c r="N210" s="36"/>
      <c r="O210" s="35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7"/>
      <c r="V210" s="37"/>
      <c r="W210" s="38" t="s">
        <v>66</v>
      </c>
      <c r="X210" s="56">
        <v>0</v>
      </c>
      <c r="Y210" s="53">
        <f t="shared" si="21"/>
        <v>0</v>
      </c>
      <c r="Z210" s="39" t="str">
        <f t="shared" si="22"/>
        <v/>
      </c>
      <c r="AA210" s="65"/>
      <c r="AB210" s="66"/>
      <c r="AC210" s="283" t="s">
        <v>356</v>
      </c>
      <c r="AG210" s="75"/>
      <c r="AJ210" s="79"/>
      <c r="AK210" s="79">
        <v>0</v>
      </c>
      <c r="BB210" s="284" t="s">
        <v>1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357</v>
      </c>
      <c r="B211" s="60" t="s">
        <v>358</v>
      </c>
      <c r="C211" s="34">
        <v>4301012098</v>
      </c>
      <c r="D211" s="637">
        <v>4680115885660</v>
      </c>
      <c r="E211" s="638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113</v>
      </c>
      <c r="L211" s="35"/>
      <c r="M211" s="36" t="s">
        <v>77</v>
      </c>
      <c r="N211" s="36"/>
      <c r="O211" s="35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7"/>
      <c r="V211" s="37"/>
      <c r="W211" s="38" t="s">
        <v>66</v>
      </c>
      <c r="X211" s="56">
        <v>0</v>
      </c>
      <c r="Y211" s="53">
        <f t="shared" si="21"/>
        <v>0</v>
      </c>
      <c r="Z211" s="39" t="str">
        <f t="shared" si="22"/>
        <v/>
      </c>
      <c r="AA211" s="65"/>
      <c r="AB211" s="66"/>
      <c r="AC211" s="285" t="s">
        <v>359</v>
      </c>
      <c r="AG211" s="75"/>
      <c r="AJ211" s="79"/>
      <c r="AK211" s="79">
        <v>0</v>
      </c>
      <c r="BB211" s="286" t="s">
        <v>1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360</v>
      </c>
      <c r="B212" s="60" t="s">
        <v>361</v>
      </c>
      <c r="C212" s="34">
        <v>4301012369</v>
      </c>
      <c r="D212" s="637">
        <v>4680115886773</v>
      </c>
      <c r="E212" s="638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113</v>
      </c>
      <c r="L212" s="35"/>
      <c r="M212" s="36" t="s">
        <v>77</v>
      </c>
      <c r="N212" s="36"/>
      <c r="O212" s="35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7"/>
      <c r="V212" s="37"/>
      <c r="W212" s="38" t="s">
        <v>66</v>
      </c>
      <c r="X212" s="56">
        <v>0</v>
      </c>
      <c r="Y212" s="53">
        <f t="shared" si="21"/>
        <v>0</v>
      </c>
      <c r="Z212" s="39" t="str">
        <f t="shared" si="22"/>
        <v/>
      </c>
      <c r="AA212" s="65"/>
      <c r="AB212" s="66"/>
      <c r="AC212" s="287" t="s">
        <v>362</v>
      </c>
      <c r="AG212" s="75"/>
      <c r="AJ212" s="79"/>
      <c r="AK212" s="79">
        <v>0</v>
      </c>
      <c r="BB212" s="288" t="s">
        <v>1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71</v>
      </c>
      <c r="Q213" s="642"/>
      <c r="R213" s="642"/>
      <c r="S213" s="642"/>
      <c r="T213" s="642"/>
      <c r="U213" s="642"/>
      <c r="V213" s="643"/>
      <c r="W213" s="40" t="s">
        <v>72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71</v>
      </c>
      <c r="Q214" s="642"/>
      <c r="R214" s="642"/>
      <c r="S214" s="642"/>
      <c r="T214" s="642"/>
      <c r="U214" s="642"/>
      <c r="V214" s="643"/>
      <c r="W214" s="40" t="s">
        <v>66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39" t="s">
        <v>363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"/>
      <c r="AB215" s="62"/>
      <c r="AC215" s="62"/>
    </row>
    <row r="216" spans="1:68" ht="14.25" hidden="1" customHeight="1" x14ac:dyDescent="0.25">
      <c r="A216" s="644" t="s">
        <v>146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3"/>
      <c r="AB216" s="63"/>
      <c r="AC216" s="63"/>
    </row>
    <row r="217" spans="1:68" ht="27" hidden="1" customHeight="1" x14ac:dyDescent="0.25">
      <c r="A217" s="60" t="s">
        <v>364</v>
      </c>
      <c r="B217" s="60" t="s">
        <v>365</v>
      </c>
      <c r="C217" s="34">
        <v>4301020323</v>
      </c>
      <c r="D217" s="637">
        <v>4680115886223</v>
      </c>
      <c r="E217" s="638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64</v>
      </c>
      <c r="L217" s="35"/>
      <c r="M217" s="36" t="s">
        <v>65</v>
      </c>
      <c r="N217" s="36"/>
      <c r="O217" s="35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7"/>
      <c r="V217" s="37"/>
      <c r="W217" s="38" t="s">
        <v>66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/>
      <c r="AB217" s="66"/>
      <c r="AC217" s="289" t="s">
        <v>366</v>
      </c>
      <c r="AG217" s="75"/>
      <c r="AJ217" s="79"/>
      <c r="AK217" s="79">
        <v>0</v>
      </c>
      <c r="BB217" s="290" t="s">
        <v>1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71</v>
      </c>
      <c r="Q218" s="642"/>
      <c r="R218" s="642"/>
      <c r="S218" s="642"/>
      <c r="T218" s="642"/>
      <c r="U218" s="642"/>
      <c r="V218" s="643"/>
      <c r="W218" s="40" t="s">
        <v>72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71</v>
      </c>
      <c r="Q219" s="642"/>
      <c r="R219" s="642"/>
      <c r="S219" s="642"/>
      <c r="T219" s="642"/>
      <c r="U219" s="642"/>
      <c r="V219" s="643"/>
      <c r="W219" s="40" t="s">
        <v>66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44" t="s">
        <v>61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3"/>
      <c r="AB220" s="63"/>
      <c r="AC220" s="63"/>
    </row>
    <row r="221" spans="1:68" ht="27" hidden="1" customHeight="1" x14ac:dyDescent="0.25">
      <c r="A221" s="60" t="s">
        <v>367</v>
      </c>
      <c r="B221" s="60" t="s">
        <v>368</v>
      </c>
      <c r="C221" s="34">
        <v>4301031191</v>
      </c>
      <c r="D221" s="637">
        <v>4680115880993</v>
      </c>
      <c r="E221" s="638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122</v>
      </c>
      <c r="L221" s="35"/>
      <c r="M221" s="36" t="s">
        <v>65</v>
      </c>
      <c r="N221" s="36"/>
      <c r="O221" s="35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7"/>
      <c r="V221" s="37"/>
      <c r="W221" s="38" t="s">
        <v>66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/>
      <c r="AB221" s="66"/>
      <c r="AC221" s="291" t="s">
        <v>369</v>
      </c>
      <c r="AG221" s="75"/>
      <c r="AJ221" s="79"/>
      <c r="AK221" s="79">
        <v>0</v>
      </c>
      <c r="BB221" s="292" t="s">
        <v>1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370</v>
      </c>
      <c r="B222" s="60" t="s">
        <v>371</v>
      </c>
      <c r="C222" s="34">
        <v>4301031204</v>
      </c>
      <c r="D222" s="637">
        <v>4680115881761</v>
      </c>
      <c r="E222" s="638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122</v>
      </c>
      <c r="L222" s="35"/>
      <c r="M222" s="36" t="s">
        <v>65</v>
      </c>
      <c r="N222" s="36"/>
      <c r="O222" s="35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7"/>
      <c r="V222" s="37"/>
      <c r="W222" s="38" t="s">
        <v>66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/>
      <c r="AB222" s="66"/>
      <c r="AC222" s="293" t="s">
        <v>372</v>
      </c>
      <c r="AG222" s="75"/>
      <c r="AJ222" s="79"/>
      <c r="AK222" s="79">
        <v>0</v>
      </c>
      <c r="BB222" s="294" t="s">
        <v>1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373</v>
      </c>
      <c r="B223" s="60" t="s">
        <v>374</v>
      </c>
      <c r="C223" s="34">
        <v>4301031201</v>
      </c>
      <c r="D223" s="637">
        <v>4680115881563</v>
      </c>
      <c r="E223" s="638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122</v>
      </c>
      <c r="L223" s="35"/>
      <c r="M223" s="36" t="s">
        <v>65</v>
      </c>
      <c r="N223" s="36"/>
      <c r="O223" s="35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7"/>
      <c r="V223" s="37"/>
      <c r="W223" s="38" t="s">
        <v>66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/>
      <c r="AB223" s="66"/>
      <c r="AC223" s="295" t="s">
        <v>375</v>
      </c>
      <c r="AG223" s="75"/>
      <c r="AJ223" s="79"/>
      <c r="AK223" s="79">
        <v>0</v>
      </c>
      <c r="BB223" s="296" t="s">
        <v>1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hidden="1" customHeight="1" x14ac:dyDescent="0.25">
      <c r="A224" s="60" t="s">
        <v>376</v>
      </c>
      <c r="B224" s="60" t="s">
        <v>377</v>
      </c>
      <c r="C224" s="34">
        <v>4301031447</v>
      </c>
      <c r="D224" s="637">
        <v>4680115887565</v>
      </c>
      <c r="E224" s="638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64</v>
      </c>
      <c r="L224" s="35"/>
      <c r="M224" s="36" t="s">
        <v>65</v>
      </c>
      <c r="N224" s="36"/>
      <c r="O224" s="35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7"/>
      <c r="V224" s="37"/>
      <c r="W224" s="38" t="s">
        <v>66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/>
      <c r="AB224" s="66"/>
      <c r="AC224" s="297" t="s">
        <v>378</v>
      </c>
      <c r="AG224" s="75"/>
      <c r="AJ224" s="79"/>
      <c r="AK224" s="79">
        <v>0</v>
      </c>
      <c r="BB224" s="298" t="s">
        <v>1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379</v>
      </c>
      <c r="B225" s="60" t="s">
        <v>380</v>
      </c>
      <c r="C225" s="34">
        <v>4301031199</v>
      </c>
      <c r="D225" s="637">
        <v>4680115880986</v>
      </c>
      <c r="E225" s="638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64</v>
      </c>
      <c r="L225" s="35"/>
      <c r="M225" s="36" t="s">
        <v>65</v>
      </c>
      <c r="N225" s="36"/>
      <c r="O225" s="35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7"/>
      <c r="V225" s="37"/>
      <c r="W225" s="38" t="s">
        <v>66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/>
      <c r="AB225" s="66"/>
      <c r="AC225" s="299" t="s">
        <v>369</v>
      </c>
      <c r="AG225" s="75"/>
      <c r="AJ225" s="79"/>
      <c r="AK225" s="79">
        <v>0</v>
      </c>
      <c r="BB225" s="300" t="s">
        <v>1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381</v>
      </c>
      <c r="B226" s="60" t="s">
        <v>382</v>
      </c>
      <c r="C226" s="34">
        <v>4301031443</v>
      </c>
      <c r="D226" s="637">
        <v>4680115887213</v>
      </c>
      <c r="E226" s="638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64</v>
      </c>
      <c r="L226" s="35"/>
      <c r="M226" s="36" t="s">
        <v>65</v>
      </c>
      <c r="N226" s="36"/>
      <c r="O226" s="35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7"/>
      <c r="V226" s="37"/>
      <c r="W226" s="38" t="s">
        <v>66</v>
      </c>
      <c r="X226" s="56">
        <v>0</v>
      </c>
      <c r="Y226" s="53">
        <f t="shared" si="27"/>
        <v>0</v>
      </c>
      <c r="Z226" s="39" t="str">
        <f t="shared" si="32"/>
        <v/>
      </c>
      <c r="AA226" s="65"/>
      <c r="AB226" s="66"/>
      <c r="AC226" s="301" t="s">
        <v>383</v>
      </c>
      <c r="AG226" s="75"/>
      <c r="AJ226" s="79"/>
      <c r="AK226" s="79">
        <v>0</v>
      </c>
      <c r="BB226" s="302" t="s">
        <v>1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384</v>
      </c>
      <c r="B227" s="60" t="s">
        <v>385</v>
      </c>
      <c r="C227" s="34">
        <v>4301031205</v>
      </c>
      <c r="D227" s="637">
        <v>4680115881785</v>
      </c>
      <c r="E227" s="638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64</v>
      </c>
      <c r="L227" s="35"/>
      <c r="M227" s="36" t="s">
        <v>65</v>
      </c>
      <c r="N227" s="36"/>
      <c r="O227" s="35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7"/>
      <c r="V227" s="37"/>
      <c r="W227" s="38" t="s">
        <v>66</v>
      </c>
      <c r="X227" s="56">
        <v>0</v>
      </c>
      <c r="Y227" s="53">
        <f t="shared" si="27"/>
        <v>0</v>
      </c>
      <c r="Z227" s="39" t="str">
        <f t="shared" si="32"/>
        <v/>
      </c>
      <c r="AA227" s="65"/>
      <c r="AB227" s="66"/>
      <c r="AC227" s="303" t="s">
        <v>372</v>
      </c>
      <c r="AG227" s="75"/>
      <c r="AJ227" s="79"/>
      <c r="AK227" s="79">
        <v>0</v>
      </c>
      <c r="BB227" s="304" t="s">
        <v>1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386</v>
      </c>
      <c r="B228" s="60" t="s">
        <v>387</v>
      </c>
      <c r="C228" s="34">
        <v>4301031499</v>
      </c>
      <c r="D228" s="637">
        <v>4680115888432</v>
      </c>
      <c r="E228" s="638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64</v>
      </c>
      <c r="L228" s="35"/>
      <c r="M228" s="36" t="s">
        <v>65</v>
      </c>
      <c r="N228" s="36"/>
      <c r="O228" s="35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7"/>
      <c r="V228" s="37"/>
      <c r="W228" s="38" t="s">
        <v>66</v>
      </c>
      <c r="X228" s="56">
        <v>0</v>
      </c>
      <c r="Y228" s="53">
        <f t="shared" si="27"/>
        <v>0</v>
      </c>
      <c r="Z228" s="39" t="str">
        <f t="shared" si="32"/>
        <v/>
      </c>
      <c r="AA228" s="65"/>
      <c r="AB228" s="66"/>
      <c r="AC228" s="305" t="s">
        <v>388</v>
      </c>
      <c r="AG228" s="75"/>
      <c r="AJ228" s="79"/>
      <c r="AK228" s="79">
        <v>0</v>
      </c>
      <c r="BB228" s="306" t="s">
        <v>1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389</v>
      </c>
      <c r="B229" s="60" t="s">
        <v>390</v>
      </c>
      <c r="C229" s="34">
        <v>4301031427</v>
      </c>
      <c r="D229" s="637">
        <v>4680115888104</v>
      </c>
      <c r="E229" s="63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64</v>
      </c>
      <c r="L229" s="35"/>
      <c r="M229" s="36" t="s">
        <v>65</v>
      </c>
      <c r="N229" s="36"/>
      <c r="O229" s="35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7"/>
      <c r="V229" s="37"/>
      <c r="W229" s="38" t="s">
        <v>66</v>
      </c>
      <c r="X229" s="56">
        <v>0</v>
      </c>
      <c r="Y229" s="53">
        <f t="shared" si="27"/>
        <v>0</v>
      </c>
      <c r="Z229" s="39" t="str">
        <f t="shared" si="32"/>
        <v/>
      </c>
      <c r="AA229" s="65"/>
      <c r="AB229" s="66"/>
      <c r="AC229" s="307" t="s">
        <v>391</v>
      </c>
      <c r="AG229" s="75"/>
      <c r="AJ229" s="79"/>
      <c r="AK229" s="79">
        <v>0</v>
      </c>
      <c r="BB229" s="308" t="s">
        <v>1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392</v>
      </c>
      <c r="B230" s="60" t="s">
        <v>393</v>
      </c>
      <c r="C230" s="34">
        <v>4301031399</v>
      </c>
      <c r="D230" s="637">
        <v>4680115886537</v>
      </c>
      <c r="E230" s="638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64</v>
      </c>
      <c r="L230" s="35"/>
      <c r="M230" s="36" t="s">
        <v>65</v>
      </c>
      <c r="N230" s="36"/>
      <c r="O230" s="35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7"/>
      <c r="V230" s="37"/>
      <c r="W230" s="38" t="s">
        <v>66</v>
      </c>
      <c r="X230" s="56">
        <v>0</v>
      </c>
      <c r="Y230" s="53">
        <f t="shared" si="27"/>
        <v>0</v>
      </c>
      <c r="Z230" s="39" t="str">
        <f t="shared" si="32"/>
        <v/>
      </c>
      <c r="AA230" s="65"/>
      <c r="AB230" s="66"/>
      <c r="AC230" s="309" t="s">
        <v>394</v>
      </c>
      <c r="AG230" s="75"/>
      <c r="AJ230" s="79"/>
      <c r="AK230" s="79">
        <v>0</v>
      </c>
      <c r="BB230" s="310" t="s">
        <v>1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395</v>
      </c>
      <c r="B231" s="60" t="s">
        <v>396</v>
      </c>
      <c r="C231" s="34">
        <v>4301031279</v>
      </c>
      <c r="D231" s="637">
        <v>4680115887596</v>
      </c>
      <c r="E231" s="638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118</v>
      </c>
      <c r="L231" s="35"/>
      <c r="M231" s="36" t="s">
        <v>65</v>
      </c>
      <c r="N231" s="36"/>
      <c r="O231" s="35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7"/>
      <c r="V231" s="37"/>
      <c r="W231" s="38" t="s">
        <v>66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/>
      <c r="AB231" s="66"/>
      <c r="AC231" s="311" t="s">
        <v>397</v>
      </c>
      <c r="AG231" s="75"/>
      <c r="AJ231" s="79"/>
      <c r="AK231" s="79">
        <v>0</v>
      </c>
      <c r="BB231" s="312" t="s">
        <v>1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hidden="1" customHeight="1" x14ac:dyDescent="0.25">
      <c r="A232" s="60" t="s">
        <v>398</v>
      </c>
      <c r="B232" s="60" t="s">
        <v>399</v>
      </c>
      <c r="C232" s="34">
        <v>4301031202</v>
      </c>
      <c r="D232" s="637">
        <v>4680115881679</v>
      </c>
      <c r="E232" s="638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64</v>
      </c>
      <c r="L232" s="35"/>
      <c r="M232" s="36" t="s">
        <v>65</v>
      </c>
      <c r="N232" s="36"/>
      <c r="O232" s="35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7"/>
      <c r="V232" s="37"/>
      <c r="W232" s="38" t="s">
        <v>66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/>
      <c r="AB232" s="66"/>
      <c r="AC232" s="313" t="s">
        <v>375</v>
      </c>
      <c r="AG232" s="75"/>
      <c r="AJ232" s="79"/>
      <c r="AK232" s="79">
        <v>0</v>
      </c>
      <c r="BB232" s="314" t="s">
        <v>1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400</v>
      </c>
      <c r="B233" s="60" t="s">
        <v>401</v>
      </c>
      <c r="C233" s="34">
        <v>4301031158</v>
      </c>
      <c r="D233" s="637">
        <v>4680115880191</v>
      </c>
      <c r="E233" s="638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76</v>
      </c>
      <c r="L233" s="35"/>
      <c r="M233" s="36" t="s">
        <v>65</v>
      </c>
      <c r="N233" s="36"/>
      <c r="O233" s="35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7"/>
      <c r="V233" s="37"/>
      <c r="W233" s="38" t="s">
        <v>66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/>
      <c r="AB233" s="66"/>
      <c r="AC233" s="315" t="s">
        <v>375</v>
      </c>
      <c r="AG233" s="75"/>
      <c r="AJ233" s="79"/>
      <c r="AK233" s="79">
        <v>0</v>
      </c>
      <c r="BB233" s="316" t="s">
        <v>1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402</v>
      </c>
      <c r="B234" s="60" t="s">
        <v>403</v>
      </c>
      <c r="C234" s="34">
        <v>4301031245</v>
      </c>
      <c r="D234" s="637">
        <v>4680115883963</v>
      </c>
      <c r="E234" s="638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64</v>
      </c>
      <c r="L234" s="35"/>
      <c r="M234" s="36" t="s">
        <v>65</v>
      </c>
      <c r="N234" s="36"/>
      <c r="O234" s="35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7"/>
      <c r="V234" s="37"/>
      <c r="W234" s="38" t="s">
        <v>66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/>
      <c r="AB234" s="66"/>
      <c r="AC234" s="317" t="s">
        <v>404</v>
      </c>
      <c r="AG234" s="75"/>
      <c r="AJ234" s="79"/>
      <c r="AK234" s="79">
        <v>0</v>
      </c>
      <c r="BB234" s="318" t="s">
        <v>1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71</v>
      </c>
      <c r="Q235" s="642"/>
      <c r="R235" s="642"/>
      <c r="S235" s="642"/>
      <c r="T235" s="642"/>
      <c r="U235" s="642"/>
      <c r="V235" s="643"/>
      <c r="W235" s="40" t="s">
        <v>72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71</v>
      </c>
      <c r="Q236" s="642"/>
      <c r="R236" s="642"/>
      <c r="S236" s="642"/>
      <c r="T236" s="642"/>
      <c r="U236" s="642"/>
      <c r="V236" s="643"/>
      <c r="W236" s="40" t="s">
        <v>66</v>
      </c>
      <c r="X236" s="41">
        <f>IFERROR(SUM(X221:X234),"0")</f>
        <v>0</v>
      </c>
      <c r="Y236" s="41">
        <f>IFERROR(SUM(Y221:Y234),"0")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44" t="s">
        <v>73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3"/>
      <c r="AB237" s="63"/>
      <c r="AC237" s="63"/>
    </row>
    <row r="238" spans="1:68" ht="16.5" hidden="1" customHeight="1" x14ac:dyDescent="0.25">
      <c r="A238" s="60" t="s">
        <v>405</v>
      </c>
      <c r="B238" s="60" t="s">
        <v>406</v>
      </c>
      <c r="C238" s="34">
        <v>4301052209</v>
      </c>
      <c r="D238" s="637">
        <v>4680115888692</v>
      </c>
      <c r="E238" s="63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113</v>
      </c>
      <c r="L238" s="35"/>
      <c r="M238" s="36" t="s">
        <v>83</v>
      </c>
      <c r="N238" s="36"/>
      <c r="O238" s="35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7"/>
      <c r="V238" s="37"/>
      <c r="W238" s="38" t="s">
        <v>66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/>
      <c r="AB238" s="66"/>
      <c r="AC238" s="319" t="s">
        <v>407</v>
      </c>
      <c r="AG238" s="75"/>
      <c r="AJ238" s="79"/>
      <c r="AK238" s="79">
        <v>0</v>
      </c>
      <c r="BB238" s="32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408</v>
      </c>
      <c r="B239" s="60" t="s">
        <v>409</v>
      </c>
      <c r="C239" s="34">
        <v>4301052213</v>
      </c>
      <c r="D239" s="637">
        <v>4680115888722</v>
      </c>
      <c r="E239" s="63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113</v>
      </c>
      <c r="L239" s="35"/>
      <c r="M239" s="36" t="s">
        <v>83</v>
      </c>
      <c r="N239" s="36"/>
      <c r="O239" s="35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7"/>
      <c r="V239" s="37"/>
      <c r="W239" s="38" t="s">
        <v>66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/>
      <c r="AB239" s="66"/>
      <c r="AC239" s="321" t="s">
        <v>410</v>
      </c>
      <c r="AG239" s="75"/>
      <c r="AJ239" s="79"/>
      <c r="AK239" s="79">
        <v>0</v>
      </c>
      <c r="BB239" s="322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411</v>
      </c>
      <c r="B240" s="60" t="s">
        <v>412</v>
      </c>
      <c r="C240" s="34">
        <v>4301052177</v>
      </c>
      <c r="D240" s="637">
        <v>4680115888951</v>
      </c>
      <c r="E240" s="63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122</v>
      </c>
      <c r="L240" s="35"/>
      <c r="M240" s="36" t="s">
        <v>83</v>
      </c>
      <c r="N240" s="36"/>
      <c r="O240" s="35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7"/>
      <c r="V240" s="37"/>
      <c r="W240" s="38" t="s">
        <v>66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/>
      <c r="AB240" s="66"/>
      <c r="AC240" s="323" t="s">
        <v>413</v>
      </c>
      <c r="AG240" s="75"/>
      <c r="AJ240" s="79"/>
      <c r="AK240" s="79">
        <v>0</v>
      </c>
      <c r="BB240" s="324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414</v>
      </c>
      <c r="B241" s="60" t="s">
        <v>415</v>
      </c>
      <c r="C241" s="34">
        <v>4301052178</v>
      </c>
      <c r="D241" s="637">
        <v>4680115888975</v>
      </c>
      <c r="E241" s="638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122</v>
      </c>
      <c r="L241" s="35"/>
      <c r="M241" s="36" t="s">
        <v>83</v>
      </c>
      <c r="N241" s="36"/>
      <c r="O241" s="35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7"/>
      <c r="V241" s="37"/>
      <c r="W241" s="38" t="s">
        <v>66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/>
      <c r="AB241" s="66"/>
      <c r="AC241" s="325" t="s">
        <v>416</v>
      </c>
      <c r="AG241" s="75"/>
      <c r="AJ241" s="79"/>
      <c r="AK241" s="79">
        <v>0</v>
      </c>
      <c r="BB241" s="32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417</v>
      </c>
      <c r="B242" s="60" t="s">
        <v>418</v>
      </c>
      <c r="C242" s="34">
        <v>4301052176</v>
      </c>
      <c r="D242" s="637">
        <v>4680115888982</v>
      </c>
      <c r="E242" s="638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122</v>
      </c>
      <c r="L242" s="35"/>
      <c r="M242" s="36" t="s">
        <v>83</v>
      </c>
      <c r="N242" s="36"/>
      <c r="O242" s="35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7"/>
      <c r="V242" s="37"/>
      <c r="W242" s="38" t="s">
        <v>66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/>
      <c r="AB242" s="66"/>
      <c r="AC242" s="327" t="s">
        <v>410</v>
      </c>
      <c r="AG242" s="75"/>
      <c r="AJ242" s="79"/>
      <c r="AK242" s="79">
        <v>0</v>
      </c>
      <c r="BB242" s="32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71</v>
      </c>
      <c r="Q243" s="642"/>
      <c r="R243" s="642"/>
      <c r="S243" s="642"/>
      <c r="T243" s="642"/>
      <c r="U243" s="642"/>
      <c r="V243" s="643"/>
      <c r="W243" s="40" t="s">
        <v>72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71</v>
      </c>
      <c r="Q244" s="642"/>
      <c r="R244" s="642"/>
      <c r="S244" s="642"/>
      <c r="T244" s="642"/>
      <c r="U244" s="642"/>
      <c r="V244" s="643"/>
      <c r="W244" s="40" t="s">
        <v>66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44" t="s">
        <v>271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3"/>
      <c r="AB245" s="63"/>
      <c r="AC245" s="63"/>
    </row>
    <row r="246" spans="1:68" ht="27" hidden="1" customHeight="1" x14ac:dyDescent="0.25">
      <c r="A246" s="60" t="s">
        <v>419</v>
      </c>
      <c r="B246" s="60" t="s">
        <v>420</v>
      </c>
      <c r="C246" s="34">
        <v>4301032053</v>
      </c>
      <c r="D246" s="637">
        <v>4680115886780</v>
      </c>
      <c r="E246" s="638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332</v>
      </c>
      <c r="L246" s="35"/>
      <c r="M246" s="36" t="s">
        <v>275</v>
      </c>
      <c r="N246" s="36"/>
      <c r="O246" s="35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7"/>
      <c r="V246" s="37"/>
      <c r="W246" s="38" t="s">
        <v>66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29" t="s">
        <v>421</v>
      </c>
      <c r="AG246" s="75"/>
      <c r="AJ246" s="79"/>
      <c r="AK246" s="79">
        <v>0</v>
      </c>
      <c r="BB246" s="33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422</v>
      </c>
      <c r="B247" s="60" t="s">
        <v>423</v>
      </c>
      <c r="C247" s="34">
        <v>4301032051</v>
      </c>
      <c r="D247" s="637">
        <v>4680115886742</v>
      </c>
      <c r="E247" s="638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332</v>
      </c>
      <c r="L247" s="35"/>
      <c r="M247" s="36" t="s">
        <v>275</v>
      </c>
      <c r="N247" s="36"/>
      <c r="O247" s="35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7"/>
      <c r="V247" s="37"/>
      <c r="W247" s="38" t="s">
        <v>66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31" t="s">
        <v>424</v>
      </c>
      <c r="AG247" s="75"/>
      <c r="AJ247" s="79"/>
      <c r="AK247" s="79">
        <v>0</v>
      </c>
      <c r="BB247" s="33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425</v>
      </c>
      <c r="B248" s="60" t="s">
        <v>426</v>
      </c>
      <c r="C248" s="34">
        <v>4301032052</v>
      </c>
      <c r="D248" s="637">
        <v>4680115886766</v>
      </c>
      <c r="E248" s="63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332</v>
      </c>
      <c r="L248" s="35"/>
      <c r="M248" s="36" t="s">
        <v>275</v>
      </c>
      <c r="N248" s="36"/>
      <c r="O248" s="35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7"/>
      <c r="V248" s="37"/>
      <c r="W248" s="38" t="s">
        <v>66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33" t="s">
        <v>424</v>
      </c>
      <c r="AG248" s="75"/>
      <c r="AJ248" s="79"/>
      <c r="AK248" s="79">
        <v>0</v>
      </c>
      <c r="BB248" s="33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71</v>
      </c>
      <c r="Q249" s="642"/>
      <c r="R249" s="642"/>
      <c r="S249" s="642"/>
      <c r="T249" s="642"/>
      <c r="U249" s="642"/>
      <c r="V249" s="643"/>
      <c r="W249" s="40" t="s">
        <v>72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71</v>
      </c>
      <c r="Q250" s="642"/>
      <c r="R250" s="642"/>
      <c r="S250" s="642"/>
      <c r="T250" s="642"/>
      <c r="U250" s="642"/>
      <c r="V250" s="643"/>
      <c r="W250" s="40" t="s">
        <v>66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644" t="s">
        <v>427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3"/>
      <c r="AB251" s="63"/>
      <c r="AC251" s="63"/>
    </row>
    <row r="252" spans="1:68" ht="27" hidden="1" customHeight="1" x14ac:dyDescent="0.25">
      <c r="A252" s="60" t="s">
        <v>428</v>
      </c>
      <c r="B252" s="60" t="s">
        <v>429</v>
      </c>
      <c r="C252" s="34">
        <v>4301170013</v>
      </c>
      <c r="D252" s="637">
        <v>4680115886797</v>
      </c>
      <c r="E252" s="63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332</v>
      </c>
      <c r="L252" s="35"/>
      <c r="M252" s="36" t="s">
        <v>275</v>
      </c>
      <c r="N252" s="36"/>
      <c r="O252" s="35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7"/>
      <c r="V252" s="37"/>
      <c r="W252" s="38" t="s">
        <v>66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35" t="s">
        <v>424</v>
      </c>
      <c r="AG252" s="75"/>
      <c r="AJ252" s="79"/>
      <c r="AK252" s="79">
        <v>0</v>
      </c>
      <c r="BB252" s="33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71</v>
      </c>
      <c r="Q253" s="642"/>
      <c r="R253" s="642"/>
      <c r="S253" s="642"/>
      <c r="T253" s="642"/>
      <c r="U253" s="642"/>
      <c r="V253" s="643"/>
      <c r="W253" s="40" t="s">
        <v>72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71</v>
      </c>
      <c r="Q254" s="642"/>
      <c r="R254" s="642"/>
      <c r="S254" s="642"/>
      <c r="T254" s="642"/>
      <c r="U254" s="642"/>
      <c r="V254" s="643"/>
      <c r="W254" s="40" t="s">
        <v>66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639" t="s">
        <v>430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"/>
      <c r="AB255" s="62"/>
      <c r="AC255" s="62"/>
    </row>
    <row r="256" spans="1:68" ht="14.25" hidden="1" customHeight="1" x14ac:dyDescent="0.25">
      <c r="A256" s="644" t="s">
        <v>110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3"/>
      <c r="AB256" s="63"/>
      <c r="AC256" s="63"/>
    </row>
    <row r="257" spans="1:68" ht="27" hidden="1" customHeight="1" x14ac:dyDescent="0.25">
      <c r="A257" s="60" t="s">
        <v>431</v>
      </c>
      <c r="B257" s="60" t="s">
        <v>432</v>
      </c>
      <c r="C257" s="34">
        <v>4301011450</v>
      </c>
      <c r="D257" s="637">
        <v>4680115881402</v>
      </c>
      <c r="E257" s="638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113</v>
      </c>
      <c r="L257" s="35"/>
      <c r="M257" s="36" t="s">
        <v>114</v>
      </c>
      <c r="N257" s="36"/>
      <c r="O257" s="35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7"/>
      <c r="V257" s="37"/>
      <c r="W257" s="38" t="s">
        <v>66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/>
      <c r="AB257" s="66"/>
      <c r="AC257" s="337" t="s">
        <v>433</v>
      </c>
      <c r="AG257" s="75"/>
      <c r="AJ257" s="79"/>
      <c r="AK257" s="79">
        <v>0</v>
      </c>
      <c r="BB257" s="338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4301011768</v>
      </c>
      <c r="D258" s="637">
        <v>4680115881396</v>
      </c>
      <c r="E258" s="638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76</v>
      </c>
      <c r="L258" s="35"/>
      <c r="M258" s="36" t="s">
        <v>114</v>
      </c>
      <c r="N258" s="36"/>
      <c r="O258" s="35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7"/>
      <c r="V258" s="37"/>
      <c r="W258" s="38" t="s">
        <v>66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/>
      <c r="AB258" s="66"/>
      <c r="AC258" s="339" t="s">
        <v>433</v>
      </c>
      <c r="AG258" s="75"/>
      <c r="AJ258" s="79"/>
      <c r="AK258" s="79">
        <v>0</v>
      </c>
      <c r="BB258" s="34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71</v>
      </c>
      <c r="Q259" s="642"/>
      <c r="R259" s="642"/>
      <c r="S259" s="642"/>
      <c r="T259" s="642"/>
      <c r="U259" s="642"/>
      <c r="V259" s="643"/>
      <c r="W259" s="40" t="s">
        <v>72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71</v>
      </c>
      <c r="Q260" s="642"/>
      <c r="R260" s="642"/>
      <c r="S260" s="642"/>
      <c r="T260" s="642"/>
      <c r="U260" s="642"/>
      <c r="V260" s="643"/>
      <c r="W260" s="40" t="s">
        <v>66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44" t="s">
        <v>146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3"/>
      <c r="AB261" s="63"/>
      <c r="AC261" s="63"/>
    </row>
    <row r="262" spans="1:68" ht="16.5" hidden="1" customHeight="1" x14ac:dyDescent="0.25">
      <c r="A262" s="60" t="s">
        <v>436</v>
      </c>
      <c r="B262" s="60" t="s">
        <v>437</v>
      </c>
      <c r="C262" s="34">
        <v>4301020261</v>
      </c>
      <c r="D262" s="637">
        <v>4680115882935</v>
      </c>
      <c r="E262" s="638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113</v>
      </c>
      <c r="L262" s="35"/>
      <c r="M262" s="36" t="s">
        <v>114</v>
      </c>
      <c r="N262" s="36"/>
      <c r="O262" s="35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7"/>
      <c r="V262" s="37"/>
      <c r="W262" s="38" t="s">
        <v>66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41" t="s">
        <v>438</v>
      </c>
      <c r="AG262" s="75"/>
      <c r="AJ262" s="79"/>
      <c r="AK262" s="79">
        <v>0</v>
      </c>
      <c r="BB262" s="342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439</v>
      </c>
      <c r="B263" s="60" t="s">
        <v>440</v>
      </c>
      <c r="C263" s="34">
        <v>4301020220</v>
      </c>
      <c r="D263" s="637">
        <v>4680115880764</v>
      </c>
      <c r="E263" s="638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76</v>
      </c>
      <c r="L263" s="35"/>
      <c r="M263" s="36" t="s">
        <v>114</v>
      </c>
      <c r="N263" s="36"/>
      <c r="O263" s="35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7"/>
      <c r="V263" s="37"/>
      <c r="W263" s="38" t="s">
        <v>66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/>
      <c r="AB263" s="66"/>
      <c r="AC263" s="343" t="s">
        <v>438</v>
      </c>
      <c r="AG263" s="75"/>
      <c r="AJ263" s="79"/>
      <c r="AK263" s="79">
        <v>0</v>
      </c>
      <c r="BB263" s="344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71</v>
      </c>
      <c r="Q264" s="642"/>
      <c r="R264" s="642"/>
      <c r="S264" s="642"/>
      <c r="T264" s="642"/>
      <c r="U264" s="642"/>
      <c r="V264" s="643"/>
      <c r="W264" s="40" t="s">
        <v>72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71</v>
      </c>
      <c r="Q265" s="642"/>
      <c r="R265" s="642"/>
      <c r="S265" s="642"/>
      <c r="T265" s="642"/>
      <c r="U265" s="642"/>
      <c r="V265" s="643"/>
      <c r="W265" s="40" t="s">
        <v>66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44" t="s">
        <v>61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3"/>
      <c r="AB266" s="63"/>
      <c r="AC266" s="63"/>
    </row>
    <row r="267" spans="1:68" ht="27" hidden="1" customHeight="1" x14ac:dyDescent="0.25">
      <c r="A267" s="60" t="s">
        <v>441</v>
      </c>
      <c r="B267" s="60" t="s">
        <v>442</v>
      </c>
      <c r="C267" s="34">
        <v>4301031224</v>
      </c>
      <c r="D267" s="637">
        <v>4680115882683</v>
      </c>
      <c r="E267" s="638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122</v>
      </c>
      <c r="L267" s="35"/>
      <c r="M267" s="36" t="s">
        <v>65</v>
      </c>
      <c r="N267" s="36"/>
      <c r="O267" s="35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7"/>
      <c r="V267" s="37"/>
      <c r="W267" s="38" t="s">
        <v>66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45" t="s">
        <v>443</v>
      </c>
      <c r="AG267" s="75"/>
      <c r="AJ267" s="79"/>
      <c r="AK267" s="79">
        <v>0</v>
      </c>
      <c r="BB267" s="346" t="s">
        <v>1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444</v>
      </c>
      <c r="B268" s="60" t="s">
        <v>445</v>
      </c>
      <c r="C268" s="34">
        <v>4301031230</v>
      </c>
      <c r="D268" s="637">
        <v>4680115882690</v>
      </c>
      <c r="E268" s="638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122</v>
      </c>
      <c r="L268" s="35"/>
      <c r="M268" s="36" t="s">
        <v>65</v>
      </c>
      <c r="N268" s="36"/>
      <c r="O268" s="35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7"/>
      <c r="V268" s="37"/>
      <c r="W268" s="38" t="s">
        <v>66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/>
      <c r="AB268" s="66"/>
      <c r="AC268" s="347" t="s">
        <v>446</v>
      </c>
      <c r="AG268" s="75"/>
      <c r="AJ268" s="79"/>
      <c r="AK268" s="79">
        <v>0</v>
      </c>
      <c r="BB268" s="348" t="s">
        <v>1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447</v>
      </c>
      <c r="B269" s="60" t="s">
        <v>448</v>
      </c>
      <c r="C269" s="34">
        <v>4301031220</v>
      </c>
      <c r="D269" s="637">
        <v>4680115882669</v>
      </c>
      <c r="E269" s="63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122</v>
      </c>
      <c r="L269" s="35"/>
      <c r="M269" s="36" t="s">
        <v>65</v>
      </c>
      <c r="N269" s="36"/>
      <c r="O269" s="35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7"/>
      <c r="V269" s="37"/>
      <c r="W269" s="38" t="s">
        <v>66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/>
      <c r="AB269" s="66"/>
      <c r="AC269" s="349" t="s">
        <v>449</v>
      </c>
      <c r="AG269" s="75"/>
      <c r="AJ269" s="79"/>
      <c r="AK269" s="79">
        <v>0</v>
      </c>
      <c r="BB269" s="350" t="s">
        <v>1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450</v>
      </c>
      <c r="B270" s="60" t="s">
        <v>451</v>
      </c>
      <c r="C270" s="34">
        <v>4301031221</v>
      </c>
      <c r="D270" s="637">
        <v>4680115882676</v>
      </c>
      <c r="E270" s="63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122</v>
      </c>
      <c r="L270" s="35"/>
      <c r="M270" s="36" t="s">
        <v>65</v>
      </c>
      <c r="N270" s="36"/>
      <c r="O270" s="35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7"/>
      <c r="V270" s="37"/>
      <c r="W270" s="38" t="s">
        <v>66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/>
      <c r="AB270" s="66"/>
      <c r="AC270" s="351" t="s">
        <v>452</v>
      </c>
      <c r="AG270" s="75"/>
      <c r="AJ270" s="79"/>
      <c r="AK270" s="79">
        <v>0</v>
      </c>
      <c r="BB270" s="352" t="s">
        <v>1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453</v>
      </c>
      <c r="B271" s="60" t="s">
        <v>454</v>
      </c>
      <c r="C271" s="34">
        <v>4301031223</v>
      </c>
      <c r="D271" s="637">
        <v>4680115884014</v>
      </c>
      <c r="E271" s="638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64</v>
      </c>
      <c r="L271" s="35"/>
      <c r="M271" s="36" t="s">
        <v>65</v>
      </c>
      <c r="N271" s="36"/>
      <c r="O271" s="35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7"/>
      <c r="V271" s="37"/>
      <c r="W271" s="38" t="s">
        <v>66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/>
      <c r="AB271" s="66"/>
      <c r="AC271" s="353" t="s">
        <v>443</v>
      </c>
      <c r="AG271" s="75"/>
      <c r="AJ271" s="79"/>
      <c r="AK271" s="79">
        <v>0</v>
      </c>
      <c r="BB271" s="354" t="s">
        <v>1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4301031222</v>
      </c>
      <c r="D272" s="637">
        <v>4680115884007</v>
      </c>
      <c r="E272" s="638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64</v>
      </c>
      <c r="L272" s="35"/>
      <c r="M272" s="36" t="s">
        <v>65</v>
      </c>
      <c r="N272" s="36"/>
      <c r="O272" s="35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7"/>
      <c r="V272" s="37"/>
      <c r="W272" s="38" t="s">
        <v>66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/>
      <c r="AB272" s="66"/>
      <c r="AC272" s="355" t="s">
        <v>446</v>
      </c>
      <c r="AG272" s="75"/>
      <c r="AJ272" s="79"/>
      <c r="AK272" s="79">
        <v>0</v>
      </c>
      <c r="BB272" s="356" t="s">
        <v>1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4301031229</v>
      </c>
      <c r="D273" s="637">
        <v>4680115884038</v>
      </c>
      <c r="E273" s="638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64</v>
      </c>
      <c r="L273" s="35"/>
      <c r="M273" s="36" t="s">
        <v>65</v>
      </c>
      <c r="N273" s="36"/>
      <c r="O273" s="35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7"/>
      <c r="V273" s="37"/>
      <c r="W273" s="38" t="s">
        <v>66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/>
      <c r="AB273" s="66"/>
      <c r="AC273" s="357" t="s">
        <v>449</v>
      </c>
      <c r="AG273" s="75"/>
      <c r="AJ273" s="79"/>
      <c r="AK273" s="79">
        <v>0</v>
      </c>
      <c r="BB273" s="358" t="s">
        <v>1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459</v>
      </c>
      <c r="B274" s="60" t="s">
        <v>460</v>
      </c>
      <c r="C274" s="34">
        <v>4301031225</v>
      </c>
      <c r="D274" s="637">
        <v>4680115884021</v>
      </c>
      <c r="E274" s="63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64</v>
      </c>
      <c r="L274" s="35"/>
      <c r="M274" s="36" t="s">
        <v>65</v>
      </c>
      <c r="N274" s="36"/>
      <c r="O274" s="35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7"/>
      <c r="V274" s="37"/>
      <c r="W274" s="38" t="s">
        <v>66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/>
      <c r="AB274" s="66"/>
      <c r="AC274" s="359" t="s">
        <v>452</v>
      </c>
      <c r="AG274" s="75"/>
      <c r="AJ274" s="79"/>
      <c r="AK274" s="79">
        <v>0</v>
      </c>
      <c r="BB274" s="360" t="s">
        <v>1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71</v>
      </c>
      <c r="Q275" s="642"/>
      <c r="R275" s="642"/>
      <c r="S275" s="642"/>
      <c r="T275" s="642"/>
      <c r="U275" s="642"/>
      <c r="V275" s="643"/>
      <c r="W275" s="40" t="s">
        <v>72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71</v>
      </c>
      <c r="Q276" s="642"/>
      <c r="R276" s="642"/>
      <c r="S276" s="642"/>
      <c r="T276" s="642"/>
      <c r="U276" s="642"/>
      <c r="V276" s="643"/>
      <c r="W276" s="40" t="s">
        <v>66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644" t="s">
        <v>73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3"/>
      <c r="AB277" s="63"/>
      <c r="AC277" s="63"/>
    </row>
    <row r="278" spans="1:68" ht="27" hidden="1" customHeight="1" x14ac:dyDescent="0.25">
      <c r="A278" s="60" t="s">
        <v>461</v>
      </c>
      <c r="B278" s="60" t="s">
        <v>462</v>
      </c>
      <c r="C278" s="34">
        <v>4301051408</v>
      </c>
      <c r="D278" s="637">
        <v>4680115881594</v>
      </c>
      <c r="E278" s="638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113</v>
      </c>
      <c r="L278" s="35"/>
      <c r="M278" s="36" t="s">
        <v>77</v>
      </c>
      <c r="N278" s="36"/>
      <c r="O278" s="35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7"/>
      <c r="V278" s="37"/>
      <c r="W278" s="38" t="s">
        <v>66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/>
      <c r="AB278" s="66"/>
      <c r="AC278" s="361" t="s">
        <v>463</v>
      </c>
      <c r="AG278" s="75"/>
      <c r="AJ278" s="79"/>
      <c r="AK278" s="79">
        <v>0</v>
      </c>
      <c r="BB278" s="362" t="s">
        <v>1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464</v>
      </c>
      <c r="B279" s="60" t="s">
        <v>465</v>
      </c>
      <c r="C279" s="34">
        <v>4301051411</v>
      </c>
      <c r="D279" s="637">
        <v>4680115881617</v>
      </c>
      <c r="E279" s="638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113</v>
      </c>
      <c r="L279" s="35"/>
      <c r="M279" s="36" t="s">
        <v>77</v>
      </c>
      <c r="N279" s="36"/>
      <c r="O279" s="35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7"/>
      <c r="V279" s="37"/>
      <c r="W279" s="38" t="s">
        <v>66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/>
      <c r="AB279" s="66"/>
      <c r="AC279" s="363" t="s">
        <v>466</v>
      </c>
      <c r="AG279" s="75"/>
      <c r="AJ279" s="79"/>
      <c r="AK279" s="79">
        <v>0</v>
      </c>
      <c r="BB279" s="364" t="s">
        <v>1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467</v>
      </c>
      <c r="B280" s="60" t="s">
        <v>468</v>
      </c>
      <c r="C280" s="34">
        <v>4301051656</v>
      </c>
      <c r="D280" s="637">
        <v>4680115880573</v>
      </c>
      <c r="E280" s="638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113</v>
      </c>
      <c r="L280" s="35"/>
      <c r="M280" s="36" t="s">
        <v>77</v>
      </c>
      <c r="N280" s="36"/>
      <c r="O280" s="35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7"/>
      <c r="V280" s="37"/>
      <c r="W280" s="38" t="s">
        <v>66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/>
      <c r="AB280" s="66"/>
      <c r="AC280" s="365" t="s">
        <v>469</v>
      </c>
      <c r="AG280" s="75"/>
      <c r="AJ280" s="79"/>
      <c r="AK280" s="79">
        <v>0</v>
      </c>
      <c r="BB280" s="366" t="s">
        <v>1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hidden="1" customHeight="1" x14ac:dyDescent="0.25">
      <c r="A281" s="60" t="s">
        <v>470</v>
      </c>
      <c r="B281" s="60" t="s">
        <v>471</v>
      </c>
      <c r="C281" s="34">
        <v>4301051407</v>
      </c>
      <c r="D281" s="637">
        <v>4680115882195</v>
      </c>
      <c r="E281" s="638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76</v>
      </c>
      <c r="L281" s="35"/>
      <c r="M281" s="36" t="s">
        <v>77</v>
      </c>
      <c r="N281" s="36"/>
      <c r="O281" s="35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7"/>
      <c r="V281" s="37"/>
      <c r="W281" s="38" t="s">
        <v>66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/>
      <c r="AB281" s="66"/>
      <c r="AC281" s="367" t="s">
        <v>463</v>
      </c>
      <c r="AG281" s="75"/>
      <c r="AJ281" s="79"/>
      <c r="AK281" s="79">
        <v>0</v>
      </c>
      <c r="BB281" s="368" t="s">
        <v>1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472</v>
      </c>
      <c r="B282" s="60" t="s">
        <v>473</v>
      </c>
      <c r="C282" s="34">
        <v>4301051752</v>
      </c>
      <c r="D282" s="637">
        <v>4680115882607</v>
      </c>
      <c r="E282" s="638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76</v>
      </c>
      <c r="L282" s="35"/>
      <c r="M282" s="36" t="s">
        <v>83</v>
      </c>
      <c r="N282" s="36"/>
      <c r="O282" s="35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7"/>
      <c r="V282" s="37"/>
      <c r="W282" s="38" t="s">
        <v>66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/>
      <c r="AB282" s="66"/>
      <c r="AC282" s="369" t="s">
        <v>469</v>
      </c>
      <c r="AG282" s="75"/>
      <c r="AJ282" s="79"/>
      <c r="AK282" s="79">
        <v>0</v>
      </c>
      <c r="BB282" s="370" t="s">
        <v>1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4301052143</v>
      </c>
      <c r="D283" s="637">
        <v>4680115882607</v>
      </c>
      <c r="E283" s="638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122</v>
      </c>
      <c r="L283" s="35"/>
      <c r="M283" s="36" t="s">
        <v>77</v>
      </c>
      <c r="N283" s="36"/>
      <c r="O283" s="35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7"/>
      <c r="V283" s="37"/>
      <c r="W283" s="38" t="s">
        <v>66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/>
      <c r="AB283" s="66"/>
      <c r="AC283" s="371" t="s">
        <v>476</v>
      </c>
      <c r="AG283" s="75"/>
      <c r="AJ283" s="79"/>
      <c r="AK283" s="79">
        <v>0</v>
      </c>
      <c r="BB283" s="372" t="s">
        <v>1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4301051666</v>
      </c>
      <c r="D284" s="637">
        <v>4680115880092</v>
      </c>
      <c r="E284" s="638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76</v>
      </c>
      <c r="L284" s="35"/>
      <c r="M284" s="36" t="s">
        <v>77</v>
      </c>
      <c r="N284" s="36"/>
      <c r="O284" s="35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7"/>
      <c r="V284" s="37"/>
      <c r="W284" s="38" t="s">
        <v>66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/>
      <c r="AB284" s="66"/>
      <c r="AC284" s="373" t="s">
        <v>469</v>
      </c>
      <c r="AG284" s="75"/>
      <c r="AJ284" s="79"/>
      <c r="AK284" s="79">
        <v>0</v>
      </c>
      <c r="BB284" s="374" t="s">
        <v>1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479</v>
      </c>
      <c r="B285" s="60" t="s">
        <v>480</v>
      </c>
      <c r="C285" s="34">
        <v>4301052214</v>
      </c>
      <c r="D285" s="637">
        <v>4680115889064</v>
      </c>
      <c r="E285" s="638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113</v>
      </c>
      <c r="L285" s="35"/>
      <c r="M285" s="36" t="s">
        <v>77</v>
      </c>
      <c r="N285" s="36"/>
      <c r="O285" s="35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7"/>
      <c r="V285" s="37"/>
      <c r="W285" s="38" t="s">
        <v>66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/>
      <c r="AB285" s="66"/>
      <c r="AC285" s="375" t="s">
        <v>476</v>
      </c>
      <c r="AG285" s="75"/>
      <c r="AJ285" s="79"/>
      <c r="AK285" s="79">
        <v>0</v>
      </c>
      <c r="BB285" s="376" t="s">
        <v>1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481</v>
      </c>
      <c r="B286" s="60" t="s">
        <v>482</v>
      </c>
      <c r="C286" s="34">
        <v>4301051668</v>
      </c>
      <c r="D286" s="637">
        <v>4680115880221</v>
      </c>
      <c r="E286" s="63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76</v>
      </c>
      <c r="L286" s="35"/>
      <c r="M286" s="36" t="s">
        <v>77</v>
      </c>
      <c r="N286" s="36"/>
      <c r="O286" s="35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7"/>
      <c r="V286" s="37"/>
      <c r="W286" s="38" t="s">
        <v>66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/>
      <c r="AB286" s="66"/>
      <c r="AC286" s="377" t="s">
        <v>469</v>
      </c>
      <c r="AG286" s="75"/>
      <c r="AJ286" s="79"/>
      <c r="AK286" s="79">
        <v>0</v>
      </c>
      <c r="BB286" s="378" t="s">
        <v>1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483</v>
      </c>
      <c r="B287" s="60" t="s">
        <v>484</v>
      </c>
      <c r="C287" s="34">
        <v>4301051945</v>
      </c>
      <c r="D287" s="637">
        <v>4680115880504</v>
      </c>
      <c r="E287" s="638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76</v>
      </c>
      <c r="L287" s="35"/>
      <c r="M287" s="36" t="s">
        <v>83</v>
      </c>
      <c r="N287" s="36"/>
      <c r="O287" s="35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7"/>
      <c r="V287" s="37"/>
      <c r="W287" s="38" t="s">
        <v>66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/>
      <c r="AB287" s="66"/>
      <c r="AC287" s="379" t="s">
        <v>485</v>
      </c>
      <c r="AG287" s="75"/>
      <c r="AJ287" s="79"/>
      <c r="AK287" s="79">
        <v>0</v>
      </c>
      <c r="BB287" s="380" t="s">
        <v>1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4301051410</v>
      </c>
      <c r="D288" s="637">
        <v>4680115882164</v>
      </c>
      <c r="E288" s="638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76</v>
      </c>
      <c r="L288" s="35"/>
      <c r="M288" s="36" t="s">
        <v>77</v>
      </c>
      <c r="N288" s="36"/>
      <c r="O288" s="35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7"/>
      <c r="V288" s="37"/>
      <c r="W288" s="38" t="s">
        <v>66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/>
      <c r="AB288" s="66"/>
      <c r="AC288" s="381" t="s">
        <v>488</v>
      </c>
      <c r="AG288" s="75"/>
      <c r="AJ288" s="79"/>
      <c r="AK288" s="79">
        <v>0</v>
      </c>
      <c r="BB288" s="382" t="s">
        <v>1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4301052180</v>
      </c>
      <c r="D289" s="637">
        <v>4680115888340</v>
      </c>
      <c r="E289" s="63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76</v>
      </c>
      <c r="L289" s="35"/>
      <c r="M289" s="36" t="s">
        <v>77</v>
      </c>
      <c r="N289" s="36"/>
      <c r="O289" s="35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7"/>
      <c r="V289" s="37"/>
      <c r="W289" s="38" t="s">
        <v>66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/>
      <c r="AB289" s="66"/>
      <c r="AC289" s="383" t="s">
        <v>491</v>
      </c>
      <c r="AG289" s="75"/>
      <c r="AJ289" s="79"/>
      <c r="AK289" s="79">
        <v>0</v>
      </c>
      <c r="BB289" s="384" t="s">
        <v>1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hidden="1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71</v>
      </c>
      <c r="Q290" s="642"/>
      <c r="R290" s="642"/>
      <c r="S290" s="642"/>
      <c r="T290" s="642"/>
      <c r="U290" s="642"/>
      <c r="V290" s="643"/>
      <c r="W290" s="40" t="s">
        <v>72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71</v>
      </c>
      <c r="Q291" s="642"/>
      <c r="R291" s="642"/>
      <c r="S291" s="642"/>
      <c r="T291" s="642"/>
      <c r="U291" s="642"/>
      <c r="V291" s="643"/>
      <c r="W291" s="40" t="s">
        <v>66</v>
      </c>
      <c r="X291" s="41">
        <f>IFERROR(SUM(X278:X289),"0")</f>
        <v>0</v>
      </c>
      <c r="Y291" s="41">
        <f>IFERROR(SUM(Y278:Y289),"0")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44" t="s">
        <v>163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4301060463</v>
      </c>
      <c r="D293" s="637">
        <v>4680115880818</v>
      </c>
      <c r="E293" s="63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76</v>
      </c>
      <c r="L293" s="35"/>
      <c r="M293" s="36" t="s">
        <v>83</v>
      </c>
      <c r="N293" s="36"/>
      <c r="O293" s="35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7"/>
      <c r="V293" s="37"/>
      <c r="W293" s="38" t="s">
        <v>66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/>
      <c r="AB293" s="66"/>
      <c r="AC293" s="385" t="s">
        <v>494</v>
      </c>
      <c r="AG293" s="75"/>
      <c r="AJ293" s="79"/>
      <c r="AK293" s="79">
        <v>0</v>
      </c>
      <c r="BB293" s="386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495</v>
      </c>
      <c r="B294" s="60" t="s">
        <v>496</v>
      </c>
      <c r="C294" s="34">
        <v>4301060389</v>
      </c>
      <c r="D294" s="637">
        <v>4680115880801</v>
      </c>
      <c r="E294" s="638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76</v>
      </c>
      <c r="L294" s="35"/>
      <c r="M294" s="36" t="s">
        <v>77</v>
      </c>
      <c r="N294" s="36"/>
      <c r="O294" s="35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7"/>
      <c r="V294" s="37"/>
      <c r="W294" s="38" t="s">
        <v>66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/>
      <c r="AB294" s="66"/>
      <c r="AC294" s="387" t="s">
        <v>497</v>
      </c>
      <c r="AG294" s="75"/>
      <c r="AJ294" s="79"/>
      <c r="AK294" s="79">
        <v>0</v>
      </c>
      <c r="BB294" s="388" t="s">
        <v>1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71</v>
      </c>
      <c r="Q295" s="642"/>
      <c r="R295" s="642"/>
      <c r="S295" s="642"/>
      <c r="T295" s="642"/>
      <c r="U295" s="642"/>
      <c r="V295" s="643"/>
      <c r="W295" s="40" t="s">
        <v>72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71</v>
      </c>
      <c r="Q296" s="642"/>
      <c r="R296" s="642"/>
      <c r="S296" s="642"/>
      <c r="T296" s="642"/>
      <c r="U296" s="642"/>
      <c r="V296" s="643"/>
      <c r="W296" s="40" t="s">
        <v>66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39" t="s">
        <v>498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"/>
      <c r="AB297" s="62"/>
      <c r="AC297" s="62"/>
    </row>
    <row r="298" spans="1:68" ht="14.25" hidden="1" customHeight="1" x14ac:dyDescent="0.25">
      <c r="A298" s="644" t="s">
        <v>110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3"/>
      <c r="AB298" s="63"/>
      <c r="AC298" s="63"/>
    </row>
    <row r="299" spans="1:68" ht="27" hidden="1" customHeight="1" x14ac:dyDescent="0.25">
      <c r="A299" s="60" t="s">
        <v>499</v>
      </c>
      <c r="B299" s="60" t="s">
        <v>500</v>
      </c>
      <c r="C299" s="34">
        <v>4301011826</v>
      </c>
      <c r="D299" s="637">
        <v>4680115884137</v>
      </c>
      <c r="E299" s="638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113</v>
      </c>
      <c r="L299" s="35"/>
      <c r="M299" s="36" t="s">
        <v>114</v>
      </c>
      <c r="N299" s="36"/>
      <c r="O299" s="35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7"/>
      <c r="V299" s="37"/>
      <c r="W299" s="38" t="s">
        <v>66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/>
      <c r="AB299" s="66"/>
      <c r="AC299" s="389" t="s">
        <v>501</v>
      </c>
      <c r="AG299" s="75"/>
      <c r="AJ299" s="79"/>
      <c r="AK299" s="79">
        <v>0</v>
      </c>
      <c r="BB299" s="390" t="s">
        <v>1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502</v>
      </c>
      <c r="B300" s="60" t="s">
        <v>503</v>
      </c>
      <c r="C300" s="34">
        <v>4301011724</v>
      </c>
      <c r="D300" s="637">
        <v>4680115884236</v>
      </c>
      <c r="E300" s="638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113</v>
      </c>
      <c r="L300" s="35"/>
      <c r="M300" s="36" t="s">
        <v>114</v>
      </c>
      <c r="N300" s="36"/>
      <c r="O300" s="35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7"/>
      <c r="V300" s="37"/>
      <c r="W300" s="38" t="s">
        <v>66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/>
      <c r="AB300" s="66"/>
      <c r="AC300" s="391" t="s">
        <v>504</v>
      </c>
      <c r="AG300" s="75"/>
      <c r="AJ300" s="79"/>
      <c r="AK300" s="79">
        <v>0</v>
      </c>
      <c r="BB300" s="392" t="s">
        <v>1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4301011721</v>
      </c>
      <c r="D301" s="637">
        <v>4680115884175</v>
      </c>
      <c r="E301" s="63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113</v>
      </c>
      <c r="L301" s="35"/>
      <c r="M301" s="36" t="s">
        <v>114</v>
      </c>
      <c r="N301" s="36"/>
      <c r="O301" s="35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7"/>
      <c r="V301" s="37"/>
      <c r="W301" s="38" t="s">
        <v>66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/>
      <c r="AB301" s="66"/>
      <c r="AC301" s="393" t="s">
        <v>359</v>
      </c>
      <c r="AG301" s="75"/>
      <c r="AJ301" s="79"/>
      <c r="AK301" s="79">
        <v>0</v>
      </c>
      <c r="BB301" s="394" t="s">
        <v>1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4301011824</v>
      </c>
      <c r="D302" s="637">
        <v>4680115884144</v>
      </c>
      <c r="E302" s="638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122</v>
      </c>
      <c r="L302" s="35"/>
      <c r="M302" s="36" t="s">
        <v>114</v>
      </c>
      <c r="N302" s="36"/>
      <c r="O302" s="35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7"/>
      <c r="V302" s="37"/>
      <c r="W302" s="38" t="s">
        <v>66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/>
      <c r="AB302" s="66"/>
      <c r="AC302" s="395" t="s">
        <v>501</v>
      </c>
      <c r="AG302" s="75"/>
      <c r="AJ302" s="79"/>
      <c r="AK302" s="79">
        <v>0</v>
      </c>
      <c r="BB302" s="396" t="s">
        <v>1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4301012149</v>
      </c>
      <c r="D303" s="637">
        <v>4680115886551</v>
      </c>
      <c r="E303" s="638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122</v>
      </c>
      <c r="L303" s="35"/>
      <c r="M303" s="36" t="s">
        <v>114</v>
      </c>
      <c r="N303" s="36"/>
      <c r="O303" s="35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7"/>
      <c r="V303" s="37"/>
      <c r="W303" s="38" t="s">
        <v>66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/>
      <c r="AB303" s="66"/>
      <c r="AC303" s="397" t="s">
        <v>511</v>
      </c>
      <c r="AG303" s="75"/>
      <c r="AJ303" s="79"/>
      <c r="AK303" s="79">
        <v>0</v>
      </c>
      <c r="BB303" s="398" t="s">
        <v>1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4301012228</v>
      </c>
      <c r="D304" s="637">
        <v>4680115887282</v>
      </c>
      <c r="E304" s="638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76</v>
      </c>
      <c r="L304" s="35"/>
      <c r="M304" s="36" t="s">
        <v>114</v>
      </c>
      <c r="N304" s="36"/>
      <c r="O304" s="35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7"/>
      <c r="V304" s="37"/>
      <c r="W304" s="38" t="s">
        <v>66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/>
      <c r="AB304" s="66"/>
      <c r="AC304" s="399" t="s">
        <v>514</v>
      </c>
      <c r="AG304" s="75"/>
      <c r="AJ304" s="79"/>
      <c r="AK304" s="79">
        <v>0</v>
      </c>
      <c r="BB304" s="400" t="s">
        <v>1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4301011722</v>
      </c>
      <c r="D305" s="637">
        <v>4680115884205</v>
      </c>
      <c r="E305" s="63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122</v>
      </c>
      <c r="L305" s="35"/>
      <c r="M305" s="36" t="s">
        <v>114</v>
      </c>
      <c r="N305" s="36"/>
      <c r="O305" s="35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7"/>
      <c r="V305" s="37"/>
      <c r="W305" s="38" t="s">
        <v>66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/>
      <c r="AB305" s="66"/>
      <c r="AC305" s="401" t="s">
        <v>359</v>
      </c>
      <c r="AG305" s="75"/>
      <c r="AJ305" s="79"/>
      <c r="AK305" s="79">
        <v>0</v>
      </c>
      <c r="BB305" s="402" t="s">
        <v>1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71</v>
      </c>
      <c r="Q306" s="642"/>
      <c r="R306" s="642"/>
      <c r="S306" s="642"/>
      <c r="T306" s="642"/>
      <c r="U306" s="642"/>
      <c r="V306" s="643"/>
      <c r="W306" s="40" t="s">
        <v>72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71</v>
      </c>
      <c r="Q307" s="642"/>
      <c r="R307" s="642"/>
      <c r="S307" s="642"/>
      <c r="T307" s="642"/>
      <c r="U307" s="642"/>
      <c r="V307" s="643"/>
      <c r="W307" s="40" t="s">
        <v>66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44" t="s">
        <v>146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4301020377</v>
      </c>
      <c r="D309" s="637">
        <v>4680115885981</v>
      </c>
      <c r="E309" s="638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64</v>
      </c>
      <c r="L309" s="35"/>
      <c r="M309" s="36" t="s">
        <v>77</v>
      </c>
      <c r="N309" s="36"/>
      <c r="O309" s="35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7"/>
      <c r="V309" s="37"/>
      <c r="W309" s="38" t="s">
        <v>66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/>
      <c r="AB309" s="66"/>
      <c r="AC309" s="403" t="s">
        <v>519</v>
      </c>
      <c r="AG309" s="75"/>
      <c r="AJ309" s="79"/>
      <c r="AK309" s="79">
        <v>0</v>
      </c>
      <c r="BB309" s="40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71</v>
      </c>
      <c r="Q310" s="642"/>
      <c r="R310" s="642"/>
      <c r="S310" s="642"/>
      <c r="T310" s="642"/>
      <c r="U310" s="642"/>
      <c r="V310" s="643"/>
      <c r="W310" s="40" t="s">
        <v>72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71</v>
      </c>
      <c r="Q311" s="642"/>
      <c r="R311" s="642"/>
      <c r="S311" s="642"/>
      <c r="T311" s="642"/>
      <c r="U311" s="642"/>
      <c r="V311" s="643"/>
      <c r="W311" s="40" t="s">
        <v>66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44" t="s">
        <v>520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3"/>
      <c r="AB312" s="63"/>
      <c r="AC312" s="63"/>
    </row>
    <row r="313" spans="1:68" ht="27" hidden="1" customHeight="1" x14ac:dyDescent="0.25">
      <c r="A313" s="60" t="s">
        <v>521</v>
      </c>
      <c r="B313" s="60" t="s">
        <v>522</v>
      </c>
      <c r="C313" s="34">
        <v>4301040362</v>
      </c>
      <c r="D313" s="637">
        <v>4680115886803</v>
      </c>
      <c r="E313" s="638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332</v>
      </c>
      <c r="L313" s="35"/>
      <c r="M313" s="36" t="s">
        <v>275</v>
      </c>
      <c r="N313" s="36"/>
      <c r="O313" s="35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7"/>
      <c r="V313" s="37"/>
      <c r="W313" s="38" t="s">
        <v>66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/>
      <c r="AB313" s="66"/>
      <c r="AC313" s="405" t="s">
        <v>523</v>
      </c>
      <c r="AG313" s="75"/>
      <c r="AJ313" s="79"/>
      <c r="AK313" s="79">
        <v>0</v>
      </c>
      <c r="BB313" s="406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71</v>
      </c>
      <c r="Q314" s="642"/>
      <c r="R314" s="642"/>
      <c r="S314" s="642"/>
      <c r="T314" s="642"/>
      <c r="U314" s="642"/>
      <c r="V314" s="643"/>
      <c r="W314" s="40" t="s">
        <v>72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71</v>
      </c>
      <c r="Q315" s="642"/>
      <c r="R315" s="642"/>
      <c r="S315" s="642"/>
      <c r="T315" s="642"/>
      <c r="U315" s="642"/>
      <c r="V315" s="643"/>
      <c r="W315" s="40" t="s">
        <v>66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44" t="s">
        <v>337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3"/>
      <c r="AB316" s="63"/>
      <c r="AC316" s="63"/>
    </row>
    <row r="317" spans="1:68" ht="27" hidden="1" customHeight="1" x14ac:dyDescent="0.25">
      <c r="A317" s="60" t="s">
        <v>524</v>
      </c>
      <c r="B317" s="60" t="s">
        <v>525</v>
      </c>
      <c r="C317" s="34">
        <v>4301041004</v>
      </c>
      <c r="D317" s="637">
        <v>4680115886704</v>
      </c>
      <c r="E317" s="638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332</v>
      </c>
      <c r="L317" s="35"/>
      <c r="M317" s="36" t="s">
        <v>275</v>
      </c>
      <c r="N317" s="36"/>
      <c r="O317" s="35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7"/>
      <c r="V317" s="37"/>
      <c r="W317" s="38" t="s">
        <v>66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/>
      <c r="AB317" s="66"/>
      <c r="AC317" s="407" t="s">
        <v>526</v>
      </c>
      <c r="AG317" s="75"/>
      <c r="AJ317" s="79"/>
      <c r="AK317" s="79">
        <v>0</v>
      </c>
      <c r="BB317" s="40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527</v>
      </c>
      <c r="B318" s="60" t="s">
        <v>528</v>
      </c>
      <c r="C318" s="34">
        <v>4301041008</v>
      </c>
      <c r="D318" s="637">
        <v>4680115886681</v>
      </c>
      <c r="E318" s="638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332</v>
      </c>
      <c r="L318" s="35"/>
      <c r="M318" s="36" t="s">
        <v>275</v>
      </c>
      <c r="N318" s="36"/>
      <c r="O318" s="35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7"/>
      <c r="V318" s="37"/>
      <c r="W318" s="38" t="s">
        <v>66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/>
      <c r="AB318" s="66"/>
      <c r="AC318" s="409" t="s">
        <v>526</v>
      </c>
      <c r="AG318" s="75"/>
      <c r="AJ318" s="79"/>
      <c r="AK318" s="79">
        <v>0</v>
      </c>
      <c r="BB318" s="41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4301041007</v>
      </c>
      <c r="D319" s="637">
        <v>4680115886735</v>
      </c>
      <c r="E319" s="638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332</v>
      </c>
      <c r="L319" s="35"/>
      <c r="M319" s="36" t="s">
        <v>275</v>
      </c>
      <c r="N319" s="36"/>
      <c r="O319" s="35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7"/>
      <c r="V319" s="37"/>
      <c r="W319" s="38" t="s">
        <v>66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/>
      <c r="AB319" s="66"/>
      <c r="AC319" s="411" t="s">
        <v>526</v>
      </c>
      <c r="AG319" s="75"/>
      <c r="AJ319" s="79"/>
      <c r="AK319" s="79">
        <v>0</v>
      </c>
      <c r="BB319" s="41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71</v>
      </c>
      <c r="Q320" s="642"/>
      <c r="R320" s="642"/>
      <c r="S320" s="642"/>
      <c r="T320" s="642"/>
      <c r="U320" s="642"/>
      <c r="V320" s="643"/>
      <c r="W320" s="40" t="s">
        <v>72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71</v>
      </c>
      <c r="Q321" s="642"/>
      <c r="R321" s="642"/>
      <c r="S321" s="642"/>
      <c r="T321" s="642"/>
      <c r="U321" s="642"/>
      <c r="V321" s="643"/>
      <c r="W321" s="40" t="s">
        <v>66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39" t="s">
        <v>531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"/>
      <c r="AB322" s="62"/>
      <c r="AC322" s="62"/>
    </row>
    <row r="323" spans="1:68" ht="14.25" hidden="1" customHeight="1" x14ac:dyDescent="0.25">
      <c r="A323" s="644" t="s">
        <v>110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3"/>
      <c r="AB323" s="63"/>
      <c r="AC323" s="63"/>
    </row>
    <row r="324" spans="1:68" ht="27" hidden="1" customHeight="1" x14ac:dyDescent="0.25">
      <c r="A324" s="60" t="s">
        <v>532</v>
      </c>
      <c r="B324" s="60" t="s">
        <v>533</v>
      </c>
      <c r="C324" s="34">
        <v>4301011855</v>
      </c>
      <c r="D324" s="637">
        <v>4680115885837</v>
      </c>
      <c r="E324" s="638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113</v>
      </c>
      <c r="L324" s="35"/>
      <c r="M324" s="36" t="s">
        <v>114</v>
      </c>
      <c r="N324" s="36"/>
      <c r="O324" s="35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7"/>
      <c r="V324" s="37"/>
      <c r="W324" s="38" t="s">
        <v>66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413" t="s">
        <v>534</v>
      </c>
      <c r="AG324" s="75"/>
      <c r="AJ324" s="79"/>
      <c r="AK324" s="79">
        <v>0</v>
      </c>
      <c r="BB324" s="414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535</v>
      </c>
      <c r="B325" s="60" t="s">
        <v>536</v>
      </c>
      <c r="C325" s="34">
        <v>4301012234</v>
      </c>
      <c r="D325" s="637">
        <v>4680115887237</v>
      </c>
      <c r="E325" s="638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113</v>
      </c>
      <c r="L325" s="35"/>
      <c r="M325" s="36" t="s">
        <v>114</v>
      </c>
      <c r="N325" s="36"/>
      <c r="O325" s="35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7"/>
      <c r="V325" s="37"/>
      <c r="W325" s="38" t="s">
        <v>66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415" t="s">
        <v>537</v>
      </c>
      <c r="AG325" s="75"/>
      <c r="AJ325" s="79"/>
      <c r="AK325" s="79">
        <v>0</v>
      </c>
      <c r="BB325" s="416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538</v>
      </c>
      <c r="B326" s="60" t="s">
        <v>539</v>
      </c>
      <c r="C326" s="34">
        <v>4301011850</v>
      </c>
      <c r="D326" s="637">
        <v>4680115885806</v>
      </c>
      <c r="E326" s="63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113</v>
      </c>
      <c r="L326" s="35"/>
      <c r="M326" s="36" t="s">
        <v>114</v>
      </c>
      <c r="N326" s="36"/>
      <c r="O326" s="35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7"/>
      <c r="V326" s="37"/>
      <c r="W326" s="38" t="s">
        <v>66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/>
      <c r="AB326" s="66"/>
      <c r="AC326" s="417" t="s">
        <v>540</v>
      </c>
      <c r="AG326" s="75"/>
      <c r="AJ326" s="79"/>
      <c r="AK326" s="79">
        <v>0</v>
      </c>
      <c r="BB326" s="418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541</v>
      </c>
      <c r="B327" s="60" t="s">
        <v>542</v>
      </c>
      <c r="C327" s="34">
        <v>4301011852</v>
      </c>
      <c r="D327" s="637">
        <v>4680115885844</v>
      </c>
      <c r="E327" s="638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122</v>
      </c>
      <c r="L327" s="35"/>
      <c r="M327" s="36" t="s">
        <v>114</v>
      </c>
      <c r="N327" s="36"/>
      <c r="O327" s="35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7"/>
      <c r="V327" s="37"/>
      <c r="W327" s="38" t="s">
        <v>66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/>
      <c r="AB327" s="66"/>
      <c r="AC327" s="419" t="s">
        <v>543</v>
      </c>
      <c r="AG327" s="75"/>
      <c r="AJ327" s="79"/>
      <c r="AK327" s="79">
        <v>0</v>
      </c>
      <c r="BB327" s="420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544</v>
      </c>
      <c r="B328" s="60" t="s">
        <v>545</v>
      </c>
      <c r="C328" s="34">
        <v>4301011851</v>
      </c>
      <c r="D328" s="637">
        <v>4680115885820</v>
      </c>
      <c r="E328" s="638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122</v>
      </c>
      <c r="L328" s="35"/>
      <c r="M328" s="36" t="s">
        <v>114</v>
      </c>
      <c r="N328" s="36"/>
      <c r="O328" s="35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7"/>
      <c r="V328" s="37"/>
      <c r="W328" s="38" t="s">
        <v>66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421" t="s">
        <v>546</v>
      </c>
      <c r="AG328" s="75"/>
      <c r="AJ328" s="79"/>
      <c r="AK328" s="79">
        <v>0</v>
      </c>
      <c r="BB328" s="42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71</v>
      </c>
      <c r="Q329" s="642"/>
      <c r="R329" s="642"/>
      <c r="S329" s="642"/>
      <c r="T329" s="642"/>
      <c r="U329" s="642"/>
      <c r="V329" s="643"/>
      <c r="W329" s="40" t="s">
        <v>72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71</v>
      </c>
      <c r="Q330" s="642"/>
      <c r="R330" s="642"/>
      <c r="S330" s="642"/>
      <c r="T330" s="642"/>
      <c r="U330" s="642"/>
      <c r="V330" s="643"/>
      <c r="W330" s="40" t="s">
        <v>66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39" t="s">
        <v>547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"/>
      <c r="AB331" s="62"/>
      <c r="AC331" s="62"/>
    </row>
    <row r="332" spans="1:68" ht="14.25" hidden="1" customHeight="1" x14ac:dyDescent="0.25">
      <c r="A332" s="644" t="s">
        <v>73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3"/>
      <c r="AB332" s="63"/>
      <c r="AC332" s="63"/>
    </row>
    <row r="333" spans="1:68" ht="27" hidden="1" customHeight="1" x14ac:dyDescent="0.25">
      <c r="A333" s="60" t="s">
        <v>548</v>
      </c>
      <c r="B333" s="60" t="s">
        <v>549</v>
      </c>
      <c r="C333" s="34">
        <v>4301051893</v>
      </c>
      <c r="D333" s="637">
        <v>4680115886186</v>
      </c>
      <c r="E333" s="638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76</v>
      </c>
      <c r="L333" s="35"/>
      <c r="M333" s="36" t="s">
        <v>77</v>
      </c>
      <c r="N333" s="36"/>
      <c r="O333" s="35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7"/>
      <c r="V333" s="37"/>
      <c r="W333" s="38" t="s">
        <v>66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/>
      <c r="AB333" s="66"/>
      <c r="AC333" s="423" t="s">
        <v>550</v>
      </c>
      <c r="AG333" s="75"/>
      <c r="AJ333" s="79"/>
      <c r="AK333" s="79">
        <v>0</v>
      </c>
      <c r="BB333" s="424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551</v>
      </c>
      <c r="B334" s="60" t="s">
        <v>552</v>
      </c>
      <c r="C334" s="34">
        <v>4301051795</v>
      </c>
      <c r="D334" s="637">
        <v>4680115881228</v>
      </c>
      <c r="E334" s="638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76</v>
      </c>
      <c r="L334" s="35"/>
      <c r="M334" s="36" t="s">
        <v>83</v>
      </c>
      <c r="N334" s="36"/>
      <c r="O334" s="35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7"/>
      <c r="V334" s="37"/>
      <c r="W334" s="38" t="s">
        <v>66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/>
      <c r="AB334" s="66"/>
      <c r="AC334" s="425" t="s">
        <v>553</v>
      </c>
      <c r="AG334" s="75"/>
      <c r="AJ334" s="79"/>
      <c r="AK334" s="79">
        <v>0</v>
      </c>
      <c r="BB334" s="426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554</v>
      </c>
      <c r="B335" s="60" t="s">
        <v>555</v>
      </c>
      <c r="C335" s="34">
        <v>4301051388</v>
      </c>
      <c r="D335" s="637">
        <v>4680115881211</v>
      </c>
      <c r="E335" s="638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76</v>
      </c>
      <c r="L335" s="35"/>
      <c r="M335" s="36" t="s">
        <v>77</v>
      </c>
      <c r="N335" s="36"/>
      <c r="O335" s="35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7"/>
      <c r="V335" s="37"/>
      <c r="W335" s="38" t="s">
        <v>66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27" t="s">
        <v>550</v>
      </c>
      <c r="AG335" s="75"/>
      <c r="AJ335" s="79"/>
      <c r="AK335" s="79">
        <v>0</v>
      </c>
      <c r="BB335" s="428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71</v>
      </c>
      <c r="Q336" s="642"/>
      <c r="R336" s="642"/>
      <c r="S336" s="642"/>
      <c r="T336" s="642"/>
      <c r="U336" s="642"/>
      <c r="V336" s="643"/>
      <c r="W336" s="40" t="s">
        <v>72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71</v>
      </c>
      <c r="Q337" s="642"/>
      <c r="R337" s="642"/>
      <c r="S337" s="642"/>
      <c r="T337" s="642"/>
      <c r="U337" s="642"/>
      <c r="V337" s="643"/>
      <c r="W337" s="40" t="s">
        <v>66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639" t="s">
        <v>556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"/>
      <c r="AB338" s="62"/>
      <c r="AC338" s="62"/>
    </row>
    <row r="339" spans="1:68" ht="14.25" hidden="1" customHeight="1" x14ac:dyDescent="0.25">
      <c r="A339" s="644" t="s">
        <v>61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3"/>
      <c r="AB339" s="63"/>
      <c r="AC339" s="63"/>
    </row>
    <row r="340" spans="1:68" ht="27" hidden="1" customHeight="1" x14ac:dyDescent="0.25">
      <c r="A340" s="60" t="s">
        <v>557</v>
      </c>
      <c r="B340" s="60" t="s">
        <v>558</v>
      </c>
      <c r="C340" s="34">
        <v>4301031445</v>
      </c>
      <c r="D340" s="637">
        <v>4680115888319</v>
      </c>
      <c r="E340" s="638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64</v>
      </c>
      <c r="L340" s="35"/>
      <c r="M340" s="36" t="s">
        <v>65</v>
      </c>
      <c r="N340" s="36"/>
      <c r="O340" s="35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7"/>
      <c r="V340" s="37"/>
      <c r="W340" s="38" t="s">
        <v>66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/>
      <c r="AB340" s="66"/>
      <c r="AC340" s="429" t="s">
        <v>391</v>
      </c>
      <c r="AG340" s="75"/>
      <c r="AJ340" s="79"/>
      <c r="AK340" s="79">
        <v>0</v>
      </c>
      <c r="BB340" s="430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559</v>
      </c>
      <c r="B341" s="60" t="s">
        <v>560</v>
      </c>
      <c r="C341" s="34">
        <v>4301031502</v>
      </c>
      <c r="D341" s="637">
        <v>4680115884700</v>
      </c>
      <c r="E341" s="638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64</v>
      </c>
      <c r="L341" s="35"/>
      <c r="M341" s="36" t="s">
        <v>65</v>
      </c>
      <c r="N341" s="36"/>
      <c r="O341" s="35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7"/>
      <c r="V341" s="37"/>
      <c r="W341" s="38" t="s">
        <v>66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/>
      <c r="AB341" s="66"/>
      <c r="AC341" s="431" t="s">
        <v>561</v>
      </c>
      <c r="AG341" s="75"/>
      <c r="AJ341" s="79"/>
      <c r="AK341" s="79">
        <v>0</v>
      </c>
      <c r="BB341" s="432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562</v>
      </c>
      <c r="B342" s="60" t="s">
        <v>563</v>
      </c>
      <c r="C342" s="34">
        <v>4301031307</v>
      </c>
      <c r="D342" s="637">
        <v>4680115880344</v>
      </c>
      <c r="E342" s="638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64</v>
      </c>
      <c r="L342" s="35"/>
      <c r="M342" s="36" t="s">
        <v>65</v>
      </c>
      <c r="N342" s="36"/>
      <c r="O342" s="35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7"/>
      <c r="V342" s="37"/>
      <c r="W342" s="38" t="s">
        <v>66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/>
      <c r="AB342" s="66"/>
      <c r="AC342" s="433" t="s">
        <v>564</v>
      </c>
      <c r="AG342" s="75"/>
      <c r="AJ342" s="79"/>
      <c r="AK342" s="79">
        <v>0</v>
      </c>
      <c r="BB342" s="434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565</v>
      </c>
      <c r="B343" s="60" t="s">
        <v>566</v>
      </c>
      <c r="C343" s="34">
        <v>4301031501</v>
      </c>
      <c r="D343" s="637">
        <v>4680115886919</v>
      </c>
      <c r="E343" s="638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76</v>
      </c>
      <c r="L343" s="35"/>
      <c r="M343" s="36" t="s">
        <v>65</v>
      </c>
      <c r="N343" s="36"/>
      <c r="O343" s="35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7"/>
      <c r="V343" s="37"/>
      <c r="W343" s="38" t="s">
        <v>66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35" t="s">
        <v>567</v>
      </c>
      <c r="AG343" s="75"/>
      <c r="AJ343" s="79"/>
      <c r="AK343" s="79">
        <v>0</v>
      </c>
      <c r="BB343" s="436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568</v>
      </c>
      <c r="B344" s="60" t="s">
        <v>569</v>
      </c>
      <c r="C344" s="34">
        <v>4301031246</v>
      </c>
      <c r="D344" s="637">
        <v>4680115883970</v>
      </c>
      <c r="E344" s="638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64</v>
      </c>
      <c r="L344" s="35"/>
      <c r="M344" s="36" t="s">
        <v>65</v>
      </c>
      <c r="N344" s="36"/>
      <c r="O344" s="35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7"/>
      <c r="V344" s="37"/>
      <c r="W344" s="38" t="s">
        <v>66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/>
      <c r="AB344" s="66"/>
      <c r="AC344" s="437" t="s">
        <v>570</v>
      </c>
      <c r="AG344" s="75"/>
      <c r="AJ344" s="79"/>
      <c r="AK344" s="79">
        <v>0</v>
      </c>
      <c r="BB344" s="438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71</v>
      </c>
      <c r="Q345" s="642"/>
      <c r="R345" s="642"/>
      <c r="S345" s="642"/>
      <c r="T345" s="642"/>
      <c r="U345" s="642"/>
      <c r="V345" s="643"/>
      <c r="W345" s="40" t="s">
        <v>72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71</v>
      </c>
      <c r="Q346" s="642"/>
      <c r="R346" s="642"/>
      <c r="S346" s="642"/>
      <c r="T346" s="642"/>
      <c r="U346" s="642"/>
      <c r="V346" s="643"/>
      <c r="W346" s="40" t="s">
        <v>66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44" t="s">
        <v>73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3"/>
      <c r="AB347" s="63"/>
      <c r="AC347" s="63"/>
    </row>
    <row r="348" spans="1:68" ht="27" hidden="1" customHeight="1" x14ac:dyDescent="0.25">
      <c r="A348" s="60" t="s">
        <v>571</v>
      </c>
      <c r="B348" s="60" t="s">
        <v>572</v>
      </c>
      <c r="C348" s="34">
        <v>4301051782</v>
      </c>
      <c r="D348" s="637">
        <v>4680115884618</v>
      </c>
      <c r="E348" s="638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122</v>
      </c>
      <c r="L348" s="35"/>
      <c r="M348" s="36" t="s">
        <v>77</v>
      </c>
      <c r="N348" s="36"/>
      <c r="O348" s="35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7"/>
      <c r="V348" s="37"/>
      <c r="W348" s="38" t="s">
        <v>66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/>
      <c r="AB348" s="66"/>
      <c r="AC348" s="439" t="s">
        <v>573</v>
      </c>
      <c r="AG348" s="75"/>
      <c r="AJ348" s="79"/>
      <c r="AK348" s="79">
        <v>0</v>
      </c>
      <c r="BB348" s="440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574</v>
      </c>
      <c r="B349" s="60" t="s">
        <v>575</v>
      </c>
      <c r="C349" s="34">
        <v>4301052057</v>
      </c>
      <c r="D349" s="637">
        <v>4680115887114</v>
      </c>
      <c r="E349" s="638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122</v>
      </c>
      <c r="L349" s="35"/>
      <c r="M349" s="36" t="s">
        <v>77</v>
      </c>
      <c r="N349" s="36"/>
      <c r="O349" s="35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7"/>
      <c r="V349" s="37"/>
      <c r="W349" s="38" t="s">
        <v>66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41" t="s">
        <v>576</v>
      </c>
      <c r="AG349" s="75"/>
      <c r="AJ349" s="79"/>
      <c r="AK349" s="79">
        <v>0</v>
      </c>
      <c r="BB349" s="442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71</v>
      </c>
      <c r="Q350" s="642"/>
      <c r="R350" s="642"/>
      <c r="S350" s="642"/>
      <c r="T350" s="642"/>
      <c r="U350" s="642"/>
      <c r="V350" s="643"/>
      <c r="W350" s="40" t="s">
        <v>72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71</v>
      </c>
      <c r="Q351" s="642"/>
      <c r="R351" s="642"/>
      <c r="S351" s="642"/>
      <c r="T351" s="642"/>
      <c r="U351" s="642"/>
      <c r="V351" s="643"/>
      <c r="W351" s="40" t="s">
        <v>66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639" t="s">
        <v>577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"/>
      <c r="AB352" s="62"/>
      <c r="AC352" s="62"/>
    </row>
    <row r="353" spans="1:68" ht="14.25" hidden="1" customHeight="1" x14ac:dyDescent="0.25">
      <c r="A353" s="644" t="s">
        <v>110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3"/>
      <c r="AB353" s="63"/>
      <c r="AC353" s="63"/>
    </row>
    <row r="354" spans="1:68" ht="27" hidden="1" customHeight="1" x14ac:dyDescent="0.25">
      <c r="A354" s="60" t="s">
        <v>578</v>
      </c>
      <c r="B354" s="60" t="s">
        <v>579</v>
      </c>
      <c r="C354" s="34">
        <v>4301012324</v>
      </c>
      <c r="D354" s="637">
        <v>4680115887947</v>
      </c>
      <c r="E354" s="638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113</v>
      </c>
      <c r="L354" s="35"/>
      <c r="M354" s="36" t="s">
        <v>77</v>
      </c>
      <c r="N354" s="36"/>
      <c r="O354" s="35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7"/>
      <c r="V354" s="37"/>
      <c r="W354" s="38" t="s">
        <v>66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43" t="s">
        <v>350</v>
      </c>
      <c r="AG354" s="75"/>
      <c r="AJ354" s="79"/>
      <c r="AK354" s="79">
        <v>0</v>
      </c>
      <c r="BB354" s="444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580</v>
      </c>
      <c r="B355" s="60" t="s">
        <v>581</v>
      </c>
      <c r="C355" s="34">
        <v>4301012325</v>
      </c>
      <c r="D355" s="637">
        <v>4680115887978</v>
      </c>
      <c r="E355" s="638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113</v>
      </c>
      <c r="L355" s="35"/>
      <c r="M355" s="36" t="s">
        <v>77</v>
      </c>
      <c r="N355" s="36"/>
      <c r="O355" s="35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7"/>
      <c r="V355" s="37"/>
      <c r="W355" s="38" t="s">
        <v>66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45" t="s">
        <v>582</v>
      </c>
      <c r="AG355" s="75"/>
      <c r="AJ355" s="79"/>
      <c r="AK355" s="79">
        <v>0</v>
      </c>
      <c r="BB355" s="446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583</v>
      </c>
      <c r="B356" s="60" t="s">
        <v>584</v>
      </c>
      <c r="C356" s="34">
        <v>4301012327</v>
      </c>
      <c r="D356" s="637">
        <v>4680115887992</v>
      </c>
      <c r="E356" s="63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113</v>
      </c>
      <c r="L356" s="35"/>
      <c r="M356" s="36" t="s">
        <v>77</v>
      </c>
      <c r="N356" s="36"/>
      <c r="O356" s="35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7"/>
      <c r="V356" s="37"/>
      <c r="W356" s="38" t="s">
        <v>66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/>
      <c r="AB356" s="66"/>
      <c r="AC356" s="447" t="s">
        <v>585</v>
      </c>
      <c r="AG356" s="75"/>
      <c r="AJ356" s="79"/>
      <c r="AK356" s="79">
        <v>0</v>
      </c>
      <c r="BB356" s="448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71</v>
      </c>
      <c r="Q357" s="642"/>
      <c r="R357" s="642"/>
      <c r="S357" s="642"/>
      <c r="T357" s="642"/>
      <c r="U357" s="642"/>
      <c r="V357" s="643"/>
      <c r="W357" s="40" t="s">
        <v>72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71</v>
      </c>
      <c r="Q358" s="642"/>
      <c r="R358" s="642"/>
      <c r="S358" s="642"/>
      <c r="T358" s="642"/>
      <c r="U358" s="642"/>
      <c r="V358" s="643"/>
      <c r="W358" s="40" t="s">
        <v>66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639" t="s">
        <v>586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"/>
      <c r="AB359" s="62"/>
      <c r="AC359" s="62"/>
    </row>
    <row r="360" spans="1:68" ht="14.25" hidden="1" customHeight="1" x14ac:dyDescent="0.25">
      <c r="A360" s="644" t="s">
        <v>110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3"/>
      <c r="AB360" s="63"/>
      <c r="AC360" s="63"/>
    </row>
    <row r="361" spans="1:68" ht="27" hidden="1" customHeight="1" x14ac:dyDescent="0.25">
      <c r="A361" s="60" t="s">
        <v>587</v>
      </c>
      <c r="B361" s="60" t="s">
        <v>588</v>
      </c>
      <c r="C361" s="34">
        <v>4301012235</v>
      </c>
      <c r="D361" s="637">
        <v>4680115887190</v>
      </c>
      <c r="E361" s="638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113</v>
      </c>
      <c r="L361" s="35"/>
      <c r="M361" s="36" t="s">
        <v>114</v>
      </c>
      <c r="N361" s="36"/>
      <c r="O361" s="35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7"/>
      <c r="V361" s="37"/>
      <c r="W361" s="38" t="s">
        <v>66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/>
      <c r="AB361" s="66"/>
      <c r="AC361" s="449" t="s">
        <v>589</v>
      </c>
      <c r="AG361" s="75"/>
      <c r="AJ361" s="79"/>
      <c r="AK361" s="79">
        <v>0</v>
      </c>
      <c r="BB361" s="450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37.5" hidden="1" customHeight="1" x14ac:dyDescent="0.25">
      <c r="A362" s="60" t="s">
        <v>590</v>
      </c>
      <c r="B362" s="60" t="s">
        <v>591</v>
      </c>
      <c r="C362" s="34">
        <v>4301012233</v>
      </c>
      <c r="D362" s="637">
        <v>4680115887138</v>
      </c>
      <c r="E362" s="638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113</v>
      </c>
      <c r="L362" s="35"/>
      <c r="M362" s="36" t="s">
        <v>114</v>
      </c>
      <c r="N362" s="36"/>
      <c r="O362" s="35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7"/>
      <c r="V362" s="37"/>
      <c r="W362" s="38" t="s">
        <v>66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IFERROR(IF(Y362=0,"",ROUNDUP(Y362/H362,0)*0.01898),"")</f>
        <v/>
      </c>
      <c r="AA362" s="65"/>
      <c r="AB362" s="66"/>
      <c r="AC362" s="451" t="s">
        <v>592</v>
      </c>
      <c r="AG362" s="75"/>
      <c r="AJ362" s="79"/>
      <c r="AK362" s="79">
        <v>0</v>
      </c>
      <c r="BB362" s="452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593</v>
      </c>
      <c r="B363" s="60" t="s">
        <v>594</v>
      </c>
      <c r="C363" s="34">
        <v>4301012016</v>
      </c>
      <c r="D363" s="637">
        <v>4680115885554</v>
      </c>
      <c r="E363" s="63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113</v>
      </c>
      <c r="L363" s="35"/>
      <c r="M363" s="36" t="s">
        <v>77</v>
      </c>
      <c r="N363" s="36"/>
      <c r="O363" s="35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7"/>
      <c r="V363" s="37"/>
      <c r="W363" s="38" t="s">
        <v>66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/>
      <c r="AB363" s="66"/>
      <c r="AC363" s="453" t="s">
        <v>595</v>
      </c>
      <c r="AG363" s="75"/>
      <c r="AJ363" s="79"/>
      <c r="AK363" s="79">
        <v>0</v>
      </c>
      <c r="BB363" s="454" t="s">
        <v>1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596</v>
      </c>
      <c r="B364" s="60" t="s">
        <v>597</v>
      </c>
      <c r="C364" s="34">
        <v>4301012236</v>
      </c>
      <c r="D364" s="637">
        <v>4680115887220</v>
      </c>
      <c r="E364" s="638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122</v>
      </c>
      <c r="L364" s="35"/>
      <c r="M364" s="36" t="s">
        <v>114</v>
      </c>
      <c r="N364" s="36"/>
      <c r="O364" s="35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7"/>
      <c r="V364" s="37"/>
      <c r="W364" s="38" t="s">
        <v>66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IFERROR(IF(Y364=0,"",ROUNDUP(Y364/H364,0)*0.00902),"")</f>
        <v/>
      </c>
      <c r="AA364" s="65"/>
      <c r="AB364" s="66"/>
      <c r="AC364" s="455" t="s">
        <v>589</v>
      </c>
      <c r="AG364" s="75"/>
      <c r="AJ364" s="79"/>
      <c r="AK364" s="79">
        <v>0</v>
      </c>
      <c r="BB364" s="456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598</v>
      </c>
      <c r="B365" s="60" t="s">
        <v>599</v>
      </c>
      <c r="C365" s="34">
        <v>4301011859</v>
      </c>
      <c r="D365" s="637">
        <v>4680115885608</v>
      </c>
      <c r="E365" s="638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122</v>
      </c>
      <c r="L365" s="35"/>
      <c r="M365" s="36" t="s">
        <v>114</v>
      </c>
      <c r="N365" s="36"/>
      <c r="O365" s="35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7"/>
      <c r="V365" s="37"/>
      <c r="W365" s="38" t="s">
        <v>66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/>
      <c r="AB365" s="66"/>
      <c r="AC365" s="457" t="s">
        <v>600</v>
      </c>
      <c r="AG365" s="75"/>
      <c r="AJ365" s="79"/>
      <c r="AK365" s="79">
        <v>0</v>
      </c>
      <c r="BB365" s="458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71</v>
      </c>
      <c r="Q366" s="642"/>
      <c r="R366" s="642"/>
      <c r="S366" s="642"/>
      <c r="T366" s="642"/>
      <c r="U366" s="642"/>
      <c r="V366" s="643"/>
      <c r="W366" s="40" t="s">
        <v>72</v>
      </c>
      <c r="X366" s="41">
        <f>IFERROR(X361/H361,"0")+IFERROR(X362/H362,"0")+IFERROR(X363/H363,"0")+IFERROR(X364/H364,"0")+IFERROR(X365/H365,"0")</f>
        <v>0</v>
      </c>
      <c r="Y366" s="41">
        <f>IFERROR(Y361/H361,"0")+IFERROR(Y362/H362,"0")+IFERROR(Y363/H363,"0")+IFERROR(Y364/H364,"0")+IFERROR(Y365/H365,"0")</f>
        <v>0</v>
      </c>
      <c r="Z366" s="41">
        <f>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71</v>
      </c>
      <c r="Q367" s="642"/>
      <c r="R367" s="642"/>
      <c r="S367" s="642"/>
      <c r="T367" s="642"/>
      <c r="U367" s="642"/>
      <c r="V367" s="643"/>
      <c r="W367" s="40" t="s">
        <v>66</v>
      </c>
      <c r="X367" s="41">
        <f>IFERROR(SUM(X361:X365),"0")</f>
        <v>0</v>
      </c>
      <c r="Y367" s="41">
        <f>IFERROR(SUM(Y361:Y365),"0")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4" t="s">
        <v>61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3"/>
      <c r="AB368" s="63"/>
      <c r="AC368" s="63"/>
    </row>
    <row r="369" spans="1:68" ht="27" hidden="1" customHeight="1" x14ac:dyDescent="0.25">
      <c r="A369" s="60" t="s">
        <v>601</v>
      </c>
      <c r="B369" s="60" t="s">
        <v>602</v>
      </c>
      <c r="C369" s="34">
        <v>4301030878</v>
      </c>
      <c r="D369" s="637">
        <v>4607091387193</v>
      </c>
      <c r="E369" s="638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122</v>
      </c>
      <c r="L369" s="35"/>
      <c r="M369" s="36" t="s">
        <v>65</v>
      </c>
      <c r="N369" s="36"/>
      <c r="O369" s="35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7"/>
      <c r="V369" s="37"/>
      <c r="W369" s="38" t="s">
        <v>66</v>
      </c>
      <c r="X369" s="56">
        <v>0</v>
      </c>
      <c r="Y369" s="53">
        <f t="shared" ref="Y369:Y375" si="48"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59" t="s">
        <v>603</v>
      </c>
      <c r="AG369" s="75"/>
      <c r="AJ369" s="79"/>
      <c r="AK369" s="79">
        <v>0</v>
      </c>
      <c r="BB369" s="460" t="s">
        <v>1</v>
      </c>
      <c r="BM369" s="75">
        <f t="shared" ref="BM369:BM375" si="49">IFERROR(X369*I369/H369,"0")</f>
        <v>0</v>
      </c>
      <c r="BN369" s="75">
        <f t="shared" ref="BN369:BN375" si="50">IFERROR(Y369*I369/H369,"0")</f>
        <v>0</v>
      </c>
      <c r="BO369" s="75">
        <f t="shared" ref="BO369:BO375" si="51">IFERROR(1/J369*(X369/H369),"0")</f>
        <v>0</v>
      </c>
      <c r="BP369" s="75">
        <f t="shared" ref="BP369:BP375" si="52">IFERROR(1/J369*(Y369/H369),"0")</f>
        <v>0</v>
      </c>
    </row>
    <row r="370" spans="1:68" ht="27" hidden="1" customHeight="1" x14ac:dyDescent="0.25">
      <c r="A370" s="60" t="s">
        <v>604</v>
      </c>
      <c r="B370" s="60" t="s">
        <v>605</v>
      </c>
      <c r="C370" s="34">
        <v>4301031153</v>
      </c>
      <c r="D370" s="637">
        <v>4607091387230</v>
      </c>
      <c r="E370" s="638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122</v>
      </c>
      <c r="L370" s="35"/>
      <c r="M370" s="36" t="s">
        <v>65</v>
      </c>
      <c r="N370" s="36"/>
      <c r="O370" s="35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7"/>
      <c r="V370" s="37"/>
      <c r="W370" s="38" t="s">
        <v>66</v>
      </c>
      <c r="X370" s="56">
        <v>0</v>
      </c>
      <c r="Y370" s="53">
        <f t="shared" si="48"/>
        <v>0</v>
      </c>
      <c r="Z370" s="39" t="str">
        <f>IFERROR(IF(Y370=0,"",ROUNDUP(Y370/H370,0)*0.00902),"")</f>
        <v/>
      </c>
      <c r="AA370" s="65"/>
      <c r="AB370" s="66"/>
      <c r="AC370" s="461" t="s">
        <v>606</v>
      </c>
      <c r="AG370" s="75"/>
      <c r="AJ370" s="79"/>
      <c r="AK370" s="79">
        <v>0</v>
      </c>
      <c r="BB370" s="462" t="s">
        <v>1</v>
      </c>
      <c r="BM370" s="75">
        <f t="shared" si="49"/>
        <v>0</v>
      </c>
      <c r="BN370" s="75">
        <f t="shared" si="50"/>
        <v>0</v>
      </c>
      <c r="BO370" s="75">
        <f t="shared" si="51"/>
        <v>0</v>
      </c>
      <c r="BP370" s="75">
        <f t="shared" si="52"/>
        <v>0</v>
      </c>
    </row>
    <row r="371" spans="1:68" ht="27" hidden="1" customHeight="1" x14ac:dyDescent="0.25">
      <c r="A371" s="60" t="s">
        <v>607</v>
      </c>
      <c r="B371" s="60" t="s">
        <v>608</v>
      </c>
      <c r="C371" s="34">
        <v>4301031154</v>
      </c>
      <c r="D371" s="637">
        <v>4607091387292</v>
      </c>
      <c r="E371" s="638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122</v>
      </c>
      <c r="L371" s="35"/>
      <c r="M371" s="36" t="s">
        <v>65</v>
      </c>
      <c r="N371" s="36"/>
      <c r="O371" s="35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7"/>
      <c r="V371" s="37"/>
      <c r="W371" s="38" t="s">
        <v>66</v>
      </c>
      <c r="X371" s="56">
        <v>0</v>
      </c>
      <c r="Y371" s="53">
        <f t="shared" si="48"/>
        <v>0</v>
      </c>
      <c r="Z371" s="39" t="str">
        <f>IFERROR(IF(Y371=0,"",ROUNDUP(Y371/H371,0)*0.00902),"")</f>
        <v/>
      </c>
      <c r="AA371" s="65"/>
      <c r="AB371" s="66"/>
      <c r="AC371" s="463" t="s">
        <v>609</v>
      </c>
      <c r="AG371" s="75"/>
      <c r="AJ371" s="79"/>
      <c r="AK371" s="79">
        <v>0</v>
      </c>
      <c r="BB371" s="464" t="s">
        <v>1</v>
      </c>
      <c r="BM371" s="75">
        <f t="shared" si="49"/>
        <v>0</v>
      </c>
      <c r="BN371" s="75">
        <f t="shared" si="50"/>
        <v>0</v>
      </c>
      <c r="BO371" s="75">
        <f t="shared" si="51"/>
        <v>0</v>
      </c>
      <c r="BP371" s="75">
        <f t="shared" si="52"/>
        <v>0</v>
      </c>
    </row>
    <row r="372" spans="1:68" ht="27" hidden="1" customHeight="1" x14ac:dyDescent="0.25">
      <c r="A372" s="60" t="s">
        <v>610</v>
      </c>
      <c r="B372" s="60" t="s">
        <v>611</v>
      </c>
      <c r="C372" s="34">
        <v>4301031152</v>
      </c>
      <c r="D372" s="637">
        <v>4607091387285</v>
      </c>
      <c r="E372" s="638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64</v>
      </c>
      <c r="L372" s="35"/>
      <c r="M372" s="36" t="s">
        <v>65</v>
      </c>
      <c r="N372" s="36"/>
      <c r="O372" s="35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7"/>
      <c r="V372" s="37"/>
      <c r="W372" s="38" t="s">
        <v>66</v>
      </c>
      <c r="X372" s="56">
        <v>0</v>
      </c>
      <c r="Y372" s="53">
        <f t="shared" si="48"/>
        <v>0</v>
      </c>
      <c r="Z372" s="39" t="str">
        <f>IFERROR(IF(Y372=0,"",ROUNDUP(Y372/H372,0)*0.00502),"")</f>
        <v/>
      </c>
      <c r="AA372" s="65"/>
      <c r="AB372" s="66"/>
      <c r="AC372" s="465" t="s">
        <v>606</v>
      </c>
      <c r="AG372" s="75"/>
      <c r="AJ372" s="79"/>
      <c r="AK372" s="79">
        <v>0</v>
      </c>
      <c r="BB372" s="466" t="s">
        <v>1</v>
      </c>
      <c r="BM372" s="75">
        <f t="shared" si="49"/>
        <v>0</v>
      </c>
      <c r="BN372" s="75">
        <f t="shared" si="50"/>
        <v>0</v>
      </c>
      <c r="BO372" s="75">
        <f t="shared" si="51"/>
        <v>0</v>
      </c>
      <c r="BP372" s="75">
        <f t="shared" si="52"/>
        <v>0</v>
      </c>
    </row>
    <row r="373" spans="1:68" ht="27" hidden="1" customHeight="1" x14ac:dyDescent="0.25">
      <c r="A373" s="60" t="s">
        <v>612</v>
      </c>
      <c r="B373" s="60" t="s">
        <v>613</v>
      </c>
      <c r="C373" s="34">
        <v>4301031305</v>
      </c>
      <c r="D373" s="637">
        <v>4607091389845</v>
      </c>
      <c r="E373" s="638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64</v>
      </c>
      <c r="L373" s="35"/>
      <c r="M373" s="36" t="s">
        <v>65</v>
      </c>
      <c r="N373" s="36"/>
      <c r="O373" s="35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7"/>
      <c r="V373" s="37"/>
      <c r="W373" s="38" t="s">
        <v>66</v>
      </c>
      <c r="X373" s="56">
        <v>0</v>
      </c>
      <c r="Y373" s="53">
        <f t="shared" si="48"/>
        <v>0</v>
      </c>
      <c r="Z373" s="39" t="str">
        <f>IFERROR(IF(Y373=0,"",ROUNDUP(Y373/H373,0)*0.00502),"")</f>
        <v/>
      </c>
      <c r="AA373" s="65"/>
      <c r="AB373" s="66"/>
      <c r="AC373" s="467" t="s">
        <v>614</v>
      </c>
      <c r="AG373" s="75"/>
      <c r="AJ373" s="79"/>
      <c r="AK373" s="79">
        <v>0</v>
      </c>
      <c r="BB373" s="468" t="s">
        <v>1</v>
      </c>
      <c r="BM373" s="75">
        <f t="shared" si="49"/>
        <v>0</v>
      </c>
      <c r="BN373" s="75">
        <f t="shared" si="50"/>
        <v>0</v>
      </c>
      <c r="BO373" s="75">
        <f t="shared" si="51"/>
        <v>0</v>
      </c>
      <c r="BP373" s="75">
        <f t="shared" si="52"/>
        <v>0</v>
      </c>
    </row>
    <row r="374" spans="1:68" ht="27" hidden="1" customHeight="1" x14ac:dyDescent="0.25">
      <c r="A374" s="60" t="s">
        <v>615</v>
      </c>
      <c r="B374" s="60" t="s">
        <v>616</v>
      </c>
      <c r="C374" s="34">
        <v>4301031460</v>
      </c>
      <c r="D374" s="637">
        <v>4680115887442</v>
      </c>
      <c r="E374" s="63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122</v>
      </c>
      <c r="L374" s="35"/>
      <c r="M374" s="36" t="s">
        <v>65</v>
      </c>
      <c r="N374" s="36"/>
      <c r="O374" s="35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7"/>
      <c r="V374" s="37"/>
      <c r="W374" s="38" t="s">
        <v>66</v>
      </c>
      <c r="X374" s="56">
        <v>0</v>
      </c>
      <c r="Y374" s="53">
        <f t="shared" si="48"/>
        <v>0</v>
      </c>
      <c r="Z374" s="39" t="str">
        <f>IFERROR(IF(Y374=0,"",ROUNDUP(Y374/H374,0)*0.00902),"")</f>
        <v/>
      </c>
      <c r="AA374" s="65"/>
      <c r="AB374" s="66"/>
      <c r="AC374" s="469" t="s">
        <v>609</v>
      </c>
      <c r="AG374" s="75"/>
      <c r="AJ374" s="79"/>
      <c r="AK374" s="79">
        <v>0</v>
      </c>
      <c r="BB374" s="470" t="s">
        <v>1</v>
      </c>
      <c r="BM374" s="75">
        <f t="shared" si="49"/>
        <v>0</v>
      </c>
      <c r="BN374" s="75">
        <f t="shared" si="50"/>
        <v>0</v>
      </c>
      <c r="BO374" s="75">
        <f t="shared" si="51"/>
        <v>0</v>
      </c>
      <c r="BP374" s="75">
        <f t="shared" si="52"/>
        <v>0</v>
      </c>
    </row>
    <row r="375" spans="1:68" ht="27" hidden="1" customHeight="1" x14ac:dyDescent="0.25">
      <c r="A375" s="60" t="s">
        <v>617</v>
      </c>
      <c r="B375" s="60" t="s">
        <v>618</v>
      </c>
      <c r="C375" s="34">
        <v>4301031066</v>
      </c>
      <c r="D375" s="637">
        <v>4607091383836</v>
      </c>
      <c r="E375" s="638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76</v>
      </c>
      <c r="L375" s="35"/>
      <c r="M375" s="36" t="s">
        <v>65</v>
      </c>
      <c r="N375" s="36"/>
      <c r="O375" s="35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7"/>
      <c r="V375" s="37"/>
      <c r="W375" s="38" t="s">
        <v>66</v>
      </c>
      <c r="X375" s="56">
        <v>0</v>
      </c>
      <c r="Y375" s="53">
        <f t="shared" si="48"/>
        <v>0</v>
      </c>
      <c r="Z375" s="39" t="str">
        <f>IFERROR(IF(Y375=0,"",ROUNDUP(Y375/H375,0)*0.00651),"")</f>
        <v/>
      </c>
      <c r="AA375" s="65"/>
      <c r="AB375" s="66"/>
      <c r="AC375" s="471" t="s">
        <v>619</v>
      </c>
      <c r="AG375" s="75"/>
      <c r="AJ375" s="79"/>
      <c r="AK375" s="79">
        <v>0</v>
      </c>
      <c r="BB375" s="472" t="s">
        <v>1</v>
      </c>
      <c r="BM375" s="75">
        <f t="shared" si="49"/>
        <v>0</v>
      </c>
      <c r="BN375" s="75">
        <f t="shared" si="50"/>
        <v>0</v>
      </c>
      <c r="BO375" s="75">
        <f t="shared" si="51"/>
        <v>0</v>
      </c>
      <c r="BP375" s="75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71</v>
      </c>
      <c r="Q376" s="642"/>
      <c r="R376" s="642"/>
      <c r="S376" s="642"/>
      <c r="T376" s="642"/>
      <c r="U376" s="642"/>
      <c r="V376" s="643"/>
      <c r="W376" s="40" t="s">
        <v>72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71</v>
      </c>
      <c r="Q377" s="642"/>
      <c r="R377" s="642"/>
      <c r="S377" s="642"/>
      <c r="T377" s="642"/>
      <c r="U377" s="642"/>
      <c r="V377" s="643"/>
      <c r="W377" s="40" t="s">
        <v>66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4" t="s">
        <v>73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3"/>
      <c r="AB378" s="63"/>
      <c r="AC378" s="63"/>
    </row>
    <row r="379" spans="1:68" ht="27" hidden="1" customHeight="1" x14ac:dyDescent="0.25">
      <c r="A379" s="60" t="s">
        <v>620</v>
      </c>
      <c r="B379" s="60" t="s">
        <v>621</v>
      </c>
      <c r="C379" s="34">
        <v>4301051100</v>
      </c>
      <c r="D379" s="637">
        <v>4607091387766</v>
      </c>
      <c r="E379" s="638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113</v>
      </c>
      <c r="L379" s="35"/>
      <c r="M379" s="36" t="s">
        <v>77</v>
      </c>
      <c r="N379" s="36"/>
      <c r="O379" s="35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7"/>
      <c r="V379" s="37"/>
      <c r="W379" s="38" t="s">
        <v>66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73" t="s">
        <v>622</v>
      </c>
      <c r="AG379" s="75"/>
      <c r="AJ379" s="79"/>
      <c r="AK379" s="79">
        <v>0</v>
      </c>
      <c r="BB379" s="47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623</v>
      </c>
      <c r="B380" s="60" t="s">
        <v>624</v>
      </c>
      <c r="C380" s="34">
        <v>4301051818</v>
      </c>
      <c r="D380" s="637">
        <v>4607091387957</v>
      </c>
      <c r="E380" s="638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113</v>
      </c>
      <c r="L380" s="35"/>
      <c r="M380" s="36" t="s">
        <v>77</v>
      </c>
      <c r="N380" s="36"/>
      <c r="O380" s="35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7"/>
      <c r="V380" s="37"/>
      <c r="W380" s="38" t="s">
        <v>66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75" t="s">
        <v>625</v>
      </c>
      <c r="AG380" s="75"/>
      <c r="AJ380" s="79"/>
      <c r="AK380" s="79">
        <v>0</v>
      </c>
      <c r="BB380" s="47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626</v>
      </c>
      <c r="B381" s="60" t="s">
        <v>627</v>
      </c>
      <c r="C381" s="34">
        <v>4301051819</v>
      </c>
      <c r="D381" s="637">
        <v>4607091387964</v>
      </c>
      <c r="E381" s="638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113</v>
      </c>
      <c r="L381" s="35"/>
      <c r="M381" s="36" t="s">
        <v>77</v>
      </c>
      <c r="N381" s="36"/>
      <c r="O381" s="35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7"/>
      <c r="V381" s="37"/>
      <c r="W381" s="38" t="s">
        <v>66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/>
      <c r="AB381" s="66"/>
      <c r="AC381" s="477" t="s">
        <v>628</v>
      </c>
      <c r="AG381" s="75"/>
      <c r="AJ381" s="79"/>
      <c r="AK381" s="79">
        <v>0</v>
      </c>
      <c r="BB381" s="47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629</v>
      </c>
      <c r="B382" s="60" t="s">
        <v>630</v>
      </c>
      <c r="C382" s="34">
        <v>4301051734</v>
      </c>
      <c r="D382" s="637">
        <v>4680115884588</v>
      </c>
      <c r="E382" s="638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76</v>
      </c>
      <c r="L382" s="35"/>
      <c r="M382" s="36" t="s">
        <v>77</v>
      </c>
      <c r="N382" s="36"/>
      <c r="O382" s="35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7"/>
      <c r="V382" s="37"/>
      <c r="W382" s="38" t="s">
        <v>66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/>
      <c r="AB382" s="66"/>
      <c r="AC382" s="479" t="s">
        <v>622</v>
      </c>
      <c r="AG382" s="75"/>
      <c r="AJ382" s="79"/>
      <c r="AK382" s="79">
        <v>0</v>
      </c>
      <c r="BB382" s="48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71</v>
      </c>
      <c r="Q383" s="642"/>
      <c r="R383" s="642"/>
      <c r="S383" s="642"/>
      <c r="T383" s="642"/>
      <c r="U383" s="642"/>
      <c r="V383" s="643"/>
      <c r="W383" s="40" t="s">
        <v>72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71</v>
      </c>
      <c r="Q384" s="642"/>
      <c r="R384" s="642"/>
      <c r="S384" s="642"/>
      <c r="T384" s="642"/>
      <c r="U384" s="642"/>
      <c r="V384" s="643"/>
      <c r="W384" s="40" t="s">
        <v>66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4" t="s">
        <v>163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3"/>
      <c r="AB385" s="63"/>
      <c r="AC385" s="63"/>
    </row>
    <row r="386" spans="1:68" ht="27" hidden="1" customHeight="1" x14ac:dyDescent="0.25">
      <c r="A386" s="60" t="s">
        <v>631</v>
      </c>
      <c r="B386" s="60" t="s">
        <v>632</v>
      </c>
      <c r="C386" s="34">
        <v>4301060387</v>
      </c>
      <c r="D386" s="637">
        <v>4607091380880</v>
      </c>
      <c r="E386" s="638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113</v>
      </c>
      <c r="L386" s="35"/>
      <c r="M386" s="36" t="s">
        <v>77</v>
      </c>
      <c r="N386" s="36"/>
      <c r="O386" s="35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7"/>
      <c r="V386" s="37"/>
      <c r="W386" s="38" t="s">
        <v>66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/>
      <c r="AB386" s="66"/>
      <c r="AC386" s="481" t="s">
        <v>633</v>
      </c>
      <c r="AG386" s="75"/>
      <c r="AJ386" s="79"/>
      <c r="AK386" s="79">
        <v>0</v>
      </c>
      <c r="BB386" s="48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634</v>
      </c>
      <c r="B387" s="60" t="s">
        <v>635</v>
      </c>
      <c r="C387" s="34">
        <v>4301060406</v>
      </c>
      <c r="D387" s="637">
        <v>4607091384482</v>
      </c>
      <c r="E387" s="638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113</v>
      </c>
      <c r="L387" s="35"/>
      <c r="M387" s="36" t="s">
        <v>77</v>
      </c>
      <c r="N387" s="36"/>
      <c r="O387" s="35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7"/>
      <c r="V387" s="37"/>
      <c r="W387" s="38" t="s">
        <v>66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/>
      <c r="AB387" s="66"/>
      <c r="AC387" s="483" t="s">
        <v>636</v>
      </c>
      <c r="AG387" s="75"/>
      <c r="AJ387" s="79"/>
      <c r="AK387" s="79">
        <v>0</v>
      </c>
      <c r="BB387" s="484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637</v>
      </c>
      <c r="B388" s="60" t="s">
        <v>638</v>
      </c>
      <c r="C388" s="34">
        <v>4301060484</v>
      </c>
      <c r="D388" s="637">
        <v>4607091380897</v>
      </c>
      <c r="E388" s="638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113</v>
      </c>
      <c r="L388" s="35"/>
      <c r="M388" s="36" t="s">
        <v>83</v>
      </c>
      <c r="N388" s="36"/>
      <c r="O388" s="35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7"/>
      <c r="V388" s="37"/>
      <c r="W388" s="38" t="s">
        <v>66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/>
      <c r="AB388" s="66"/>
      <c r="AC388" s="485" t="s">
        <v>639</v>
      </c>
      <c r="AG388" s="75"/>
      <c r="AJ388" s="79"/>
      <c r="AK388" s="79">
        <v>0</v>
      </c>
      <c r="BB388" s="486" t="s">
        <v>1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71</v>
      </c>
      <c r="Q389" s="642"/>
      <c r="R389" s="642"/>
      <c r="S389" s="642"/>
      <c r="T389" s="642"/>
      <c r="U389" s="642"/>
      <c r="V389" s="643"/>
      <c r="W389" s="40" t="s">
        <v>72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71</v>
      </c>
      <c r="Q390" s="642"/>
      <c r="R390" s="642"/>
      <c r="S390" s="642"/>
      <c r="T390" s="642"/>
      <c r="U390" s="642"/>
      <c r="V390" s="643"/>
      <c r="W390" s="40" t="s">
        <v>66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44" t="s">
        <v>271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3"/>
      <c r="AB391" s="63"/>
      <c r="AC391" s="63"/>
    </row>
    <row r="392" spans="1:68" ht="27" hidden="1" customHeight="1" x14ac:dyDescent="0.25">
      <c r="A392" s="60" t="s">
        <v>640</v>
      </c>
      <c r="B392" s="60" t="s">
        <v>641</v>
      </c>
      <c r="C392" s="34">
        <v>4301030235</v>
      </c>
      <c r="D392" s="637">
        <v>4607091388381</v>
      </c>
      <c r="E392" s="638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122</v>
      </c>
      <c r="L392" s="35"/>
      <c r="M392" s="36" t="s">
        <v>238</v>
      </c>
      <c r="N392" s="36"/>
      <c r="O392" s="35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7"/>
      <c r="V392" s="37"/>
      <c r="W392" s="38" t="s">
        <v>66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/>
      <c r="AB392" s="66"/>
      <c r="AC392" s="487" t="s">
        <v>642</v>
      </c>
      <c r="AG392" s="75"/>
      <c r="AJ392" s="79"/>
      <c r="AK392" s="79">
        <v>0</v>
      </c>
      <c r="BB392" s="488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643</v>
      </c>
      <c r="B393" s="60" t="s">
        <v>644</v>
      </c>
      <c r="C393" s="34">
        <v>4301030232</v>
      </c>
      <c r="D393" s="637">
        <v>4607091388374</v>
      </c>
      <c r="E393" s="638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122</v>
      </c>
      <c r="L393" s="35"/>
      <c r="M393" s="36" t="s">
        <v>238</v>
      </c>
      <c r="N393" s="36"/>
      <c r="O393" s="35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7"/>
      <c r="V393" s="37"/>
      <c r="W393" s="38" t="s">
        <v>66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89" t="s">
        <v>642</v>
      </c>
      <c r="AG393" s="75"/>
      <c r="AJ393" s="79"/>
      <c r="AK393" s="79">
        <v>0</v>
      </c>
      <c r="BB393" s="490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645</v>
      </c>
      <c r="B394" s="60" t="s">
        <v>646</v>
      </c>
      <c r="C394" s="34">
        <v>4301032015</v>
      </c>
      <c r="D394" s="637">
        <v>4607091383102</v>
      </c>
      <c r="E394" s="638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76</v>
      </c>
      <c r="L394" s="35"/>
      <c r="M394" s="36" t="s">
        <v>238</v>
      </c>
      <c r="N394" s="36"/>
      <c r="O394" s="35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7"/>
      <c r="V394" s="37"/>
      <c r="W394" s="38" t="s">
        <v>66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/>
      <c r="AB394" s="66"/>
      <c r="AC394" s="491" t="s">
        <v>642</v>
      </c>
      <c r="AG394" s="75"/>
      <c r="AJ394" s="79"/>
      <c r="AK394" s="79">
        <v>0</v>
      </c>
      <c r="BB394" s="492" t="s">
        <v>1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647</v>
      </c>
      <c r="B395" s="60" t="s">
        <v>648</v>
      </c>
      <c r="C395" s="34">
        <v>4301030233</v>
      </c>
      <c r="D395" s="637">
        <v>4607091388404</v>
      </c>
      <c r="E395" s="638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76</v>
      </c>
      <c r="L395" s="35"/>
      <c r="M395" s="36" t="s">
        <v>238</v>
      </c>
      <c r="N395" s="36"/>
      <c r="O395" s="35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7"/>
      <c r="V395" s="37"/>
      <c r="W395" s="38" t="s">
        <v>66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/>
      <c r="AB395" s="66"/>
      <c r="AC395" s="493" t="s">
        <v>642</v>
      </c>
      <c r="AG395" s="75"/>
      <c r="AJ395" s="79"/>
      <c r="AK395" s="79">
        <v>0</v>
      </c>
      <c r="BB395" s="494" t="s">
        <v>1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71</v>
      </c>
      <c r="Q396" s="642"/>
      <c r="R396" s="642"/>
      <c r="S396" s="642"/>
      <c r="T396" s="642"/>
      <c r="U396" s="642"/>
      <c r="V396" s="643"/>
      <c r="W396" s="40" t="s">
        <v>72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71</v>
      </c>
      <c r="Q397" s="642"/>
      <c r="R397" s="642"/>
      <c r="S397" s="642"/>
      <c r="T397" s="642"/>
      <c r="U397" s="642"/>
      <c r="V397" s="643"/>
      <c r="W397" s="40" t="s">
        <v>66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4" t="s">
        <v>649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3"/>
      <c r="AB398" s="63"/>
      <c r="AC398" s="63"/>
    </row>
    <row r="399" spans="1:68" ht="16.5" hidden="1" customHeight="1" x14ac:dyDescent="0.25">
      <c r="A399" s="60" t="s">
        <v>650</v>
      </c>
      <c r="B399" s="60" t="s">
        <v>651</v>
      </c>
      <c r="C399" s="34">
        <v>4301180007</v>
      </c>
      <c r="D399" s="637">
        <v>4680115881808</v>
      </c>
      <c r="E399" s="638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76</v>
      </c>
      <c r="L399" s="35"/>
      <c r="M399" s="36" t="s">
        <v>652</v>
      </c>
      <c r="N399" s="36"/>
      <c r="O399" s="35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7"/>
      <c r="V399" s="37"/>
      <c r="W399" s="38" t="s">
        <v>66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/>
      <c r="AB399" s="66"/>
      <c r="AC399" s="495" t="s">
        <v>653</v>
      </c>
      <c r="AG399" s="75"/>
      <c r="AJ399" s="79"/>
      <c r="AK399" s="79">
        <v>0</v>
      </c>
      <c r="BB399" s="496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654</v>
      </c>
      <c r="B400" s="60" t="s">
        <v>655</v>
      </c>
      <c r="C400" s="34">
        <v>4301180006</v>
      </c>
      <c r="D400" s="637">
        <v>4680115881822</v>
      </c>
      <c r="E400" s="638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76</v>
      </c>
      <c r="L400" s="35"/>
      <c r="M400" s="36" t="s">
        <v>652</v>
      </c>
      <c r="N400" s="36"/>
      <c r="O400" s="35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7"/>
      <c r="V400" s="37"/>
      <c r="W400" s="38" t="s">
        <v>66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/>
      <c r="AB400" s="66"/>
      <c r="AC400" s="497" t="s">
        <v>653</v>
      </c>
      <c r="AG400" s="75"/>
      <c r="AJ400" s="79"/>
      <c r="AK400" s="79">
        <v>0</v>
      </c>
      <c r="BB400" s="498" t="s">
        <v>1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656</v>
      </c>
      <c r="B401" s="60" t="s">
        <v>657</v>
      </c>
      <c r="C401" s="34">
        <v>4301180001</v>
      </c>
      <c r="D401" s="637">
        <v>4680115880016</v>
      </c>
      <c r="E401" s="638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76</v>
      </c>
      <c r="L401" s="35"/>
      <c r="M401" s="36" t="s">
        <v>652</v>
      </c>
      <c r="N401" s="36"/>
      <c r="O401" s="35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7"/>
      <c r="V401" s="37"/>
      <c r="W401" s="38" t="s">
        <v>66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/>
      <c r="AB401" s="66"/>
      <c r="AC401" s="499" t="s">
        <v>653</v>
      </c>
      <c r="AG401" s="75"/>
      <c r="AJ401" s="79"/>
      <c r="AK401" s="79">
        <v>0</v>
      </c>
      <c r="BB401" s="500" t="s">
        <v>1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71</v>
      </c>
      <c r="Q402" s="642"/>
      <c r="R402" s="642"/>
      <c r="S402" s="642"/>
      <c r="T402" s="642"/>
      <c r="U402" s="642"/>
      <c r="V402" s="643"/>
      <c r="W402" s="40" t="s">
        <v>72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71</v>
      </c>
      <c r="Q403" s="642"/>
      <c r="R403" s="642"/>
      <c r="S403" s="642"/>
      <c r="T403" s="642"/>
      <c r="U403" s="642"/>
      <c r="V403" s="643"/>
      <c r="W403" s="40" t="s">
        <v>66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4" t="s">
        <v>658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3"/>
      <c r="AB404" s="63"/>
      <c r="AC404" s="63"/>
    </row>
    <row r="405" spans="1:68" ht="27" hidden="1" customHeight="1" x14ac:dyDescent="0.25">
      <c r="A405" s="60" t="s">
        <v>659</v>
      </c>
      <c r="B405" s="60" t="s">
        <v>660</v>
      </c>
      <c r="C405" s="34">
        <v>4301220003</v>
      </c>
      <c r="D405" s="637">
        <v>4680115888678</v>
      </c>
      <c r="E405" s="638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76</v>
      </c>
      <c r="L405" s="35"/>
      <c r="M405" s="36" t="s">
        <v>652</v>
      </c>
      <c r="N405" s="36"/>
      <c r="O405" s="35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7"/>
      <c r="V405" s="37"/>
      <c r="W405" s="38" t="s">
        <v>66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/>
      <c r="AB405" s="66"/>
      <c r="AC405" s="501" t="s">
        <v>661</v>
      </c>
      <c r="AG405" s="75"/>
      <c r="AJ405" s="79"/>
      <c r="AK405" s="79">
        <v>0</v>
      </c>
      <c r="BB405" s="502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662</v>
      </c>
      <c r="B406" s="60" t="s">
        <v>663</v>
      </c>
      <c r="C406" s="34">
        <v>4301220001</v>
      </c>
      <c r="D406" s="637">
        <v>4680115888654</v>
      </c>
      <c r="E406" s="638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122</v>
      </c>
      <c r="L406" s="35"/>
      <c r="M406" s="36" t="s">
        <v>652</v>
      </c>
      <c r="N406" s="36"/>
      <c r="O406" s="35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7"/>
      <c r="V406" s="37"/>
      <c r="W406" s="38" t="s">
        <v>66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/>
      <c r="AB406" s="66"/>
      <c r="AC406" s="503" t="s">
        <v>664</v>
      </c>
      <c r="AG406" s="75"/>
      <c r="AJ406" s="79"/>
      <c r="AK406" s="79">
        <v>0</v>
      </c>
      <c r="BB406" s="504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665</v>
      </c>
      <c r="B407" s="60" t="s">
        <v>666</v>
      </c>
      <c r="C407" s="34">
        <v>4301220002</v>
      </c>
      <c r="D407" s="637">
        <v>4680115888753</v>
      </c>
      <c r="E407" s="638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76</v>
      </c>
      <c r="L407" s="35"/>
      <c r="M407" s="36" t="s">
        <v>652</v>
      </c>
      <c r="N407" s="36"/>
      <c r="O407" s="35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7"/>
      <c r="V407" s="37"/>
      <c r="W407" s="38" t="s">
        <v>66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/>
      <c r="AB407" s="66"/>
      <c r="AC407" s="505" t="s">
        <v>661</v>
      </c>
      <c r="AG407" s="75"/>
      <c r="AJ407" s="79"/>
      <c r="AK407" s="79">
        <v>0</v>
      </c>
      <c r="BB407" s="506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71</v>
      </c>
      <c r="Q408" s="642"/>
      <c r="R408" s="642"/>
      <c r="S408" s="642"/>
      <c r="T408" s="642"/>
      <c r="U408" s="642"/>
      <c r="V408" s="643"/>
      <c r="W408" s="40" t="s">
        <v>72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71</v>
      </c>
      <c r="Q409" s="642"/>
      <c r="R409" s="642"/>
      <c r="S409" s="642"/>
      <c r="T409" s="642"/>
      <c r="U409" s="642"/>
      <c r="V409" s="643"/>
      <c r="W409" s="40" t="s">
        <v>66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9" t="s">
        <v>667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"/>
      <c r="AB410" s="62"/>
      <c r="AC410" s="62"/>
    </row>
    <row r="411" spans="1:68" ht="14.25" hidden="1" customHeight="1" x14ac:dyDescent="0.25">
      <c r="A411" s="644" t="s">
        <v>73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3"/>
      <c r="AB411" s="63"/>
      <c r="AC411" s="63"/>
    </row>
    <row r="412" spans="1:68" ht="16.5" hidden="1" customHeight="1" x14ac:dyDescent="0.25">
      <c r="A412" s="60" t="s">
        <v>668</v>
      </c>
      <c r="B412" s="60" t="s">
        <v>669</v>
      </c>
      <c r="C412" s="34">
        <v>4301052235</v>
      </c>
      <c r="D412" s="637">
        <v>4680115889415</v>
      </c>
      <c r="E412" s="638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113</v>
      </c>
      <c r="L412" s="35"/>
      <c r="M412" s="36" t="s">
        <v>77</v>
      </c>
      <c r="N412" s="36"/>
      <c r="O412" s="35">
        <v>40</v>
      </c>
      <c r="P412" s="956" t="s">
        <v>670</v>
      </c>
      <c r="Q412" s="646"/>
      <c r="R412" s="646"/>
      <c r="S412" s="646"/>
      <c r="T412" s="647"/>
      <c r="U412" s="37"/>
      <c r="V412" s="37"/>
      <c r="W412" s="38" t="s">
        <v>66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/>
      <c r="AB412" s="66" t="s">
        <v>671</v>
      </c>
      <c r="AC412" s="507" t="s">
        <v>672</v>
      </c>
      <c r="AG412" s="75"/>
      <c r="AJ412" s="79"/>
      <c r="AK412" s="79">
        <v>0</v>
      </c>
      <c r="BB412" s="50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673</v>
      </c>
      <c r="B413" s="60" t="s">
        <v>674</v>
      </c>
      <c r="C413" s="34">
        <v>4301052236</v>
      </c>
      <c r="D413" s="637">
        <v>4680115889422</v>
      </c>
      <c r="E413" s="638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113</v>
      </c>
      <c r="L413" s="35"/>
      <c r="M413" s="36" t="s">
        <v>77</v>
      </c>
      <c r="N413" s="36"/>
      <c r="O413" s="35">
        <v>40</v>
      </c>
      <c r="P413" s="722" t="s">
        <v>675</v>
      </c>
      <c r="Q413" s="646"/>
      <c r="R413" s="646"/>
      <c r="S413" s="646"/>
      <c r="T413" s="647"/>
      <c r="U413" s="37"/>
      <c r="V413" s="37"/>
      <c r="W413" s="38" t="s">
        <v>66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/>
      <c r="AB413" s="66" t="s">
        <v>671</v>
      </c>
      <c r="AC413" s="509" t="s">
        <v>676</v>
      </c>
      <c r="AG413" s="75"/>
      <c r="AJ413" s="79"/>
      <c r="AK413" s="79">
        <v>0</v>
      </c>
      <c r="BB413" s="51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71</v>
      </c>
      <c r="Q414" s="642"/>
      <c r="R414" s="642"/>
      <c r="S414" s="642"/>
      <c r="T414" s="642"/>
      <c r="U414" s="642"/>
      <c r="V414" s="643"/>
      <c r="W414" s="40" t="s">
        <v>72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71</v>
      </c>
      <c r="Q415" s="642"/>
      <c r="R415" s="642"/>
      <c r="S415" s="642"/>
      <c r="T415" s="642"/>
      <c r="U415" s="642"/>
      <c r="V415" s="643"/>
      <c r="W415" s="40" t="s">
        <v>66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39" t="s">
        <v>677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"/>
      <c r="AB416" s="62"/>
      <c r="AC416" s="62"/>
    </row>
    <row r="417" spans="1:68" ht="14.25" hidden="1" customHeight="1" x14ac:dyDescent="0.25">
      <c r="A417" s="644" t="s">
        <v>73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3"/>
      <c r="AB417" s="63"/>
      <c r="AC417" s="63"/>
    </row>
    <row r="418" spans="1:68" ht="27" hidden="1" customHeight="1" x14ac:dyDescent="0.25">
      <c r="A418" s="60" t="s">
        <v>678</v>
      </c>
      <c r="B418" s="60" t="s">
        <v>679</v>
      </c>
      <c r="C418" s="34">
        <v>4301051489</v>
      </c>
      <c r="D418" s="637">
        <v>4607091387919</v>
      </c>
      <c r="E418" s="638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113</v>
      </c>
      <c r="L418" s="35"/>
      <c r="M418" s="36" t="s">
        <v>83</v>
      </c>
      <c r="N418" s="36"/>
      <c r="O418" s="35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7"/>
      <c r="V418" s="37"/>
      <c r="W418" s="38" t="s">
        <v>66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11" t="s">
        <v>680</v>
      </c>
      <c r="AG418" s="75"/>
      <c r="AJ418" s="79"/>
      <c r="AK418" s="79">
        <v>0</v>
      </c>
      <c r="BB418" s="512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681</v>
      </c>
      <c r="B419" s="60" t="s">
        <v>682</v>
      </c>
      <c r="C419" s="34">
        <v>4301051461</v>
      </c>
      <c r="D419" s="637">
        <v>4680115883604</v>
      </c>
      <c r="E419" s="638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76</v>
      </c>
      <c r="L419" s="35"/>
      <c r="M419" s="36" t="s">
        <v>77</v>
      </c>
      <c r="N419" s="36"/>
      <c r="O419" s="35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7"/>
      <c r="V419" s="37"/>
      <c r="W419" s="38" t="s">
        <v>66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/>
      <c r="AB419" s="66"/>
      <c r="AC419" s="513" t="s">
        <v>683</v>
      </c>
      <c r="AG419" s="75"/>
      <c r="AJ419" s="79"/>
      <c r="AK419" s="79">
        <v>0</v>
      </c>
      <c r="BB419" s="514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684</v>
      </c>
      <c r="B420" s="60" t="s">
        <v>685</v>
      </c>
      <c r="C420" s="34">
        <v>4301051864</v>
      </c>
      <c r="D420" s="637">
        <v>4680115883567</v>
      </c>
      <c r="E420" s="638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76</v>
      </c>
      <c r="L420" s="35"/>
      <c r="M420" s="36" t="s">
        <v>83</v>
      </c>
      <c r="N420" s="36"/>
      <c r="O420" s="35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7"/>
      <c r="V420" s="37"/>
      <c r="W420" s="38" t="s">
        <v>66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/>
      <c r="AB420" s="66"/>
      <c r="AC420" s="515" t="s">
        <v>686</v>
      </c>
      <c r="AG420" s="75"/>
      <c r="AJ420" s="79"/>
      <c r="AK420" s="79">
        <v>0</v>
      </c>
      <c r="BB420" s="516" t="s">
        <v>1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71</v>
      </c>
      <c r="Q421" s="642"/>
      <c r="R421" s="642"/>
      <c r="S421" s="642"/>
      <c r="T421" s="642"/>
      <c r="U421" s="642"/>
      <c r="V421" s="643"/>
      <c r="W421" s="40" t="s">
        <v>72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71</v>
      </c>
      <c r="Q422" s="642"/>
      <c r="R422" s="642"/>
      <c r="S422" s="642"/>
      <c r="T422" s="642"/>
      <c r="U422" s="642"/>
      <c r="V422" s="643"/>
      <c r="W422" s="40" t="s">
        <v>66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8" t="s">
        <v>687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52"/>
      <c r="AB423" s="52"/>
      <c r="AC423" s="52"/>
    </row>
    <row r="424" spans="1:68" ht="16.5" hidden="1" customHeight="1" x14ac:dyDescent="0.25">
      <c r="A424" s="639" t="s">
        <v>688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"/>
      <c r="AB424" s="62"/>
      <c r="AC424" s="62"/>
    </row>
    <row r="425" spans="1:68" ht="14.25" hidden="1" customHeight="1" x14ac:dyDescent="0.25">
      <c r="A425" s="644" t="s">
        <v>110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3"/>
      <c r="AB425" s="63"/>
      <c r="AC425" s="63"/>
    </row>
    <row r="426" spans="1:68" ht="27" hidden="1" customHeight="1" x14ac:dyDescent="0.25">
      <c r="A426" s="60" t="s">
        <v>689</v>
      </c>
      <c r="B426" s="60" t="s">
        <v>690</v>
      </c>
      <c r="C426" s="34">
        <v>4301012332</v>
      </c>
      <c r="D426" s="637">
        <v>4680115888401</v>
      </c>
      <c r="E426" s="638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113</v>
      </c>
      <c r="L426" s="35"/>
      <c r="M426" s="36" t="s">
        <v>83</v>
      </c>
      <c r="N426" s="36"/>
      <c r="O426" s="35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7"/>
      <c r="V426" s="37"/>
      <c r="W426" s="38" t="s">
        <v>66</v>
      </c>
      <c r="X426" s="56">
        <v>0</v>
      </c>
      <c r="Y426" s="53">
        <f t="shared" ref="Y426:Y433" si="53">IFERROR(IF(X426="",0,CEILING((X426/$H426),1)*$H426),"")</f>
        <v>0</v>
      </c>
      <c r="Z426" s="39" t="str">
        <f>IFERROR(IF(Y426=0,"",ROUNDUP(Y426/H426,0)*0.02175),"")</f>
        <v/>
      </c>
      <c r="AA426" s="65"/>
      <c r="AB426" s="66"/>
      <c r="AC426" s="517" t="s">
        <v>691</v>
      </c>
      <c r="AG426" s="75"/>
      <c r="AJ426" s="79"/>
      <c r="AK426" s="79">
        <v>0</v>
      </c>
      <c r="BB426" s="518" t="s">
        <v>1</v>
      </c>
      <c r="BM426" s="75">
        <f t="shared" ref="BM426:BM433" si="54">IFERROR(X426*I426/H426,"0")</f>
        <v>0</v>
      </c>
      <c r="BN426" s="75">
        <f t="shared" ref="BN426:BN433" si="55">IFERROR(Y426*I426/H426,"0")</f>
        <v>0</v>
      </c>
      <c r="BO426" s="75">
        <f t="shared" ref="BO426:BO433" si="56">IFERROR(1/J426*(X426/H426),"0")</f>
        <v>0</v>
      </c>
      <c r="BP426" s="75">
        <f t="shared" ref="BP426:BP433" si="57">IFERROR(1/J426*(Y426/H426),"0")</f>
        <v>0</v>
      </c>
    </row>
    <row r="427" spans="1:68" ht="37.5" customHeight="1" x14ac:dyDescent="0.25">
      <c r="A427" s="60" t="s">
        <v>692</v>
      </c>
      <c r="B427" s="60" t="s">
        <v>693</v>
      </c>
      <c r="C427" s="34">
        <v>4301011869</v>
      </c>
      <c r="D427" s="637">
        <v>4680115884847</v>
      </c>
      <c r="E427" s="638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113</v>
      </c>
      <c r="L427" s="35"/>
      <c r="M427" s="36" t="s">
        <v>65</v>
      </c>
      <c r="N427" s="36"/>
      <c r="O427" s="35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7"/>
      <c r="V427" s="37"/>
      <c r="W427" s="38" t="s">
        <v>66</v>
      </c>
      <c r="X427" s="56">
        <v>240</v>
      </c>
      <c r="Y427" s="53">
        <f t="shared" si="53"/>
        <v>240</v>
      </c>
      <c r="Z427" s="39">
        <f>IFERROR(IF(Y427=0,"",ROUNDUP(Y427/H427,0)*0.02175),"")</f>
        <v>0.34799999999999998</v>
      </c>
      <c r="AA427" s="65"/>
      <c r="AB427" s="66"/>
      <c r="AC427" s="519" t="s">
        <v>694</v>
      </c>
      <c r="AG427" s="75"/>
      <c r="AJ427" s="79"/>
      <c r="AK427" s="79">
        <v>0</v>
      </c>
      <c r="BB427" s="520" t="s">
        <v>1</v>
      </c>
      <c r="BM427" s="75">
        <f t="shared" si="54"/>
        <v>247.52</v>
      </c>
      <c r="BN427" s="75">
        <f t="shared" si="55"/>
        <v>247.52</v>
      </c>
      <c r="BO427" s="75">
        <f t="shared" si="56"/>
        <v>0.33333333333333331</v>
      </c>
      <c r="BP427" s="75">
        <f t="shared" si="57"/>
        <v>0.33333333333333331</v>
      </c>
    </row>
    <row r="428" spans="1:68" ht="27" customHeight="1" x14ac:dyDescent="0.25">
      <c r="A428" s="60" t="s">
        <v>695</v>
      </c>
      <c r="B428" s="60" t="s">
        <v>696</v>
      </c>
      <c r="C428" s="34">
        <v>4301012083</v>
      </c>
      <c r="D428" s="637">
        <v>4680115884854</v>
      </c>
      <c r="E428" s="638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113</v>
      </c>
      <c r="L428" s="35"/>
      <c r="M428" s="36" t="s">
        <v>114</v>
      </c>
      <c r="N428" s="36"/>
      <c r="O428" s="35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7"/>
      <c r="V428" s="37"/>
      <c r="W428" s="38" t="s">
        <v>66</v>
      </c>
      <c r="X428" s="56">
        <v>600</v>
      </c>
      <c r="Y428" s="53">
        <f t="shared" si="53"/>
        <v>600</v>
      </c>
      <c r="Z428" s="39">
        <f>IFERROR(IF(Y428=0,"",ROUNDUP(Y428/H428,0)*0.02175),"")</f>
        <v>0.86999999999999988</v>
      </c>
      <c r="AA428" s="65"/>
      <c r="AB428" s="66"/>
      <c r="AC428" s="521" t="s">
        <v>697</v>
      </c>
      <c r="AG428" s="75"/>
      <c r="AJ428" s="79"/>
      <c r="AK428" s="79">
        <v>0</v>
      </c>
      <c r="BB428" s="522" t="s">
        <v>1</v>
      </c>
      <c r="BM428" s="75">
        <f t="shared" si="54"/>
        <v>618.79999999999995</v>
      </c>
      <c r="BN428" s="75">
        <f t="shared" si="55"/>
        <v>618.79999999999995</v>
      </c>
      <c r="BO428" s="75">
        <f t="shared" si="56"/>
        <v>0.83333333333333326</v>
      </c>
      <c r="BP428" s="75">
        <f t="shared" si="57"/>
        <v>0.83333333333333326</v>
      </c>
    </row>
    <row r="429" spans="1:68" ht="27" hidden="1" customHeight="1" x14ac:dyDescent="0.25">
      <c r="A429" s="60" t="s">
        <v>698</v>
      </c>
      <c r="B429" s="60" t="s">
        <v>699</v>
      </c>
      <c r="C429" s="34">
        <v>4301011867</v>
      </c>
      <c r="D429" s="637">
        <v>4680115884830</v>
      </c>
      <c r="E429" s="63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113</v>
      </c>
      <c r="L429" s="35"/>
      <c r="M429" s="36" t="s">
        <v>65</v>
      </c>
      <c r="N429" s="36"/>
      <c r="O429" s="35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7"/>
      <c r="V429" s="37"/>
      <c r="W429" s="38" t="s">
        <v>66</v>
      </c>
      <c r="X429" s="56">
        <v>0</v>
      </c>
      <c r="Y429" s="53">
        <f t="shared" si="53"/>
        <v>0</v>
      </c>
      <c r="Z429" s="39" t="str">
        <f>IFERROR(IF(Y429=0,"",ROUNDUP(Y429/H429,0)*0.02175),"")</f>
        <v/>
      </c>
      <c r="AA429" s="65"/>
      <c r="AB429" s="66"/>
      <c r="AC429" s="523" t="s">
        <v>700</v>
      </c>
      <c r="AG429" s="75"/>
      <c r="AJ429" s="79"/>
      <c r="AK429" s="79">
        <v>0</v>
      </c>
      <c r="BB429" s="524" t="s">
        <v>1</v>
      </c>
      <c r="BM429" s="75">
        <f t="shared" si="54"/>
        <v>0</v>
      </c>
      <c r="BN429" s="75">
        <f t="shared" si="55"/>
        <v>0</v>
      </c>
      <c r="BO429" s="75">
        <f t="shared" si="56"/>
        <v>0</v>
      </c>
      <c r="BP429" s="75">
        <f t="shared" si="57"/>
        <v>0</v>
      </c>
    </row>
    <row r="430" spans="1:68" ht="27" hidden="1" customHeight="1" x14ac:dyDescent="0.25">
      <c r="A430" s="60" t="s">
        <v>701</v>
      </c>
      <c r="B430" s="60" t="s">
        <v>702</v>
      </c>
      <c r="C430" s="34">
        <v>4301012356</v>
      </c>
      <c r="D430" s="637">
        <v>4680115889231</v>
      </c>
      <c r="E430" s="63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113</v>
      </c>
      <c r="L430" s="35"/>
      <c r="M430" s="36" t="s">
        <v>83</v>
      </c>
      <c r="N430" s="36"/>
      <c r="O430" s="35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7"/>
      <c r="V430" s="37"/>
      <c r="W430" s="38" t="s">
        <v>66</v>
      </c>
      <c r="X430" s="56">
        <v>0</v>
      </c>
      <c r="Y430" s="53">
        <f t="shared" si="53"/>
        <v>0</v>
      </c>
      <c r="Z430" s="39" t="str">
        <f>IFERROR(IF(Y430=0,"",ROUNDUP(Y430/H430,0)*0.02175),"")</f>
        <v/>
      </c>
      <c r="AA430" s="65"/>
      <c r="AB430" s="66"/>
      <c r="AC430" s="525" t="s">
        <v>703</v>
      </c>
      <c r="AG430" s="75"/>
      <c r="AJ430" s="79"/>
      <c r="AK430" s="79">
        <v>0</v>
      </c>
      <c r="BB430" s="526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4301011433</v>
      </c>
      <c r="D431" s="637">
        <v>4680115882638</v>
      </c>
      <c r="E431" s="638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122</v>
      </c>
      <c r="L431" s="35"/>
      <c r="M431" s="36" t="s">
        <v>114</v>
      </c>
      <c r="N431" s="36"/>
      <c r="O431" s="35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7"/>
      <c r="V431" s="37"/>
      <c r="W431" s="38" t="s">
        <v>66</v>
      </c>
      <c r="X431" s="56">
        <v>0</v>
      </c>
      <c r="Y431" s="53">
        <f t="shared" si="53"/>
        <v>0</v>
      </c>
      <c r="Z431" s="39" t="str">
        <f>IFERROR(IF(Y431=0,"",ROUNDUP(Y431/H431,0)*0.00902),"")</f>
        <v/>
      </c>
      <c r="AA431" s="65"/>
      <c r="AB431" s="66"/>
      <c r="AC431" s="527" t="s">
        <v>706</v>
      </c>
      <c r="AG431" s="75"/>
      <c r="AJ431" s="79"/>
      <c r="AK431" s="79">
        <v>0</v>
      </c>
      <c r="BB431" s="528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4301011952</v>
      </c>
      <c r="D432" s="637">
        <v>4680115884922</v>
      </c>
      <c r="E432" s="638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122</v>
      </c>
      <c r="L432" s="35"/>
      <c r="M432" s="36" t="s">
        <v>65</v>
      </c>
      <c r="N432" s="36"/>
      <c r="O432" s="35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7"/>
      <c r="V432" s="37"/>
      <c r="W432" s="38" t="s">
        <v>66</v>
      </c>
      <c r="X432" s="56">
        <v>0</v>
      </c>
      <c r="Y432" s="53">
        <f t="shared" si="53"/>
        <v>0</v>
      </c>
      <c r="Z432" s="39" t="str">
        <f>IFERROR(IF(Y432=0,"",ROUNDUP(Y432/H432,0)*0.00902),"")</f>
        <v/>
      </c>
      <c r="AA432" s="65"/>
      <c r="AB432" s="66"/>
      <c r="AC432" s="529" t="s">
        <v>709</v>
      </c>
      <c r="AG432" s="75"/>
      <c r="AJ432" s="79"/>
      <c r="AK432" s="79">
        <v>0</v>
      </c>
      <c r="BB432" s="530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37.5" hidden="1" customHeight="1" x14ac:dyDescent="0.25">
      <c r="A433" s="60" t="s">
        <v>710</v>
      </c>
      <c r="B433" s="60" t="s">
        <v>711</v>
      </c>
      <c r="C433" s="34">
        <v>4301011868</v>
      </c>
      <c r="D433" s="637">
        <v>4680115884861</v>
      </c>
      <c r="E433" s="638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122</v>
      </c>
      <c r="L433" s="35"/>
      <c r="M433" s="36" t="s">
        <v>65</v>
      </c>
      <c r="N433" s="36"/>
      <c r="O433" s="35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7"/>
      <c r="V433" s="37"/>
      <c r="W433" s="38" t="s">
        <v>66</v>
      </c>
      <c r="X433" s="56">
        <v>0</v>
      </c>
      <c r="Y433" s="53">
        <f t="shared" si="53"/>
        <v>0</v>
      </c>
      <c r="Z433" s="39" t="str">
        <f>IFERROR(IF(Y433=0,"",ROUNDUP(Y433/H433,0)*0.00902),"")</f>
        <v/>
      </c>
      <c r="AA433" s="65"/>
      <c r="AB433" s="66"/>
      <c r="AC433" s="531" t="s">
        <v>712</v>
      </c>
      <c r="AG433" s="75"/>
      <c r="AJ433" s="79"/>
      <c r="AK433" s="79">
        <v>0</v>
      </c>
      <c r="BB433" s="532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71</v>
      </c>
      <c r="Q434" s="642"/>
      <c r="R434" s="642"/>
      <c r="S434" s="642"/>
      <c r="T434" s="642"/>
      <c r="U434" s="642"/>
      <c r="V434" s="643"/>
      <c r="W434" s="40" t="s">
        <v>72</v>
      </c>
      <c r="X434" s="41">
        <f>IFERROR(X426/H426,"0")+IFERROR(X427/H427,"0")+IFERROR(X428/H428,"0")+IFERROR(X429/H429,"0")+IFERROR(X430/H430,"0")+IFERROR(X431/H431,"0")+IFERROR(X432/H432,"0")+IFERROR(X433/H433,"0")</f>
        <v>56</v>
      </c>
      <c r="Y434" s="41">
        <f>IFERROR(Y426/H426,"0")+IFERROR(Y427/H427,"0")+IFERROR(Y428/H428,"0")+IFERROR(Y429/H429,"0")+IFERROR(Y430/H430,"0")+IFERROR(Y431/H431,"0")+IFERROR(Y432/H432,"0")+IFERROR(Y433/H433,"0")</f>
        <v>56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1.218</v>
      </c>
      <c r="AA434" s="64"/>
      <c r="AB434" s="64"/>
      <c r="AC434" s="64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71</v>
      </c>
      <c r="Q435" s="642"/>
      <c r="R435" s="642"/>
      <c r="S435" s="642"/>
      <c r="T435" s="642"/>
      <c r="U435" s="642"/>
      <c r="V435" s="643"/>
      <c r="W435" s="40" t="s">
        <v>66</v>
      </c>
      <c r="X435" s="41">
        <f>IFERROR(SUM(X426:X433),"0")</f>
        <v>840</v>
      </c>
      <c r="Y435" s="41">
        <f>IFERROR(SUM(Y426:Y433),"0")</f>
        <v>840</v>
      </c>
      <c r="Z435" s="40"/>
      <c r="AA435" s="64"/>
      <c r="AB435" s="64"/>
      <c r="AC435" s="64"/>
    </row>
    <row r="436" spans="1:68" ht="14.25" hidden="1" customHeight="1" x14ac:dyDescent="0.25">
      <c r="A436" s="644" t="s">
        <v>146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3"/>
      <c r="AB436" s="63"/>
      <c r="AC436" s="63"/>
    </row>
    <row r="437" spans="1:68" ht="27" customHeight="1" x14ac:dyDescent="0.25">
      <c r="A437" s="60" t="s">
        <v>713</v>
      </c>
      <c r="B437" s="60" t="s">
        <v>714</v>
      </c>
      <c r="C437" s="34">
        <v>4301020178</v>
      </c>
      <c r="D437" s="637">
        <v>4607091383980</v>
      </c>
      <c r="E437" s="638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113</v>
      </c>
      <c r="L437" s="35"/>
      <c r="M437" s="36" t="s">
        <v>114</v>
      </c>
      <c r="N437" s="36"/>
      <c r="O437" s="35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7"/>
      <c r="V437" s="37"/>
      <c r="W437" s="38" t="s">
        <v>66</v>
      </c>
      <c r="X437" s="56">
        <v>350</v>
      </c>
      <c r="Y437" s="53">
        <f>IFERROR(IF(X437="",0,CEILING((X437/$H437),1)*$H437),"")</f>
        <v>360</v>
      </c>
      <c r="Z437" s="39">
        <f>IFERROR(IF(Y437=0,"",ROUNDUP(Y437/H437,0)*0.02175),"")</f>
        <v>0.52200000000000002</v>
      </c>
      <c r="AA437" s="65"/>
      <c r="AB437" s="66"/>
      <c r="AC437" s="533" t="s">
        <v>715</v>
      </c>
      <c r="AG437" s="75"/>
      <c r="AJ437" s="79"/>
      <c r="AK437" s="79">
        <v>0</v>
      </c>
      <c r="BB437" s="534" t="s">
        <v>1</v>
      </c>
      <c r="BM437" s="75">
        <f>IFERROR(X437*I437/H437,"0")</f>
        <v>360.96666666666664</v>
      </c>
      <c r="BN437" s="75">
        <f>IFERROR(Y437*I437/H437,"0")</f>
        <v>371.28</v>
      </c>
      <c r="BO437" s="75">
        <f>IFERROR(1/J437*(X437/H437),"0")</f>
        <v>0.48611111111111105</v>
      </c>
      <c r="BP437" s="75">
        <f>IFERROR(1/J437*(Y437/H437),"0")</f>
        <v>0.5</v>
      </c>
    </row>
    <row r="438" spans="1:68" ht="27" hidden="1" customHeight="1" x14ac:dyDescent="0.25">
      <c r="A438" s="60" t="s">
        <v>716</v>
      </c>
      <c r="B438" s="60" t="s">
        <v>717</v>
      </c>
      <c r="C438" s="34">
        <v>4301020355</v>
      </c>
      <c r="D438" s="637">
        <v>4680115888425</v>
      </c>
      <c r="E438" s="63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113</v>
      </c>
      <c r="L438" s="35"/>
      <c r="M438" s="36" t="s">
        <v>114</v>
      </c>
      <c r="N438" s="36"/>
      <c r="O438" s="35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7"/>
      <c r="V438" s="37"/>
      <c r="W438" s="38" t="s">
        <v>66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/>
      <c r="AB438" s="66"/>
      <c r="AC438" s="535" t="s">
        <v>718</v>
      </c>
      <c r="AG438" s="75"/>
      <c r="AJ438" s="79"/>
      <c r="AK438" s="79">
        <v>0</v>
      </c>
      <c r="BB438" s="536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719</v>
      </c>
      <c r="B439" s="60" t="s">
        <v>720</v>
      </c>
      <c r="C439" s="34">
        <v>4301020179</v>
      </c>
      <c r="D439" s="637">
        <v>4607091384178</v>
      </c>
      <c r="E439" s="638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122</v>
      </c>
      <c r="L439" s="35"/>
      <c r="M439" s="36" t="s">
        <v>114</v>
      </c>
      <c r="N439" s="36"/>
      <c r="O439" s="35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7"/>
      <c r="V439" s="37"/>
      <c r="W439" s="38" t="s">
        <v>66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37" t="s">
        <v>721</v>
      </c>
      <c r="AG439" s="75"/>
      <c r="AJ439" s="79"/>
      <c r="AK439" s="79">
        <v>0</v>
      </c>
      <c r="BB439" s="538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71</v>
      </c>
      <c r="Q440" s="642"/>
      <c r="R440" s="642"/>
      <c r="S440" s="642"/>
      <c r="T440" s="642"/>
      <c r="U440" s="642"/>
      <c r="V440" s="643"/>
      <c r="W440" s="40" t="s">
        <v>72</v>
      </c>
      <c r="X440" s="41">
        <f>IFERROR(X437/H437,"0")+IFERROR(X438/H438,"0")+IFERROR(X439/H439,"0")</f>
        <v>23.333333333333332</v>
      </c>
      <c r="Y440" s="41">
        <f>IFERROR(Y437/H437,"0")+IFERROR(Y438/H438,"0")+IFERROR(Y439/H439,"0")</f>
        <v>24</v>
      </c>
      <c r="Z440" s="41">
        <f>IFERROR(IF(Z437="",0,Z437),"0")+IFERROR(IF(Z438="",0,Z438),"0")+IFERROR(IF(Z439="",0,Z439),"0")</f>
        <v>0.52200000000000002</v>
      </c>
      <c r="AA440" s="64"/>
      <c r="AB440" s="64"/>
      <c r="AC440" s="64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71</v>
      </c>
      <c r="Q441" s="642"/>
      <c r="R441" s="642"/>
      <c r="S441" s="642"/>
      <c r="T441" s="642"/>
      <c r="U441" s="642"/>
      <c r="V441" s="643"/>
      <c r="W441" s="40" t="s">
        <v>66</v>
      </c>
      <c r="X441" s="41">
        <f>IFERROR(SUM(X437:X439),"0")</f>
        <v>350</v>
      </c>
      <c r="Y441" s="41">
        <f>IFERROR(SUM(Y437:Y439),"0")</f>
        <v>360</v>
      </c>
      <c r="Z441" s="40"/>
      <c r="AA441" s="64"/>
      <c r="AB441" s="64"/>
      <c r="AC441" s="64"/>
    </row>
    <row r="442" spans="1:68" ht="14.25" hidden="1" customHeight="1" x14ac:dyDescent="0.25">
      <c r="A442" s="644" t="s">
        <v>73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3"/>
      <c r="AB442" s="63"/>
      <c r="AC442" s="63"/>
    </row>
    <row r="443" spans="1:68" ht="27" hidden="1" customHeight="1" x14ac:dyDescent="0.25">
      <c r="A443" s="60" t="s">
        <v>722</v>
      </c>
      <c r="B443" s="60" t="s">
        <v>723</v>
      </c>
      <c r="C443" s="34">
        <v>4301051903</v>
      </c>
      <c r="D443" s="637">
        <v>4607091383928</v>
      </c>
      <c r="E443" s="638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113</v>
      </c>
      <c r="L443" s="35"/>
      <c r="M443" s="36" t="s">
        <v>77</v>
      </c>
      <c r="N443" s="36"/>
      <c r="O443" s="35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7"/>
      <c r="V443" s="37"/>
      <c r="W443" s="38" t="s">
        <v>66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/>
      <c r="AB443" s="66"/>
      <c r="AC443" s="539" t="s">
        <v>724</v>
      </c>
      <c r="AG443" s="75"/>
      <c r="AJ443" s="79"/>
      <c r="AK443" s="79">
        <v>0</v>
      </c>
      <c r="BB443" s="540" t="s">
        <v>1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725</v>
      </c>
      <c r="B444" s="60" t="s">
        <v>726</v>
      </c>
      <c r="C444" s="34">
        <v>4301051897</v>
      </c>
      <c r="D444" s="637">
        <v>4607091384260</v>
      </c>
      <c r="E444" s="638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113</v>
      </c>
      <c r="L444" s="35"/>
      <c r="M444" s="36" t="s">
        <v>77</v>
      </c>
      <c r="N444" s="36"/>
      <c r="O444" s="35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7"/>
      <c r="V444" s="37"/>
      <c r="W444" s="38" t="s">
        <v>66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/>
      <c r="AB444" s="66"/>
      <c r="AC444" s="541" t="s">
        <v>727</v>
      </c>
      <c r="AG444" s="75"/>
      <c r="AJ444" s="79"/>
      <c r="AK444" s="79">
        <v>0</v>
      </c>
      <c r="BB444" s="542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hidden="1" customHeight="1" x14ac:dyDescent="0.25">
      <c r="A445" s="60" t="s">
        <v>728</v>
      </c>
      <c r="B445" s="60" t="s">
        <v>729</v>
      </c>
      <c r="C445" s="34">
        <v>4301052220</v>
      </c>
      <c r="D445" s="637">
        <v>4680115889538</v>
      </c>
      <c r="E445" s="638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113</v>
      </c>
      <c r="L445" s="35"/>
      <c r="M445" s="36" t="s">
        <v>77</v>
      </c>
      <c r="N445" s="36"/>
      <c r="O445" s="35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7"/>
      <c r="V445" s="37"/>
      <c r="W445" s="38" t="s">
        <v>66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/>
      <c r="AB445" s="66"/>
      <c r="AC445" s="543" t="s">
        <v>730</v>
      </c>
      <c r="AG445" s="75"/>
      <c r="AJ445" s="79"/>
      <c r="AK445" s="79">
        <v>0</v>
      </c>
      <c r="BB445" s="544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71</v>
      </c>
      <c r="Q446" s="642"/>
      <c r="R446" s="642"/>
      <c r="S446" s="642"/>
      <c r="T446" s="642"/>
      <c r="U446" s="642"/>
      <c r="V446" s="643"/>
      <c r="W446" s="40" t="s">
        <v>72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71</v>
      </c>
      <c r="Q447" s="642"/>
      <c r="R447" s="642"/>
      <c r="S447" s="642"/>
      <c r="T447" s="642"/>
      <c r="U447" s="642"/>
      <c r="V447" s="643"/>
      <c r="W447" s="40" t="s">
        <v>66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4" t="s">
        <v>163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3"/>
      <c r="AB448" s="63"/>
      <c r="AC448" s="63"/>
    </row>
    <row r="449" spans="1:68" ht="27" hidden="1" customHeight="1" x14ac:dyDescent="0.25">
      <c r="A449" s="60" t="s">
        <v>731</v>
      </c>
      <c r="B449" s="60" t="s">
        <v>732</v>
      </c>
      <c r="C449" s="34">
        <v>4301060537</v>
      </c>
      <c r="D449" s="637">
        <v>4680115889545</v>
      </c>
      <c r="E449" s="638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113</v>
      </c>
      <c r="L449" s="35"/>
      <c r="M449" s="36" t="s">
        <v>77</v>
      </c>
      <c r="N449" s="36"/>
      <c r="O449" s="35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7"/>
      <c r="V449" s="37"/>
      <c r="W449" s="38" t="s">
        <v>66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/>
      <c r="AB449" s="66"/>
      <c r="AC449" s="545" t="s">
        <v>733</v>
      </c>
      <c r="AG449" s="75"/>
      <c r="AJ449" s="79"/>
      <c r="AK449" s="79">
        <v>0</v>
      </c>
      <c r="BB449" s="546" t="s">
        <v>1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734</v>
      </c>
      <c r="B450" s="60" t="s">
        <v>735</v>
      </c>
      <c r="C450" s="34">
        <v>4301060524</v>
      </c>
      <c r="D450" s="637">
        <v>4607091384673</v>
      </c>
      <c r="E450" s="638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113</v>
      </c>
      <c r="L450" s="35"/>
      <c r="M450" s="36" t="s">
        <v>77</v>
      </c>
      <c r="N450" s="36"/>
      <c r="O450" s="35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7"/>
      <c r="V450" s="37"/>
      <c r="W450" s="38" t="s">
        <v>66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47" t="s">
        <v>736</v>
      </c>
      <c r="AG450" s="75"/>
      <c r="AJ450" s="79"/>
      <c r="AK450" s="79">
        <v>0</v>
      </c>
      <c r="BB450" s="548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71</v>
      </c>
      <c r="Q451" s="642"/>
      <c r="R451" s="642"/>
      <c r="S451" s="642"/>
      <c r="T451" s="642"/>
      <c r="U451" s="642"/>
      <c r="V451" s="643"/>
      <c r="W451" s="40" t="s">
        <v>72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71</v>
      </c>
      <c r="Q452" s="642"/>
      <c r="R452" s="642"/>
      <c r="S452" s="642"/>
      <c r="T452" s="642"/>
      <c r="U452" s="642"/>
      <c r="V452" s="643"/>
      <c r="W452" s="40" t="s">
        <v>66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39" t="s">
        <v>737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"/>
      <c r="AB453" s="62"/>
      <c r="AC453" s="62"/>
    </row>
    <row r="454" spans="1:68" ht="14.25" hidden="1" customHeight="1" x14ac:dyDescent="0.25">
      <c r="A454" s="644" t="s">
        <v>110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3"/>
      <c r="AB454" s="63"/>
      <c r="AC454" s="63"/>
    </row>
    <row r="455" spans="1:68" ht="27" hidden="1" customHeight="1" x14ac:dyDescent="0.25">
      <c r="A455" s="60" t="s">
        <v>738</v>
      </c>
      <c r="B455" s="60" t="s">
        <v>739</v>
      </c>
      <c r="C455" s="34">
        <v>4301011875</v>
      </c>
      <c r="D455" s="637">
        <v>4680115884885</v>
      </c>
      <c r="E455" s="638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113</v>
      </c>
      <c r="L455" s="35"/>
      <c r="M455" s="36" t="s">
        <v>65</v>
      </c>
      <c r="N455" s="36"/>
      <c r="O455" s="35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7"/>
      <c r="V455" s="37"/>
      <c r="W455" s="38" t="s">
        <v>66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/>
      <c r="AB455" s="66"/>
      <c r="AC455" s="549" t="s">
        <v>740</v>
      </c>
      <c r="AG455" s="75"/>
      <c r="AJ455" s="79"/>
      <c r="AK455" s="79">
        <v>0</v>
      </c>
      <c r="BB455" s="550" t="s">
        <v>1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741</v>
      </c>
      <c r="B456" s="60" t="s">
        <v>742</v>
      </c>
      <c r="C456" s="34">
        <v>4301011871</v>
      </c>
      <c r="D456" s="637">
        <v>4680115884908</v>
      </c>
      <c r="E456" s="638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122</v>
      </c>
      <c r="L456" s="35"/>
      <c r="M456" s="36" t="s">
        <v>65</v>
      </c>
      <c r="N456" s="36"/>
      <c r="O456" s="35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7"/>
      <c r="V456" s="37"/>
      <c r="W456" s="38" t="s">
        <v>66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/>
      <c r="AB456" s="66"/>
      <c r="AC456" s="551" t="s">
        <v>740</v>
      </c>
      <c r="AG456" s="75"/>
      <c r="AJ456" s="79"/>
      <c r="AK456" s="79">
        <v>0</v>
      </c>
      <c r="BB456" s="552" t="s">
        <v>1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71</v>
      </c>
      <c r="Q457" s="642"/>
      <c r="R457" s="642"/>
      <c r="S457" s="642"/>
      <c r="T457" s="642"/>
      <c r="U457" s="642"/>
      <c r="V457" s="643"/>
      <c r="W457" s="40" t="s">
        <v>72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71</v>
      </c>
      <c r="Q458" s="642"/>
      <c r="R458" s="642"/>
      <c r="S458" s="642"/>
      <c r="T458" s="642"/>
      <c r="U458" s="642"/>
      <c r="V458" s="643"/>
      <c r="W458" s="40" t="s">
        <v>66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4" t="s">
        <v>61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3"/>
      <c r="AB459" s="63"/>
      <c r="AC459" s="63"/>
    </row>
    <row r="460" spans="1:68" ht="27" hidden="1" customHeight="1" x14ac:dyDescent="0.25">
      <c r="A460" s="60" t="s">
        <v>743</v>
      </c>
      <c r="B460" s="60" t="s">
        <v>744</v>
      </c>
      <c r="C460" s="34">
        <v>4301031457</v>
      </c>
      <c r="D460" s="637">
        <v>4607091384802</v>
      </c>
      <c r="E460" s="638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122</v>
      </c>
      <c r="L460" s="35"/>
      <c r="M460" s="36" t="s">
        <v>65</v>
      </c>
      <c r="N460" s="36"/>
      <c r="O460" s="35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7"/>
      <c r="V460" s="37"/>
      <c r="W460" s="38" t="s">
        <v>66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/>
      <c r="AB460" s="66"/>
      <c r="AC460" s="553" t="s">
        <v>745</v>
      </c>
      <c r="AG460" s="75"/>
      <c r="AJ460" s="79"/>
      <c r="AK460" s="79">
        <v>0</v>
      </c>
      <c r="BB460" s="55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71</v>
      </c>
      <c r="Q461" s="642"/>
      <c r="R461" s="642"/>
      <c r="S461" s="642"/>
      <c r="T461" s="642"/>
      <c r="U461" s="642"/>
      <c r="V461" s="643"/>
      <c r="W461" s="40" t="s">
        <v>72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71</v>
      </c>
      <c r="Q462" s="642"/>
      <c r="R462" s="642"/>
      <c r="S462" s="642"/>
      <c r="T462" s="642"/>
      <c r="U462" s="642"/>
      <c r="V462" s="643"/>
      <c r="W462" s="40" t="s">
        <v>66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4" t="s">
        <v>73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3"/>
      <c r="AB463" s="63"/>
      <c r="AC463" s="63"/>
    </row>
    <row r="464" spans="1:68" ht="27" hidden="1" customHeight="1" x14ac:dyDescent="0.25">
      <c r="A464" s="60" t="s">
        <v>746</v>
      </c>
      <c r="B464" s="60" t="s">
        <v>747</v>
      </c>
      <c r="C464" s="34">
        <v>4301051899</v>
      </c>
      <c r="D464" s="637">
        <v>4607091384246</v>
      </c>
      <c r="E464" s="638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113</v>
      </c>
      <c r="L464" s="35"/>
      <c r="M464" s="36" t="s">
        <v>77</v>
      </c>
      <c r="N464" s="36"/>
      <c r="O464" s="35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7"/>
      <c r="V464" s="37"/>
      <c r="W464" s="38" t="s">
        <v>66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55" t="s">
        <v>748</v>
      </c>
      <c r="AG464" s="75"/>
      <c r="AJ464" s="79"/>
      <c r="AK464" s="79">
        <v>0</v>
      </c>
      <c r="BB464" s="556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749</v>
      </c>
      <c r="B465" s="60" t="s">
        <v>750</v>
      </c>
      <c r="C465" s="34">
        <v>4301051660</v>
      </c>
      <c r="D465" s="637">
        <v>4607091384253</v>
      </c>
      <c r="E465" s="638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76</v>
      </c>
      <c r="L465" s="35"/>
      <c r="M465" s="36" t="s">
        <v>77</v>
      </c>
      <c r="N465" s="36"/>
      <c r="O465" s="35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7"/>
      <c r="V465" s="37"/>
      <c r="W465" s="38" t="s">
        <v>66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/>
      <c r="AB465" s="66"/>
      <c r="AC465" s="557" t="s">
        <v>748</v>
      </c>
      <c r="AG465" s="75"/>
      <c r="AJ465" s="79"/>
      <c r="AK465" s="79">
        <v>0</v>
      </c>
      <c r="BB465" s="558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749</v>
      </c>
      <c r="B466" s="60" t="s">
        <v>751</v>
      </c>
      <c r="C466" s="34">
        <v>4301052069</v>
      </c>
      <c r="D466" s="637">
        <v>4607091384253</v>
      </c>
      <c r="E466" s="638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76</v>
      </c>
      <c r="L466" s="35"/>
      <c r="M466" s="36" t="s">
        <v>77</v>
      </c>
      <c r="N466" s="36"/>
      <c r="O466" s="35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7"/>
      <c r="V466" s="37"/>
      <c r="W466" s="38" t="s">
        <v>66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/>
      <c r="AB466" s="66"/>
      <c r="AC466" s="559" t="s">
        <v>752</v>
      </c>
      <c r="AG466" s="75"/>
      <c r="AJ466" s="79"/>
      <c r="AK466" s="79">
        <v>0</v>
      </c>
      <c r="BB466" s="560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71</v>
      </c>
      <c r="Q467" s="642"/>
      <c r="R467" s="642"/>
      <c r="S467" s="642"/>
      <c r="T467" s="642"/>
      <c r="U467" s="642"/>
      <c r="V467" s="643"/>
      <c r="W467" s="40" t="s">
        <v>72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71</v>
      </c>
      <c r="Q468" s="642"/>
      <c r="R468" s="642"/>
      <c r="S468" s="642"/>
      <c r="T468" s="642"/>
      <c r="U468" s="642"/>
      <c r="V468" s="643"/>
      <c r="W468" s="40" t="s">
        <v>66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8" t="s">
        <v>753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52"/>
      <c r="AB469" s="52"/>
      <c r="AC469" s="52"/>
    </row>
    <row r="470" spans="1:68" ht="16.5" hidden="1" customHeight="1" x14ac:dyDescent="0.25">
      <c r="A470" s="639" t="s">
        <v>754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"/>
      <c r="AB470" s="62"/>
      <c r="AC470" s="62"/>
    </row>
    <row r="471" spans="1:68" ht="14.25" hidden="1" customHeight="1" x14ac:dyDescent="0.25">
      <c r="A471" s="644" t="s">
        <v>61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3"/>
      <c r="AB471" s="63"/>
      <c r="AC471" s="63"/>
    </row>
    <row r="472" spans="1:68" ht="27" hidden="1" customHeight="1" x14ac:dyDescent="0.25">
      <c r="A472" s="60" t="s">
        <v>755</v>
      </c>
      <c r="B472" s="60" t="s">
        <v>756</v>
      </c>
      <c r="C472" s="34">
        <v>4301031405</v>
      </c>
      <c r="D472" s="637">
        <v>4680115886100</v>
      </c>
      <c r="E472" s="638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122</v>
      </c>
      <c r="L472" s="35"/>
      <c r="M472" s="36" t="s">
        <v>65</v>
      </c>
      <c r="N472" s="36"/>
      <c r="O472" s="35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7"/>
      <c r="V472" s="37"/>
      <c r="W472" s="38" t="s">
        <v>66</v>
      </c>
      <c r="X472" s="56">
        <v>0</v>
      </c>
      <c r="Y472" s="53">
        <f t="shared" ref="Y472:Y477" si="58">IFERROR(IF(X472="",0,CEILING((X472/$H472),1)*$H472),"")</f>
        <v>0</v>
      </c>
      <c r="Z472" s="39" t="str">
        <f>IFERROR(IF(Y472=0,"",ROUNDUP(Y472/H472,0)*0.00902),"")</f>
        <v/>
      </c>
      <c r="AA472" s="65"/>
      <c r="AB472" s="66"/>
      <c r="AC472" s="561" t="s">
        <v>757</v>
      </c>
      <c r="AG472" s="75"/>
      <c r="AJ472" s="79"/>
      <c r="AK472" s="79">
        <v>0</v>
      </c>
      <c r="BB472" s="562" t="s">
        <v>1</v>
      </c>
      <c r="BM472" s="75">
        <f t="shared" ref="BM472:BM477" si="59">IFERROR(X472*I472/H472,"0")</f>
        <v>0</v>
      </c>
      <c r="BN472" s="75">
        <f t="shared" ref="BN472:BN477" si="60">IFERROR(Y472*I472/H472,"0")</f>
        <v>0</v>
      </c>
      <c r="BO472" s="75">
        <f t="shared" ref="BO472:BO477" si="61">IFERROR(1/J472*(X472/H472),"0")</f>
        <v>0</v>
      </c>
      <c r="BP472" s="75">
        <f t="shared" ref="BP472:BP477" si="62">IFERROR(1/J472*(Y472/H472),"0")</f>
        <v>0</v>
      </c>
    </row>
    <row r="473" spans="1:68" ht="27" hidden="1" customHeight="1" x14ac:dyDescent="0.25">
      <c r="A473" s="60" t="s">
        <v>758</v>
      </c>
      <c r="B473" s="60" t="s">
        <v>759</v>
      </c>
      <c r="C473" s="34">
        <v>4301031402</v>
      </c>
      <c r="D473" s="637">
        <v>4680115886124</v>
      </c>
      <c r="E473" s="638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122</v>
      </c>
      <c r="L473" s="35"/>
      <c r="M473" s="36" t="s">
        <v>65</v>
      </c>
      <c r="N473" s="36"/>
      <c r="O473" s="35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7"/>
      <c r="V473" s="37"/>
      <c r="W473" s="38" t="s">
        <v>66</v>
      </c>
      <c r="X473" s="56">
        <v>0</v>
      </c>
      <c r="Y473" s="53">
        <f t="shared" si="58"/>
        <v>0</v>
      </c>
      <c r="Z473" s="39" t="str">
        <f>IFERROR(IF(Y473=0,"",ROUNDUP(Y473/H473,0)*0.00902),"")</f>
        <v/>
      </c>
      <c r="AA473" s="65"/>
      <c r="AB473" s="66"/>
      <c r="AC473" s="563" t="s">
        <v>760</v>
      </c>
      <c r="AG473" s="75"/>
      <c r="AJ473" s="79"/>
      <c r="AK473" s="79">
        <v>0</v>
      </c>
      <c r="BB473" s="564" t="s">
        <v>1</v>
      </c>
      <c r="BM473" s="75">
        <f t="shared" si="59"/>
        <v>0</v>
      </c>
      <c r="BN473" s="75">
        <f t="shared" si="60"/>
        <v>0</v>
      </c>
      <c r="BO473" s="75">
        <f t="shared" si="61"/>
        <v>0</v>
      </c>
      <c r="BP473" s="75">
        <f t="shared" si="62"/>
        <v>0</v>
      </c>
    </row>
    <row r="474" spans="1:68" ht="27" hidden="1" customHeight="1" x14ac:dyDescent="0.25">
      <c r="A474" s="60" t="s">
        <v>761</v>
      </c>
      <c r="B474" s="60" t="s">
        <v>762</v>
      </c>
      <c r="C474" s="34">
        <v>4301031362</v>
      </c>
      <c r="D474" s="637">
        <v>4607091384338</v>
      </c>
      <c r="E474" s="638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64</v>
      </c>
      <c r="L474" s="35"/>
      <c r="M474" s="36" t="s">
        <v>65</v>
      </c>
      <c r="N474" s="36"/>
      <c r="O474" s="35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7"/>
      <c r="V474" s="37"/>
      <c r="W474" s="38" t="s">
        <v>66</v>
      </c>
      <c r="X474" s="56">
        <v>0</v>
      </c>
      <c r="Y474" s="53">
        <f t="shared" si="58"/>
        <v>0</v>
      </c>
      <c r="Z474" s="39" t="str">
        <f>IFERROR(IF(Y474=0,"",ROUNDUP(Y474/H474,0)*0.00502),"")</f>
        <v/>
      </c>
      <c r="AA474" s="65"/>
      <c r="AB474" s="66"/>
      <c r="AC474" s="565" t="s">
        <v>757</v>
      </c>
      <c r="AG474" s="75"/>
      <c r="AJ474" s="79"/>
      <c r="AK474" s="79">
        <v>0</v>
      </c>
      <c r="BB474" s="566" t="s">
        <v>1</v>
      </c>
      <c r="BM474" s="75">
        <f t="shared" si="59"/>
        <v>0</v>
      </c>
      <c r="BN474" s="75">
        <f t="shared" si="60"/>
        <v>0</v>
      </c>
      <c r="BO474" s="75">
        <f t="shared" si="61"/>
        <v>0</v>
      </c>
      <c r="BP474" s="75">
        <f t="shared" si="62"/>
        <v>0</v>
      </c>
    </row>
    <row r="475" spans="1:68" ht="27" hidden="1" customHeight="1" x14ac:dyDescent="0.25">
      <c r="A475" s="60" t="s">
        <v>763</v>
      </c>
      <c r="B475" s="60" t="s">
        <v>764</v>
      </c>
      <c r="C475" s="34">
        <v>4301031364</v>
      </c>
      <c r="D475" s="637">
        <v>4680115883161</v>
      </c>
      <c r="E475" s="638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64</v>
      </c>
      <c r="L475" s="35"/>
      <c r="M475" s="36" t="s">
        <v>65</v>
      </c>
      <c r="N475" s="36"/>
      <c r="O475" s="35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7"/>
      <c r="V475" s="37"/>
      <c r="W475" s="38" t="s">
        <v>66</v>
      </c>
      <c r="X475" s="56">
        <v>0</v>
      </c>
      <c r="Y475" s="53">
        <f t="shared" si="58"/>
        <v>0</v>
      </c>
      <c r="Z475" s="39" t="str">
        <f>IFERROR(IF(Y475=0,"",ROUNDUP(Y475/H475,0)*0.00502),"")</f>
        <v/>
      </c>
      <c r="AA475" s="65"/>
      <c r="AB475" s="66"/>
      <c r="AC475" s="567" t="s">
        <v>765</v>
      </c>
      <c r="AG475" s="75"/>
      <c r="AJ475" s="79"/>
      <c r="AK475" s="79">
        <v>0</v>
      </c>
      <c r="BB475" s="568" t="s">
        <v>1</v>
      </c>
      <c r="BM475" s="75">
        <f t="shared" si="59"/>
        <v>0</v>
      </c>
      <c r="BN475" s="75">
        <f t="shared" si="60"/>
        <v>0</v>
      </c>
      <c r="BO475" s="75">
        <f t="shared" si="61"/>
        <v>0</v>
      </c>
      <c r="BP475" s="75">
        <f t="shared" si="62"/>
        <v>0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4301031358</v>
      </c>
      <c r="D476" s="637">
        <v>4607091389531</v>
      </c>
      <c r="E476" s="638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64</v>
      </c>
      <c r="L476" s="35"/>
      <c r="M476" s="36" t="s">
        <v>65</v>
      </c>
      <c r="N476" s="36"/>
      <c r="O476" s="35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7"/>
      <c r="V476" s="37"/>
      <c r="W476" s="38" t="s">
        <v>66</v>
      </c>
      <c r="X476" s="56">
        <v>0</v>
      </c>
      <c r="Y476" s="53">
        <f t="shared" si="58"/>
        <v>0</v>
      </c>
      <c r="Z476" s="39" t="str">
        <f>IFERROR(IF(Y476=0,"",ROUNDUP(Y476/H476,0)*0.00502),"")</f>
        <v/>
      </c>
      <c r="AA476" s="65"/>
      <c r="AB476" s="66"/>
      <c r="AC476" s="569" t="s">
        <v>768</v>
      </c>
      <c r="AG476" s="75"/>
      <c r="AJ476" s="79"/>
      <c r="AK476" s="79">
        <v>0</v>
      </c>
      <c r="BB476" s="570" t="s">
        <v>1</v>
      </c>
      <c r="BM476" s="75">
        <f t="shared" si="59"/>
        <v>0</v>
      </c>
      <c r="BN476" s="75">
        <f t="shared" si="60"/>
        <v>0</v>
      </c>
      <c r="BO476" s="75">
        <f t="shared" si="61"/>
        <v>0</v>
      </c>
      <c r="BP476" s="75">
        <f t="shared" si="62"/>
        <v>0</v>
      </c>
    </row>
    <row r="477" spans="1:68" ht="37.5" hidden="1" customHeight="1" x14ac:dyDescent="0.25">
      <c r="A477" s="60" t="s">
        <v>769</v>
      </c>
      <c r="B477" s="60" t="s">
        <v>770</v>
      </c>
      <c r="C477" s="34">
        <v>4301031360</v>
      </c>
      <c r="D477" s="637">
        <v>4607091384345</v>
      </c>
      <c r="E477" s="63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64</v>
      </c>
      <c r="L477" s="35"/>
      <c r="M477" s="36" t="s">
        <v>65</v>
      </c>
      <c r="N477" s="36"/>
      <c r="O477" s="35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7"/>
      <c r="V477" s="37"/>
      <c r="W477" s="38" t="s">
        <v>66</v>
      </c>
      <c r="X477" s="56">
        <v>0</v>
      </c>
      <c r="Y477" s="53">
        <f t="shared" si="58"/>
        <v>0</v>
      </c>
      <c r="Z477" s="39" t="str">
        <f>IFERROR(IF(Y477=0,"",ROUNDUP(Y477/H477,0)*0.00502),"")</f>
        <v/>
      </c>
      <c r="AA477" s="65"/>
      <c r="AB477" s="66"/>
      <c r="AC477" s="571" t="s">
        <v>765</v>
      </c>
      <c r="AG477" s="75"/>
      <c r="AJ477" s="79"/>
      <c r="AK477" s="79">
        <v>0</v>
      </c>
      <c r="BB477" s="572" t="s">
        <v>1</v>
      </c>
      <c r="BM477" s="75">
        <f t="shared" si="59"/>
        <v>0</v>
      </c>
      <c r="BN477" s="75">
        <f t="shared" si="60"/>
        <v>0</v>
      </c>
      <c r="BO477" s="75">
        <f t="shared" si="61"/>
        <v>0</v>
      </c>
      <c r="BP477" s="75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71</v>
      </c>
      <c r="Q478" s="642"/>
      <c r="R478" s="642"/>
      <c r="S478" s="642"/>
      <c r="T478" s="642"/>
      <c r="U478" s="642"/>
      <c r="V478" s="643"/>
      <c r="W478" s="40" t="s">
        <v>72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71</v>
      </c>
      <c r="Q479" s="642"/>
      <c r="R479" s="642"/>
      <c r="S479" s="642"/>
      <c r="T479" s="642"/>
      <c r="U479" s="642"/>
      <c r="V479" s="643"/>
      <c r="W479" s="40" t="s">
        <v>66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4" t="s">
        <v>73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3"/>
      <c r="AB480" s="63"/>
      <c r="AC480" s="63"/>
    </row>
    <row r="481" spans="1:68" ht="27" hidden="1" customHeight="1" x14ac:dyDescent="0.25">
      <c r="A481" s="60" t="s">
        <v>771</v>
      </c>
      <c r="B481" s="60" t="s">
        <v>772</v>
      </c>
      <c r="C481" s="34">
        <v>4301051284</v>
      </c>
      <c r="D481" s="637">
        <v>4607091384352</v>
      </c>
      <c r="E481" s="638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122</v>
      </c>
      <c r="L481" s="35"/>
      <c r="M481" s="36" t="s">
        <v>77</v>
      </c>
      <c r="N481" s="36"/>
      <c r="O481" s="35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7"/>
      <c r="V481" s="37"/>
      <c r="W481" s="38" t="s">
        <v>66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/>
      <c r="AB481" s="66"/>
      <c r="AC481" s="573" t="s">
        <v>773</v>
      </c>
      <c r="AG481" s="75"/>
      <c r="AJ481" s="79"/>
      <c r="AK481" s="79">
        <v>0</v>
      </c>
      <c r="BB481" s="574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774</v>
      </c>
      <c r="B482" s="60" t="s">
        <v>775</v>
      </c>
      <c r="C482" s="34">
        <v>4301051431</v>
      </c>
      <c r="D482" s="637">
        <v>4607091389654</v>
      </c>
      <c r="E482" s="638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76</v>
      </c>
      <c r="L482" s="35"/>
      <c r="M482" s="36" t="s">
        <v>77</v>
      </c>
      <c r="N482" s="36"/>
      <c r="O482" s="35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7"/>
      <c r="V482" s="37"/>
      <c r="W482" s="38" t="s">
        <v>66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/>
      <c r="AB482" s="66"/>
      <c r="AC482" s="575" t="s">
        <v>776</v>
      </c>
      <c r="AG482" s="75"/>
      <c r="AJ482" s="79"/>
      <c r="AK482" s="79">
        <v>0</v>
      </c>
      <c r="BB482" s="576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71</v>
      </c>
      <c r="Q483" s="642"/>
      <c r="R483" s="642"/>
      <c r="S483" s="642"/>
      <c r="T483" s="642"/>
      <c r="U483" s="642"/>
      <c r="V483" s="643"/>
      <c r="W483" s="40" t="s">
        <v>72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71</v>
      </c>
      <c r="Q484" s="642"/>
      <c r="R484" s="642"/>
      <c r="S484" s="642"/>
      <c r="T484" s="642"/>
      <c r="U484" s="642"/>
      <c r="V484" s="643"/>
      <c r="W484" s="40" t="s">
        <v>66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39" t="s">
        <v>777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"/>
      <c r="AB485" s="62"/>
      <c r="AC485" s="62"/>
    </row>
    <row r="486" spans="1:68" ht="14.25" hidden="1" customHeight="1" x14ac:dyDescent="0.25">
      <c r="A486" s="644" t="s">
        <v>146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3"/>
      <c r="AB486" s="63"/>
      <c r="AC486" s="63"/>
    </row>
    <row r="487" spans="1:68" ht="27" hidden="1" customHeight="1" x14ac:dyDescent="0.25">
      <c r="A487" s="60" t="s">
        <v>778</v>
      </c>
      <c r="B487" s="60" t="s">
        <v>779</v>
      </c>
      <c r="C487" s="34">
        <v>4301020416</v>
      </c>
      <c r="D487" s="637">
        <v>4680115885240</v>
      </c>
      <c r="E487" s="638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76</v>
      </c>
      <c r="L487" s="35"/>
      <c r="M487" s="36" t="s">
        <v>65</v>
      </c>
      <c r="N487" s="36"/>
      <c r="O487" s="35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7"/>
      <c r="V487" s="37"/>
      <c r="W487" s="38" t="s">
        <v>66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/>
      <c r="AB487" s="66"/>
      <c r="AC487" s="577" t="s">
        <v>780</v>
      </c>
      <c r="AG487" s="75"/>
      <c r="AJ487" s="79"/>
      <c r="AK487" s="79">
        <v>0</v>
      </c>
      <c r="BB487" s="578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71</v>
      </c>
      <c r="Q488" s="642"/>
      <c r="R488" s="642"/>
      <c r="S488" s="642"/>
      <c r="T488" s="642"/>
      <c r="U488" s="642"/>
      <c r="V488" s="643"/>
      <c r="W488" s="40" t="s">
        <v>72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71</v>
      </c>
      <c r="Q489" s="642"/>
      <c r="R489" s="642"/>
      <c r="S489" s="642"/>
      <c r="T489" s="642"/>
      <c r="U489" s="642"/>
      <c r="V489" s="643"/>
      <c r="W489" s="40" t="s">
        <v>66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4" t="s">
        <v>61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3"/>
      <c r="AB490" s="63"/>
      <c r="AC490" s="63"/>
    </row>
    <row r="491" spans="1:68" ht="27" hidden="1" customHeight="1" x14ac:dyDescent="0.25">
      <c r="A491" s="60" t="s">
        <v>781</v>
      </c>
      <c r="B491" s="60" t="s">
        <v>782</v>
      </c>
      <c r="C491" s="34">
        <v>4301031407</v>
      </c>
      <c r="D491" s="637">
        <v>4680115886094</v>
      </c>
      <c r="E491" s="638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122</v>
      </c>
      <c r="L491" s="35"/>
      <c r="M491" s="36" t="s">
        <v>65</v>
      </c>
      <c r="N491" s="36"/>
      <c r="O491" s="35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7"/>
      <c r="V491" s="37"/>
      <c r="W491" s="38" t="s">
        <v>66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/>
      <c r="AB491" s="66"/>
      <c r="AC491" s="579" t="s">
        <v>783</v>
      </c>
      <c r="AG491" s="75"/>
      <c r="AJ491" s="79"/>
      <c r="AK491" s="79">
        <v>0</v>
      </c>
      <c r="BB491" s="580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784</v>
      </c>
      <c r="B492" s="60" t="s">
        <v>785</v>
      </c>
      <c r="C492" s="34">
        <v>4301031373</v>
      </c>
      <c r="D492" s="637">
        <v>4680115880771</v>
      </c>
      <c r="E492" s="638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64</v>
      </c>
      <c r="L492" s="35"/>
      <c r="M492" s="36" t="s">
        <v>65</v>
      </c>
      <c r="N492" s="36"/>
      <c r="O492" s="35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7"/>
      <c r="V492" s="37"/>
      <c r="W492" s="38" t="s">
        <v>66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/>
      <c r="AB492" s="66"/>
      <c r="AC492" s="581" t="s">
        <v>786</v>
      </c>
      <c r="AG492" s="75"/>
      <c r="AJ492" s="79"/>
      <c r="AK492" s="79">
        <v>0</v>
      </c>
      <c r="BB492" s="582" t="s">
        <v>1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787</v>
      </c>
      <c r="B493" s="60" t="s">
        <v>788</v>
      </c>
      <c r="C493" s="34">
        <v>4301031359</v>
      </c>
      <c r="D493" s="637">
        <v>4607091389500</v>
      </c>
      <c r="E493" s="638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64</v>
      </c>
      <c r="L493" s="35"/>
      <c r="M493" s="36" t="s">
        <v>65</v>
      </c>
      <c r="N493" s="36"/>
      <c r="O493" s="35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7"/>
      <c r="V493" s="37"/>
      <c r="W493" s="38" t="s">
        <v>66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/>
      <c r="AB493" s="66"/>
      <c r="AC493" s="583" t="s">
        <v>786</v>
      </c>
      <c r="AG493" s="75"/>
      <c r="AJ493" s="79"/>
      <c r="AK493" s="79">
        <v>0</v>
      </c>
      <c r="BB493" s="584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71</v>
      </c>
      <c r="Q494" s="642"/>
      <c r="R494" s="642"/>
      <c r="S494" s="642"/>
      <c r="T494" s="642"/>
      <c r="U494" s="642"/>
      <c r="V494" s="643"/>
      <c r="W494" s="40" t="s">
        <v>72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71</v>
      </c>
      <c r="Q495" s="642"/>
      <c r="R495" s="642"/>
      <c r="S495" s="642"/>
      <c r="T495" s="642"/>
      <c r="U495" s="642"/>
      <c r="V495" s="643"/>
      <c r="W495" s="40" t="s">
        <v>66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8" t="s">
        <v>789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52"/>
      <c r="AB496" s="52"/>
      <c r="AC496" s="52"/>
    </row>
    <row r="497" spans="1:68" ht="16.5" hidden="1" customHeight="1" x14ac:dyDescent="0.25">
      <c r="A497" s="639" t="s">
        <v>789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"/>
      <c r="AB497" s="62"/>
      <c r="AC497" s="62"/>
    </row>
    <row r="498" spans="1:68" ht="14.25" hidden="1" customHeight="1" x14ac:dyDescent="0.25">
      <c r="A498" s="644" t="s">
        <v>110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3"/>
      <c r="AB498" s="63"/>
      <c r="AC498" s="63"/>
    </row>
    <row r="499" spans="1:68" ht="27" hidden="1" customHeight="1" x14ac:dyDescent="0.25">
      <c r="A499" s="60" t="s">
        <v>790</v>
      </c>
      <c r="B499" s="60" t="s">
        <v>791</v>
      </c>
      <c r="C499" s="34">
        <v>4301011769</v>
      </c>
      <c r="D499" s="637">
        <v>4607091389067</v>
      </c>
      <c r="E499" s="638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113</v>
      </c>
      <c r="L499" s="35"/>
      <c r="M499" s="36" t="s">
        <v>77</v>
      </c>
      <c r="N499" s="36"/>
      <c r="O499" s="35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7"/>
      <c r="V499" s="37"/>
      <c r="W499" s="38" t="s">
        <v>66</v>
      </c>
      <c r="X499" s="56">
        <v>0</v>
      </c>
      <c r="Y499" s="53">
        <f t="shared" ref="Y499:Y507" si="63">IFERROR(IF(X499="",0,CEILING((X499/$H499),1)*$H499),"")</f>
        <v>0</v>
      </c>
      <c r="Z499" s="39" t="str">
        <f t="shared" ref="Z499:Z504" si="64">IFERROR(IF(Y499=0,"",ROUNDUP(Y499/H499,0)*0.01196),"")</f>
        <v/>
      </c>
      <c r="AA499" s="65"/>
      <c r="AB499" s="66"/>
      <c r="AC499" s="585" t="s">
        <v>115</v>
      </c>
      <c r="AG499" s="75"/>
      <c r="AJ499" s="79"/>
      <c r="AK499" s="79">
        <v>0</v>
      </c>
      <c r="BB499" s="586" t="s">
        <v>1</v>
      </c>
      <c r="BM499" s="75">
        <f t="shared" ref="BM499:BM507" si="65">IFERROR(X499*I499/H499,"0")</f>
        <v>0</v>
      </c>
      <c r="BN499" s="75">
        <f t="shared" ref="BN499:BN507" si="66">IFERROR(Y499*I499/H499,"0")</f>
        <v>0</v>
      </c>
      <c r="BO499" s="75">
        <f t="shared" ref="BO499:BO507" si="67">IFERROR(1/J499*(X499/H499),"0")</f>
        <v>0</v>
      </c>
      <c r="BP499" s="75">
        <f t="shared" ref="BP499:BP507" si="68">IFERROR(1/J499*(Y499/H499),"0")</f>
        <v>0</v>
      </c>
    </row>
    <row r="500" spans="1:68" ht="16.5" hidden="1" customHeight="1" x14ac:dyDescent="0.25">
      <c r="A500" s="60" t="s">
        <v>792</v>
      </c>
      <c r="B500" s="60" t="s">
        <v>793</v>
      </c>
      <c r="C500" s="34">
        <v>4301012380</v>
      </c>
      <c r="D500" s="637">
        <v>4680115889576</v>
      </c>
      <c r="E500" s="638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113</v>
      </c>
      <c r="L500" s="35"/>
      <c r="M500" s="36" t="s">
        <v>114</v>
      </c>
      <c r="N500" s="36"/>
      <c r="O500" s="35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7"/>
      <c r="V500" s="37"/>
      <c r="W500" s="38" t="s">
        <v>66</v>
      </c>
      <c r="X500" s="56">
        <v>0</v>
      </c>
      <c r="Y500" s="53">
        <f t="shared" si="63"/>
        <v>0</v>
      </c>
      <c r="Z500" s="39" t="str">
        <f t="shared" si="64"/>
        <v/>
      </c>
      <c r="AA500" s="65"/>
      <c r="AB500" s="66"/>
      <c r="AC500" s="587" t="s">
        <v>794</v>
      </c>
      <c r="AG500" s="75"/>
      <c r="AJ500" s="79"/>
      <c r="AK500" s="79">
        <v>0</v>
      </c>
      <c r="BB500" s="588" t="s">
        <v>1</v>
      </c>
      <c r="BM500" s="75">
        <f t="shared" si="65"/>
        <v>0</v>
      </c>
      <c r="BN500" s="75">
        <f t="shared" si="66"/>
        <v>0</v>
      </c>
      <c r="BO500" s="75">
        <f t="shared" si="67"/>
        <v>0</v>
      </c>
      <c r="BP500" s="75">
        <f t="shared" si="68"/>
        <v>0</v>
      </c>
    </row>
    <row r="501" spans="1:68" ht="27" hidden="1" customHeight="1" x14ac:dyDescent="0.25">
      <c r="A501" s="60" t="s">
        <v>795</v>
      </c>
      <c r="B501" s="60" t="s">
        <v>796</v>
      </c>
      <c r="C501" s="34">
        <v>4301011961</v>
      </c>
      <c r="D501" s="637">
        <v>4680115885271</v>
      </c>
      <c r="E501" s="638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113</v>
      </c>
      <c r="L501" s="35"/>
      <c r="M501" s="36" t="s">
        <v>114</v>
      </c>
      <c r="N501" s="36"/>
      <c r="O501" s="35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7"/>
      <c r="V501" s="37"/>
      <c r="W501" s="38" t="s">
        <v>66</v>
      </c>
      <c r="X501" s="56">
        <v>0</v>
      </c>
      <c r="Y501" s="53">
        <f t="shared" si="63"/>
        <v>0</v>
      </c>
      <c r="Z501" s="39" t="str">
        <f t="shared" si="64"/>
        <v/>
      </c>
      <c r="AA501" s="65"/>
      <c r="AB501" s="66"/>
      <c r="AC501" s="589" t="s">
        <v>797</v>
      </c>
      <c r="AG501" s="75"/>
      <c r="AJ501" s="79"/>
      <c r="AK501" s="79">
        <v>0</v>
      </c>
      <c r="BB501" s="590" t="s">
        <v>1</v>
      </c>
      <c r="BM501" s="75">
        <f t="shared" si="65"/>
        <v>0</v>
      </c>
      <c r="BN501" s="75">
        <f t="shared" si="66"/>
        <v>0</v>
      </c>
      <c r="BO501" s="75">
        <f t="shared" si="67"/>
        <v>0</v>
      </c>
      <c r="BP501" s="75">
        <f t="shared" si="68"/>
        <v>0</v>
      </c>
    </row>
    <row r="502" spans="1:68" ht="27" customHeight="1" x14ac:dyDescent="0.25">
      <c r="A502" s="60" t="s">
        <v>798</v>
      </c>
      <c r="B502" s="60" t="s">
        <v>799</v>
      </c>
      <c r="C502" s="34">
        <v>4301011369</v>
      </c>
      <c r="D502" s="637">
        <v>4680115885226</v>
      </c>
      <c r="E502" s="63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113</v>
      </c>
      <c r="L502" s="35"/>
      <c r="M502" s="36" t="s">
        <v>114</v>
      </c>
      <c r="N502" s="36"/>
      <c r="O502" s="35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7"/>
      <c r="V502" s="37"/>
      <c r="W502" s="38" t="s">
        <v>66</v>
      </c>
      <c r="X502" s="56">
        <v>100</v>
      </c>
      <c r="Y502" s="53">
        <f t="shared" si="63"/>
        <v>100.32000000000001</v>
      </c>
      <c r="Z502" s="39">
        <f t="shared" si="64"/>
        <v>0.22724</v>
      </c>
      <c r="AA502" s="65"/>
      <c r="AB502" s="66"/>
      <c r="AC502" s="591" t="s">
        <v>800</v>
      </c>
      <c r="AG502" s="75"/>
      <c r="AJ502" s="79"/>
      <c r="AK502" s="79">
        <v>0</v>
      </c>
      <c r="BB502" s="592" t="s">
        <v>1</v>
      </c>
      <c r="BM502" s="75">
        <f t="shared" si="65"/>
        <v>106.62878787878788</v>
      </c>
      <c r="BN502" s="75">
        <f t="shared" si="66"/>
        <v>106.97</v>
      </c>
      <c r="BO502" s="75">
        <f t="shared" si="67"/>
        <v>0.18210955710955709</v>
      </c>
      <c r="BP502" s="75">
        <f t="shared" si="68"/>
        <v>0.18269230769230771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4301011797</v>
      </c>
      <c r="D503" s="637">
        <v>4680115884502</v>
      </c>
      <c r="E503" s="63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113</v>
      </c>
      <c r="L503" s="35"/>
      <c r="M503" s="36" t="s">
        <v>77</v>
      </c>
      <c r="N503" s="36"/>
      <c r="O503" s="35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7"/>
      <c r="V503" s="37"/>
      <c r="W503" s="38" t="s">
        <v>66</v>
      </c>
      <c r="X503" s="56">
        <v>0</v>
      </c>
      <c r="Y503" s="53">
        <f t="shared" si="63"/>
        <v>0</v>
      </c>
      <c r="Z503" s="39" t="str">
        <f t="shared" si="64"/>
        <v/>
      </c>
      <c r="AA503" s="65"/>
      <c r="AB503" s="66"/>
      <c r="AC503" s="593" t="s">
        <v>803</v>
      </c>
      <c r="AG503" s="75"/>
      <c r="AJ503" s="79"/>
      <c r="AK503" s="79">
        <v>0</v>
      </c>
      <c r="BB503" s="594" t="s">
        <v>1</v>
      </c>
      <c r="BM503" s="75">
        <f t="shared" si="65"/>
        <v>0</v>
      </c>
      <c r="BN503" s="75">
        <f t="shared" si="66"/>
        <v>0</v>
      </c>
      <c r="BO503" s="75">
        <f t="shared" si="67"/>
        <v>0</v>
      </c>
      <c r="BP503" s="75">
        <f t="shared" si="68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4301011771</v>
      </c>
      <c r="D504" s="637">
        <v>4607091389104</v>
      </c>
      <c r="E504" s="63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113</v>
      </c>
      <c r="L504" s="35"/>
      <c r="M504" s="36" t="s">
        <v>114</v>
      </c>
      <c r="N504" s="36"/>
      <c r="O504" s="35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7"/>
      <c r="V504" s="37"/>
      <c r="W504" s="38" t="s">
        <v>66</v>
      </c>
      <c r="X504" s="56">
        <v>0</v>
      </c>
      <c r="Y504" s="53">
        <f t="shared" si="63"/>
        <v>0</v>
      </c>
      <c r="Z504" s="39" t="str">
        <f t="shared" si="64"/>
        <v/>
      </c>
      <c r="AA504" s="65"/>
      <c r="AB504" s="66"/>
      <c r="AC504" s="595" t="s">
        <v>806</v>
      </c>
      <c r="AG504" s="75"/>
      <c r="AJ504" s="79"/>
      <c r="AK504" s="79">
        <v>0</v>
      </c>
      <c r="BB504" s="596" t="s">
        <v>1</v>
      </c>
      <c r="BM504" s="75">
        <f t="shared" si="65"/>
        <v>0</v>
      </c>
      <c r="BN504" s="75">
        <f t="shared" si="66"/>
        <v>0</v>
      </c>
      <c r="BO504" s="75">
        <f t="shared" si="67"/>
        <v>0</v>
      </c>
      <c r="BP504" s="75">
        <f t="shared" si="68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4301012125</v>
      </c>
      <c r="D505" s="637">
        <v>4680115886391</v>
      </c>
      <c r="E505" s="638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76</v>
      </c>
      <c r="L505" s="35"/>
      <c r="M505" s="36" t="s">
        <v>77</v>
      </c>
      <c r="N505" s="36"/>
      <c r="O505" s="35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7"/>
      <c r="V505" s="37"/>
      <c r="W505" s="38" t="s">
        <v>66</v>
      </c>
      <c r="X505" s="56">
        <v>0</v>
      </c>
      <c r="Y505" s="53">
        <f t="shared" si="63"/>
        <v>0</v>
      </c>
      <c r="Z505" s="39" t="str">
        <f>IFERROR(IF(Y505=0,"",ROUNDUP(Y505/H505,0)*0.00651),"")</f>
        <v/>
      </c>
      <c r="AA505" s="65"/>
      <c r="AB505" s="66"/>
      <c r="AC505" s="597" t="s">
        <v>115</v>
      </c>
      <c r="AG505" s="75"/>
      <c r="AJ505" s="79"/>
      <c r="AK505" s="79">
        <v>0</v>
      </c>
      <c r="BB505" s="598" t="s">
        <v>1</v>
      </c>
      <c r="BM505" s="75">
        <f t="shared" si="65"/>
        <v>0</v>
      </c>
      <c r="BN505" s="75">
        <f t="shared" si="66"/>
        <v>0</v>
      </c>
      <c r="BO505" s="75">
        <f t="shared" si="67"/>
        <v>0</v>
      </c>
      <c r="BP505" s="75">
        <f t="shared" si="68"/>
        <v>0</v>
      </c>
    </row>
    <row r="506" spans="1:68" ht="27" hidden="1" customHeight="1" x14ac:dyDescent="0.25">
      <c r="A506" s="60" t="s">
        <v>809</v>
      </c>
      <c r="B506" s="60" t="s">
        <v>810</v>
      </c>
      <c r="C506" s="34">
        <v>4301012048</v>
      </c>
      <c r="D506" s="637">
        <v>4680115880603</v>
      </c>
      <c r="E506" s="638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122</v>
      </c>
      <c r="L506" s="35"/>
      <c r="M506" s="36" t="s">
        <v>77</v>
      </c>
      <c r="N506" s="36"/>
      <c r="O506" s="35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7"/>
      <c r="V506" s="37"/>
      <c r="W506" s="38" t="s">
        <v>66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9" t="s">
        <v>115</v>
      </c>
      <c r="AG506" s="75"/>
      <c r="AJ506" s="79"/>
      <c r="AK506" s="79">
        <v>0</v>
      </c>
      <c r="BB506" s="600" t="s">
        <v>1</v>
      </c>
      <c r="BM506" s="75">
        <f t="shared" si="65"/>
        <v>0</v>
      </c>
      <c r="BN506" s="75">
        <f t="shared" si="66"/>
        <v>0</v>
      </c>
      <c r="BO506" s="75">
        <f t="shared" si="67"/>
        <v>0</v>
      </c>
      <c r="BP506" s="75">
        <f t="shared" si="68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4301012034</v>
      </c>
      <c r="D507" s="637">
        <v>4607091389982</v>
      </c>
      <c r="E507" s="638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122</v>
      </c>
      <c r="L507" s="35"/>
      <c r="M507" s="36" t="s">
        <v>114</v>
      </c>
      <c r="N507" s="36"/>
      <c r="O507" s="35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7"/>
      <c r="V507" s="37"/>
      <c r="W507" s="38" t="s">
        <v>66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601" t="s">
        <v>806</v>
      </c>
      <c r="AG507" s="75"/>
      <c r="AJ507" s="79"/>
      <c r="AK507" s="79">
        <v>0</v>
      </c>
      <c r="BB507" s="602" t="s">
        <v>1</v>
      </c>
      <c r="BM507" s="75">
        <f t="shared" si="65"/>
        <v>0</v>
      </c>
      <c r="BN507" s="75">
        <f t="shared" si="66"/>
        <v>0</v>
      </c>
      <c r="BO507" s="75">
        <f t="shared" si="67"/>
        <v>0</v>
      </c>
      <c r="BP507" s="75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71</v>
      </c>
      <c r="Q508" s="642"/>
      <c r="R508" s="642"/>
      <c r="S508" s="642"/>
      <c r="T508" s="642"/>
      <c r="U508" s="642"/>
      <c r="V508" s="643"/>
      <c r="W508" s="40" t="s">
        <v>72</v>
      </c>
      <c r="X508" s="41">
        <f>IFERROR(X499/H499,"0")+IFERROR(X500/H500,"0")+IFERROR(X501/H501,"0")+IFERROR(X502/H502,"0")+IFERROR(X503/H503,"0")+IFERROR(X504/H504,"0")+IFERROR(X505/H505,"0")+IFERROR(X506/H506,"0")+IFERROR(X507/H507,"0")</f>
        <v>18.939393939393938</v>
      </c>
      <c r="Y508" s="41">
        <f>IFERROR(Y499/H499,"0")+IFERROR(Y500/H500,"0")+IFERROR(Y501/H501,"0")+IFERROR(Y502/H502,"0")+IFERROR(Y503/H503,"0")+IFERROR(Y504/H504,"0")+IFERROR(Y505/H505,"0")+IFERROR(Y506/H506,"0")+IFERROR(Y507/H507,"0")</f>
        <v>19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0.22724</v>
      </c>
      <c r="AA508" s="64"/>
      <c r="AB508" s="64"/>
      <c r="AC508" s="64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71</v>
      </c>
      <c r="Q509" s="642"/>
      <c r="R509" s="642"/>
      <c r="S509" s="642"/>
      <c r="T509" s="642"/>
      <c r="U509" s="642"/>
      <c r="V509" s="643"/>
      <c r="W509" s="40" t="s">
        <v>66</v>
      </c>
      <c r="X509" s="41">
        <f>IFERROR(SUM(X499:X507),"0")</f>
        <v>100</v>
      </c>
      <c r="Y509" s="41">
        <f>IFERROR(SUM(Y499:Y507),"0")</f>
        <v>100.32000000000001</v>
      </c>
      <c r="Z509" s="40"/>
      <c r="AA509" s="64"/>
      <c r="AB509" s="64"/>
      <c r="AC509" s="64"/>
    </row>
    <row r="510" spans="1:68" ht="14.25" hidden="1" customHeight="1" x14ac:dyDescent="0.25">
      <c r="A510" s="644" t="s">
        <v>146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3"/>
      <c r="AB510" s="63"/>
      <c r="AC510" s="63"/>
    </row>
    <row r="511" spans="1:68" ht="16.5" customHeight="1" x14ac:dyDescent="0.25">
      <c r="A511" s="60" t="s">
        <v>813</v>
      </c>
      <c r="B511" s="60" t="s">
        <v>814</v>
      </c>
      <c r="C511" s="34">
        <v>4301020334</v>
      </c>
      <c r="D511" s="637">
        <v>4607091388930</v>
      </c>
      <c r="E511" s="63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113</v>
      </c>
      <c r="L511" s="35"/>
      <c r="M511" s="36" t="s">
        <v>77</v>
      </c>
      <c r="N511" s="36"/>
      <c r="O511" s="35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7"/>
      <c r="V511" s="37"/>
      <c r="W511" s="38" t="s">
        <v>66</v>
      </c>
      <c r="X511" s="56">
        <v>200</v>
      </c>
      <c r="Y511" s="53">
        <f>IFERROR(IF(X511="",0,CEILING((X511/$H511),1)*$H511),"")</f>
        <v>200.64000000000001</v>
      </c>
      <c r="Z511" s="39">
        <f>IFERROR(IF(Y511=0,"",ROUNDUP(Y511/H511,0)*0.01196),"")</f>
        <v>0.45448</v>
      </c>
      <c r="AA511" s="65"/>
      <c r="AB511" s="66"/>
      <c r="AC511" s="603" t="s">
        <v>815</v>
      </c>
      <c r="AG511" s="75"/>
      <c r="AJ511" s="79"/>
      <c r="AK511" s="79">
        <v>0</v>
      </c>
      <c r="BB511" s="604" t="s">
        <v>1</v>
      </c>
      <c r="BM511" s="75">
        <f>IFERROR(X511*I511/H511,"0")</f>
        <v>213.25757575757575</v>
      </c>
      <c r="BN511" s="75">
        <f>IFERROR(Y511*I511/H511,"0")</f>
        <v>213.94</v>
      </c>
      <c r="BO511" s="75">
        <f>IFERROR(1/J511*(X511/H511),"0")</f>
        <v>0.36421911421911418</v>
      </c>
      <c r="BP511" s="75">
        <f>IFERROR(1/J511*(Y511/H511),"0")</f>
        <v>0.36538461538461542</v>
      </c>
    </row>
    <row r="512" spans="1:68" ht="16.5" hidden="1" customHeight="1" x14ac:dyDescent="0.25">
      <c r="A512" s="60" t="s">
        <v>816</v>
      </c>
      <c r="B512" s="60" t="s">
        <v>817</v>
      </c>
      <c r="C512" s="34">
        <v>4301020374</v>
      </c>
      <c r="D512" s="637">
        <v>4680115886407</v>
      </c>
      <c r="E512" s="638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76</v>
      </c>
      <c r="L512" s="35"/>
      <c r="M512" s="36" t="s">
        <v>114</v>
      </c>
      <c r="N512" s="36"/>
      <c r="O512" s="35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7"/>
      <c r="V512" s="37"/>
      <c r="W512" s="38" t="s">
        <v>66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/>
      <c r="AB512" s="66"/>
      <c r="AC512" s="605" t="s">
        <v>815</v>
      </c>
      <c r="AG512" s="75"/>
      <c r="AJ512" s="79"/>
      <c r="AK512" s="79">
        <v>0</v>
      </c>
      <c r="BB512" s="606" t="s">
        <v>1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818</v>
      </c>
      <c r="B513" s="60" t="s">
        <v>819</v>
      </c>
      <c r="C513" s="34">
        <v>4301020385</v>
      </c>
      <c r="D513" s="637">
        <v>4680115880054</v>
      </c>
      <c r="E513" s="638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122</v>
      </c>
      <c r="L513" s="35"/>
      <c r="M513" s="36" t="s">
        <v>114</v>
      </c>
      <c r="N513" s="36"/>
      <c r="O513" s="35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7"/>
      <c r="V513" s="37"/>
      <c r="W513" s="38" t="s">
        <v>66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/>
      <c r="AB513" s="66"/>
      <c r="AC513" s="607" t="s">
        <v>815</v>
      </c>
      <c r="AG513" s="75"/>
      <c r="AJ513" s="79"/>
      <c r="AK513" s="79">
        <v>0</v>
      </c>
      <c r="BB513" s="60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71</v>
      </c>
      <c r="Q514" s="642"/>
      <c r="R514" s="642"/>
      <c r="S514" s="642"/>
      <c r="T514" s="642"/>
      <c r="U514" s="642"/>
      <c r="V514" s="643"/>
      <c r="W514" s="40" t="s">
        <v>72</v>
      </c>
      <c r="X514" s="41">
        <f>IFERROR(X511/H511,"0")+IFERROR(X512/H512,"0")+IFERROR(X513/H513,"0")</f>
        <v>37.878787878787875</v>
      </c>
      <c r="Y514" s="41">
        <f>IFERROR(Y511/H511,"0")+IFERROR(Y512/H512,"0")+IFERROR(Y513/H513,"0")</f>
        <v>38</v>
      </c>
      <c r="Z514" s="41">
        <f>IFERROR(IF(Z511="",0,Z511),"0")+IFERROR(IF(Z512="",0,Z512),"0")+IFERROR(IF(Z513="",0,Z513),"0")</f>
        <v>0.45448</v>
      </c>
      <c r="AA514" s="64"/>
      <c r="AB514" s="64"/>
      <c r="AC514" s="64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71</v>
      </c>
      <c r="Q515" s="642"/>
      <c r="R515" s="642"/>
      <c r="S515" s="642"/>
      <c r="T515" s="642"/>
      <c r="U515" s="642"/>
      <c r="V515" s="643"/>
      <c r="W515" s="40" t="s">
        <v>66</v>
      </c>
      <c r="X515" s="41">
        <f>IFERROR(SUM(X511:X513),"0")</f>
        <v>200</v>
      </c>
      <c r="Y515" s="41">
        <f>IFERROR(SUM(Y511:Y513),"0")</f>
        <v>200.64000000000001</v>
      </c>
      <c r="Z515" s="40"/>
      <c r="AA515" s="64"/>
      <c r="AB515" s="64"/>
      <c r="AC515" s="64"/>
    </row>
    <row r="516" spans="1:68" ht="14.25" hidden="1" customHeight="1" x14ac:dyDescent="0.25">
      <c r="A516" s="644" t="s">
        <v>61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3"/>
      <c r="AB516" s="63"/>
      <c r="AC516" s="63"/>
    </row>
    <row r="517" spans="1:68" ht="27" hidden="1" customHeight="1" x14ac:dyDescent="0.25">
      <c r="A517" s="60" t="s">
        <v>820</v>
      </c>
      <c r="B517" s="60" t="s">
        <v>821</v>
      </c>
      <c r="C517" s="34">
        <v>4301031349</v>
      </c>
      <c r="D517" s="637">
        <v>4680115883116</v>
      </c>
      <c r="E517" s="638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113</v>
      </c>
      <c r="L517" s="35"/>
      <c r="M517" s="36" t="s">
        <v>114</v>
      </c>
      <c r="N517" s="36"/>
      <c r="O517" s="35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7"/>
      <c r="V517" s="37"/>
      <c r="W517" s="38" t="s">
        <v>66</v>
      </c>
      <c r="X517" s="56">
        <v>0</v>
      </c>
      <c r="Y517" s="53">
        <f t="shared" ref="Y517:Y523" si="69">IFERROR(IF(X517="",0,CEILING((X517/$H517),1)*$H517),"")</f>
        <v>0</v>
      </c>
      <c r="Z517" s="39" t="str">
        <f>IFERROR(IF(Y517=0,"",ROUNDUP(Y517/H517,0)*0.01196),"")</f>
        <v/>
      </c>
      <c r="AA517" s="65"/>
      <c r="AB517" s="66"/>
      <c r="AC517" s="609" t="s">
        <v>822</v>
      </c>
      <c r="AG517" s="75"/>
      <c r="AJ517" s="79"/>
      <c r="AK517" s="79">
        <v>0</v>
      </c>
      <c r="BB517" s="610" t="s">
        <v>1</v>
      </c>
      <c r="BM517" s="75">
        <f t="shared" ref="BM517:BM523" si="70">IFERROR(X517*I517/H517,"0")</f>
        <v>0</v>
      </c>
      <c r="BN517" s="75">
        <f t="shared" ref="BN517:BN523" si="71">IFERROR(Y517*I517/H517,"0")</f>
        <v>0</v>
      </c>
      <c r="BO517" s="75">
        <f t="shared" ref="BO517:BO523" si="72">IFERROR(1/J517*(X517/H517),"0")</f>
        <v>0</v>
      </c>
      <c r="BP517" s="75">
        <f t="shared" ref="BP517:BP523" si="73">IFERROR(1/J517*(Y517/H517),"0")</f>
        <v>0</v>
      </c>
    </row>
    <row r="518" spans="1:68" ht="27" hidden="1" customHeight="1" x14ac:dyDescent="0.25">
      <c r="A518" s="60" t="s">
        <v>823</v>
      </c>
      <c r="B518" s="60" t="s">
        <v>824</v>
      </c>
      <c r="C518" s="34">
        <v>4301031350</v>
      </c>
      <c r="D518" s="637">
        <v>4680115883093</v>
      </c>
      <c r="E518" s="638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113</v>
      </c>
      <c r="L518" s="35"/>
      <c r="M518" s="36" t="s">
        <v>65</v>
      </c>
      <c r="N518" s="36"/>
      <c r="O518" s="35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7"/>
      <c r="V518" s="37"/>
      <c r="W518" s="38" t="s">
        <v>66</v>
      </c>
      <c r="X518" s="56">
        <v>0</v>
      </c>
      <c r="Y518" s="53">
        <f t="shared" si="69"/>
        <v>0</v>
      </c>
      <c r="Z518" s="39" t="str">
        <f>IFERROR(IF(Y518=0,"",ROUNDUP(Y518/H518,0)*0.01196),"")</f>
        <v/>
      </c>
      <c r="AA518" s="65"/>
      <c r="AB518" s="66"/>
      <c r="AC518" s="611" t="s">
        <v>825</v>
      </c>
      <c r="AG518" s="75"/>
      <c r="AJ518" s="79"/>
      <c r="AK518" s="79">
        <v>0</v>
      </c>
      <c r="BB518" s="612" t="s">
        <v>1</v>
      </c>
      <c r="BM518" s="75">
        <f t="shared" si="70"/>
        <v>0</v>
      </c>
      <c r="BN518" s="75">
        <f t="shared" si="71"/>
        <v>0</v>
      </c>
      <c r="BO518" s="75">
        <f t="shared" si="72"/>
        <v>0</v>
      </c>
      <c r="BP518" s="75">
        <f t="shared" si="73"/>
        <v>0</v>
      </c>
    </row>
    <row r="519" spans="1:68" ht="27" customHeight="1" x14ac:dyDescent="0.25">
      <c r="A519" s="60" t="s">
        <v>826</v>
      </c>
      <c r="B519" s="60" t="s">
        <v>827</v>
      </c>
      <c r="C519" s="34">
        <v>4301031353</v>
      </c>
      <c r="D519" s="637">
        <v>4680115883109</v>
      </c>
      <c r="E519" s="638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113</v>
      </c>
      <c r="L519" s="35"/>
      <c r="M519" s="36" t="s">
        <v>65</v>
      </c>
      <c r="N519" s="36"/>
      <c r="O519" s="35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7"/>
      <c r="V519" s="37"/>
      <c r="W519" s="38" t="s">
        <v>66</v>
      </c>
      <c r="X519" s="56">
        <v>50</v>
      </c>
      <c r="Y519" s="53">
        <f t="shared" si="69"/>
        <v>52.800000000000004</v>
      </c>
      <c r="Z519" s="39">
        <f>IFERROR(IF(Y519=0,"",ROUNDUP(Y519/H519,0)*0.01196),"")</f>
        <v>0.1196</v>
      </c>
      <c r="AA519" s="65"/>
      <c r="AB519" s="66"/>
      <c r="AC519" s="613" t="s">
        <v>828</v>
      </c>
      <c r="AG519" s="75"/>
      <c r="AJ519" s="79"/>
      <c r="AK519" s="79">
        <v>0</v>
      </c>
      <c r="BB519" s="614" t="s">
        <v>1</v>
      </c>
      <c r="BM519" s="75">
        <f t="shared" si="70"/>
        <v>53.314393939393938</v>
      </c>
      <c r="BN519" s="75">
        <f t="shared" si="71"/>
        <v>56.3</v>
      </c>
      <c r="BO519" s="75">
        <f t="shared" si="72"/>
        <v>9.1054778554778545E-2</v>
      </c>
      <c r="BP519" s="75">
        <f t="shared" si="73"/>
        <v>9.6153846153846159E-2</v>
      </c>
    </row>
    <row r="520" spans="1:68" ht="27" hidden="1" customHeight="1" x14ac:dyDescent="0.25">
      <c r="A520" s="60" t="s">
        <v>829</v>
      </c>
      <c r="B520" s="60" t="s">
        <v>830</v>
      </c>
      <c r="C520" s="34">
        <v>4301031419</v>
      </c>
      <c r="D520" s="637">
        <v>4680115882072</v>
      </c>
      <c r="E520" s="638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122</v>
      </c>
      <c r="L520" s="35"/>
      <c r="M520" s="36" t="s">
        <v>114</v>
      </c>
      <c r="N520" s="36"/>
      <c r="O520" s="35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7"/>
      <c r="V520" s="37"/>
      <c r="W520" s="38" t="s">
        <v>66</v>
      </c>
      <c r="X520" s="56">
        <v>0</v>
      </c>
      <c r="Y520" s="53">
        <f t="shared" si="69"/>
        <v>0</v>
      </c>
      <c r="Z520" s="39" t="str">
        <f>IFERROR(IF(Y520=0,"",ROUNDUP(Y520/H520,0)*0.00902),"")</f>
        <v/>
      </c>
      <c r="AA520" s="65"/>
      <c r="AB520" s="66"/>
      <c r="AC520" s="615" t="s">
        <v>822</v>
      </c>
      <c r="AG520" s="75"/>
      <c r="AJ520" s="79"/>
      <c r="AK520" s="79">
        <v>0</v>
      </c>
      <c r="BB520" s="616" t="s">
        <v>1</v>
      </c>
      <c r="BM520" s="75">
        <f t="shared" si="70"/>
        <v>0</v>
      </c>
      <c r="BN520" s="75">
        <f t="shared" si="71"/>
        <v>0</v>
      </c>
      <c r="BO520" s="75">
        <f t="shared" si="72"/>
        <v>0</v>
      </c>
      <c r="BP520" s="75">
        <f t="shared" si="73"/>
        <v>0</v>
      </c>
    </row>
    <row r="521" spans="1:68" ht="27" hidden="1" customHeight="1" x14ac:dyDescent="0.25">
      <c r="A521" s="60" t="s">
        <v>831</v>
      </c>
      <c r="B521" s="60" t="s">
        <v>832</v>
      </c>
      <c r="C521" s="34">
        <v>4301031352</v>
      </c>
      <c r="D521" s="637">
        <v>4680115882102</v>
      </c>
      <c r="E521" s="638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122</v>
      </c>
      <c r="L521" s="35"/>
      <c r="M521" s="36" t="s">
        <v>65</v>
      </c>
      <c r="N521" s="36"/>
      <c r="O521" s="35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7"/>
      <c r="V521" s="37"/>
      <c r="W521" s="38" t="s">
        <v>66</v>
      </c>
      <c r="X521" s="56">
        <v>0</v>
      </c>
      <c r="Y521" s="53">
        <f t="shared" si="69"/>
        <v>0</v>
      </c>
      <c r="Z521" s="39" t="str">
        <f>IFERROR(IF(Y521=0,"",ROUNDUP(Y521/H521,0)*0.00902),"")</f>
        <v/>
      </c>
      <c r="AA521" s="65"/>
      <c r="AB521" s="66"/>
      <c r="AC521" s="617" t="s">
        <v>825</v>
      </c>
      <c r="AG521" s="75"/>
      <c r="AJ521" s="79"/>
      <c r="AK521" s="79">
        <v>0</v>
      </c>
      <c r="BB521" s="618" t="s">
        <v>1</v>
      </c>
      <c r="BM521" s="75">
        <f t="shared" si="70"/>
        <v>0</v>
      </c>
      <c r="BN521" s="75">
        <f t="shared" si="71"/>
        <v>0</v>
      </c>
      <c r="BO521" s="75">
        <f t="shared" si="72"/>
        <v>0</v>
      </c>
      <c r="BP521" s="75">
        <f t="shared" si="73"/>
        <v>0</v>
      </c>
    </row>
    <row r="522" spans="1:68" ht="27" hidden="1" customHeight="1" x14ac:dyDescent="0.25">
      <c r="A522" s="60" t="s">
        <v>831</v>
      </c>
      <c r="B522" s="60" t="s">
        <v>833</v>
      </c>
      <c r="C522" s="34">
        <v>4301031418</v>
      </c>
      <c r="D522" s="637">
        <v>4680115882102</v>
      </c>
      <c r="E522" s="638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122</v>
      </c>
      <c r="L522" s="35"/>
      <c r="M522" s="36" t="s">
        <v>65</v>
      </c>
      <c r="N522" s="36"/>
      <c r="O522" s="35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7"/>
      <c r="V522" s="37"/>
      <c r="W522" s="38" t="s">
        <v>66</v>
      </c>
      <c r="X522" s="56">
        <v>0</v>
      </c>
      <c r="Y522" s="53">
        <f t="shared" si="69"/>
        <v>0</v>
      </c>
      <c r="Z522" s="39" t="str">
        <f>IFERROR(IF(Y522=0,"",ROUNDUP(Y522/H522,0)*0.00902),"")</f>
        <v/>
      </c>
      <c r="AA522" s="65"/>
      <c r="AB522" s="66"/>
      <c r="AC522" s="619" t="s">
        <v>825</v>
      </c>
      <c r="AG522" s="75"/>
      <c r="AJ522" s="79"/>
      <c r="AK522" s="79">
        <v>0</v>
      </c>
      <c r="BB522" s="620" t="s">
        <v>1</v>
      </c>
      <c r="BM522" s="75">
        <f t="shared" si="70"/>
        <v>0</v>
      </c>
      <c r="BN522" s="75">
        <f t="shared" si="71"/>
        <v>0</v>
      </c>
      <c r="BO522" s="75">
        <f t="shared" si="72"/>
        <v>0</v>
      </c>
      <c r="BP522" s="75">
        <f t="shared" si="73"/>
        <v>0</v>
      </c>
    </row>
    <row r="523" spans="1:68" ht="27" hidden="1" customHeight="1" x14ac:dyDescent="0.25">
      <c r="A523" s="60" t="s">
        <v>834</v>
      </c>
      <c r="B523" s="60" t="s">
        <v>835</v>
      </c>
      <c r="C523" s="34">
        <v>4301031417</v>
      </c>
      <c r="D523" s="637">
        <v>4680115882096</v>
      </c>
      <c r="E523" s="638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122</v>
      </c>
      <c r="L523" s="35"/>
      <c r="M523" s="36" t="s">
        <v>65</v>
      </c>
      <c r="N523" s="36"/>
      <c r="O523" s="35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7"/>
      <c r="V523" s="37"/>
      <c r="W523" s="38" t="s">
        <v>66</v>
      </c>
      <c r="X523" s="56">
        <v>0</v>
      </c>
      <c r="Y523" s="53">
        <f t="shared" si="69"/>
        <v>0</v>
      </c>
      <c r="Z523" s="39" t="str">
        <f>IFERROR(IF(Y523=0,"",ROUNDUP(Y523/H523,0)*0.00902),"")</f>
        <v/>
      </c>
      <c r="AA523" s="65"/>
      <c r="AB523" s="66"/>
      <c r="AC523" s="621" t="s">
        <v>828</v>
      </c>
      <c r="AG523" s="75"/>
      <c r="AJ523" s="79"/>
      <c r="AK523" s="79">
        <v>0</v>
      </c>
      <c r="BB523" s="622" t="s">
        <v>1</v>
      </c>
      <c r="BM523" s="75">
        <f t="shared" si="70"/>
        <v>0</v>
      </c>
      <c r="BN523" s="75">
        <f t="shared" si="71"/>
        <v>0</v>
      </c>
      <c r="BO523" s="75">
        <f t="shared" si="72"/>
        <v>0</v>
      </c>
      <c r="BP523" s="75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71</v>
      </c>
      <c r="Q524" s="642"/>
      <c r="R524" s="642"/>
      <c r="S524" s="642"/>
      <c r="T524" s="642"/>
      <c r="U524" s="642"/>
      <c r="V524" s="643"/>
      <c r="W524" s="40" t="s">
        <v>72</v>
      </c>
      <c r="X524" s="41">
        <f>IFERROR(X517/H517,"0")+IFERROR(X518/H518,"0")+IFERROR(X519/H519,"0")+IFERROR(X520/H520,"0")+IFERROR(X521/H521,"0")+IFERROR(X522/H522,"0")+IFERROR(X523/H523,"0")</f>
        <v>9.4696969696969688</v>
      </c>
      <c r="Y524" s="41">
        <f>IFERROR(Y517/H517,"0")+IFERROR(Y518/H518,"0")+IFERROR(Y519/H519,"0")+IFERROR(Y520/H520,"0")+IFERROR(Y521/H521,"0")+IFERROR(Y522/H522,"0")+IFERROR(Y523/H523,"0")</f>
        <v>10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0.1196</v>
      </c>
      <c r="AA524" s="64"/>
      <c r="AB524" s="64"/>
      <c r="AC524" s="64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71</v>
      </c>
      <c r="Q525" s="642"/>
      <c r="R525" s="642"/>
      <c r="S525" s="642"/>
      <c r="T525" s="642"/>
      <c r="U525" s="642"/>
      <c r="V525" s="643"/>
      <c r="W525" s="40" t="s">
        <v>66</v>
      </c>
      <c r="X525" s="41">
        <f>IFERROR(SUM(X517:X523),"0")</f>
        <v>50</v>
      </c>
      <c r="Y525" s="41">
        <f>IFERROR(SUM(Y517:Y523),"0")</f>
        <v>52.800000000000004</v>
      </c>
      <c r="Z525" s="40"/>
      <c r="AA525" s="64"/>
      <c r="AB525" s="64"/>
      <c r="AC525" s="64"/>
    </row>
    <row r="526" spans="1:68" ht="27.75" hidden="1" customHeight="1" x14ac:dyDescent="0.2">
      <c r="A526" s="718" t="s">
        <v>836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52"/>
      <c r="AB526" s="52"/>
      <c r="AC526" s="52"/>
    </row>
    <row r="527" spans="1:68" ht="16.5" hidden="1" customHeight="1" x14ac:dyDescent="0.25">
      <c r="A527" s="639" t="s">
        <v>836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"/>
      <c r="AB527" s="62"/>
      <c r="AC527" s="62"/>
    </row>
    <row r="528" spans="1:68" ht="14.25" hidden="1" customHeight="1" x14ac:dyDescent="0.25">
      <c r="A528" s="644" t="s">
        <v>110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4301011584</v>
      </c>
      <c r="D529" s="637">
        <v>4640242180564</v>
      </c>
      <c r="E529" s="638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113</v>
      </c>
      <c r="L529" s="35"/>
      <c r="M529" s="36" t="s">
        <v>114</v>
      </c>
      <c r="N529" s="36"/>
      <c r="O529" s="35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7"/>
      <c r="V529" s="37"/>
      <c r="W529" s="38" t="s">
        <v>66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/>
      <c r="AB529" s="66"/>
      <c r="AC529" s="623" t="s">
        <v>839</v>
      </c>
      <c r="AG529" s="75"/>
      <c r="AJ529" s="79"/>
      <c r="AK529" s="79">
        <v>0</v>
      </c>
      <c r="BB529" s="624" t="s">
        <v>1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71</v>
      </c>
      <c r="Q530" s="642"/>
      <c r="R530" s="642"/>
      <c r="S530" s="642"/>
      <c r="T530" s="642"/>
      <c r="U530" s="642"/>
      <c r="V530" s="643"/>
      <c r="W530" s="40" t="s">
        <v>72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71</v>
      </c>
      <c r="Q531" s="642"/>
      <c r="R531" s="642"/>
      <c r="S531" s="642"/>
      <c r="T531" s="642"/>
      <c r="U531" s="642"/>
      <c r="V531" s="643"/>
      <c r="W531" s="40" t="s">
        <v>66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4" t="s">
        <v>146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4301020400</v>
      </c>
      <c r="D533" s="637">
        <v>4640242180519</v>
      </c>
      <c r="E533" s="638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113</v>
      </c>
      <c r="L533" s="35"/>
      <c r="M533" s="36" t="s">
        <v>114</v>
      </c>
      <c r="N533" s="36"/>
      <c r="O533" s="35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7"/>
      <c r="V533" s="37"/>
      <c r="W533" s="38" t="s">
        <v>66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25" t="s">
        <v>842</v>
      </c>
      <c r="AG533" s="75"/>
      <c r="AJ533" s="79"/>
      <c r="AK533" s="79">
        <v>0</v>
      </c>
      <c r="BB533" s="62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71</v>
      </c>
      <c r="Q534" s="642"/>
      <c r="R534" s="642"/>
      <c r="S534" s="642"/>
      <c r="T534" s="642"/>
      <c r="U534" s="642"/>
      <c r="V534" s="643"/>
      <c r="W534" s="40" t="s">
        <v>72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71</v>
      </c>
      <c r="Q535" s="642"/>
      <c r="R535" s="642"/>
      <c r="S535" s="642"/>
      <c r="T535" s="642"/>
      <c r="U535" s="642"/>
      <c r="V535" s="643"/>
      <c r="W535" s="40" t="s">
        <v>66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4" t="s">
        <v>61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3"/>
      <c r="AB536" s="63"/>
      <c r="AC536" s="63"/>
    </row>
    <row r="537" spans="1:68" ht="27" hidden="1" customHeight="1" x14ac:dyDescent="0.25">
      <c r="A537" s="60" t="s">
        <v>843</v>
      </c>
      <c r="B537" s="60" t="s">
        <v>844</v>
      </c>
      <c r="C537" s="34">
        <v>4301031500</v>
      </c>
      <c r="D537" s="637">
        <v>4640242180595</v>
      </c>
      <c r="E537" s="638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122</v>
      </c>
      <c r="L537" s="35"/>
      <c r="M537" s="36" t="s">
        <v>65</v>
      </c>
      <c r="N537" s="36"/>
      <c r="O537" s="35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7"/>
      <c r="V537" s="37"/>
      <c r="W537" s="38" t="s">
        <v>66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/>
      <c r="AB537" s="66"/>
      <c r="AC537" s="627" t="s">
        <v>845</v>
      </c>
      <c r="AG537" s="75"/>
      <c r="AJ537" s="79"/>
      <c r="AK537" s="79">
        <v>0</v>
      </c>
      <c r="BB537" s="628" t="s">
        <v>1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71</v>
      </c>
      <c r="Q538" s="642"/>
      <c r="R538" s="642"/>
      <c r="S538" s="642"/>
      <c r="T538" s="642"/>
      <c r="U538" s="642"/>
      <c r="V538" s="643"/>
      <c r="W538" s="40" t="s">
        <v>72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71</v>
      </c>
      <c r="Q539" s="642"/>
      <c r="R539" s="642"/>
      <c r="S539" s="642"/>
      <c r="T539" s="642"/>
      <c r="U539" s="642"/>
      <c r="V539" s="643"/>
      <c r="W539" s="40" t="s">
        <v>66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4" t="s">
        <v>73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3"/>
      <c r="AB540" s="63"/>
      <c r="AC540" s="63"/>
    </row>
    <row r="541" spans="1:68" ht="27" hidden="1" customHeight="1" x14ac:dyDescent="0.25">
      <c r="A541" s="60" t="s">
        <v>846</v>
      </c>
      <c r="B541" s="60" t="s">
        <v>847</v>
      </c>
      <c r="C541" s="34">
        <v>4301052043</v>
      </c>
      <c r="D541" s="637">
        <v>4640242180533</v>
      </c>
      <c r="E541" s="638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113</v>
      </c>
      <c r="L541" s="35"/>
      <c r="M541" s="36" t="s">
        <v>77</v>
      </c>
      <c r="N541" s="36"/>
      <c r="O541" s="35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7"/>
      <c r="V541" s="37"/>
      <c r="W541" s="38" t="s">
        <v>66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/>
      <c r="AB541" s="66"/>
      <c r="AC541" s="629" t="s">
        <v>848</v>
      </c>
      <c r="AG541" s="75"/>
      <c r="AJ541" s="79"/>
      <c r="AK541" s="79">
        <v>0</v>
      </c>
      <c r="BB541" s="630" t="s">
        <v>1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71</v>
      </c>
      <c r="Q542" s="642"/>
      <c r="R542" s="642"/>
      <c r="S542" s="642"/>
      <c r="T542" s="642"/>
      <c r="U542" s="642"/>
      <c r="V542" s="643"/>
      <c r="W542" s="40" t="s">
        <v>72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71</v>
      </c>
      <c r="Q543" s="642"/>
      <c r="R543" s="642"/>
      <c r="S543" s="642"/>
      <c r="T543" s="642"/>
      <c r="U543" s="642"/>
      <c r="V543" s="643"/>
      <c r="W543" s="40" t="s">
        <v>66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4" t="s">
        <v>163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3"/>
      <c r="AB544" s="63"/>
      <c r="AC544" s="63"/>
    </row>
    <row r="545" spans="1:68" ht="27" hidden="1" customHeight="1" x14ac:dyDescent="0.25">
      <c r="A545" s="60" t="s">
        <v>849</v>
      </c>
      <c r="B545" s="60" t="s">
        <v>850</v>
      </c>
      <c r="C545" s="34">
        <v>4301060535</v>
      </c>
      <c r="D545" s="637">
        <v>4640242180120</v>
      </c>
      <c r="E545" s="638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113</v>
      </c>
      <c r="L545" s="35"/>
      <c r="M545" s="36" t="s">
        <v>77</v>
      </c>
      <c r="N545" s="36"/>
      <c r="O545" s="35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7"/>
      <c r="V545" s="37"/>
      <c r="W545" s="38" t="s">
        <v>66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/>
      <c r="AB545" s="66"/>
      <c r="AC545" s="631" t="s">
        <v>851</v>
      </c>
      <c r="AG545" s="75"/>
      <c r="AJ545" s="79"/>
      <c r="AK545" s="79">
        <v>0</v>
      </c>
      <c r="BB545" s="632" t="s">
        <v>1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852</v>
      </c>
      <c r="B546" s="60" t="s">
        <v>853</v>
      </c>
      <c r="C546" s="34">
        <v>4301060536</v>
      </c>
      <c r="D546" s="637">
        <v>4640242180137</v>
      </c>
      <c r="E546" s="638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113</v>
      </c>
      <c r="L546" s="35"/>
      <c r="M546" s="36" t="s">
        <v>77</v>
      </c>
      <c r="N546" s="36"/>
      <c r="O546" s="35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7"/>
      <c r="V546" s="37"/>
      <c r="W546" s="38" t="s">
        <v>66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/>
      <c r="AB546" s="66"/>
      <c r="AC546" s="633" t="s">
        <v>854</v>
      </c>
      <c r="AG546" s="75"/>
      <c r="AJ546" s="79"/>
      <c r="AK546" s="79">
        <v>0</v>
      </c>
      <c r="BB546" s="634" t="s">
        <v>1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71</v>
      </c>
      <c r="Q547" s="642"/>
      <c r="R547" s="642"/>
      <c r="S547" s="642"/>
      <c r="T547" s="642"/>
      <c r="U547" s="642"/>
      <c r="V547" s="643"/>
      <c r="W547" s="40" t="s">
        <v>72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71</v>
      </c>
      <c r="Q548" s="642"/>
      <c r="R548" s="642"/>
      <c r="S548" s="642"/>
      <c r="T548" s="642"/>
      <c r="U548" s="642"/>
      <c r="V548" s="643"/>
      <c r="W548" s="40" t="s">
        <v>66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39" t="s">
        <v>855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"/>
      <c r="AB549" s="62"/>
      <c r="AC549" s="62"/>
    </row>
    <row r="550" spans="1:68" ht="14.25" hidden="1" customHeight="1" x14ac:dyDescent="0.25">
      <c r="A550" s="644" t="s">
        <v>146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3"/>
      <c r="AB550" s="63"/>
      <c r="AC550" s="63"/>
    </row>
    <row r="551" spans="1:68" ht="27" hidden="1" customHeight="1" x14ac:dyDescent="0.25">
      <c r="A551" s="60" t="s">
        <v>856</v>
      </c>
      <c r="B551" s="60" t="s">
        <v>857</v>
      </c>
      <c r="C551" s="34">
        <v>4301020428</v>
      </c>
      <c r="D551" s="637">
        <v>4640242180090</v>
      </c>
      <c r="E551" s="638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113</v>
      </c>
      <c r="L551" s="35"/>
      <c r="M551" s="36" t="s">
        <v>114</v>
      </c>
      <c r="N551" s="36"/>
      <c r="O551" s="35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7"/>
      <c r="V551" s="37"/>
      <c r="W551" s="38" t="s">
        <v>66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/>
      <c r="AB551" s="66"/>
      <c r="AC551" s="635" t="s">
        <v>858</v>
      </c>
      <c r="AG551" s="75"/>
      <c r="AJ551" s="79"/>
      <c r="AK551" s="79">
        <v>0</v>
      </c>
      <c r="BB551" s="636" t="s">
        <v>1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71</v>
      </c>
      <c r="Q552" s="642"/>
      <c r="R552" s="642"/>
      <c r="S552" s="642"/>
      <c r="T552" s="642"/>
      <c r="U552" s="642"/>
      <c r="V552" s="643"/>
      <c r="W552" s="40" t="s">
        <v>72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71</v>
      </c>
      <c r="Q553" s="642"/>
      <c r="R553" s="642"/>
      <c r="S553" s="642"/>
      <c r="T553" s="642"/>
      <c r="U553" s="642"/>
      <c r="V553" s="643"/>
      <c r="W553" s="40" t="s">
        <v>66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859</v>
      </c>
      <c r="Q554" s="664"/>
      <c r="R554" s="664"/>
      <c r="S554" s="664"/>
      <c r="T554" s="664"/>
      <c r="U554" s="664"/>
      <c r="V554" s="665"/>
      <c r="W554" s="40" t="s">
        <v>66</v>
      </c>
      <c r="X554" s="41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2340</v>
      </c>
      <c r="Y554" s="41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2369.1600000000003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860</v>
      </c>
      <c r="Q555" s="664"/>
      <c r="R555" s="664"/>
      <c r="S555" s="664"/>
      <c r="T555" s="664"/>
      <c r="U555" s="664"/>
      <c r="V555" s="665"/>
      <c r="W555" s="40" t="s">
        <v>66</v>
      </c>
      <c r="X555" s="41">
        <f>IFERROR(SUM(BM22:BM551),"0")</f>
        <v>2445.6016217732886</v>
      </c>
      <c r="Y555" s="41">
        <f>IFERROR(SUM(BN22:BN551),"0")</f>
        <v>2476.23</v>
      </c>
      <c r="Z555" s="40"/>
      <c r="AA555" s="64"/>
      <c r="AB555" s="64"/>
      <c r="AC555" s="64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861</v>
      </c>
      <c r="Q556" s="664"/>
      <c r="R556" s="664"/>
      <c r="S556" s="664"/>
      <c r="T556" s="664"/>
      <c r="U556" s="664"/>
      <c r="V556" s="665"/>
      <c r="W556" s="40" t="s">
        <v>862</v>
      </c>
      <c r="X556" s="42">
        <f>ROUNDUP(SUM(BO22:BO551),0)</f>
        <v>4</v>
      </c>
      <c r="Y556" s="42">
        <f>ROUNDUP(SUM(BP22:BP551),0)</f>
        <v>4</v>
      </c>
      <c r="Z556" s="40"/>
      <c r="AA556" s="64"/>
      <c r="AB556" s="64"/>
      <c r="AC556" s="64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863</v>
      </c>
      <c r="Q557" s="664"/>
      <c r="R557" s="664"/>
      <c r="S557" s="664"/>
      <c r="T557" s="664"/>
      <c r="U557" s="664"/>
      <c r="V557" s="665"/>
      <c r="W557" s="40" t="s">
        <v>66</v>
      </c>
      <c r="X557" s="41">
        <f>GrossWeightTotal+PalletQtyTotal*25</f>
        <v>2545.6016217732886</v>
      </c>
      <c r="Y557" s="41">
        <f>GrossWeightTotalR+PalletQtyTotalR*25</f>
        <v>2576.23</v>
      </c>
      <c r="Z557" s="40"/>
      <c r="AA557" s="64"/>
      <c r="AB557" s="64"/>
      <c r="AC557" s="64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864</v>
      </c>
      <c r="Q558" s="664"/>
      <c r="R558" s="664"/>
      <c r="S558" s="664"/>
      <c r="T558" s="664"/>
      <c r="U558" s="664"/>
      <c r="V558" s="665"/>
      <c r="W558" s="40" t="s">
        <v>862</v>
      </c>
      <c r="X558" s="41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239.75701459034792</v>
      </c>
      <c r="Y558" s="41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243</v>
      </c>
      <c r="Z558" s="40"/>
      <c r="AA558" s="64"/>
      <c r="AB558" s="64"/>
      <c r="AC558" s="64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865</v>
      </c>
      <c r="Q559" s="664"/>
      <c r="R559" s="664"/>
      <c r="S559" s="664"/>
      <c r="T559" s="664"/>
      <c r="U559" s="664"/>
      <c r="V559" s="665"/>
      <c r="W559" s="43" t="s">
        <v>866</v>
      </c>
      <c r="X559" s="40"/>
      <c r="Y559" s="40"/>
      <c r="Z559" s="40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4.3634000000000004</v>
      </c>
      <c r="AA559" s="64"/>
      <c r="AB559" s="64"/>
      <c r="AC559" s="64"/>
    </row>
    <row r="560" spans="1:68" ht="13.5" customHeight="1" thickBot="1" x14ac:dyDescent="0.25"/>
    <row r="561" spans="1:32" ht="27" customHeight="1" thickTop="1" thickBot="1" x14ac:dyDescent="0.25">
      <c r="A561" s="44" t="s">
        <v>867</v>
      </c>
      <c r="B561" s="80" t="s">
        <v>60</v>
      </c>
      <c r="C561" s="80" t="s">
        <v>91</v>
      </c>
      <c r="D561" s="700" t="s">
        <v>108</v>
      </c>
      <c r="E561" s="776"/>
      <c r="F561" s="776"/>
      <c r="G561" s="776"/>
      <c r="H561" s="776"/>
      <c r="I561" s="776"/>
      <c r="J561" s="726"/>
      <c r="K561" s="700" t="s">
        <v>341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687</v>
      </c>
      <c r="X561" s="726"/>
      <c r="Y561" s="700" t="s">
        <v>753</v>
      </c>
      <c r="Z561" s="726"/>
      <c r="AA561" s="80" t="s">
        <v>789</v>
      </c>
      <c r="AB561" s="700" t="s">
        <v>836</v>
      </c>
      <c r="AC561" s="726"/>
      <c r="AF561" s="1"/>
    </row>
    <row r="562" spans="1:32" ht="14.25" customHeight="1" thickTop="1" x14ac:dyDescent="0.2">
      <c r="A562" s="715" t="s">
        <v>868</v>
      </c>
      <c r="B562" s="700" t="s">
        <v>60</v>
      </c>
      <c r="C562" s="700" t="s">
        <v>92</v>
      </c>
      <c r="D562" s="700" t="s">
        <v>109</v>
      </c>
      <c r="E562" s="700" t="s">
        <v>125</v>
      </c>
      <c r="F562" s="700" t="s">
        <v>170</v>
      </c>
      <c r="G562" s="700" t="s">
        <v>191</v>
      </c>
      <c r="H562" s="700" t="s">
        <v>231</v>
      </c>
      <c r="I562" s="700" t="s">
        <v>255</v>
      </c>
      <c r="J562" s="700" t="s">
        <v>108</v>
      </c>
      <c r="K562" s="700" t="s">
        <v>342</v>
      </c>
      <c r="L562" s="700" t="s">
        <v>363</v>
      </c>
      <c r="M562" s="700" t="s">
        <v>430</v>
      </c>
      <c r="N562" s="1"/>
      <c r="O562" s="700" t="s">
        <v>498</v>
      </c>
      <c r="P562" s="700" t="s">
        <v>531</v>
      </c>
      <c r="Q562" s="700" t="s">
        <v>547</v>
      </c>
      <c r="R562" s="700" t="s">
        <v>556</v>
      </c>
      <c r="S562" s="700" t="s">
        <v>577</v>
      </c>
      <c r="T562" s="700" t="s">
        <v>586</v>
      </c>
      <c r="U562" s="700" t="s">
        <v>667</v>
      </c>
      <c r="V562" s="700" t="s">
        <v>677</v>
      </c>
      <c r="W562" s="700" t="s">
        <v>688</v>
      </c>
      <c r="X562" s="700" t="s">
        <v>737</v>
      </c>
      <c r="Y562" s="700" t="s">
        <v>754</v>
      </c>
      <c r="Z562" s="700" t="s">
        <v>777</v>
      </c>
      <c r="AA562" s="700" t="s">
        <v>789</v>
      </c>
      <c r="AB562" s="700" t="s">
        <v>836</v>
      </c>
      <c r="AC562" s="700" t="s">
        <v>855</v>
      </c>
      <c r="AF562" s="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1"/>
    </row>
    <row r="564" spans="1:32" ht="18" customHeight="1" thickTop="1" thickBot="1" x14ac:dyDescent="0.25">
      <c r="A564" s="44" t="s">
        <v>869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151.20000000000002</v>
      </c>
      <c r="E564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0">
        <f>IFERROR(Y84*1,"0")+IFERROR(Y85*1,"0")+IFERROR(Y86*1,"0")+IFERROR(Y87*1,"0")+IFERROR(Y91*1,"0")+IFERROR(Y92*1,"0")+IFERROR(Y93*1,"0")+IFERROR(Y94*1,"0")</f>
        <v>356.4</v>
      </c>
      <c r="G564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307.8</v>
      </c>
      <c r="H564" s="50">
        <f>IFERROR(Y129*1,"0")+IFERROR(Y130*1,"0")+IFERROR(Y131*1,"0")+IFERROR(Y135*1,"0")+IFERROR(Y136*1,"0")+IFERROR(Y137*1,"0")+IFERROR(Y138*1,"0")+IFERROR(Y142*1,"0")+IFERROR(Y143*1,"0")+IFERROR(Y144*1,"0")</f>
        <v>0</v>
      </c>
      <c r="I564" s="50">
        <f>IFERROR(Y149*1,"0")+IFERROR(Y150*1,"0")+IFERROR(Y151*1,"0")+IFERROR(Y152*1,"0")+IFERROR(Y153*1,"0")+IFERROR(Y154*1,"0")+IFERROR(Y155*1,"0")+IFERROR(Y159*1,"0")</f>
        <v>0</v>
      </c>
      <c r="J564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0">
        <f>IFERROR(Y206*1,"0")+IFERROR(Y207*1,"0")+IFERROR(Y208*1,"0")+IFERROR(Y209*1,"0")+IFERROR(Y210*1,"0")+IFERROR(Y211*1,"0")+IFERROR(Y212*1,"0")</f>
        <v>0</v>
      </c>
      <c r="L564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0">
        <f>IFERROR(Y324*1,"0")+IFERROR(Y325*1,"0")+IFERROR(Y326*1,"0")+IFERROR(Y327*1,"0")+IFERROR(Y328*1,"0")</f>
        <v>0</v>
      </c>
      <c r="Q564" s="50">
        <f>IFERROR(Y333*1,"0")+IFERROR(Y334*1,"0")+IFERROR(Y335*1,"0")</f>
        <v>0</v>
      </c>
      <c r="R564" s="50">
        <f>IFERROR(Y340*1,"0")+IFERROR(Y341*1,"0")+IFERROR(Y342*1,"0")+IFERROR(Y343*1,"0")+IFERROR(Y344*1,"0")+IFERROR(Y348*1,"0")+IFERROR(Y349*1,"0")</f>
        <v>0</v>
      </c>
      <c r="S564" s="50">
        <f>IFERROR(Y354*1,"0")+IFERROR(Y355*1,"0")+IFERROR(Y356*1,"0")</f>
        <v>0</v>
      </c>
      <c r="T564" s="50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1200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353.76000000000005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3,89"/>
        <filter val="150,00"/>
        <filter val="18,94"/>
        <filter val="2 340,00"/>
        <filter val="2 445,60"/>
        <filter val="2 545,60"/>
        <filter val="200,00"/>
        <filter val="23,33"/>
        <filter val="239,76"/>
        <filter val="240,00"/>
        <filter val="300,00"/>
        <filter val="350,00"/>
        <filter val="37,04"/>
        <filter val="37,88"/>
        <filter val="4"/>
        <filter val="43,21"/>
        <filter val="50,00"/>
        <filter val="56,00"/>
        <filter val="600,00"/>
        <filter val="840,00"/>
        <filter val="9,47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872</v>
      </c>
      <c r="C6" s="51" t="s">
        <v>873</v>
      </c>
      <c r="D6" s="51" t="s">
        <v>874</v>
      </c>
      <c r="E6" s="51"/>
    </row>
    <row r="7" spans="2:8" x14ac:dyDescent="0.2">
      <c r="B7" s="51" t="s">
        <v>875</v>
      </c>
      <c r="C7" s="51" t="s">
        <v>876</v>
      </c>
      <c r="D7" s="51" t="s">
        <v>877</v>
      </c>
      <c r="E7" s="51"/>
    </row>
    <row r="8" spans="2:8" x14ac:dyDescent="0.2">
      <c r="B8" s="51" t="s">
        <v>878</v>
      </c>
      <c r="C8" s="51" t="s">
        <v>879</v>
      </c>
      <c r="D8" s="51" t="s">
        <v>880</v>
      </c>
      <c r="E8" s="51"/>
    </row>
    <row r="9" spans="2:8" x14ac:dyDescent="0.2">
      <c r="B9" s="51" t="s">
        <v>881</v>
      </c>
      <c r="C9" s="51" t="s">
        <v>882</v>
      </c>
      <c r="D9" s="51" t="s">
        <v>883</v>
      </c>
      <c r="E9" s="51"/>
    </row>
    <row r="10" spans="2:8" x14ac:dyDescent="0.2">
      <c r="B10" s="51" t="s">
        <v>884</v>
      </c>
      <c r="C10" s="51" t="s">
        <v>885</v>
      </c>
      <c r="D10" s="51" t="s">
        <v>886</v>
      </c>
      <c r="E10" s="51"/>
    </row>
    <row r="11" spans="2:8" x14ac:dyDescent="0.2">
      <c r="B11" s="51" t="s">
        <v>887</v>
      </c>
      <c r="C11" s="51" t="s">
        <v>888</v>
      </c>
      <c r="D11" s="51" t="s">
        <v>889</v>
      </c>
      <c r="E11" s="51"/>
    </row>
    <row r="12" spans="2:8" x14ac:dyDescent="0.2">
      <c r="B12" s="51" t="s">
        <v>890</v>
      </c>
      <c r="C12" s="51" t="s">
        <v>891</v>
      </c>
      <c r="D12" s="51" t="s">
        <v>892</v>
      </c>
      <c r="E12" s="51"/>
    </row>
    <row r="14" spans="2:8" x14ac:dyDescent="0.2">
      <c r="B14" s="51" t="s">
        <v>893</v>
      </c>
      <c r="C14" s="51" t="s">
        <v>873</v>
      </c>
      <c r="D14" s="51"/>
      <c r="E14" s="51"/>
    </row>
    <row r="16" spans="2:8" x14ac:dyDescent="0.2">
      <c r="B16" s="51" t="s">
        <v>894</v>
      </c>
      <c r="C16" s="51" t="s">
        <v>876</v>
      </c>
      <c r="D16" s="51"/>
      <c r="E16" s="51"/>
    </row>
    <row r="18" spans="2:5" x14ac:dyDescent="0.2">
      <c r="B18" s="51" t="s">
        <v>895</v>
      </c>
      <c r="C18" s="51" t="s">
        <v>879</v>
      </c>
      <c r="D18" s="51"/>
      <c r="E18" s="51"/>
    </row>
    <row r="20" spans="2:5" x14ac:dyDescent="0.2">
      <c r="B20" s="51" t="s">
        <v>896</v>
      </c>
      <c r="C20" s="51" t="s">
        <v>882</v>
      </c>
      <c r="D20" s="51"/>
      <c r="E20" s="51"/>
    </row>
    <row r="22" spans="2:5" x14ac:dyDescent="0.2">
      <c r="B22" s="51" t="s">
        <v>897</v>
      </c>
      <c r="C22" s="51" t="s">
        <v>885</v>
      </c>
      <c r="D22" s="51"/>
      <c r="E22" s="51"/>
    </row>
    <row r="24" spans="2:5" x14ac:dyDescent="0.2">
      <c r="B24" s="51" t="s">
        <v>898</v>
      </c>
      <c r="C24" s="51" t="s">
        <v>888</v>
      </c>
      <c r="D24" s="51"/>
      <c r="E24" s="51"/>
    </row>
    <row r="26" spans="2:5" x14ac:dyDescent="0.2">
      <c r="B26" s="51" t="s">
        <v>899</v>
      </c>
      <c r="C26" s="51" t="s">
        <v>891</v>
      </c>
      <c r="D26" s="51"/>
      <c r="E26" s="51"/>
    </row>
    <row r="28" spans="2:5" x14ac:dyDescent="0.2">
      <c r="B28" s="51" t="s">
        <v>900</v>
      </c>
      <c r="C28" s="51"/>
      <c r="D28" s="51"/>
      <c r="E28" s="51"/>
    </row>
    <row r="29" spans="2:5" x14ac:dyDescent="0.2">
      <c r="B29" s="51" t="s">
        <v>901</v>
      </c>
      <c r="C29" s="51"/>
      <c r="D29" s="51"/>
      <c r="E29" s="51"/>
    </row>
    <row r="30" spans="2:5" x14ac:dyDescent="0.2">
      <c r="B30" s="51" t="s">
        <v>902</v>
      </c>
      <c r="C30" s="51"/>
      <c r="D30" s="51"/>
      <c r="E30" s="51"/>
    </row>
    <row r="31" spans="2:5" x14ac:dyDescent="0.2">
      <c r="B31" s="51" t="s">
        <v>903</v>
      </c>
      <c r="C31" s="51"/>
      <c r="D31" s="51"/>
      <c r="E31" s="51"/>
    </row>
    <row r="32" spans="2:5" x14ac:dyDescent="0.2">
      <c r="B32" s="51" t="s">
        <v>904</v>
      </c>
      <c r="C32" s="51"/>
      <c r="D32" s="51"/>
      <c r="E32" s="51"/>
    </row>
    <row r="33" spans="2:5" x14ac:dyDescent="0.2">
      <c r="B33" s="51" t="s">
        <v>905</v>
      </c>
      <c r="C33" s="51"/>
      <c r="D33" s="51"/>
      <c r="E33" s="51"/>
    </row>
    <row r="34" spans="2:5" x14ac:dyDescent="0.2">
      <c r="B34" s="51" t="s">
        <v>906</v>
      </c>
      <c r="C34" s="51"/>
      <c r="D34" s="51"/>
      <c r="E34" s="51"/>
    </row>
    <row r="35" spans="2:5" x14ac:dyDescent="0.2">
      <c r="B35" s="51" t="s">
        <v>907</v>
      </c>
      <c r="C35" s="51"/>
      <c r="D35" s="51"/>
      <c r="E35" s="51"/>
    </row>
    <row r="36" spans="2:5" x14ac:dyDescent="0.2">
      <c r="B36" s="51" t="s">
        <v>908</v>
      </c>
      <c r="C36" s="51"/>
      <c r="D36" s="51"/>
      <c r="E36" s="51"/>
    </row>
    <row r="37" spans="2:5" x14ac:dyDescent="0.2">
      <c r="B37" s="51" t="s">
        <v>909</v>
      </c>
      <c r="C37" s="51"/>
      <c r="D37" s="51"/>
      <c r="E37" s="51"/>
    </row>
    <row r="38" spans="2:5" x14ac:dyDescent="0.2">
      <c r="B38" s="51" t="s">
        <v>910</v>
      </c>
      <c r="C38" s="51"/>
      <c r="D38" s="51"/>
      <c r="E38" s="51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2026-08-15T06:38:04Z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