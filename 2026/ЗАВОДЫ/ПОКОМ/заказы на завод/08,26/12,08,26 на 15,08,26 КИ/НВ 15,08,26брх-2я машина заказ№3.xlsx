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E82B3AB-4EDB-4441-B025-B7D0E427312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Y552" i="1"/>
  <c r="X552" i="1"/>
  <c r="BO551" i="1"/>
  <c r="BM551" i="1"/>
  <c r="Y551" i="1"/>
  <c r="AC564" i="1" s="1"/>
  <c r="P551" i="1"/>
  <c r="X548" i="1"/>
  <c r="X547" i="1"/>
  <c r="BO546" i="1"/>
  <c r="BM546" i="1"/>
  <c r="Y546" i="1"/>
  <c r="P546" i="1"/>
  <c r="BO545" i="1"/>
  <c r="BM545" i="1"/>
  <c r="Y545" i="1"/>
  <c r="Y547" i="1" s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AB564" i="1" s="1"/>
  <c r="P529" i="1"/>
  <c r="X525" i="1"/>
  <c r="X524" i="1"/>
  <c r="BO523" i="1"/>
  <c r="BM523" i="1"/>
  <c r="Y523" i="1"/>
  <c r="P523" i="1"/>
  <c r="BO522" i="1"/>
  <c r="BM522" i="1"/>
  <c r="Y522" i="1"/>
  <c r="BP522" i="1" s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M518" i="1"/>
  <c r="Y518" i="1"/>
  <c r="BP518" i="1" s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BP506" i="1" s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BP502" i="1" s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BP481" i="1" s="1"/>
  <c r="P481" i="1"/>
  <c r="X479" i="1"/>
  <c r="X478" i="1"/>
  <c r="BO477" i="1"/>
  <c r="BM477" i="1"/>
  <c r="Y477" i="1"/>
  <c r="BP477" i="1" s="1"/>
  <c r="P477" i="1"/>
  <c r="BO476" i="1"/>
  <c r="BM476" i="1"/>
  <c r="Y476" i="1"/>
  <c r="P476" i="1"/>
  <c r="BO475" i="1"/>
  <c r="BM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O465" i="1"/>
  <c r="BM465" i="1"/>
  <c r="Y465" i="1"/>
  <c r="BP465" i="1" s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O450" i="1"/>
  <c r="BM450" i="1"/>
  <c r="Y450" i="1"/>
  <c r="BP450" i="1" s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BP426" i="1" s="1"/>
  <c r="P426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BP418" i="1" s="1"/>
  <c r="P418" i="1"/>
  <c r="X415" i="1"/>
  <c r="X414" i="1"/>
  <c r="BP413" i="1"/>
  <c r="BO413" i="1"/>
  <c r="BN413" i="1"/>
  <c r="BM413" i="1"/>
  <c r="Z413" i="1"/>
  <c r="Y413" i="1"/>
  <c r="BO412" i="1"/>
  <c r="BM412" i="1"/>
  <c r="Y412" i="1"/>
  <c r="U564" i="1" s="1"/>
  <c r="X409" i="1"/>
  <c r="X408" i="1"/>
  <c r="BO407" i="1"/>
  <c r="BM407" i="1"/>
  <c r="Y407" i="1"/>
  <c r="P407" i="1"/>
  <c r="BO406" i="1"/>
  <c r="BM406" i="1"/>
  <c r="Y406" i="1"/>
  <c r="BP406" i="1" s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BP370" i="1" s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X358" i="1"/>
  <c r="X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O348" i="1"/>
  <c r="BM348" i="1"/>
  <c r="Y348" i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BP335" i="1" s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X329" i="1"/>
  <c r="BO328" i="1"/>
  <c r="BM328" i="1"/>
  <c r="Y328" i="1"/>
  <c r="BP328" i="1" s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O324" i="1"/>
  <c r="BM324" i="1"/>
  <c r="Y324" i="1"/>
  <c r="P324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X315" i="1"/>
  <c r="X314" i="1"/>
  <c r="BO313" i="1"/>
  <c r="BM313" i="1"/>
  <c r="Y313" i="1"/>
  <c r="P313" i="1"/>
  <c r="X311" i="1"/>
  <c r="X310" i="1"/>
  <c r="BO309" i="1"/>
  <c r="BM309" i="1"/>
  <c r="Y309" i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X296" i="1"/>
  <c r="X295" i="1"/>
  <c r="BO294" i="1"/>
  <c r="BM294" i="1"/>
  <c r="Y294" i="1"/>
  <c r="BP294" i="1" s="1"/>
  <c r="P294" i="1"/>
  <c r="BO293" i="1"/>
  <c r="BM293" i="1"/>
  <c r="Y293" i="1"/>
  <c r="P293" i="1"/>
  <c r="X291" i="1"/>
  <c r="X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BN278" i="1" s="1"/>
  <c r="P278" i="1"/>
  <c r="X276" i="1"/>
  <c r="X275" i="1"/>
  <c r="BO274" i="1"/>
  <c r="BM274" i="1"/>
  <c r="Y274" i="1"/>
  <c r="P274" i="1"/>
  <c r="BO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BO269" i="1"/>
  <c r="BM269" i="1"/>
  <c r="Y269" i="1"/>
  <c r="BP269" i="1" s="1"/>
  <c r="P269" i="1"/>
  <c r="BO268" i="1"/>
  <c r="BM268" i="1"/>
  <c r="Y268" i="1"/>
  <c r="P268" i="1"/>
  <c r="BO267" i="1"/>
  <c r="BM267" i="1"/>
  <c r="Y267" i="1"/>
  <c r="BP267" i="1" s="1"/>
  <c r="P267" i="1"/>
  <c r="X265" i="1"/>
  <c r="X264" i="1"/>
  <c r="BO263" i="1"/>
  <c r="BM263" i="1"/>
  <c r="Y263" i="1"/>
  <c r="BP263" i="1" s="1"/>
  <c r="P263" i="1"/>
  <c r="BO262" i="1"/>
  <c r="BM262" i="1"/>
  <c r="Y262" i="1"/>
  <c r="Y264" i="1" s="1"/>
  <c r="P262" i="1"/>
  <c r="X260" i="1"/>
  <c r="X259" i="1"/>
  <c r="BO258" i="1"/>
  <c r="BM258" i="1"/>
  <c r="Y258" i="1"/>
  <c r="P258" i="1"/>
  <c r="BO257" i="1"/>
  <c r="BM257" i="1"/>
  <c r="Y257" i="1"/>
  <c r="P257" i="1"/>
  <c r="X254" i="1"/>
  <c r="X253" i="1"/>
  <c r="BO252" i="1"/>
  <c r="BM252" i="1"/>
  <c r="Y252" i="1"/>
  <c r="P252" i="1"/>
  <c r="X250" i="1"/>
  <c r="X249" i="1"/>
  <c r="BO248" i="1"/>
  <c r="BM248" i="1"/>
  <c r="Y248" i="1"/>
  <c r="P248" i="1"/>
  <c r="BO247" i="1"/>
  <c r="BM247" i="1"/>
  <c r="Y247" i="1"/>
  <c r="P247" i="1"/>
  <c r="BO246" i="1"/>
  <c r="BM246" i="1"/>
  <c r="Y246" i="1"/>
  <c r="BN246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N238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Z195" i="1"/>
  <c r="Y195" i="1"/>
  <c r="Y197" i="1" s="1"/>
  <c r="P195" i="1"/>
  <c r="X193" i="1"/>
  <c r="X192" i="1"/>
  <c r="BO191" i="1"/>
  <c r="BM191" i="1"/>
  <c r="Y191" i="1"/>
  <c r="BP191" i="1" s="1"/>
  <c r="P191" i="1"/>
  <c r="BO190" i="1"/>
  <c r="BM190" i="1"/>
  <c r="Y190" i="1"/>
  <c r="P190" i="1"/>
  <c r="BO189" i="1"/>
  <c r="BM189" i="1"/>
  <c r="Y189" i="1"/>
  <c r="P189" i="1"/>
  <c r="X187" i="1"/>
  <c r="X186" i="1"/>
  <c r="BO185" i="1"/>
  <c r="BM185" i="1"/>
  <c r="Y185" i="1"/>
  <c r="BP185" i="1" s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Y172" i="1" s="1"/>
  <c r="P170" i="1"/>
  <c r="X168" i="1"/>
  <c r="X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Z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Y157" i="1" s="1"/>
  <c r="P149" i="1"/>
  <c r="X146" i="1"/>
  <c r="X145" i="1"/>
  <c r="BO144" i="1"/>
  <c r="BM144" i="1"/>
  <c r="Y144" i="1"/>
  <c r="BP144" i="1" s="1"/>
  <c r="P144" i="1"/>
  <c r="BO143" i="1"/>
  <c r="BM143" i="1"/>
  <c r="Y143" i="1"/>
  <c r="BP143" i="1" s="1"/>
  <c r="P143" i="1"/>
  <c r="BO142" i="1"/>
  <c r="BM142" i="1"/>
  <c r="Y142" i="1"/>
  <c r="Y146" i="1" s="1"/>
  <c r="P142" i="1"/>
  <c r="X140" i="1"/>
  <c r="X139" i="1"/>
  <c r="BO138" i="1"/>
  <c r="BM138" i="1"/>
  <c r="Y138" i="1"/>
  <c r="BP138" i="1" s="1"/>
  <c r="P138" i="1"/>
  <c r="BO137" i="1"/>
  <c r="BM137" i="1"/>
  <c r="Z137" i="1"/>
  <c r="Y137" i="1"/>
  <c r="BP137" i="1" s="1"/>
  <c r="P137" i="1"/>
  <c r="BO136" i="1"/>
  <c r="BM136" i="1"/>
  <c r="Y136" i="1"/>
  <c r="BP136" i="1" s="1"/>
  <c r="P136" i="1"/>
  <c r="BO135" i="1"/>
  <c r="BN135" i="1"/>
  <c r="BM135" i="1"/>
  <c r="Z135" i="1"/>
  <c r="Y135" i="1"/>
  <c r="P135" i="1"/>
  <c r="X133" i="1"/>
  <c r="X132" i="1"/>
  <c r="BO131" i="1"/>
  <c r="BM131" i="1"/>
  <c r="Y131" i="1"/>
  <c r="BP131" i="1" s="1"/>
  <c r="P131" i="1"/>
  <c r="BO130" i="1"/>
  <c r="BM130" i="1"/>
  <c r="Y130" i="1"/>
  <c r="BP130" i="1" s="1"/>
  <c r="P130" i="1"/>
  <c r="BO129" i="1"/>
  <c r="BM129" i="1"/>
  <c r="Y129" i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O119" i="1"/>
  <c r="BM119" i="1"/>
  <c r="Y119" i="1"/>
  <c r="BN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X115" i="1"/>
  <c r="X114" i="1"/>
  <c r="BO113" i="1"/>
  <c r="BM113" i="1"/>
  <c r="Y113" i="1"/>
  <c r="P113" i="1"/>
  <c r="BO112" i="1"/>
  <c r="BM112" i="1"/>
  <c r="Y112" i="1"/>
  <c r="BP112" i="1" s="1"/>
  <c r="P112" i="1"/>
  <c r="BO111" i="1"/>
  <c r="BM111" i="1"/>
  <c r="Y111" i="1"/>
  <c r="P111" i="1"/>
  <c r="BO110" i="1"/>
  <c r="BM110" i="1"/>
  <c r="Y110" i="1"/>
  <c r="BP110" i="1" s="1"/>
  <c r="P110" i="1"/>
  <c r="BP109" i="1"/>
  <c r="BO109" i="1"/>
  <c r="BM109" i="1"/>
  <c r="Y109" i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Z103" i="1"/>
  <c r="Y103" i="1"/>
  <c r="BN103" i="1" s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BN99" i="1" s="1"/>
  <c r="P99" i="1"/>
  <c r="X96" i="1"/>
  <c r="X95" i="1"/>
  <c r="BO94" i="1"/>
  <c r="BM94" i="1"/>
  <c r="Y94" i="1"/>
  <c r="BN94" i="1" s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O86" i="1"/>
  <c r="BM86" i="1"/>
  <c r="Y86" i="1"/>
  <c r="BN86" i="1" s="1"/>
  <c r="P86" i="1"/>
  <c r="BO85" i="1"/>
  <c r="BM85" i="1"/>
  <c r="Y85" i="1"/>
  <c r="BP85" i="1" s="1"/>
  <c r="P85" i="1"/>
  <c r="BO84" i="1"/>
  <c r="BM84" i="1"/>
  <c r="Y84" i="1"/>
  <c r="BN84" i="1" s="1"/>
  <c r="P84" i="1"/>
  <c r="X81" i="1"/>
  <c r="X80" i="1"/>
  <c r="BO79" i="1"/>
  <c r="BM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O73" i="1"/>
  <c r="BM73" i="1"/>
  <c r="Y73" i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O67" i="1"/>
  <c r="BM67" i="1"/>
  <c r="Z67" i="1"/>
  <c r="Y67" i="1"/>
  <c r="BN67" i="1" s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BP59" i="1"/>
  <c r="BO59" i="1"/>
  <c r="BM59" i="1"/>
  <c r="Y59" i="1"/>
  <c r="P59" i="1"/>
  <c r="BO58" i="1"/>
  <c r="BM58" i="1"/>
  <c r="Y58" i="1"/>
  <c r="BP58" i="1" s="1"/>
  <c r="P58" i="1"/>
  <c r="BO57" i="1"/>
  <c r="BM57" i="1"/>
  <c r="Z57" i="1"/>
  <c r="Y57" i="1"/>
  <c r="BN57" i="1" s="1"/>
  <c r="P57" i="1"/>
  <c r="BO56" i="1"/>
  <c r="BM56" i="1"/>
  <c r="Y56" i="1"/>
  <c r="BP56" i="1" s="1"/>
  <c r="P56" i="1"/>
  <c r="BO55" i="1"/>
  <c r="BM55" i="1"/>
  <c r="Y55" i="1"/>
  <c r="BN55" i="1" s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P48" i="1"/>
  <c r="BO47" i="1"/>
  <c r="BM47" i="1"/>
  <c r="Y47" i="1"/>
  <c r="D564" i="1" s="1"/>
  <c r="P47" i="1"/>
  <c r="X43" i="1"/>
  <c r="X42" i="1"/>
  <c r="BO41" i="1"/>
  <c r="BM41" i="1"/>
  <c r="Y41" i="1"/>
  <c r="BP41" i="1" s="1"/>
  <c r="P41" i="1"/>
  <c r="BO40" i="1"/>
  <c r="BM40" i="1"/>
  <c r="Z40" i="1"/>
  <c r="Y40" i="1"/>
  <c r="BN40" i="1" s="1"/>
  <c r="P40" i="1"/>
  <c r="BO39" i="1"/>
  <c r="BM39" i="1"/>
  <c r="Y39" i="1"/>
  <c r="BP39" i="1" s="1"/>
  <c r="P39" i="1"/>
  <c r="BO38" i="1"/>
  <c r="BM38" i="1"/>
  <c r="Y38" i="1"/>
  <c r="BN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P27" i="1"/>
  <c r="X25" i="1"/>
  <c r="X24" i="1"/>
  <c r="BO23" i="1"/>
  <c r="BM23" i="1"/>
  <c r="Y23" i="1"/>
  <c r="BP23" i="1" s="1"/>
  <c r="P23" i="1"/>
  <c r="BP22" i="1"/>
  <c r="BO22" i="1"/>
  <c r="BM22" i="1"/>
  <c r="Y22" i="1"/>
  <c r="P22" i="1"/>
  <c r="H10" i="1"/>
  <c r="A9" i="1"/>
  <c r="A10" i="1" s="1"/>
  <c r="D7" i="1"/>
  <c r="Q6" i="1"/>
  <c r="P2" i="1"/>
  <c r="BP28" i="1" l="1"/>
  <c r="Z28" i="1"/>
  <c r="BP61" i="1"/>
  <c r="BN61" i="1"/>
  <c r="Z61" i="1"/>
  <c r="Y75" i="1"/>
  <c r="Z73" i="1"/>
  <c r="BP111" i="1"/>
  <c r="BN111" i="1"/>
  <c r="Z111" i="1"/>
  <c r="BN175" i="1"/>
  <c r="Z175" i="1"/>
  <c r="BP183" i="1"/>
  <c r="BN183" i="1"/>
  <c r="Z183" i="1"/>
  <c r="Y193" i="1"/>
  <c r="Z189" i="1"/>
  <c r="BP230" i="1"/>
  <c r="BN230" i="1"/>
  <c r="Z230" i="1"/>
  <c r="BN234" i="1"/>
  <c r="Y254" i="1"/>
  <c r="Y253" i="1"/>
  <c r="BN252" i="1"/>
  <c r="BN269" i="1"/>
  <c r="BN284" i="1"/>
  <c r="BN301" i="1"/>
  <c r="Y315" i="1"/>
  <c r="Y314" i="1"/>
  <c r="BN313" i="1"/>
  <c r="BN328" i="1"/>
  <c r="BN335" i="1"/>
  <c r="BP394" i="1"/>
  <c r="BN394" i="1"/>
  <c r="Z394" i="1"/>
  <c r="BP430" i="1"/>
  <c r="BN430" i="1"/>
  <c r="Z430" i="1"/>
  <c r="BP438" i="1"/>
  <c r="BN438" i="1"/>
  <c r="Z438" i="1"/>
  <c r="BN465" i="1"/>
  <c r="BP475" i="1"/>
  <c r="BN475" i="1"/>
  <c r="Y25" i="1"/>
  <c r="Z22" i="1"/>
  <c r="BN59" i="1"/>
  <c r="Z59" i="1"/>
  <c r="BP73" i="1"/>
  <c r="BN79" i="1"/>
  <c r="Z79" i="1"/>
  <c r="BN101" i="1"/>
  <c r="Z101" i="1"/>
  <c r="BN109" i="1"/>
  <c r="Z109" i="1"/>
  <c r="BN165" i="1"/>
  <c r="BP175" i="1"/>
  <c r="BN177" i="1"/>
  <c r="BP189" i="1"/>
  <c r="BN191" i="1"/>
  <c r="BN209" i="1"/>
  <c r="BN224" i="1"/>
  <c r="BN240" i="1"/>
  <c r="BN263" i="1"/>
  <c r="BN294" i="1"/>
  <c r="BP319" i="1"/>
  <c r="BN319" i="1"/>
  <c r="Z319" i="1"/>
  <c r="Y336" i="1"/>
  <c r="BP342" i="1"/>
  <c r="BN342" i="1"/>
  <c r="Z342" i="1"/>
  <c r="BP348" i="1"/>
  <c r="BN348" i="1"/>
  <c r="Z348" i="1"/>
  <c r="BN370" i="1"/>
  <c r="BP382" i="1"/>
  <c r="BN382" i="1"/>
  <c r="Z382" i="1"/>
  <c r="BN418" i="1"/>
  <c r="BN481" i="1"/>
  <c r="BN500" i="1"/>
  <c r="X558" i="1"/>
  <c r="BP40" i="1"/>
  <c r="BN50" i="1"/>
  <c r="BP67" i="1"/>
  <c r="BP103" i="1"/>
  <c r="H564" i="1"/>
  <c r="BN171" i="1"/>
  <c r="BN179" i="1"/>
  <c r="BN185" i="1"/>
  <c r="BP195" i="1"/>
  <c r="BN207" i="1"/>
  <c r="BN226" i="1"/>
  <c r="BN232" i="1"/>
  <c r="BN267" i="1"/>
  <c r="BN286" i="1"/>
  <c r="BN299" i="1"/>
  <c r="BN344" i="1"/>
  <c r="BN362" i="1"/>
  <c r="BN406" i="1"/>
  <c r="BN412" i="1"/>
  <c r="BN426" i="1"/>
  <c r="BN432" i="1"/>
  <c r="BN450" i="1"/>
  <c r="BN477" i="1"/>
  <c r="BN492" i="1"/>
  <c r="BN502" i="1"/>
  <c r="Z506" i="1"/>
  <c r="BN506" i="1"/>
  <c r="BN518" i="1"/>
  <c r="Z522" i="1"/>
  <c r="BN522" i="1"/>
  <c r="BN551" i="1"/>
  <c r="BP48" i="1"/>
  <c r="Z48" i="1"/>
  <c r="BP86" i="1"/>
  <c r="BP92" i="1"/>
  <c r="Z92" i="1"/>
  <c r="BN288" i="1"/>
  <c r="BP288" i="1"/>
  <c r="Z288" i="1"/>
  <c r="Y396" i="1"/>
  <c r="BN392" i="1"/>
  <c r="BP392" i="1"/>
  <c r="Z392" i="1"/>
  <c r="BP113" i="1"/>
  <c r="Z113" i="1"/>
  <c r="BN257" i="1"/>
  <c r="BP257" i="1"/>
  <c r="Z257" i="1"/>
  <c r="BN274" i="1"/>
  <c r="BP274" i="1"/>
  <c r="Z274" i="1"/>
  <c r="Y311" i="1"/>
  <c r="Y310" i="1"/>
  <c r="BN309" i="1"/>
  <c r="BP309" i="1"/>
  <c r="Z309" i="1"/>
  <c r="Z310" i="1" s="1"/>
  <c r="BN340" i="1"/>
  <c r="BP340" i="1"/>
  <c r="Z340" i="1"/>
  <c r="BN22" i="1"/>
  <c r="X554" i="1"/>
  <c r="Z86" i="1"/>
  <c r="BP94" i="1"/>
  <c r="Y106" i="1"/>
  <c r="BP99" i="1"/>
  <c r="Z99" i="1"/>
  <c r="BN211" i="1"/>
  <c r="BP211" i="1"/>
  <c r="Z211" i="1"/>
  <c r="BN372" i="1"/>
  <c r="BP372" i="1"/>
  <c r="Z372" i="1"/>
  <c r="BN400" i="1"/>
  <c r="BP400" i="1"/>
  <c r="Z400" i="1"/>
  <c r="BN444" i="1"/>
  <c r="BP444" i="1"/>
  <c r="Z444" i="1"/>
  <c r="BN28" i="1"/>
  <c r="C564" i="1"/>
  <c r="BP38" i="1"/>
  <c r="Z38" i="1"/>
  <c r="BN48" i="1"/>
  <c r="Z50" i="1"/>
  <c r="Y64" i="1"/>
  <c r="BP55" i="1"/>
  <c r="Z55" i="1"/>
  <c r="BN92" i="1"/>
  <c r="Z94" i="1"/>
  <c r="BP101" i="1"/>
  <c r="BN113" i="1"/>
  <c r="BP119" i="1"/>
  <c r="Z119" i="1"/>
  <c r="BN181" i="1"/>
  <c r="BP181" i="1"/>
  <c r="Z181" i="1"/>
  <c r="BN228" i="1"/>
  <c r="BP228" i="1"/>
  <c r="Z228" i="1"/>
  <c r="BN248" i="1"/>
  <c r="BP248" i="1"/>
  <c r="Z248" i="1"/>
  <c r="BN317" i="1"/>
  <c r="BP317" i="1"/>
  <c r="Z317" i="1"/>
  <c r="BN364" i="1"/>
  <c r="BP364" i="1"/>
  <c r="Z364" i="1"/>
  <c r="BN380" i="1"/>
  <c r="BP380" i="1"/>
  <c r="Z380" i="1"/>
  <c r="BN428" i="1"/>
  <c r="BP428" i="1"/>
  <c r="Z428" i="1"/>
  <c r="BN504" i="1"/>
  <c r="BP504" i="1"/>
  <c r="Z504" i="1"/>
  <c r="BN520" i="1"/>
  <c r="BP520" i="1"/>
  <c r="Z520" i="1"/>
  <c r="Y32" i="1"/>
  <c r="BP57" i="1"/>
  <c r="BP79" i="1"/>
  <c r="Y89" i="1"/>
  <c r="BP84" i="1"/>
  <c r="Z84" i="1"/>
  <c r="BN242" i="1"/>
  <c r="BP242" i="1"/>
  <c r="Z242" i="1"/>
  <c r="BN271" i="1"/>
  <c r="BP271" i="1"/>
  <c r="Z271" i="1"/>
  <c r="BN280" i="1"/>
  <c r="BP280" i="1"/>
  <c r="Z280" i="1"/>
  <c r="BN303" i="1"/>
  <c r="BP303" i="1"/>
  <c r="Z303" i="1"/>
  <c r="Y330" i="1"/>
  <c r="BN324" i="1"/>
  <c r="BP324" i="1"/>
  <c r="Z324" i="1"/>
  <c r="BN355" i="1"/>
  <c r="BP355" i="1"/>
  <c r="Z355" i="1"/>
  <c r="BN386" i="1"/>
  <c r="BP386" i="1"/>
  <c r="Z386" i="1"/>
  <c r="BN420" i="1"/>
  <c r="BP420" i="1"/>
  <c r="Z420" i="1"/>
  <c r="BN512" i="1"/>
  <c r="BP512" i="1"/>
  <c r="Z512" i="1"/>
  <c r="BN546" i="1"/>
  <c r="BP546" i="1"/>
  <c r="Z546" i="1"/>
  <c r="Y250" i="1"/>
  <c r="Y290" i="1"/>
  <c r="BN73" i="1"/>
  <c r="Y121" i="1"/>
  <c r="Y140" i="1"/>
  <c r="Z165" i="1"/>
  <c r="Z179" i="1"/>
  <c r="BN189" i="1"/>
  <c r="Y192" i="1"/>
  <c r="BN195" i="1"/>
  <c r="Z209" i="1"/>
  <c r="Z226" i="1"/>
  <c r="Z234" i="1"/>
  <c r="Y244" i="1"/>
  <c r="Z240" i="1"/>
  <c r="Z246" i="1"/>
  <c r="BP246" i="1"/>
  <c r="Z263" i="1"/>
  <c r="Z269" i="1"/>
  <c r="Z278" i="1"/>
  <c r="BP278" i="1"/>
  <c r="Z286" i="1"/>
  <c r="Z294" i="1"/>
  <c r="Z301" i="1"/>
  <c r="Z362" i="1"/>
  <c r="Z370" i="1"/>
  <c r="Z406" i="1"/>
  <c r="Z412" i="1"/>
  <c r="Z414" i="1" s="1"/>
  <c r="BP412" i="1"/>
  <c r="Y414" i="1"/>
  <c r="Z418" i="1"/>
  <c r="Z426" i="1"/>
  <c r="Z450" i="1"/>
  <c r="Z477" i="1"/>
  <c r="Z492" i="1"/>
  <c r="Z502" i="1"/>
  <c r="Z518" i="1"/>
  <c r="Y115" i="1"/>
  <c r="Z171" i="1"/>
  <c r="Y187" i="1"/>
  <c r="Z177" i="1"/>
  <c r="Z185" i="1"/>
  <c r="Z191" i="1"/>
  <c r="Z207" i="1"/>
  <c r="Y235" i="1"/>
  <c r="Z224" i="1"/>
  <c r="Z232" i="1"/>
  <c r="Z238" i="1"/>
  <c r="BP238" i="1"/>
  <c r="Y249" i="1"/>
  <c r="Z252" i="1"/>
  <c r="Z253" i="1" s="1"/>
  <c r="BP252" i="1"/>
  <c r="Z267" i="1"/>
  <c r="Z284" i="1"/>
  <c r="Z299" i="1"/>
  <c r="Z313" i="1"/>
  <c r="Z314" i="1" s="1"/>
  <c r="BP313" i="1"/>
  <c r="Z328" i="1"/>
  <c r="Z335" i="1"/>
  <c r="Z344" i="1"/>
  <c r="Z432" i="1"/>
  <c r="Z465" i="1"/>
  <c r="Z475" i="1"/>
  <c r="Z481" i="1"/>
  <c r="Z500" i="1"/>
  <c r="Z551" i="1"/>
  <c r="Z552" i="1" s="1"/>
  <c r="BP551" i="1"/>
  <c r="F9" i="1"/>
  <c r="J9" i="1"/>
  <c r="F10" i="1"/>
  <c r="Y33" i="1"/>
  <c r="Y43" i="1"/>
  <c r="Y51" i="1"/>
  <c r="Y70" i="1"/>
  <c r="Y76" i="1"/>
  <c r="Y80" i="1"/>
  <c r="Y95" i="1"/>
  <c r="Y114" i="1"/>
  <c r="Y122" i="1"/>
  <c r="Y126" i="1"/>
  <c r="Z130" i="1"/>
  <c r="BN130" i="1"/>
  <c r="Y133" i="1"/>
  <c r="Z136" i="1"/>
  <c r="BN136" i="1"/>
  <c r="Z138" i="1"/>
  <c r="BN138" i="1"/>
  <c r="Y139" i="1"/>
  <c r="Z142" i="1"/>
  <c r="BN142" i="1"/>
  <c r="BP142" i="1"/>
  <c r="Z144" i="1"/>
  <c r="BN144" i="1"/>
  <c r="Y145" i="1"/>
  <c r="Z149" i="1"/>
  <c r="BN149" i="1"/>
  <c r="BP149" i="1"/>
  <c r="Z151" i="1"/>
  <c r="BN151" i="1"/>
  <c r="Z153" i="1"/>
  <c r="BN153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BP180" i="1"/>
  <c r="BN180" i="1"/>
  <c r="Z180" i="1"/>
  <c r="BP184" i="1"/>
  <c r="BN184" i="1"/>
  <c r="Z184" i="1"/>
  <c r="BP196" i="1"/>
  <c r="BN196" i="1"/>
  <c r="Z196" i="1"/>
  <c r="Z197" i="1" s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BP239" i="1"/>
  <c r="BN239" i="1"/>
  <c r="Z239" i="1"/>
  <c r="Y243" i="1"/>
  <c r="BP247" i="1"/>
  <c r="BN247" i="1"/>
  <c r="Z247" i="1"/>
  <c r="BP268" i="1"/>
  <c r="BN268" i="1"/>
  <c r="Z268" i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Y421" i="1"/>
  <c r="P564" i="1"/>
  <c r="H9" i="1"/>
  <c r="B564" i="1"/>
  <c r="X555" i="1"/>
  <c r="X557" i="1" s="1"/>
  <c r="X556" i="1"/>
  <c r="Z23" i="1"/>
  <c r="Z24" i="1" s="1"/>
  <c r="BN23" i="1"/>
  <c r="Y24" i="1"/>
  <c r="Z27" i="1"/>
  <c r="BN27" i="1"/>
  <c r="BP27" i="1"/>
  <c r="Z29" i="1"/>
  <c r="BN29" i="1"/>
  <c r="Z31" i="1"/>
  <c r="BN31" i="1"/>
  <c r="Z37" i="1"/>
  <c r="Z42" i="1" s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64" i="1"/>
  <c r="Z56" i="1"/>
  <c r="BN56" i="1"/>
  <c r="Z58" i="1"/>
  <c r="BN58" i="1"/>
  <c r="Z60" i="1"/>
  <c r="BN60" i="1"/>
  <c r="Z62" i="1"/>
  <c r="BN62" i="1"/>
  <c r="Y63" i="1"/>
  <c r="Z66" i="1"/>
  <c r="Z70" i="1" s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BN85" i="1"/>
  <c r="Z87" i="1"/>
  <c r="BN87" i="1"/>
  <c r="Y88" i="1"/>
  <c r="Z91" i="1"/>
  <c r="Z95" i="1" s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BN110" i="1"/>
  <c r="Z112" i="1"/>
  <c r="BN112" i="1"/>
  <c r="Z118" i="1"/>
  <c r="BN118" i="1"/>
  <c r="Z120" i="1"/>
  <c r="BN120" i="1"/>
  <c r="Z124" i="1"/>
  <c r="Z125" i="1" s="1"/>
  <c r="BN124" i="1"/>
  <c r="BP124" i="1"/>
  <c r="Z129" i="1"/>
  <c r="Z132" i="1" s="1"/>
  <c r="BN129" i="1"/>
  <c r="BP129" i="1"/>
  <c r="Z131" i="1"/>
  <c r="BN131" i="1"/>
  <c r="Y132" i="1"/>
  <c r="BP135" i="1"/>
  <c r="BN137" i="1"/>
  <c r="Z143" i="1"/>
  <c r="BN143" i="1"/>
  <c r="I564" i="1"/>
  <c r="Y156" i="1"/>
  <c r="Z150" i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BP178" i="1"/>
  <c r="BN178" i="1"/>
  <c r="Z178" i="1"/>
  <c r="Z186" i="1" s="1"/>
  <c r="BP182" i="1"/>
  <c r="BN182" i="1"/>
  <c r="Z182" i="1"/>
  <c r="Y186" i="1"/>
  <c r="BP190" i="1"/>
  <c r="BN190" i="1"/>
  <c r="Z190" i="1"/>
  <c r="Z192" i="1" s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BP241" i="1"/>
  <c r="BN241" i="1"/>
  <c r="Z241" i="1"/>
  <c r="Z243" i="1" s="1"/>
  <c r="BP258" i="1"/>
  <c r="BN258" i="1"/>
  <c r="Z258" i="1"/>
  <c r="Z259" i="1" s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BP318" i="1"/>
  <c r="BN318" i="1"/>
  <c r="Z318" i="1"/>
  <c r="Z320" i="1" s="1"/>
  <c r="Y320" i="1"/>
  <c r="BP341" i="1"/>
  <c r="BN341" i="1"/>
  <c r="Z341" i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Z389" i="1"/>
  <c r="BP387" i="1"/>
  <c r="BN387" i="1"/>
  <c r="Z387" i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Y321" i="1"/>
  <c r="Z329" i="1"/>
  <c r="BP325" i="1"/>
  <c r="BN325" i="1"/>
  <c r="Z325" i="1"/>
  <c r="Y329" i="1"/>
  <c r="BP334" i="1"/>
  <c r="BN334" i="1"/>
  <c r="Z334" i="1"/>
  <c r="Z336" i="1" s="1"/>
  <c r="BP343" i="1"/>
  <c r="BN343" i="1"/>
  <c r="Z343" i="1"/>
  <c r="Z345" i="1" s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Z408" i="1" s="1"/>
  <c r="BP427" i="1"/>
  <c r="BN427" i="1"/>
  <c r="Z427" i="1"/>
  <c r="BP431" i="1"/>
  <c r="BN431" i="1"/>
  <c r="Z431" i="1"/>
  <c r="BP439" i="1"/>
  <c r="BN439" i="1"/>
  <c r="Z439" i="1"/>
  <c r="Y441" i="1"/>
  <c r="Y446" i="1"/>
  <c r="BP443" i="1"/>
  <c r="BN443" i="1"/>
  <c r="Z443" i="1"/>
  <c r="Z446" i="1" s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Z467" i="1" s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Z440" i="1" s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Y553" i="1"/>
  <c r="Z139" i="1" l="1"/>
  <c r="Z547" i="1"/>
  <c r="Z376" i="1"/>
  <c r="Z366" i="1"/>
  <c r="Z121" i="1"/>
  <c r="Z114" i="1"/>
  <c r="Z249" i="1"/>
  <c r="Z106" i="1"/>
  <c r="Y556" i="1"/>
  <c r="Z275" i="1"/>
  <c r="Y554" i="1"/>
  <c r="Z434" i="1"/>
  <c r="Z306" i="1"/>
  <c r="Z478" i="1"/>
  <c r="Z396" i="1"/>
  <c r="Z88" i="1"/>
  <c r="Z63" i="1"/>
  <c r="Y555" i="1"/>
  <c r="Y557" i="1" s="1"/>
  <c r="Z421" i="1"/>
  <c r="Z508" i="1"/>
  <c r="Z524" i="1"/>
  <c r="Z383" i="1"/>
  <c r="Y558" i="1"/>
  <c r="Z494" i="1"/>
  <c r="Z290" i="1"/>
  <c r="Z357" i="1"/>
  <c r="Z235" i="1"/>
  <c r="Z32" i="1"/>
  <c r="Z402" i="1"/>
  <c r="Z213" i="1"/>
  <c r="Z167" i="1"/>
  <c r="Z156" i="1"/>
  <c r="Z145" i="1"/>
  <c r="Z559" i="1" l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<sst xmlns="http://schemas.openxmlformats.org/spreadsheetml/2006/main" count="2517" uniqueCount="913">
  <si>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</si>
  <si>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</si>
  <si>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</si>
  <si>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</si>
  <si>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</si>
  <si>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</si>
  <si>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</si>
  <si>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</si>
  <si>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</si>
  <si>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</si>
  <si>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</si>
  <si>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</si>
  <si>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</si>
  <si>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</si>
  <si>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</si>
  <si>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</si>
  <si>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</si>
  <si>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</si>
  <si>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</si>
  <si>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</si>
  <si>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</si>
  <si>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</si>
  <si>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</si>
  <si>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</si>
  <si>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</si>
  <si>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</si>
  <si>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</si>
  <si>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</si>
  <si>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</si>
  <si>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</si>
  <si>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</si>
  <si>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</si>
  <si>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</si>
  <si>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</si>
  <si>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</si>
  <si>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</si>
  <si>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</si>
  <si>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</si>
  <si>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</si>
  <si>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</si>
  <si>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</si>
  <si>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</si>
  <si>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</si>
  <si>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</si>
  <si>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</si>
  <si>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</si>
  <si>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</si>
  <si>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</si>
  <si>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</si>
  <si>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</si>
  <si>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</si>
  <si>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</si>
  <si>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</si>
  <si>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</si>
  <si>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</si>
  <si>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</si>
  <si>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</si>
  <si>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</si>
  <si>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</si>
  <si>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</si>
  <si>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</si>
  <si>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</si>
  <si>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</si>
  <si>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</si>
  <si>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</si>
  <si>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</si>
  <si>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</si>
  <si>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</si>
  <si>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</si>
  <si>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</si>
  <si>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</si>
  <si>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</si>
  <si>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</si>
  <si>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</si>
  <si>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</si>
  <si>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</si>
  <si>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</si>
  <si>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</si>
  <si>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</si>
  <si>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</si>
  <si>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</si>
  <si>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</si>
  <si>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</si>
  <si>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</si>
  <si>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</si>
  <si>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</si>
  <si>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</si>
  <si>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</si>
  <si>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</si>
  <si>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</si>
  <si>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</si>
  <si>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</si>
  <si>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</si>
  <si>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</si>
  <si>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</si>
  <si>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</si>
  <si>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</si>
  <si>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</si>
  <si>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</si>
  <si>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</si>
  <si>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</si>
  <si>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</si>
  <si>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</si>
  <si>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</si>
  <si>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</si>
  <si>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</si>
  <si>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</si>
  <si>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</si>
  <si>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</si>
  <si>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</si>
  <si>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</si>
  <si>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</si>
  <si>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</si>
  <si>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</si>
  <si>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</si>
  <si>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</si>
  <si>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</si>
  <si>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</si>
  <si>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</si>
  <si>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</si>
  <si>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</si>
  <si>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</si>
  <si>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</si>
  <si>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</si>
  <si>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</si>
  <si>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</si>
  <si>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</si>
  <si>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</si>
  <si>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</si>
  <si>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</si>
  <si>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</si>
  <si>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</si>
  <si>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</si>
  <si>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</si>
  <si>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</si>
  <si>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</si>
  <si>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</si>
  <si>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</si>
  <si>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</si>
  <si>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</si>
  <si>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</si>
  <si>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</si>
  <si>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</si>
  <si>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</si>
  <si>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</si>
  <si>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</si>
  <si>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</si>
  <si>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</si>
  <si>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</si>
  <si>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</si>
  <si>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</si>
  <si>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</si>
  <si>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</si>
  <si>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</si>
  <si>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</si>
  <si>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</si>
  <si>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</si>
  <si>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</si>
  <si>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</si>
  <si>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</si>
  <si>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</si>
  <si>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</si>
  <si>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</si>
  <si>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</si>
  <si>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</si>
  <si>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</si>
  <si>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</si>
  <si>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</si>
  <si>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</si>
  <si>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</si>
  <si>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</si>
  <si>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</si>
  <si>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</si>
  <si>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</si>
  <si>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</si>
  <si>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</si>
  <si>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</si>
  <si>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</si>
  <si>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</si>
  <si>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</si>
  <si>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</si>
  <si>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</si>
  <si>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</si>
  <si>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</si>
  <si>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</si>
  <si>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</si>
  <si>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</si>
  <si>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</si>
  <si>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</si>
  <si>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</si>
  <si>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</si>
  <si>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</si>
  <si>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</si>
  <si>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</si>
  <si>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</si>
  <si>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</si>
  <si>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</si>
  <si>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</si>
  <si>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</si>
  <si>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</si>
  <si>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</si>
  <si>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</si>
  <si>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</si>
  <si>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</si>
  <si>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</si>
  <si>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</si>
  <si>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</si>
  <si>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</si>
  <si>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</si>
  <si>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</si>
  <si>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</si>
  <si>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</si>
  <si>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</si>
  <si>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</si>
  <si>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</si>
  <si>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</si>
  <si>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</si>
  <si>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</si>
  <si>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</si>
  <si>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</si>
  <si>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</si>
  <si>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</si>
  <si>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</si>
  <si>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</si>
  <si>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</si>
  <si>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</si>
  <si>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</si>
  <si>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</si>
  <si>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</si>
  <si>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</si>
  <si>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</si>
  <si>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</si>
  <si>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</si>
  <si>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</si>
  <si>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</si>
  <si>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</si>
  <si>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</si>
  <si>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</si>
  <si>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</si>
  <si>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</si>
  <si>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</si>
  <si>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</si>
  <si>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</si>
  <si>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</si>
  <si>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</si>
  <si>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</si>
  <si>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</si>
  <si>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</si>
  <si>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</si>
  <si>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</si>
  <si>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</si>
  <si>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</si>
  <si>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</si>
  <si>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</si>
  <si>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</si>
  <si>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</si>
  <si>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</si>
  <si>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</si>
  <si>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</si>
  <si>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</si>
  <si>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</si>
  <si>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</si>
  <si>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</si>
  <si>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</si>
  <si>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</si>
  <si>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</si>
  <si>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</si>
  <si>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</si>
  <si>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</si>
  <si>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</si>
  <si>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</si>
  <si>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</si>
  <si>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</si>
  <si>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</si>
  <si>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</si>
  <si>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</si>
  <si>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</si>
  <si>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</si>
  <si>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</si>
  <si>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</si>
  <si>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</si>
  <si>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</si>
  <si>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</si>
  <si>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</si>
  <si>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</si>
  <si>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</si>
  <si>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</si>
  <si>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</si>
  <si>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</si>
  <si>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</si>
  <si>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</si>
  <si>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</si>
  <si>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</si>
  <si>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</si>
  <si>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</si>
  <si>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</si>
  <si>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</si>
  <si>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</si>
  <si>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</si>
  <si>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</si>
  <si>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</si>
  <si>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</si>
  <si>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</si>
  <si>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</si>
  <si>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</si>
  <si>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</si>
  <si>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</si>
  <si>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</si>
  <si>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</si>
  <si>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</si>
  <si>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</si>
  <si>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</si>
  <si>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</si>
  <si>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</si>
  <si>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</si>
  <si>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</si>
  <si>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</si>
  <si>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</si>
  <si>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</si>
  <si>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</si>
  <si>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</si>
  <si>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</si>
  <si>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</si>
  <si>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</si>
  <si>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</si>
  <si>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</si>
  <si>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</si>
  <si>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</si>
  <si>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</si>
  <si>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</si>
  <si>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</si>
  <si>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</si>
  <si>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</si>
  <si>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</si>
  <si>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</si>
  <si>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</si>
  <si>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</si>
  <si>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</si>
  <si>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</si>
  <si>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</si>
  <si>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</si>
  <si>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</si>
  <si>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</si>
  <si>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</si>
  <si>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</si>
  <si>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</si>
  <si>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</si>
  <si>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</si>
  <si>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</si>
  <si>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</si>
  <si>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</si>
  <si>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</si>
  <si>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</si>
  <si>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</si>
  <si>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</si>
  <si>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</si>
  <si>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</si>
  <si>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</si>
  <si>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</si>
  <si>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</si>
  <si>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</si>
  <si>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</si>
  <si>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</si>
  <si>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</si>
  <si>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</si>
  <si>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</si>
  <si>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</si>
  <si>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</si>
  <si>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</si>
  <si>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</si>
  <si>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</si>
  <si>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</si>
  <si>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</si>
  <si>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</si>
  <si>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</si>
  <si>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</si>
  <si>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</si>
  <si>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</si>
  <si>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</si>
  <si>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</si>
  <si>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</si>
  <si>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</si>
  <si>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</si>
  <si>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</si>
  <si>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</si>
  <si>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</si>
  <si>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</si>
  <si>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</si>
  <si>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</si>
  <si>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</si>
  <si>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</si>
  <si>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</si>
  <si>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</si>
  <si>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</si>
  <si>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</si>
  <si>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</si>
  <si>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</si>
  <si>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</si>
  <si>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</si>
  <si>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</si>
  <si>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</si>
  <si>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</si>
  <si>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</si>
  <si>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</si>
  <si>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</si>
  <si>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</si>
  <si>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</si>
  <si>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</si>
  <si>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</si>
  <si>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</si>
  <si>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</si>
  <si>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</si>
  <si>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</si>
  <si>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</si>
  <si>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</si>
  <si>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</si>
  <si>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</si>
  <si>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</si>
  <si>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</si>
  <si>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</si>
  <si>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</si>
  <si>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</si>
  <si>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</si>
  <si>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</si>
  <si>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</si>
  <si>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</si>
  <si>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</si>
  <si>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</si>
  <si>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</si>
  <si>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</si>
  <si>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</si>
  <si>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</si>
  <si>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</si>
  <si>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</si>
  <si>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</si>
  <si>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</si>
  <si>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</si>
  <si>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</si>
  <si>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</si>
  <si>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</si>
  <si>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</si>
  <si>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</si>
  <si>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</si>
  <si>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</si>
  <si>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</si>
  <si>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</si>
  <si>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</si>
  <si>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</si>
  <si>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</si>
  <si>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</si>
  <si>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</si>
  <si>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</si>
  <si>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</si>
  <si>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</si>
  <si>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</si>
  <si>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</si>
  <si>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</si>
  <si>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</si>
  <si>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</si>
  <si>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</si>
  <si>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</si>
  <si>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</si>
  <si>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</si>
  <si>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</si>
  <si>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</si>
  <si>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</si>
  <si>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</si>
  <si>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</si>
  <si>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</si>
  <si>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</si>
  <si>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</si>
  <si>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</si>
  <si>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</si>
  <si>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</si>
  <si>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</si>
  <si>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</si>
  <si>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</si>
  <si>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</si>
  <si>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</si>
  <si>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</si>
  <si>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</si>
  <si>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</si>
  <si>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</si>
  <si>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</si>
  <si>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</si>
  <si>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</si>
  <si>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</si>
  <si>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</si>
  <si>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</si>
  <si>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</si>
  <si>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</si>
  <si>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</si>
  <si>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</si>
  <si>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</si>
  <si>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</si>
  <si>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</si>
  <si>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</si>
  <si>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</si>
  <si>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</si>
  <si>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</si>
  <si>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</si>
  <si>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</si>
  <si>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</si>
  <si>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</si>
  <si>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</si>
  <si>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</si>
  <si>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</si>
  <si>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</si>
  <si>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</si>
  <si>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</si>
  <si>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</si>
  <si>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</si>
  <si>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</si>
  <si>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</si>
  <si>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</si>
  <si>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</si>
  <si>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</si>
  <si>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</si>
  <si>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</si>
  <si>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</si>
  <si>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</si>
  <si>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</si>
  <si>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</si>
  <si>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</si>
  <si>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</si>
  <si>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</si>
  <si>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</si>
  <si>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</si>
  <si>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</si>
  <si>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</si>
  <si>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</si>
  <si>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</si>
  <si>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</si>
  <si>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</si>
  <si>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</si>
  <si>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</si>
  <si>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</si>
  <si>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</si>
  <si>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</si>
  <si>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</si>
  <si>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</si>
  <si>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</si>
  <si>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</si>
  <si>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</si>
  <si>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</si>
  <si>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</si>
  <si>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</si>
  <si>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</si>
  <si>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</si>
  <si>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</si>
  <si>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</si>
  <si>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</si>
  <si>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</si>
  <si>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</si>
  <si>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</si>
  <si>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</si>
  <si>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</si>
  <si>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</si>
  <si>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</si>
  <si>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</si>
  <si>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</si>
  <si>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</si>
  <si>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</si>
  <si>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</si>
  <si>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</si>
  <si>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</si>
  <si>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</si>
  <si>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</si>
  <si>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</si>
  <si>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</si>
  <si>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</si>
  <si>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</si>
  <si>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</si>
  <si>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</si>
  <si>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</si>
  <si>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</si>
  <si>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</si>
  <si>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</si>
  <si>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</si>
  <si>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</si>
  <si>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</si>
  <si>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</si>
  <si>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</si>
  <si>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</si>
  <si>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</si>
  <si>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</si>
  <si>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</si>
  <si>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</si>
  <si>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</si>
  <si>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</si>
  <si>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</si>
  <si>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</si>
  <si>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</si>
  <si>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</si>
  <si>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</si>
  <si>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</si>
  <si>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</si>
  <si>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</si>
  <si>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</si>
  <si>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</si>
  <si>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</si>
  <si>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</si>
  <si>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</si>
  <si>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</si>
  <si>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</si>
  <si>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</si>
  <si>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</si>
  <si>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</si>
  <si>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</si>
  <si>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</si>
  <si>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</si>
  <si>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</si>
  <si>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</si>
  <si>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</si>
  <si>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</si>
  <si>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</si>
  <si>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</si>
  <si>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</si>
  <si>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</si>
  <si>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</si>
  <si>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</si>
  <si>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</si>
  <si>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</si>
  <si>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</si>
  <si>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</si>
  <si>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</si>
  <si>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</si>
  <si>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</si>
  <si>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</si>
  <si>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</si>
  <si>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</si>
  <si>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</si>
  <si>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</si>
  <si>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</si>
  <si>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</si>
  <si>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</si>
  <si>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</si>
  <si>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</si>
  <si>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</si>
  <si>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</si>
  <si>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</si>
  <si>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</si>
  <si>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</si>
  <si>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</si>
  <si>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</si>
  <si>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</si>
  <si>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</si>
  <si>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</si>
  <si>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</si>
  <si>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</si>
  <si>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</si>
  <si>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</si>
  <si>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</si>
  <si>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</si>
  <si>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</si>
  <si>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</si>
  <si>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</si>
  <si>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</si>
  <si>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</si>
  <si>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</si>
  <si>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</si>
  <si>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</si>
  <si>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</si>
  <si>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</si>
  <si>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</si>
  <si>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</si>
  <si>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</si>
  <si>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</si>
  <si>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</si>
  <si>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</si>
  <si>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</si>
  <si>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</si>
  <si>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</si>
  <si>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</si>
  <si>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</si>
  <si>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</si>
  <si>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</si>
  <si>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</si>
  <si>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</si>
  <si>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</si>
  <si>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</si>
  <si>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</si>
  <si>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</si>
  <si>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</si>
  <si>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</si>
  <si>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</si>
  <si>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</si>
  <si>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</si>
  <si>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</si>
  <si>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</si>
  <si>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</si>
  <si>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</si>
  <si>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</si>
  <si>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</si>
  <si>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</si>
  <si>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</si>
  <si>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</si>
  <si>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</si>
  <si>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</si>
  <si>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</si>
  <si>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</si>
  <si>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</si>
  <si>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</si>
  <si>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</si>
  <si>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</si>
  <si>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</si>
  <si>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</si>
  <si>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</si>
  <si>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</si>
  <si>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</si>
  <si>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</si>
  <si>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</si>
  <si>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</si>
  <si>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</si>
  <si>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</si>
  <si>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</si>
  <si>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</si>
  <si>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</si>
  <si>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</si>
  <si>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</si>
  <si>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</si>
  <si>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</si>
  <si>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</si>
  <si>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</si>
  <si>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</si>
  <si>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</si>
  <si>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</si>
  <si>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</si>
  <si>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</si>
  <si>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</si>
  <si>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</si>
  <si>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</si>
  <si>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</si>
  <si>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</si>
  <si>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</si>
  <si>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</si>
  <si>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</si>
  <si>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</si>
  <si>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</si>
  <si>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</si>
  <si>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</si>
  <si>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</si>
  <si>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</si>
  <si>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</si>
  <si>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</si>
  <si>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</si>
  <si>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</si>
  <si>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</si>
  <si>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</si>
  <si>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</si>
  <si>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</si>
  <si>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</si>
  <si>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</si>
  <si>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</si>
  <si>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</si>
  <si>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</si>
  <si>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</si>
  <si>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</si>
  <si>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</si>
  <si>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</si>
  <si>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</si>
  <si>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</si>
  <si>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</si>
  <si>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</si>
  <si>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</si>
  <si>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</si>
  <si>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</si>
  <si>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</si>
  <si>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</si>
  <si>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</si>
  <si>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</si>
  <si>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</si>
  <si>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</si>
  <si>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</si>
  <si>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</si>
  <si>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</si>
  <si>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</si>
  <si>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</si>
  <si>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</si>
  <si>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</si>
  <si>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</si>
  <si>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</si>
  <si>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</si>
  <si>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</si>
  <si>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</si>
  <si>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</si>
  <si>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</si>
  <si>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</si>
  <si>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</si>
  <si>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</si>
  <si>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</si>
  <si>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</si>
  <si>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</si>
  <si>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</si>
  <si>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</si>
  <si>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</si>
  <si>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</si>
  <si>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</si>
  <si>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</si>
  <si>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</si>
  <si>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</si>
  <si>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</si>
  <si>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</si>
  <si>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</si>
  <si>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</si>
  <si>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</si>
  <si>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</si>
  <si>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</si>
  <si>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</si>
  <si>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</si>
  <si>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</si>
  <si>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</si>
  <si>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</si>
  <si>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</si>
  <si>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</si>
  <si>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</si>
  <si>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</si>
  <si>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</si>
  <si>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</si>
  <si>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</si>
  <si>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</si>
  <si>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</si>
  <si>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</si>
  <si>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</si>
  <si>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</si>
  <si>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</si>
  <si>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</si>
  <si>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</si>
  <si>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</si>
  <si>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</si>
  <si>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</si>
  <si>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</si>
  <si>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</si>
  <si>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</si>
  <si>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</si>
  <si>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</si>
  <si>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</si>
  <si>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</si>
  <si>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</si>
  <si>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</si>
  <si>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</si>
  <si>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</si>
  <si>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</si>
  <si>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</si>
  <si>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</si>
  <si>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</si>
  <si>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</si>
  <si>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</si>
  <si>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</si>
  <si>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</si>
  <si>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</si>
  <si>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</si>
  <si>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</si>
  <si>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</si>
  <si>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</si>
  <si>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</si>
  <si>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</si>
  <si>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</si>
  <si>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</si>
  <si>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</si>
  <si>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</si>
  <si>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</si>
  <si>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</si>
  <si>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</si>
  <si>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</si>
  <si>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</si>
  <si>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</si>
  <si>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</si>
  <si>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</si>
  <si>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</si>
  <si>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</si>
  <si>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</si>
  <si>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</si>
  <si>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</si>
  <si>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</si>
  <si>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</si>
  <si>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</si>
  <si>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</si>
  <si>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</si>
  <si>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</si>
  <si>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</si>
  <si>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</si>
  <si>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</si>
  <si>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</si>
  <si>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</si>
  <si>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</si>
  <si>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</si>
  <si>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</si>
  <si>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</si>
  <si>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</si>
  <si>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</si>
  <si>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</si>
  <si>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</si>
  <si>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</si>
  <si>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</si>
  <si>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</si>
  <si>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</si>
  <si>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</si>
  <si>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</si>
  <si>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</si>
  <si>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</si>
  <si>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</si>
  <si>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</si>
  <si>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</si>
  <si>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</si>
  <si>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</si>
  <si>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</si>
  <si>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</si>
  <si>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</si>
  <si>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</si>
  <si>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</si>
  <si>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</si>
  <si>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отдельно.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</si>
</sst>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912</v>
      </c>
      <c r="I5" s="909"/>
      <c r="J5" s="909"/>
      <c r="K5" s="909"/>
      <c r="L5" s="909"/>
      <c r="M5" s="728"/>
      <c r="N5" s="58"/>
      <c r="P5" s="24" t="s">
        <v>10</v>
      </c>
      <c r="Q5" s="983">
        <v>46249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873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Суббота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0.41666666666666669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26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0" t="s">
        <v>36</v>
      </c>
      <c r="D17" s="692" t="s">
        <v>37</v>
      </c>
      <c r="E17" s="749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48"/>
      <c r="R17" s="748"/>
      <c r="S17" s="748"/>
      <c r="T17" s="749"/>
      <c r="U17" s="974" t="s">
        <v>49</v>
      </c>
      <c r="V17" s="665"/>
      <c r="W17" s="692" t="s">
        <v>50</v>
      </c>
      <c r="X17" s="692" t="s">
        <v>51</v>
      </c>
      <c r="Y17" s="975" t="s">
        <v>52</v>
      </c>
      <c r="Z17" s="907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61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61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62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72</v>
      </c>
      <c r="Q24" s="642"/>
      <c r="R24" s="642"/>
      <c r="S24" s="642"/>
      <c r="T24" s="642"/>
      <c r="U24" s="642"/>
      <c r="V24" s="643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72</v>
      </c>
      <c r="Q25" s="642"/>
      <c r="R25" s="642"/>
      <c r="S25" s="642"/>
      <c r="T25" s="642"/>
      <c r="U25" s="642"/>
      <c r="V25" s="643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74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72</v>
      </c>
      <c r="Q32" s="642"/>
      <c r="R32" s="642"/>
      <c r="S32" s="642"/>
      <c r="T32" s="642"/>
      <c r="U32" s="642"/>
      <c r="V32" s="643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72</v>
      </c>
      <c r="Q33" s="642"/>
      <c r="R33" s="642"/>
      <c r="S33" s="642"/>
      <c r="T33" s="642"/>
      <c r="U33" s="642"/>
      <c r="V33" s="643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18" t="s">
        <v>92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93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74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72</v>
      </c>
      <c r="Q42" s="642"/>
      <c r="R42" s="642"/>
      <c r="S42" s="642"/>
      <c r="T42" s="642"/>
      <c r="U42" s="642"/>
      <c r="V42" s="643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72</v>
      </c>
      <c r="Q43" s="642"/>
      <c r="R43" s="642"/>
      <c r="S43" s="642"/>
      <c r="T43" s="642"/>
      <c r="U43" s="642"/>
      <c r="V43" s="643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109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110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111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3">
        <v>142</v>
      </c>
      <c r="Y47" s="634">
        <f>IFERROR(IF(X47="",0,CEILING((X47/$H47),1)*$H47),"")</f>
        <v>151.20000000000002</v>
      </c>
      <c r="Z47" s="36">
        <f>IFERROR(IF(Y47=0,"",ROUNDUP(Y47/H47,0)*0.01898),"")</f>
        <v>0.26572000000000001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147.39074074074074</v>
      </c>
      <c r="BN47" s="64">
        <f>IFERROR(Y47*I47/H47,"0")</f>
        <v>156.94</v>
      </c>
      <c r="BO47" s="64">
        <f>IFERROR(1/J47*(X47/H47),"0")</f>
        <v>0.2054398148148148</v>
      </c>
      <c r="BP47" s="64">
        <f>IFERROR(1/J47*(Y47/H47),"0")</f>
        <v>0.21875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72</v>
      </c>
      <c r="Q51" s="642"/>
      <c r="R51" s="642"/>
      <c r="S51" s="642"/>
      <c r="T51" s="642"/>
      <c r="U51" s="642"/>
      <c r="V51" s="643"/>
      <c r="W51" s="37" t="s">
        <v>73</v>
      </c>
      <c r="X51" s="635">
        <f>IFERROR(X47/H47,"0")+IFERROR(X48/H48,"0")+IFERROR(X49/H49,"0")+IFERROR(X50/H50,"0")</f>
        <v>13.148148148148147</v>
      </c>
      <c r="Y51" s="635">
        <f>IFERROR(Y47/H47,"0")+IFERROR(Y48/H48,"0")+IFERROR(Y49/H49,"0")+IFERROR(Y50/H50,"0")</f>
        <v>14</v>
      </c>
      <c r="Z51" s="635">
        <f>IFERROR(IF(Z47="",0,Z47),"0")+IFERROR(IF(Z48="",0,Z48),"0")+IFERROR(IF(Z49="",0,Z49),"0")+IFERROR(IF(Z50="",0,Z50),"0")</f>
        <v>0.26572000000000001</v>
      </c>
      <c r="AA51" s="636"/>
      <c r="AB51" s="636"/>
      <c r="AC51" s="636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72</v>
      </c>
      <c r="Q52" s="642"/>
      <c r="R52" s="642"/>
      <c r="S52" s="642"/>
      <c r="T52" s="642"/>
      <c r="U52" s="642"/>
      <c r="V52" s="643"/>
      <c r="W52" s="37" t="s">
        <v>67</v>
      </c>
      <c r="X52" s="635">
        <f>IFERROR(SUM(X47:X50),"0")</f>
        <v>142</v>
      </c>
      <c r="Y52" s="635">
        <f>IFERROR(SUM(Y47:Y50),"0")</f>
        <v>151.20000000000002</v>
      </c>
      <c r="Z52" s="37"/>
      <c r="AA52" s="636"/>
      <c r="AB52" s="636"/>
      <c r="AC52" s="636"/>
    </row>
    <row r="53" spans="1:68" ht="16.5" hidden="1" customHeight="1" x14ac:dyDescent="0.25">
      <c r="A53" s="639" t="s">
        <v>126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111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hidden="1" customHeight="1" x14ac:dyDescent="0.25">
      <c r="A55" s="54" t="s">
        <v>127</v>
      </c>
      <c r="B55" s="54" t="s">
        <v>128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144</v>
      </c>
      <c r="B62" s="54" t="s">
        <v>145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idden="1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72</v>
      </c>
      <c r="Q63" s="642"/>
      <c r="R63" s="642"/>
      <c r="S63" s="642"/>
      <c r="T63" s="642"/>
      <c r="U63" s="642"/>
      <c r="V63" s="643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hidden="1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72</v>
      </c>
      <c r="Q64" s="642"/>
      <c r="R64" s="642"/>
      <c r="S64" s="642"/>
      <c r="T64" s="642"/>
      <c r="U64" s="642"/>
      <c r="V64" s="643"/>
      <c r="W64" s="37" t="s">
        <v>67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hidden="1" customHeight="1" x14ac:dyDescent="0.25">
      <c r="A65" s="644" t="s">
        <v>147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3">
        <v>23</v>
      </c>
      <c r="Y66" s="634">
        <f>IFERROR(IF(X66="",0,CEILING((X66/$H66),1)*$H66),"")</f>
        <v>32.400000000000006</v>
      </c>
      <c r="Z66" s="36">
        <f>IFERROR(IF(Y66=0,"",ROUNDUP(Y66/H66,0)*0.01898),"")</f>
        <v>5.6940000000000004E-2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23.87314814814815</v>
      </c>
      <c r="BN66" s="64">
        <f>IFERROR(Y66*I66/H66,"0")</f>
        <v>33.630000000000003</v>
      </c>
      <c r="BO66" s="64">
        <f>IFERROR(1/J66*(X66/H66),"0")</f>
        <v>3.3275462962962958E-2</v>
      </c>
      <c r="BP66" s="64">
        <f>IFERROR(1/J66*(Y66/H66),"0")</f>
        <v>4.6875000000000007E-2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72</v>
      </c>
      <c r="Q70" s="642"/>
      <c r="R70" s="642"/>
      <c r="S70" s="642"/>
      <c r="T70" s="642"/>
      <c r="U70" s="642"/>
      <c r="V70" s="643"/>
      <c r="W70" s="37" t="s">
        <v>73</v>
      </c>
      <c r="X70" s="635">
        <f>IFERROR(X66/H66,"0")+IFERROR(X67/H67,"0")+IFERROR(X68/H68,"0")+IFERROR(X69/H69,"0")</f>
        <v>2.1296296296296293</v>
      </c>
      <c r="Y70" s="635">
        <f>IFERROR(Y66/H66,"0")+IFERROR(Y67/H67,"0")+IFERROR(Y68/H68,"0")+IFERROR(Y69/H69,"0")</f>
        <v>3.0000000000000004</v>
      </c>
      <c r="Z70" s="635">
        <f>IFERROR(IF(Z66="",0,Z66),"0")+IFERROR(IF(Z67="",0,Z67),"0")+IFERROR(IF(Z68="",0,Z68),"0")+IFERROR(IF(Z69="",0,Z69),"0")</f>
        <v>5.6940000000000004E-2</v>
      </c>
      <c r="AA70" s="636"/>
      <c r="AB70" s="636"/>
      <c r="AC70" s="636"/>
    </row>
    <row r="71" spans="1:68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72</v>
      </c>
      <c r="Q71" s="642"/>
      <c r="R71" s="642"/>
      <c r="S71" s="642"/>
      <c r="T71" s="642"/>
      <c r="U71" s="642"/>
      <c r="V71" s="643"/>
      <c r="W71" s="37" t="s">
        <v>67</v>
      </c>
      <c r="X71" s="635">
        <f>IFERROR(SUM(X66:X69),"0")</f>
        <v>23</v>
      </c>
      <c r="Y71" s="635">
        <f>IFERROR(SUM(Y66:Y69),"0")</f>
        <v>32.400000000000006</v>
      </c>
      <c r="Z71" s="37"/>
      <c r="AA71" s="636"/>
      <c r="AB71" s="636"/>
      <c r="AC71" s="636"/>
    </row>
    <row r="72" spans="1:68" ht="14.25" hidden="1" customHeight="1" x14ac:dyDescent="0.25">
      <c r="A72" s="644" t="s">
        <v>74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hidden="1" customHeight="1" x14ac:dyDescent="0.25">
      <c r="A73" s="54" t="s">
        <v>158</v>
      </c>
      <c r="B73" s="54" t="s">
        <v>159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72</v>
      </c>
      <c r="Q75" s="642"/>
      <c r="R75" s="642"/>
      <c r="S75" s="642"/>
      <c r="T75" s="642"/>
      <c r="U75" s="642"/>
      <c r="V75" s="643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72</v>
      </c>
      <c r="Q76" s="642"/>
      <c r="R76" s="642"/>
      <c r="S76" s="642"/>
      <c r="T76" s="642"/>
      <c r="U76" s="642"/>
      <c r="V76" s="643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44" t="s">
        <v>164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3">
        <v>147</v>
      </c>
      <c r="Y78" s="634">
        <f>IFERROR(IF(X78="",0,CEILING((X78/$H78),1)*$H78),"")</f>
        <v>148.19999999999999</v>
      </c>
      <c r="Z78" s="36">
        <f>IFERROR(IF(Y78=0,"",ROUNDUP(Y78/H78,0)*0.01898),"")</f>
        <v>0.36062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154.7269230769231</v>
      </c>
      <c r="BN78" s="64">
        <f>IFERROR(Y78*I78/H78,"0")</f>
        <v>155.99</v>
      </c>
      <c r="BO78" s="64">
        <f>IFERROR(1/J78*(X78/H78),"0")</f>
        <v>0.29447115384615385</v>
      </c>
      <c r="BP78" s="64">
        <f>IFERROR(1/J78*(Y78/H78),"0")</f>
        <v>0.296875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72</v>
      </c>
      <c r="Q80" s="642"/>
      <c r="R80" s="642"/>
      <c r="S80" s="642"/>
      <c r="T80" s="642"/>
      <c r="U80" s="642"/>
      <c r="V80" s="643"/>
      <c r="W80" s="37" t="s">
        <v>73</v>
      </c>
      <c r="X80" s="635">
        <f>IFERROR(X78/H78,"0")+IFERROR(X79/H79,"0")</f>
        <v>18.846153846153847</v>
      </c>
      <c r="Y80" s="635">
        <f>IFERROR(Y78/H78,"0")+IFERROR(Y79/H79,"0")</f>
        <v>19</v>
      </c>
      <c r="Z80" s="635">
        <f>IFERROR(IF(Z78="",0,Z78),"0")+IFERROR(IF(Z79="",0,Z79),"0")</f>
        <v>0.36062</v>
      </c>
      <c r="AA80" s="636"/>
      <c r="AB80" s="636"/>
      <c r="AC80" s="636"/>
    </row>
    <row r="81" spans="1:68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72</v>
      </c>
      <c r="Q81" s="642"/>
      <c r="R81" s="642"/>
      <c r="S81" s="642"/>
      <c r="T81" s="642"/>
      <c r="U81" s="642"/>
      <c r="V81" s="643"/>
      <c r="W81" s="37" t="s">
        <v>67</v>
      </c>
      <c r="X81" s="635">
        <f>IFERROR(SUM(X78:X79),"0")</f>
        <v>147</v>
      </c>
      <c r="Y81" s="635">
        <f>IFERROR(SUM(Y78:Y79),"0")</f>
        <v>148.19999999999999</v>
      </c>
      <c r="Z81" s="37"/>
      <c r="AA81" s="636"/>
      <c r="AB81" s="636"/>
      <c r="AC81" s="636"/>
    </row>
    <row r="82" spans="1:68" ht="16.5" hidden="1" customHeight="1" x14ac:dyDescent="0.25">
      <c r="A82" s="639" t="s">
        <v>171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111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hidden="1" customHeight="1" x14ac:dyDescent="0.25">
      <c r="A84" s="54" t="s">
        <v>172</v>
      </c>
      <c r="B84" s="54" t="s">
        <v>173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175</v>
      </c>
      <c r="B85" s="54" t="s">
        <v>176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180</v>
      </c>
      <c r="B87" s="54" t="s">
        <v>181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72</v>
      </c>
      <c r="Q88" s="642"/>
      <c r="R88" s="642"/>
      <c r="S88" s="642"/>
      <c r="T88" s="642"/>
      <c r="U88" s="642"/>
      <c r="V88" s="643"/>
      <c r="W88" s="37" t="s">
        <v>73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hidden="1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72</v>
      </c>
      <c r="Q89" s="642"/>
      <c r="R89" s="642"/>
      <c r="S89" s="642"/>
      <c r="T89" s="642"/>
      <c r="U89" s="642"/>
      <c r="V89" s="643"/>
      <c r="W89" s="37" t="s">
        <v>67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hidden="1" customHeight="1" x14ac:dyDescent="0.25">
      <c r="A90" s="644" t="s">
        <v>74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67</v>
      </c>
      <c r="X91" s="633">
        <v>228</v>
      </c>
      <c r="Y91" s="634">
        <f>IFERROR(IF(X91="",0,CEILING((X91/$H91),1)*$H91),"")</f>
        <v>234.89999999999998</v>
      </c>
      <c r="Z91" s="36">
        <f>IFERROR(IF(Y91=0,"",ROUNDUP(Y91/H91,0)*0.01898),"")</f>
        <v>0.55042000000000002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241.90518518518516</v>
      </c>
      <c r="BN91" s="64">
        <f>IFERROR(Y91*I91/H91,"0")</f>
        <v>249.22599999999997</v>
      </c>
      <c r="BO91" s="64">
        <f>IFERROR(1/J91*(X91/H91),"0")</f>
        <v>0.43981481481481483</v>
      </c>
      <c r="BP91" s="64">
        <f>IFERROR(1/J91*(Y91/H91),"0")</f>
        <v>0.453125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187</v>
      </c>
      <c r="B93" s="54" t="s">
        <v>188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72</v>
      </c>
      <c r="Q95" s="642"/>
      <c r="R95" s="642"/>
      <c r="S95" s="642"/>
      <c r="T95" s="642"/>
      <c r="U95" s="642"/>
      <c r="V95" s="643"/>
      <c r="W95" s="37" t="s">
        <v>73</v>
      </c>
      <c r="X95" s="635">
        <f>IFERROR(X91/H91,"0")+IFERROR(X92/H92,"0")+IFERROR(X93/H93,"0")+IFERROR(X94/H94,"0")</f>
        <v>28.148148148148149</v>
      </c>
      <c r="Y95" s="635">
        <f>IFERROR(Y91/H91,"0")+IFERROR(Y92/H92,"0")+IFERROR(Y93/H93,"0")+IFERROR(Y94/H94,"0")</f>
        <v>29</v>
      </c>
      <c r="Z95" s="635">
        <f>IFERROR(IF(Z91="",0,Z91),"0")+IFERROR(IF(Z92="",0,Z92),"0")+IFERROR(IF(Z93="",0,Z93),"0")+IFERROR(IF(Z94="",0,Z94),"0")</f>
        <v>0.55042000000000002</v>
      </c>
      <c r="AA95" s="636"/>
      <c r="AB95" s="636"/>
      <c r="AC95" s="636"/>
    </row>
    <row r="96" spans="1:68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72</v>
      </c>
      <c r="Q96" s="642"/>
      <c r="R96" s="642"/>
      <c r="S96" s="642"/>
      <c r="T96" s="642"/>
      <c r="U96" s="642"/>
      <c r="V96" s="643"/>
      <c r="W96" s="37" t="s">
        <v>67</v>
      </c>
      <c r="X96" s="635">
        <f>IFERROR(SUM(X91:X94),"0")</f>
        <v>228</v>
      </c>
      <c r="Y96" s="635">
        <f>IFERROR(SUM(Y91:Y94),"0")</f>
        <v>234.89999999999998</v>
      </c>
      <c r="Z96" s="37"/>
      <c r="AA96" s="636"/>
      <c r="AB96" s="636"/>
      <c r="AC96" s="636"/>
    </row>
    <row r="97" spans="1:68" ht="16.5" hidden="1" customHeight="1" x14ac:dyDescent="0.25">
      <c r="A97" s="639" t="s">
        <v>192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111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67</v>
      </c>
      <c r="X99" s="633">
        <v>46</v>
      </c>
      <c r="Y99" s="634">
        <f t="shared" ref="Y99:Y105" si="5"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47.7462962962963</v>
      </c>
      <c r="BN99" s="64">
        <f t="shared" ref="BN99:BN105" si="7">IFERROR(Y99*I99/H99,"0")</f>
        <v>56.05</v>
      </c>
      <c r="BO99" s="64">
        <f t="shared" ref="BO99:BO105" si="8">IFERROR(1/J99*(X99/H99),"0")</f>
        <v>6.6550925925925916E-2</v>
      </c>
      <c r="BP99" s="64">
        <f t="shared" ref="BP99:BP105" si="9">IFERROR(1/J99*(Y99/H99),"0")</f>
        <v>7.8125E-2</v>
      </c>
    </row>
    <row r="100" spans="1:68" ht="27" hidden="1" customHeight="1" x14ac:dyDescent="0.25">
      <c r="A100" s="54" t="s">
        <v>196</v>
      </c>
      <c r="B100" s="54" t="s">
        <v>197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72</v>
      </c>
      <c r="Q106" s="642"/>
      <c r="R106" s="642"/>
      <c r="S106" s="642"/>
      <c r="T106" s="642"/>
      <c r="U106" s="642"/>
      <c r="V106" s="643"/>
      <c r="W106" s="37" t="s">
        <v>73</v>
      </c>
      <c r="X106" s="635">
        <f>IFERROR(X99/H99,"0")+IFERROR(X100/H100,"0")+IFERROR(X101/H101,"0")+IFERROR(X102/H102,"0")+IFERROR(X103/H103,"0")+IFERROR(X104/H104,"0")+IFERROR(X105/H105,"0")</f>
        <v>4.2592592592592586</v>
      </c>
      <c r="Y106" s="635">
        <f>IFERROR(Y99/H99,"0")+IFERROR(Y100/H100,"0")+IFERROR(Y101/H101,"0")+IFERROR(Y102/H102,"0")+IFERROR(Y103/H103,"0")+IFERROR(Y104/H104,"0")+IFERROR(Y105/H105,"0")</f>
        <v>5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9.4899999999999998E-2</v>
      </c>
      <c r="AA106" s="636"/>
      <c r="AB106" s="636"/>
      <c r="AC106" s="636"/>
    </row>
    <row r="107" spans="1:68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72</v>
      </c>
      <c r="Q107" s="642"/>
      <c r="R107" s="642"/>
      <c r="S107" s="642"/>
      <c r="T107" s="642"/>
      <c r="U107" s="642"/>
      <c r="V107" s="643"/>
      <c r="W107" s="37" t="s">
        <v>67</v>
      </c>
      <c r="X107" s="635">
        <f>IFERROR(SUM(X99:X105),"0")</f>
        <v>46</v>
      </c>
      <c r="Y107" s="635">
        <f>IFERROR(SUM(Y99:Y105),"0")</f>
        <v>54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147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67</v>
      </c>
      <c r="X109" s="633">
        <v>4</v>
      </c>
      <c r="Y109" s="634">
        <f>IFERROR(IF(X109="",0,CEILING((X109/$H109),1)*$H109),"")</f>
        <v>10.8</v>
      </c>
      <c r="Z109" s="36">
        <f>IFERROR(IF(Y109=0,"",ROUNDUP(Y109/H109,0)*0.01898),"")</f>
        <v>1.898E-2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4.1518518518518519</v>
      </c>
      <c r="BN109" s="64">
        <f>IFERROR(Y109*I109/H109,"0")</f>
        <v>11.21</v>
      </c>
      <c r="BO109" s="64">
        <f>IFERROR(1/J109*(X109/H109),"0")</f>
        <v>5.7870370370370367E-3</v>
      </c>
      <c r="BP109" s="64">
        <f>IFERROR(1/J109*(Y109/H109),"0")</f>
        <v>1.5625E-2</v>
      </c>
    </row>
    <row r="110" spans="1:68" ht="27" hidden="1" customHeight="1" x14ac:dyDescent="0.25">
      <c r="A110" s="54" t="s">
        <v>210</v>
      </c>
      <c r="B110" s="54" t="s">
        <v>211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3">
        <v>22</v>
      </c>
      <c r="Y113" s="634">
        <f>IFERROR(IF(X113="",0,CEILING((X113/$H113),1)*$H113),"")</f>
        <v>24</v>
      </c>
      <c r="Z113" s="36">
        <f>IFERROR(IF(Y113=0,"",ROUNDUP(Y113/H113,0)*0.00651),"")</f>
        <v>6.5100000000000005E-2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23.650000000000002</v>
      </c>
      <c r="BN113" s="64">
        <f>IFERROR(Y113*I113/H113,"0")</f>
        <v>25.8</v>
      </c>
      <c r="BO113" s="64">
        <f>IFERROR(1/J113*(X113/H113),"0")</f>
        <v>5.0366300366300375E-2</v>
      </c>
      <c r="BP113" s="64">
        <f>IFERROR(1/J113*(Y113/H113),"0")</f>
        <v>5.4945054945054951E-2</v>
      </c>
    </row>
    <row r="114" spans="1:68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72</v>
      </c>
      <c r="Q114" s="642"/>
      <c r="R114" s="642"/>
      <c r="S114" s="642"/>
      <c r="T114" s="642"/>
      <c r="U114" s="642"/>
      <c r="V114" s="643"/>
      <c r="W114" s="37" t="s">
        <v>73</v>
      </c>
      <c r="X114" s="635">
        <f>IFERROR(X109/H109,"0")+IFERROR(X110/H110,"0")+IFERROR(X111/H111,"0")+IFERROR(X112/H112,"0")+IFERROR(X113/H113,"0")</f>
        <v>9.5370370370370381</v>
      </c>
      <c r="Y114" s="635">
        <f>IFERROR(Y109/H109,"0")+IFERROR(Y110/H110,"0")+IFERROR(Y111/H111,"0")+IFERROR(Y112/H112,"0")+IFERROR(Y113/H113,"0")</f>
        <v>11</v>
      </c>
      <c r="Z114" s="635">
        <f>IFERROR(IF(Z109="",0,Z109),"0")+IFERROR(IF(Z110="",0,Z110),"0")+IFERROR(IF(Z111="",0,Z111),"0")+IFERROR(IF(Z112="",0,Z112),"0")+IFERROR(IF(Z113="",0,Z113),"0")</f>
        <v>8.4080000000000002E-2</v>
      </c>
      <c r="AA114" s="636"/>
      <c r="AB114" s="636"/>
      <c r="AC114" s="636"/>
    </row>
    <row r="115" spans="1:68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72</v>
      </c>
      <c r="Q115" s="642"/>
      <c r="R115" s="642"/>
      <c r="S115" s="642"/>
      <c r="T115" s="642"/>
      <c r="U115" s="642"/>
      <c r="V115" s="643"/>
      <c r="W115" s="37" t="s">
        <v>67</v>
      </c>
      <c r="X115" s="635">
        <f>IFERROR(SUM(X109:X113),"0")</f>
        <v>26</v>
      </c>
      <c r="Y115" s="635">
        <f>IFERROR(SUM(Y109:Y113),"0")</f>
        <v>34.799999999999997</v>
      </c>
      <c r="Z115" s="37"/>
      <c r="AA115" s="636"/>
      <c r="AB115" s="636"/>
      <c r="AC115" s="636"/>
    </row>
    <row r="116" spans="1:68" ht="14.25" hidden="1" customHeight="1" x14ac:dyDescent="0.25">
      <c r="A116" s="644" t="s">
        <v>74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67</v>
      </c>
      <c r="X117" s="633">
        <v>262</v>
      </c>
      <c r="Y117" s="634">
        <f>IFERROR(IF(X117="",0,CEILING((X117/$H117),1)*$H117),"")</f>
        <v>267.3</v>
      </c>
      <c r="Z117" s="36">
        <f>IFERROR(IF(Y117=0,"",ROUNDUP(Y117/H117,0)*0.01898),"")</f>
        <v>0.62634000000000001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277.78469135802465</v>
      </c>
      <c r="BN117" s="64">
        <f>IFERROR(Y117*I117/H117,"0")</f>
        <v>283.404</v>
      </c>
      <c r="BO117" s="64">
        <f>IFERROR(1/J117*(X117/H117),"0")</f>
        <v>0.5054012345679012</v>
      </c>
      <c r="BP117" s="64">
        <f>IFERROR(1/J117*(Y117/H117),"0")</f>
        <v>0.515625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224</v>
      </c>
      <c r="B119" s="54" t="s">
        <v>225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72</v>
      </c>
      <c r="Q121" s="642"/>
      <c r="R121" s="642"/>
      <c r="S121" s="642"/>
      <c r="T121" s="642"/>
      <c r="U121" s="642"/>
      <c r="V121" s="643"/>
      <c r="W121" s="37" t="s">
        <v>73</v>
      </c>
      <c r="X121" s="635">
        <f>IFERROR(X117/H117,"0")+IFERROR(X118/H118,"0")+IFERROR(X119/H119,"0")+IFERROR(X120/H120,"0")</f>
        <v>32.345679012345677</v>
      </c>
      <c r="Y121" s="635">
        <f>IFERROR(Y117/H117,"0")+IFERROR(Y118/H118,"0")+IFERROR(Y119/H119,"0")+IFERROR(Y120/H120,"0")</f>
        <v>33</v>
      </c>
      <c r="Z121" s="635">
        <f>IFERROR(IF(Z117="",0,Z117),"0")+IFERROR(IF(Z118="",0,Z118),"0")+IFERROR(IF(Z119="",0,Z119),"0")+IFERROR(IF(Z120="",0,Z120),"0")</f>
        <v>0.62634000000000001</v>
      </c>
      <c r="AA121" s="636"/>
      <c r="AB121" s="636"/>
      <c r="AC121" s="636"/>
    </row>
    <row r="122" spans="1:68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72</v>
      </c>
      <c r="Q122" s="642"/>
      <c r="R122" s="642"/>
      <c r="S122" s="642"/>
      <c r="T122" s="642"/>
      <c r="U122" s="642"/>
      <c r="V122" s="643"/>
      <c r="W122" s="37" t="s">
        <v>67</v>
      </c>
      <c r="X122" s="635">
        <f>IFERROR(SUM(X117:X120),"0")</f>
        <v>262</v>
      </c>
      <c r="Y122" s="635">
        <f>IFERROR(SUM(Y117:Y120),"0")</f>
        <v>267.3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164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hidden="1" customHeight="1" x14ac:dyDescent="0.25">
      <c r="A124" s="54" t="s">
        <v>229</v>
      </c>
      <c r="B124" s="54" t="s">
        <v>230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72</v>
      </c>
      <c r="Q125" s="642"/>
      <c r="R125" s="642"/>
      <c r="S125" s="642"/>
      <c r="T125" s="642"/>
      <c r="U125" s="642"/>
      <c r="V125" s="643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hidden="1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72</v>
      </c>
      <c r="Q126" s="642"/>
      <c r="R126" s="642"/>
      <c r="S126" s="642"/>
      <c r="T126" s="642"/>
      <c r="U126" s="642"/>
      <c r="V126" s="643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hidden="1" customHeight="1" x14ac:dyDescent="0.25">
      <c r="A127" s="639" t="s">
        <v>232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111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67</v>
      </c>
      <c r="X130" s="633">
        <v>4</v>
      </c>
      <c r="Y130" s="634">
        <f>IFERROR(IF(X130="",0,CEILING((X130/$H130),1)*$H130),"")</f>
        <v>6.4</v>
      </c>
      <c r="Z130" s="36">
        <f>IFERROR(IF(Y130=0,"",ROUNDUP(Y130/H130,0)*0.00651),"")</f>
        <v>1.302E-2</v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4.2249999999999996</v>
      </c>
      <c r="BN130" s="64">
        <f>IFERROR(Y130*I130/H130,"0")</f>
        <v>6.76</v>
      </c>
      <c r="BO130" s="64">
        <f>IFERROR(1/J130*(X130/H130),"0")</f>
        <v>6.8681318681318689E-3</v>
      </c>
      <c r="BP130" s="64">
        <f>IFERROR(1/J130*(Y130/H130),"0")</f>
        <v>1.098901098901099E-2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72</v>
      </c>
      <c r="Q132" s="642"/>
      <c r="R132" s="642"/>
      <c r="S132" s="642"/>
      <c r="T132" s="642"/>
      <c r="U132" s="642"/>
      <c r="V132" s="643"/>
      <c r="W132" s="37" t="s">
        <v>73</v>
      </c>
      <c r="X132" s="635">
        <f>IFERROR(X129/H129,"0")+IFERROR(X130/H130,"0")+IFERROR(X131/H131,"0")</f>
        <v>1.25</v>
      </c>
      <c r="Y132" s="635">
        <f>IFERROR(Y129/H129,"0")+IFERROR(Y130/H130,"0")+IFERROR(Y131/H131,"0")</f>
        <v>2</v>
      </c>
      <c r="Z132" s="635">
        <f>IFERROR(IF(Z129="",0,Z129),"0")+IFERROR(IF(Z130="",0,Z130),"0")+IFERROR(IF(Z131="",0,Z131),"0")</f>
        <v>1.302E-2</v>
      </c>
      <c r="AA132" s="636"/>
      <c r="AB132" s="636"/>
      <c r="AC132" s="636"/>
    </row>
    <row r="133" spans="1:68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72</v>
      </c>
      <c r="Q133" s="642"/>
      <c r="R133" s="642"/>
      <c r="S133" s="642"/>
      <c r="T133" s="642"/>
      <c r="U133" s="642"/>
      <c r="V133" s="643"/>
      <c r="W133" s="37" t="s">
        <v>67</v>
      </c>
      <c r="X133" s="635">
        <f>IFERROR(SUM(X129:X131),"0")</f>
        <v>4</v>
      </c>
      <c r="Y133" s="635">
        <f>IFERROR(SUM(Y129:Y131),"0")</f>
        <v>6.4</v>
      </c>
      <c r="Z133" s="37"/>
      <c r="AA133" s="636"/>
      <c r="AB133" s="636"/>
      <c r="AC133" s="636"/>
    </row>
    <row r="134" spans="1:68" ht="14.25" hidden="1" customHeight="1" x14ac:dyDescent="0.25">
      <c r="A134" s="644" t="s">
        <v>62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245</v>
      </c>
      <c r="B136" s="54" t="s">
        <v>246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72</v>
      </c>
      <c r="Q139" s="642"/>
      <c r="R139" s="642"/>
      <c r="S139" s="642"/>
      <c r="T139" s="642"/>
      <c r="U139" s="642"/>
      <c r="V139" s="643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hidden="1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72</v>
      </c>
      <c r="Q140" s="642"/>
      <c r="R140" s="642"/>
      <c r="S140" s="642"/>
      <c r="T140" s="642"/>
      <c r="U140" s="642"/>
      <c r="V140" s="643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hidden="1" customHeight="1" x14ac:dyDescent="0.25">
      <c r="A141" s="644" t="s">
        <v>74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67</v>
      </c>
      <c r="X143" s="633">
        <v>5</v>
      </c>
      <c r="Y143" s="634">
        <f>IFERROR(IF(X143="",0,CEILING((X143/$H143),1)*$H143),"")</f>
        <v>5.28</v>
      </c>
      <c r="Z143" s="36">
        <f>IFERROR(IF(Y143=0,"",ROUNDUP(Y143/H143,0)*0.00651),"")</f>
        <v>1.302E-2</v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5.5075757575757569</v>
      </c>
      <c r="BN143" s="64">
        <f>IFERROR(Y143*I143/H143,"0")</f>
        <v>5.8159999999999998</v>
      </c>
      <c r="BO143" s="64">
        <f>IFERROR(1/J143*(X143/H143),"0")</f>
        <v>1.0406260406260406E-2</v>
      </c>
      <c r="BP143" s="64">
        <f>IFERROR(1/J143*(Y143/H143),"0")</f>
        <v>1.098901098901099E-2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72</v>
      </c>
      <c r="Q145" s="642"/>
      <c r="R145" s="642"/>
      <c r="S145" s="642"/>
      <c r="T145" s="642"/>
      <c r="U145" s="642"/>
      <c r="V145" s="643"/>
      <c r="W145" s="37" t="s">
        <v>73</v>
      </c>
      <c r="X145" s="635">
        <f>IFERROR(X142/H142,"0")+IFERROR(X143/H143,"0")+IFERROR(X144/H144,"0")</f>
        <v>1.8939393939393938</v>
      </c>
      <c r="Y145" s="635">
        <f>IFERROR(Y142/H142,"0")+IFERROR(Y143/H143,"0")+IFERROR(Y144/H144,"0")</f>
        <v>2</v>
      </c>
      <c r="Z145" s="635">
        <f>IFERROR(IF(Z142="",0,Z142),"0")+IFERROR(IF(Z143="",0,Z143),"0")+IFERROR(IF(Z144="",0,Z144),"0")</f>
        <v>1.302E-2</v>
      </c>
      <c r="AA145" s="636"/>
      <c r="AB145" s="636"/>
      <c r="AC145" s="636"/>
    </row>
    <row r="146" spans="1:68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72</v>
      </c>
      <c r="Q146" s="642"/>
      <c r="R146" s="642"/>
      <c r="S146" s="642"/>
      <c r="T146" s="642"/>
      <c r="U146" s="642"/>
      <c r="V146" s="643"/>
      <c r="W146" s="37" t="s">
        <v>67</v>
      </c>
      <c r="X146" s="635">
        <f>IFERROR(SUM(X142:X144),"0")</f>
        <v>5</v>
      </c>
      <c r="Y146" s="635">
        <f>IFERROR(SUM(Y142:Y144),"0")</f>
        <v>5.28</v>
      </c>
      <c r="Z146" s="37"/>
      <c r="AA146" s="636"/>
      <c r="AB146" s="636"/>
      <c r="AC146" s="636"/>
    </row>
    <row r="147" spans="1:68" ht="16.5" hidden="1" customHeight="1" x14ac:dyDescent="0.25">
      <c r="A147" s="639" t="s">
        <v>256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74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72</v>
      </c>
      <c r="Q156" s="642"/>
      <c r="R156" s="642"/>
      <c r="S156" s="642"/>
      <c r="T156" s="642"/>
      <c r="U156" s="642"/>
      <c r="V156" s="643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72</v>
      </c>
      <c r="Q157" s="642"/>
      <c r="R157" s="642"/>
      <c r="S157" s="642"/>
      <c r="T157" s="642"/>
      <c r="U157" s="642"/>
      <c r="V157" s="643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272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72</v>
      </c>
      <c r="Q160" s="642"/>
      <c r="R160" s="642"/>
      <c r="S160" s="642"/>
      <c r="T160" s="642"/>
      <c r="U160" s="642"/>
      <c r="V160" s="643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72</v>
      </c>
      <c r="Q161" s="642"/>
      <c r="R161" s="642"/>
      <c r="S161" s="642"/>
      <c r="T161" s="642"/>
      <c r="U161" s="642"/>
      <c r="V161" s="643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109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111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hidden="1" customHeight="1" x14ac:dyDescent="0.25">
      <c r="A164" s="54" t="s">
        <v>279</v>
      </c>
      <c r="B164" s="54" t="s">
        <v>280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72</v>
      </c>
      <c r="Q167" s="642"/>
      <c r="R167" s="642"/>
      <c r="S167" s="642"/>
      <c r="T167" s="642"/>
      <c r="U167" s="642"/>
      <c r="V167" s="643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72</v>
      </c>
      <c r="Q168" s="642"/>
      <c r="R168" s="642"/>
      <c r="S168" s="642"/>
      <c r="T168" s="642"/>
      <c r="U168" s="642"/>
      <c r="V168" s="643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147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72</v>
      </c>
      <c r="Q172" s="642"/>
      <c r="R172" s="642"/>
      <c r="S172" s="642"/>
      <c r="T172" s="642"/>
      <c r="U172" s="642"/>
      <c r="V172" s="643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72</v>
      </c>
      <c r="Q173" s="642"/>
      <c r="R173" s="642"/>
      <c r="S173" s="642"/>
      <c r="T173" s="642"/>
      <c r="U173" s="642"/>
      <c r="V173" s="64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62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3">
        <v>60</v>
      </c>
      <c r="Y175" s="634">
        <f t="shared" ref="Y175:Y185" si="16">IFERROR(IF(X175="",0,CEILING((X175/$H175),1)*$H175),"")</f>
        <v>63</v>
      </c>
      <c r="Z175" s="36">
        <f>IFERROR(IF(Y175=0,"",ROUNDUP(Y175/H175,0)*0.00902),"")</f>
        <v>0.16236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63.25714285714286</v>
      </c>
      <c r="BN175" s="64">
        <f t="shared" ref="BN175:BN185" si="18">IFERROR(Y175*I175/H175,"0")</f>
        <v>66.42</v>
      </c>
      <c r="BO175" s="64">
        <f t="shared" ref="BO175:BO185" si="19">IFERROR(1/J175*(X175/H175),"0")</f>
        <v>0.12987012987012986</v>
      </c>
      <c r="BP175" s="64">
        <f t="shared" ref="BP175:BP185" si="20">IFERROR(1/J175*(Y175/H175),"0")</f>
        <v>0.13636363636363635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3">
        <v>30</v>
      </c>
      <c r="Y177" s="634">
        <f t="shared" si="16"/>
        <v>31.5</v>
      </c>
      <c r="Z177" s="36">
        <f>IFERROR(IF(Y177=0,"",ROUNDUP(Y177/H177,0)*0.00902),"")</f>
        <v>8.1180000000000002E-2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31.62857142857143</v>
      </c>
      <c r="BN177" s="64">
        <f t="shared" si="18"/>
        <v>33.21</v>
      </c>
      <c r="BO177" s="64">
        <f t="shared" si="19"/>
        <v>6.4935064935064929E-2</v>
      </c>
      <c r="BP177" s="64">
        <f t="shared" si="20"/>
        <v>6.8181818181818177E-2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3">
        <v>50</v>
      </c>
      <c r="Y178" s="634">
        <f t="shared" si="16"/>
        <v>52.5</v>
      </c>
      <c r="Z178" s="36">
        <f>IFERROR(IF(Y178=0,"",ROUNDUP(Y178/H178,0)*0.00902),"")</f>
        <v>0.1353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52.714285714285715</v>
      </c>
      <c r="BN178" s="64">
        <f t="shared" si="18"/>
        <v>55.35</v>
      </c>
      <c r="BO178" s="64">
        <f t="shared" si="19"/>
        <v>0.10822510822510824</v>
      </c>
      <c r="BP178" s="64">
        <f t="shared" si="20"/>
        <v>0.11363636363636365</v>
      </c>
    </row>
    <row r="179" spans="1:68" ht="16.5" hidden="1" customHeight="1" x14ac:dyDescent="0.25">
      <c r="A179" s="54" t="s">
        <v>306</v>
      </c>
      <c r="B179" s="54" t="s">
        <v>307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3">
        <v>14</v>
      </c>
      <c r="Y180" s="634">
        <f t="shared" si="16"/>
        <v>15.12</v>
      </c>
      <c r="Z180" s="36">
        <f>IFERROR(IF(Y180=0,"",ROUNDUP(Y180/H180,0)*0.00502),"")</f>
        <v>4.5179999999999998E-2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14.833333333333336</v>
      </c>
      <c r="BN180" s="64">
        <f t="shared" si="18"/>
        <v>16.02</v>
      </c>
      <c r="BO180" s="64">
        <f t="shared" si="19"/>
        <v>3.561253561253562E-2</v>
      </c>
      <c r="BP180" s="64">
        <f t="shared" si="20"/>
        <v>3.8461538461538464E-2</v>
      </c>
    </row>
    <row r="181" spans="1:68" ht="27" hidden="1" customHeight="1" x14ac:dyDescent="0.25">
      <c r="A181" s="54" t="s">
        <v>311</v>
      </c>
      <c r="B181" s="54" t="s">
        <v>312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3">
        <v>31</v>
      </c>
      <c r="Y183" s="634">
        <f t="shared" si="16"/>
        <v>31.919999999999998</v>
      </c>
      <c r="Z183" s="36">
        <f>IFERROR(IF(Y183=0,"",ROUNDUP(Y183/H183,0)*0.00502),"")</f>
        <v>9.5380000000000006E-2</v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32.845238095238095</v>
      </c>
      <c r="BN183" s="64">
        <f t="shared" si="18"/>
        <v>33.82</v>
      </c>
      <c r="BO183" s="64">
        <f t="shared" si="19"/>
        <v>7.8856328856328858E-2</v>
      </c>
      <c r="BP183" s="64">
        <f t="shared" si="20"/>
        <v>8.11965811965812E-2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67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72</v>
      </c>
      <c r="Q186" s="642"/>
      <c r="R186" s="642"/>
      <c r="S186" s="642"/>
      <c r="T186" s="642"/>
      <c r="U186" s="642"/>
      <c r="V186" s="643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66.785714285714292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70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0.51939999999999997</v>
      </c>
      <c r="AA186" s="636"/>
      <c r="AB186" s="636"/>
      <c r="AC186" s="636"/>
    </row>
    <row r="187" spans="1:68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72</v>
      </c>
      <c r="Q187" s="642"/>
      <c r="R187" s="642"/>
      <c r="S187" s="642"/>
      <c r="T187" s="642"/>
      <c r="U187" s="642"/>
      <c r="V187" s="643"/>
      <c r="W187" s="37" t="s">
        <v>67</v>
      </c>
      <c r="X187" s="635">
        <f>IFERROR(SUM(X175:X185),"0")</f>
        <v>185</v>
      </c>
      <c r="Y187" s="635">
        <f>IFERROR(SUM(Y175:Y185),"0")</f>
        <v>194.04</v>
      </c>
      <c r="Z187" s="37"/>
      <c r="AA187" s="636"/>
      <c r="AB187" s="636"/>
      <c r="AC187" s="636"/>
    </row>
    <row r="188" spans="1:68" ht="14.25" hidden="1" customHeight="1" x14ac:dyDescent="0.25">
      <c r="A188" s="644" t="s">
        <v>74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72</v>
      </c>
      <c r="Q192" s="642"/>
      <c r="R192" s="642"/>
      <c r="S192" s="642"/>
      <c r="T192" s="642"/>
      <c r="U192" s="642"/>
      <c r="V192" s="643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72</v>
      </c>
      <c r="Q193" s="642"/>
      <c r="R193" s="642"/>
      <c r="S193" s="642"/>
      <c r="T193" s="642"/>
      <c r="U193" s="642"/>
      <c r="V193" s="643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272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72</v>
      </c>
      <c r="Q197" s="642"/>
      <c r="R197" s="642"/>
      <c r="S197" s="642"/>
      <c r="T197" s="642"/>
      <c r="U197" s="642"/>
      <c r="V197" s="643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72</v>
      </c>
      <c r="Q198" s="642"/>
      <c r="R198" s="642"/>
      <c r="S198" s="642"/>
      <c r="T198" s="642"/>
      <c r="U198" s="642"/>
      <c r="V198" s="643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338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72</v>
      </c>
      <c r="Q201" s="642"/>
      <c r="R201" s="642"/>
      <c r="S201" s="642"/>
      <c r="T201" s="642"/>
      <c r="U201" s="642"/>
      <c r="V201" s="643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72</v>
      </c>
      <c r="Q202" s="642"/>
      <c r="R202" s="642"/>
      <c r="S202" s="642"/>
      <c r="T202" s="642"/>
      <c r="U202" s="642"/>
      <c r="V202" s="643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342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343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111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72</v>
      </c>
      <c r="Q213" s="642"/>
      <c r="R213" s="642"/>
      <c r="S213" s="642"/>
      <c r="T213" s="642"/>
      <c r="U213" s="642"/>
      <c r="V213" s="643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72</v>
      </c>
      <c r="Q214" s="642"/>
      <c r="R214" s="642"/>
      <c r="S214" s="642"/>
      <c r="T214" s="642"/>
      <c r="U214" s="642"/>
      <c r="V214" s="643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364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147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72</v>
      </c>
      <c r="Q218" s="642"/>
      <c r="R218" s="642"/>
      <c r="S218" s="642"/>
      <c r="T218" s="642"/>
      <c r="U218" s="642"/>
      <c r="V218" s="643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72</v>
      </c>
      <c r="Q219" s="642"/>
      <c r="R219" s="642"/>
      <c r="S219" s="642"/>
      <c r="T219" s="642"/>
      <c r="U219" s="642"/>
      <c r="V219" s="643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62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hidden="1" customHeight="1" x14ac:dyDescent="0.25">
      <c r="A221" s="54" t="s">
        <v>368</v>
      </c>
      <c r="B221" s="54" t="s">
        <v>369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67</v>
      </c>
      <c r="X223" s="633">
        <v>75</v>
      </c>
      <c r="Y223" s="634">
        <f t="shared" si="27"/>
        <v>75.600000000000009</v>
      </c>
      <c r="Z223" s="36">
        <f>IFERROR(IF(Y223=0,"",ROUNDUP(Y223/H223,0)*0.00902),"")</f>
        <v>0.16236</v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78.392857142857139</v>
      </c>
      <c r="BN223" s="64">
        <f t="shared" si="29"/>
        <v>79.02</v>
      </c>
      <c r="BO223" s="64">
        <f t="shared" si="30"/>
        <v>0.13528138528138528</v>
      </c>
      <c r="BP223" s="64">
        <f t="shared" si="31"/>
        <v>0.13636363636363635</v>
      </c>
    </row>
    <row r="224" spans="1:68" ht="37.5" hidden="1" customHeight="1" x14ac:dyDescent="0.25">
      <c r="A224" s="54" t="s">
        <v>377</v>
      </c>
      <c r="B224" s="54" t="s">
        <v>378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67</v>
      </c>
      <c r="X225" s="633">
        <v>21</v>
      </c>
      <c r="Y225" s="634">
        <f t="shared" si="27"/>
        <v>21</v>
      </c>
      <c r="Z225" s="36">
        <f t="shared" ref="Z225:Z230" si="32">IFERROR(IF(Y225=0,"",ROUNDUP(Y225/H225,0)*0.00502),"")</f>
        <v>5.0200000000000002E-2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22.299999999999997</v>
      </c>
      <c r="BN225" s="64">
        <f t="shared" si="29"/>
        <v>22.299999999999997</v>
      </c>
      <c r="BO225" s="64">
        <f t="shared" si="30"/>
        <v>4.2735042735042736E-2</v>
      </c>
      <c r="BP225" s="64">
        <f t="shared" si="31"/>
        <v>4.2735042735042736E-2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67</v>
      </c>
      <c r="X230" s="633">
        <v>27</v>
      </c>
      <c r="Y230" s="634">
        <f t="shared" si="27"/>
        <v>27</v>
      </c>
      <c r="Z230" s="36">
        <f t="shared" si="32"/>
        <v>7.5300000000000006E-2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28.95</v>
      </c>
      <c r="BN230" s="64">
        <f t="shared" si="29"/>
        <v>28.95</v>
      </c>
      <c r="BO230" s="64">
        <f t="shared" si="30"/>
        <v>6.4102564102564111E-2</v>
      </c>
      <c r="BP230" s="64">
        <f t="shared" si="31"/>
        <v>6.4102564102564111E-2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33">
        <v>3</v>
      </c>
      <c r="Y231" s="634">
        <f t="shared" si="27"/>
        <v>3.2</v>
      </c>
      <c r="Z231" s="36">
        <f>IFERROR(IF(Y231=0,"",ROUNDUP(Y231/H231,0)*0.00417),"")</f>
        <v>1.668E-2</v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3.7875000000000001</v>
      </c>
      <c r="BN231" s="64">
        <f t="shared" si="29"/>
        <v>4.04</v>
      </c>
      <c r="BO231" s="64">
        <f t="shared" si="30"/>
        <v>1.1160714285714284E-2</v>
      </c>
      <c r="BP231" s="64">
        <f t="shared" si="31"/>
        <v>1.1904761904761904E-2</v>
      </c>
    </row>
    <row r="232" spans="1:68" ht="37.5" hidden="1" customHeight="1" x14ac:dyDescent="0.25">
      <c r="A232" s="54" t="s">
        <v>399</v>
      </c>
      <c r="B232" s="54" t="s">
        <v>400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72</v>
      </c>
      <c r="Q235" s="642"/>
      <c r="R235" s="642"/>
      <c r="S235" s="642"/>
      <c r="T235" s="642"/>
      <c r="U235" s="642"/>
      <c r="V235" s="643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46.607142857142861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47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0.30454000000000003</v>
      </c>
      <c r="AA235" s="636"/>
      <c r="AB235" s="636"/>
      <c r="AC235" s="636"/>
    </row>
    <row r="236" spans="1:68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72</v>
      </c>
      <c r="Q236" s="642"/>
      <c r="R236" s="642"/>
      <c r="S236" s="642"/>
      <c r="T236" s="642"/>
      <c r="U236" s="642"/>
      <c r="V236" s="643"/>
      <c r="W236" s="37" t="s">
        <v>67</v>
      </c>
      <c r="X236" s="635">
        <f>IFERROR(SUM(X221:X234),"0")</f>
        <v>126</v>
      </c>
      <c r="Y236" s="635">
        <f>IFERROR(SUM(Y221:Y234),"0")</f>
        <v>126.80000000000001</v>
      </c>
      <c r="Z236" s="37"/>
      <c r="AA236" s="636"/>
      <c r="AB236" s="636"/>
      <c r="AC236" s="636"/>
    </row>
    <row r="237" spans="1:68" ht="14.25" hidden="1" customHeight="1" x14ac:dyDescent="0.25">
      <c r="A237" s="644" t="s">
        <v>74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72</v>
      </c>
      <c r="Q243" s="642"/>
      <c r="R243" s="642"/>
      <c r="S243" s="642"/>
      <c r="T243" s="642"/>
      <c r="U243" s="642"/>
      <c r="V243" s="643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72</v>
      </c>
      <c r="Q244" s="642"/>
      <c r="R244" s="642"/>
      <c r="S244" s="642"/>
      <c r="T244" s="642"/>
      <c r="U244" s="642"/>
      <c r="V244" s="643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272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423</v>
      </c>
      <c r="B247" s="54" t="s">
        <v>424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33">
        <v>4</v>
      </c>
      <c r="Y248" s="634">
        <f>IFERROR(IF(X248="",0,CEILING((X248/$H248),1)*$H248),"")</f>
        <v>5.04</v>
      </c>
      <c r="Z248" s="36">
        <f>IFERROR(IF(Y248=0,"",ROUNDUP(Y248/H248,0)*0.0059),"")</f>
        <v>2.3599999999999999E-2</v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4.6031746031746028</v>
      </c>
      <c r="BN248" s="64">
        <f>IFERROR(Y248*I248/H248,"0")</f>
        <v>5.8</v>
      </c>
      <c r="BO248" s="64">
        <f>IFERROR(1/J248*(X248/H248),"0")</f>
        <v>1.469723691945914E-2</v>
      </c>
      <c r="BP248" s="64">
        <f>IFERROR(1/J248*(Y248/H248),"0")</f>
        <v>1.8518518518518517E-2</v>
      </c>
    </row>
    <row r="249" spans="1:68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72</v>
      </c>
      <c r="Q249" s="642"/>
      <c r="R249" s="642"/>
      <c r="S249" s="642"/>
      <c r="T249" s="642"/>
      <c r="U249" s="642"/>
      <c r="V249" s="643"/>
      <c r="W249" s="37" t="s">
        <v>73</v>
      </c>
      <c r="X249" s="635">
        <f>IFERROR(X246/H246,"0")+IFERROR(X247/H247,"0")+IFERROR(X248/H248,"0")</f>
        <v>3.1746031746031744</v>
      </c>
      <c r="Y249" s="635">
        <f>IFERROR(Y246/H246,"0")+IFERROR(Y247/H247,"0")+IFERROR(Y248/H248,"0")</f>
        <v>4</v>
      </c>
      <c r="Z249" s="635">
        <f>IFERROR(IF(Z246="",0,Z246),"0")+IFERROR(IF(Z247="",0,Z247),"0")+IFERROR(IF(Z248="",0,Z248),"0")</f>
        <v>2.3599999999999999E-2</v>
      </c>
      <c r="AA249" s="636"/>
      <c r="AB249" s="636"/>
      <c r="AC249" s="636"/>
    </row>
    <row r="250" spans="1:68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72</v>
      </c>
      <c r="Q250" s="642"/>
      <c r="R250" s="642"/>
      <c r="S250" s="642"/>
      <c r="T250" s="642"/>
      <c r="U250" s="642"/>
      <c r="V250" s="643"/>
      <c r="W250" s="37" t="s">
        <v>67</v>
      </c>
      <c r="X250" s="635">
        <f>IFERROR(SUM(X246:X248),"0")</f>
        <v>4</v>
      </c>
      <c r="Y250" s="635">
        <f>IFERROR(SUM(Y246:Y248),"0")</f>
        <v>5.04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428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hidden="1" customHeight="1" x14ac:dyDescent="0.25">
      <c r="A252" s="54" t="s">
        <v>429</v>
      </c>
      <c r="B252" s="54" t="s">
        <v>430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72</v>
      </c>
      <c r="Q253" s="642"/>
      <c r="R253" s="642"/>
      <c r="S253" s="642"/>
      <c r="T253" s="642"/>
      <c r="U253" s="642"/>
      <c r="V253" s="643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72</v>
      </c>
      <c r="Q254" s="642"/>
      <c r="R254" s="642"/>
      <c r="S254" s="642"/>
      <c r="T254" s="642"/>
      <c r="U254" s="642"/>
      <c r="V254" s="643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39" t="s">
        <v>431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111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72</v>
      </c>
      <c r="Q259" s="642"/>
      <c r="R259" s="642"/>
      <c r="S259" s="642"/>
      <c r="T259" s="642"/>
      <c r="U259" s="642"/>
      <c r="V259" s="643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72</v>
      </c>
      <c r="Q260" s="642"/>
      <c r="R260" s="642"/>
      <c r="S260" s="642"/>
      <c r="T260" s="642"/>
      <c r="U260" s="642"/>
      <c r="V260" s="643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147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72</v>
      </c>
      <c r="Q264" s="642"/>
      <c r="R264" s="642"/>
      <c r="S264" s="642"/>
      <c r="T264" s="642"/>
      <c r="U264" s="642"/>
      <c r="V264" s="643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72</v>
      </c>
      <c r="Q265" s="642"/>
      <c r="R265" s="642"/>
      <c r="S265" s="642"/>
      <c r="T265" s="642"/>
      <c r="U265" s="642"/>
      <c r="V265" s="643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62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hidden="1" customHeight="1" x14ac:dyDescent="0.25">
      <c r="A267" s="54" t="s">
        <v>442</v>
      </c>
      <c r="B267" s="54" t="s">
        <v>443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3">
        <v>20</v>
      </c>
      <c r="Y268" s="634">
        <f t="shared" si="33"/>
        <v>21.6</v>
      </c>
      <c r="Z268" s="36">
        <f>IFERROR(IF(Y268=0,"",ROUNDUP(Y268/H268,0)*0.00902),"")</f>
        <v>3.6080000000000001E-2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20.703703703703702</v>
      </c>
      <c r="BN268" s="64">
        <f t="shared" si="35"/>
        <v>22.36</v>
      </c>
      <c r="BO268" s="64">
        <f t="shared" si="36"/>
        <v>2.8058361391694722E-2</v>
      </c>
      <c r="BP268" s="64">
        <f t="shared" si="37"/>
        <v>3.0303030303030304E-2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3">
        <v>608</v>
      </c>
      <c r="Y269" s="634">
        <f t="shared" si="33"/>
        <v>610.20000000000005</v>
      </c>
      <c r="Z269" s="36">
        <f>IFERROR(IF(Y269=0,"",ROUNDUP(Y269/H269,0)*0.00902),"")</f>
        <v>1.0192600000000001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629.39259259259256</v>
      </c>
      <c r="BN269" s="64">
        <f t="shared" si="35"/>
        <v>631.66999999999996</v>
      </c>
      <c r="BO269" s="64">
        <f t="shared" si="36"/>
        <v>0.85297418630751953</v>
      </c>
      <c r="BP269" s="64">
        <f t="shared" si="37"/>
        <v>0.85606060606060608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3">
        <v>41</v>
      </c>
      <c r="Y270" s="634">
        <f t="shared" si="33"/>
        <v>43.2</v>
      </c>
      <c r="Z270" s="36">
        <f>IFERROR(IF(Y270=0,"",ROUNDUP(Y270/H270,0)*0.00902),"")</f>
        <v>7.2160000000000002E-2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42.44259259259259</v>
      </c>
      <c r="BN270" s="64">
        <f t="shared" si="35"/>
        <v>44.72</v>
      </c>
      <c r="BO270" s="64">
        <f t="shared" si="36"/>
        <v>5.7519640852974181E-2</v>
      </c>
      <c r="BP270" s="64">
        <f t="shared" si="37"/>
        <v>6.0606060606060608E-2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3">
        <v>15</v>
      </c>
      <c r="Y272" s="634">
        <f t="shared" si="33"/>
        <v>16.2</v>
      </c>
      <c r="Z272" s="36">
        <f>IFERROR(IF(Y272=0,"",ROUNDUP(Y272/H272,0)*0.00502),"")</f>
        <v>4.5179999999999998E-2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15.833333333333332</v>
      </c>
      <c r="BN272" s="64">
        <f t="shared" si="35"/>
        <v>17.099999999999998</v>
      </c>
      <c r="BO272" s="64">
        <f t="shared" si="36"/>
        <v>3.561253561253562E-2</v>
      </c>
      <c r="BP272" s="64">
        <f t="shared" si="37"/>
        <v>3.8461538461538464E-2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hidden="1" customHeight="1" x14ac:dyDescent="0.25">
      <c r="A274" s="54" t="s">
        <v>460</v>
      </c>
      <c r="B274" s="54" t="s">
        <v>461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72</v>
      </c>
      <c r="Q275" s="642"/>
      <c r="R275" s="642"/>
      <c r="S275" s="642"/>
      <c r="T275" s="642"/>
      <c r="U275" s="642"/>
      <c r="V275" s="643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132.22222222222223</v>
      </c>
      <c r="Y275" s="635">
        <f>IFERROR(Y267/H267,"0")+IFERROR(Y268/H268,"0")+IFERROR(Y269/H269,"0")+IFERROR(Y270/H270,"0")+IFERROR(Y271/H271,"0")+IFERROR(Y272/H272,"0")+IFERROR(Y273/H273,"0")+IFERROR(Y274/H274,"0")</f>
        <v>134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1.1726800000000002</v>
      </c>
      <c r="AA275" s="636"/>
      <c r="AB275" s="636"/>
      <c r="AC275" s="636"/>
    </row>
    <row r="276" spans="1:68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72</v>
      </c>
      <c r="Q276" s="642"/>
      <c r="R276" s="642"/>
      <c r="S276" s="642"/>
      <c r="T276" s="642"/>
      <c r="U276" s="642"/>
      <c r="V276" s="643"/>
      <c r="W276" s="37" t="s">
        <v>67</v>
      </c>
      <c r="X276" s="635">
        <f>IFERROR(SUM(X267:X274),"0")</f>
        <v>684</v>
      </c>
      <c r="Y276" s="635">
        <f>IFERROR(SUM(Y267:Y274),"0")</f>
        <v>691.20000000000016</v>
      </c>
      <c r="Z276" s="37"/>
      <c r="AA276" s="636"/>
      <c r="AB276" s="636"/>
      <c r="AC276" s="636"/>
    </row>
    <row r="277" spans="1:68" ht="14.25" hidden="1" customHeight="1" x14ac:dyDescent="0.25">
      <c r="A277" s="644" t="s">
        <v>74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67</v>
      </c>
      <c r="X278" s="633">
        <v>208</v>
      </c>
      <c r="Y278" s="634">
        <f t="shared" ref="Y278:Y289" si="38">IFERROR(IF(X278="",0,CEILING((X278/$H278),1)*$H278),"")</f>
        <v>210.6</v>
      </c>
      <c r="Z278" s="36">
        <f>IFERROR(IF(Y278=0,"",ROUNDUP(Y278/H278,0)*0.01898),"")</f>
        <v>0.49348000000000003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220.68543209876543</v>
      </c>
      <c r="BN278" s="64">
        <f t="shared" ref="BN278:BN289" si="40">IFERROR(Y278*I278/H278,"0")</f>
        <v>223.44399999999999</v>
      </c>
      <c r="BO278" s="64">
        <f t="shared" ref="BO278:BO289" si="41">IFERROR(1/J278*(X278/H278),"0")</f>
        <v>0.40123456790123457</v>
      </c>
      <c r="BP278" s="64">
        <f t="shared" ref="BP278:BP289" si="42">IFERROR(1/J278*(Y278/H278),"0")</f>
        <v>0.40625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67</v>
      </c>
      <c r="X279" s="633">
        <v>109</v>
      </c>
      <c r="Y279" s="634">
        <f t="shared" si="38"/>
        <v>113.39999999999999</v>
      </c>
      <c r="Z279" s="36">
        <f>IFERROR(IF(Y279=0,"",ROUNDUP(Y279/H279,0)*0.01898),"")</f>
        <v>0.26572000000000001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115.40543209876544</v>
      </c>
      <c r="BN279" s="64">
        <f t="shared" si="40"/>
        <v>120.06399999999999</v>
      </c>
      <c r="BO279" s="64">
        <f t="shared" si="41"/>
        <v>0.21026234567901236</v>
      </c>
      <c r="BP279" s="64">
        <f t="shared" si="42"/>
        <v>0.21875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3">
        <v>21</v>
      </c>
      <c r="Y280" s="634">
        <f t="shared" si="38"/>
        <v>26.099999999999998</v>
      </c>
      <c r="Z280" s="36">
        <f>IFERROR(IF(Y280=0,"",ROUNDUP(Y280/H280,0)*0.01898),"")</f>
        <v>5.6940000000000004E-2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22.192413793103452</v>
      </c>
      <c r="BN280" s="64">
        <f t="shared" si="40"/>
        <v>27.582000000000004</v>
      </c>
      <c r="BO280" s="64">
        <f t="shared" si="41"/>
        <v>3.7715517241379316E-2</v>
      </c>
      <c r="BP280" s="64">
        <f t="shared" si="42"/>
        <v>4.6875E-2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3">
        <v>85</v>
      </c>
      <c r="Y281" s="634">
        <f t="shared" si="38"/>
        <v>86.399999999999991</v>
      </c>
      <c r="Z281" s="36">
        <f>IFERROR(IF(Y281=0,"",ROUNDUP(Y281/H281,0)*0.00651),"")</f>
        <v>0.23436000000000001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94.5625</v>
      </c>
      <c r="BN281" s="64">
        <f t="shared" si="40"/>
        <v>96.11999999999999</v>
      </c>
      <c r="BO281" s="64">
        <f t="shared" si="41"/>
        <v>0.19459706959706963</v>
      </c>
      <c r="BP281" s="64">
        <f t="shared" si="42"/>
        <v>0.19780219780219782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3">
        <v>468</v>
      </c>
      <c r="Y284" s="634">
        <f t="shared" si="38"/>
        <v>468</v>
      </c>
      <c r="Z284" s="36">
        <f>IFERROR(IF(Y284=0,"",ROUNDUP(Y284/H284,0)*0.00651),"")</f>
        <v>1.26945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517.14</v>
      </c>
      <c r="BN284" s="64">
        <f t="shared" si="40"/>
        <v>517.14</v>
      </c>
      <c r="BO284" s="64">
        <f t="shared" si="41"/>
        <v>1.0714285714285716</v>
      </c>
      <c r="BP284" s="64">
        <f t="shared" si="42"/>
        <v>1.0714285714285716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33">
        <v>255</v>
      </c>
      <c r="Y286" s="634">
        <f t="shared" si="38"/>
        <v>256.8</v>
      </c>
      <c r="Z286" s="36">
        <f>IFERROR(IF(Y286=0,"",ROUNDUP(Y286/H286,0)*0.00651),"")</f>
        <v>0.69657000000000002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281.77500000000003</v>
      </c>
      <c r="BN286" s="64">
        <f t="shared" si="40"/>
        <v>283.76400000000007</v>
      </c>
      <c r="BO286" s="64">
        <f t="shared" si="41"/>
        <v>0.58379120879120883</v>
      </c>
      <c r="BP286" s="64">
        <f t="shared" si="42"/>
        <v>0.58791208791208804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67</v>
      </c>
      <c r="X287" s="633">
        <v>78</v>
      </c>
      <c r="Y287" s="634">
        <f t="shared" si="38"/>
        <v>79.2</v>
      </c>
      <c r="Z287" s="36">
        <f>IFERROR(IF(Y287=0,"",ROUNDUP(Y287/H287,0)*0.00651),"")</f>
        <v>0.21482999999999999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86.190000000000012</v>
      </c>
      <c r="BN287" s="64">
        <f t="shared" si="40"/>
        <v>87.51600000000002</v>
      </c>
      <c r="BO287" s="64">
        <f t="shared" si="41"/>
        <v>0.17857142857142858</v>
      </c>
      <c r="BP287" s="64">
        <f t="shared" si="42"/>
        <v>0.18131868131868134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3">
        <v>40</v>
      </c>
      <c r="Y288" s="634">
        <f t="shared" si="38"/>
        <v>40.799999999999997</v>
      </c>
      <c r="Z288" s="36">
        <f>IFERROR(IF(Y288=0,"",ROUNDUP(Y288/H288,0)*0.00651),"")</f>
        <v>0.11067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44.3</v>
      </c>
      <c r="BN288" s="64">
        <f t="shared" si="40"/>
        <v>45.185999999999993</v>
      </c>
      <c r="BO288" s="64">
        <f t="shared" si="41"/>
        <v>9.1575091575091583E-2</v>
      </c>
      <c r="BP288" s="64">
        <f t="shared" si="42"/>
        <v>9.3406593406593408E-2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72</v>
      </c>
      <c r="Q290" s="642"/>
      <c r="R290" s="642"/>
      <c r="S290" s="642"/>
      <c r="T290" s="642"/>
      <c r="U290" s="642"/>
      <c r="V290" s="643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427.38292890591742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431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3.3420199999999998</v>
      </c>
      <c r="AA290" s="636"/>
      <c r="AB290" s="636"/>
      <c r="AC290" s="636"/>
    </row>
    <row r="291" spans="1:68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72</v>
      </c>
      <c r="Q291" s="642"/>
      <c r="R291" s="642"/>
      <c r="S291" s="642"/>
      <c r="T291" s="642"/>
      <c r="U291" s="642"/>
      <c r="V291" s="643"/>
      <c r="W291" s="37" t="s">
        <v>67</v>
      </c>
      <c r="X291" s="635">
        <f>IFERROR(SUM(X278:X289),"0")</f>
        <v>1264</v>
      </c>
      <c r="Y291" s="635">
        <f>IFERROR(SUM(Y278:Y289),"0")</f>
        <v>1281.3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164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3">
        <v>8</v>
      </c>
      <c r="Y293" s="634">
        <f>IFERROR(IF(X293="",0,CEILING((X293/$H293),1)*$H293),"")</f>
        <v>9.6</v>
      </c>
      <c r="Z293" s="36">
        <f>IFERROR(IF(Y293=0,"",ROUNDUP(Y293/H293,0)*0.00651),"")</f>
        <v>2.6040000000000001E-2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8.8400000000000016</v>
      </c>
      <c r="BN293" s="64">
        <f>IFERROR(Y293*I293/H293,"0")</f>
        <v>10.608000000000001</v>
      </c>
      <c r="BO293" s="64">
        <f>IFERROR(1/J293*(X293/H293),"0")</f>
        <v>1.8315018315018316E-2</v>
      </c>
      <c r="BP293" s="64">
        <f>IFERROR(1/J293*(Y293/H293),"0")</f>
        <v>2.197802197802198E-2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67</v>
      </c>
      <c r="X294" s="633">
        <v>29</v>
      </c>
      <c r="Y294" s="634">
        <f>IFERROR(IF(X294="",0,CEILING((X294/$H294),1)*$H294),"")</f>
        <v>31.2</v>
      </c>
      <c r="Z294" s="36">
        <f>IFERROR(IF(Y294=0,"",ROUNDUP(Y294/H294,0)*0.00651),"")</f>
        <v>8.4629999999999997E-2</v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32.045000000000002</v>
      </c>
      <c r="BN294" s="64">
        <f>IFERROR(Y294*I294/H294,"0")</f>
        <v>34.476000000000006</v>
      </c>
      <c r="BO294" s="64">
        <f>IFERROR(1/J294*(X294/H294),"0")</f>
        <v>6.6391941391941406E-2</v>
      </c>
      <c r="BP294" s="64">
        <f>IFERROR(1/J294*(Y294/H294),"0")</f>
        <v>7.1428571428571438E-2</v>
      </c>
    </row>
    <row r="295" spans="1:68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72</v>
      </c>
      <c r="Q295" s="642"/>
      <c r="R295" s="642"/>
      <c r="S295" s="642"/>
      <c r="T295" s="642"/>
      <c r="U295" s="642"/>
      <c r="V295" s="643"/>
      <c r="W295" s="37" t="s">
        <v>73</v>
      </c>
      <c r="X295" s="635">
        <f>IFERROR(X293/H293,"0")+IFERROR(X294/H294,"0")</f>
        <v>15.416666666666668</v>
      </c>
      <c r="Y295" s="635">
        <f>IFERROR(Y293/H293,"0")+IFERROR(Y294/H294,"0")</f>
        <v>17</v>
      </c>
      <c r="Z295" s="635">
        <f>IFERROR(IF(Z293="",0,Z293),"0")+IFERROR(IF(Z294="",0,Z294),"0")</f>
        <v>0.11066999999999999</v>
      </c>
      <c r="AA295" s="636"/>
      <c r="AB295" s="636"/>
      <c r="AC295" s="636"/>
    </row>
    <row r="296" spans="1:68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72</v>
      </c>
      <c r="Q296" s="642"/>
      <c r="R296" s="642"/>
      <c r="S296" s="642"/>
      <c r="T296" s="642"/>
      <c r="U296" s="642"/>
      <c r="V296" s="643"/>
      <c r="W296" s="37" t="s">
        <v>67</v>
      </c>
      <c r="X296" s="635">
        <f>IFERROR(SUM(X293:X294),"0")</f>
        <v>37</v>
      </c>
      <c r="Y296" s="635">
        <f>IFERROR(SUM(Y293:Y294),"0")</f>
        <v>40.799999999999997</v>
      </c>
      <c r="Z296" s="37"/>
      <c r="AA296" s="636"/>
      <c r="AB296" s="636"/>
      <c r="AC296" s="636"/>
    </row>
    <row r="297" spans="1:68" ht="16.5" hidden="1" customHeight="1" x14ac:dyDescent="0.25">
      <c r="A297" s="639" t="s">
        <v>499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111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hidden="1" customHeight="1" x14ac:dyDescent="0.25">
      <c r="A299" s="54" t="s">
        <v>500</v>
      </c>
      <c r="B299" s="54" t="s">
        <v>501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516</v>
      </c>
      <c r="B305" s="54" t="s">
        <v>517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72</v>
      </c>
      <c r="Q306" s="642"/>
      <c r="R306" s="642"/>
      <c r="S306" s="642"/>
      <c r="T306" s="642"/>
      <c r="U306" s="642"/>
      <c r="V306" s="643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72</v>
      </c>
      <c r="Q307" s="642"/>
      <c r="R307" s="642"/>
      <c r="S307" s="642"/>
      <c r="T307" s="642"/>
      <c r="U307" s="642"/>
      <c r="V307" s="643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147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72</v>
      </c>
      <c r="Q310" s="642"/>
      <c r="R310" s="642"/>
      <c r="S310" s="642"/>
      <c r="T310" s="642"/>
      <c r="U310" s="642"/>
      <c r="V310" s="643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72</v>
      </c>
      <c r="Q311" s="642"/>
      <c r="R311" s="642"/>
      <c r="S311" s="642"/>
      <c r="T311" s="642"/>
      <c r="U311" s="642"/>
      <c r="V311" s="64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521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67</v>
      </c>
      <c r="X313" s="633">
        <v>3</v>
      </c>
      <c r="Y313" s="634">
        <f>IFERROR(IF(X313="",0,CEILING((X313/$H313),1)*$H313),"")</f>
        <v>3.6</v>
      </c>
      <c r="Z313" s="36">
        <f>IFERROR(IF(Y313=0,"",ROUNDUP(Y313/H313,0)*0.0059),"")</f>
        <v>1.18E-2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3.291666666666667</v>
      </c>
      <c r="BN313" s="64">
        <f>IFERROR(Y313*I313/H313,"0")</f>
        <v>3.95</v>
      </c>
      <c r="BO313" s="64">
        <f>IFERROR(1/J313*(X313/H313),"0")</f>
        <v>7.7160493827160481E-3</v>
      </c>
      <c r="BP313" s="64">
        <f>IFERROR(1/J313*(Y313/H313),"0")</f>
        <v>9.2592592592592587E-3</v>
      </c>
    </row>
    <row r="314" spans="1:68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72</v>
      </c>
      <c r="Q314" s="642"/>
      <c r="R314" s="642"/>
      <c r="S314" s="642"/>
      <c r="T314" s="642"/>
      <c r="U314" s="642"/>
      <c r="V314" s="643"/>
      <c r="W314" s="37" t="s">
        <v>73</v>
      </c>
      <c r="X314" s="635">
        <f>IFERROR(X313/H313,"0")</f>
        <v>1.6666666666666665</v>
      </c>
      <c r="Y314" s="635">
        <f>IFERROR(Y313/H313,"0")</f>
        <v>2</v>
      </c>
      <c r="Z314" s="635">
        <f>IFERROR(IF(Z313="",0,Z313),"0")</f>
        <v>1.18E-2</v>
      </c>
      <c r="AA314" s="636"/>
      <c r="AB314" s="636"/>
      <c r="AC314" s="636"/>
    </row>
    <row r="315" spans="1:68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72</v>
      </c>
      <c r="Q315" s="642"/>
      <c r="R315" s="642"/>
      <c r="S315" s="642"/>
      <c r="T315" s="642"/>
      <c r="U315" s="642"/>
      <c r="V315" s="643"/>
      <c r="W315" s="37" t="s">
        <v>67</v>
      </c>
      <c r="X315" s="635">
        <f>IFERROR(SUM(X313:X313),"0")</f>
        <v>3</v>
      </c>
      <c r="Y315" s="635">
        <f>IFERROR(SUM(Y313:Y313),"0")</f>
        <v>3.6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338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72</v>
      </c>
      <c r="Q320" s="642"/>
      <c r="R320" s="642"/>
      <c r="S320" s="642"/>
      <c r="T320" s="642"/>
      <c r="U320" s="642"/>
      <c r="V320" s="643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72</v>
      </c>
      <c r="Q321" s="642"/>
      <c r="R321" s="642"/>
      <c r="S321" s="642"/>
      <c r="T321" s="642"/>
      <c r="U321" s="642"/>
      <c r="V321" s="643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532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111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72</v>
      </c>
      <c r="Q329" s="642"/>
      <c r="R329" s="642"/>
      <c r="S329" s="642"/>
      <c r="T329" s="642"/>
      <c r="U329" s="642"/>
      <c r="V329" s="643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72</v>
      </c>
      <c r="Q330" s="642"/>
      <c r="R330" s="642"/>
      <c r="S330" s="642"/>
      <c r="T330" s="642"/>
      <c r="U330" s="642"/>
      <c r="V330" s="643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548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74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67</v>
      </c>
      <c r="X334" s="633">
        <v>12</v>
      </c>
      <c r="Y334" s="634">
        <f>IFERROR(IF(X334="",0,CEILING((X334/$H334),1)*$H334),"")</f>
        <v>12</v>
      </c>
      <c r="Z334" s="36">
        <f>IFERROR(IF(Y334=0,"",ROUNDUP(Y334/H334,0)*0.00651),"")</f>
        <v>3.2550000000000003E-2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13.260000000000002</v>
      </c>
      <c r="BN334" s="64">
        <f>IFERROR(Y334*I334/H334,"0")</f>
        <v>13.260000000000002</v>
      </c>
      <c r="BO334" s="64">
        <f>IFERROR(1/J334*(X334/H334),"0")</f>
        <v>2.7472527472527476E-2</v>
      </c>
      <c r="BP334" s="64">
        <f>IFERROR(1/J334*(Y334/H334),"0")</f>
        <v>2.7472527472527476E-2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67</v>
      </c>
      <c r="X335" s="633">
        <v>92</v>
      </c>
      <c r="Y335" s="634">
        <f>IFERROR(IF(X335="",0,CEILING((X335/$H335),1)*$H335),"")</f>
        <v>93.6</v>
      </c>
      <c r="Z335" s="36">
        <f>IFERROR(IF(Y335=0,"",ROUNDUP(Y335/H335,0)*0.00651),"")</f>
        <v>0.25389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98.9</v>
      </c>
      <c r="BN335" s="64">
        <f>IFERROR(Y335*I335/H335,"0")</f>
        <v>100.62</v>
      </c>
      <c r="BO335" s="64">
        <f>IFERROR(1/J335*(X335/H335),"0")</f>
        <v>0.21062271062271065</v>
      </c>
      <c r="BP335" s="64">
        <f>IFERROR(1/J335*(Y335/H335),"0")</f>
        <v>0.2142857142857143</v>
      </c>
    </row>
    <row r="336" spans="1:68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72</v>
      </c>
      <c r="Q336" s="642"/>
      <c r="R336" s="642"/>
      <c r="S336" s="642"/>
      <c r="T336" s="642"/>
      <c r="U336" s="642"/>
      <c r="V336" s="643"/>
      <c r="W336" s="37" t="s">
        <v>73</v>
      </c>
      <c r="X336" s="635">
        <f>IFERROR(X333/H333,"0")+IFERROR(X334/H334,"0")+IFERROR(X335/H335,"0")</f>
        <v>43.333333333333336</v>
      </c>
      <c r="Y336" s="635">
        <f>IFERROR(Y333/H333,"0")+IFERROR(Y334/H334,"0")+IFERROR(Y335/H335,"0")</f>
        <v>44</v>
      </c>
      <c r="Z336" s="635">
        <f>IFERROR(IF(Z333="",0,Z333),"0")+IFERROR(IF(Z334="",0,Z334),"0")+IFERROR(IF(Z335="",0,Z335),"0")</f>
        <v>0.28644000000000003</v>
      </c>
      <c r="AA336" s="636"/>
      <c r="AB336" s="636"/>
      <c r="AC336" s="636"/>
    </row>
    <row r="337" spans="1:68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72</v>
      </c>
      <c r="Q337" s="642"/>
      <c r="R337" s="642"/>
      <c r="S337" s="642"/>
      <c r="T337" s="642"/>
      <c r="U337" s="642"/>
      <c r="V337" s="643"/>
      <c r="W337" s="37" t="s">
        <v>67</v>
      </c>
      <c r="X337" s="635">
        <f>IFERROR(SUM(X333:X335),"0")</f>
        <v>104</v>
      </c>
      <c r="Y337" s="635">
        <f>IFERROR(SUM(Y333:Y335),"0")</f>
        <v>105.6</v>
      </c>
      <c r="Z337" s="37"/>
      <c r="AA337" s="636"/>
      <c r="AB337" s="636"/>
      <c r="AC337" s="636"/>
    </row>
    <row r="338" spans="1:68" ht="16.5" hidden="1" customHeight="1" x14ac:dyDescent="0.25">
      <c r="A338" s="639" t="s">
        <v>557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62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72</v>
      </c>
      <c r="Q345" s="642"/>
      <c r="R345" s="642"/>
      <c r="S345" s="642"/>
      <c r="T345" s="642"/>
      <c r="U345" s="642"/>
      <c r="V345" s="643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72</v>
      </c>
      <c r="Q346" s="642"/>
      <c r="R346" s="642"/>
      <c r="S346" s="642"/>
      <c r="T346" s="642"/>
      <c r="U346" s="642"/>
      <c r="V346" s="643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74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72</v>
      </c>
      <c r="Q350" s="642"/>
      <c r="R350" s="642"/>
      <c r="S350" s="642"/>
      <c r="T350" s="642"/>
      <c r="U350" s="642"/>
      <c r="V350" s="643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72</v>
      </c>
      <c r="Q351" s="642"/>
      <c r="R351" s="642"/>
      <c r="S351" s="642"/>
      <c r="T351" s="642"/>
      <c r="U351" s="642"/>
      <c r="V351" s="643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578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111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3">
        <v>38</v>
      </c>
      <c r="Y354" s="634">
        <f>IFERROR(IF(X354="",0,CEILING((X354/$H354),1)*$H354),"")</f>
        <v>39</v>
      </c>
      <c r="Z354" s="36">
        <f>IFERROR(IF(Y354=0,"",ROUNDUP(Y354/H354,0)*0.01898),"")</f>
        <v>9.4899999999999998E-2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39.997435897435899</v>
      </c>
      <c r="BN354" s="64">
        <f>IFERROR(Y354*I354/H354,"0")</f>
        <v>41.050000000000011</v>
      </c>
      <c r="BO354" s="64">
        <f>IFERROR(1/J354*(X354/H354),"0")</f>
        <v>7.6121794871794879E-2</v>
      </c>
      <c r="BP354" s="64">
        <f>IFERROR(1/J354*(Y354/H354),"0")</f>
        <v>7.8125E-2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67</v>
      </c>
      <c r="X355" s="633">
        <v>112</v>
      </c>
      <c r="Y355" s="634">
        <f>IFERROR(IF(X355="",0,CEILING((X355/$H355),1)*$H355),"")</f>
        <v>117</v>
      </c>
      <c r="Z355" s="36">
        <f>IFERROR(IF(Y355=0,"",ROUNDUP(Y355/H355,0)*0.01898),"")</f>
        <v>0.28470000000000001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117.88717948717951</v>
      </c>
      <c r="BN355" s="64">
        <f>IFERROR(Y355*I355/H355,"0")</f>
        <v>123.15</v>
      </c>
      <c r="BO355" s="64">
        <f>IFERROR(1/J355*(X355/H355),"0")</f>
        <v>0.22435897435897437</v>
      </c>
      <c r="BP355" s="64">
        <f>IFERROR(1/J355*(Y355/H355),"0")</f>
        <v>0.234375</v>
      </c>
    </row>
    <row r="356" spans="1:68" ht="27" hidden="1" customHeight="1" x14ac:dyDescent="0.25">
      <c r="A356" s="54" t="s">
        <v>584</v>
      </c>
      <c r="B356" s="54" t="s">
        <v>585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72</v>
      </c>
      <c r="Q357" s="642"/>
      <c r="R357" s="642"/>
      <c r="S357" s="642"/>
      <c r="T357" s="642"/>
      <c r="U357" s="642"/>
      <c r="V357" s="643"/>
      <c r="W357" s="37" t="s">
        <v>73</v>
      </c>
      <c r="X357" s="635">
        <f>IFERROR(X354/H354,"0")+IFERROR(X355/H355,"0")+IFERROR(X356/H356,"0")</f>
        <v>19.230769230769234</v>
      </c>
      <c r="Y357" s="635">
        <f>IFERROR(Y354/H354,"0")+IFERROR(Y355/H355,"0")+IFERROR(Y356/H356,"0")</f>
        <v>20</v>
      </c>
      <c r="Z357" s="635">
        <f>IFERROR(IF(Z354="",0,Z354),"0")+IFERROR(IF(Z355="",0,Z355),"0")+IFERROR(IF(Z356="",0,Z356),"0")</f>
        <v>0.37959999999999999</v>
      </c>
      <c r="AA357" s="636"/>
      <c r="AB357" s="636"/>
      <c r="AC357" s="636"/>
    </row>
    <row r="358" spans="1:68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72</v>
      </c>
      <c r="Q358" s="642"/>
      <c r="R358" s="642"/>
      <c r="S358" s="642"/>
      <c r="T358" s="642"/>
      <c r="U358" s="642"/>
      <c r="V358" s="643"/>
      <c r="W358" s="37" t="s">
        <v>67</v>
      </c>
      <c r="X358" s="635">
        <f>IFERROR(SUM(X354:X356),"0")</f>
        <v>150</v>
      </c>
      <c r="Y358" s="635">
        <f>IFERROR(SUM(Y354:Y356),"0")</f>
        <v>156</v>
      </c>
      <c r="Z358" s="37"/>
      <c r="AA358" s="636"/>
      <c r="AB358" s="636"/>
      <c r="AC358" s="636"/>
    </row>
    <row r="359" spans="1:68" ht="16.5" hidden="1" customHeight="1" x14ac:dyDescent="0.25">
      <c r="A359" s="639" t="s">
        <v>587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111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72</v>
      </c>
      <c r="Q366" s="642"/>
      <c r="R366" s="642"/>
      <c r="S366" s="642"/>
      <c r="T366" s="642"/>
      <c r="U366" s="642"/>
      <c r="V366" s="643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72</v>
      </c>
      <c r="Q367" s="642"/>
      <c r="R367" s="642"/>
      <c r="S367" s="642"/>
      <c r="T367" s="642"/>
      <c r="U367" s="642"/>
      <c r="V367" s="643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62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605</v>
      </c>
      <c r="B370" s="54" t="s">
        <v>606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3">
        <v>33</v>
      </c>
      <c r="Y375" s="634">
        <f t="shared" si="48"/>
        <v>34.200000000000003</v>
      </c>
      <c r="Z375" s="36">
        <f>IFERROR(IF(Y375=0,"",ROUNDUP(Y375/H375,0)*0.00651),"")</f>
        <v>0.12369000000000001</v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37.18</v>
      </c>
      <c r="BN375" s="64">
        <f t="shared" si="50"/>
        <v>38.532000000000004</v>
      </c>
      <c r="BO375" s="64">
        <f t="shared" si="51"/>
        <v>0.10073260073260074</v>
      </c>
      <c r="BP375" s="64">
        <f t="shared" si="52"/>
        <v>0.1043956043956044</v>
      </c>
    </row>
    <row r="376" spans="1:68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72</v>
      </c>
      <c r="Q376" s="642"/>
      <c r="R376" s="642"/>
      <c r="S376" s="642"/>
      <c r="T376" s="642"/>
      <c r="U376" s="642"/>
      <c r="V376" s="643"/>
      <c r="W376" s="37" t="s">
        <v>73</v>
      </c>
      <c r="X376" s="635">
        <f>IFERROR(X369/H369,"0")+IFERROR(X370/H370,"0")+IFERROR(X371/H371,"0")+IFERROR(X372/H372,"0")+IFERROR(X373/H373,"0")+IFERROR(X374/H374,"0")+IFERROR(X375/H375,"0")</f>
        <v>18.333333333333332</v>
      </c>
      <c r="Y376" s="635">
        <f>IFERROR(Y369/H369,"0")+IFERROR(Y370/H370,"0")+IFERROR(Y371/H371,"0")+IFERROR(Y372/H372,"0")+IFERROR(Y373/H373,"0")+IFERROR(Y374/H374,"0")+IFERROR(Y375/H375,"0")</f>
        <v>19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0.12369000000000001</v>
      </c>
      <c r="AA376" s="636"/>
      <c r="AB376" s="636"/>
      <c r="AC376" s="636"/>
    </row>
    <row r="377" spans="1:68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72</v>
      </c>
      <c r="Q377" s="642"/>
      <c r="R377" s="642"/>
      <c r="S377" s="642"/>
      <c r="T377" s="642"/>
      <c r="U377" s="642"/>
      <c r="V377" s="643"/>
      <c r="W377" s="37" t="s">
        <v>67</v>
      </c>
      <c r="X377" s="635">
        <f>IFERROR(SUM(X369:X375),"0")</f>
        <v>33</v>
      </c>
      <c r="Y377" s="635">
        <f>IFERROR(SUM(Y369:Y375),"0")</f>
        <v>34.200000000000003</v>
      </c>
      <c r="Z377" s="37"/>
      <c r="AA377" s="636"/>
      <c r="AB377" s="636"/>
      <c r="AC377" s="636"/>
    </row>
    <row r="378" spans="1:68" ht="14.25" hidden="1" customHeight="1" x14ac:dyDescent="0.25">
      <c r="A378" s="644" t="s">
        <v>74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72</v>
      </c>
      <c r="Q383" s="642"/>
      <c r="R383" s="642"/>
      <c r="S383" s="642"/>
      <c r="T383" s="642"/>
      <c r="U383" s="642"/>
      <c r="V383" s="643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72</v>
      </c>
      <c r="Q384" s="642"/>
      <c r="R384" s="642"/>
      <c r="S384" s="642"/>
      <c r="T384" s="642"/>
      <c r="U384" s="642"/>
      <c r="V384" s="643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164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hidden="1" customHeight="1" x14ac:dyDescent="0.25">
      <c r="A386" s="54" t="s">
        <v>632</v>
      </c>
      <c r="B386" s="54" t="s">
        <v>633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3">
        <v>60</v>
      </c>
      <c r="Y387" s="634">
        <f>IFERROR(IF(X387="",0,CEILING((X387/$H387),1)*$H387),"")</f>
        <v>62.4</v>
      </c>
      <c r="Z387" s="36">
        <f>IFERROR(IF(Y387=0,"",ROUNDUP(Y387/H387,0)*0.01898),"")</f>
        <v>0.15184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63.800000000000004</v>
      </c>
      <c r="BN387" s="64">
        <f>IFERROR(Y387*I387/H387,"0")</f>
        <v>66.352000000000004</v>
      </c>
      <c r="BO387" s="64">
        <f>IFERROR(1/J387*(X387/H387),"0")</f>
        <v>0.1201923076923077</v>
      </c>
      <c r="BP387" s="64">
        <f>IFERROR(1/J387*(Y387/H387),"0")</f>
        <v>0.125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3">
        <v>96</v>
      </c>
      <c r="Y388" s="634">
        <f>IFERROR(IF(X388="",0,CEILING((X388/$H388),1)*$H388),"")</f>
        <v>100.80000000000001</v>
      </c>
      <c r="Z388" s="36">
        <f>IFERROR(IF(Y388=0,"",ROUNDUP(Y388/H388,0)*0.01898),"")</f>
        <v>0.22776000000000002</v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101.64571428571429</v>
      </c>
      <c r="BN388" s="64">
        <f>IFERROR(Y388*I388/H388,"0")</f>
        <v>106.72800000000001</v>
      </c>
      <c r="BO388" s="64">
        <f>IFERROR(1/J388*(X388/H388),"0")</f>
        <v>0.17857142857142858</v>
      </c>
      <c r="BP388" s="64">
        <f>IFERROR(1/J388*(Y388/H388),"0")</f>
        <v>0.1875</v>
      </c>
    </row>
    <row r="389" spans="1:68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72</v>
      </c>
      <c r="Q389" s="642"/>
      <c r="R389" s="642"/>
      <c r="S389" s="642"/>
      <c r="T389" s="642"/>
      <c r="U389" s="642"/>
      <c r="V389" s="643"/>
      <c r="W389" s="37" t="s">
        <v>73</v>
      </c>
      <c r="X389" s="635">
        <f>IFERROR(X386/H386,"0")+IFERROR(X387/H387,"0")+IFERROR(X388/H388,"0")</f>
        <v>19.12087912087912</v>
      </c>
      <c r="Y389" s="635">
        <f>IFERROR(Y386/H386,"0")+IFERROR(Y387/H387,"0")+IFERROR(Y388/H388,"0")</f>
        <v>20</v>
      </c>
      <c r="Z389" s="635">
        <f>IFERROR(IF(Z386="",0,Z386),"0")+IFERROR(IF(Z387="",0,Z387),"0")+IFERROR(IF(Z388="",0,Z388),"0")</f>
        <v>0.37960000000000005</v>
      </c>
      <c r="AA389" s="636"/>
      <c r="AB389" s="636"/>
      <c r="AC389" s="636"/>
    </row>
    <row r="390" spans="1:68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72</v>
      </c>
      <c r="Q390" s="642"/>
      <c r="R390" s="642"/>
      <c r="S390" s="642"/>
      <c r="T390" s="642"/>
      <c r="U390" s="642"/>
      <c r="V390" s="643"/>
      <c r="W390" s="37" t="s">
        <v>67</v>
      </c>
      <c r="X390" s="635">
        <f>IFERROR(SUM(X386:X388),"0")</f>
        <v>156</v>
      </c>
      <c r="Y390" s="635">
        <f>IFERROR(SUM(Y386:Y388),"0")</f>
        <v>163.20000000000002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272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3">
        <v>55</v>
      </c>
      <c r="Y392" s="634">
        <f>IFERROR(IF(X392="",0,CEILING((X392/$H392),1)*$H392),"")</f>
        <v>57.76</v>
      </c>
      <c r="Z392" s="36">
        <f>IFERROR(IF(Y392=0,"",ROUNDUP(Y392/H392,0)*0.00902),"")</f>
        <v>0.17138</v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59.884868421052637</v>
      </c>
      <c r="BN392" s="64">
        <f>IFERROR(Y392*I392/H392,"0")</f>
        <v>62.89</v>
      </c>
      <c r="BO392" s="64">
        <f>IFERROR(1/J392*(X392/H392),"0")</f>
        <v>0.13706140350877194</v>
      </c>
      <c r="BP392" s="64">
        <f>IFERROR(1/J392*(Y392/H392),"0")</f>
        <v>0.14393939393939395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3">
        <v>22</v>
      </c>
      <c r="Y393" s="634">
        <f>IFERROR(IF(X393="",0,CEILING((X393/$H393),1)*$H393),"")</f>
        <v>24.32</v>
      </c>
      <c r="Z393" s="36">
        <f>IFERROR(IF(Y393=0,"",ROUNDUP(Y393/H393,0)*0.00902),"")</f>
        <v>7.2160000000000002E-2</v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23.664473684210524</v>
      </c>
      <c r="BN393" s="64">
        <f>IFERROR(Y393*I393/H393,"0")</f>
        <v>26.159999999999997</v>
      </c>
      <c r="BO393" s="64">
        <f>IFERROR(1/J393*(X393/H393),"0")</f>
        <v>5.4824561403508769E-2</v>
      </c>
      <c r="BP393" s="64">
        <f>IFERROR(1/J393*(Y393/H393),"0")</f>
        <v>6.0606060606060608E-2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3">
        <v>17</v>
      </c>
      <c r="Y394" s="634">
        <f>IFERROR(IF(X394="",0,CEILING((X394/$H394),1)*$H394),"")</f>
        <v>17.849999999999998</v>
      </c>
      <c r="Z394" s="36">
        <f>IFERROR(IF(Y394=0,"",ROUNDUP(Y394/H394,0)*0.00651),"")</f>
        <v>4.5569999999999999E-2</v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19.700000000000003</v>
      </c>
      <c r="BN394" s="64">
        <f>IFERROR(Y394*I394/H394,"0")</f>
        <v>20.684999999999999</v>
      </c>
      <c r="BO394" s="64">
        <f>IFERROR(1/J394*(X394/H394),"0")</f>
        <v>3.6630036630036632E-2</v>
      </c>
      <c r="BP394" s="64">
        <f>IFERROR(1/J394*(Y394/H394),"0")</f>
        <v>3.8461538461538464E-2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3">
        <v>13</v>
      </c>
      <c r="Y395" s="634">
        <f>IFERROR(IF(X395="",0,CEILING((X395/$H395),1)*$H395),"")</f>
        <v>15.299999999999999</v>
      </c>
      <c r="Z395" s="36">
        <f>IFERROR(IF(Y395=0,"",ROUNDUP(Y395/H395,0)*0.00651),"")</f>
        <v>3.9059999999999997E-2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14.68235294117647</v>
      </c>
      <c r="BN395" s="64">
        <f>IFERROR(Y395*I395/H395,"0")</f>
        <v>17.279999999999998</v>
      </c>
      <c r="BO395" s="64">
        <f>IFERROR(1/J395*(X395/H395),"0")</f>
        <v>2.8011204481792722E-2</v>
      </c>
      <c r="BP395" s="64">
        <f>IFERROR(1/J395*(Y395/H395),"0")</f>
        <v>3.2967032967032968E-2</v>
      </c>
    </row>
    <row r="396" spans="1:68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72</v>
      </c>
      <c r="Q396" s="642"/>
      <c r="R396" s="642"/>
      <c r="S396" s="642"/>
      <c r="T396" s="642"/>
      <c r="U396" s="642"/>
      <c r="V396" s="643"/>
      <c r="W396" s="37" t="s">
        <v>73</v>
      </c>
      <c r="X396" s="635">
        <f>IFERROR(X392/H392,"0")+IFERROR(X393/H393,"0")+IFERROR(X394/H394,"0")+IFERROR(X395/H395,"0")</f>
        <v>37.093653250773997</v>
      </c>
      <c r="Y396" s="635">
        <f>IFERROR(Y392/H392,"0")+IFERROR(Y393/H393,"0")+IFERROR(Y394/H394,"0")+IFERROR(Y395/H395,"0")</f>
        <v>40</v>
      </c>
      <c r="Z396" s="635">
        <f>IFERROR(IF(Z392="",0,Z392),"0")+IFERROR(IF(Z393="",0,Z393),"0")+IFERROR(IF(Z394="",0,Z394),"0")+IFERROR(IF(Z395="",0,Z395),"0")</f>
        <v>0.32816999999999996</v>
      </c>
      <c r="AA396" s="636"/>
      <c r="AB396" s="636"/>
      <c r="AC396" s="636"/>
    </row>
    <row r="397" spans="1:68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72</v>
      </c>
      <c r="Q397" s="642"/>
      <c r="R397" s="642"/>
      <c r="S397" s="642"/>
      <c r="T397" s="642"/>
      <c r="U397" s="642"/>
      <c r="V397" s="643"/>
      <c r="W397" s="37" t="s">
        <v>67</v>
      </c>
      <c r="X397" s="635">
        <f>IFERROR(SUM(X392:X395),"0")</f>
        <v>107</v>
      </c>
      <c r="Y397" s="635">
        <f>IFERROR(SUM(Y392:Y395),"0")</f>
        <v>115.22999999999999</v>
      </c>
      <c r="Z397" s="37"/>
      <c r="AA397" s="636"/>
      <c r="AB397" s="636"/>
      <c r="AC397" s="636"/>
    </row>
    <row r="398" spans="1:68" ht="14.25" hidden="1" customHeight="1" x14ac:dyDescent="0.25">
      <c r="A398" s="644" t="s">
        <v>650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hidden="1" customHeight="1" x14ac:dyDescent="0.25">
      <c r="A399" s="54" t="s">
        <v>651</v>
      </c>
      <c r="B399" s="54" t="s">
        <v>652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655</v>
      </c>
      <c r="B400" s="54" t="s">
        <v>656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657</v>
      </c>
      <c r="B401" s="54" t="s">
        <v>658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72</v>
      </c>
      <c r="Q402" s="642"/>
      <c r="R402" s="642"/>
      <c r="S402" s="642"/>
      <c r="T402" s="642"/>
      <c r="U402" s="642"/>
      <c r="V402" s="643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hidden="1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72</v>
      </c>
      <c r="Q403" s="642"/>
      <c r="R403" s="642"/>
      <c r="S403" s="642"/>
      <c r="T403" s="642"/>
      <c r="U403" s="642"/>
      <c r="V403" s="643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659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3">
        <v>36</v>
      </c>
      <c r="Y405" s="634">
        <f>IFERROR(IF(X405="",0,CEILING((X405/$H405),1)*$H405),"")</f>
        <v>36</v>
      </c>
      <c r="Z405" s="36">
        <f>IFERROR(IF(Y405=0,"",ROUNDUP(Y405/H405,0)*0.0045),"")</f>
        <v>5.3999999999999992E-2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38.64</v>
      </c>
      <c r="BN405" s="64">
        <f>IFERROR(Y405*I405/H405,"0")</f>
        <v>38.64</v>
      </c>
      <c r="BO405" s="64">
        <f>IFERROR(1/J405*(X405/H405),"0")</f>
        <v>5.3571428571428568E-2</v>
      </c>
      <c r="BP405" s="64">
        <f>IFERROR(1/J405*(Y405/H405),"0")</f>
        <v>5.3571428571428568E-2</v>
      </c>
    </row>
    <row r="406" spans="1:68" ht="27" hidden="1" customHeight="1" x14ac:dyDescent="0.25">
      <c r="A406" s="54" t="s">
        <v>663</v>
      </c>
      <c r="B406" s="54" t="s">
        <v>664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666</v>
      </c>
      <c r="B407" s="54" t="s">
        <v>667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72</v>
      </c>
      <c r="Q408" s="642"/>
      <c r="R408" s="642"/>
      <c r="S408" s="642"/>
      <c r="T408" s="642"/>
      <c r="U408" s="642"/>
      <c r="V408" s="643"/>
      <c r="W408" s="37" t="s">
        <v>73</v>
      </c>
      <c r="X408" s="635">
        <f>IFERROR(X405/H405,"0")+IFERROR(X406/H406,"0")+IFERROR(X407/H407,"0")</f>
        <v>12</v>
      </c>
      <c r="Y408" s="635">
        <f>IFERROR(Y405/H405,"0")+IFERROR(Y406/H406,"0")+IFERROR(Y407/H407,"0")</f>
        <v>12</v>
      </c>
      <c r="Z408" s="635">
        <f>IFERROR(IF(Z405="",0,Z405),"0")+IFERROR(IF(Z406="",0,Z406),"0")+IFERROR(IF(Z407="",0,Z407),"0")</f>
        <v>5.3999999999999992E-2</v>
      </c>
      <c r="AA408" s="636"/>
      <c r="AB408" s="636"/>
      <c r="AC408" s="636"/>
    </row>
    <row r="409" spans="1:68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72</v>
      </c>
      <c r="Q409" s="642"/>
      <c r="R409" s="642"/>
      <c r="S409" s="642"/>
      <c r="T409" s="642"/>
      <c r="U409" s="642"/>
      <c r="V409" s="643"/>
      <c r="W409" s="37" t="s">
        <v>67</v>
      </c>
      <c r="X409" s="635">
        <f>IFERROR(SUM(X405:X407),"0")</f>
        <v>36</v>
      </c>
      <c r="Y409" s="635">
        <f>IFERROR(SUM(Y405:Y407),"0")</f>
        <v>36</v>
      </c>
      <c r="Z409" s="37"/>
      <c r="AA409" s="636"/>
      <c r="AB409" s="636"/>
      <c r="AC409" s="636"/>
    </row>
    <row r="410" spans="1:68" ht="16.5" hidden="1" customHeight="1" x14ac:dyDescent="0.25">
      <c r="A410" s="639" t="s">
        <v>668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74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6" t="s">
        <v>671</v>
      </c>
      <c r="Q412" s="646"/>
      <c r="R412" s="646"/>
      <c r="S412" s="646"/>
      <c r="T412" s="647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46"/>
      <c r="R413" s="646"/>
      <c r="S413" s="646"/>
      <c r="T413" s="647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72</v>
      </c>
      <c r="Q414" s="642"/>
      <c r="R414" s="642"/>
      <c r="S414" s="642"/>
      <c r="T414" s="642"/>
      <c r="U414" s="642"/>
      <c r="V414" s="643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72</v>
      </c>
      <c r="Q415" s="642"/>
      <c r="R415" s="642"/>
      <c r="S415" s="642"/>
      <c r="T415" s="642"/>
      <c r="U415" s="642"/>
      <c r="V415" s="643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678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74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682</v>
      </c>
      <c r="B419" s="54" t="s">
        <v>683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685</v>
      </c>
      <c r="B420" s="54" t="s">
        <v>686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72</v>
      </c>
      <c r="Q421" s="642"/>
      <c r="R421" s="642"/>
      <c r="S421" s="642"/>
      <c r="T421" s="642"/>
      <c r="U421" s="642"/>
      <c r="V421" s="643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hidden="1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72</v>
      </c>
      <c r="Q422" s="642"/>
      <c r="R422" s="642"/>
      <c r="S422" s="642"/>
      <c r="T422" s="642"/>
      <c r="U422" s="642"/>
      <c r="V422" s="643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hidden="1" customHeight="1" x14ac:dyDescent="0.2">
      <c r="A423" s="718" t="s">
        <v>688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689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111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hidden="1" customHeight="1" x14ac:dyDescent="0.25">
      <c r="A426" s="54" t="s">
        <v>690</v>
      </c>
      <c r="B426" s="54" t="s">
        <v>691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hidden="1" customHeight="1" x14ac:dyDescent="0.25">
      <c r="A427" s="54" t="s">
        <v>693</v>
      </c>
      <c r="B427" s="54" t="s">
        <v>694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3">
        <v>0</v>
      </c>
      <c r="Y427" s="634">
        <f t="shared" si="53"/>
        <v>0</v>
      </c>
      <c r="Z427" s="36" t="str">
        <f>IFERROR(IF(Y427=0,"",ROUNDUP(Y427/H427,0)*0.02175),"")</f>
        <v/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0</v>
      </c>
      <c r="BN427" s="64">
        <f t="shared" si="55"/>
        <v>0</v>
      </c>
      <c r="BO427" s="64">
        <f t="shared" si="56"/>
        <v>0</v>
      </c>
      <c r="BP427" s="64">
        <f t="shared" si="57"/>
        <v>0</v>
      </c>
    </row>
    <row r="428" spans="1:68" ht="27" hidden="1" customHeight="1" x14ac:dyDescent="0.25">
      <c r="A428" s="54" t="s">
        <v>696</v>
      </c>
      <c r="B428" s="54" t="s">
        <v>697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hidden="1" customHeight="1" x14ac:dyDescent="0.25">
      <c r="A429" s="54" t="s">
        <v>699</v>
      </c>
      <c r="B429" s="54" t="s">
        <v>700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702</v>
      </c>
      <c r="B430" s="54" t="s">
        <v>703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idden="1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72</v>
      </c>
      <c r="Q434" s="642"/>
      <c r="R434" s="642"/>
      <c r="S434" s="642"/>
      <c r="T434" s="642"/>
      <c r="U434" s="642"/>
      <c r="V434" s="643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0</v>
      </c>
      <c r="Y434" s="635">
        <f>IFERROR(Y426/H426,"0")+IFERROR(Y427/H427,"0")+IFERROR(Y428/H428,"0")+IFERROR(Y429/H429,"0")+IFERROR(Y430/H430,"0")+IFERROR(Y431/H431,"0")+IFERROR(Y432/H432,"0")+IFERROR(Y433/H433,"0")</f>
        <v>0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36"/>
      <c r="AB434" s="636"/>
      <c r="AC434" s="636"/>
    </row>
    <row r="435" spans="1:68" hidden="1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72</v>
      </c>
      <c r="Q435" s="642"/>
      <c r="R435" s="642"/>
      <c r="S435" s="642"/>
      <c r="T435" s="642"/>
      <c r="U435" s="642"/>
      <c r="V435" s="643"/>
      <c r="W435" s="37" t="s">
        <v>67</v>
      </c>
      <c r="X435" s="635">
        <f>IFERROR(SUM(X426:X433),"0")</f>
        <v>0</v>
      </c>
      <c r="Y435" s="635">
        <f>IFERROR(SUM(Y426:Y433),"0")</f>
        <v>0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147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hidden="1" customHeight="1" x14ac:dyDescent="0.25">
      <c r="A437" s="54" t="s">
        <v>714</v>
      </c>
      <c r="B437" s="54" t="s">
        <v>715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717</v>
      </c>
      <c r="B438" s="54" t="s">
        <v>718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72</v>
      </c>
      <c r="Q440" s="642"/>
      <c r="R440" s="642"/>
      <c r="S440" s="642"/>
      <c r="T440" s="642"/>
      <c r="U440" s="642"/>
      <c r="V440" s="643"/>
      <c r="W440" s="37" t="s">
        <v>73</v>
      </c>
      <c r="X440" s="635">
        <f>IFERROR(X437/H437,"0")+IFERROR(X438/H438,"0")+IFERROR(X439/H439,"0")</f>
        <v>0</v>
      </c>
      <c r="Y440" s="635">
        <f>IFERROR(Y437/H437,"0")+IFERROR(Y438/H438,"0")+IFERROR(Y439/H439,"0")</f>
        <v>0</v>
      </c>
      <c r="Z440" s="635">
        <f>IFERROR(IF(Z437="",0,Z437),"0")+IFERROR(IF(Z438="",0,Z438),"0")+IFERROR(IF(Z439="",0,Z439),"0")</f>
        <v>0</v>
      </c>
      <c r="AA440" s="636"/>
      <c r="AB440" s="636"/>
      <c r="AC440" s="636"/>
    </row>
    <row r="441" spans="1:68" hidden="1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72</v>
      </c>
      <c r="Q441" s="642"/>
      <c r="R441" s="642"/>
      <c r="S441" s="642"/>
      <c r="T441" s="642"/>
      <c r="U441" s="642"/>
      <c r="V441" s="643"/>
      <c r="W441" s="37" t="s">
        <v>67</v>
      </c>
      <c r="X441" s="635">
        <f>IFERROR(SUM(X437:X439),"0")</f>
        <v>0</v>
      </c>
      <c r="Y441" s="635">
        <f>IFERROR(SUM(Y437:Y439),"0")</f>
        <v>0</v>
      </c>
      <c r="Z441" s="37"/>
      <c r="AA441" s="636"/>
      <c r="AB441" s="636"/>
      <c r="AC441" s="636"/>
    </row>
    <row r="442" spans="1:68" ht="14.25" hidden="1" customHeight="1" x14ac:dyDescent="0.25">
      <c r="A442" s="644" t="s">
        <v>74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3">
        <v>49</v>
      </c>
      <c r="Y444" s="634">
        <f>IFERROR(IF(X444="",0,CEILING((X444/$H444),1)*$H444),"")</f>
        <v>54</v>
      </c>
      <c r="Z444" s="36">
        <f>IFERROR(IF(Y444=0,"",ROUNDUP(Y444/H444,0)*0.01898),"")</f>
        <v>0.11388000000000001</v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51.689555555555557</v>
      </c>
      <c r="BN444" s="64">
        <f>IFERROR(Y444*I444/H444,"0")</f>
        <v>56.963999999999992</v>
      </c>
      <c r="BO444" s="64">
        <f>IFERROR(1/J444*(X444/H444),"0")</f>
        <v>8.5069444444444448E-2</v>
      </c>
      <c r="BP444" s="64">
        <f>IFERROR(1/J444*(Y444/H444),"0")</f>
        <v>9.375E-2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72</v>
      </c>
      <c r="Q446" s="642"/>
      <c r="R446" s="642"/>
      <c r="S446" s="642"/>
      <c r="T446" s="642"/>
      <c r="U446" s="642"/>
      <c r="V446" s="643"/>
      <c r="W446" s="37" t="s">
        <v>73</v>
      </c>
      <c r="X446" s="635">
        <f>IFERROR(X443/H443,"0")+IFERROR(X444/H444,"0")+IFERROR(X445/H445,"0")</f>
        <v>5.4444444444444446</v>
      </c>
      <c r="Y446" s="635">
        <f>IFERROR(Y443/H443,"0")+IFERROR(Y444/H444,"0")+IFERROR(Y445/H445,"0")</f>
        <v>6</v>
      </c>
      <c r="Z446" s="635">
        <f>IFERROR(IF(Z443="",0,Z443),"0")+IFERROR(IF(Z444="",0,Z444),"0")+IFERROR(IF(Z445="",0,Z445),"0")</f>
        <v>0.11388000000000001</v>
      </c>
      <c r="AA446" s="636"/>
      <c r="AB446" s="636"/>
      <c r="AC446" s="636"/>
    </row>
    <row r="447" spans="1:68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72</v>
      </c>
      <c r="Q447" s="642"/>
      <c r="R447" s="642"/>
      <c r="S447" s="642"/>
      <c r="T447" s="642"/>
      <c r="U447" s="642"/>
      <c r="V447" s="643"/>
      <c r="W447" s="37" t="s">
        <v>67</v>
      </c>
      <c r="X447" s="635">
        <f>IFERROR(SUM(X443:X445),"0")</f>
        <v>49</v>
      </c>
      <c r="Y447" s="635">
        <f>IFERROR(SUM(Y443:Y445),"0")</f>
        <v>54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164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3">
        <v>100</v>
      </c>
      <c r="Y450" s="634">
        <f>IFERROR(IF(X450="",0,CEILING((X450/$H450),1)*$H450),"")</f>
        <v>108</v>
      </c>
      <c r="Z450" s="36">
        <f>IFERROR(IF(Y450=0,"",ROUNDUP(Y450/H450,0)*0.01898),"")</f>
        <v>0.22776000000000002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105.48888888888888</v>
      </c>
      <c r="BN450" s="64">
        <f>IFERROR(Y450*I450/H450,"0")</f>
        <v>113.92799999999998</v>
      </c>
      <c r="BO450" s="64">
        <f>IFERROR(1/J450*(X450/H450),"0")</f>
        <v>0.1736111111111111</v>
      </c>
      <c r="BP450" s="64">
        <f>IFERROR(1/J450*(Y450/H450),"0")</f>
        <v>0.1875</v>
      </c>
    </row>
    <row r="451" spans="1:68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72</v>
      </c>
      <c r="Q451" s="642"/>
      <c r="R451" s="642"/>
      <c r="S451" s="642"/>
      <c r="T451" s="642"/>
      <c r="U451" s="642"/>
      <c r="V451" s="643"/>
      <c r="W451" s="37" t="s">
        <v>73</v>
      </c>
      <c r="X451" s="635">
        <f>IFERROR(X449/H449,"0")+IFERROR(X450/H450,"0")</f>
        <v>11.111111111111111</v>
      </c>
      <c r="Y451" s="635">
        <f>IFERROR(Y449/H449,"0")+IFERROR(Y450/H450,"0")</f>
        <v>12</v>
      </c>
      <c r="Z451" s="635">
        <f>IFERROR(IF(Z449="",0,Z449),"0")+IFERROR(IF(Z450="",0,Z450),"0")</f>
        <v>0.22776000000000002</v>
      </c>
      <c r="AA451" s="636"/>
      <c r="AB451" s="636"/>
      <c r="AC451" s="636"/>
    </row>
    <row r="452" spans="1:68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72</v>
      </c>
      <c r="Q452" s="642"/>
      <c r="R452" s="642"/>
      <c r="S452" s="642"/>
      <c r="T452" s="642"/>
      <c r="U452" s="642"/>
      <c r="V452" s="643"/>
      <c r="W452" s="37" t="s">
        <v>67</v>
      </c>
      <c r="X452" s="635">
        <f>IFERROR(SUM(X449:X450),"0")</f>
        <v>100</v>
      </c>
      <c r="Y452" s="635">
        <f>IFERROR(SUM(Y449:Y450),"0")</f>
        <v>108</v>
      </c>
      <c r="Z452" s="37"/>
      <c r="AA452" s="636"/>
      <c r="AB452" s="636"/>
      <c r="AC452" s="636"/>
    </row>
    <row r="453" spans="1:68" ht="16.5" hidden="1" customHeight="1" x14ac:dyDescent="0.25">
      <c r="A453" s="639" t="s">
        <v>738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111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72</v>
      </c>
      <c r="Q457" s="642"/>
      <c r="R457" s="642"/>
      <c r="S457" s="642"/>
      <c r="T457" s="642"/>
      <c r="U457" s="642"/>
      <c r="V457" s="643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72</v>
      </c>
      <c r="Q458" s="642"/>
      <c r="R458" s="642"/>
      <c r="S458" s="642"/>
      <c r="T458" s="642"/>
      <c r="U458" s="642"/>
      <c r="V458" s="643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62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72</v>
      </c>
      <c r="Q461" s="642"/>
      <c r="R461" s="642"/>
      <c r="S461" s="642"/>
      <c r="T461" s="642"/>
      <c r="U461" s="642"/>
      <c r="V461" s="643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72</v>
      </c>
      <c r="Q462" s="642"/>
      <c r="R462" s="642"/>
      <c r="S462" s="642"/>
      <c r="T462" s="642"/>
      <c r="U462" s="642"/>
      <c r="V462" s="643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74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3">
        <v>445</v>
      </c>
      <c r="Y464" s="634">
        <f>IFERROR(IF(X464="",0,CEILING((X464/$H464),1)*$H464),"")</f>
        <v>450</v>
      </c>
      <c r="Z464" s="36">
        <f>IFERROR(IF(Y464=0,"",ROUNDUP(Y464/H464,0)*0.01898),"")</f>
        <v>0.94900000000000007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469.42555555555555</v>
      </c>
      <c r="BN464" s="64">
        <f>IFERROR(Y464*I464/H464,"0")</f>
        <v>474.70000000000005</v>
      </c>
      <c r="BO464" s="64">
        <f>IFERROR(1/J464*(X464/H464),"0")</f>
        <v>0.77256944444444442</v>
      </c>
      <c r="BP464" s="64">
        <f>IFERROR(1/J464*(Y464/H464),"0")</f>
        <v>0.78125</v>
      </c>
    </row>
    <row r="465" spans="1:68" ht="27" hidden="1" customHeight="1" x14ac:dyDescent="0.25">
      <c r="A465" s="54" t="s">
        <v>750</v>
      </c>
      <c r="B465" s="54" t="s">
        <v>751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72</v>
      </c>
      <c r="Q467" s="642"/>
      <c r="R467" s="642"/>
      <c r="S467" s="642"/>
      <c r="T467" s="642"/>
      <c r="U467" s="642"/>
      <c r="V467" s="643"/>
      <c r="W467" s="37" t="s">
        <v>73</v>
      </c>
      <c r="X467" s="635">
        <f>IFERROR(X464/H464,"0")+IFERROR(X465/H465,"0")+IFERROR(X466/H466,"0")</f>
        <v>49.444444444444443</v>
      </c>
      <c r="Y467" s="635">
        <f>IFERROR(Y464/H464,"0")+IFERROR(Y465/H465,"0")+IFERROR(Y466/H466,"0")</f>
        <v>50</v>
      </c>
      <c r="Z467" s="635">
        <f>IFERROR(IF(Z464="",0,Z464),"0")+IFERROR(IF(Z465="",0,Z465),"0")+IFERROR(IF(Z466="",0,Z466),"0")</f>
        <v>0.94900000000000007</v>
      </c>
      <c r="AA467" s="636"/>
      <c r="AB467" s="636"/>
      <c r="AC467" s="636"/>
    </row>
    <row r="468" spans="1:68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72</v>
      </c>
      <c r="Q468" s="642"/>
      <c r="R468" s="642"/>
      <c r="S468" s="642"/>
      <c r="T468" s="642"/>
      <c r="U468" s="642"/>
      <c r="V468" s="643"/>
      <c r="W468" s="37" t="s">
        <v>67</v>
      </c>
      <c r="X468" s="635">
        <f>IFERROR(SUM(X464:X466),"0")</f>
        <v>445</v>
      </c>
      <c r="Y468" s="635">
        <f>IFERROR(SUM(Y464:Y466),"0")</f>
        <v>450</v>
      </c>
      <c r="Z468" s="37"/>
      <c r="AA468" s="636"/>
      <c r="AB468" s="636"/>
      <c r="AC468" s="636"/>
    </row>
    <row r="469" spans="1:68" ht="27.75" hidden="1" customHeight="1" x14ac:dyDescent="0.2">
      <c r="A469" s="718" t="s">
        <v>754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755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62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756</v>
      </c>
      <c r="B472" s="54" t="s">
        <v>757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72</v>
      </c>
      <c r="Q478" s="642"/>
      <c r="R478" s="642"/>
      <c r="S478" s="642"/>
      <c r="T478" s="642"/>
      <c r="U478" s="642"/>
      <c r="V478" s="643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72</v>
      </c>
      <c r="Q479" s="642"/>
      <c r="R479" s="642"/>
      <c r="S479" s="642"/>
      <c r="T479" s="642"/>
      <c r="U479" s="642"/>
      <c r="V479" s="643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74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72</v>
      </c>
      <c r="Q483" s="642"/>
      <c r="R483" s="642"/>
      <c r="S483" s="642"/>
      <c r="T483" s="642"/>
      <c r="U483" s="642"/>
      <c r="V483" s="643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72</v>
      </c>
      <c r="Q484" s="642"/>
      <c r="R484" s="642"/>
      <c r="S484" s="642"/>
      <c r="T484" s="642"/>
      <c r="U484" s="642"/>
      <c r="V484" s="643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778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147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72</v>
      </c>
      <c r="Q488" s="642"/>
      <c r="R488" s="642"/>
      <c r="S488" s="642"/>
      <c r="T488" s="642"/>
      <c r="U488" s="642"/>
      <c r="V488" s="643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72</v>
      </c>
      <c r="Q489" s="642"/>
      <c r="R489" s="642"/>
      <c r="S489" s="642"/>
      <c r="T489" s="642"/>
      <c r="U489" s="642"/>
      <c r="V489" s="643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62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782</v>
      </c>
      <c r="B491" s="54" t="s">
        <v>783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72</v>
      </c>
      <c r="Q494" s="642"/>
      <c r="R494" s="642"/>
      <c r="S494" s="642"/>
      <c r="T494" s="642"/>
      <c r="U494" s="642"/>
      <c r="V494" s="643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72</v>
      </c>
      <c r="Q495" s="642"/>
      <c r="R495" s="642"/>
      <c r="S495" s="642"/>
      <c r="T495" s="642"/>
      <c r="U495" s="642"/>
      <c r="V495" s="643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790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790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111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hidden="1" customHeight="1" x14ac:dyDescent="0.25">
      <c r="A499" s="54" t="s">
        <v>791</v>
      </c>
      <c r="B499" s="54" t="s">
        <v>792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796</v>
      </c>
      <c r="B501" s="54" t="s">
        <v>797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hidden="1" customHeight="1" x14ac:dyDescent="0.25">
      <c r="A502" s="54" t="s">
        <v>799</v>
      </c>
      <c r="B502" s="54" t="s">
        <v>800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hidden="1" customHeight="1" x14ac:dyDescent="0.25">
      <c r="A504" s="54" t="s">
        <v>805</v>
      </c>
      <c r="B504" s="54" t="s">
        <v>806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hidden="1" customHeight="1" x14ac:dyDescent="0.25">
      <c r="A506" s="54" t="s">
        <v>810</v>
      </c>
      <c r="B506" s="54" t="s">
        <v>811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hidden="1" customHeight="1" x14ac:dyDescent="0.25">
      <c r="A507" s="54" t="s">
        <v>812</v>
      </c>
      <c r="B507" s="54" t="s">
        <v>813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hidden="1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72</v>
      </c>
      <c r="Q508" s="642"/>
      <c r="R508" s="642"/>
      <c r="S508" s="642"/>
      <c r="T508" s="642"/>
      <c r="U508" s="642"/>
      <c r="V508" s="643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0</v>
      </c>
      <c r="Y508" s="635">
        <f>IFERROR(Y499/H499,"0")+IFERROR(Y500/H500,"0")+IFERROR(Y501/H501,"0")+IFERROR(Y502/H502,"0")+IFERROR(Y503/H503,"0")+IFERROR(Y504/H504,"0")+IFERROR(Y505/H505,"0")+IFERROR(Y506/H506,"0")+IFERROR(Y507/H507,"0")</f>
        <v>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36"/>
      <c r="AB508" s="636"/>
      <c r="AC508" s="636"/>
    </row>
    <row r="509" spans="1:68" hidden="1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72</v>
      </c>
      <c r="Q509" s="642"/>
      <c r="R509" s="642"/>
      <c r="S509" s="642"/>
      <c r="T509" s="642"/>
      <c r="U509" s="642"/>
      <c r="V509" s="643"/>
      <c r="W509" s="37" t="s">
        <v>67</v>
      </c>
      <c r="X509" s="635">
        <f>IFERROR(SUM(X499:X507),"0")</f>
        <v>0</v>
      </c>
      <c r="Y509" s="635">
        <f>IFERROR(SUM(Y499:Y507),"0")</f>
        <v>0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147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3">
        <v>56</v>
      </c>
      <c r="Y511" s="634">
        <f>IFERROR(IF(X511="",0,CEILING((X511/$H511),1)*$H511),"")</f>
        <v>58.080000000000005</v>
      </c>
      <c r="Z511" s="36">
        <f>IFERROR(IF(Y511=0,"",ROUNDUP(Y511/H511,0)*0.01196),"")</f>
        <v>0.13156000000000001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59.712121212121204</v>
      </c>
      <c r="BN511" s="64">
        <f>IFERROR(Y511*I511/H511,"0")</f>
        <v>61.93</v>
      </c>
      <c r="BO511" s="64">
        <f>IFERROR(1/J511*(X511/H511),"0")</f>
        <v>0.10198135198135198</v>
      </c>
      <c r="BP511" s="64">
        <f>IFERROR(1/J511*(Y511/H511),"0")</f>
        <v>0.10576923076923078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3">
        <v>19</v>
      </c>
      <c r="Y513" s="634">
        <f>IFERROR(IF(X513="",0,CEILING((X513/$H513),1)*$H513),"")</f>
        <v>19.2</v>
      </c>
      <c r="Z513" s="36">
        <f>IFERROR(IF(Y513=0,"",ROUNDUP(Y513/H513,0)*0.00902),"")</f>
        <v>3.6080000000000001E-2</v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27.352083333333333</v>
      </c>
      <c r="BN513" s="64">
        <f>IFERROR(Y513*I513/H513,"0")</f>
        <v>27.64</v>
      </c>
      <c r="BO513" s="64">
        <f>IFERROR(1/J513*(X513/H513),"0")</f>
        <v>2.998737373737374E-2</v>
      </c>
      <c r="BP513" s="64">
        <f>IFERROR(1/J513*(Y513/H513),"0")</f>
        <v>3.0303030303030304E-2</v>
      </c>
    </row>
    <row r="514" spans="1:68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72</v>
      </c>
      <c r="Q514" s="642"/>
      <c r="R514" s="642"/>
      <c r="S514" s="642"/>
      <c r="T514" s="642"/>
      <c r="U514" s="642"/>
      <c r="V514" s="643"/>
      <c r="W514" s="37" t="s">
        <v>73</v>
      </c>
      <c r="X514" s="635">
        <f>IFERROR(X511/H511,"0")+IFERROR(X512/H512,"0")+IFERROR(X513/H513,"0")</f>
        <v>14.564393939393939</v>
      </c>
      <c r="Y514" s="635">
        <f>IFERROR(Y511/H511,"0")+IFERROR(Y512/H512,"0")+IFERROR(Y513/H513,"0")</f>
        <v>15</v>
      </c>
      <c r="Z514" s="635">
        <f>IFERROR(IF(Z511="",0,Z511),"0")+IFERROR(IF(Z512="",0,Z512),"0")+IFERROR(IF(Z513="",0,Z513),"0")</f>
        <v>0.16764000000000001</v>
      </c>
      <c r="AA514" s="636"/>
      <c r="AB514" s="636"/>
      <c r="AC514" s="636"/>
    </row>
    <row r="515" spans="1:68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72</v>
      </c>
      <c r="Q515" s="642"/>
      <c r="R515" s="642"/>
      <c r="S515" s="642"/>
      <c r="T515" s="642"/>
      <c r="U515" s="642"/>
      <c r="V515" s="643"/>
      <c r="W515" s="37" t="s">
        <v>67</v>
      </c>
      <c r="X515" s="635">
        <f>IFERROR(SUM(X511:X513),"0")</f>
        <v>75</v>
      </c>
      <c r="Y515" s="635">
        <f>IFERROR(SUM(Y511:Y513),"0")</f>
        <v>77.28</v>
      </c>
      <c r="Z515" s="37"/>
      <c r="AA515" s="636"/>
      <c r="AB515" s="636"/>
      <c r="AC515" s="636"/>
    </row>
    <row r="516" spans="1:68" ht="14.25" hidden="1" customHeight="1" x14ac:dyDescent="0.25">
      <c r="A516" s="644" t="s">
        <v>62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3">
        <v>86</v>
      </c>
      <c r="Y517" s="634">
        <f t="shared" ref="Y517:Y523" si="69">IFERROR(IF(X517="",0,CEILING((X517/$H517),1)*$H517),"")</f>
        <v>89.76</v>
      </c>
      <c r="Z517" s="36">
        <f>IFERROR(IF(Y517=0,"",ROUNDUP(Y517/H517,0)*0.01196),"")</f>
        <v>0.20332</v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91.700757575757578</v>
      </c>
      <c r="BN517" s="64">
        <f t="shared" ref="BN517:BN523" si="71">IFERROR(Y517*I517/H517,"0")</f>
        <v>95.710000000000008</v>
      </c>
      <c r="BO517" s="64">
        <f t="shared" ref="BO517:BO523" si="72">IFERROR(1/J517*(X517/H517),"0")</f>
        <v>0.15661421911421911</v>
      </c>
      <c r="BP517" s="64">
        <f t="shared" ref="BP517:BP523" si="73">IFERROR(1/J517*(Y517/H517),"0")</f>
        <v>0.16346153846153846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3">
        <v>62</v>
      </c>
      <c r="Y518" s="634">
        <f t="shared" si="69"/>
        <v>63.36</v>
      </c>
      <c r="Z518" s="36">
        <f>IFERROR(IF(Y518=0,"",ROUNDUP(Y518/H518,0)*0.01196),"")</f>
        <v>0.14352000000000001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66.109848484848484</v>
      </c>
      <c r="BN518" s="64">
        <f t="shared" si="71"/>
        <v>67.559999999999988</v>
      </c>
      <c r="BO518" s="64">
        <f t="shared" si="72"/>
        <v>0.11290792540792541</v>
      </c>
      <c r="BP518" s="64">
        <f t="shared" si="73"/>
        <v>0.11538461538461539</v>
      </c>
    </row>
    <row r="519" spans="1:68" ht="27" hidden="1" customHeight="1" x14ac:dyDescent="0.25">
      <c r="A519" s="54" t="s">
        <v>827</v>
      </c>
      <c r="B519" s="54" t="s">
        <v>828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835</v>
      </c>
      <c r="B523" s="54" t="s">
        <v>836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72</v>
      </c>
      <c r="Q524" s="642"/>
      <c r="R524" s="642"/>
      <c r="S524" s="642"/>
      <c r="T524" s="642"/>
      <c r="U524" s="642"/>
      <c r="V524" s="643"/>
      <c r="W524" s="37" t="s">
        <v>73</v>
      </c>
      <c r="X524" s="635">
        <f>IFERROR(X517/H517,"0")+IFERROR(X518/H518,"0")+IFERROR(X519/H519,"0")+IFERROR(X520/H520,"0")+IFERROR(X521/H521,"0")+IFERROR(X522/H522,"0")+IFERROR(X523/H523,"0")</f>
        <v>28.030303030303028</v>
      </c>
      <c r="Y524" s="635">
        <f>IFERROR(Y517/H517,"0")+IFERROR(Y518/H518,"0")+IFERROR(Y519/H519,"0")+IFERROR(Y520/H520,"0")+IFERROR(Y521/H521,"0")+IFERROR(Y522/H522,"0")+IFERROR(Y523/H523,"0")</f>
        <v>29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0.34684000000000004</v>
      </c>
      <c r="AA524" s="636"/>
      <c r="AB524" s="636"/>
      <c r="AC524" s="636"/>
    </row>
    <row r="525" spans="1:68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72</v>
      </c>
      <c r="Q525" s="642"/>
      <c r="R525" s="642"/>
      <c r="S525" s="642"/>
      <c r="T525" s="642"/>
      <c r="U525" s="642"/>
      <c r="V525" s="643"/>
      <c r="W525" s="37" t="s">
        <v>67</v>
      </c>
      <c r="X525" s="635">
        <f>IFERROR(SUM(X517:X523),"0")</f>
        <v>148</v>
      </c>
      <c r="Y525" s="635">
        <f>IFERROR(SUM(Y517:Y523),"0")</f>
        <v>153.12</v>
      </c>
      <c r="Z525" s="37"/>
      <c r="AA525" s="636"/>
      <c r="AB525" s="636"/>
      <c r="AC525" s="636"/>
    </row>
    <row r="526" spans="1:68" ht="27.75" hidden="1" customHeight="1" x14ac:dyDescent="0.2">
      <c r="A526" s="718" t="s">
        <v>837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837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111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72</v>
      </c>
      <c r="Q530" s="642"/>
      <c r="R530" s="642"/>
      <c r="S530" s="642"/>
      <c r="T530" s="642"/>
      <c r="U530" s="642"/>
      <c r="V530" s="643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72</v>
      </c>
      <c r="Q531" s="642"/>
      <c r="R531" s="642"/>
      <c r="S531" s="642"/>
      <c r="T531" s="642"/>
      <c r="U531" s="642"/>
      <c r="V531" s="643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147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72</v>
      </c>
      <c r="Q534" s="642"/>
      <c r="R534" s="642"/>
      <c r="S534" s="642"/>
      <c r="T534" s="642"/>
      <c r="U534" s="642"/>
      <c r="V534" s="643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72</v>
      </c>
      <c r="Q535" s="642"/>
      <c r="R535" s="642"/>
      <c r="S535" s="642"/>
      <c r="T535" s="642"/>
      <c r="U535" s="642"/>
      <c r="V535" s="643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62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72</v>
      </c>
      <c r="Q538" s="642"/>
      <c r="R538" s="642"/>
      <c r="S538" s="642"/>
      <c r="T538" s="642"/>
      <c r="U538" s="642"/>
      <c r="V538" s="643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72</v>
      </c>
      <c r="Q539" s="642"/>
      <c r="R539" s="642"/>
      <c r="S539" s="642"/>
      <c r="T539" s="642"/>
      <c r="U539" s="642"/>
      <c r="V539" s="643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74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3">
        <v>298</v>
      </c>
      <c r="Y541" s="634">
        <f>IFERROR(IF(X541="",0,CEILING((X541/$H541),1)*$H541),"")</f>
        <v>306</v>
      </c>
      <c r="Z541" s="36">
        <f>IFERROR(IF(Y541=0,"",ROUNDUP(Y541/H541,0)*0.01898),"")</f>
        <v>0.64532</v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314.35688888888888</v>
      </c>
      <c r="BN541" s="64">
        <f>IFERROR(Y541*I541/H541,"0")</f>
        <v>322.79599999999999</v>
      </c>
      <c r="BO541" s="64">
        <f>IFERROR(1/J541*(X541/H541),"0")</f>
        <v>0.51736111111111116</v>
      </c>
      <c r="BP541" s="64">
        <f>IFERROR(1/J541*(Y541/H541),"0")</f>
        <v>0.53125</v>
      </c>
    </row>
    <row r="542" spans="1:68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72</v>
      </c>
      <c r="Q542" s="642"/>
      <c r="R542" s="642"/>
      <c r="S542" s="642"/>
      <c r="T542" s="642"/>
      <c r="U542" s="642"/>
      <c r="V542" s="643"/>
      <c r="W542" s="37" t="s">
        <v>73</v>
      </c>
      <c r="X542" s="635">
        <f>IFERROR(X541/H541,"0")</f>
        <v>33.111111111111114</v>
      </c>
      <c r="Y542" s="635">
        <f>IFERROR(Y541/H541,"0")</f>
        <v>34</v>
      </c>
      <c r="Z542" s="635">
        <f>IFERROR(IF(Z541="",0,Z541),"0")</f>
        <v>0.64532</v>
      </c>
      <c r="AA542" s="636"/>
      <c r="AB542" s="636"/>
      <c r="AC542" s="636"/>
    </row>
    <row r="543" spans="1:68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72</v>
      </c>
      <c r="Q543" s="642"/>
      <c r="R543" s="642"/>
      <c r="S543" s="642"/>
      <c r="T543" s="642"/>
      <c r="U543" s="642"/>
      <c r="V543" s="643"/>
      <c r="W543" s="37" t="s">
        <v>67</v>
      </c>
      <c r="X543" s="635">
        <f>IFERROR(SUM(X541:X541),"0")</f>
        <v>298</v>
      </c>
      <c r="Y543" s="635">
        <f>IFERROR(SUM(Y541:Y541),"0")</f>
        <v>306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164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72</v>
      </c>
      <c r="Q547" s="642"/>
      <c r="R547" s="642"/>
      <c r="S547" s="642"/>
      <c r="T547" s="642"/>
      <c r="U547" s="642"/>
      <c r="V547" s="643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72</v>
      </c>
      <c r="Q548" s="642"/>
      <c r="R548" s="642"/>
      <c r="S548" s="642"/>
      <c r="T548" s="642"/>
      <c r="U548" s="642"/>
      <c r="V548" s="643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856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147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72</v>
      </c>
      <c r="Q552" s="642"/>
      <c r="R552" s="642"/>
      <c r="S552" s="642"/>
      <c r="T552" s="642"/>
      <c r="U552" s="642"/>
      <c r="V552" s="643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72</v>
      </c>
      <c r="Q553" s="642"/>
      <c r="R553" s="642"/>
      <c r="S553" s="642"/>
      <c r="T553" s="642"/>
      <c r="U553" s="642"/>
      <c r="V553" s="64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860</v>
      </c>
      <c r="Q554" s="664"/>
      <c r="R554" s="664"/>
      <c r="S554" s="664"/>
      <c r="T554" s="664"/>
      <c r="U554" s="664"/>
      <c r="V554" s="665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4887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5035.8899999999994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861</v>
      </c>
      <c r="Q555" s="664"/>
      <c r="R555" s="664"/>
      <c r="S555" s="664"/>
      <c r="T555" s="664"/>
      <c r="U555" s="664"/>
      <c r="V555" s="665"/>
      <c r="W555" s="37" t="s">
        <v>67</v>
      </c>
      <c r="X555" s="635">
        <f>IFERROR(SUM(BM22:BM551),"0")</f>
        <v>5214.1509066805893</v>
      </c>
      <c r="Y555" s="635">
        <f>IFERROR(SUM(BN22:BN551),"0")</f>
        <v>5372.0310000000009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862</v>
      </c>
      <c r="Q556" s="664"/>
      <c r="R556" s="664"/>
      <c r="S556" s="664"/>
      <c r="T556" s="664"/>
      <c r="U556" s="664"/>
      <c r="V556" s="665"/>
      <c r="W556" s="37" t="s">
        <v>863</v>
      </c>
      <c r="X556" s="38">
        <f>ROUNDUP(SUM(BO22:BO551),0)</f>
        <v>10</v>
      </c>
      <c r="Y556" s="38">
        <f>ROUNDUP(SUM(BP22:BP551),0)</f>
        <v>10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864</v>
      </c>
      <c r="Q557" s="664"/>
      <c r="R557" s="664"/>
      <c r="S557" s="664"/>
      <c r="T557" s="664"/>
      <c r="U557" s="664"/>
      <c r="V557" s="665"/>
      <c r="W557" s="37" t="s">
        <v>67</v>
      </c>
      <c r="X557" s="635">
        <f>GrossWeightTotal+PalletQtyTotal*25</f>
        <v>5464.1509066805893</v>
      </c>
      <c r="Y557" s="635">
        <f>GrossWeightTotalR+PalletQtyTotalR*25</f>
        <v>5622.0310000000009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865</v>
      </c>
      <c r="Q558" s="664"/>
      <c r="R558" s="664"/>
      <c r="S558" s="664"/>
      <c r="T558" s="664"/>
      <c r="U558" s="664"/>
      <c r="V558" s="665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1095.6317156034913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1124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866</v>
      </c>
      <c r="Q559" s="664"/>
      <c r="R559" s="664"/>
      <c r="S559" s="664"/>
      <c r="T559" s="664"/>
      <c r="U559" s="664"/>
      <c r="V559" s="665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11.551710000000002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700" t="s">
        <v>109</v>
      </c>
      <c r="E561" s="776"/>
      <c r="F561" s="776"/>
      <c r="G561" s="776"/>
      <c r="H561" s="776"/>
      <c r="I561" s="776"/>
      <c r="J561" s="726"/>
      <c r="K561" s="700" t="s">
        <v>342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688</v>
      </c>
      <c r="X561" s="726"/>
      <c r="Y561" s="700" t="s">
        <v>754</v>
      </c>
      <c r="Z561" s="726"/>
      <c r="AA561" s="630" t="s">
        <v>790</v>
      </c>
      <c r="AB561" s="700" t="s">
        <v>837</v>
      </c>
      <c r="AC561" s="726"/>
      <c r="AF561" s="631"/>
    </row>
    <row r="562" spans="1:32" ht="14.25" customHeight="1" thickTop="1" x14ac:dyDescent="0.2">
      <c r="A562" s="715" t="s">
        <v>869</v>
      </c>
      <c r="B562" s="700" t="s">
        <v>61</v>
      </c>
      <c r="C562" s="700" t="s">
        <v>93</v>
      </c>
      <c r="D562" s="700" t="s">
        <v>110</v>
      </c>
      <c r="E562" s="700" t="s">
        <v>126</v>
      </c>
      <c r="F562" s="700" t="s">
        <v>171</v>
      </c>
      <c r="G562" s="700" t="s">
        <v>192</v>
      </c>
      <c r="H562" s="700" t="s">
        <v>232</v>
      </c>
      <c r="I562" s="700" t="s">
        <v>256</v>
      </c>
      <c r="J562" s="700" t="s">
        <v>109</v>
      </c>
      <c r="K562" s="700" t="s">
        <v>343</v>
      </c>
      <c r="L562" s="700" t="s">
        <v>364</v>
      </c>
      <c r="M562" s="700" t="s">
        <v>431</v>
      </c>
      <c r="N562" s="631"/>
      <c r="O562" s="700" t="s">
        <v>499</v>
      </c>
      <c r="P562" s="700" t="s">
        <v>532</v>
      </c>
      <c r="Q562" s="700" t="s">
        <v>548</v>
      </c>
      <c r="R562" s="700" t="s">
        <v>557</v>
      </c>
      <c r="S562" s="700" t="s">
        <v>578</v>
      </c>
      <c r="T562" s="700" t="s">
        <v>587</v>
      </c>
      <c r="U562" s="700" t="s">
        <v>668</v>
      </c>
      <c r="V562" s="700" t="s">
        <v>678</v>
      </c>
      <c r="W562" s="700" t="s">
        <v>689</v>
      </c>
      <c r="X562" s="700" t="s">
        <v>738</v>
      </c>
      <c r="Y562" s="700" t="s">
        <v>755</v>
      </c>
      <c r="Z562" s="700" t="s">
        <v>778</v>
      </c>
      <c r="AA562" s="700" t="s">
        <v>790</v>
      </c>
      <c r="AB562" s="700" t="s">
        <v>837</v>
      </c>
      <c r="AC562" s="700" t="s">
        <v>856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151.20000000000002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180.6</v>
      </c>
      <c r="F564" s="46">
        <f>IFERROR(Y84*1,"0")+IFERROR(Y85*1,"0")+IFERROR(Y86*1,"0")+IFERROR(Y87*1,"0")+IFERROR(Y91*1,"0")+IFERROR(Y92*1,"0")+IFERROR(Y93*1,"0")+IFERROR(Y94*1,"0")</f>
        <v>234.89999999999998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356.1</v>
      </c>
      <c r="H564" s="46">
        <f>IFERROR(Y129*1,"0")+IFERROR(Y130*1,"0")+IFERROR(Y131*1,"0")+IFERROR(Y135*1,"0")+IFERROR(Y136*1,"0")+IFERROR(Y137*1,"0")+IFERROR(Y138*1,"0")+IFERROR(Y142*1,"0")+IFERROR(Y143*1,"0")+IFERROR(Y144*1,"0")</f>
        <v>11.68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194.04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131.84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2013.3000000000002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3.6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105.6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156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348.63000000000005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162</v>
      </c>
      <c r="X564" s="46">
        <f>IFERROR(Y455*1,"0")+IFERROR(Y456*1,"0")+IFERROR(Y460*1,"0")+IFERROR(Y464*1,"0")+IFERROR(Y465*1,"0")+IFERROR(Y466*1,"0")</f>
        <v>450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230.40000000000003</v>
      </c>
      <c r="AB564" s="46">
        <f>IFERROR(Y529*1,"0")+IFERROR(Y533*1,"0")+IFERROR(Y537*1,"0")+IFERROR(Y541*1,"0")+IFERROR(Y545*1,"0")+IFERROR(Y546*1,"0")</f>
        <v>306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5,63"/>
        <filter val="1 264,00"/>
        <filter val="1,25"/>
        <filter val="1,67"/>
        <filter val="1,89"/>
        <filter val="10"/>
        <filter val="100,00"/>
        <filter val="104,00"/>
        <filter val="107,00"/>
        <filter val="109,00"/>
        <filter val="11,11"/>
        <filter val="112,00"/>
        <filter val="12,00"/>
        <filter val="126,00"/>
        <filter val="13,00"/>
        <filter val="13,15"/>
        <filter val="132,22"/>
        <filter val="14,00"/>
        <filter val="14,56"/>
        <filter val="142,00"/>
        <filter val="147,00"/>
        <filter val="148,00"/>
        <filter val="15,00"/>
        <filter val="15,42"/>
        <filter val="150,00"/>
        <filter val="156,00"/>
        <filter val="17,00"/>
        <filter val="18,33"/>
        <filter val="18,85"/>
        <filter val="185,00"/>
        <filter val="19,00"/>
        <filter val="19,12"/>
        <filter val="19,23"/>
        <filter val="2,13"/>
        <filter val="20,00"/>
        <filter val="208,00"/>
        <filter val="21,00"/>
        <filter val="22,00"/>
        <filter val="228,00"/>
        <filter val="23,00"/>
        <filter val="255,00"/>
        <filter val="26,00"/>
        <filter val="262,00"/>
        <filter val="27,00"/>
        <filter val="28,03"/>
        <filter val="28,15"/>
        <filter val="29,00"/>
        <filter val="298,00"/>
        <filter val="3,00"/>
        <filter val="3,17"/>
        <filter val="30,00"/>
        <filter val="31,00"/>
        <filter val="32,35"/>
        <filter val="33,00"/>
        <filter val="33,11"/>
        <filter val="36,00"/>
        <filter val="37,00"/>
        <filter val="37,09"/>
        <filter val="38,00"/>
        <filter val="4 887,00"/>
        <filter val="4,00"/>
        <filter val="4,26"/>
        <filter val="40,00"/>
        <filter val="41,00"/>
        <filter val="427,38"/>
        <filter val="43,33"/>
        <filter val="445,00"/>
        <filter val="46,00"/>
        <filter val="46,61"/>
        <filter val="468,00"/>
        <filter val="49,00"/>
        <filter val="49,44"/>
        <filter val="5 214,15"/>
        <filter val="5 464,15"/>
        <filter val="5,00"/>
        <filter val="5,44"/>
        <filter val="50,00"/>
        <filter val="55,00"/>
        <filter val="56,00"/>
        <filter val="60,00"/>
        <filter val="608,00"/>
        <filter val="62,00"/>
        <filter val="66,79"/>
        <filter val="684,00"/>
        <filter val="75,00"/>
        <filter val="78,00"/>
        <filter val="8,00"/>
        <filter val="85,00"/>
        <filter val="86,00"/>
        <filter val="9,54"/>
        <filter val="92,00"/>
        <filter val="96,00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2026-08-12T13:21:13Z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