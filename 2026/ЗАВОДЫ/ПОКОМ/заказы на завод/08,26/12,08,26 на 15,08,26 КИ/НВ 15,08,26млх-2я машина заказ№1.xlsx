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31A20DC-F441-4BA4-903B-3CEBC36E796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O551" i="1"/>
  <c r="BM551" i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Z455" i="1"/>
  <c r="Y455" i="1"/>
  <c r="BN455" i="1" s="1"/>
  <c r="P455" i="1"/>
  <c r="X452" i="1"/>
  <c r="Y451" i="1"/>
  <c r="X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Z438" i="1"/>
  <c r="Y438" i="1"/>
  <c r="BN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P426" i="1" s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BP418" i="1" s="1"/>
  <c r="P418" i="1"/>
  <c r="X415" i="1"/>
  <c r="X414" i="1"/>
  <c r="BP413" i="1"/>
  <c r="BO413" i="1"/>
  <c r="BM413" i="1"/>
  <c r="Y413" i="1"/>
  <c r="BO412" i="1"/>
  <c r="BM412" i="1"/>
  <c r="Y412" i="1"/>
  <c r="U564" i="1" s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P388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M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Z342" i="1"/>
  <c r="Y342" i="1"/>
  <c r="BN342" i="1" s="1"/>
  <c r="P342" i="1"/>
  <c r="BO341" i="1"/>
  <c r="BM341" i="1"/>
  <c r="Y341" i="1"/>
  <c r="P341" i="1"/>
  <c r="BO340" i="1"/>
  <c r="BM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O333" i="1"/>
  <c r="BM333" i="1"/>
  <c r="Z333" i="1"/>
  <c r="Y333" i="1"/>
  <c r="BN333" i="1" s="1"/>
  <c r="P333" i="1"/>
  <c r="X330" i="1"/>
  <c r="X329" i="1"/>
  <c r="BO328" i="1"/>
  <c r="BM328" i="1"/>
  <c r="Y328" i="1"/>
  <c r="P328" i="1"/>
  <c r="BO327" i="1"/>
  <c r="BM327" i="1"/>
  <c r="Y327" i="1"/>
  <c r="P327" i="1"/>
  <c r="BP326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P305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X296" i="1"/>
  <c r="X295" i="1"/>
  <c r="BO294" i="1"/>
  <c r="BM294" i="1"/>
  <c r="Y294" i="1"/>
  <c r="BP294" i="1" s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Z282" i="1"/>
  <c r="Y282" i="1"/>
  <c r="BN282" i="1" s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N278" i="1" s="1"/>
  <c r="P278" i="1"/>
  <c r="X276" i="1"/>
  <c r="X275" i="1"/>
  <c r="BO274" i="1"/>
  <c r="BM274" i="1"/>
  <c r="Y274" i="1"/>
  <c r="P274" i="1"/>
  <c r="BO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X264" i="1"/>
  <c r="BO263" i="1"/>
  <c r="BM263" i="1"/>
  <c r="Y263" i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Z257" i="1"/>
  <c r="Y257" i="1"/>
  <c r="BN257" i="1" s="1"/>
  <c r="P257" i="1"/>
  <c r="X254" i="1"/>
  <c r="Y253" i="1"/>
  <c r="X253" i="1"/>
  <c r="BO252" i="1"/>
  <c r="BM252" i="1"/>
  <c r="Y252" i="1"/>
  <c r="Y254" i="1" s="1"/>
  <c r="P252" i="1"/>
  <c r="X250" i="1"/>
  <c r="X249" i="1"/>
  <c r="BO248" i="1"/>
  <c r="BM248" i="1"/>
  <c r="Y248" i="1"/>
  <c r="P248" i="1"/>
  <c r="BO247" i="1"/>
  <c r="BM247" i="1"/>
  <c r="Y247" i="1"/>
  <c r="P247" i="1"/>
  <c r="BO246" i="1"/>
  <c r="BM246" i="1"/>
  <c r="Y246" i="1"/>
  <c r="BP246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Z230" i="1"/>
  <c r="Y230" i="1"/>
  <c r="BN230" i="1" s="1"/>
  <c r="P230" i="1"/>
  <c r="BO229" i="1"/>
  <c r="BM229" i="1"/>
  <c r="Y229" i="1"/>
  <c r="P229" i="1"/>
  <c r="BO228" i="1"/>
  <c r="BM228" i="1"/>
  <c r="Y228" i="1"/>
  <c r="BN228" i="1" s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N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Z195" i="1"/>
  <c r="Y195" i="1"/>
  <c r="BN195" i="1" s="1"/>
  <c r="P195" i="1"/>
  <c r="X193" i="1"/>
  <c r="X192" i="1"/>
  <c r="BO191" i="1"/>
  <c r="BM191" i="1"/>
  <c r="Y191" i="1"/>
  <c r="P191" i="1"/>
  <c r="BO190" i="1"/>
  <c r="BM190" i="1"/>
  <c r="Y190" i="1"/>
  <c r="P190" i="1"/>
  <c r="BO189" i="1"/>
  <c r="BM189" i="1"/>
  <c r="Y189" i="1"/>
  <c r="P189" i="1"/>
  <c r="X187" i="1"/>
  <c r="X186" i="1"/>
  <c r="BO185" i="1"/>
  <c r="BM185" i="1"/>
  <c r="Y185" i="1"/>
  <c r="BN185" i="1" s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P181" i="1"/>
  <c r="BO181" i="1"/>
  <c r="BM181" i="1"/>
  <c r="Y181" i="1"/>
  <c r="P181" i="1"/>
  <c r="BO180" i="1"/>
  <c r="BM180" i="1"/>
  <c r="Y180" i="1"/>
  <c r="P180" i="1"/>
  <c r="BO179" i="1"/>
  <c r="BM179" i="1"/>
  <c r="Z179" i="1"/>
  <c r="Y179" i="1"/>
  <c r="BN179" i="1" s="1"/>
  <c r="P179" i="1"/>
  <c r="BO178" i="1"/>
  <c r="BM178" i="1"/>
  <c r="Y178" i="1"/>
  <c r="P178" i="1"/>
  <c r="BO177" i="1"/>
  <c r="BM177" i="1"/>
  <c r="Y177" i="1"/>
  <c r="BN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P165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O153" i="1"/>
  <c r="BM153" i="1"/>
  <c r="Z153" i="1"/>
  <c r="Y153" i="1"/>
  <c r="BN153" i="1" s="1"/>
  <c r="P153" i="1"/>
  <c r="BO152" i="1"/>
  <c r="BM152" i="1"/>
  <c r="Y152" i="1"/>
  <c r="BP152" i="1" s="1"/>
  <c r="P152" i="1"/>
  <c r="BO151" i="1"/>
  <c r="BM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O144" i="1"/>
  <c r="BM144" i="1"/>
  <c r="Y144" i="1"/>
  <c r="BN144" i="1" s="1"/>
  <c r="P144" i="1"/>
  <c r="BO143" i="1"/>
  <c r="BM143" i="1"/>
  <c r="Y143" i="1"/>
  <c r="BP143" i="1" s="1"/>
  <c r="P143" i="1"/>
  <c r="BO142" i="1"/>
  <c r="BM142" i="1"/>
  <c r="Y142" i="1"/>
  <c r="P142" i="1"/>
  <c r="X140" i="1"/>
  <c r="X139" i="1"/>
  <c r="BO138" i="1"/>
  <c r="BM138" i="1"/>
  <c r="Y138" i="1"/>
  <c r="BN138" i="1" s="1"/>
  <c r="P138" i="1"/>
  <c r="BO137" i="1"/>
  <c r="BM137" i="1"/>
  <c r="Y137" i="1"/>
  <c r="BP137" i="1" s="1"/>
  <c r="P137" i="1"/>
  <c r="BO136" i="1"/>
  <c r="BM136" i="1"/>
  <c r="Y136" i="1"/>
  <c r="BN136" i="1" s="1"/>
  <c r="P136" i="1"/>
  <c r="BO135" i="1"/>
  <c r="BM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BP130" i="1" s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P119" i="1"/>
  <c r="BO118" i="1"/>
  <c r="BM118" i="1"/>
  <c r="Y118" i="1"/>
  <c r="BP118" i="1" s="1"/>
  <c r="P118" i="1"/>
  <c r="BO117" i="1"/>
  <c r="BM117" i="1"/>
  <c r="Y117" i="1"/>
  <c r="P117" i="1"/>
  <c r="X115" i="1"/>
  <c r="X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N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O67" i="1"/>
  <c r="BM67" i="1"/>
  <c r="Y67" i="1"/>
  <c r="BN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N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J9" i="1"/>
  <c r="A9" i="1"/>
  <c r="A10" i="1" s="1"/>
  <c r="D7" i="1"/>
  <c r="Q6" i="1"/>
  <c r="P2" i="1"/>
  <c r="BN28" i="1" l="1"/>
  <c r="BN38" i="1"/>
  <c r="BN48" i="1"/>
  <c r="BN55" i="1"/>
  <c r="BN79" i="1"/>
  <c r="BN86" i="1"/>
  <c r="BN101" i="1"/>
  <c r="BP111" i="1"/>
  <c r="BN111" i="1"/>
  <c r="Z111" i="1"/>
  <c r="BP117" i="1"/>
  <c r="BN117" i="1"/>
  <c r="Z117" i="1"/>
  <c r="BN171" i="1"/>
  <c r="Z171" i="1"/>
  <c r="BP183" i="1"/>
  <c r="BN183" i="1"/>
  <c r="Z183" i="1"/>
  <c r="BP189" i="1"/>
  <c r="BN189" i="1"/>
  <c r="Z189" i="1"/>
  <c r="BN222" i="1"/>
  <c r="Z222" i="1"/>
  <c r="BN286" i="1"/>
  <c r="Y315" i="1"/>
  <c r="Y314" i="1"/>
  <c r="BP313" i="1"/>
  <c r="BN313" i="1"/>
  <c r="Z313" i="1"/>
  <c r="Z314" i="1" s="1"/>
  <c r="BN319" i="1"/>
  <c r="Z319" i="1"/>
  <c r="BP328" i="1"/>
  <c r="BN328" i="1"/>
  <c r="Z328" i="1"/>
  <c r="BN362" i="1"/>
  <c r="BN382" i="1"/>
  <c r="Z382" i="1"/>
  <c r="BN394" i="1"/>
  <c r="Z394" i="1"/>
  <c r="BN418" i="1"/>
  <c r="BP432" i="1"/>
  <c r="BN432" i="1"/>
  <c r="Z432" i="1"/>
  <c r="BN473" i="1"/>
  <c r="Z473" i="1"/>
  <c r="BP506" i="1"/>
  <c r="BN506" i="1"/>
  <c r="Z506" i="1"/>
  <c r="BP522" i="1"/>
  <c r="BN522" i="1"/>
  <c r="Z522" i="1"/>
  <c r="BN22" i="1"/>
  <c r="BN30" i="1"/>
  <c r="BN40" i="1"/>
  <c r="BN50" i="1"/>
  <c r="BN57" i="1"/>
  <c r="Z61" i="1"/>
  <c r="BN61" i="1"/>
  <c r="BN84" i="1"/>
  <c r="BP92" i="1"/>
  <c r="BN92" i="1"/>
  <c r="BN94" i="1"/>
  <c r="BN165" i="1"/>
  <c r="Z165" i="1"/>
  <c r="BN181" i="1"/>
  <c r="Z181" i="1"/>
  <c r="BP222" i="1"/>
  <c r="BP224" i="1"/>
  <c r="BN224" i="1"/>
  <c r="Z224" i="1"/>
  <c r="BP238" i="1"/>
  <c r="BN238" i="1"/>
  <c r="Z238" i="1"/>
  <c r="BN246" i="1"/>
  <c r="BN269" i="1"/>
  <c r="BP299" i="1"/>
  <c r="BN299" i="1"/>
  <c r="Z299" i="1"/>
  <c r="BN305" i="1"/>
  <c r="Z305" i="1"/>
  <c r="BP319" i="1"/>
  <c r="BN326" i="1"/>
  <c r="Z326" i="1"/>
  <c r="BN348" i="1"/>
  <c r="Z348" i="1"/>
  <c r="BN374" i="1"/>
  <c r="Z374" i="1"/>
  <c r="BP382" i="1"/>
  <c r="BN388" i="1"/>
  <c r="Z388" i="1"/>
  <c r="BP394" i="1"/>
  <c r="BN406" i="1"/>
  <c r="BN412" i="1"/>
  <c r="BN413" i="1"/>
  <c r="Z413" i="1"/>
  <c r="BN430" i="1"/>
  <c r="Z430" i="1"/>
  <c r="BP473" i="1"/>
  <c r="BP475" i="1"/>
  <c r="BN475" i="1"/>
  <c r="Z475" i="1"/>
  <c r="BP481" i="1"/>
  <c r="BN481" i="1"/>
  <c r="Z481" i="1"/>
  <c r="BN500" i="1"/>
  <c r="BN99" i="1"/>
  <c r="BN113" i="1"/>
  <c r="BN130" i="1"/>
  <c r="BP153" i="1"/>
  <c r="Y192" i="1"/>
  <c r="BP195" i="1"/>
  <c r="BP230" i="1"/>
  <c r="BN240" i="1"/>
  <c r="BN252" i="1"/>
  <c r="BP257" i="1"/>
  <c r="BP282" i="1"/>
  <c r="BN294" i="1"/>
  <c r="BN301" i="1"/>
  <c r="BP333" i="1"/>
  <c r="BP342" i="1"/>
  <c r="BN370" i="1"/>
  <c r="BN426" i="1"/>
  <c r="BP438" i="1"/>
  <c r="BN450" i="1"/>
  <c r="BP455" i="1"/>
  <c r="BN477" i="1"/>
  <c r="BN492" i="1"/>
  <c r="BN502" i="1"/>
  <c r="BN518" i="1"/>
  <c r="BN551" i="1"/>
  <c r="F9" i="1"/>
  <c r="BP138" i="1"/>
  <c r="BN355" i="1"/>
  <c r="BP355" i="1"/>
  <c r="Z355" i="1"/>
  <c r="BP191" i="1"/>
  <c r="Z191" i="1"/>
  <c r="Z59" i="1"/>
  <c r="BP59" i="1"/>
  <c r="Z67" i="1"/>
  <c r="BP67" i="1"/>
  <c r="Z73" i="1"/>
  <c r="BP73" i="1"/>
  <c r="Z103" i="1"/>
  <c r="BP103" i="1"/>
  <c r="Z109" i="1"/>
  <c r="BP109" i="1"/>
  <c r="BP119" i="1"/>
  <c r="Z119" i="1"/>
  <c r="Z138" i="1"/>
  <c r="BP144" i="1"/>
  <c r="BP149" i="1"/>
  <c r="Z149" i="1"/>
  <c r="BP209" i="1"/>
  <c r="Z209" i="1"/>
  <c r="BP226" i="1"/>
  <c r="Z226" i="1"/>
  <c r="BP234" i="1"/>
  <c r="Z234" i="1"/>
  <c r="BN263" i="1"/>
  <c r="BP263" i="1"/>
  <c r="Z263" i="1"/>
  <c r="BN288" i="1"/>
  <c r="BP288" i="1"/>
  <c r="Z288" i="1"/>
  <c r="BN340" i="1"/>
  <c r="BP340" i="1"/>
  <c r="Z340" i="1"/>
  <c r="BN444" i="1"/>
  <c r="BP444" i="1"/>
  <c r="Z444" i="1"/>
  <c r="Y146" i="1"/>
  <c r="BP142" i="1"/>
  <c r="Z142" i="1"/>
  <c r="BN242" i="1"/>
  <c r="BP242" i="1"/>
  <c r="Z242" i="1"/>
  <c r="F10" i="1"/>
  <c r="Z22" i="1"/>
  <c r="Y32" i="1"/>
  <c r="Z30" i="1"/>
  <c r="C564" i="1"/>
  <c r="Z40" i="1"/>
  <c r="D564" i="1"/>
  <c r="Z50" i="1"/>
  <c r="Z57" i="1"/>
  <c r="Z79" i="1"/>
  <c r="Z86" i="1"/>
  <c r="Y96" i="1"/>
  <c r="Z94" i="1"/>
  <c r="Z101" i="1"/>
  <c r="H564" i="1"/>
  <c r="BN142" i="1"/>
  <c r="Z144" i="1"/>
  <c r="BP151" i="1"/>
  <c r="BP177" i="1"/>
  <c r="Z177" i="1"/>
  <c r="BP185" i="1"/>
  <c r="Z185" i="1"/>
  <c r="BN191" i="1"/>
  <c r="BP211" i="1"/>
  <c r="BP228" i="1"/>
  <c r="BN303" i="1"/>
  <c r="BP303" i="1"/>
  <c r="Z303" i="1"/>
  <c r="Y311" i="1"/>
  <c r="Y310" i="1"/>
  <c r="BN309" i="1"/>
  <c r="BP309" i="1"/>
  <c r="Z309" i="1"/>
  <c r="Z310" i="1" s="1"/>
  <c r="BN317" i="1"/>
  <c r="BP317" i="1"/>
  <c r="Z317" i="1"/>
  <c r="Y330" i="1"/>
  <c r="BN324" i="1"/>
  <c r="BP324" i="1"/>
  <c r="Z324" i="1"/>
  <c r="BN372" i="1"/>
  <c r="BP372" i="1"/>
  <c r="Z372" i="1"/>
  <c r="BN380" i="1"/>
  <c r="BP380" i="1"/>
  <c r="Z380" i="1"/>
  <c r="BN386" i="1"/>
  <c r="BP386" i="1"/>
  <c r="Z386" i="1"/>
  <c r="Y396" i="1"/>
  <c r="BN392" i="1"/>
  <c r="BP392" i="1"/>
  <c r="Z392" i="1"/>
  <c r="BN400" i="1"/>
  <c r="BP400" i="1"/>
  <c r="Z400" i="1"/>
  <c r="BN428" i="1"/>
  <c r="BP428" i="1"/>
  <c r="Z428" i="1"/>
  <c r="BN504" i="1"/>
  <c r="BP504" i="1"/>
  <c r="Z504" i="1"/>
  <c r="BN520" i="1"/>
  <c r="BP520" i="1"/>
  <c r="Z520" i="1"/>
  <c r="BN274" i="1"/>
  <c r="BP274" i="1"/>
  <c r="Z274" i="1"/>
  <c r="X558" i="1"/>
  <c r="Z28" i="1"/>
  <c r="Z38" i="1"/>
  <c r="Z48" i="1"/>
  <c r="Z55" i="1"/>
  <c r="BN73" i="1"/>
  <c r="Z84" i="1"/>
  <c r="Z92" i="1"/>
  <c r="Z99" i="1"/>
  <c r="BN109" i="1"/>
  <c r="Z113" i="1"/>
  <c r="BN119" i="1"/>
  <c r="Z130" i="1"/>
  <c r="Y140" i="1"/>
  <c r="BP136" i="1"/>
  <c r="Z136" i="1"/>
  <c r="BN149" i="1"/>
  <c r="Z151" i="1"/>
  <c r="BP171" i="1"/>
  <c r="BP179" i="1"/>
  <c r="BN209" i="1"/>
  <c r="Z211" i="1"/>
  <c r="BN226" i="1"/>
  <c r="Z228" i="1"/>
  <c r="BN234" i="1"/>
  <c r="BN248" i="1"/>
  <c r="BP248" i="1"/>
  <c r="Z248" i="1"/>
  <c r="BN271" i="1"/>
  <c r="BP271" i="1"/>
  <c r="Z271" i="1"/>
  <c r="BN280" i="1"/>
  <c r="BP280" i="1"/>
  <c r="Z280" i="1"/>
  <c r="BN364" i="1"/>
  <c r="BP364" i="1"/>
  <c r="Z364" i="1"/>
  <c r="BN420" i="1"/>
  <c r="BP420" i="1"/>
  <c r="Z420" i="1"/>
  <c r="BN512" i="1"/>
  <c r="BP512" i="1"/>
  <c r="Z512" i="1"/>
  <c r="BN546" i="1"/>
  <c r="BP546" i="1"/>
  <c r="Z546" i="1"/>
  <c r="Y290" i="1"/>
  <c r="Y121" i="1"/>
  <c r="Y193" i="1"/>
  <c r="Z240" i="1"/>
  <c r="Z246" i="1"/>
  <c r="Z252" i="1"/>
  <c r="Z253" i="1" s="1"/>
  <c r="BP252" i="1"/>
  <c r="Z269" i="1"/>
  <c r="Z278" i="1"/>
  <c r="BP278" i="1"/>
  <c r="Z286" i="1"/>
  <c r="Z294" i="1"/>
  <c r="Z301" i="1"/>
  <c r="Z362" i="1"/>
  <c r="Z370" i="1"/>
  <c r="Z406" i="1"/>
  <c r="Z412" i="1"/>
  <c r="Z414" i="1" s="1"/>
  <c r="BP412" i="1"/>
  <c r="Y414" i="1"/>
  <c r="Z418" i="1"/>
  <c r="Z426" i="1"/>
  <c r="Z450" i="1"/>
  <c r="Z477" i="1"/>
  <c r="Z492" i="1"/>
  <c r="Z502" i="1"/>
  <c r="Z518" i="1"/>
  <c r="Z500" i="1"/>
  <c r="Z551" i="1"/>
  <c r="Z552" i="1" s="1"/>
  <c r="BP551" i="1"/>
  <c r="Y33" i="1"/>
  <c r="Y51" i="1"/>
  <c r="Y76" i="1"/>
  <c r="Y80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BP268" i="1"/>
  <c r="BN268" i="1"/>
  <c r="Z268" i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P564" i="1"/>
  <c r="Y25" i="1"/>
  <c r="Y43" i="1"/>
  <c r="Y64" i="1"/>
  <c r="Y70" i="1"/>
  <c r="Y89" i="1"/>
  <c r="Y95" i="1"/>
  <c r="Y106" i="1"/>
  <c r="H9" i="1"/>
  <c r="B564" i="1"/>
  <c r="X555" i="1"/>
  <c r="X556" i="1"/>
  <c r="Z23" i="1"/>
  <c r="Z24" i="1" s="1"/>
  <c r="BN23" i="1"/>
  <c r="Y24" i="1"/>
  <c r="X55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BN74" i="1"/>
  <c r="Z78" i="1"/>
  <c r="Z80" i="1" s="1"/>
  <c r="BN78" i="1"/>
  <c r="BP78" i="1"/>
  <c r="F564" i="1"/>
  <c r="Z85" i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BP190" i="1"/>
  <c r="BN190" i="1"/>
  <c r="Z190" i="1"/>
  <c r="Z192" i="1" s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Z243" i="1" s="1"/>
  <c r="Y250" i="1"/>
  <c r="Y249" i="1"/>
  <c r="BP258" i="1"/>
  <c r="BN258" i="1"/>
  <c r="Z258" i="1"/>
  <c r="Z259" i="1" s="1"/>
  <c r="Y260" i="1"/>
  <c r="Y265" i="1"/>
  <c r="BP262" i="1"/>
  <c r="BN262" i="1"/>
  <c r="Z262" i="1"/>
  <c r="BP270" i="1"/>
  <c r="BN270" i="1"/>
  <c r="Z270" i="1"/>
  <c r="BP302" i="1"/>
  <c r="BN302" i="1"/>
  <c r="Z302" i="1"/>
  <c r="Y306" i="1"/>
  <c r="BP318" i="1"/>
  <c r="BN318" i="1"/>
  <c r="Z318" i="1"/>
  <c r="Z320" i="1" s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106" i="1" l="1"/>
  <c r="Z514" i="1"/>
  <c r="Z434" i="1"/>
  <c r="Z396" i="1"/>
  <c r="Z306" i="1"/>
  <c r="Z389" i="1"/>
  <c r="Z264" i="1"/>
  <c r="Z145" i="1"/>
  <c r="Z121" i="1"/>
  <c r="Z114" i="1"/>
  <c r="Z75" i="1"/>
  <c r="Z32" i="1"/>
  <c r="X557" i="1"/>
  <c r="Z156" i="1"/>
  <c r="Z88" i="1"/>
  <c r="Z63" i="1"/>
  <c r="Y556" i="1"/>
  <c r="Z249" i="1"/>
  <c r="Z186" i="1"/>
  <c r="Z345" i="1"/>
  <c r="Y555" i="1"/>
  <c r="Y557" i="1" s="1"/>
  <c r="Z275" i="1"/>
  <c r="Z494" i="1"/>
  <c r="Y558" i="1"/>
  <c r="Z213" i="1"/>
  <c r="Z167" i="1"/>
  <c r="Z290" i="1"/>
  <c r="Z357" i="1"/>
  <c r="Z508" i="1"/>
  <c r="Z478" i="1"/>
  <c r="Z440" i="1"/>
  <c r="Z524" i="1"/>
  <c r="Z467" i="1"/>
  <c r="Z446" i="1"/>
  <c r="Z376" i="1"/>
  <c r="Z366" i="1"/>
  <c r="Z383" i="1"/>
  <c r="Z235" i="1"/>
  <c r="Z139" i="1"/>
  <c r="Z132" i="1"/>
  <c r="Z95" i="1"/>
  <c r="Z70" i="1"/>
  <c r="Z51" i="1"/>
  <c r="Z42" i="1"/>
  <c r="Y554" i="1"/>
  <c r="Z402" i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<sst xmlns="http://schemas.openxmlformats.org/spreadsheetml/2006/main" count="2517" uniqueCount="913">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</sst>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46249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891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Суббота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7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0.41666666666666669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76</v>
      </c>
      <c r="Y47" s="634">
        <f>IFERROR(IF(X47="",0,CEILING((X47/$H47),1)*$H47),"")</f>
        <v>86.4</v>
      </c>
      <c r="Z47" s="36">
        <f>IFERROR(IF(Y47=0,"",ROUNDUP(Y47/H47,0)*0.01898),"")</f>
        <v>0.15184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78.885185185185179</v>
      </c>
      <c r="BN47" s="64">
        <f>IFERROR(Y47*I47/H47,"0")</f>
        <v>89.68</v>
      </c>
      <c r="BO47" s="64">
        <f>IFERROR(1/J47*(X47/H47),"0")</f>
        <v>0.10995370370370369</v>
      </c>
      <c r="BP47" s="64">
        <f>IFERROR(1/J47*(Y47/H47),"0")</f>
        <v>0.125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2</v>
      </c>
      <c r="Y49" s="634">
        <f>IFERROR(IF(X49="",0,CEILING((X49/$H49),1)*$H49),"")</f>
        <v>4</v>
      </c>
      <c r="Z49" s="36">
        <f>IFERROR(IF(Y49=0,"",ROUNDUP(Y49/H49,0)*0.00902),"")</f>
        <v>9.0200000000000002E-3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2.0950000000000002</v>
      </c>
      <c r="BN49" s="64">
        <f>IFERROR(Y49*I49/H49,"0")</f>
        <v>4.1900000000000004</v>
      </c>
      <c r="BO49" s="64">
        <f>IFERROR(1/J49*(X49/H49),"0")</f>
        <v>3.787878787878788E-3</v>
      </c>
      <c r="BP49" s="64">
        <f>IFERROR(1/J49*(Y49/H49),"0")</f>
        <v>7.575757575757576E-3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7.5370370370370363</v>
      </c>
      <c r="Y51" s="635">
        <f>IFERROR(Y47/H47,"0")+IFERROR(Y48/H48,"0")+IFERROR(Y49/H49,"0")+IFERROR(Y50/H50,"0")</f>
        <v>9</v>
      </c>
      <c r="Z51" s="635">
        <f>IFERROR(IF(Z47="",0,Z47),"0")+IFERROR(IF(Z48="",0,Z48),"0")+IFERROR(IF(Z49="",0,Z49),"0")+IFERROR(IF(Z50="",0,Z50),"0")</f>
        <v>0.16086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78</v>
      </c>
      <c r="Y52" s="635">
        <f>IFERROR(SUM(Y47:Y50),"0")</f>
        <v>90.4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hidden="1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hidden="1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405</v>
      </c>
      <c r="Y78" s="634">
        <f>IFERROR(IF(X78="",0,CEILING((X78/$H78),1)*$H78),"")</f>
        <v>405.59999999999997</v>
      </c>
      <c r="Z78" s="36">
        <f>IFERROR(IF(Y78=0,"",ROUNDUP(Y78/H78,0)*0.01898),"")</f>
        <v>0.98696000000000006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426.28846153846155</v>
      </c>
      <c r="BN78" s="64">
        <f>IFERROR(Y78*I78/H78,"0")</f>
        <v>426.92</v>
      </c>
      <c r="BO78" s="64">
        <f>IFERROR(1/J78*(X78/H78),"0")</f>
        <v>0.81129807692307698</v>
      </c>
      <c r="BP78" s="64">
        <f>IFERROR(1/J78*(Y78/H78),"0")</f>
        <v>0.8125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51.923076923076927</v>
      </c>
      <c r="Y80" s="635">
        <f>IFERROR(Y78/H78,"0")+IFERROR(Y79/H79,"0")</f>
        <v>52</v>
      </c>
      <c r="Z80" s="635">
        <f>IFERROR(IF(Z78="",0,Z78),"0")+IFERROR(IF(Z79="",0,Z79),"0")</f>
        <v>0.98696000000000006</v>
      </c>
      <c r="AA80" s="636"/>
      <c r="AB80" s="636"/>
      <c r="AC80" s="636"/>
    </row>
    <row r="81" spans="1:68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405</v>
      </c>
      <c r="Y81" s="635">
        <f>IFERROR(SUM(Y78:Y79),"0")</f>
        <v>405.59999999999997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hidden="1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537</v>
      </c>
      <c r="Y91" s="634">
        <f>IFERROR(IF(X91="",0,CEILING((X91/$H91),1)*$H91),"")</f>
        <v>542.69999999999993</v>
      </c>
      <c r="Z91" s="36">
        <f>IFERROR(IF(Y91=0,"",ROUNDUP(Y91/H91,0)*0.01898),"")</f>
        <v>1.27166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569.75037037037043</v>
      </c>
      <c r="BN91" s="64">
        <f>IFERROR(Y91*I91/H91,"0")</f>
        <v>575.798</v>
      </c>
      <c r="BO91" s="64">
        <f>IFERROR(1/J91*(X91/H91),"0")</f>
        <v>1.0358796296296298</v>
      </c>
      <c r="BP91" s="64">
        <f>IFERROR(1/J91*(Y91/H91),"0")</f>
        <v>1.046875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54</v>
      </c>
      <c r="Y93" s="634">
        <f>IFERROR(IF(X93="",0,CEILING((X93/$H93),1)*$H93),"")</f>
        <v>54</v>
      </c>
      <c r="Z93" s="36">
        <f>IFERROR(IF(Y93=0,"",ROUNDUP(Y93/H93,0)*0.00651),"")</f>
        <v>0.13020000000000001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59.039999999999992</v>
      </c>
      <c r="BN93" s="64">
        <f>IFERROR(Y93*I93/H93,"0")</f>
        <v>59.039999999999992</v>
      </c>
      <c r="BO93" s="64">
        <f>IFERROR(1/J93*(X93/H93),"0")</f>
        <v>0.1098901098901099</v>
      </c>
      <c r="BP93" s="64">
        <f>IFERROR(1/J93*(Y93/H93),"0")</f>
        <v>0.1098901098901099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86.296296296296305</v>
      </c>
      <c r="Y95" s="635">
        <f>IFERROR(Y91/H91,"0")+IFERROR(Y92/H92,"0")+IFERROR(Y93/H93,"0")+IFERROR(Y94/H94,"0")</f>
        <v>87</v>
      </c>
      <c r="Z95" s="635">
        <f>IFERROR(IF(Z91="",0,Z91),"0")+IFERROR(IF(Z92="",0,Z92),"0")+IFERROR(IF(Z93="",0,Z93),"0")+IFERROR(IF(Z94="",0,Z94),"0")</f>
        <v>1.4018600000000001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591</v>
      </c>
      <c r="Y96" s="635">
        <f>IFERROR(SUM(Y91:Y94),"0")</f>
        <v>596.69999999999993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hidden="1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65</v>
      </c>
      <c r="Y117" s="634">
        <f>IFERROR(IF(X117="",0,CEILING((X117/$H117),1)*$H117),"")</f>
        <v>72.899999999999991</v>
      </c>
      <c r="Z117" s="36">
        <f>IFERROR(IF(Y117=0,"",ROUNDUP(Y117/H117,0)*0.01898),"")</f>
        <v>0.17082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68.916049382716039</v>
      </c>
      <c r="BN117" s="64">
        <f>IFERROR(Y117*I117/H117,"0")</f>
        <v>77.291999999999987</v>
      </c>
      <c r="BO117" s="64">
        <f>IFERROR(1/J117*(X117/H117),"0")</f>
        <v>0.1253858024691358</v>
      </c>
      <c r="BP117" s="64">
        <f>IFERROR(1/J117*(Y117/H117),"0")</f>
        <v>0.140625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27</v>
      </c>
      <c r="Y119" s="634">
        <f>IFERROR(IF(X119="",0,CEILING((X119/$H119),1)*$H119),"")</f>
        <v>27</v>
      </c>
      <c r="Z119" s="36">
        <f>IFERROR(IF(Y119=0,"",ROUNDUP(Y119/H119,0)*0.00651),"")</f>
        <v>6.5100000000000005E-2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29.519999999999996</v>
      </c>
      <c r="BN119" s="64">
        <f>IFERROR(Y119*I119/H119,"0")</f>
        <v>29.519999999999996</v>
      </c>
      <c r="BO119" s="64">
        <f>IFERROR(1/J119*(X119/H119),"0")</f>
        <v>5.4945054945054951E-2</v>
      </c>
      <c r="BP119" s="64">
        <f>IFERROR(1/J119*(Y119/H119),"0")</f>
        <v>5.4945054945054951E-2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18.02469135802469</v>
      </c>
      <c r="Y121" s="635">
        <f>IFERROR(Y117/H117,"0")+IFERROR(Y118/H118,"0")+IFERROR(Y119/H119,"0")+IFERROR(Y120/H120,"0")</f>
        <v>19</v>
      </c>
      <c r="Z121" s="635">
        <f>IFERROR(IF(Z117="",0,Z117),"0")+IFERROR(IF(Z118="",0,Z118),"0")+IFERROR(IF(Z119="",0,Z119),"0")+IFERROR(IF(Z120="",0,Z120),"0")</f>
        <v>0.23592000000000002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92</v>
      </c>
      <c r="Y122" s="635">
        <f>IFERROR(SUM(Y117:Y120),"0")</f>
        <v>99.899999999999991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4</v>
      </c>
      <c r="Y124" s="634">
        <f>IFERROR(IF(X124="",0,CEILING((X124/$H124),1)*$H124),"")</f>
        <v>5.9399999999999995</v>
      </c>
      <c r="Z124" s="36">
        <f>IFERROR(IF(Y124=0,"",ROUNDUP(Y124/H124,0)*0.00651),"")</f>
        <v>1.9529999999999999E-2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4.5212121212121215</v>
      </c>
      <c r="BN124" s="64">
        <f>IFERROR(Y124*I124/H124,"0")</f>
        <v>6.7139999999999995</v>
      </c>
      <c r="BO124" s="64">
        <f>IFERROR(1/J124*(X124/H124),"0")</f>
        <v>1.1100011100011102E-2</v>
      </c>
      <c r="BP124" s="64">
        <f>IFERROR(1/J124*(Y124/H124),"0")</f>
        <v>1.6483516483516484E-2</v>
      </c>
    </row>
    <row r="125" spans="1:68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2.0202020202020203</v>
      </c>
      <c r="Y125" s="635">
        <f>IFERROR(Y124/H124,"0")</f>
        <v>2.9999999999999996</v>
      </c>
      <c r="Z125" s="635">
        <f>IFERROR(IF(Z124="",0,Z124),"0")</f>
        <v>1.9529999999999999E-2</v>
      </c>
      <c r="AA125" s="636"/>
      <c r="AB125" s="636"/>
      <c r="AC125" s="636"/>
    </row>
    <row r="126" spans="1:68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4</v>
      </c>
      <c r="Y126" s="635">
        <f>IFERROR(SUM(Y124:Y124),"0")</f>
        <v>5.9399999999999995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170</v>
      </c>
      <c r="Y175" s="634">
        <f t="shared" ref="Y175:Y185" si="16">IFERROR(IF(X175="",0,CEILING((X175/$H175),1)*$H175),"")</f>
        <v>171.5</v>
      </c>
      <c r="Z175" s="36">
        <f>IFERROR(IF(Y175=0,"",ROUNDUP(Y175/H175,0)*0.00902),"")</f>
        <v>0.44198000000000004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179.22857142857143</v>
      </c>
      <c r="BN175" s="64">
        <f t="shared" ref="BN175:BN185" si="18">IFERROR(Y175*I175/H175,"0")</f>
        <v>180.81</v>
      </c>
      <c r="BO175" s="64">
        <f t="shared" ref="BO175:BO185" si="19">IFERROR(1/J175*(X175/H175),"0")</f>
        <v>0.36796536796536794</v>
      </c>
      <c r="BP175" s="64">
        <f t="shared" ref="BP175:BP185" si="20">IFERROR(1/J175*(Y175/H175),"0")</f>
        <v>0.37121212121212122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14</v>
      </c>
      <c r="Y183" s="634">
        <f t="shared" si="16"/>
        <v>15.12</v>
      </c>
      <c r="Z183" s="36">
        <f>IFERROR(IF(Y183=0,"",ROUNDUP(Y183/H183,0)*0.00502),"")</f>
        <v>4.5179999999999998E-2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14.833333333333336</v>
      </c>
      <c r="BN183" s="64">
        <f t="shared" si="18"/>
        <v>16.02</v>
      </c>
      <c r="BO183" s="64">
        <f t="shared" si="19"/>
        <v>3.561253561253562E-2</v>
      </c>
      <c r="BP183" s="64">
        <f t="shared" si="20"/>
        <v>3.8461538461538464E-2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56.904761904761905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58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0.48716000000000004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184</v>
      </c>
      <c r="Y187" s="635">
        <f>IFERROR(SUM(Y175:Y185),"0")</f>
        <v>186.62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35</v>
      </c>
      <c r="Y225" s="634">
        <f t="shared" si="27"/>
        <v>35.700000000000003</v>
      </c>
      <c r="Z225" s="36">
        <f t="shared" ref="Z225:Z230" si="32">IFERROR(IF(Y225=0,"",ROUNDUP(Y225/H225,0)*0.00502),"")</f>
        <v>8.5339999999999999E-2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37.166666666666664</v>
      </c>
      <c r="BN225" s="64">
        <f t="shared" si="29"/>
        <v>37.910000000000004</v>
      </c>
      <c r="BO225" s="64">
        <f t="shared" si="30"/>
        <v>7.1225071225071226E-2</v>
      </c>
      <c r="BP225" s="64">
        <f t="shared" si="31"/>
        <v>7.2649572649572655E-2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6</v>
      </c>
      <c r="Y230" s="634">
        <f t="shared" si="27"/>
        <v>7.2</v>
      </c>
      <c r="Z230" s="36">
        <f t="shared" si="32"/>
        <v>2.0080000000000001E-2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6.4333333333333336</v>
      </c>
      <c r="BN230" s="64">
        <f t="shared" si="29"/>
        <v>7.7199999999999989</v>
      </c>
      <c r="BO230" s="64">
        <f t="shared" si="30"/>
        <v>1.4245014245014245E-2</v>
      </c>
      <c r="BP230" s="64">
        <f t="shared" si="31"/>
        <v>1.7094017094017096E-2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25</v>
      </c>
      <c r="Y232" s="634">
        <f t="shared" si="27"/>
        <v>25.200000000000003</v>
      </c>
      <c r="Z232" s="36">
        <f>IFERROR(IF(Y232=0,"",ROUNDUP(Y232/H232,0)*0.00502),"")</f>
        <v>6.0240000000000002E-2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26.190476190476193</v>
      </c>
      <c r="BN232" s="64">
        <f t="shared" si="29"/>
        <v>26.400000000000006</v>
      </c>
      <c r="BO232" s="64">
        <f t="shared" si="30"/>
        <v>5.0875050875050884E-2</v>
      </c>
      <c r="BP232" s="64">
        <f t="shared" si="31"/>
        <v>5.1282051282051287E-2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31.904761904761902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33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0.16566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66</v>
      </c>
      <c r="Y236" s="635">
        <f>IFERROR(SUM(Y221:Y234),"0")</f>
        <v>68.100000000000009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45</v>
      </c>
      <c r="Y267" s="634">
        <f t="shared" ref="Y267:Y274" si="33">IFERROR(IF(X267="",0,CEILING((X267/$H267),1)*$H267),"")</f>
        <v>48.6</v>
      </c>
      <c r="Z267" s="36">
        <f>IFERROR(IF(Y267=0,"",ROUNDUP(Y267/H267,0)*0.00902),"")</f>
        <v>8.1180000000000002E-2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46.583333333333329</v>
      </c>
      <c r="BN267" s="64">
        <f t="shared" ref="BN267:BN274" si="35">IFERROR(Y267*I267/H267,"0")</f>
        <v>50.309999999999995</v>
      </c>
      <c r="BO267" s="64">
        <f t="shared" ref="BO267:BO274" si="36">IFERROR(1/J267*(X267/H267),"0")</f>
        <v>6.3131313131313122E-2</v>
      </c>
      <c r="BP267" s="64">
        <f t="shared" ref="BP267:BP274" si="37">IFERROR(1/J267*(Y267/H267),"0")</f>
        <v>6.8181818181818177E-2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98</v>
      </c>
      <c r="Y268" s="634">
        <f t="shared" si="33"/>
        <v>102.60000000000001</v>
      </c>
      <c r="Z268" s="36">
        <f>IFERROR(IF(Y268=0,"",ROUNDUP(Y268/H268,0)*0.00902),"")</f>
        <v>0.17138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101.44814814814814</v>
      </c>
      <c r="BN268" s="64">
        <f t="shared" si="35"/>
        <v>106.21</v>
      </c>
      <c r="BO268" s="64">
        <f t="shared" si="36"/>
        <v>0.13748597081930414</v>
      </c>
      <c r="BP268" s="64">
        <f t="shared" si="37"/>
        <v>0.14393939393939395</v>
      </c>
    </row>
    <row r="269" spans="1:68" ht="27" hidden="1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18</v>
      </c>
      <c r="Y271" s="634">
        <f t="shared" si="33"/>
        <v>18</v>
      </c>
      <c r="Z271" s="36">
        <f>IFERROR(IF(Y271=0,"",ROUNDUP(Y271/H271,0)*0.00502),"")</f>
        <v>5.0200000000000002E-2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19.3</v>
      </c>
      <c r="BN271" s="64">
        <f t="shared" si="35"/>
        <v>19.3</v>
      </c>
      <c r="BO271" s="64">
        <f t="shared" si="36"/>
        <v>4.2735042735042736E-2</v>
      </c>
      <c r="BP271" s="64">
        <f t="shared" si="37"/>
        <v>4.2735042735042736E-2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2</v>
      </c>
      <c r="Y272" s="634">
        <f t="shared" si="33"/>
        <v>3.6</v>
      </c>
      <c r="Z272" s="36">
        <f>IFERROR(IF(Y272=0,"",ROUNDUP(Y272/H272,0)*0.00502),"")</f>
        <v>1.004E-2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2.1111111111111112</v>
      </c>
      <c r="BN272" s="64">
        <f t="shared" si="35"/>
        <v>3.8</v>
      </c>
      <c r="BO272" s="64">
        <f t="shared" si="36"/>
        <v>4.7483380816714157E-3</v>
      </c>
      <c r="BP272" s="64">
        <f t="shared" si="37"/>
        <v>8.5470085470085479E-3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74</v>
      </c>
      <c r="Y274" s="634">
        <f t="shared" si="33"/>
        <v>75.600000000000009</v>
      </c>
      <c r="Z274" s="36">
        <f>IFERROR(IF(Y274=0,"",ROUNDUP(Y274/H274,0)*0.00502),"")</f>
        <v>0.21084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78.1111111111111</v>
      </c>
      <c r="BN274" s="64">
        <f t="shared" si="35"/>
        <v>79.800000000000011</v>
      </c>
      <c r="BO274" s="64">
        <f t="shared" si="36"/>
        <v>0.17568850902184235</v>
      </c>
      <c r="BP274" s="64">
        <f t="shared" si="37"/>
        <v>0.17948717948717954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78.703703703703695</v>
      </c>
      <c r="Y275" s="635">
        <f>IFERROR(Y267/H267,"0")+IFERROR(Y268/H268,"0")+IFERROR(Y269/H269,"0")+IFERROR(Y270/H270,"0")+IFERROR(Y271/H271,"0")+IFERROR(Y272/H272,"0")+IFERROR(Y273/H273,"0")+IFERROR(Y274/H274,"0")</f>
        <v>82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0.52363999999999999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237</v>
      </c>
      <c r="Y276" s="635">
        <f>IFERROR(SUM(Y267:Y274),"0")</f>
        <v>248.40000000000003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79</v>
      </c>
      <c r="Y278" s="634">
        <f t="shared" ref="Y278:Y289" si="38">IFERROR(IF(X278="",0,CEILING((X278/$H278),1)*$H278),"")</f>
        <v>81</v>
      </c>
      <c r="Z278" s="36">
        <f>IFERROR(IF(Y278=0,"",ROUNDUP(Y278/H278,0)*0.01898),"")</f>
        <v>0.1898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83.818024691358019</v>
      </c>
      <c r="BN278" s="64">
        <f t="shared" ref="BN278:BN289" si="40">IFERROR(Y278*I278/H278,"0")</f>
        <v>85.94</v>
      </c>
      <c r="BO278" s="64">
        <f t="shared" ref="BO278:BO289" si="41">IFERROR(1/J278*(X278/H278),"0")</f>
        <v>0.15239197530864199</v>
      </c>
      <c r="BP278" s="64">
        <f t="shared" ref="BP278:BP289" si="42">IFERROR(1/J278*(Y278/H278),"0")</f>
        <v>0.15625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70</v>
      </c>
      <c r="Y279" s="634">
        <f t="shared" si="38"/>
        <v>72.899999999999991</v>
      </c>
      <c r="Z279" s="36">
        <f>IFERROR(IF(Y279=0,"",ROUNDUP(Y279/H279,0)*0.01898),"")</f>
        <v>0.17082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74.113580246913585</v>
      </c>
      <c r="BN279" s="64">
        <f t="shared" si="40"/>
        <v>77.183999999999997</v>
      </c>
      <c r="BO279" s="64">
        <f t="shared" si="41"/>
        <v>0.13503086419753088</v>
      </c>
      <c r="BP279" s="64">
        <f t="shared" si="42"/>
        <v>0.140625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30</v>
      </c>
      <c r="Y280" s="634">
        <f t="shared" si="38"/>
        <v>34.799999999999997</v>
      </c>
      <c r="Z280" s="36">
        <f>IFERROR(IF(Y280=0,"",ROUNDUP(Y280/H280,0)*0.01898),"")</f>
        <v>7.5920000000000001E-2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31.703448275862076</v>
      </c>
      <c r="BN280" s="64">
        <f t="shared" si="40"/>
        <v>36.776000000000003</v>
      </c>
      <c r="BO280" s="64">
        <f t="shared" si="41"/>
        <v>5.387931034482759E-2</v>
      </c>
      <c r="BP280" s="64">
        <f t="shared" si="42"/>
        <v>6.25E-2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7</v>
      </c>
      <c r="Y281" s="634">
        <f t="shared" si="38"/>
        <v>7.1999999999999993</v>
      </c>
      <c r="Z281" s="36">
        <f>IFERROR(IF(Y281=0,"",ROUNDUP(Y281/H281,0)*0.00651),"")</f>
        <v>1.9529999999999999E-2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7.7874999999999996</v>
      </c>
      <c r="BN281" s="64">
        <f t="shared" si="40"/>
        <v>8.009999999999998</v>
      </c>
      <c r="BO281" s="64">
        <f t="shared" si="41"/>
        <v>1.6025641025641028E-2</v>
      </c>
      <c r="BP281" s="64">
        <f t="shared" si="42"/>
        <v>1.6483516483516484E-2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244</v>
      </c>
      <c r="Y284" s="634">
        <f t="shared" si="38"/>
        <v>244.79999999999998</v>
      </c>
      <c r="Z284" s="36">
        <f>IFERROR(IF(Y284=0,"",ROUNDUP(Y284/H284,0)*0.00651),"")</f>
        <v>0.66402000000000005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269.62000000000006</v>
      </c>
      <c r="BN284" s="64">
        <f t="shared" si="40"/>
        <v>270.50400000000002</v>
      </c>
      <c r="BO284" s="64">
        <f t="shared" si="41"/>
        <v>0.55860805860805873</v>
      </c>
      <c r="BP284" s="64">
        <f t="shared" si="42"/>
        <v>0.56043956043956045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64</v>
      </c>
      <c r="Y286" s="634">
        <f t="shared" si="38"/>
        <v>64.8</v>
      </c>
      <c r="Z286" s="36">
        <f>IFERROR(IF(Y286=0,"",ROUNDUP(Y286/H286,0)*0.00651),"")</f>
        <v>0.17577000000000001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70.720000000000013</v>
      </c>
      <c r="BN286" s="64">
        <f t="shared" si="40"/>
        <v>71.604000000000013</v>
      </c>
      <c r="BO286" s="64">
        <f t="shared" si="41"/>
        <v>0.14652014652014653</v>
      </c>
      <c r="BP286" s="64">
        <f t="shared" si="42"/>
        <v>0.14835164835164835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77</v>
      </c>
      <c r="Y287" s="634">
        <f t="shared" si="38"/>
        <v>79.2</v>
      </c>
      <c r="Z287" s="36">
        <f>IFERROR(IF(Y287=0,"",ROUNDUP(Y287/H287,0)*0.00651),"")</f>
        <v>0.21482999999999999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85.085000000000008</v>
      </c>
      <c r="BN287" s="64">
        <f t="shared" si="40"/>
        <v>87.51600000000002</v>
      </c>
      <c r="BO287" s="64">
        <f t="shared" si="41"/>
        <v>0.17628205128205132</v>
      </c>
      <c r="BP287" s="64">
        <f t="shared" si="42"/>
        <v>0.18131868131868134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100</v>
      </c>
      <c r="Y288" s="634">
        <f t="shared" si="38"/>
        <v>100.8</v>
      </c>
      <c r="Z288" s="36">
        <f>IFERROR(IF(Y288=0,"",ROUNDUP(Y288/H288,0)*0.00651),"")</f>
        <v>0.27342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110.75000000000001</v>
      </c>
      <c r="BN288" s="64">
        <f t="shared" si="40"/>
        <v>111.63600000000001</v>
      </c>
      <c r="BO288" s="64">
        <f t="shared" si="41"/>
        <v>0.22893772893772898</v>
      </c>
      <c r="BP288" s="64">
        <f t="shared" si="42"/>
        <v>0.23076923076923078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226.84333759046405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230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1.7841100000000001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671</v>
      </c>
      <c r="Y291" s="635">
        <f>IFERROR(SUM(Y278:Y289),"0")</f>
        <v>685.49999999999989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41</v>
      </c>
      <c r="Y293" s="634">
        <f>IFERROR(IF(X293="",0,CEILING((X293/$H293),1)*$H293),"")</f>
        <v>43.199999999999996</v>
      </c>
      <c r="Z293" s="36">
        <f>IFERROR(IF(Y293=0,"",ROUNDUP(Y293/H293,0)*0.00651),"")</f>
        <v>0.11718000000000001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45.305</v>
      </c>
      <c r="BN293" s="64">
        <f>IFERROR(Y293*I293/H293,"0")</f>
        <v>47.736000000000004</v>
      </c>
      <c r="BO293" s="64">
        <f>IFERROR(1/J293*(X293/H293),"0")</f>
        <v>9.3864468864468878E-2</v>
      </c>
      <c r="BP293" s="64">
        <f>IFERROR(1/J293*(Y293/H293),"0")</f>
        <v>9.8901098901098911E-2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25</v>
      </c>
      <c r="Y294" s="634">
        <f>IFERROR(IF(X294="",0,CEILING((X294/$H294),1)*$H294),"")</f>
        <v>26.4</v>
      </c>
      <c r="Z294" s="36">
        <f>IFERROR(IF(Y294=0,"",ROUNDUP(Y294/H294,0)*0.00651),"")</f>
        <v>7.1610000000000007E-2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27.625</v>
      </c>
      <c r="BN294" s="64">
        <f>IFERROR(Y294*I294/H294,"0")</f>
        <v>29.172000000000001</v>
      </c>
      <c r="BO294" s="64">
        <f>IFERROR(1/J294*(X294/H294),"0")</f>
        <v>5.7234432234432246E-2</v>
      </c>
      <c r="BP294" s="64">
        <f>IFERROR(1/J294*(Y294/H294),"0")</f>
        <v>6.0439560439560447E-2</v>
      </c>
    </row>
    <row r="295" spans="1:68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27.500000000000004</v>
      </c>
      <c r="Y295" s="635">
        <f>IFERROR(Y293/H293,"0")+IFERROR(Y294/H294,"0")</f>
        <v>29</v>
      </c>
      <c r="Z295" s="635">
        <f>IFERROR(IF(Z293="",0,Z293),"0")+IFERROR(IF(Z294="",0,Z294),"0")</f>
        <v>0.18879000000000001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66</v>
      </c>
      <c r="Y296" s="635">
        <f>IFERROR(SUM(Y293:Y294),"0")</f>
        <v>69.599999999999994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hidden="1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16</v>
      </c>
      <c r="Y334" s="634">
        <f>IFERROR(IF(X334="",0,CEILING((X334/$H334),1)*$H334),"")</f>
        <v>16.8</v>
      </c>
      <c r="Z334" s="36">
        <f>IFERROR(IF(Y334=0,"",ROUNDUP(Y334/H334,0)*0.00651),"")</f>
        <v>4.5569999999999999E-2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17.680000000000003</v>
      </c>
      <c r="BN334" s="64">
        <f>IFERROR(Y334*I334/H334,"0")</f>
        <v>18.564000000000004</v>
      </c>
      <c r="BO334" s="64">
        <f>IFERROR(1/J334*(X334/H334),"0")</f>
        <v>3.6630036630036632E-2</v>
      </c>
      <c r="BP334" s="64">
        <f>IFERROR(1/J334*(Y334/H334),"0")</f>
        <v>3.8461538461538471E-2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36</v>
      </c>
      <c r="Y335" s="634">
        <f>IFERROR(IF(X335="",0,CEILING((X335/$H335),1)*$H335),"")</f>
        <v>36</v>
      </c>
      <c r="Z335" s="36">
        <f>IFERROR(IF(Y335=0,"",ROUNDUP(Y335/H335,0)*0.00651),"")</f>
        <v>9.7650000000000001E-2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38.700000000000003</v>
      </c>
      <c r="BN335" s="64">
        <f>IFERROR(Y335*I335/H335,"0")</f>
        <v>38.700000000000003</v>
      </c>
      <c r="BO335" s="64">
        <f>IFERROR(1/J335*(X335/H335),"0")</f>
        <v>8.241758241758243E-2</v>
      </c>
      <c r="BP335" s="64">
        <f>IFERROR(1/J335*(Y335/H335),"0")</f>
        <v>8.241758241758243E-2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21.666666666666668</v>
      </c>
      <c r="Y336" s="635">
        <f>IFERROR(Y333/H333,"0")+IFERROR(Y334/H334,"0")+IFERROR(Y335/H335,"0")</f>
        <v>22</v>
      </c>
      <c r="Z336" s="635">
        <f>IFERROR(IF(Z333="",0,Z333),"0")+IFERROR(IF(Z334="",0,Z334),"0")+IFERROR(IF(Z335="",0,Z335),"0")</f>
        <v>0.14322000000000001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52</v>
      </c>
      <c r="Y337" s="635">
        <f>IFERROR(SUM(Y333:Y335),"0")</f>
        <v>52.8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23</v>
      </c>
      <c r="Y354" s="634">
        <f>IFERROR(IF(X354="",0,CEILING((X354/$H354),1)*$H354),"")</f>
        <v>23.4</v>
      </c>
      <c r="Z354" s="36">
        <f>IFERROR(IF(Y354=0,"",ROUNDUP(Y354/H354,0)*0.01898),"")</f>
        <v>5.6940000000000004E-2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24.208974358974363</v>
      </c>
      <c r="BN354" s="64">
        <f>IFERROR(Y354*I354/H354,"0")</f>
        <v>24.630000000000003</v>
      </c>
      <c r="BO354" s="64">
        <f>IFERROR(1/J354*(X354/H354),"0")</f>
        <v>4.6073717948717952E-2</v>
      </c>
      <c r="BP354" s="64">
        <f>IFERROR(1/J354*(Y354/H354),"0")</f>
        <v>4.6875E-2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34</v>
      </c>
      <c r="Y355" s="634">
        <f>IFERROR(IF(X355="",0,CEILING((X355/$H355),1)*$H355),"")</f>
        <v>39</v>
      </c>
      <c r="Z355" s="36">
        <f>IFERROR(IF(Y355=0,"",ROUNDUP(Y355/H355,0)*0.01898),"")</f>
        <v>9.4899999999999998E-2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35.787179487179493</v>
      </c>
      <c r="BN355" s="64">
        <f>IFERROR(Y355*I355/H355,"0")</f>
        <v>41.050000000000011</v>
      </c>
      <c r="BO355" s="64">
        <f>IFERROR(1/J355*(X355/H355),"0")</f>
        <v>6.8108974358974367E-2</v>
      </c>
      <c r="BP355" s="64">
        <f>IFERROR(1/J355*(Y355/H355),"0")</f>
        <v>7.8125E-2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7.3076923076923084</v>
      </c>
      <c r="Y357" s="635">
        <f>IFERROR(Y354/H354,"0")+IFERROR(Y355/H355,"0")+IFERROR(Y356/H356,"0")</f>
        <v>8</v>
      </c>
      <c r="Z357" s="635">
        <f>IFERROR(IF(Z354="",0,Z354),"0")+IFERROR(IF(Z355="",0,Z355),"0")+IFERROR(IF(Z356="",0,Z356),"0")</f>
        <v>0.15184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57</v>
      </c>
      <c r="Y358" s="635">
        <f>IFERROR(SUM(Y354:Y356),"0")</f>
        <v>62.4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193</v>
      </c>
      <c r="Y387" s="634">
        <f>IFERROR(IF(X387="",0,CEILING((X387/$H387),1)*$H387),"")</f>
        <v>195</v>
      </c>
      <c r="Z387" s="36">
        <f>IFERROR(IF(Y387=0,"",ROUNDUP(Y387/H387,0)*0.01898),"")</f>
        <v>0.47450000000000003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205.22333333333336</v>
      </c>
      <c r="BN387" s="64">
        <f>IFERROR(Y387*I387/H387,"0")</f>
        <v>207.35000000000002</v>
      </c>
      <c r="BO387" s="64">
        <f>IFERROR(1/J387*(X387/H387),"0")</f>
        <v>0.38661858974358976</v>
      </c>
      <c r="BP387" s="64">
        <f>IFERROR(1/J387*(Y387/H387),"0")</f>
        <v>0.390625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24.743589743589745</v>
      </c>
      <c r="Y389" s="635">
        <f>IFERROR(Y386/H386,"0")+IFERROR(Y387/H387,"0")+IFERROR(Y388/H388,"0")</f>
        <v>25</v>
      </c>
      <c r="Z389" s="635">
        <f>IFERROR(IF(Z386="",0,Z386),"0")+IFERROR(IF(Z387="",0,Z387),"0")+IFERROR(IF(Z388="",0,Z388),"0")</f>
        <v>0.47450000000000003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193</v>
      </c>
      <c r="Y390" s="635">
        <f>IFERROR(SUM(Y386:Y388),"0")</f>
        <v>195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13</v>
      </c>
      <c r="Y393" s="634">
        <f>IFERROR(IF(X393="",0,CEILING((X393/$H393),1)*$H393),"")</f>
        <v>15.2</v>
      </c>
      <c r="Z393" s="36">
        <f>IFERROR(IF(Y393=0,"",ROUNDUP(Y393/H393,0)*0.00902),"")</f>
        <v>4.5100000000000001E-2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13.983552631578947</v>
      </c>
      <c r="BN393" s="64">
        <f>IFERROR(Y393*I393/H393,"0")</f>
        <v>16.350000000000001</v>
      </c>
      <c r="BO393" s="64">
        <f>IFERROR(1/J393*(X393/H393),"0")</f>
        <v>3.2396331738436999E-2</v>
      </c>
      <c r="BP393" s="64">
        <f>IFERROR(1/J393*(Y393/H393),"0")</f>
        <v>3.787878787878788E-2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4.2763157894736841</v>
      </c>
      <c r="Y396" s="635">
        <f>IFERROR(Y392/H392,"0")+IFERROR(Y393/H393,"0")+IFERROR(Y394/H394,"0")+IFERROR(Y395/H395,"0")</f>
        <v>5</v>
      </c>
      <c r="Z396" s="635">
        <f>IFERROR(IF(Z392="",0,Z392),"0")+IFERROR(IF(Z393="",0,Z393),"0")+IFERROR(IF(Z394="",0,Z394),"0")+IFERROR(IF(Z395="",0,Z395),"0")</f>
        <v>4.5100000000000001E-2</v>
      </c>
      <c r="AA396" s="636"/>
      <c r="AB396" s="636"/>
      <c r="AC396" s="636"/>
    </row>
    <row r="397" spans="1:68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13</v>
      </c>
      <c r="Y397" s="635">
        <f>IFERROR(SUM(Y392:Y395),"0")</f>
        <v>15.2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hidden="1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hidden="1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hidden="1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idden="1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0</v>
      </c>
      <c r="Y434" s="635">
        <f>IFERROR(Y426/H426,"0")+IFERROR(Y427/H427,"0")+IFERROR(Y428/H428,"0")+IFERROR(Y429/H429,"0")+IFERROR(Y430/H430,"0")+IFERROR(Y431/H431,"0")+IFERROR(Y432/H432,"0")+IFERROR(Y433/H433,"0")</f>
        <v>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36"/>
      <c r="AB434" s="636"/>
      <c r="AC434" s="636"/>
    </row>
    <row r="435" spans="1:68" hidden="1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0</v>
      </c>
      <c r="Y435" s="635">
        <f>IFERROR(SUM(Y426:Y433),"0")</f>
        <v>0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486</v>
      </c>
      <c r="Y437" s="634">
        <f>IFERROR(IF(X437="",0,CEILING((X437/$H437),1)*$H437),"")</f>
        <v>495</v>
      </c>
      <c r="Z437" s="36">
        <f>IFERROR(IF(Y437=0,"",ROUNDUP(Y437/H437,0)*0.02175),"")</f>
        <v>0.71775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501.22800000000001</v>
      </c>
      <c r="BN437" s="64">
        <f>IFERROR(Y437*I437/H437,"0")</f>
        <v>510.51000000000005</v>
      </c>
      <c r="BO437" s="64">
        <f>IFERROR(1/J437*(X437/H437),"0")</f>
        <v>0.67499999999999993</v>
      </c>
      <c r="BP437" s="64">
        <f>IFERROR(1/J437*(Y437/H437),"0")</f>
        <v>0.6875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32.4</v>
      </c>
      <c r="Y440" s="635">
        <f>IFERROR(Y437/H437,"0")+IFERROR(Y438/H438,"0")+IFERROR(Y439/H439,"0")</f>
        <v>33</v>
      </c>
      <c r="Z440" s="635">
        <f>IFERROR(IF(Z437="",0,Z437),"0")+IFERROR(IF(Z438="",0,Z438),"0")+IFERROR(IF(Z439="",0,Z439),"0")</f>
        <v>0.71775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486</v>
      </c>
      <c r="Y441" s="635">
        <f>IFERROR(SUM(Y437:Y439),"0")</f>
        <v>495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119</v>
      </c>
      <c r="Y450" s="634">
        <f>IFERROR(IF(X450="",0,CEILING((X450/$H450),1)*$H450),"")</f>
        <v>126</v>
      </c>
      <c r="Z450" s="36">
        <f>IFERROR(IF(Y450=0,"",ROUNDUP(Y450/H450,0)*0.01898),"")</f>
        <v>0.26572000000000001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125.53177777777779</v>
      </c>
      <c r="BN450" s="64">
        <f>IFERROR(Y450*I450/H450,"0")</f>
        <v>132.916</v>
      </c>
      <c r="BO450" s="64">
        <f>IFERROR(1/J450*(X450/H450),"0")</f>
        <v>0.20659722222222221</v>
      </c>
      <c r="BP450" s="64">
        <f>IFERROR(1/J450*(Y450/H450),"0")</f>
        <v>0.21875</v>
      </c>
    </row>
    <row r="451" spans="1:68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13.222222222222221</v>
      </c>
      <c r="Y451" s="635">
        <f>IFERROR(Y449/H449,"0")+IFERROR(Y450/H450,"0")</f>
        <v>14</v>
      </c>
      <c r="Z451" s="635">
        <f>IFERROR(IF(Z449="",0,Z449),"0")+IFERROR(IF(Z450="",0,Z450),"0")</f>
        <v>0.26572000000000001</v>
      </c>
      <c r="AA451" s="636"/>
      <c r="AB451" s="636"/>
      <c r="AC451" s="636"/>
    </row>
    <row r="452" spans="1:68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119</v>
      </c>
      <c r="Y452" s="635">
        <f>IFERROR(SUM(Y449:Y450),"0")</f>
        <v>126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200</v>
      </c>
      <c r="Y464" s="634">
        <f>IFERROR(IF(X464="",0,CEILING((X464/$H464),1)*$H464),"")</f>
        <v>207</v>
      </c>
      <c r="Z464" s="36">
        <f>IFERROR(IF(Y464=0,"",ROUNDUP(Y464/H464,0)*0.01898),"")</f>
        <v>0.43653999999999998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210.97777777777776</v>
      </c>
      <c r="BN464" s="64">
        <f>IFERROR(Y464*I464/H464,"0")</f>
        <v>218.36199999999999</v>
      </c>
      <c r="BO464" s="64">
        <f>IFERROR(1/J464*(X464/H464),"0")</f>
        <v>0.34722222222222221</v>
      </c>
      <c r="BP464" s="64">
        <f>IFERROR(1/J464*(Y464/H464),"0")</f>
        <v>0.359375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16</v>
      </c>
      <c r="Y465" s="634">
        <f>IFERROR(IF(X465="",0,CEILING((X465/$H465),1)*$H465),"")</f>
        <v>16.8</v>
      </c>
      <c r="Z465" s="36">
        <f>IFERROR(IF(Y465=0,"",ROUNDUP(Y465/H465,0)*0.00651),"")</f>
        <v>4.5569999999999999E-2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17.760000000000002</v>
      </c>
      <c r="BN465" s="64">
        <f>IFERROR(Y465*I465/H465,"0")</f>
        <v>18.648000000000003</v>
      </c>
      <c r="BO465" s="64">
        <f>IFERROR(1/J465*(X465/H465),"0")</f>
        <v>3.6630036630036632E-2</v>
      </c>
      <c r="BP465" s="64">
        <f>IFERROR(1/J465*(Y465/H465),"0")</f>
        <v>3.8461538461538471E-2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28.888888888888889</v>
      </c>
      <c r="Y467" s="635">
        <f>IFERROR(Y464/H464,"0")+IFERROR(Y465/H465,"0")+IFERROR(Y466/H466,"0")</f>
        <v>30</v>
      </c>
      <c r="Z467" s="635">
        <f>IFERROR(IF(Z464="",0,Z464),"0")+IFERROR(IF(Z465="",0,Z465),"0")+IFERROR(IF(Z466="",0,Z466),"0")</f>
        <v>0.48210999999999998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216</v>
      </c>
      <c r="Y468" s="635">
        <f>IFERROR(SUM(Y464:Y466),"0")</f>
        <v>223.8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hidden="1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26</v>
      </c>
      <c r="Y507" s="634">
        <f t="shared" si="63"/>
        <v>28.799999999999997</v>
      </c>
      <c r="Z507" s="36">
        <f>IFERROR(IF(Y507=0,"",ROUNDUP(Y507/H507,0)*0.00902),"")</f>
        <v>5.4120000000000001E-2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37.429166666666667</v>
      </c>
      <c r="BN507" s="64">
        <f t="shared" si="66"/>
        <v>41.46</v>
      </c>
      <c r="BO507" s="64">
        <f t="shared" si="67"/>
        <v>4.1035353535353536E-2</v>
      </c>
      <c r="BP507" s="64">
        <f t="shared" si="68"/>
        <v>4.5454545454545456E-2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5.416666666666667</v>
      </c>
      <c r="Y508" s="635">
        <f>IFERROR(Y499/H499,"0")+IFERROR(Y500/H500,"0")+IFERROR(Y501/H501,"0")+IFERROR(Y502/H502,"0")+IFERROR(Y503/H503,"0")+IFERROR(Y504/H504,"0")+IFERROR(Y505/H505,"0")+IFERROR(Y506/H506,"0")+IFERROR(Y507/H507,"0")</f>
        <v>6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5.4120000000000001E-2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26</v>
      </c>
      <c r="Y509" s="635">
        <f>IFERROR(SUM(Y499:Y507),"0")</f>
        <v>28.799999999999997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hidden="1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hidden="1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7</v>
      </c>
      <c r="Y518" s="634">
        <f t="shared" si="69"/>
        <v>10.56</v>
      </c>
      <c r="Z518" s="36">
        <f>IFERROR(IF(Y518=0,"",ROUNDUP(Y518/H518,0)*0.01196),"")</f>
        <v>2.392E-2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7.4640151515151505</v>
      </c>
      <c r="BN518" s="64">
        <f t="shared" si="71"/>
        <v>11.26</v>
      </c>
      <c r="BO518" s="64">
        <f t="shared" si="72"/>
        <v>1.2747668997668998E-2</v>
      </c>
      <c r="BP518" s="64">
        <f t="shared" si="73"/>
        <v>1.9230769230769232E-2</v>
      </c>
    </row>
    <row r="519" spans="1:68" ht="27" hidden="1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1.3257575757575757</v>
      </c>
      <c r="Y524" s="635">
        <f>IFERROR(Y517/H517,"0")+IFERROR(Y518/H518,"0")+IFERROR(Y519/H519,"0")+IFERROR(Y520/H520,"0")+IFERROR(Y521/H521,"0")+IFERROR(Y522/H522,"0")+IFERROR(Y523/H523,"0")</f>
        <v>2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2.392E-2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7</v>
      </c>
      <c r="Y525" s="635">
        <f>IFERROR(SUM(Y517:Y523),"0")</f>
        <v>10.56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137</v>
      </c>
      <c r="Y541" s="634">
        <f>IFERROR(IF(X541="",0,CEILING((X541/$H541),1)*$H541),"")</f>
        <v>144</v>
      </c>
      <c r="Z541" s="36">
        <f>IFERROR(IF(Y541=0,"",ROUNDUP(Y541/H541,0)*0.01898),"")</f>
        <v>0.30368000000000001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144.51977777777776</v>
      </c>
      <c r="BN541" s="64">
        <f>IFERROR(Y541*I541/H541,"0")</f>
        <v>151.904</v>
      </c>
      <c r="BO541" s="64">
        <f>IFERROR(1/J541*(X541/H541),"0")</f>
        <v>0.23784722222222221</v>
      </c>
      <c r="BP541" s="64">
        <f>IFERROR(1/J541*(Y541/H541),"0")</f>
        <v>0.25</v>
      </c>
    </row>
    <row r="542" spans="1:68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15.222222222222221</v>
      </c>
      <c r="Y542" s="635">
        <f>IFERROR(Y541/H541,"0")</f>
        <v>16</v>
      </c>
      <c r="Z542" s="635">
        <f>IFERROR(IF(Z541="",0,Z541),"0")</f>
        <v>0.30368000000000001</v>
      </c>
      <c r="AA542" s="636"/>
      <c r="AB542" s="636"/>
      <c r="AC542" s="636"/>
    </row>
    <row r="543" spans="1:68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137</v>
      </c>
      <c r="Y543" s="635">
        <f>IFERROR(SUM(Y541:Y541),"0")</f>
        <v>144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3700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3810.32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3937.443471430744</v>
      </c>
      <c r="Y555" s="635">
        <f>IFERROR(SUM(BN22:BN551),"0")</f>
        <v>4055.2160000000003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8</v>
      </c>
      <c r="Y556" s="38">
        <f>ROUNDUP(SUM(BP22:BP551),0)</f>
        <v>8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4137.4434714307445</v>
      </c>
      <c r="Y557" s="635">
        <f>GrossWeightTotalR+PalletQtyTotalR*25</f>
        <v>4255.2160000000003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742.12789082150823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763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8.6164500000000004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90.4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405.59999999999997</v>
      </c>
      <c r="F564" s="46">
        <f>IFERROR(Y84*1,"0")+IFERROR(Y85*1,"0")+IFERROR(Y86*1,"0")+IFERROR(Y87*1,"0")+IFERROR(Y91*1,"0")+IFERROR(Y92*1,"0")+IFERROR(Y93*1,"0")+IFERROR(Y94*1,"0")</f>
        <v>596.69999999999993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105.83999999999999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186.62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68.100000000000009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1003.5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52.8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62.4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210.2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621</v>
      </c>
      <c r="X564" s="46">
        <f>IFERROR(Y455*1,"0")+IFERROR(Y456*1,"0")+IFERROR(Y460*1,"0")+IFERROR(Y464*1,"0")+IFERROR(Y465*1,"0")+IFERROR(Y466*1,"0")</f>
        <v>223.8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39.36</v>
      </c>
      <c r="AB564" s="46">
        <f>IFERROR(Y529*1,"0")+IFERROR(Y533*1,"0")+IFERROR(Y537*1,"0")+IFERROR(Y541*1,"0")+IFERROR(Y545*1,"0")+IFERROR(Y546*1,"0")</f>
        <v>144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33"/>
        <filter val="100,00"/>
        <filter val="119,00"/>
        <filter val="13,00"/>
        <filter val="13,22"/>
        <filter val="137,00"/>
        <filter val="14,00"/>
        <filter val="15,22"/>
        <filter val="16,00"/>
        <filter val="170,00"/>
        <filter val="18,00"/>
        <filter val="18,02"/>
        <filter val="184,00"/>
        <filter val="193,00"/>
        <filter val="2,00"/>
        <filter val="2,02"/>
        <filter val="200,00"/>
        <filter val="21,67"/>
        <filter val="216,00"/>
        <filter val="226,84"/>
        <filter val="23,00"/>
        <filter val="237,00"/>
        <filter val="24,74"/>
        <filter val="244,00"/>
        <filter val="25,00"/>
        <filter val="26,00"/>
        <filter val="27,00"/>
        <filter val="27,50"/>
        <filter val="28,89"/>
        <filter val="3 700,00"/>
        <filter val="3 937,44"/>
        <filter val="30,00"/>
        <filter val="31,90"/>
        <filter val="32,40"/>
        <filter val="34,00"/>
        <filter val="35,00"/>
        <filter val="36,00"/>
        <filter val="4 137,44"/>
        <filter val="4,00"/>
        <filter val="4,28"/>
        <filter val="405,00"/>
        <filter val="41,00"/>
        <filter val="45,00"/>
        <filter val="486,00"/>
        <filter val="5,42"/>
        <filter val="51,92"/>
        <filter val="52,00"/>
        <filter val="537,00"/>
        <filter val="54,00"/>
        <filter val="56,90"/>
        <filter val="57,00"/>
        <filter val="591,00"/>
        <filter val="6,00"/>
        <filter val="64,00"/>
        <filter val="65,00"/>
        <filter val="66,00"/>
        <filter val="671,00"/>
        <filter val="7,00"/>
        <filter val="7,31"/>
        <filter val="7,54"/>
        <filter val="70,00"/>
        <filter val="74,00"/>
        <filter val="742,13"/>
        <filter val="76,00"/>
        <filter val="77,00"/>
        <filter val="78,00"/>
        <filter val="78,70"/>
        <filter val="79,00"/>
        <filter val="8"/>
        <filter val="86,30"/>
        <filter val="92,00"/>
        <filter val="98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