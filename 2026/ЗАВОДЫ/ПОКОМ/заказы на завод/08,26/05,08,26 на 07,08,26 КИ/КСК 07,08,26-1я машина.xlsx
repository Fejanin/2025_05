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34C206C-965E-44F7-BE14-66565CFEFA4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Z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Z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P236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Z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5" i="2" s="1"/>
  <c r="P22" i="2"/>
  <c r="H10" i="2"/>
  <c r="A9" i="2"/>
  <c r="J9" i="2" s="1"/>
  <c r="D7" i="2"/>
  <c r="Q6" i="2"/>
  <c r="P2" i="2"/>
  <c r="BN155" i="2" l="1"/>
  <c r="BN231" i="2"/>
  <c r="Y262" i="2"/>
  <c r="BN364" i="2"/>
  <c r="BN463" i="2"/>
  <c r="BN30" i="2"/>
  <c r="Z31" i="2"/>
  <c r="Y79" i="2"/>
  <c r="BN115" i="2"/>
  <c r="BN209" i="2"/>
  <c r="BN214" i="2"/>
  <c r="BN368" i="2"/>
  <c r="Z428" i="2"/>
  <c r="BN446" i="2"/>
  <c r="BN457" i="2"/>
  <c r="BN515" i="2"/>
  <c r="Y532" i="2"/>
  <c r="Z356" i="2"/>
  <c r="Z185" i="2"/>
  <c r="Y323" i="2"/>
  <c r="BN82" i="2"/>
  <c r="BN389" i="2"/>
  <c r="BN517" i="2"/>
  <c r="Z504" i="2"/>
  <c r="BN498" i="2"/>
  <c r="BN473" i="2"/>
  <c r="BN472" i="2"/>
  <c r="Z472" i="2"/>
  <c r="BN470" i="2"/>
  <c r="Z457" i="2"/>
  <c r="Z458" i="2" s="1"/>
  <c r="Y458" i="2"/>
  <c r="BN441" i="2"/>
  <c r="BN429" i="2"/>
  <c r="BP428" i="2"/>
  <c r="Z425" i="2"/>
  <c r="BN424" i="2"/>
  <c r="BN416" i="2"/>
  <c r="Y412" i="2"/>
  <c r="Z402" i="2"/>
  <c r="BN402" i="2"/>
  <c r="BN396" i="2"/>
  <c r="BN383" i="2"/>
  <c r="BN374" i="2"/>
  <c r="BN373" i="2"/>
  <c r="Z373" i="2"/>
  <c r="Z364" i="2"/>
  <c r="BP363" i="2"/>
  <c r="BN358" i="2"/>
  <c r="Y360" i="2"/>
  <c r="BN351" i="2"/>
  <c r="Z346" i="2"/>
  <c r="Z336" i="2"/>
  <c r="Z328" i="2"/>
  <c r="Z320" i="2"/>
  <c r="Z304" i="2"/>
  <c r="BP304" i="2"/>
  <c r="Z302" i="2"/>
  <c r="Z290" i="2"/>
  <c r="BN290" i="2"/>
  <c r="BN288" i="2"/>
  <c r="BN284" i="2"/>
  <c r="BP283" i="2"/>
  <c r="Z280" i="2"/>
  <c r="BN274" i="2"/>
  <c r="BP273" i="2"/>
  <c r="Z273" i="2"/>
  <c r="Z270" i="2"/>
  <c r="BN264" i="2"/>
  <c r="Z264" i="2"/>
  <c r="BN259" i="2"/>
  <c r="Z250" i="2"/>
  <c r="Z244" i="2"/>
  <c r="BN235" i="2"/>
  <c r="Z231" i="2"/>
  <c r="Z230" i="2"/>
  <c r="BN226" i="2"/>
  <c r="Y204" i="2"/>
  <c r="Z192" i="2"/>
  <c r="BP187" i="2"/>
  <c r="BN186" i="2"/>
  <c r="BP185" i="2"/>
  <c r="Z182" i="2"/>
  <c r="Z173" i="2"/>
  <c r="Z157" i="2"/>
  <c r="Z156" i="2"/>
  <c r="Y158" i="2"/>
  <c r="BN148" i="2"/>
  <c r="Y151" i="2"/>
  <c r="Z134" i="2"/>
  <c r="Y137" i="2"/>
  <c r="Z132" i="2"/>
  <c r="BN132" i="2"/>
  <c r="Y128" i="2"/>
  <c r="BP127" i="2"/>
  <c r="Z122" i="2"/>
  <c r="BN120" i="2"/>
  <c r="Z113" i="2"/>
  <c r="BN106" i="2"/>
  <c r="Z90" i="2"/>
  <c r="F561" i="2"/>
  <c r="BN77" i="2"/>
  <c r="BN72" i="2"/>
  <c r="BN61" i="2"/>
  <c r="Z59" i="2"/>
  <c r="Y55" i="2"/>
  <c r="Z43" i="2"/>
  <c r="X555" i="2"/>
  <c r="Y37" i="2"/>
  <c r="BP35" i="2"/>
  <c r="Z35" i="2"/>
  <c r="Z36" i="2" s="1"/>
  <c r="BN28" i="2"/>
  <c r="Z22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Z79" i="2" s="1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BP77" i="2"/>
  <c r="Z82" i="2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69" i="2" s="1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74" i="2"/>
  <c r="Z475" i="2" s="1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36" i="2" l="1"/>
  <c r="Z544" i="2"/>
  <c r="Z338" i="2"/>
  <c r="Z117" i="2"/>
  <c r="Z24" i="2"/>
  <c r="Z245" i="2"/>
  <c r="Z158" i="2"/>
  <c r="Z411" i="2"/>
  <c r="Z359" i="2"/>
  <c r="Z251" i="2"/>
  <c r="Z322" i="2"/>
  <c r="Z277" i="2"/>
  <c r="Z480" i="2"/>
  <c r="Z464" i="2"/>
  <c r="Z418" i="2"/>
  <c r="Z405" i="2"/>
  <c r="Z386" i="2"/>
  <c r="Z292" i="2"/>
  <c r="Z215" i="2"/>
  <c r="Z174" i="2"/>
  <c r="Z150" i="2"/>
  <c r="Z124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<sst xmlns="http://schemas.openxmlformats.org/spreadsheetml/2006/main" count="4194" uniqueCount="891">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</sst>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890</v>
      </c>
      <c r="I5" s="994"/>
      <c r="J5" s="994"/>
      <c r="K5" s="994"/>
      <c r="L5" s="994"/>
      <c r="M5" s="994"/>
      <c r="N5" s="72"/>
      <c r="P5" s="27" t="s">
        <v>4</v>
      </c>
      <c r="Q5" s="996">
        <v>46241</v>
      </c>
      <c r="R5" s="996"/>
      <c r="T5" s="997" t="s">
        <v>3</v>
      </c>
      <c r="U5" s="998"/>
      <c r="V5" s="999" t="s">
        <v>871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872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Пятница</v>
      </c>
      <c r="R6" s="974"/>
      <c r="T6" s="975" t="s">
        <v>5</v>
      </c>
      <c r="U6" s="976"/>
      <c r="V6" s="977" t="s">
        <v>70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1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58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0.375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71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55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72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73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74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75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61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59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66</v>
      </c>
      <c r="L17" s="933" t="s">
        <v>64</v>
      </c>
      <c r="M17" s="933" t="s">
        <v>2</v>
      </c>
      <c r="N17" s="933" t="s">
        <v>63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56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60</v>
      </c>
      <c r="AB17" s="939" t="s">
        <v>19</v>
      </c>
      <c r="AC17" s="939" t="s">
        <v>65</v>
      </c>
      <c r="AD17" s="941" t="s">
        <v>57</v>
      </c>
      <c r="AE17" s="942"/>
      <c r="AF17" s="943"/>
      <c r="AG17" s="82"/>
      <c r="BD17" s="81" t="s">
        <v>62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76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76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77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86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104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110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86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2" t="s">
        <v>126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127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128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440</v>
      </c>
      <c r="Y53" s="55">
        <f>IFERROR(IF(X53="",0,CEILING((X53/$H53),1)*$H53),"")</f>
        <v>440</v>
      </c>
      <c r="Z53" s="41">
        <f>IFERROR(IF(Y53=0,"",ROUNDUP(Y53/H53,0)*0.00902),"")</f>
        <v>0.99219999999999997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460.90000000000003</v>
      </c>
      <c r="BN53" s="78">
        <f>IFERROR(Y53*I53/H53,"0")</f>
        <v>460.90000000000003</v>
      </c>
      <c r="BO53" s="78">
        <f>IFERROR(1/J53*(X53/H53),"0")</f>
        <v>0.83333333333333337</v>
      </c>
      <c r="BP53" s="78">
        <f>IFERROR(1/J53*(Y53/H53),"0")</f>
        <v>0.83333333333333337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110</v>
      </c>
      <c r="Y55" s="43">
        <f>IFERROR(Y51/H51,"0")+IFERROR(Y52/H52,"0")+IFERROR(Y53/H53,"0")+IFERROR(Y54/H54,"0")</f>
        <v>110</v>
      </c>
      <c r="Z55" s="43">
        <f>IFERROR(IF(Z51="",0,Z51),"0")+IFERROR(IF(Z52="",0,Z52),"0")+IFERROR(IF(Z53="",0,Z53),"0")+IFERROR(IF(Z54="",0,Z54),"0")</f>
        <v>0.99219999999999997</v>
      </c>
      <c r="AA55" s="67"/>
      <c r="AB55" s="67"/>
      <c r="AC55" s="67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440</v>
      </c>
      <c r="Y56" s="43">
        <f>IFERROR(SUM(Y51:Y54),"0")</f>
        <v>440</v>
      </c>
      <c r="Z56" s="42"/>
      <c r="AA56" s="67"/>
      <c r="AB56" s="67"/>
      <c r="AC56" s="67"/>
    </row>
    <row r="57" spans="1:68" ht="16.5" hidden="1" customHeight="1" x14ac:dyDescent="0.25">
      <c r="A57" s="655" t="s">
        <v>143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128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900</v>
      </c>
      <c r="Y66" s="55">
        <f t="shared" si="0"/>
        <v>900</v>
      </c>
      <c r="Z66" s="41">
        <f>IFERROR(IF(Y66=0,"",ROUNDUP(Y66/H66,0)*0.00902),"")</f>
        <v>1.804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938</v>
      </c>
      <c r="BN66" s="78">
        <f t="shared" si="2"/>
        <v>938</v>
      </c>
      <c r="BO66" s="78">
        <f t="shared" si="3"/>
        <v>1.5151515151515151</v>
      </c>
      <c r="BP66" s="78">
        <f t="shared" si="4"/>
        <v>1.5151515151515151</v>
      </c>
    </row>
    <row r="67" spans="1:68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200</v>
      </c>
      <c r="Y67" s="43">
        <f>IFERROR(Y59/H59,"0")+IFERROR(Y60/H60,"0")+IFERROR(Y61/H61,"0")+IFERROR(Y62/H62,"0")+IFERROR(Y63/H63,"0")+IFERROR(Y64/H64,"0")+IFERROR(Y65/H65,"0")+IFERROR(Y66/H66,"0")</f>
        <v>200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1.804</v>
      </c>
      <c r="AA67" s="67"/>
      <c r="AB67" s="67"/>
      <c r="AC67" s="67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900</v>
      </c>
      <c r="Y68" s="43">
        <f>IFERROR(SUM(Y59:Y66),"0")</f>
        <v>900</v>
      </c>
      <c r="Z68" s="42"/>
      <c r="AA68" s="67"/>
      <c r="AB68" s="67"/>
      <c r="AC68" s="67"/>
    </row>
    <row r="69" spans="1:68" ht="14.25" hidden="1" customHeight="1" x14ac:dyDescent="0.25">
      <c r="A69" s="656" t="s">
        <v>164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hidden="1" customHeight="1" x14ac:dyDescent="0.25">
      <c r="A70" s="63" t="s">
        <v>165</v>
      </c>
      <c r="B70" s="63" t="s">
        <v>166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270</v>
      </c>
      <c r="Y73" s="55">
        <f>IFERROR(IF(X73="",0,CEILING((X73/$H73),1)*$H73),"")</f>
        <v>270</v>
      </c>
      <c r="Z73" s="41">
        <f>IFERROR(IF(Y73=0,"",ROUNDUP(Y73/H73,0)*0.00651),"")</f>
        <v>0.65100000000000002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288</v>
      </c>
      <c r="BN73" s="78">
        <f>IFERROR(Y73*I73/H73,"0")</f>
        <v>288</v>
      </c>
      <c r="BO73" s="78">
        <f>IFERROR(1/J73*(X73/H73),"0")</f>
        <v>0.5494505494505495</v>
      </c>
      <c r="BP73" s="78">
        <f>IFERROR(1/J73*(Y73/H73),"0")</f>
        <v>0.5494505494505495</v>
      </c>
    </row>
    <row r="74" spans="1:68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100</v>
      </c>
      <c r="Y74" s="43">
        <f>IFERROR(Y70/H70,"0")+IFERROR(Y71/H71,"0")+IFERROR(Y72/H72,"0")+IFERROR(Y73/H73,"0")</f>
        <v>100</v>
      </c>
      <c r="Z74" s="43">
        <f>IFERROR(IF(Z70="",0,Z70),"0")+IFERROR(IF(Z71="",0,Z71),"0")+IFERROR(IF(Z72="",0,Z72),"0")+IFERROR(IF(Z73="",0,Z73),"0")</f>
        <v>0.65100000000000002</v>
      </c>
      <c r="AA74" s="67"/>
      <c r="AB74" s="67"/>
      <c r="AC74" s="67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270</v>
      </c>
      <c r="Y75" s="43">
        <f>IFERROR(SUM(Y70:Y73),"0")</f>
        <v>270</v>
      </c>
      <c r="Z75" s="42"/>
      <c r="AA75" s="67"/>
      <c r="AB75" s="67"/>
      <c r="AC75" s="67"/>
    </row>
    <row r="76" spans="1:68" ht="14.25" hidden="1" customHeight="1" x14ac:dyDescent="0.25">
      <c r="A76" s="656" t="s">
        <v>86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181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120</v>
      </c>
      <c r="Y82" s="55">
        <f>IFERROR(IF(X82="",0,CEILING((X82/$H82),1)*$H82),"")</f>
        <v>124.8</v>
      </c>
      <c r="Z82" s="41">
        <f>IFERROR(IF(Y82=0,"",ROUNDUP(Y82/H82,0)*0.01898),"")</f>
        <v>0.30368000000000001</v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126.30769230769232</v>
      </c>
      <c r="BN82" s="78">
        <f>IFERROR(Y82*I82/H82,"0")</f>
        <v>131.36000000000001</v>
      </c>
      <c r="BO82" s="78">
        <f>IFERROR(1/J82*(X82/H82),"0")</f>
        <v>0.24038461538461539</v>
      </c>
      <c r="BP82" s="78">
        <f>IFERROR(1/J82*(Y82/H82),"0")</f>
        <v>0.25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15.384615384615385</v>
      </c>
      <c r="Y84" s="43">
        <f>IFERROR(Y82/H82,"0")+IFERROR(Y83/H83,"0")</f>
        <v>16</v>
      </c>
      <c r="Z84" s="43">
        <f>IFERROR(IF(Z82="",0,Z82),"0")+IFERROR(IF(Z83="",0,Z83),"0")</f>
        <v>0.30368000000000001</v>
      </c>
      <c r="AA84" s="67"/>
      <c r="AB84" s="67"/>
      <c r="AC84" s="67"/>
    </row>
    <row r="85" spans="1:68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120</v>
      </c>
      <c r="Y85" s="43">
        <f>IFERROR(SUM(Y82:Y83),"0")</f>
        <v>124.8</v>
      </c>
      <c r="Z85" s="42"/>
      <c r="AA85" s="67"/>
      <c r="AB85" s="67"/>
      <c r="AC85" s="67"/>
    </row>
    <row r="86" spans="1:68" ht="16.5" hidden="1" customHeight="1" x14ac:dyDescent="0.25">
      <c r="A86" s="655" t="s">
        <v>188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128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945</v>
      </c>
      <c r="Y91" s="55">
        <f>IFERROR(IF(X91="",0,CEILING((X91/$H91),1)*$H91),"")</f>
        <v>945</v>
      </c>
      <c r="Z91" s="41">
        <f>IFERROR(IF(Y91=0,"",ROUNDUP(Y91/H91,0)*0.00902),"")</f>
        <v>1.8942000000000001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984.90000000000009</v>
      </c>
      <c r="BN91" s="78">
        <f>IFERROR(Y91*I91/H91,"0")</f>
        <v>984.90000000000009</v>
      </c>
      <c r="BO91" s="78">
        <f>IFERROR(1/J91*(X91/H91),"0")</f>
        <v>1.5909090909090911</v>
      </c>
      <c r="BP91" s="78">
        <f>IFERROR(1/J91*(Y91/H91),"0")</f>
        <v>1.5909090909090911</v>
      </c>
    </row>
    <row r="92" spans="1:68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210</v>
      </c>
      <c r="Y92" s="43">
        <f>IFERROR(Y88/H88,"0")+IFERROR(Y89/H89,"0")+IFERROR(Y90/H90,"0")+IFERROR(Y91/H91,"0")</f>
        <v>210</v>
      </c>
      <c r="Z92" s="43">
        <f>IFERROR(IF(Z88="",0,Z88),"0")+IFERROR(IF(Z89="",0,Z89),"0")+IFERROR(IF(Z90="",0,Z90),"0")+IFERROR(IF(Z91="",0,Z91),"0")</f>
        <v>1.8942000000000001</v>
      </c>
      <c r="AA92" s="67"/>
      <c r="AB92" s="67"/>
      <c r="AC92" s="67"/>
    </row>
    <row r="93" spans="1:68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945</v>
      </c>
      <c r="Y93" s="43">
        <f>IFERROR(SUM(Y88:Y91),"0")</f>
        <v>945</v>
      </c>
      <c r="Z93" s="42"/>
      <c r="AA93" s="67"/>
      <c r="AB93" s="67"/>
      <c r="AC93" s="67"/>
    </row>
    <row r="94" spans="1:68" ht="14.25" hidden="1" customHeight="1" x14ac:dyDescent="0.25">
      <c r="A94" s="656" t="s">
        <v>86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400</v>
      </c>
      <c r="Y95" s="55">
        <f>IFERROR(IF(X95="",0,CEILING((X95/$H95),1)*$H95),"")</f>
        <v>405</v>
      </c>
      <c r="Z95" s="41">
        <f>IFERROR(IF(Y95=0,"",ROUNDUP(Y95/H95,0)*0.01898),"")</f>
        <v>0.94900000000000007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424.39506172839509</v>
      </c>
      <c r="BN95" s="78">
        <f>IFERROR(Y95*I95/H95,"0")</f>
        <v>429.7</v>
      </c>
      <c r="BO95" s="78">
        <f>IFERROR(1/J95*(X95/H95),"0")</f>
        <v>0.77160493827160492</v>
      </c>
      <c r="BP95" s="78">
        <f>IFERROR(1/J95*(Y95/H95),"0")</f>
        <v>0.78125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49.382716049382715</v>
      </c>
      <c r="Y99" s="43">
        <f>IFERROR(Y95/H95,"0")+IFERROR(Y96/H96,"0")+IFERROR(Y97/H97,"0")+IFERROR(Y98/H98,"0")</f>
        <v>50</v>
      </c>
      <c r="Z99" s="43">
        <f>IFERROR(IF(Z95="",0,Z95),"0")+IFERROR(IF(Z96="",0,Z96),"0")+IFERROR(IF(Z97="",0,Z97),"0")+IFERROR(IF(Z98="",0,Z98),"0")</f>
        <v>0.94900000000000007</v>
      </c>
      <c r="AA99" s="67"/>
      <c r="AB99" s="67"/>
      <c r="AC99" s="67"/>
    </row>
    <row r="100" spans="1:68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400</v>
      </c>
      <c r="Y100" s="43">
        <f>IFERROR(SUM(Y95:Y98),"0")</f>
        <v>405</v>
      </c>
      <c r="Z100" s="42"/>
      <c r="AA100" s="67"/>
      <c r="AB100" s="67"/>
      <c r="AC100" s="67"/>
    </row>
    <row r="101" spans="1:68" ht="16.5" hidden="1" customHeight="1" x14ac:dyDescent="0.25">
      <c r="A101" s="655" t="s">
        <v>209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128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810</v>
      </c>
      <c r="Y107" s="55">
        <f t="shared" si="5"/>
        <v>810</v>
      </c>
      <c r="Z107" s="41">
        <f>IFERROR(IF(Y107=0,"",ROUNDUP(Y107/H107,0)*0.00902),"")</f>
        <v>1.6236000000000002</v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844.2</v>
      </c>
      <c r="BN107" s="78">
        <f t="shared" si="7"/>
        <v>844.2</v>
      </c>
      <c r="BO107" s="78">
        <f t="shared" si="8"/>
        <v>1.3636363636363638</v>
      </c>
      <c r="BP107" s="78">
        <f t="shared" si="9"/>
        <v>1.3636363636363638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180</v>
      </c>
      <c r="Y109" s="43">
        <f>IFERROR(Y103/H103,"0")+IFERROR(Y104/H104,"0")+IFERROR(Y105/H105,"0")+IFERROR(Y106/H106,"0")+IFERROR(Y107/H107,"0")+IFERROR(Y108/H108,"0")</f>
        <v>180</v>
      </c>
      <c r="Z109" s="43">
        <f>IFERROR(IF(Z103="",0,Z103),"0")+IFERROR(IF(Z104="",0,Z104),"0")+IFERROR(IF(Z105="",0,Z105),"0")+IFERROR(IF(Z106="",0,Z106),"0")+IFERROR(IF(Z107="",0,Z107),"0")+IFERROR(IF(Z108="",0,Z108),"0")</f>
        <v>1.6236000000000002</v>
      </c>
      <c r="AA109" s="67"/>
      <c r="AB109" s="67"/>
      <c r="AC109" s="67"/>
    </row>
    <row r="110" spans="1:68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810</v>
      </c>
      <c r="Y110" s="43">
        <f>IFERROR(SUM(Y103:Y108),"0")</f>
        <v>810</v>
      </c>
      <c r="Z110" s="42"/>
      <c r="AA110" s="67"/>
      <c r="AB110" s="67"/>
      <c r="AC110" s="67"/>
    </row>
    <row r="111" spans="1:68" ht="14.25" hidden="1" customHeight="1" x14ac:dyDescent="0.25">
      <c r="A111" s="656" t="s">
        <v>164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86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hidden="1" customHeight="1" x14ac:dyDescent="0.25">
      <c r="A120" s="63" t="s">
        <v>235</v>
      </c>
      <c r="B120" s="63" t="s">
        <v>236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765</v>
      </c>
      <c r="Y122" s="55">
        <f>IFERROR(IF(X122="",0,CEILING((X122/$H122),1)*$H122),"")</f>
        <v>766.80000000000007</v>
      </c>
      <c r="Z122" s="41">
        <f>IFERROR(IF(Y122=0,"",ROUNDUP(Y122/H122,0)*0.00651),"")</f>
        <v>1.84884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836.39999999999986</v>
      </c>
      <c r="BN122" s="78">
        <f>IFERROR(Y122*I122/H122,"0")</f>
        <v>838.36800000000005</v>
      </c>
      <c r="BO122" s="78">
        <f>IFERROR(1/J122*(X122/H122),"0")</f>
        <v>1.5567765567765568</v>
      </c>
      <c r="BP122" s="78">
        <f>IFERROR(1/J122*(Y122/H122),"0")</f>
        <v>1.5604395604395607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150</v>
      </c>
      <c r="Y123" s="55">
        <f>IFERROR(IF(X123="",0,CEILING((X123/$H123),1)*$H123),"")</f>
        <v>151.20000000000002</v>
      </c>
      <c r="Z123" s="41">
        <f>IFERROR(IF(Y123=0,"",ROUNDUP(Y123/H123,0)*0.00651),"")</f>
        <v>0.54683999999999999</v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165</v>
      </c>
      <c r="BN123" s="78">
        <f>IFERROR(Y123*I123/H123,"0")</f>
        <v>166.32000000000002</v>
      </c>
      <c r="BO123" s="78">
        <f>IFERROR(1/J123*(X123/H123),"0")</f>
        <v>0.45787545787545786</v>
      </c>
      <c r="BP123" s="78">
        <f>IFERROR(1/J123*(Y123/H123),"0")</f>
        <v>0.46153846153846168</v>
      </c>
    </row>
    <row r="124" spans="1:68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366.66666666666663</v>
      </c>
      <c r="Y124" s="43">
        <f>IFERROR(Y120/H120,"0")+IFERROR(Y121/H121,"0")+IFERROR(Y122/H122,"0")+IFERROR(Y123/H123,"0")</f>
        <v>368</v>
      </c>
      <c r="Z124" s="43">
        <f>IFERROR(IF(Z120="",0,Z120),"0")+IFERROR(IF(Z121="",0,Z121),"0")+IFERROR(IF(Z122="",0,Z122),"0")+IFERROR(IF(Z123="",0,Z123),"0")</f>
        <v>2.39568</v>
      </c>
      <c r="AA124" s="67"/>
      <c r="AB124" s="67"/>
      <c r="AC124" s="67"/>
    </row>
    <row r="125" spans="1:68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915</v>
      </c>
      <c r="Y125" s="43">
        <f>IFERROR(SUM(Y120:Y123),"0")</f>
        <v>918.00000000000011</v>
      </c>
      <c r="Z125" s="42"/>
      <c r="AA125" s="67"/>
      <c r="AB125" s="67"/>
      <c r="AC125" s="67"/>
    </row>
    <row r="126" spans="1:68" ht="14.25" hidden="1" customHeight="1" x14ac:dyDescent="0.25">
      <c r="A126" s="656" t="s">
        <v>181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33</v>
      </c>
      <c r="Y127" s="55">
        <f>IFERROR(IF(X127="",0,CEILING((X127/$H127),1)*$H127),"")</f>
        <v>33.659999999999997</v>
      </c>
      <c r="Z127" s="41">
        <f>IFERROR(IF(Y127=0,"",ROUNDUP(Y127/H127,0)*0.00651),"")</f>
        <v>0.11067</v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37.299999999999997</v>
      </c>
      <c r="BN127" s="78">
        <f>IFERROR(Y127*I127/H127,"0")</f>
        <v>38.045999999999992</v>
      </c>
      <c r="BO127" s="78">
        <f>IFERROR(1/J127*(X127/H127),"0")</f>
        <v>9.1575091575091583E-2</v>
      </c>
      <c r="BP127" s="78">
        <f>IFERROR(1/J127*(Y127/H127),"0")</f>
        <v>9.3406593406593408E-2</v>
      </c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16.666666666666668</v>
      </c>
      <c r="Y128" s="43">
        <f>IFERROR(Y127/H127,"0")</f>
        <v>17</v>
      </c>
      <c r="Z128" s="43">
        <f>IFERROR(IF(Z127="",0,Z127),"0")</f>
        <v>0.11067</v>
      </c>
      <c r="AA128" s="67"/>
      <c r="AB128" s="67"/>
      <c r="AC128" s="67"/>
    </row>
    <row r="129" spans="1:68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33</v>
      </c>
      <c r="Y129" s="43">
        <f>IFERROR(SUM(Y127:Y127),"0")</f>
        <v>33.659999999999997</v>
      </c>
      <c r="Z129" s="42"/>
      <c r="AA129" s="67"/>
      <c r="AB129" s="67"/>
      <c r="AC129" s="67"/>
    </row>
    <row r="130" spans="1:68" ht="16.5" hidden="1" customHeight="1" x14ac:dyDescent="0.25">
      <c r="A130" s="655" t="s">
        <v>248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128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40</v>
      </c>
      <c r="Y135" s="55">
        <f>IFERROR(IF(X135="",0,CEILING((X135/$H135),1)*$H135),"")</f>
        <v>41.6</v>
      </c>
      <c r="Z135" s="41">
        <f>IFERROR(IF(Y135=0,"",ROUNDUP(Y135/H135,0)*0.00651),"")</f>
        <v>8.4629999999999997E-2</v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42.249999999999993</v>
      </c>
      <c r="BN135" s="78">
        <f>IFERROR(Y135*I135/H135,"0")</f>
        <v>43.94</v>
      </c>
      <c r="BO135" s="78">
        <f>IFERROR(1/J135*(X135/H135),"0")</f>
        <v>6.8681318681318687E-2</v>
      </c>
      <c r="BP135" s="78">
        <f>IFERROR(1/J135*(Y135/H135),"0")</f>
        <v>7.1428571428571438E-2</v>
      </c>
    </row>
    <row r="136" spans="1:68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12.5</v>
      </c>
      <c r="Y136" s="43">
        <f>IFERROR(Y132/H132,"0")+IFERROR(Y133/H133,"0")+IFERROR(Y134/H134,"0")+IFERROR(Y135/H135,"0")</f>
        <v>13</v>
      </c>
      <c r="Z136" s="43">
        <f>IFERROR(IF(Z132="",0,Z132),"0")+IFERROR(IF(Z133="",0,Z133),"0")+IFERROR(IF(Z134="",0,Z134),"0")+IFERROR(IF(Z135="",0,Z135),"0")</f>
        <v>8.4629999999999997E-2</v>
      </c>
      <c r="AA136" s="67"/>
      <c r="AB136" s="67"/>
      <c r="AC136" s="67"/>
    </row>
    <row r="137" spans="1:68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40</v>
      </c>
      <c r="Y137" s="43">
        <f>IFERROR(SUM(Y132:Y135),"0")</f>
        <v>41.6</v>
      </c>
      <c r="Z137" s="42"/>
      <c r="AA137" s="67"/>
      <c r="AB137" s="67"/>
      <c r="AC137" s="67"/>
    </row>
    <row r="138" spans="1:68" ht="14.25" hidden="1" customHeight="1" x14ac:dyDescent="0.25">
      <c r="A138" s="656" t="s">
        <v>77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70</v>
      </c>
      <c r="Y141" s="55">
        <f>IFERROR(IF(X141="",0,CEILING((X141/$H141),1)*$H141),"")</f>
        <v>70</v>
      </c>
      <c r="Z141" s="41">
        <f>IFERROR(IF(Y141=0,"",ROUNDUP(Y141/H141,0)*0.00651),"")</f>
        <v>0.16275000000000001</v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76.7</v>
      </c>
      <c r="BN141" s="78">
        <f>IFERROR(Y141*I141/H141,"0")</f>
        <v>76.7</v>
      </c>
      <c r="BO141" s="78">
        <f>IFERROR(1/J141*(X141/H141),"0")</f>
        <v>0.13736263736263737</v>
      </c>
      <c r="BP141" s="78">
        <f>IFERROR(1/J141*(Y141/H141),"0")</f>
        <v>0.13736263736263737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25</v>
      </c>
      <c r="Y143" s="43">
        <f>IFERROR(Y139/H139,"0")+IFERROR(Y140/H140,"0")+IFERROR(Y141/H141,"0")+IFERROR(Y142/H142,"0")</f>
        <v>25</v>
      </c>
      <c r="Z143" s="43">
        <f>IFERROR(IF(Z139="",0,Z139),"0")+IFERROR(IF(Z140="",0,Z140),"0")+IFERROR(IF(Z141="",0,Z141),"0")+IFERROR(IF(Z142="",0,Z142),"0")</f>
        <v>0.16275000000000001</v>
      </c>
      <c r="AA143" s="67"/>
      <c r="AB143" s="67"/>
      <c r="AC143" s="67"/>
    </row>
    <row r="144" spans="1:68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70</v>
      </c>
      <c r="Y144" s="43">
        <f>IFERROR(SUM(Y139:Y142),"0")</f>
        <v>70</v>
      </c>
      <c r="Z144" s="42"/>
      <c r="AA144" s="67"/>
      <c r="AB144" s="67"/>
      <c r="AC144" s="67"/>
    </row>
    <row r="145" spans="1:68" ht="14.25" hidden="1" customHeight="1" x14ac:dyDescent="0.25">
      <c r="A145" s="656" t="s">
        <v>86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55" t="s">
        <v>276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86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104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126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128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6" t="s">
        <v>164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857" t="s">
        <v>305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8.4</v>
      </c>
      <c r="Y173" s="55">
        <f>IFERROR(IF(X173="",0,CEILING((X173/$H173),1)*$H173),"")</f>
        <v>8.64</v>
      </c>
      <c r="Z173" s="41">
        <f>IFERROR(IF(Y173=0,"",ROUNDUP(Y173/H173,0)*0.00556),"")</f>
        <v>6.6720000000000002E-2</v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9.9166666666666661</v>
      </c>
      <c r="BN173" s="78">
        <f>IFERROR(Y173*I173/H173,"0")</f>
        <v>10.200000000000001</v>
      </c>
      <c r="BO173" s="78">
        <f>IFERROR(1/J173*(X173/H173),"0")</f>
        <v>4.6296296296296301E-2</v>
      </c>
      <c r="BP173" s="78">
        <f>IFERROR(1/J173*(Y173/H173),"0")</f>
        <v>4.7619047619047623E-2</v>
      </c>
    </row>
    <row r="174" spans="1:68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11.666666666666668</v>
      </c>
      <c r="Y174" s="43">
        <f>IFERROR(Y172/H172,"0")+IFERROR(Y173/H173,"0")</f>
        <v>12.000000000000002</v>
      </c>
      <c r="Z174" s="43">
        <f>IFERROR(IF(Z172="",0,Z172),"0")+IFERROR(IF(Z173="",0,Z173),"0")</f>
        <v>6.6720000000000002E-2</v>
      </c>
      <c r="AA174" s="67"/>
      <c r="AB174" s="67"/>
      <c r="AC174" s="67"/>
    </row>
    <row r="175" spans="1:68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8.4</v>
      </c>
      <c r="Y175" s="43">
        <f>IFERROR(SUM(Y172:Y173),"0")</f>
        <v>8.64</v>
      </c>
      <c r="Z175" s="42"/>
      <c r="AA175" s="67"/>
      <c r="AB175" s="67"/>
      <c r="AC175" s="67"/>
    </row>
    <row r="176" spans="1:68" ht="14.25" hidden="1" customHeight="1" x14ac:dyDescent="0.25">
      <c r="A176" s="656" t="s">
        <v>77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300</v>
      </c>
      <c r="Y177" s="55">
        <f t="shared" ref="Y177:Y187" si="10">IFERROR(IF(X177="",0,CEILING((X177/$H177),1)*$H177),"")</f>
        <v>301</v>
      </c>
      <c r="Z177" s="41">
        <f>IFERROR(IF(Y177=0,"",ROUNDUP(Y177/H177,0)*0.00902),"")</f>
        <v>0.77571999999999997</v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316.28571428571428</v>
      </c>
      <c r="BN177" s="78">
        <f t="shared" ref="BN177:BN187" si="12">IFERROR(Y177*I177/H177,"0")</f>
        <v>317.34000000000003</v>
      </c>
      <c r="BO177" s="78">
        <f t="shared" ref="BO177:BO187" si="13">IFERROR(1/J177*(X177/H177),"0")</f>
        <v>0.64935064935064934</v>
      </c>
      <c r="BP177" s="78">
        <f t="shared" ref="BP177:BP187" si="14">IFERROR(1/J177*(Y177/H177),"0")</f>
        <v>0.65151515151515149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450</v>
      </c>
      <c r="Y179" s="55">
        <f t="shared" si="10"/>
        <v>451.5</v>
      </c>
      <c r="Z179" s="41">
        <f>IFERROR(IF(Y179=0,"",ROUNDUP(Y179/H179,0)*0.00902),"")</f>
        <v>1.1635800000000001</v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474.42857142857144</v>
      </c>
      <c r="BN179" s="78">
        <f t="shared" si="12"/>
        <v>476.01000000000005</v>
      </c>
      <c r="BO179" s="78">
        <f t="shared" si="13"/>
        <v>0.97402597402597413</v>
      </c>
      <c r="BP179" s="78">
        <f t="shared" si="14"/>
        <v>0.97727272727272729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420</v>
      </c>
      <c r="Y180" s="55">
        <f t="shared" si="10"/>
        <v>420</v>
      </c>
      <c r="Z180" s="41">
        <f>IFERROR(IF(Y180=0,"",ROUNDUP(Y180/H180,0)*0.00902),"")</f>
        <v>1.0824</v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442.8</v>
      </c>
      <c r="BN180" s="78">
        <f t="shared" si="12"/>
        <v>442.8</v>
      </c>
      <c r="BO180" s="78">
        <f t="shared" si="13"/>
        <v>0.90909090909090917</v>
      </c>
      <c r="BP180" s="78">
        <f t="shared" si="14"/>
        <v>0.90909090909090917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168.00000000000003</v>
      </c>
      <c r="Y182" s="55">
        <f t="shared" si="10"/>
        <v>168</v>
      </c>
      <c r="Z182" s="41">
        <f>IFERROR(IF(Y182=0,"",ROUNDUP(Y182/H182,0)*0.00502),"")</f>
        <v>0.502</v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178.00000000000006</v>
      </c>
      <c r="BN182" s="78">
        <f t="shared" si="12"/>
        <v>178.00000000000003</v>
      </c>
      <c r="BO182" s="78">
        <f t="shared" si="13"/>
        <v>0.42735042735042744</v>
      </c>
      <c r="BP182" s="78">
        <f t="shared" si="14"/>
        <v>0.42735042735042739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168.00000000000003</v>
      </c>
      <c r="Y185" s="55">
        <f t="shared" si="10"/>
        <v>168</v>
      </c>
      <c r="Z185" s="41">
        <f>IFERROR(IF(Y185=0,"",ROUNDUP(Y185/H185,0)*0.00502),"")</f>
        <v>0.502</v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178.00000000000006</v>
      </c>
      <c r="BN185" s="78">
        <f t="shared" si="12"/>
        <v>178.00000000000003</v>
      </c>
      <c r="BO185" s="78">
        <f t="shared" si="13"/>
        <v>0.42735042735042744</v>
      </c>
      <c r="BP185" s="78">
        <f t="shared" si="14"/>
        <v>0.42735042735042739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534.28571428571433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535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4.0256999999999996</v>
      </c>
      <c r="AA188" s="67"/>
      <c r="AB188" s="67"/>
      <c r="AC188" s="67"/>
    </row>
    <row r="189" spans="1:68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1506</v>
      </c>
      <c r="Y189" s="43">
        <f>IFERROR(SUM(Y177:Y187),"0")</f>
        <v>1508.5</v>
      </c>
      <c r="Z189" s="42"/>
      <c r="AA189" s="67"/>
      <c r="AB189" s="67"/>
      <c r="AC189" s="67"/>
    </row>
    <row r="190" spans="1:68" ht="14.25" hidden="1" customHeight="1" x14ac:dyDescent="0.25">
      <c r="A190" s="656" t="s">
        <v>86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33.6</v>
      </c>
      <c r="Y192" s="55">
        <f>IFERROR(IF(X192="",0,CEILING((X192/$H192),1)*$H192),"")</f>
        <v>35.28</v>
      </c>
      <c r="Z192" s="41">
        <f>IFERROR(IF(Y192=0,"",ROUNDUP(Y192/H192,0)*0.00651),"")</f>
        <v>9.1139999999999999E-2</v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36.880000000000003</v>
      </c>
      <c r="BN192" s="78">
        <f>IFERROR(Y192*I192/H192,"0")</f>
        <v>38.723999999999997</v>
      </c>
      <c r="BO192" s="78">
        <f>IFERROR(1/J192*(X192/H192),"0")</f>
        <v>7.3260073260073263E-2</v>
      </c>
      <c r="BP192" s="78">
        <f>IFERROR(1/J192*(Y192/H192),"0")</f>
        <v>7.6923076923076927E-2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13.333333333333334</v>
      </c>
      <c r="Y194" s="43">
        <f>IFERROR(Y191/H191,"0")+IFERROR(Y192/H192,"0")+IFERROR(Y193/H193,"0")</f>
        <v>14</v>
      </c>
      <c r="Z194" s="43">
        <f>IFERROR(IF(Z191="",0,Z191),"0")+IFERROR(IF(Z192="",0,Z192),"0")+IFERROR(IF(Z193="",0,Z193),"0")</f>
        <v>9.1139999999999999E-2</v>
      </c>
      <c r="AA194" s="67"/>
      <c r="AB194" s="67"/>
      <c r="AC194" s="67"/>
    </row>
    <row r="195" spans="1:68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33.6</v>
      </c>
      <c r="Y195" s="43">
        <f>IFERROR(SUM(Y191:Y193),"0")</f>
        <v>35.28</v>
      </c>
      <c r="Z195" s="42"/>
      <c r="AA195" s="67"/>
      <c r="AB195" s="67"/>
      <c r="AC195" s="67"/>
    </row>
    <row r="196" spans="1:68" ht="14.25" hidden="1" customHeight="1" x14ac:dyDescent="0.25">
      <c r="A196" s="656" t="s">
        <v>104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358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359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128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150</v>
      </c>
      <c r="Y213" s="55">
        <f t="shared" si="15"/>
        <v>151.20000000000002</v>
      </c>
      <c r="Z213" s="41">
        <f t="shared" si="16"/>
        <v>0.26572000000000001</v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155.69444444444446</v>
      </c>
      <c r="BN213" s="78">
        <f t="shared" si="18"/>
        <v>156.94</v>
      </c>
      <c r="BO213" s="78">
        <f t="shared" si="19"/>
        <v>0.21701388888888887</v>
      </c>
      <c r="BP213" s="78">
        <f t="shared" si="20"/>
        <v>0.21875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13.888888888888888</v>
      </c>
      <c r="Y215" s="43">
        <f>IFERROR(Y208/H208,"0")+IFERROR(Y209/H209,"0")+IFERROR(Y210/H210,"0")+IFERROR(Y211/H211,"0")+IFERROR(Y212/H212,"0")+IFERROR(Y213/H213,"0")+IFERROR(Y214/H214,"0")</f>
        <v>14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0.26572000000000001</v>
      </c>
      <c r="AA215" s="67"/>
      <c r="AB215" s="67"/>
      <c r="AC215" s="67"/>
    </row>
    <row r="216" spans="1:68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150</v>
      </c>
      <c r="Y216" s="43">
        <f>IFERROR(SUM(Y208:Y214),"0")</f>
        <v>151.20000000000002</v>
      </c>
      <c r="Z216" s="42"/>
      <c r="AA216" s="67"/>
      <c r="AB216" s="67"/>
      <c r="AC216" s="67"/>
    </row>
    <row r="217" spans="1:68" ht="16.5" hidden="1" customHeight="1" x14ac:dyDescent="0.25">
      <c r="A217" s="655" t="s">
        <v>380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164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77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50</v>
      </c>
      <c r="Y224" s="55">
        <f t="shared" si="21"/>
        <v>50.400000000000006</v>
      </c>
      <c r="Z224" s="41">
        <f>IFERROR(IF(Y224=0,"",ROUNDUP(Y224/H224,0)*0.00902),"")</f>
        <v>0.10824</v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52.976190476190474</v>
      </c>
      <c r="BN224" s="78">
        <f t="shared" si="23"/>
        <v>53.400000000000006</v>
      </c>
      <c r="BO224" s="78">
        <f t="shared" si="24"/>
        <v>9.0187590187590191E-2</v>
      </c>
      <c r="BP224" s="78">
        <f t="shared" si="25"/>
        <v>9.0909090909090912E-2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30</v>
      </c>
      <c r="Y225" s="55">
        <f t="shared" si="21"/>
        <v>33.6</v>
      </c>
      <c r="Z225" s="41">
        <f>IFERROR(IF(Y225=0,"",ROUNDUP(Y225/H225,0)*0.00902),"")</f>
        <v>7.2160000000000002E-2</v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31.357142857142854</v>
      </c>
      <c r="BN225" s="78">
        <f t="shared" si="23"/>
        <v>35.119999999999997</v>
      </c>
      <c r="BO225" s="78">
        <f t="shared" si="24"/>
        <v>5.4112554112554112E-2</v>
      </c>
      <c r="BP225" s="78">
        <f t="shared" si="25"/>
        <v>6.0606060606060608E-2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12</v>
      </c>
      <c r="Y226" s="55">
        <f t="shared" si="21"/>
        <v>12</v>
      </c>
      <c r="Z226" s="41">
        <f>IFERROR(IF(Y226=0,"",ROUNDUP(Y226/H226,0)*0.00556),"")</f>
        <v>8.3400000000000002E-2</v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13.95</v>
      </c>
      <c r="BN226" s="78">
        <f t="shared" si="23"/>
        <v>13.95</v>
      </c>
      <c r="BO226" s="78">
        <f t="shared" si="24"/>
        <v>5.9523809523809521E-2</v>
      </c>
      <c r="BP226" s="78">
        <f t="shared" si="25"/>
        <v>5.9523809523809521E-2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105</v>
      </c>
      <c r="Y227" s="55">
        <f t="shared" si="21"/>
        <v>105</v>
      </c>
      <c r="Z227" s="41">
        <f t="shared" ref="Z227:Z232" si="26">IFERROR(IF(Y227=0,"",ROUNDUP(Y227/H227,0)*0.00502),"")</f>
        <v>0.251</v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111.5</v>
      </c>
      <c r="BN227" s="78">
        <f t="shared" si="23"/>
        <v>111.5</v>
      </c>
      <c r="BO227" s="78">
        <f t="shared" si="24"/>
        <v>0.21367521367521369</v>
      </c>
      <c r="BP227" s="78">
        <f t="shared" si="25"/>
        <v>0.21367521367521369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105</v>
      </c>
      <c r="Y229" s="55">
        <f t="shared" si="21"/>
        <v>105</v>
      </c>
      <c r="Z229" s="41">
        <f t="shared" si="26"/>
        <v>0.251</v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111.5</v>
      </c>
      <c r="BN229" s="78">
        <f t="shared" si="23"/>
        <v>111.5</v>
      </c>
      <c r="BO229" s="78">
        <f t="shared" si="24"/>
        <v>0.21367521367521369</v>
      </c>
      <c r="BP229" s="78">
        <f t="shared" si="25"/>
        <v>0.21367521367521369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4</v>
      </c>
      <c r="Y233" s="55">
        <f t="shared" si="21"/>
        <v>4</v>
      </c>
      <c r="Z233" s="41">
        <f>IFERROR(IF(Y233=0,"",ROUNDUP(Y233/H233,0)*0.00417),"")</f>
        <v>2.085E-2</v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5.05</v>
      </c>
      <c r="BN233" s="78">
        <f t="shared" si="23"/>
        <v>5.05</v>
      </c>
      <c r="BO233" s="78">
        <f t="shared" si="24"/>
        <v>1.488095238095238E-2</v>
      </c>
      <c r="BP233" s="78">
        <f t="shared" si="25"/>
        <v>1.488095238095238E-2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210</v>
      </c>
      <c r="Y234" s="55">
        <f t="shared" si="21"/>
        <v>210</v>
      </c>
      <c r="Z234" s="41">
        <f>IFERROR(IF(Y234=0,"",ROUNDUP(Y234/H234,0)*0.00502),"")</f>
        <v>0.502</v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220.00000000000003</v>
      </c>
      <c r="BN234" s="78">
        <f t="shared" si="23"/>
        <v>220.00000000000003</v>
      </c>
      <c r="BO234" s="78">
        <f t="shared" si="24"/>
        <v>0.42735042735042739</v>
      </c>
      <c r="BP234" s="78">
        <f t="shared" si="25"/>
        <v>0.42735042735042739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239.04761904761904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240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1.2886500000000001</v>
      </c>
      <c r="AA237" s="67"/>
      <c r="AB237" s="67"/>
      <c r="AC237" s="67"/>
    </row>
    <row r="238" spans="1:68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516</v>
      </c>
      <c r="Y238" s="43">
        <f>IFERROR(SUM(Y223:Y236),"0")</f>
        <v>520</v>
      </c>
      <c r="Z238" s="42"/>
      <c r="AA238" s="67"/>
      <c r="AB238" s="67"/>
      <c r="AC238" s="67"/>
    </row>
    <row r="239" spans="1:68" ht="14.25" hidden="1" customHeight="1" x14ac:dyDescent="0.25">
      <c r="A239" s="656" t="s">
        <v>86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10.500000000000002</v>
      </c>
      <c r="Y248" s="55">
        <f>IFERROR(IF(X248="",0,CEILING((X248/$H248),1)*$H248),"")</f>
        <v>11.34</v>
      </c>
      <c r="Z248" s="41">
        <f>IFERROR(IF(Y248=0,"",ROUNDUP(Y248/H248,0)*0.0059),"")</f>
        <v>5.3100000000000001E-2</v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12.083333333333334</v>
      </c>
      <c r="BN248" s="78">
        <f>IFERROR(Y248*I248/H248,"0")</f>
        <v>13.049999999999999</v>
      </c>
      <c r="BO248" s="78">
        <f>IFERROR(1/J248*(X248/H248),"0")</f>
        <v>3.8580246913580245E-2</v>
      </c>
      <c r="BP248" s="78">
        <f>IFERROR(1/J248*(Y248/H248),"0")</f>
        <v>4.1666666666666664E-2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21.000000000000004</v>
      </c>
      <c r="Y249" s="55">
        <f>IFERROR(IF(X249="",0,CEILING((X249/$H249),1)*$H249),"")</f>
        <v>21.42</v>
      </c>
      <c r="Z249" s="41">
        <f>IFERROR(IF(Y249=0,"",ROUNDUP(Y249/H249,0)*0.0059),"")</f>
        <v>0.1003</v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24.166666666666668</v>
      </c>
      <c r="BN249" s="78">
        <f>IFERROR(Y249*I249/H249,"0")</f>
        <v>24.650000000000002</v>
      </c>
      <c r="BO249" s="78">
        <f>IFERROR(1/J249*(X249/H249),"0")</f>
        <v>7.716049382716049E-2</v>
      </c>
      <c r="BP249" s="78">
        <f>IFERROR(1/J249*(Y249/H249),"0")</f>
        <v>7.8703703703703692E-2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21.000000000000004</v>
      </c>
      <c r="Y250" s="55">
        <f>IFERROR(IF(X250="",0,CEILING((X250/$H250),1)*$H250),"")</f>
        <v>21.42</v>
      </c>
      <c r="Z250" s="41">
        <f>IFERROR(IF(Y250=0,"",ROUNDUP(Y250/H250,0)*0.0059),"")</f>
        <v>0.1003</v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24.166666666666668</v>
      </c>
      <c r="BN250" s="78">
        <f>IFERROR(Y250*I250/H250,"0")</f>
        <v>24.650000000000002</v>
      </c>
      <c r="BO250" s="78">
        <f>IFERROR(1/J250*(X250/H250),"0")</f>
        <v>7.716049382716049E-2</v>
      </c>
      <c r="BP250" s="78">
        <f>IFERROR(1/J250*(Y250/H250),"0")</f>
        <v>7.8703703703703692E-2</v>
      </c>
    </row>
    <row r="251" spans="1:68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41.666666666666671</v>
      </c>
      <c r="Y251" s="43">
        <f>IFERROR(Y248/H248,"0")+IFERROR(Y249/H249,"0")+IFERROR(Y250/H250,"0")</f>
        <v>43</v>
      </c>
      <c r="Z251" s="43">
        <f>IFERROR(IF(Z248="",0,Z248),"0")+IFERROR(IF(Z249="",0,Z249),"0")+IFERROR(IF(Z250="",0,Z250),"0")</f>
        <v>0.25370000000000004</v>
      </c>
      <c r="AA251" s="67"/>
      <c r="AB251" s="67"/>
      <c r="AC251" s="67"/>
    </row>
    <row r="252" spans="1:68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52.500000000000014</v>
      </c>
      <c r="Y252" s="43">
        <f>IFERROR(SUM(Y248:Y250),"0")</f>
        <v>54.180000000000007</v>
      </c>
      <c r="Z252" s="42"/>
      <c r="AA252" s="67"/>
      <c r="AB252" s="67"/>
      <c r="AC252" s="67"/>
    </row>
    <row r="253" spans="1:68" ht="14.25" hidden="1" customHeight="1" x14ac:dyDescent="0.25">
      <c r="A253" s="656" t="s">
        <v>444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7.0000000000000009</v>
      </c>
      <c r="Y254" s="55">
        <f>IFERROR(IF(X254="",0,CEILING((X254/$H254),1)*$H254),"")</f>
        <v>7.5600000000000005</v>
      </c>
      <c r="Z254" s="41">
        <f>IFERROR(IF(Y254=0,"",ROUNDUP(Y254/H254,0)*0.0059),"")</f>
        <v>3.5400000000000001E-2</v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8.0555555555555554</v>
      </c>
      <c r="BN254" s="78">
        <f>IFERROR(Y254*I254/H254,"0")</f>
        <v>8.6999999999999993</v>
      </c>
      <c r="BO254" s="78">
        <f>IFERROR(1/J254*(X254/H254),"0")</f>
        <v>2.5720164609053499E-2</v>
      </c>
      <c r="BP254" s="78">
        <f>IFERROR(1/J254*(Y254/H254),"0")</f>
        <v>2.7777777777777776E-2</v>
      </c>
    </row>
    <row r="255" spans="1:68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5.5555555555555562</v>
      </c>
      <c r="Y255" s="43">
        <f>IFERROR(Y254/H254,"0")</f>
        <v>6</v>
      </c>
      <c r="Z255" s="43">
        <f>IFERROR(IF(Z254="",0,Z254),"0")</f>
        <v>3.5400000000000001E-2</v>
      </c>
      <c r="AA255" s="67"/>
      <c r="AB255" s="67"/>
      <c r="AC255" s="67"/>
    </row>
    <row r="256" spans="1:68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7.0000000000000009</v>
      </c>
      <c r="Y256" s="43">
        <f>IFERROR(SUM(Y254:Y254),"0")</f>
        <v>7.5600000000000005</v>
      </c>
      <c r="Z256" s="42"/>
      <c r="AA256" s="67"/>
      <c r="AB256" s="67"/>
      <c r="AC256" s="67"/>
    </row>
    <row r="257" spans="1:68" ht="16.5" hidden="1" customHeight="1" x14ac:dyDescent="0.25">
      <c r="A257" s="655" t="s">
        <v>447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128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164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77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600</v>
      </c>
      <c r="Y269" s="55">
        <f t="shared" ref="Y269:Y276" si="27">IFERROR(IF(X269="",0,CEILING((X269/$H269),1)*$H269),"")</f>
        <v>604.80000000000007</v>
      </c>
      <c r="Z269" s="41">
        <f>IFERROR(IF(Y269=0,"",ROUNDUP(Y269/H269,0)*0.00902),"")</f>
        <v>1.01024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621.11111111111109</v>
      </c>
      <c r="BN269" s="78">
        <f t="shared" ref="BN269:BN276" si="29">IFERROR(Y269*I269/H269,"0")</f>
        <v>626.08000000000004</v>
      </c>
      <c r="BO269" s="78">
        <f t="shared" ref="BO269:BO276" si="30">IFERROR(1/J269*(X269/H269),"0")</f>
        <v>0.84175084175084169</v>
      </c>
      <c r="BP269" s="78">
        <f t="shared" ref="BP269:BP276" si="31">IFERROR(1/J269*(Y269/H269),"0")</f>
        <v>0.84848484848484851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150</v>
      </c>
      <c r="Y273" s="55">
        <f t="shared" si="27"/>
        <v>151.20000000000002</v>
      </c>
      <c r="Z273" s="41">
        <f>IFERROR(IF(Y273=0,"",ROUNDUP(Y273/H273,0)*0.00502),"")</f>
        <v>0.42168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160.83333333333334</v>
      </c>
      <c r="BN273" s="78">
        <f t="shared" si="29"/>
        <v>162.12</v>
      </c>
      <c r="BO273" s="78">
        <f t="shared" si="30"/>
        <v>0.35612535612535612</v>
      </c>
      <c r="BP273" s="78">
        <f t="shared" si="31"/>
        <v>0.35897435897435909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300</v>
      </c>
      <c r="Y274" s="55">
        <f t="shared" si="27"/>
        <v>300.60000000000002</v>
      </c>
      <c r="Z274" s="41">
        <f>IFERROR(IF(Y274=0,"",ROUNDUP(Y274/H274,0)*0.00502),"")</f>
        <v>0.83833999999999997</v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316.66666666666669</v>
      </c>
      <c r="BN274" s="78">
        <f t="shared" si="29"/>
        <v>317.3</v>
      </c>
      <c r="BO274" s="78">
        <f t="shared" si="30"/>
        <v>0.71225071225071224</v>
      </c>
      <c r="BP274" s="78">
        <f t="shared" si="31"/>
        <v>0.71367521367521369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60</v>
      </c>
      <c r="Y275" s="55">
        <f t="shared" si="27"/>
        <v>61.2</v>
      </c>
      <c r="Z275" s="41">
        <f>IFERROR(IF(Y275=0,"",ROUNDUP(Y275/H275,0)*0.00502),"")</f>
        <v>0.17068</v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63.333333333333329</v>
      </c>
      <c r="BN275" s="78">
        <f t="shared" si="29"/>
        <v>64.599999999999994</v>
      </c>
      <c r="BO275" s="78">
        <f t="shared" si="30"/>
        <v>0.14245014245014248</v>
      </c>
      <c r="BP275" s="78">
        <f t="shared" si="31"/>
        <v>0.14529914529914531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60</v>
      </c>
      <c r="Y276" s="55">
        <f t="shared" si="27"/>
        <v>61.2</v>
      </c>
      <c r="Z276" s="41">
        <f>IFERROR(IF(Y276=0,"",ROUNDUP(Y276/H276,0)*0.00502),"")</f>
        <v>0.17068</v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63.333333333333329</v>
      </c>
      <c r="BN276" s="78">
        <f t="shared" si="29"/>
        <v>64.599999999999994</v>
      </c>
      <c r="BO276" s="78">
        <f t="shared" si="30"/>
        <v>0.14245014245014248</v>
      </c>
      <c r="BP276" s="78">
        <f t="shared" si="31"/>
        <v>0.14529914529914531</v>
      </c>
    </row>
    <row r="277" spans="1:68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427.77777777777771</v>
      </c>
      <c r="Y277" s="43">
        <f>IFERROR(Y269/H269,"0")+IFERROR(Y270/H270,"0")+IFERROR(Y271/H271,"0")+IFERROR(Y272/H272,"0")+IFERROR(Y273/H273,"0")+IFERROR(Y274/H274,"0")+IFERROR(Y275/H275,"0")+IFERROR(Y276/H276,"0")</f>
        <v>431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2.6116199999999998</v>
      </c>
      <c r="AA277" s="67"/>
      <c r="AB277" s="67"/>
      <c r="AC277" s="67"/>
    </row>
    <row r="278" spans="1:68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1170</v>
      </c>
      <c r="Y278" s="43">
        <f>IFERROR(SUM(Y269:Y276),"0")</f>
        <v>1179.0000000000002</v>
      </c>
      <c r="Z278" s="42"/>
      <c r="AA278" s="67"/>
      <c r="AB278" s="67"/>
      <c r="AC278" s="67"/>
    </row>
    <row r="279" spans="1:68" ht="14.25" hidden="1" customHeight="1" x14ac:dyDescent="0.25">
      <c r="A279" s="656" t="s">
        <v>86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300</v>
      </c>
      <c r="Y280" s="55">
        <f t="shared" ref="Y280:Y291" si="32">IFERROR(IF(X280="",0,CEILING((X280/$H280),1)*$H280),"")</f>
        <v>307.8</v>
      </c>
      <c r="Z280" s="41">
        <f>IFERROR(IF(Y280=0,"",ROUNDUP(Y280/H280,0)*0.01898),"")</f>
        <v>0.72123999999999999</v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318.2962962962963</v>
      </c>
      <c r="BN280" s="78">
        <f t="shared" ref="BN280:BN291" si="34">IFERROR(Y280*I280/H280,"0")</f>
        <v>326.572</v>
      </c>
      <c r="BO280" s="78">
        <f t="shared" ref="BO280:BO291" si="35">IFERROR(1/J280*(X280/H280),"0")</f>
        <v>0.57870370370370372</v>
      </c>
      <c r="BP280" s="78">
        <f t="shared" ref="BP280:BP291" si="36">IFERROR(1/J280*(Y280/H280),"0")</f>
        <v>0.59375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300</v>
      </c>
      <c r="Y281" s="55">
        <f t="shared" si="32"/>
        <v>307.8</v>
      </c>
      <c r="Z281" s="41">
        <f>IFERROR(IF(Y281=0,"",ROUNDUP(Y281/H281,0)*0.01898),"")</f>
        <v>0.72123999999999999</v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317.62962962962968</v>
      </c>
      <c r="BN281" s="78">
        <f t="shared" si="34"/>
        <v>325.88800000000003</v>
      </c>
      <c r="BO281" s="78">
        <f t="shared" si="35"/>
        <v>0.57870370370370372</v>
      </c>
      <c r="BP281" s="78">
        <f t="shared" si="36"/>
        <v>0.59375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400</v>
      </c>
      <c r="Y282" s="55">
        <f t="shared" si="32"/>
        <v>400.2</v>
      </c>
      <c r="Z282" s="41">
        <f>IFERROR(IF(Y282=0,"",ROUNDUP(Y282/H282,0)*0.01898),"")</f>
        <v>0.87307999999999997</v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422.71264367816099</v>
      </c>
      <c r="BN282" s="78">
        <f t="shared" si="34"/>
        <v>422.92400000000009</v>
      </c>
      <c r="BO282" s="78">
        <f t="shared" si="35"/>
        <v>0.71839080459770122</v>
      </c>
      <c r="BP282" s="78">
        <f t="shared" si="36"/>
        <v>0.71875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160</v>
      </c>
      <c r="Y289" s="55">
        <f t="shared" si="32"/>
        <v>160.79999999999998</v>
      </c>
      <c r="Z289" s="41">
        <f>IFERROR(IF(Y289=0,"",ROUNDUP(Y289/H289,0)*0.00651),"")</f>
        <v>0.43617</v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176.80000000000004</v>
      </c>
      <c r="BN289" s="78">
        <f t="shared" si="34"/>
        <v>177.684</v>
      </c>
      <c r="BO289" s="78">
        <f t="shared" si="35"/>
        <v>0.36630036630036633</v>
      </c>
      <c r="BP289" s="78">
        <f t="shared" si="36"/>
        <v>0.36813186813186816</v>
      </c>
    </row>
    <row r="290" spans="1:68" ht="27" hidden="1" customHeight="1" x14ac:dyDescent="0.25">
      <c r="A290" s="63" t="s">
        <v>503</v>
      </c>
      <c r="B290" s="63" t="s">
        <v>504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186.71775223499361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189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2.7517300000000002</v>
      </c>
      <c r="AA292" s="67"/>
      <c r="AB292" s="67"/>
      <c r="AC292" s="67"/>
    </row>
    <row r="293" spans="1:68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1160</v>
      </c>
      <c r="Y293" s="43">
        <f>IFERROR(SUM(Y280:Y291),"0")</f>
        <v>1176.5999999999999</v>
      </c>
      <c r="Z293" s="42"/>
      <c r="AA293" s="67"/>
      <c r="AB293" s="67"/>
      <c r="AC293" s="67"/>
    </row>
    <row r="294" spans="1:68" ht="14.25" hidden="1" customHeight="1" x14ac:dyDescent="0.25">
      <c r="A294" s="656" t="s">
        <v>181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32</v>
      </c>
      <c r="Y295" s="55">
        <f>IFERROR(IF(X295="",0,CEILING((X295/$H295),1)*$H295),"")</f>
        <v>33.6</v>
      </c>
      <c r="Z295" s="41">
        <f>IFERROR(IF(Y295=0,"",ROUNDUP(Y295/H295,0)*0.00651),"")</f>
        <v>9.1139999999999999E-2</v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35.360000000000007</v>
      </c>
      <c r="BN295" s="78">
        <f>IFERROR(Y295*I295/H295,"0")</f>
        <v>37.128000000000007</v>
      </c>
      <c r="BO295" s="78">
        <f>IFERROR(1/J295*(X295/H295),"0")</f>
        <v>7.3260073260073263E-2</v>
      </c>
      <c r="BP295" s="78">
        <f>IFERROR(1/J295*(Y295/H295),"0")</f>
        <v>7.6923076923076941E-2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13.333333333333334</v>
      </c>
      <c r="Y297" s="43">
        <f>IFERROR(Y295/H295,"0")+IFERROR(Y296/H296,"0")</f>
        <v>14.000000000000002</v>
      </c>
      <c r="Z297" s="43">
        <f>IFERROR(IF(Z295="",0,Z295),"0")+IFERROR(IF(Z296="",0,Z296),"0")</f>
        <v>9.1139999999999999E-2</v>
      </c>
      <c r="AA297" s="67"/>
      <c r="AB297" s="67"/>
      <c r="AC297" s="67"/>
    </row>
    <row r="298" spans="1:68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32</v>
      </c>
      <c r="Y298" s="43">
        <f>IFERROR(SUM(Y295:Y296),"0")</f>
        <v>33.6</v>
      </c>
      <c r="Z298" s="42"/>
      <c r="AA298" s="67"/>
      <c r="AB298" s="67"/>
      <c r="AC298" s="67"/>
    </row>
    <row r="299" spans="1:68" ht="16.5" hidden="1" customHeight="1" x14ac:dyDescent="0.25">
      <c r="A299" s="655" t="s">
        <v>515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128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160</v>
      </c>
      <c r="Y303" s="55">
        <f t="shared" si="37"/>
        <v>162.4</v>
      </c>
      <c r="Z303" s="41">
        <f>IFERROR(IF(Y303=0,"",ROUNDUP(Y303/H303,0)*0.01898),"")</f>
        <v>0.26572000000000001</v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165.65517241379311</v>
      </c>
      <c r="BN303" s="78">
        <f t="shared" si="39"/>
        <v>168.14000000000001</v>
      </c>
      <c r="BO303" s="78">
        <f t="shared" si="40"/>
        <v>0.21551724137931036</v>
      </c>
      <c r="BP303" s="78">
        <f t="shared" si="41"/>
        <v>0.21875000000000003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13.793103448275863</v>
      </c>
      <c r="Y308" s="43">
        <f>IFERROR(Y301/H301,"0")+IFERROR(Y302/H302,"0")+IFERROR(Y303/H303,"0")+IFERROR(Y304/H304,"0")+IFERROR(Y305/H305,"0")+IFERROR(Y306/H306,"0")+IFERROR(Y307/H307,"0")</f>
        <v>14.000000000000002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0.26572000000000001</v>
      </c>
      <c r="AA308" s="67"/>
      <c r="AB308" s="67"/>
      <c r="AC308" s="67"/>
    </row>
    <row r="309" spans="1:68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160</v>
      </c>
      <c r="Y309" s="43">
        <f>IFERROR(SUM(Y301:Y307),"0")</f>
        <v>162.4</v>
      </c>
      <c r="Z309" s="42"/>
      <c r="AA309" s="67"/>
      <c r="AB309" s="67"/>
      <c r="AC309" s="67"/>
    </row>
    <row r="310" spans="1:68" ht="14.25" hidden="1" customHeight="1" x14ac:dyDescent="0.25">
      <c r="A310" s="656" t="s">
        <v>164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19.8</v>
      </c>
      <c r="Y311" s="55">
        <f>IFERROR(IF(X311="",0,CEILING((X311/$H311),1)*$H311),"")</f>
        <v>19.8</v>
      </c>
      <c r="Z311" s="41">
        <f>IFERROR(IF(Y311=0,"",ROUNDUP(Y311/H311,0)*0.00502),"")</f>
        <v>5.0200000000000002E-2</v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20.800000000000004</v>
      </c>
      <c r="BN311" s="78">
        <f>IFERROR(Y311*I311/H311,"0")</f>
        <v>20.800000000000004</v>
      </c>
      <c r="BO311" s="78">
        <f>IFERROR(1/J311*(X311/H311),"0")</f>
        <v>4.2735042735042736E-2</v>
      </c>
      <c r="BP311" s="78">
        <f>IFERROR(1/J311*(Y311/H311),"0")</f>
        <v>4.2735042735042736E-2</v>
      </c>
    </row>
    <row r="312" spans="1:68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10</v>
      </c>
      <c r="Y312" s="43">
        <f>IFERROR(Y311/H311,"0")</f>
        <v>10</v>
      </c>
      <c r="Z312" s="43">
        <f>IFERROR(IF(Z311="",0,Z311),"0")</f>
        <v>5.0200000000000002E-2</v>
      </c>
      <c r="AA312" s="67"/>
      <c r="AB312" s="67"/>
      <c r="AC312" s="67"/>
    </row>
    <row r="313" spans="1:68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19.8</v>
      </c>
      <c r="Y313" s="43">
        <f>IFERROR(SUM(Y311:Y311),"0")</f>
        <v>19.8</v>
      </c>
      <c r="Z313" s="42"/>
      <c r="AA313" s="67"/>
      <c r="AB313" s="67"/>
      <c r="AC313" s="67"/>
    </row>
    <row r="314" spans="1:68" ht="14.25" hidden="1" customHeight="1" x14ac:dyDescent="0.25">
      <c r="A314" s="656" t="s">
        <v>537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18</v>
      </c>
      <c r="Y315" s="55">
        <f>IFERROR(IF(X315="",0,CEILING((X315/$H315),1)*$H315),"")</f>
        <v>18</v>
      </c>
      <c r="Z315" s="41">
        <f>IFERROR(IF(Y315=0,"",ROUNDUP(Y315/H315,0)*0.0059),"")</f>
        <v>5.8999999999999997E-2</v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19.750000000000004</v>
      </c>
      <c r="BN315" s="78">
        <f>IFERROR(Y315*I315/H315,"0")</f>
        <v>19.750000000000004</v>
      </c>
      <c r="BO315" s="78">
        <f>IFERROR(1/J315*(X315/H315),"0")</f>
        <v>4.6296296296296294E-2</v>
      </c>
      <c r="BP315" s="78">
        <f>IFERROR(1/J315*(Y315/H315),"0")</f>
        <v>4.6296296296296294E-2</v>
      </c>
    </row>
    <row r="316" spans="1:68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10</v>
      </c>
      <c r="Y316" s="43">
        <f>IFERROR(Y315/H315,"0")</f>
        <v>10</v>
      </c>
      <c r="Z316" s="43">
        <f>IFERROR(IF(Z315="",0,Z315),"0")</f>
        <v>5.8999999999999997E-2</v>
      </c>
      <c r="AA316" s="67"/>
      <c r="AB316" s="67"/>
      <c r="AC316" s="67"/>
    </row>
    <row r="317" spans="1:68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18</v>
      </c>
      <c r="Y317" s="43">
        <f>IFERROR(SUM(Y315:Y315),"0")</f>
        <v>18</v>
      </c>
      <c r="Z317" s="42"/>
      <c r="AA317" s="67"/>
      <c r="AB317" s="67"/>
      <c r="AC317" s="67"/>
    </row>
    <row r="318" spans="1:68" ht="14.25" hidden="1" customHeight="1" x14ac:dyDescent="0.25">
      <c r="A318" s="656" t="s">
        <v>354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12</v>
      </c>
      <c r="Y320" s="55">
        <f>IFERROR(IF(X320="",0,CEILING((X320/$H320),1)*$H320),"")</f>
        <v>12.6</v>
      </c>
      <c r="Z320" s="41">
        <f>IFERROR(IF(Y320=0,"",ROUNDUP(Y320/H320,0)*0.0059),"")</f>
        <v>4.1299999999999996E-2</v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13.166666666666668</v>
      </c>
      <c r="BN320" s="78">
        <f>IFERROR(Y320*I320/H320,"0")</f>
        <v>13.825000000000001</v>
      </c>
      <c r="BO320" s="78">
        <f>IFERROR(1/J320*(X320/H320),"0")</f>
        <v>3.0864197530864192E-2</v>
      </c>
      <c r="BP320" s="78">
        <f>IFERROR(1/J320*(Y320/H320),"0")</f>
        <v>3.2407407407407406E-2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5</v>
      </c>
      <c r="Y321" s="55">
        <f>IFERROR(IF(X321="",0,CEILING((X321/$H321),1)*$H321),"")</f>
        <v>5.4</v>
      </c>
      <c r="Z321" s="41">
        <f>IFERROR(IF(Y321=0,"",ROUNDUP(Y321/H321,0)*0.0059),"")</f>
        <v>3.5400000000000001E-2</v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6.0555555555555554</v>
      </c>
      <c r="BN321" s="78">
        <f>IFERROR(Y321*I321/H321,"0")</f>
        <v>6.5400000000000009</v>
      </c>
      <c r="BO321" s="78">
        <f>IFERROR(1/J321*(X321/H321),"0")</f>
        <v>2.5720164609053495E-2</v>
      </c>
      <c r="BP321" s="78">
        <f>IFERROR(1/J321*(Y321/H321),"0")</f>
        <v>2.7777777777777776E-2</v>
      </c>
    </row>
    <row r="322" spans="1:68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12.222222222222221</v>
      </c>
      <c r="Y322" s="43">
        <f>IFERROR(Y319/H319,"0")+IFERROR(Y320/H320,"0")+IFERROR(Y321/H321,"0")</f>
        <v>13</v>
      </c>
      <c r="Z322" s="43">
        <f>IFERROR(IF(Z319="",0,Z319),"0")+IFERROR(IF(Z320="",0,Z320),"0")+IFERROR(IF(Z321="",0,Z321),"0")</f>
        <v>7.669999999999999E-2</v>
      </c>
      <c r="AA322" s="67"/>
      <c r="AB322" s="67"/>
      <c r="AC322" s="67"/>
    </row>
    <row r="323" spans="1:68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17</v>
      </c>
      <c r="Y323" s="43">
        <f>IFERROR(SUM(Y319:Y321),"0")</f>
        <v>18</v>
      </c>
      <c r="Z323" s="42"/>
      <c r="AA323" s="67"/>
      <c r="AB323" s="67"/>
      <c r="AC323" s="67"/>
    </row>
    <row r="324" spans="1:68" ht="16.5" hidden="1" customHeight="1" x14ac:dyDescent="0.25">
      <c r="A324" s="655" t="s">
        <v>548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128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55" t="s">
        <v>564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86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40</v>
      </c>
      <c r="Y336" s="55">
        <f>IFERROR(IF(X336="",0,CEILING((X336/$H336),1)*$H336),"")</f>
        <v>40.799999999999997</v>
      </c>
      <c r="Z336" s="41">
        <f>IFERROR(IF(Y336=0,"",ROUNDUP(Y336/H336,0)*0.00651),"")</f>
        <v>0.11067</v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44.20000000000001</v>
      </c>
      <c r="BN336" s="78">
        <f>IFERROR(Y336*I336/H336,"0")</f>
        <v>45.084000000000003</v>
      </c>
      <c r="BO336" s="78">
        <f>IFERROR(1/J336*(X336/H336),"0")</f>
        <v>9.1575091575091583E-2</v>
      </c>
      <c r="BP336" s="78">
        <f>IFERROR(1/J336*(Y336/H336),"0")</f>
        <v>9.3406593406593408E-2</v>
      </c>
    </row>
    <row r="337" spans="1:68" ht="27" hidden="1" customHeight="1" x14ac:dyDescent="0.25">
      <c r="A337" s="63" t="s">
        <v>571</v>
      </c>
      <c r="B337" s="63" t="s">
        <v>572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16.666666666666668</v>
      </c>
      <c r="Y338" s="43">
        <f>IFERROR(Y335/H335,"0")+IFERROR(Y336/H336,"0")+IFERROR(Y337/H337,"0")</f>
        <v>17</v>
      </c>
      <c r="Z338" s="43">
        <f>IFERROR(IF(Z335="",0,Z335),"0")+IFERROR(IF(Z336="",0,Z336),"0")+IFERROR(IF(Z337="",0,Z337),"0")</f>
        <v>0.11067</v>
      </c>
      <c r="AA338" s="67"/>
      <c r="AB338" s="67"/>
      <c r="AC338" s="67"/>
    </row>
    <row r="339" spans="1:68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40</v>
      </c>
      <c r="Y339" s="43">
        <f>IFERROR(SUM(Y335:Y337),"0")</f>
        <v>40.799999999999997</v>
      </c>
      <c r="Z339" s="42"/>
      <c r="AA339" s="67"/>
      <c r="AB339" s="67"/>
      <c r="AC339" s="67"/>
    </row>
    <row r="340" spans="1:68" ht="16.5" hidden="1" customHeight="1" x14ac:dyDescent="0.25">
      <c r="A340" s="655" t="s">
        <v>573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77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86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594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128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100</v>
      </c>
      <c r="Y356" s="55">
        <f>IFERROR(IF(X356="",0,CEILING((X356/$H356),1)*$H356),"")</f>
        <v>101.39999999999999</v>
      </c>
      <c r="Z356" s="41">
        <f>IFERROR(IF(Y356=0,"",ROUNDUP(Y356/H356,0)*0.01898),"")</f>
        <v>0.24674000000000001</v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105.25641025641028</v>
      </c>
      <c r="BN356" s="78">
        <f>IFERROR(Y356*I356/H356,"0")</f>
        <v>106.73</v>
      </c>
      <c r="BO356" s="78">
        <f>IFERROR(1/J356*(X356/H356),"0")</f>
        <v>0.20032051282051283</v>
      </c>
      <c r="BP356" s="78">
        <f>IFERROR(1/J356*(Y356/H356),"0")</f>
        <v>0.203125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200</v>
      </c>
      <c r="Y357" s="55">
        <f>IFERROR(IF(X357="",0,CEILING((X357/$H357),1)*$H357),"")</f>
        <v>202.79999999999998</v>
      </c>
      <c r="Z357" s="41">
        <f>IFERROR(IF(Y357=0,"",ROUNDUP(Y357/H357,0)*0.01898),"")</f>
        <v>0.49348000000000003</v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210.51282051282055</v>
      </c>
      <c r="BN357" s="78">
        <f>IFERROR(Y357*I357/H357,"0")</f>
        <v>213.46</v>
      </c>
      <c r="BO357" s="78">
        <f>IFERROR(1/J357*(X357/H357),"0")</f>
        <v>0.40064102564102566</v>
      </c>
      <c r="BP357" s="78">
        <f>IFERROR(1/J357*(Y357/H357),"0")</f>
        <v>0.40625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38.461538461538467</v>
      </c>
      <c r="Y359" s="43">
        <f>IFERROR(Y356/H356,"0")+IFERROR(Y357/H357,"0")+IFERROR(Y358/H358,"0")</f>
        <v>39</v>
      </c>
      <c r="Z359" s="43">
        <f>IFERROR(IF(Z356="",0,Z356),"0")+IFERROR(IF(Z357="",0,Z357),"0")+IFERROR(IF(Z358="",0,Z358),"0")</f>
        <v>0.7402200000000001</v>
      </c>
      <c r="AA359" s="67"/>
      <c r="AB359" s="67"/>
      <c r="AC359" s="67"/>
    </row>
    <row r="360" spans="1:68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300</v>
      </c>
      <c r="Y360" s="43">
        <f>IFERROR(SUM(Y356:Y358),"0")</f>
        <v>304.2</v>
      </c>
      <c r="Z360" s="42"/>
      <c r="AA360" s="67"/>
      <c r="AB360" s="67"/>
      <c r="AC360" s="67"/>
    </row>
    <row r="361" spans="1:68" ht="16.5" hidden="1" customHeight="1" x14ac:dyDescent="0.25">
      <c r="A361" s="655" t="s">
        <v>603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128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56" t="s">
        <v>77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hidden="1" customHeight="1" x14ac:dyDescent="0.25">
      <c r="A372" s="63" t="s">
        <v>621</v>
      </c>
      <c r="B372" s="63" t="s">
        <v>622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56" t="s">
        <v>86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hidden="1" customHeight="1" x14ac:dyDescent="0.25">
      <c r="A382" s="63" t="s">
        <v>640</v>
      </c>
      <c r="B382" s="63" t="s">
        <v>641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56" t="s">
        <v>181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300</v>
      </c>
      <c r="Y389" s="55">
        <f>IFERROR(IF(X389="",0,CEILING((X389/$H389),1)*$H389),"")</f>
        <v>302.40000000000003</v>
      </c>
      <c r="Z389" s="41">
        <f>IFERROR(IF(Y389=0,"",ROUNDUP(Y389/H389,0)*0.01898),"")</f>
        <v>0.68328</v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317.64285714285711</v>
      </c>
      <c r="BN389" s="78">
        <f>IFERROR(Y389*I389/H389,"0")</f>
        <v>320.18400000000003</v>
      </c>
      <c r="BO389" s="78">
        <f>IFERROR(1/J389*(X389/H389),"0")</f>
        <v>0.5580357142857143</v>
      </c>
      <c r="BP389" s="78">
        <f>IFERROR(1/J389*(Y389/H389),"0")</f>
        <v>0.5625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600</v>
      </c>
      <c r="Y390" s="55">
        <f>IFERROR(IF(X390="",0,CEILING((X390/$H390),1)*$H390),"")</f>
        <v>600.6</v>
      </c>
      <c r="Z390" s="41">
        <f>IFERROR(IF(Y390=0,"",ROUNDUP(Y390/H390,0)*0.01898),"")</f>
        <v>1.46146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638.00000000000011</v>
      </c>
      <c r="BN390" s="78">
        <f>IFERROR(Y390*I390/H390,"0")</f>
        <v>638.63800000000003</v>
      </c>
      <c r="BO390" s="78">
        <f>IFERROR(1/J390*(X390/H390),"0")</f>
        <v>1.2019230769230769</v>
      </c>
      <c r="BP390" s="78">
        <f>IFERROR(1/J390*(Y390/H390),"0")</f>
        <v>1.203125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30</v>
      </c>
      <c r="Y391" s="55">
        <f>IFERROR(IF(X391="",0,CEILING((X391/$H391),1)*$H391),"")</f>
        <v>33.6</v>
      </c>
      <c r="Z391" s="41">
        <f>IFERROR(IF(Y391=0,"",ROUNDUP(Y391/H391,0)*0.01898),"")</f>
        <v>7.5920000000000001E-2</v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31.764285714285712</v>
      </c>
      <c r="BN391" s="78">
        <f>IFERROR(Y391*I391/H391,"0")</f>
        <v>35.576000000000001</v>
      </c>
      <c r="BO391" s="78">
        <f>IFERROR(1/J391*(X391/H391),"0")</f>
        <v>5.5803571428571425E-2</v>
      </c>
      <c r="BP391" s="78">
        <f>IFERROR(1/J391*(Y391/H391),"0")</f>
        <v>6.25E-2</v>
      </c>
    </row>
    <row r="392" spans="1:68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116.2087912087912</v>
      </c>
      <c r="Y392" s="43">
        <f>IFERROR(Y389/H389,"0")+IFERROR(Y390/H390,"0")+IFERROR(Y391/H391,"0")</f>
        <v>117</v>
      </c>
      <c r="Z392" s="43">
        <f>IFERROR(IF(Z389="",0,Z389),"0")+IFERROR(IF(Z390="",0,Z390),"0")+IFERROR(IF(Z391="",0,Z391),"0")</f>
        <v>2.2206600000000001</v>
      </c>
      <c r="AA392" s="67"/>
      <c r="AB392" s="67"/>
      <c r="AC392" s="67"/>
    </row>
    <row r="393" spans="1:68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930</v>
      </c>
      <c r="Y393" s="43">
        <f>IFERROR(SUM(Y389:Y391),"0")</f>
        <v>936.6</v>
      </c>
      <c r="Z393" s="42"/>
      <c r="AA393" s="67"/>
      <c r="AB393" s="67"/>
      <c r="AC393" s="67"/>
    </row>
    <row r="394" spans="1:68" ht="14.25" hidden="1" customHeight="1" x14ac:dyDescent="0.25">
      <c r="A394" s="656" t="s">
        <v>104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667</v>
      </c>
      <c r="B398" s="63" t="s">
        <v>668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6" t="s">
        <v>669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56" t="s">
        <v>678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customHeight="1" x14ac:dyDescent="0.25">
      <c r="A408" s="63" t="s">
        <v>679</v>
      </c>
      <c r="B408" s="63" t="s">
        <v>680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50</v>
      </c>
      <c r="Y408" s="55">
        <f>IFERROR(IF(X408="",0,CEILING((X408/$H408),1)*$H408),"")</f>
        <v>51</v>
      </c>
      <c r="Z408" s="41">
        <f>IFERROR(IF(Y408=0,"",ROUNDUP(Y408/H408,0)*0.0045),"")</f>
        <v>7.6499999999999999E-2</v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53.666666666666664</v>
      </c>
      <c r="BN408" s="78">
        <f>IFERROR(Y408*I408/H408,"0")</f>
        <v>54.74</v>
      </c>
      <c r="BO408" s="78">
        <f>IFERROR(1/J408*(X408/H408),"0")</f>
        <v>7.4404761904761904E-2</v>
      </c>
      <c r="BP408" s="78">
        <f>IFERROR(1/J408*(Y408/H408),"0")</f>
        <v>7.5892857142857137E-2</v>
      </c>
    </row>
    <row r="409" spans="1:68" ht="27" customHeight="1" x14ac:dyDescent="0.25">
      <c r="A409" s="63" t="s">
        <v>682</v>
      </c>
      <c r="B409" s="63" t="s">
        <v>683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48.75</v>
      </c>
      <c r="Y409" s="55">
        <f>IFERROR(IF(X409="",0,CEILING((X409/$H409),1)*$H409),"")</f>
        <v>50.699999999999996</v>
      </c>
      <c r="Z409" s="41">
        <f>IFERROR(IF(Y409=0,"",ROUNDUP(Y409/H409,0)*0.006),"")</f>
        <v>7.8E-2</v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52.125</v>
      </c>
      <c r="BN409" s="78">
        <f>IFERROR(Y409*I409/H409,"0")</f>
        <v>54.209999999999994</v>
      </c>
      <c r="BO409" s="78">
        <f>IFERROR(1/J409*(X409/H409),"0")</f>
        <v>8.6805555555555552E-2</v>
      </c>
      <c r="BP409" s="78">
        <f>IFERROR(1/J409*(Y409/H409),"0")</f>
        <v>9.0277777777777776E-2</v>
      </c>
    </row>
    <row r="410" spans="1:68" ht="27" customHeight="1" x14ac:dyDescent="0.25">
      <c r="A410" s="63" t="s">
        <v>685</v>
      </c>
      <c r="B410" s="63" t="s">
        <v>686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45</v>
      </c>
      <c r="Y410" s="55">
        <f>IFERROR(IF(X410="",0,CEILING((X410/$H410),1)*$H410),"")</f>
        <v>45</v>
      </c>
      <c r="Z410" s="41">
        <f>IFERROR(IF(Y410=0,"",ROUNDUP(Y410/H410,0)*0.0045),"")</f>
        <v>6.7499999999999991E-2</v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48.300000000000004</v>
      </c>
      <c r="BN410" s="78">
        <f>IFERROR(Y410*I410/H410,"0")</f>
        <v>48.300000000000004</v>
      </c>
      <c r="BO410" s="78">
        <f>IFERROR(1/J410*(X410/H410),"0")</f>
        <v>6.6964285714285712E-2</v>
      </c>
      <c r="BP410" s="78">
        <f>IFERROR(1/J410*(Y410/H410),"0")</f>
        <v>6.6964285714285712E-2</v>
      </c>
    </row>
    <row r="411" spans="1:68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44.166666666666671</v>
      </c>
      <c r="Y411" s="43">
        <f>IFERROR(Y408/H408,"0")+IFERROR(Y409/H409,"0")+IFERROR(Y410/H410,"0")</f>
        <v>45</v>
      </c>
      <c r="Z411" s="43">
        <f>IFERROR(IF(Z408="",0,Z408),"0")+IFERROR(IF(Z409="",0,Z409),"0")+IFERROR(IF(Z410="",0,Z410),"0")</f>
        <v>0.22199999999999998</v>
      </c>
      <c r="AA411" s="67"/>
      <c r="AB411" s="67"/>
      <c r="AC411" s="67"/>
    </row>
    <row r="412" spans="1:68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143.75</v>
      </c>
      <c r="Y412" s="43">
        <f>IFERROR(SUM(Y408:Y410),"0")</f>
        <v>146.69999999999999</v>
      </c>
      <c r="Z412" s="42"/>
      <c r="AA412" s="67"/>
      <c r="AB412" s="67"/>
      <c r="AC412" s="67"/>
    </row>
    <row r="413" spans="1:68" ht="16.5" hidden="1" customHeight="1" x14ac:dyDescent="0.25">
      <c r="A413" s="655" t="s">
        <v>687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86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hidden="1" customHeight="1" x14ac:dyDescent="0.25">
      <c r="A415" s="63" t="s">
        <v>688</v>
      </c>
      <c r="B415" s="63" t="s">
        <v>689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630</v>
      </c>
      <c r="Y416" s="55">
        <f>IFERROR(IF(X416="",0,CEILING((X416/$H416),1)*$H416),"")</f>
        <v>630</v>
      </c>
      <c r="Z416" s="41">
        <f>IFERROR(IF(Y416=0,"",ROUNDUP(Y416/H416,0)*0.00651),"")</f>
        <v>1.9530000000000001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705.59999999999991</v>
      </c>
      <c r="BN416" s="78">
        <f>IFERROR(Y416*I416/H416,"0")</f>
        <v>705.59999999999991</v>
      </c>
      <c r="BO416" s="78">
        <f>IFERROR(1/J416*(X416/H416),"0")</f>
        <v>1.6483516483516485</v>
      </c>
      <c r="BP416" s="78">
        <f>IFERROR(1/J416*(Y416/H416),"0")</f>
        <v>1.6483516483516485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140</v>
      </c>
      <c r="Y417" s="55">
        <f>IFERROR(IF(X417="",0,CEILING((X417/$H417),1)*$H417),"")</f>
        <v>140.70000000000002</v>
      </c>
      <c r="Z417" s="41">
        <f>IFERROR(IF(Y417=0,"",ROUNDUP(Y417/H417,0)*0.00651),"")</f>
        <v>0.43617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155.99999999999997</v>
      </c>
      <c r="BN417" s="78">
        <f>IFERROR(Y417*I417/H417,"0")</f>
        <v>156.78</v>
      </c>
      <c r="BO417" s="78">
        <f>IFERROR(1/J417*(X417/H417),"0")</f>
        <v>0.36630036630036628</v>
      </c>
      <c r="BP417" s="78">
        <f>IFERROR(1/J417*(Y417/H417),"0")</f>
        <v>0.36813186813186816</v>
      </c>
    </row>
    <row r="418" spans="1:68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366.66666666666663</v>
      </c>
      <c r="Y418" s="43">
        <f>IFERROR(Y415/H415,"0")+IFERROR(Y416/H416,"0")+IFERROR(Y417/H417,"0")</f>
        <v>367</v>
      </c>
      <c r="Z418" s="43">
        <f>IFERROR(IF(Z415="",0,Z415),"0")+IFERROR(IF(Z416="",0,Z416),"0")+IFERROR(IF(Z417="",0,Z417),"0")</f>
        <v>2.38917</v>
      </c>
      <c r="AA418" s="67"/>
      <c r="AB418" s="67"/>
      <c r="AC418" s="67"/>
    </row>
    <row r="419" spans="1:68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770</v>
      </c>
      <c r="Y419" s="43">
        <f>IFERROR(SUM(Y415:Y417),"0")</f>
        <v>770.7</v>
      </c>
      <c r="Z419" s="42"/>
      <c r="AA419" s="67"/>
      <c r="AB419" s="67"/>
      <c r="AC419" s="67"/>
    </row>
    <row r="420" spans="1:68" ht="27.75" hidden="1" customHeight="1" x14ac:dyDescent="0.2">
      <c r="A420" s="662" t="s">
        <v>697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698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128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customHeight="1" x14ac:dyDescent="0.25">
      <c r="A423" s="63" t="s">
        <v>699</v>
      </c>
      <c r="B423" s="63" t="s">
        <v>700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50</v>
      </c>
      <c r="Y423" s="55">
        <f t="shared" ref="Y423:Y430" si="52">IFERROR(IF(X423="",0,CEILING((X423/$H423),1)*$H423),"")</f>
        <v>60</v>
      </c>
      <c r="Z423" s="41">
        <f>IFERROR(IF(Y423=0,"",ROUNDUP(Y423/H423,0)*0.02175),"")</f>
        <v>8.6999999999999994E-2</v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51.56666666666667</v>
      </c>
      <c r="BN423" s="78">
        <f t="shared" ref="BN423:BN430" si="54">IFERROR(Y423*I423/H423,"0")</f>
        <v>61.88</v>
      </c>
      <c r="BO423" s="78">
        <f t="shared" ref="BO423:BO430" si="55">IFERROR(1/J423*(X423/H423),"0")</f>
        <v>6.9444444444444448E-2</v>
      </c>
      <c r="BP423" s="78">
        <f t="shared" ref="BP423:BP430" si="56">IFERROR(1/J423*(Y423/H423),"0")</f>
        <v>8.3333333333333329E-2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1800</v>
      </c>
      <c r="Y425" s="55">
        <f t="shared" si="52"/>
        <v>1800</v>
      </c>
      <c r="Z425" s="41">
        <f>IFERROR(IF(Y425=0,"",ROUNDUP(Y425/H425,0)*0.02175),"")</f>
        <v>2.61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1856.4</v>
      </c>
      <c r="BN425" s="78">
        <f t="shared" si="54"/>
        <v>1856.4</v>
      </c>
      <c r="BO425" s="78">
        <f t="shared" si="55"/>
        <v>2.5</v>
      </c>
      <c r="BP425" s="78">
        <f t="shared" si="56"/>
        <v>2.5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hidden="1" customHeight="1" x14ac:dyDescent="0.25">
      <c r="A427" s="63" t="s">
        <v>711</v>
      </c>
      <c r="B427" s="63" t="s">
        <v>712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720</v>
      </c>
      <c r="B430" s="63" t="s">
        <v>721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50</v>
      </c>
      <c r="Y430" s="55">
        <f t="shared" si="52"/>
        <v>50</v>
      </c>
      <c r="Z430" s="41">
        <f>IFERROR(IF(Y430=0,"",ROUNDUP(Y430/H430,0)*0.00902),"")</f>
        <v>9.0200000000000002E-2</v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51.9</v>
      </c>
      <c r="BN430" s="78">
        <f t="shared" si="54"/>
        <v>51.9</v>
      </c>
      <c r="BO430" s="78">
        <f t="shared" si="55"/>
        <v>7.575757575757576E-2</v>
      </c>
      <c r="BP430" s="78">
        <f t="shared" si="56"/>
        <v>7.575757575757576E-2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133.33333333333331</v>
      </c>
      <c r="Y431" s="43">
        <f>IFERROR(Y423/H423,"0")+IFERROR(Y424/H424,"0")+IFERROR(Y425/H425,"0")+IFERROR(Y426/H426,"0")+IFERROR(Y427/H427,"0")+IFERROR(Y428/H428,"0")+IFERROR(Y429/H429,"0")+IFERROR(Y430/H430,"0")</f>
        <v>134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2.7871999999999999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1900</v>
      </c>
      <c r="Y432" s="43">
        <f>IFERROR(SUM(Y423:Y430),"0")</f>
        <v>1910</v>
      </c>
      <c r="Z432" s="42"/>
      <c r="AA432" s="67"/>
      <c r="AB432" s="67"/>
      <c r="AC432" s="67"/>
    </row>
    <row r="433" spans="1:68" ht="14.25" hidden="1" customHeight="1" x14ac:dyDescent="0.25">
      <c r="A433" s="656" t="s">
        <v>164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hidden="1" customHeight="1" x14ac:dyDescent="0.25">
      <c r="A434" s="63" t="s">
        <v>723</v>
      </c>
      <c r="B434" s="63" t="s">
        <v>724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656" t="s">
        <v>86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56" t="s">
        <v>181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655" t="s">
        <v>747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128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656" t="s">
        <v>77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86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662" t="s">
        <v>763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764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77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56" t="s">
        <v>86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787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77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hidden="1" customHeight="1" x14ac:dyDescent="0.25">
      <c r="A488" s="63" t="s">
        <v>791</v>
      </c>
      <c r="B488" s="63" t="s">
        <v>792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662" t="s">
        <v>799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799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128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40</v>
      </c>
      <c r="Y496" s="55">
        <f t="shared" ref="Y496:Y504" si="62">IFERROR(IF(X496="",0,CEILING((X496/$H496),1)*$H496),"")</f>
        <v>42.24</v>
      </c>
      <c r="Z496" s="41">
        <f t="shared" ref="Z496:Z501" si="63">IFERROR(IF(Y496=0,"",ROUNDUP(Y496/H496,0)*0.01196),"")</f>
        <v>9.5680000000000001E-2</v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42.651515151515149</v>
      </c>
      <c r="BN496" s="78">
        <f t="shared" ref="BN496:BN504" si="65">IFERROR(Y496*I496/H496,"0")</f>
        <v>45.04</v>
      </c>
      <c r="BO496" s="78">
        <f t="shared" ref="BO496:BO504" si="66">IFERROR(1/J496*(X496/H496),"0")</f>
        <v>7.2843822843822847E-2</v>
      </c>
      <c r="BP496" s="78">
        <f t="shared" ref="BP496:BP504" si="67">IFERROR(1/J496*(Y496/H496),"0")</f>
        <v>7.6923076923076927E-2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808</v>
      </c>
      <c r="B499" s="63" t="s">
        <v>809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814</v>
      </c>
      <c r="B501" s="63" t="s">
        <v>815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819</v>
      </c>
      <c r="B503" s="63" t="s">
        <v>820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54</v>
      </c>
      <c r="Y503" s="55">
        <f t="shared" si="62"/>
        <v>57.599999999999994</v>
      </c>
      <c r="Z503" s="41">
        <f>IFERROR(IF(Y503=0,"",ROUNDUP(Y503/H503,0)*0.00902),"")</f>
        <v>0.10824</v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77.737499999999997</v>
      </c>
      <c r="BN503" s="78">
        <f t="shared" si="65"/>
        <v>82.92</v>
      </c>
      <c r="BO503" s="78">
        <f t="shared" si="66"/>
        <v>8.5227272727272735E-2</v>
      </c>
      <c r="BP503" s="78">
        <f t="shared" si="67"/>
        <v>9.0909090909090912E-2</v>
      </c>
    </row>
    <row r="504" spans="1:68" ht="27" customHeight="1" x14ac:dyDescent="0.25">
      <c r="A504" s="63" t="s">
        <v>821</v>
      </c>
      <c r="B504" s="63" t="s">
        <v>822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420</v>
      </c>
      <c r="Y504" s="55">
        <f t="shared" si="62"/>
        <v>422.4</v>
      </c>
      <c r="Z504" s="41">
        <f>IFERROR(IF(Y504=0,"",ROUNDUP(Y504/H504,0)*0.00902),"")</f>
        <v>0.79376000000000002</v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604.62500000000011</v>
      </c>
      <c r="BN504" s="78">
        <f t="shared" si="65"/>
        <v>608.08000000000004</v>
      </c>
      <c r="BO504" s="78">
        <f t="shared" si="66"/>
        <v>0.66287878787878785</v>
      </c>
      <c r="BP504" s="78">
        <f t="shared" si="67"/>
        <v>0.66666666666666674</v>
      </c>
    </row>
    <row r="505" spans="1:68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106.32575757575758</v>
      </c>
      <c r="Y505" s="43">
        <f>IFERROR(Y496/H496,"0")+IFERROR(Y497/H497,"0")+IFERROR(Y498/H498,"0")+IFERROR(Y499/H499,"0")+IFERROR(Y500/H500,"0")+IFERROR(Y501/H501,"0")+IFERROR(Y502/H502,"0")+IFERROR(Y503/H503,"0")+IFERROR(Y504/H504,"0")</f>
        <v>108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0.99768000000000001</v>
      </c>
      <c r="AA505" s="67"/>
      <c r="AB505" s="67"/>
      <c r="AC505" s="67"/>
    </row>
    <row r="506" spans="1:68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514</v>
      </c>
      <c r="Y506" s="43">
        <f>IFERROR(SUM(Y496:Y504),"0")</f>
        <v>522.24</v>
      </c>
      <c r="Z506" s="42"/>
      <c r="AA506" s="67"/>
      <c r="AB506" s="67"/>
      <c r="AC506" s="67"/>
    </row>
    <row r="507" spans="1:68" ht="14.25" hidden="1" customHeight="1" x14ac:dyDescent="0.25">
      <c r="A507" s="656" t="s">
        <v>164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300</v>
      </c>
      <c r="Y508" s="55">
        <f>IFERROR(IF(X508="",0,CEILING((X508/$H508),1)*$H508),"")</f>
        <v>300.96000000000004</v>
      </c>
      <c r="Z508" s="41">
        <f>IFERROR(IF(Y508=0,"",ROUNDUP(Y508/H508,0)*0.01196),"")</f>
        <v>0.68171999999999999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319.88636363636363</v>
      </c>
      <c r="BN508" s="78">
        <f>IFERROR(Y508*I508/H508,"0")</f>
        <v>320.91000000000003</v>
      </c>
      <c r="BO508" s="78">
        <f>IFERROR(1/J508*(X508/H508),"0")</f>
        <v>0.54632867132867136</v>
      </c>
      <c r="BP508" s="78">
        <f>IFERROR(1/J508*(Y508/H508),"0")</f>
        <v>0.54807692307692313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828</v>
      </c>
      <c r="B510" s="63" t="s">
        <v>829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180</v>
      </c>
      <c r="Y510" s="55">
        <f>IFERROR(IF(X510="",0,CEILING((X510/$H510),1)*$H510),"")</f>
        <v>182.4</v>
      </c>
      <c r="Z510" s="41">
        <f>IFERROR(IF(Y510=0,"",ROUNDUP(Y510/H510,0)*0.00902),"")</f>
        <v>0.34276000000000001</v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259.125</v>
      </c>
      <c r="BN510" s="78">
        <f>IFERROR(Y510*I510/H510,"0")</f>
        <v>262.58000000000004</v>
      </c>
      <c r="BO510" s="78">
        <f>IFERROR(1/J510*(X510/H510),"0")</f>
        <v>0.28409090909090912</v>
      </c>
      <c r="BP510" s="78">
        <f>IFERROR(1/J510*(Y510/H510),"0")</f>
        <v>0.2878787878787879</v>
      </c>
    </row>
    <row r="511" spans="1:68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94.318181818181813</v>
      </c>
      <c r="Y511" s="43">
        <f>IFERROR(Y508/H508,"0")+IFERROR(Y509/H509,"0")+IFERROR(Y510/H510,"0")</f>
        <v>95</v>
      </c>
      <c r="Z511" s="43">
        <f>IFERROR(IF(Z508="",0,Z508),"0")+IFERROR(IF(Z509="",0,Z509),"0")+IFERROR(IF(Z510="",0,Z510),"0")</f>
        <v>1.0244800000000001</v>
      </c>
      <c r="AA511" s="67"/>
      <c r="AB511" s="67"/>
      <c r="AC511" s="67"/>
    </row>
    <row r="512" spans="1:68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480</v>
      </c>
      <c r="Y512" s="43">
        <f>IFERROR(SUM(Y508:Y510),"0")</f>
        <v>483.36</v>
      </c>
      <c r="Z512" s="42"/>
      <c r="AA512" s="67"/>
      <c r="AB512" s="67"/>
      <c r="AC512" s="67"/>
    </row>
    <row r="513" spans="1:68" ht="14.25" hidden="1" customHeight="1" x14ac:dyDescent="0.25">
      <c r="A513" s="656" t="s">
        <v>77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hidden="1" customHeight="1" x14ac:dyDescent="0.25">
      <c r="A514" s="63" t="s">
        <v>830</v>
      </c>
      <c r="B514" s="63" t="s">
        <v>831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833</v>
      </c>
      <c r="B515" s="63" t="s">
        <v>834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80</v>
      </c>
      <c r="Y516" s="55">
        <f t="shared" si="68"/>
        <v>84.48</v>
      </c>
      <c r="Z516" s="41">
        <f>IFERROR(IF(Y516=0,"",ROUNDUP(Y516/H516,0)*0.01196),"")</f>
        <v>0.19136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85.303030303030297</v>
      </c>
      <c r="BN516" s="78">
        <f t="shared" si="70"/>
        <v>90.08</v>
      </c>
      <c r="BO516" s="78">
        <f t="shared" si="71"/>
        <v>0.14568764568764569</v>
      </c>
      <c r="BP516" s="78">
        <f t="shared" si="72"/>
        <v>0.15384615384615385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customHeight="1" x14ac:dyDescent="0.25">
      <c r="A519" s="63" t="s">
        <v>841</v>
      </c>
      <c r="B519" s="63" t="s">
        <v>843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12</v>
      </c>
      <c r="Y519" s="55">
        <f t="shared" si="68"/>
        <v>14.399999999999999</v>
      </c>
      <c r="Z519" s="41">
        <f>IFERROR(IF(Y519=0,"",ROUNDUP(Y519/H519,0)*0.00902),"")</f>
        <v>2.7060000000000001E-2</v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16.675000000000001</v>
      </c>
      <c r="BN519" s="78">
        <f t="shared" si="70"/>
        <v>20.009999999999998</v>
      </c>
      <c r="BO519" s="78">
        <f t="shared" si="71"/>
        <v>1.893939393939394E-2</v>
      </c>
      <c r="BP519" s="78">
        <f t="shared" si="72"/>
        <v>2.2727272727272728E-2</v>
      </c>
    </row>
    <row r="520" spans="1:68" ht="27" customHeight="1" x14ac:dyDescent="0.25">
      <c r="A520" s="63" t="s">
        <v>844</v>
      </c>
      <c r="B520" s="63" t="s">
        <v>845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300</v>
      </c>
      <c r="Y520" s="55">
        <f t="shared" si="68"/>
        <v>302.39999999999998</v>
      </c>
      <c r="Z520" s="41">
        <f>IFERROR(IF(Y520=0,"",ROUNDUP(Y520/H520,0)*0.00902),"")</f>
        <v>0.56825999999999999</v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416.875</v>
      </c>
      <c r="BN520" s="78">
        <f t="shared" si="70"/>
        <v>420.21</v>
      </c>
      <c r="BO520" s="78">
        <f t="shared" si="71"/>
        <v>0.47348484848484851</v>
      </c>
      <c r="BP520" s="78">
        <f t="shared" si="72"/>
        <v>0.47727272727272729</v>
      </c>
    </row>
    <row r="521" spans="1:68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80.151515151515156</v>
      </c>
      <c r="Y521" s="43">
        <f>IFERROR(Y514/H514,"0")+IFERROR(Y515/H515,"0")+IFERROR(Y516/H516,"0")+IFERROR(Y517/H517,"0")+IFERROR(Y518/H518,"0")+IFERROR(Y519/H519,"0")+IFERROR(Y520/H520,"0")</f>
        <v>82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0.78668000000000005</v>
      </c>
      <c r="AA521" s="67"/>
      <c r="AB521" s="67"/>
      <c r="AC521" s="67"/>
    </row>
    <row r="522" spans="1:68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392</v>
      </c>
      <c r="Y522" s="43">
        <f>IFERROR(SUM(Y514:Y520),"0")</f>
        <v>401.28</v>
      </c>
      <c r="Z522" s="42"/>
      <c r="AA522" s="67"/>
      <c r="AB522" s="67"/>
      <c r="AC522" s="67"/>
    </row>
    <row r="523" spans="1:68" ht="27.75" hidden="1" customHeight="1" x14ac:dyDescent="0.2">
      <c r="A523" s="662" t="s">
        <v>846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846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128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170</v>
      </c>
      <c r="Y526" s="55">
        <f>IFERROR(IF(X526="",0,CEILING((X526/$H526),1)*$H526),"")</f>
        <v>180</v>
      </c>
      <c r="Z526" s="41">
        <f>IFERROR(IF(Y526=0,"",ROUNDUP(Y526/H526,0)*0.01898),"")</f>
        <v>0.28470000000000001</v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175.80833333333331</v>
      </c>
      <c r="BN526" s="78">
        <f>IFERROR(Y526*I526/H526,"0")</f>
        <v>186.15</v>
      </c>
      <c r="BO526" s="78">
        <f>IFERROR(1/J526*(X526/H526),"0")</f>
        <v>0.22135416666666666</v>
      </c>
      <c r="BP526" s="78">
        <f>IFERROR(1/J526*(Y526/H526),"0")</f>
        <v>0.234375</v>
      </c>
    </row>
    <row r="527" spans="1:68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14.166666666666666</v>
      </c>
      <c r="Y527" s="43">
        <f>IFERROR(Y526/H526,"0")</f>
        <v>15</v>
      </c>
      <c r="Z527" s="43">
        <f>IFERROR(IF(Z526="",0,Z526),"0")</f>
        <v>0.28470000000000001</v>
      </c>
      <c r="AA527" s="67"/>
      <c r="AB527" s="67"/>
      <c r="AC527" s="67"/>
    </row>
    <row r="528" spans="1:68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170</v>
      </c>
      <c r="Y528" s="43">
        <f>IFERROR(SUM(Y526:Y526),"0")</f>
        <v>180</v>
      </c>
      <c r="Z528" s="42"/>
      <c r="AA528" s="67"/>
      <c r="AB528" s="67"/>
      <c r="AC528" s="67"/>
    </row>
    <row r="529" spans="1:68" ht="14.25" hidden="1" customHeight="1" x14ac:dyDescent="0.25">
      <c r="A529" s="656" t="s">
        <v>164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77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56" t="s">
        <v>86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2070</v>
      </c>
      <c r="Y538" s="55">
        <f>IFERROR(IF(X538="",0,CEILING((X538/$H538),1)*$H538),"")</f>
        <v>2070</v>
      </c>
      <c r="Z538" s="41">
        <f>IFERROR(IF(Y538=0,"",ROUNDUP(Y538/H538,0)*0.01898),"")</f>
        <v>4.3654000000000002</v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2183.62</v>
      </c>
      <c r="BN538" s="78">
        <f>IFERROR(Y538*I538/H538,"0")</f>
        <v>2183.62</v>
      </c>
      <c r="BO538" s="78">
        <f>IFERROR(1/J538*(X538/H538),"0")</f>
        <v>3.59375</v>
      </c>
      <c r="BP538" s="78">
        <f>IFERROR(1/J538*(Y538/H538),"0")</f>
        <v>3.59375</v>
      </c>
    </row>
    <row r="539" spans="1:68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230</v>
      </c>
      <c r="Y539" s="43">
        <f>IFERROR(Y538/H538,"0")</f>
        <v>230</v>
      </c>
      <c r="Z539" s="43">
        <f>IFERROR(IF(Z538="",0,Z538),"0")</f>
        <v>4.3654000000000002</v>
      </c>
      <c r="AA539" s="67"/>
      <c r="AB539" s="67"/>
      <c r="AC539" s="67"/>
    </row>
    <row r="540" spans="1:68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2070</v>
      </c>
      <c r="Y540" s="43">
        <f>IFERROR(SUM(Y538:Y538),"0")</f>
        <v>2070</v>
      </c>
      <c r="Z540" s="42"/>
      <c r="AA540" s="67"/>
      <c r="AB540" s="67"/>
      <c r="AC540" s="67"/>
    </row>
    <row r="541" spans="1:68" ht="14.25" hidden="1" customHeight="1" x14ac:dyDescent="0.25">
      <c r="A541" s="656" t="s">
        <v>181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865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17503.05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17616.700000000004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18857.90889781887</v>
      </c>
      <c r="Y552" s="43">
        <f>IFERROR(SUM(BN22:BN548),"0")</f>
        <v>18983.050999999999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33</v>
      </c>
      <c r="Y553" s="44">
        <f>ROUNDUP(SUM(BP22:BP548),0)</f>
        <v>33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19682.90889781887</v>
      </c>
      <c r="Y554" s="43">
        <f>GrossWeightTotalR+PalletQtyTotalR*25</f>
        <v>19808.050999999999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4059.3550824441627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4083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38.833409999999994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638" t="s">
        <v>126</v>
      </c>
      <c r="E558" s="638" t="s">
        <v>126</v>
      </c>
      <c r="F558" s="638" t="s">
        <v>126</v>
      </c>
      <c r="G558" s="638" t="s">
        <v>126</v>
      </c>
      <c r="H558" s="638" t="s">
        <v>126</v>
      </c>
      <c r="I558" s="638" t="s">
        <v>126</v>
      </c>
      <c r="J558" s="638" t="s">
        <v>126</v>
      </c>
      <c r="K558" s="638" t="s">
        <v>358</v>
      </c>
      <c r="L558" s="638" t="s">
        <v>358</v>
      </c>
      <c r="M558" s="638" t="s">
        <v>358</v>
      </c>
      <c r="N558" s="639"/>
      <c r="O558" s="638" t="s">
        <v>358</v>
      </c>
      <c r="P558" s="638" t="s">
        <v>358</v>
      </c>
      <c r="Q558" s="638" t="s">
        <v>358</v>
      </c>
      <c r="R558" s="638" t="s">
        <v>358</v>
      </c>
      <c r="S558" s="638" t="s">
        <v>358</v>
      </c>
      <c r="T558" s="638" t="s">
        <v>358</v>
      </c>
      <c r="U558" s="638" t="s">
        <v>358</v>
      </c>
      <c r="V558" s="638" t="s">
        <v>697</v>
      </c>
      <c r="W558" s="638" t="s">
        <v>697</v>
      </c>
      <c r="X558" s="638" t="s">
        <v>763</v>
      </c>
      <c r="Y558" s="638" t="s">
        <v>763</v>
      </c>
      <c r="Z558" s="85" t="s">
        <v>799</v>
      </c>
      <c r="AA558" s="638" t="s">
        <v>846</v>
      </c>
      <c r="AB558" s="638" t="s">
        <v>846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76</v>
      </c>
      <c r="C559" s="638" t="s">
        <v>110</v>
      </c>
      <c r="D559" s="638" t="s">
        <v>127</v>
      </c>
      <c r="E559" s="638" t="s">
        <v>143</v>
      </c>
      <c r="F559" s="638" t="s">
        <v>188</v>
      </c>
      <c r="G559" s="638" t="s">
        <v>209</v>
      </c>
      <c r="H559" s="638" t="s">
        <v>248</v>
      </c>
      <c r="I559" s="638" t="s">
        <v>276</v>
      </c>
      <c r="J559" s="638" t="s">
        <v>126</v>
      </c>
      <c r="K559" s="638" t="s">
        <v>359</v>
      </c>
      <c r="L559" s="638" t="s">
        <v>380</v>
      </c>
      <c r="M559" s="638" t="s">
        <v>447</v>
      </c>
      <c r="N559" s="1"/>
      <c r="O559" s="638" t="s">
        <v>515</v>
      </c>
      <c r="P559" s="638" t="s">
        <v>548</v>
      </c>
      <c r="Q559" s="638" t="s">
        <v>564</v>
      </c>
      <c r="R559" s="638" t="s">
        <v>573</v>
      </c>
      <c r="S559" s="638" t="s">
        <v>594</v>
      </c>
      <c r="T559" s="638" t="s">
        <v>603</v>
      </c>
      <c r="U559" s="638" t="s">
        <v>687</v>
      </c>
      <c r="V559" s="638" t="s">
        <v>698</v>
      </c>
      <c r="W559" s="638" t="s">
        <v>747</v>
      </c>
      <c r="X559" s="638" t="s">
        <v>764</v>
      </c>
      <c r="Y559" s="638" t="s">
        <v>787</v>
      </c>
      <c r="Z559" s="638" t="s">
        <v>799</v>
      </c>
      <c r="AA559" s="638" t="s">
        <v>846</v>
      </c>
      <c r="AB559" s="638" t="s">
        <v>865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440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1294.8</v>
      </c>
      <c r="F561" s="52">
        <f>IFERROR(Y88*1,"0")+IFERROR(Y89*1,"0")+IFERROR(Y90*1,"0")+IFERROR(Y91*1,"0")+IFERROR(Y95*1,"0")+IFERROR(Y96*1,"0")+IFERROR(Y97*1,"0")+IFERROR(Y98*1,"0")</f>
        <v>1350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1761.6600000000003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111.6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1552.4199999999998</v>
      </c>
      <c r="K561" s="52">
        <f>IFERROR(Y208*1,"0")+IFERROR(Y209*1,"0")+IFERROR(Y210*1,"0")+IFERROR(Y211*1,"0")+IFERROR(Y212*1,"0")+IFERROR(Y213*1,"0")+IFERROR(Y214*1,"0")</f>
        <v>151.20000000000002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581.7399999999999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2389.2000000000003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218.20000000000002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40.799999999999997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304.2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1083.3</v>
      </c>
      <c r="U561" s="52">
        <f>IFERROR(Y415*1,"0")+IFERROR(Y416*1,"0")+IFERROR(Y417*1,"0")</f>
        <v>770.7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1910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1406.88</v>
      </c>
      <c r="AA561" s="52">
        <f>IFERROR(Y526*1,"0")+IFERROR(Y530*1,"0")+IFERROR(Y534*1,"0")+IFERROR(Y538*1,"0")+IFERROR(Y542*1,"0")+IFERROR(Y543*1,"0")</f>
        <v>2250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60,00"/>
        <filter val="1 170,00"/>
        <filter val="1 506,00"/>
        <filter val="1 800,00"/>
        <filter val="1 900,00"/>
        <filter val="10,00"/>
        <filter val="10,50"/>
        <filter val="100,00"/>
        <filter val="105,00"/>
        <filter val="106,33"/>
        <filter val="11,67"/>
        <filter val="110,00"/>
        <filter val="116,21"/>
        <filter val="12,00"/>
        <filter val="12,22"/>
        <filter val="12,50"/>
        <filter val="120,00"/>
        <filter val="13,33"/>
        <filter val="13,79"/>
        <filter val="13,89"/>
        <filter val="133,33"/>
        <filter val="14,17"/>
        <filter val="140,00"/>
        <filter val="143,75"/>
        <filter val="15,38"/>
        <filter val="150,00"/>
        <filter val="16,67"/>
        <filter val="160,00"/>
        <filter val="168,00"/>
        <filter val="17 503,05"/>
        <filter val="17,00"/>
        <filter val="170,00"/>
        <filter val="18 857,91"/>
        <filter val="18,00"/>
        <filter val="180,00"/>
        <filter val="186,72"/>
        <filter val="19 682,91"/>
        <filter val="19,80"/>
        <filter val="2 070,00"/>
        <filter val="200,00"/>
        <filter val="21,00"/>
        <filter val="210,00"/>
        <filter val="230,00"/>
        <filter val="239,05"/>
        <filter val="25,00"/>
        <filter val="270,00"/>
        <filter val="30,00"/>
        <filter val="300,00"/>
        <filter val="32,00"/>
        <filter val="33"/>
        <filter val="33,00"/>
        <filter val="33,60"/>
        <filter val="366,67"/>
        <filter val="38,46"/>
        <filter val="392,00"/>
        <filter val="4 059,36"/>
        <filter val="4,00"/>
        <filter val="40,00"/>
        <filter val="400,00"/>
        <filter val="41,67"/>
        <filter val="420,00"/>
        <filter val="427,78"/>
        <filter val="44,17"/>
        <filter val="440,00"/>
        <filter val="45,00"/>
        <filter val="450,00"/>
        <filter val="48,75"/>
        <filter val="480,00"/>
        <filter val="49,38"/>
        <filter val="5,00"/>
        <filter val="5,56"/>
        <filter val="50,00"/>
        <filter val="514,00"/>
        <filter val="516,00"/>
        <filter val="52,50"/>
        <filter val="534,29"/>
        <filter val="54,00"/>
        <filter val="60,00"/>
        <filter val="600,00"/>
        <filter val="630,00"/>
        <filter val="7,00"/>
        <filter val="70,00"/>
        <filter val="765,00"/>
        <filter val="770,00"/>
        <filter val="8,40"/>
        <filter val="80,00"/>
        <filter val="80,15"/>
        <filter val="810,00"/>
        <filter val="900,00"/>
        <filter val="915,00"/>
        <filter val="930,00"/>
        <filter val="94,32"/>
        <filter val="945,00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9" spans="2:8" x14ac:dyDescent="0.2">
      <c r="B9" s="53" t="s">
        <v>878</v>
      </c>
      <c r="C9" s="53" t="s">
        <v>873</v>
      </c>
      <c r="D9" s="53" t="s">
        <v>46</v>
      </c>
      <c r="E9" s="53" t="s">
        <v>46</v>
      </c>
    </row>
    <row r="11" spans="2:8" x14ac:dyDescent="0.2">
      <c r="B11" s="53" t="s">
        <v>878</v>
      </c>
      <c r="C11" s="53" t="s">
        <v>876</v>
      </c>
      <c r="D11" s="53" t="s">
        <v>46</v>
      </c>
      <c r="E11" s="53" t="s">
        <v>46</v>
      </c>
    </row>
    <row r="13" spans="2:8" x14ac:dyDescent="0.2">
      <c r="B13" s="53" t="s">
        <v>879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2026-08-05T13:24:54Z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