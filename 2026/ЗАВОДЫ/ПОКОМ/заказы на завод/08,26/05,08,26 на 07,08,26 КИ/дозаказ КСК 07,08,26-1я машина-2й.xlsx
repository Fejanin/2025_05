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63C178E-EEFC-43AA-83AF-3E0C635F697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Y412" i="2" s="1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N373" i="2"/>
  <c r="BM373" i="2"/>
  <c r="Z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P271" i="2"/>
  <c r="BO271" i="2"/>
  <c r="BM271" i="2"/>
  <c r="Y271" i="2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Z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Y151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Z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Y55" i="2" s="1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Z22" i="2"/>
  <c r="Y22" i="2"/>
  <c r="P22" i="2"/>
  <c r="H10" i="2"/>
  <c r="A9" i="2"/>
  <c r="J9" i="2" s="1"/>
  <c r="D7" i="2"/>
  <c r="Q6" i="2"/>
  <c r="P2" i="2"/>
  <c r="BN28" i="2" l="1"/>
  <c r="BN155" i="2"/>
  <c r="BN231" i="2"/>
  <c r="BN284" i="2"/>
  <c r="BN304" i="2"/>
  <c r="BN30" i="2"/>
  <c r="Z90" i="2"/>
  <c r="BN115" i="2"/>
  <c r="BP202" i="2"/>
  <c r="BN214" i="2"/>
  <c r="Y262" i="2"/>
  <c r="BN288" i="2"/>
  <c r="BN402" i="2"/>
  <c r="Z428" i="2"/>
  <c r="BN446" i="2"/>
  <c r="BN472" i="2"/>
  <c r="BN498" i="2"/>
  <c r="Z182" i="2"/>
  <c r="Z192" i="2"/>
  <c r="BN82" i="2"/>
  <c r="BP127" i="2"/>
  <c r="Z173" i="2"/>
  <c r="BP264" i="2"/>
  <c r="Z280" i="2"/>
  <c r="BN290" i="2"/>
  <c r="Z320" i="2"/>
  <c r="Z328" i="2"/>
  <c r="BN364" i="2"/>
  <c r="BN396" i="2"/>
  <c r="BN416" i="2"/>
  <c r="BN463" i="2"/>
  <c r="BN515" i="2"/>
  <c r="Z35" i="2"/>
  <c r="Z36" i="2" s="1"/>
  <c r="BN61" i="2"/>
  <c r="BN186" i="2"/>
  <c r="BN259" i="2"/>
  <c r="Z264" i="2"/>
  <c r="BN389" i="2"/>
  <c r="BN457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Z174" i="2" s="1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BP90" i="2"/>
  <c r="Y99" i="2"/>
  <c r="Z103" i="2"/>
  <c r="Y109" i="2"/>
  <c r="Z112" i="2"/>
  <c r="BN113" i="2"/>
  <c r="Z124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BP302" i="2"/>
  <c r="BP327" i="2"/>
  <c r="Z327" i="2"/>
  <c r="BP357" i="2"/>
  <c r="Y380" i="2"/>
  <c r="BP377" i="2"/>
  <c r="Z377" i="2"/>
  <c r="BP447" i="2"/>
  <c r="BN447" i="2"/>
  <c r="Z447" i="2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Z448" i="2"/>
  <c r="BP446" i="2"/>
  <c r="Z452" i="2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Z261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84" i="2"/>
  <c r="Z266" i="2"/>
  <c r="Z454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Z245" i="2" s="1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Z411" i="2" s="1"/>
  <c r="BN423" i="2"/>
  <c r="Z478" i="2"/>
  <c r="Z480" i="2" s="1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Z150" i="2" s="1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72" i="2"/>
  <c r="Z282" i="2"/>
  <c r="Y293" i="2"/>
  <c r="Z303" i="2"/>
  <c r="BN315" i="2"/>
  <c r="Z326" i="2"/>
  <c r="Z337" i="2"/>
  <c r="Z338" i="2" s="1"/>
  <c r="BN350" i="2"/>
  <c r="Z372" i="2"/>
  <c r="Z382" i="2"/>
  <c r="BN404" i="2"/>
  <c r="Z415" i="2"/>
  <c r="Z418" i="2" s="1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Z136" i="2" s="1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386" i="2" l="1"/>
  <c r="Z251" i="2"/>
  <c r="Z405" i="2"/>
  <c r="Z369" i="2"/>
  <c r="Z322" i="2"/>
  <c r="Z32" i="2"/>
  <c r="Z359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<sst xmlns="http://schemas.openxmlformats.org/spreadsheetml/2006/main" count="4194" uniqueCount="891">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</sst>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6" sqref="AA42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66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67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890</v>
      </c>
      <c r="I5" s="643"/>
      <c r="J5" s="643"/>
      <c r="K5" s="643"/>
      <c r="L5" s="643"/>
      <c r="M5" s="643"/>
      <c r="N5" s="72"/>
      <c r="P5" s="27" t="s">
        <v>4</v>
      </c>
      <c r="Q5" s="645">
        <v>46241</v>
      </c>
      <c r="R5" s="645"/>
      <c r="T5" s="646" t="s">
        <v>3</v>
      </c>
      <c r="U5" s="647"/>
      <c r="V5" s="648" t="s">
        <v>870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871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Пятница</v>
      </c>
      <c r="R6" s="651"/>
      <c r="T6" s="652" t="s">
        <v>5</v>
      </c>
      <c r="U6" s="653"/>
      <c r="V6" s="654" t="s">
        <v>69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1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57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0.54166666666666663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70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889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71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72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73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60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58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65</v>
      </c>
      <c r="L17" s="684" t="s">
        <v>63</v>
      </c>
      <c r="M17" s="684" t="s">
        <v>2</v>
      </c>
      <c r="N17" s="684" t="s">
        <v>62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55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59</v>
      </c>
      <c r="AB17" s="698" t="s">
        <v>19</v>
      </c>
      <c r="AC17" s="698" t="s">
        <v>64</v>
      </c>
      <c r="AD17" s="700" t="s">
        <v>56</v>
      </c>
      <c r="AE17" s="701"/>
      <c r="AF17" s="702"/>
      <c r="AG17" s="82"/>
      <c r="BD17" s="81" t="s">
        <v>61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75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75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76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85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103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109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85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125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126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127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07" t="s">
        <v>142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127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08" t="s">
        <v>163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08" t="s">
        <v>85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180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187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127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708" t="s">
        <v>85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07" t="s">
        <v>208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127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8" t="s">
        <v>163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85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08" t="s">
        <v>180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247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127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76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85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275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85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103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125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127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8" t="s">
        <v>163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794" t="s">
        <v>304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76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8" t="s">
        <v>85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103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353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357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358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127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379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163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76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8" t="s">
        <v>85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103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443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446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127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163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76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08" t="s">
        <v>85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08" t="s">
        <v>180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514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127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163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536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353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547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127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7" t="s">
        <v>563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85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7" t="s">
        <v>572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76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85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593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127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7" t="s">
        <v>602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127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609</v>
      </c>
      <c r="B365" s="63" t="s">
        <v>610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131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132</v>
      </c>
      <c r="L366" s="37" t="s">
        <v>46</v>
      </c>
      <c r="M366" s="38" t="s">
        <v>89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66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139</v>
      </c>
      <c r="L368" s="37" t="s">
        <v>46</v>
      </c>
      <c r="M368" s="38" t="s">
        <v>131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66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08" t="s">
        <v>76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139</v>
      </c>
      <c r="L374" s="37" t="s">
        <v>46</v>
      </c>
      <c r="M374" s="38" t="s">
        <v>80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66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625</v>
      </c>
      <c r="AG375" s="78"/>
      <c r="AJ375" s="84" t="s">
        <v>46</v>
      </c>
      <c r="AK375" s="84">
        <v>0</v>
      </c>
      <c r="BB375" s="471" t="s">
        <v>66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633</v>
      </c>
      <c r="AG376" s="78"/>
      <c r="AJ376" s="84" t="s">
        <v>46</v>
      </c>
      <c r="AK376" s="84">
        <v>0</v>
      </c>
      <c r="BB376" s="473" t="s">
        <v>66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634</v>
      </c>
      <c r="B377" s="63" t="s">
        <v>635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139</v>
      </c>
      <c r="L377" s="37" t="s">
        <v>46</v>
      </c>
      <c r="M377" s="38" t="s">
        <v>80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628</v>
      </c>
      <c r="AG377" s="78"/>
      <c r="AJ377" s="84" t="s">
        <v>46</v>
      </c>
      <c r="AK377" s="84">
        <v>0</v>
      </c>
      <c r="BB377" s="475" t="s">
        <v>66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636</v>
      </c>
      <c r="B378" s="63" t="s">
        <v>637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90</v>
      </c>
      <c r="L378" s="37" t="s">
        <v>46</v>
      </c>
      <c r="M378" s="38" t="s">
        <v>80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638</v>
      </c>
      <c r="AG378" s="78"/>
      <c r="AJ378" s="84" t="s">
        <v>46</v>
      </c>
      <c r="AK378" s="84">
        <v>0</v>
      </c>
      <c r="BB378" s="477" t="s">
        <v>66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708" t="s">
        <v>85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hidden="1" customHeight="1" x14ac:dyDescent="0.25">
      <c r="A382" s="63" t="s">
        <v>639</v>
      </c>
      <c r="B382" s="63" t="s">
        <v>640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132</v>
      </c>
      <c r="L384" s="37" t="s">
        <v>46</v>
      </c>
      <c r="M384" s="38" t="s">
        <v>89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647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648</v>
      </c>
      <c r="B385" s="63" t="s">
        <v>649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90</v>
      </c>
      <c r="L385" s="37" t="s">
        <v>46</v>
      </c>
      <c r="M385" s="38" t="s">
        <v>89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641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08" t="s">
        <v>180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650</v>
      </c>
      <c r="B389" s="63" t="s">
        <v>651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653</v>
      </c>
      <c r="B390" s="63" t="s">
        <v>654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132</v>
      </c>
      <c r="L390" s="37" t="s">
        <v>46</v>
      </c>
      <c r="M390" s="38" t="s">
        <v>89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656</v>
      </c>
      <c r="B391" s="63" t="s">
        <v>657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132</v>
      </c>
      <c r="L391" s="37" t="s">
        <v>46</v>
      </c>
      <c r="M391" s="38" t="s">
        <v>96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658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708" t="s">
        <v>103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661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139</v>
      </c>
      <c r="L396" s="37" t="s">
        <v>46</v>
      </c>
      <c r="M396" s="38" t="s">
        <v>108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661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664</v>
      </c>
      <c r="B397" s="63" t="s">
        <v>665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661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666</v>
      </c>
      <c r="B398" s="63" t="s">
        <v>667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90</v>
      </c>
      <c r="L398" s="37" t="s">
        <v>46</v>
      </c>
      <c r="M398" s="38" t="s">
        <v>108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661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08" t="s">
        <v>668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669</v>
      </c>
      <c r="B402" s="63" t="s">
        <v>670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672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671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672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672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677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678</v>
      </c>
      <c r="B408" s="63" t="s">
        <v>679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90</v>
      </c>
      <c r="L408" s="37" t="s">
        <v>46</v>
      </c>
      <c r="M408" s="38" t="s">
        <v>672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139</v>
      </c>
      <c r="L409" s="37" t="s">
        <v>46</v>
      </c>
      <c r="M409" s="38" t="s">
        <v>672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251</v>
      </c>
      <c r="AC409" s="508" t="s">
        <v>683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672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251</v>
      </c>
      <c r="AC410" s="510" t="s">
        <v>680</v>
      </c>
      <c r="AG410" s="78"/>
      <c r="AJ410" s="84" t="s">
        <v>46</v>
      </c>
      <c r="AK410" s="84">
        <v>0</v>
      </c>
      <c r="BB410" s="51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686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85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hidden="1" customHeight="1" x14ac:dyDescent="0.25">
      <c r="A415" s="63" t="s">
        <v>687</v>
      </c>
      <c r="B415" s="63" t="s">
        <v>688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132</v>
      </c>
      <c r="L415" s="37" t="s">
        <v>46</v>
      </c>
      <c r="M415" s="38" t="s">
        <v>96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90</v>
      </c>
      <c r="L416" s="37" t="s">
        <v>46</v>
      </c>
      <c r="M416" s="38" t="s">
        <v>89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693</v>
      </c>
      <c r="B417" s="63" t="s">
        <v>694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90</v>
      </c>
      <c r="L417" s="37" t="s">
        <v>46</v>
      </c>
      <c r="M417" s="38" t="s">
        <v>96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695</v>
      </c>
      <c r="AG417" s="78"/>
      <c r="AJ417" s="84" t="s">
        <v>46</v>
      </c>
      <c r="AK417" s="84">
        <v>0</v>
      </c>
      <c r="BB417" s="517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706" t="s">
        <v>696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697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127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698</v>
      </c>
      <c r="B423" s="63" t="s">
        <v>699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96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hidden="1" customHeight="1" x14ac:dyDescent="0.25">
      <c r="A424" s="63" t="s">
        <v>701</v>
      </c>
      <c r="B424" s="63" t="s">
        <v>702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80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customHeight="1" x14ac:dyDescent="0.25">
      <c r="A426" s="63" t="s">
        <v>707</v>
      </c>
      <c r="B426" s="63" t="s">
        <v>708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80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450</v>
      </c>
      <c r="Y426" s="55">
        <f t="shared" si="52"/>
        <v>450</v>
      </c>
      <c r="Z426" s="41">
        <f>IFERROR(IF(Y426=0,"",ROUNDUP(Y426/H426,0)*0.02175),"")</f>
        <v>0.65249999999999997</v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53"/>
        <v>464.1</v>
      </c>
      <c r="BN426" s="78">
        <f t="shared" si="54"/>
        <v>464.1</v>
      </c>
      <c r="BO426" s="78">
        <f t="shared" si="55"/>
        <v>0.625</v>
      </c>
      <c r="BP426" s="78">
        <f t="shared" si="56"/>
        <v>0.625</v>
      </c>
    </row>
    <row r="427" spans="1:68" ht="27" hidden="1" customHeight="1" x14ac:dyDescent="0.25">
      <c r="A427" s="63" t="s">
        <v>710</v>
      </c>
      <c r="B427" s="63" t="s">
        <v>711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132</v>
      </c>
      <c r="L427" s="37" t="s">
        <v>46</v>
      </c>
      <c r="M427" s="38" t="s">
        <v>96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139</v>
      </c>
      <c r="L428" s="37" t="s">
        <v>46</v>
      </c>
      <c r="M428" s="38" t="s">
        <v>131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716</v>
      </c>
      <c r="B429" s="63" t="s">
        <v>717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719</v>
      </c>
      <c r="B430" s="63" t="s">
        <v>720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139</v>
      </c>
      <c r="L430" s="37" t="s">
        <v>46</v>
      </c>
      <c r="M430" s="38" t="s">
        <v>80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721</v>
      </c>
      <c r="AG430" s="78"/>
      <c r="AJ430" s="84" t="s">
        <v>46</v>
      </c>
      <c r="AK430" s="84">
        <v>0</v>
      </c>
      <c r="BB430" s="533" t="s">
        <v>66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30</v>
      </c>
      <c r="Y431" s="43">
        <f>IFERROR(Y423/H423,"0")+IFERROR(Y424/H424,"0")+IFERROR(Y425/H425,"0")+IFERROR(Y426/H426,"0")+IFERROR(Y427/H427,"0")+IFERROR(Y428/H428,"0")+IFERROR(Y429/H429,"0")+IFERROR(Y430/H430,"0")</f>
        <v>30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0.65249999999999997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450</v>
      </c>
      <c r="Y432" s="43">
        <f>IFERROR(SUM(Y423:Y430),"0")</f>
        <v>450</v>
      </c>
      <c r="Z432" s="42"/>
      <c r="AA432" s="67"/>
      <c r="AB432" s="67"/>
      <c r="AC432" s="67"/>
    </row>
    <row r="433" spans="1:68" ht="14.25" hidden="1" customHeight="1" x14ac:dyDescent="0.25">
      <c r="A433" s="708" t="s">
        <v>163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hidden="1" customHeight="1" x14ac:dyDescent="0.25">
      <c r="A434" s="63" t="s">
        <v>722</v>
      </c>
      <c r="B434" s="63" t="s">
        <v>723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132</v>
      </c>
      <c r="L435" s="37" t="s">
        <v>46</v>
      </c>
      <c r="M435" s="38" t="s">
        <v>131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728</v>
      </c>
      <c r="B436" s="63" t="s">
        <v>729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139</v>
      </c>
      <c r="L436" s="37" t="s">
        <v>46</v>
      </c>
      <c r="M436" s="38" t="s">
        <v>131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730</v>
      </c>
      <c r="AG436" s="78"/>
      <c r="AJ436" s="84" t="s">
        <v>46</v>
      </c>
      <c r="AK436" s="84">
        <v>0</v>
      </c>
      <c r="BB436" s="539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708" t="s">
        <v>85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731</v>
      </c>
      <c r="B440" s="63" t="s">
        <v>732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734</v>
      </c>
      <c r="B441" s="63" t="s">
        <v>735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132</v>
      </c>
      <c r="L441" s="37" t="s">
        <v>46</v>
      </c>
      <c r="M441" s="38" t="s">
        <v>89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737</v>
      </c>
      <c r="B442" s="63" t="s">
        <v>738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132</v>
      </c>
      <c r="L442" s="37" t="s">
        <v>46</v>
      </c>
      <c r="M442" s="38" t="s">
        <v>89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739</v>
      </c>
      <c r="AG442" s="78"/>
      <c r="AJ442" s="84" t="s">
        <v>46</v>
      </c>
      <c r="AK442" s="84">
        <v>0</v>
      </c>
      <c r="BB442" s="54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708" t="s">
        <v>180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740</v>
      </c>
      <c r="B446" s="63" t="s">
        <v>741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132</v>
      </c>
      <c r="L446" s="37" t="s">
        <v>46</v>
      </c>
      <c r="M446" s="38" t="s">
        <v>89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743</v>
      </c>
      <c r="B447" s="63" t="s">
        <v>744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132</v>
      </c>
      <c r="L447" s="37" t="s">
        <v>46</v>
      </c>
      <c r="M447" s="38" t="s">
        <v>89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745</v>
      </c>
      <c r="AG447" s="78"/>
      <c r="AJ447" s="84" t="s">
        <v>46</v>
      </c>
      <c r="AK447" s="84">
        <v>0</v>
      </c>
      <c r="BB447" s="54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707" t="s">
        <v>746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127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132</v>
      </c>
      <c r="L452" s="37" t="s">
        <v>46</v>
      </c>
      <c r="M452" s="38" t="s">
        <v>80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749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750</v>
      </c>
      <c r="B453" s="63" t="s">
        <v>751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139</v>
      </c>
      <c r="L453" s="37" t="s">
        <v>46</v>
      </c>
      <c r="M453" s="38" t="s">
        <v>80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749</v>
      </c>
      <c r="AG453" s="78"/>
      <c r="AJ453" s="84" t="s">
        <v>46</v>
      </c>
      <c r="AK453" s="84">
        <v>0</v>
      </c>
      <c r="BB453" s="553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76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752</v>
      </c>
      <c r="B457" s="63" t="s">
        <v>753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139</v>
      </c>
      <c r="L457" s="37" t="s">
        <v>46</v>
      </c>
      <c r="M457" s="38" t="s">
        <v>80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754</v>
      </c>
      <c r="AG457" s="78"/>
      <c r="AJ457" s="84" t="s">
        <v>46</v>
      </c>
      <c r="AK457" s="84">
        <v>0</v>
      </c>
      <c r="BB457" s="55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85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hidden="1" customHeight="1" x14ac:dyDescent="0.25">
      <c r="A461" s="63" t="s">
        <v>755</v>
      </c>
      <c r="B461" s="63" t="s">
        <v>756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132</v>
      </c>
      <c r="L461" s="37" t="s">
        <v>46</v>
      </c>
      <c r="M461" s="38" t="s">
        <v>89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757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758</v>
      </c>
      <c r="B462" s="63" t="s">
        <v>759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757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758</v>
      </c>
      <c r="B463" s="63" t="s">
        <v>760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761</v>
      </c>
      <c r="AG463" s="78"/>
      <c r="AJ463" s="84" t="s">
        <v>46</v>
      </c>
      <c r="AK463" s="84">
        <v>0</v>
      </c>
      <c r="BB463" s="56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706" t="s">
        <v>762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763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76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hidden="1" customHeight="1" x14ac:dyDescent="0.25">
      <c r="A469" s="63" t="s">
        <v>764</v>
      </c>
      <c r="B469" s="63" t="s">
        <v>765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139</v>
      </c>
      <c r="L470" s="37" t="s">
        <v>46</v>
      </c>
      <c r="M470" s="38" t="s">
        <v>80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769</v>
      </c>
      <c r="AG470" s="78"/>
      <c r="AJ470" s="84" t="s">
        <v>46</v>
      </c>
      <c r="AK470" s="84">
        <v>0</v>
      </c>
      <c r="BB470" s="565" t="s">
        <v>66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770</v>
      </c>
      <c r="B471" s="63" t="s">
        <v>771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766</v>
      </c>
      <c r="AG471" s="78"/>
      <c r="AJ471" s="84" t="s">
        <v>46</v>
      </c>
      <c r="AK471" s="84">
        <v>0</v>
      </c>
      <c r="BB471" s="567" t="s">
        <v>66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775</v>
      </c>
      <c r="B473" s="63" t="s">
        <v>776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777</v>
      </c>
      <c r="AG473" s="78"/>
      <c r="AJ473" s="84" t="s">
        <v>46</v>
      </c>
      <c r="AK473" s="84">
        <v>0</v>
      </c>
      <c r="BB473" s="571" t="s">
        <v>66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778</v>
      </c>
      <c r="B474" s="63" t="s">
        <v>779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774</v>
      </c>
      <c r="AG474" s="78"/>
      <c r="AJ474" s="84" t="s">
        <v>46</v>
      </c>
      <c r="AK474" s="84">
        <v>0</v>
      </c>
      <c r="BB474" s="573" t="s">
        <v>66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708" t="s">
        <v>85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780</v>
      </c>
      <c r="B478" s="63" t="s">
        <v>781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139</v>
      </c>
      <c r="L478" s="37" t="s">
        <v>46</v>
      </c>
      <c r="M478" s="38" t="s">
        <v>89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783</v>
      </c>
      <c r="B479" s="63" t="s">
        <v>784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90</v>
      </c>
      <c r="L479" s="37" t="s">
        <v>46</v>
      </c>
      <c r="M479" s="38" t="s">
        <v>89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785</v>
      </c>
      <c r="AG479" s="78"/>
      <c r="AJ479" s="84" t="s">
        <v>46</v>
      </c>
      <c r="AK479" s="84">
        <v>0</v>
      </c>
      <c r="BB479" s="577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786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163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787</v>
      </c>
      <c r="B484" s="63" t="s">
        <v>788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90</v>
      </c>
      <c r="L484" s="37" t="s">
        <v>46</v>
      </c>
      <c r="M484" s="38" t="s">
        <v>80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789</v>
      </c>
      <c r="AG484" s="78"/>
      <c r="AJ484" s="84" t="s">
        <v>46</v>
      </c>
      <c r="AK484" s="84">
        <v>0</v>
      </c>
      <c r="BB484" s="579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76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139</v>
      </c>
      <c r="L488" s="37" t="s">
        <v>46</v>
      </c>
      <c r="M488" s="38" t="s">
        <v>80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795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796</v>
      </c>
      <c r="B490" s="63" t="s">
        <v>797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795</v>
      </c>
      <c r="AG490" s="78"/>
      <c r="AJ490" s="84" t="s">
        <v>46</v>
      </c>
      <c r="AK490" s="84">
        <v>0</v>
      </c>
      <c r="BB490" s="585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706" t="s">
        <v>798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798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127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hidden="1" customHeight="1" x14ac:dyDescent="0.25">
      <c r="A496" s="63" t="s">
        <v>799</v>
      </c>
      <c r="B496" s="63" t="s">
        <v>800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89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130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801</v>
      </c>
      <c r="B497" s="63" t="s">
        <v>802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807</v>
      </c>
      <c r="B499" s="63" t="s">
        <v>808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131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810</v>
      </c>
      <c r="B500" s="63" t="s">
        <v>811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89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132</v>
      </c>
      <c r="L501" s="37" t="s">
        <v>46</v>
      </c>
      <c r="M501" s="38" t="s">
        <v>131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815</v>
      </c>
      <c r="AG501" s="78"/>
      <c r="AJ501" s="84" t="s">
        <v>46</v>
      </c>
      <c r="AK501" s="84">
        <v>0</v>
      </c>
      <c r="BB501" s="597" t="s">
        <v>66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816</v>
      </c>
      <c r="B502" s="63" t="s">
        <v>817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90</v>
      </c>
      <c r="L502" s="37" t="s">
        <v>46</v>
      </c>
      <c r="M502" s="38" t="s">
        <v>89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818</v>
      </c>
      <c r="B503" s="63" t="s">
        <v>819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89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130</v>
      </c>
      <c r="AG503" s="78"/>
      <c r="AJ503" s="84" t="s">
        <v>46</v>
      </c>
      <c r="AK503" s="84">
        <v>0</v>
      </c>
      <c r="BB503" s="601" t="s">
        <v>66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820</v>
      </c>
      <c r="B504" s="63" t="s">
        <v>821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139</v>
      </c>
      <c r="L504" s="37" t="s">
        <v>46</v>
      </c>
      <c r="M504" s="38" t="s">
        <v>131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815</v>
      </c>
      <c r="AG504" s="78"/>
      <c r="AJ504" s="84" t="s">
        <v>46</v>
      </c>
      <c r="AK504" s="84">
        <v>0</v>
      </c>
      <c r="BB504" s="603" t="s">
        <v>66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708" t="s">
        <v>163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hidden="1" customHeight="1" x14ac:dyDescent="0.25">
      <c r="A508" s="63" t="s">
        <v>822</v>
      </c>
      <c r="B508" s="63" t="s">
        <v>823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132</v>
      </c>
      <c r="L508" s="37" t="s">
        <v>46</v>
      </c>
      <c r="M508" s="38" t="s">
        <v>89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824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825</v>
      </c>
      <c r="B509" s="63" t="s">
        <v>826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131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824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827</v>
      </c>
      <c r="B510" s="63" t="s">
        <v>828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139</v>
      </c>
      <c r="L510" s="37" t="s">
        <v>46</v>
      </c>
      <c r="M510" s="38" t="s">
        <v>131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824</v>
      </c>
      <c r="AG510" s="78"/>
      <c r="AJ510" s="84" t="s">
        <v>46</v>
      </c>
      <c r="AK510" s="84">
        <v>0</v>
      </c>
      <c r="BB510" s="609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708" t="s">
        <v>76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hidden="1" customHeight="1" x14ac:dyDescent="0.25">
      <c r="A514" s="63" t="s">
        <v>829</v>
      </c>
      <c r="B514" s="63" t="s">
        <v>830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131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132</v>
      </c>
      <c r="L516" s="37" t="s">
        <v>46</v>
      </c>
      <c r="M516" s="38" t="s">
        <v>80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837</v>
      </c>
      <c r="AG516" s="78"/>
      <c r="AJ516" s="84" t="s">
        <v>46</v>
      </c>
      <c r="AK516" s="84">
        <v>0</v>
      </c>
      <c r="BB516" s="615" t="s">
        <v>66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838</v>
      </c>
      <c r="B517" s="63" t="s">
        <v>839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139</v>
      </c>
      <c r="L517" s="37" t="s">
        <v>46</v>
      </c>
      <c r="M517" s="38" t="s">
        <v>131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840</v>
      </c>
      <c r="B518" s="63" t="s">
        <v>841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834</v>
      </c>
      <c r="AG518" s="78"/>
      <c r="AJ518" s="84" t="s">
        <v>46</v>
      </c>
      <c r="AK518" s="84">
        <v>0</v>
      </c>
      <c r="BB518" s="619" t="s">
        <v>66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840</v>
      </c>
      <c r="B519" s="63" t="s">
        <v>842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139</v>
      </c>
      <c r="L520" s="37" t="s">
        <v>46</v>
      </c>
      <c r="M520" s="38" t="s">
        <v>80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837</v>
      </c>
      <c r="AG520" s="78"/>
      <c r="AJ520" s="84" t="s">
        <v>46</v>
      </c>
      <c r="AK520" s="84">
        <v>0</v>
      </c>
      <c r="BB520" s="623" t="s">
        <v>66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706" t="s">
        <v>845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845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127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132</v>
      </c>
      <c r="L526" s="37" t="s">
        <v>46</v>
      </c>
      <c r="M526" s="38" t="s">
        <v>131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848</v>
      </c>
      <c r="AG526" s="78"/>
      <c r="AJ526" s="84" t="s">
        <v>46</v>
      </c>
      <c r="AK526" s="84">
        <v>0</v>
      </c>
      <c r="BB526" s="625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708" t="s">
        <v>163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849</v>
      </c>
      <c r="B530" s="63" t="s">
        <v>850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132</v>
      </c>
      <c r="L530" s="37" t="s">
        <v>46</v>
      </c>
      <c r="M530" s="38" t="s">
        <v>131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851</v>
      </c>
      <c r="AG530" s="78"/>
      <c r="AJ530" s="84" t="s">
        <v>46</v>
      </c>
      <c r="AK530" s="84">
        <v>0</v>
      </c>
      <c r="BB530" s="627" t="s">
        <v>66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76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hidden="1" customHeight="1" x14ac:dyDescent="0.25">
      <c r="A534" s="63" t="s">
        <v>852</v>
      </c>
      <c r="B534" s="63" t="s">
        <v>853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139</v>
      </c>
      <c r="L534" s="37" t="s">
        <v>46</v>
      </c>
      <c r="M534" s="38" t="s">
        <v>80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854</v>
      </c>
      <c r="AG534" s="78"/>
      <c r="AJ534" s="84" t="s">
        <v>46</v>
      </c>
      <c r="AK534" s="84">
        <v>0</v>
      </c>
      <c r="BB534" s="62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08" t="s">
        <v>85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hidden="1" customHeight="1" x14ac:dyDescent="0.25">
      <c r="A538" s="63" t="s">
        <v>855</v>
      </c>
      <c r="B538" s="63" t="s">
        <v>856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132</v>
      </c>
      <c r="L538" s="37" t="s">
        <v>46</v>
      </c>
      <c r="M538" s="38" t="s">
        <v>89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857</v>
      </c>
      <c r="AG538" s="78"/>
      <c r="AJ538" s="84" t="s">
        <v>46</v>
      </c>
      <c r="AK538" s="84">
        <v>0</v>
      </c>
      <c r="BB538" s="63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08" t="s">
        <v>180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858</v>
      </c>
      <c r="B542" s="63" t="s">
        <v>859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861</v>
      </c>
      <c r="B543" s="63" t="s">
        <v>862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132</v>
      </c>
      <c r="L543" s="37" t="s">
        <v>46</v>
      </c>
      <c r="M543" s="38" t="s">
        <v>89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863</v>
      </c>
      <c r="AG543" s="78"/>
      <c r="AJ543" s="84" t="s">
        <v>46</v>
      </c>
      <c r="AK543" s="84">
        <v>0</v>
      </c>
      <c r="BB543" s="63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864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163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865</v>
      </c>
      <c r="B548" s="63" t="s">
        <v>866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132</v>
      </c>
      <c r="L548" s="37" t="s">
        <v>46</v>
      </c>
      <c r="M548" s="38" t="s">
        <v>131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867</v>
      </c>
      <c r="AG548" s="78"/>
      <c r="AJ548" s="84" t="s">
        <v>46</v>
      </c>
      <c r="AK548" s="84">
        <v>0</v>
      </c>
      <c r="BB548" s="637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450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450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464.1</v>
      </c>
      <c r="Y552" s="43">
        <f>IFERROR(SUM(BN22:BN548),"0")</f>
        <v>464.1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1</v>
      </c>
      <c r="Y553" s="44">
        <f>ROUNDUP(SUM(BP22:BP548),0)</f>
        <v>1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489.1</v>
      </c>
      <c r="Y554" s="43">
        <f>GrossWeightTotalR+PalletQtyTotalR*25</f>
        <v>489.1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30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30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0.65249999999999997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75</v>
      </c>
      <c r="C558" s="85" t="s">
        <v>45</v>
      </c>
      <c r="D558" s="999" t="s">
        <v>125</v>
      </c>
      <c r="E558" s="999" t="s">
        <v>125</v>
      </c>
      <c r="F558" s="999" t="s">
        <v>125</v>
      </c>
      <c r="G558" s="999" t="s">
        <v>125</v>
      </c>
      <c r="H558" s="999" t="s">
        <v>125</v>
      </c>
      <c r="I558" s="999" t="s">
        <v>125</v>
      </c>
      <c r="J558" s="999" t="s">
        <v>125</v>
      </c>
      <c r="K558" s="999" t="s">
        <v>357</v>
      </c>
      <c r="L558" s="999" t="s">
        <v>357</v>
      </c>
      <c r="M558" s="999" t="s">
        <v>357</v>
      </c>
      <c r="N558" s="1000"/>
      <c r="O558" s="999" t="s">
        <v>357</v>
      </c>
      <c r="P558" s="999" t="s">
        <v>357</v>
      </c>
      <c r="Q558" s="999" t="s">
        <v>357</v>
      </c>
      <c r="R558" s="999" t="s">
        <v>357</v>
      </c>
      <c r="S558" s="999" t="s">
        <v>357</v>
      </c>
      <c r="T558" s="999" t="s">
        <v>357</v>
      </c>
      <c r="U558" s="999" t="s">
        <v>357</v>
      </c>
      <c r="V558" s="999" t="s">
        <v>696</v>
      </c>
      <c r="W558" s="999" t="s">
        <v>696</v>
      </c>
      <c r="X558" s="999" t="s">
        <v>762</v>
      </c>
      <c r="Y558" s="999" t="s">
        <v>762</v>
      </c>
      <c r="Z558" s="85" t="s">
        <v>798</v>
      </c>
      <c r="AA558" s="999" t="s">
        <v>845</v>
      </c>
      <c r="AB558" s="999" t="s">
        <v>845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75</v>
      </c>
      <c r="C559" s="999" t="s">
        <v>109</v>
      </c>
      <c r="D559" s="999" t="s">
        <v>126</v>
      </c>
      <c r="E559" s="999" t="s">
        <v>142</v>
      </c>
      <c r="F559" s="999" t="s">
        <v>187</v>
      </c>
      <c r="G559" s="999" t="s">
        <v>208</v>
      </c>
      <c r="H559" s="999" t="s">
        <v>247</v>
      </c>
      <c r="I559" s="999" t="s">
        <v>275</v>
      </c>
      <c r="J559" s="999" t="s">
        <v>125</v>
      </c>
      <c r="K559" s="999" t="s">
        <v>358</v>
      </c>
      <c r="L559" s="999" t="s">
        <v>379</v>
      </c>
      <c r="M559" s="999" t="s">
        <v>446</v>
      </c>
      <c r="N559" s="1"/>
      <c r="O559" s="999" t="s">
        <v>514</v>
      </c>
      <c r="P559" s="999" t="s">
        <v>547</v>
      </c>
      <c r="Q559" s="999" t="s">
        <v>563</v>
      </c>
      <c r="R559" s="999" t="s">
        <v>572</v>
      </c>
      <c r="S559" s="999" t="s">
        <v>593</v>
      </c>
      <c r="T559" s="999" t="s">
        <v>602</v>
      </c>
      <c r="U559" s="999" t="s">
        <v>686</v>
      </c>
      <c r="V559" s="999" t="s">
        <v>697</v>
      </c>
      <c r="W559" s="999" t="s">
        <v>746</v>
      </c>
      <c r="X559" s="999" t="s">
        <v>763</v>
      </c>
      <c r="Y559" s="999" t="s">
        <v>786</v>
      </c>
      <c r="Z559" s="999" t="s">
        <v>798</v>
      </c>
      <c r="AA559" s="999" t="s">
        <v>845</v>
      </c>
      <c r="AB559" s="999" t="s">
        <v>864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450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30,00"/>
        <filter val="450,00"/>
        <filter val="464,10"/>
        <filter val="489,10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3" t="s">
        <v>869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871</v>
      </c>
      <c r="C6" s="53" t="s">
        <v>872</v>
      </c>
      <c r="D6" s="53" t="s">
        <v>873</v>
      </c>
      <c r="E6" s="53" t="s">
        <v>46</v>
      </c>
    </row>
    <row r="7" spans="2:8" x14ac:dyDescent="0.2">
      <c r="B7" s="53" t="s">
        <v>874</v>
      </c>
      <c r="C7" s="53" t="s">
        <v>875</v>
      </c>
      <c r="D7" s="53" t="s">
        <v>876</v>
      </c>
      <c r="E7" s="53" t="s">
        <v>46</v>
      </c>
    </row>
    <row r="9" spans="2:8" x14ac:dyDescent="0.2">
      <c r="B9" s="53" t="s">
        <v>877</v>
      </c>
      <c r="C9" s="53" t="s">
        <v>872</v>
      </c>
      <c r="D9" s="53" t="s">
        <v>46</v>
      </c>
      <c r="E9" s="53" t="s">
        <v>46</v>
      </c>
    </row>
    <row r="11" spans="2:8" x14ac:dyDescent="0.2">
      <c r="B11" s="53" t="s">
        <v>877</v>
      </c>
      <c r="C11" s="53" t="s">
        <v>875</v>
      </c>
      <c r="D11" s="53" t="s">
        <v>46</v>
      </c>
      <c r="E11" s="53" t="s">
        <v>46</v>
      </c>
    </row>
    <row r="13" spans="2:8" x14ac:dyDescent="0.2">
      <c r="B13" s="53" t="s">
        <v>878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888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2026-08-07T11:53:20Z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