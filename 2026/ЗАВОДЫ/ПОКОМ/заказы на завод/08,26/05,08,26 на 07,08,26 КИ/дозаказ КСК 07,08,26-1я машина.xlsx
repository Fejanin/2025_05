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710FD8-9E03-41C1-B816-25FFB39B2A3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22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<sst xmlns="http://schemas.openxmlformats.org/spreadsheetml/2006/main" count="4194" uniqueCount="891">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</sst>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6" sqref="AA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46241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3100</v>
      </c>
      <c r="Y426" s="55">
        <f t="shared" si="52"/>
        <v>3105</v>
      </c>
      <c r="Z426" s="41">
        <f>IFERROR(IF(Y426=0,"",ROUNDUP(Y426/H426,0)*0.02175),"")</f>
        <v>4.5022500000000001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3197.1333333333332</v>
      </c>
      <c r="BN426" s="78">
        <f t="shared" si="54"/>
        <v>3202.29</v>
      </c>
      <c r="BO426" s="78">
        <f t="shared" si="55"/>
        <v>4.3055555555555554</v>
      </c>
      <c r="BP426" s="78">
        <f t="shared" si="56"/>
        <v>4.3125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206.66666666666666</v>
      </c>
      <c r="Y431" s="43">
        <f>IFERROR(Y423/H423,"0")+IFERROR(Y424/H424,"0")+IFERROR(Y425/H425,"0")+IFERROR(Y426/H426,"0")+IFERROR(Y427/H427,"0")+IFERROR(Y428/H428,"0")+IFERROR(Y429/H429,"0")+IFERROR(Y430/H430,"0")</f>
        <v>207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4.5022500000000001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3100</v>
      </c>
      <c r="Y432" s="43">
        <f>IFERROR(SUM(Y423:Y430),"0")</f>
        <v>3105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3100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3105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3197.1333333333332</v>
      </c>
      <c r="Y552" s="43">
        <f>IFERROR(SUM(BN22:BN548),"0")</f>
        <v>3202.29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3322.1333333333332</v>
      </c>
      <c r="Y554" s="43">
        <f>GrossWeightTotalR+PalletQtyTotalR*25</f>
        <v>3327.29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206.66666666666666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207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4.5022500000000001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3105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06,67"/>
        <filter val="3 100,00"/>
        <filter val="3 197,13"/>
        <filter val="3 322,13"/>
        <filter val="5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