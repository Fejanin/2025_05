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DF61E29-1761-4D07-9AB1-F3850D30715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Z505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BP461" i="2" s="1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Y427" i="2" s="1"/>
  <c r="P424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Z125" i="2" s="1"/>
  <c r="P125" i="2"/>
  <c r="BO124" i="2"/>
  <c r="BM124" i="2"/>
  <c r="Y124" i="2"/>
  <c r="BN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367" i="2" l="1"/>
  <c r="Z160" i="2"/>
  <c r="Z461" i="2"/>
  <c r="BN461" i="2"/>
  <c r="Z277" i="2"/>
  <c r="Z64" i="2"/>
  <c r="Z229" i="2"/>
  <c r="BN229" i="2"/>
  <c r="Z331" i="2"/>
  <c r="BN331" i="2"/>
  <c r="Z393" i="2"/>
  <c r="BP523" i="2"/>
  <c r="Z31" i="2"/>
  <c r="BN31" i="2"/>
  <c r="Z86" i="2"/>
  <c r="Z93" i="2"/>
  <c r="BN93" i="2"/>
  <c r="Z97" i="2"/>
  <c r="Z148" i="2"/>
  <c r="BN148" i="2"/>
  <c r="BP201" i="2"/>
  <c r="BP252" i="2"/>
  <c r="BP285" i="2"/>
  <c r="Z346" i="2"/>
  <c r="BN346" i="2"/>
  <c r="Z379" i="2"/>
  <c r="Z443" i="2"/>
  <c r="Z506" i="2"/>
  <c r="BN506" i="2"/>
  <c r="Z527" i="2"/>
  <c r="BN527" i="2"/>
  <c r="Z539" i="2"/>
  <c r="Z540" i="2" s="1"/>
  <c r="X562" i="2"/>
  <c r="X560" i="2"/>
  <c r="Z48" i="2"/>
  <c r="BN48" i="2"/>
  <c r="Z77" i="2"/>
  <c r="BN77" i="2"/>
  <c r="Z104" i="2"/>
  <c r="BN104" i="2"/>
  <c r="Z117" i="2"/>
  <c r="BN117" i="2"/>
  <c r="BP124" i="2"/>
  <c r="BP126" i="2"/>
  <c r="BP156" i="2"/>
  <c r="BP211" i="2"/>
  <c r="Z234" i="2"/>
  <c r="BN234" i="2"/>
  <c r="Y255" i="2"/>
  <c r="Z273" i="2"/>
  <c r="Z279" i="2"/>
  <c r="BN279" i="2"/>
  <c r="BP306" i="2"/>
  <c r="BP340" i="2"/>
  <c r="Z353" i="2"/>
  <c r="Z355" i="2" s="1"/>
  <c r="Z376" i="2"/>
  <c r="Z419" i="2"/>
  <c r="Z456" i="2"/>
  <c r="Z517" i="2"/>
  <c r="BN517" i="2"/>
  <c r="Z526" i="2"/>
  <c r="BP547" i="2"/>
  <c r="BN73" i="2"/>
  <c r="BN89" i="2"/>
  <c r="BN189" i="2"/>
  <c r="BN233" i="2"/>
  <c r="Z233" i="2"/>
  <c r="X561" i="2"/>
  <c r="X564" i="2"/>
  <c r="BP27" i="2"/>
  <c r="Z40" i="2"/>
  <c r="Z57" i="2"/>
  <c r="BN57" i="2"/>
  <c r="Z67" i="2"/>
  <c r="BN67" i="2"/>
  <c r="BN72" i="2"/>
  <c r="BP79" i="2"/>
  <c r="F570" i="2"/>
  <c r="BN87" i="2"/>
  <c r="BP98" i="2"/>
  <c r="Z108" i="2"/>
  <c r="BP114" i="2"/>
  <c r="Z138" i="2"/>
  <c r="BN138" i="2"/>
  <c r="BN155" i="2"/>
  <c r="Z155" i="2"/>
  <c r="Z175" i="2"/>
  <c r="Z177" i="2" s="1"/>
  <c r="Y177" i="2"/>
  <c r="BN176" i="2"/>
  <c r="BN191" i="2"/>
  <c r="Z191" i="2"/>
  <c r="BP214" i="2"/>
  <c r="BN214" i="2"/>
  <c r="Z214" i="2"/>
  <c r="BN226" i="2"/>
  <c r="BP226" i="2"/>
  <c r="BP236" i="2"/>
  <c r="BN236" i="2"/>
  <c r="Z236" i="2"/>
  <c r="Y151" i="2"/>
  <c r="BP160" i="2"/>
  <c r="BN181" i="2"/>
  <c r="Y203" i="2"/>
  <c r="BN215" i="2"/>
  <c r="Z244" i="2"/>
  <c r="BN244" i="2"/>
  <c r="BN246" i="2"/>
  <c r="Z251" i="2"/>
  <c r="Z257" i="2"/>
  <c r="Z258" i="2" s="1"/>
  <c r="BN257" i="2"/>
  <c r="BP257" i="2"/>
  <c r="Y258" i="2"/>
  <c r="BN267" i="2"/>
  <c r="Y270" i="2"/>
  <c r="Z276" i="2"/>
  <c r="BP277" i="2"/>
  <c r="Z284" i="2"/>
  <c r="Z288" i="2"/>
  <c r="BN288" i="2"/>
  <c r="BN292" i="2"/>
  <c r="Z304" i="2"/>
  <c r="Z307" i="2"/>
  <c r="BN308" i="2"/>
  <c r="Z310" i="2"/>
  <c r="BN333" i="2"/>
  <c r="BP345" i="2"/>
  <c r="BN361" i="2"/>
  <c r="BP367" i="2"/>
  <c r="BN368" i="2"/>
  <c r="BN370" i="2"/>
  <c r="BP375" i="2"/>
  <c r="Z387" i="2"/>
  <c r="Z388" i="2"/>
  <c r="BN388" i="2"/>
  <c r="Y396" i="2"/>
  <c r="BP392" i="2"/>
  <c r="Z394" i="2"/>
  <c r="Y395" i="2"/>
  <c r="BN405" i="2"/>
  <c r="BN412" i="2"/>
  <c r="BP418" i="2"/>
  <c r="Z424" i="2"/>
  <c r="BN424" i="2"/>
  <c r="BP424" i="2"/>
  <c r="BN426" i="2"/>
  <c r="BP435" i="2"/>
  <c r="BN436" i="2"/>
  <c r="BP456" i="2"/>
  <c r="Z470" i="2"/>
  <c r="BN470" i="2"/>
  <c r="Z480" i="2"/>
  <c r="Z481" i="2"/>
  <c r="BN481" i="2"/>
  <c r="BN482" i="2"/>
  <c r="BP493" i="2"/>
  <c r="AA570" i="2"/>
  <c r="BP505" i="2"/>
  <c r="BN510" i="2"/>
  <c r="Z513" i="2"/>
  <c r="Z524" i="2"/>
  <c r="BP526" i="2"/>
  <c r="Y541" i="2"/>
  <c r="BN552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0" i="2" s="1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Z420" i="2" s="1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63" i="2" l="1"/>
  <c r="Z172" i="2"/>
  <c r="Z427" i="2"/>
  <c r="Z520" i="2"/>
  <c r="Z395" i="2"/>
  <c r="Z145" i="2"/>
  <c r="Z530" i="2"/>
  <c r="Z484" i="2"/>
  <c r="Z382" i="2"/>
  <c r="Z341" i="2"/>
  <c r="Z280" i="2"/>
  <c r="Z192" i="2"/>
  <c r="Z119" i="2"/>
  <c r="Z32" i="2"/>
  <c r="Z414" i="2"/>
  <c r="Z402" i="2"/>
  <c r="Z350" i="2"/>
  <c r="Z473" i="2"/>
  <c r="X563" i="2"/>
  <c r="Z489" i="2"/>
  <c r="Z300" i="2"/>
  <c r="Z514" i="2"/>
  <c r="Z553" i="2"/>
  <c r="Z389" i="2"/>
  <c r="Z334" i="2"/>
  <c r="Z311" i="2"/>
  <c r="Z295" i="2"/>
  <c r="Z254" i="2"/>
  <c r="Z372" i="2"/>
  <c r="Z325" i="2"/>
  <c r="Z248" i="2"/>
  <c r="Z61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<sst xmlns="http://schemas.openxmlformats.org/spreadsheetml/2006/main" count="4318" uniqueCount="905">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</sst>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topLeftCell="B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904</v>
      </c>
      <c r="I5" s="659"/>
      <c r="J5" s="659"/>
      <c r="K5" s="659"/>
      <c r="L5" s="659"/>
      <c r="M5" s="659"/>
      <c r="N5" s="72"/>
      <c r="P5" s="27" t="s">
        <v>4</v>
      </c>
      <c r="Q5" s="661">
        <v>46267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887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Среда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3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324</v>
      </c>
      <c r="Y47" s="55">
        <f>IFERROR(IF(X47="",0,CEILING((X47/$H47),1)*$H47),"")</f>
        <v>324</v>
      </c>
      <c r="Z47" s="41">
        <f>IFERROR(IF(Y47=0,"",ROUNDUP(Y47/H47,0)*0.01898),"")</f>
        <v>0.56940000000000002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336.3</v>
      </c>
      <c r="BN47" s="78">
        <f>IFERROR(Y47*I47/H47,"0")</f>
        <v>336.3</v>
      </c>
      <c r="BO47" s="78">
        <f>IFERROR(1/J47*(X47/H47),"0")</f>
        <v>0.46874999999999994</v>
      </c>
      <c r="BP47" s="78">
        <f>IFERROR(1/J47*(Y47/H47),"0")</f>
        <v>0.46874999999999994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29.999999999999996</v>
      </c>
      <c r="Y51" s="43">
        <f>IFERROR(Y47/H47,"0")+IFERROR(Y48/H48,"0")+IFERROR(Y49/H49,"0")+IFERROR(Y50/H50,"0")</f>
        <v>29.999999999999996</v>
      </c>
      <c r="Z51" s="43">
        <f>IFERROR(IF(Z47="",0,Z47),"0")+IFERROR(IF(Z48="",0,Z48),"0")+IFERROR(IF(Z49="",0,Z49),"0")+IFERROR(IF(Z50="",0,Z50),"0")</f>
        <v>0.56940000000000002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324</v>
      </c>
      <c r="Y52" s="43">
        <f>IFERROR(SUM(Y47:Y50),"0")</f>
        <v>324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336</v>
      </c>
      <c r="Y55" s="55">
        <f t="shared" ref="Y55:Y60" si="0">IFERROR(IF(X55="",0,CEILING((X55/$H55),1)*$H55),"")</f>
        <v>336</v>
      </c>
      <c r="Z55" s="41">
        <f>IFERROR(IF(Y55=0,"",ROUNDUP(Y55/H55,0)*0.01898),"")</f>
        <v>0.56940000000000002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348.3</v>
      </c>
      <c r="BN55" s="78">
        <f t="shared" ref="BN55:BN60" si="2">IFERROR(Y55*I55/H55,"0")</f>
        <v>348.3</v>
      </c>
      <c r="BO55" s="78">
        <f t="shared" ref="BO55:BO60" si="3">IFERROR(1/J55*(X55/H55),"0")</f>
        <v>0.46875000000000006</v>
      </c>
      <c r="BP55" s="78">
        <f t="shared" ref="BP55:BP60" si="4">IFERROR(1/J55*(Y55/H55),"0")</f>
        <v>0.46875000000000006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648</v>
      </c>
      <c r="Y56" s="55">
        <f t="shared" si="0"/>
        <v>648</v>
      </c>
      <c r="Z56" s="41">
        <f>IFERROR(IF(Y56=0,"",ROUNDUP(Y56/H56,0)*0.01898),"")</f>
        <v>1.1388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672.6</v>
      </c>
      <c r="BN56" s="78">
        <f t="shared" si="2"/>
        <v>672.6</v>
      </c>
      <c r="BO56" s="78">
        <f t="shared" si="3"/>
        <v>0.93749999999999989</v>
      </c>
      <c r="BP56" s="78">
        <f t="shared" si="4"/>
        <v>0.93749999999999989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100</v>
      </c>
      <c r="Y61" s="43">
        <f>IFERROR(Y55/H55,"0")+IFERROR(Y56/H56,"0")+IFERROR(Y57/H57,"0")+IFERROR(Y58/H58,"0")+IFERROR(Y59/H59,"0")+IFERROR(Y60/H60,"0")</f>
        <v>100</v>
      </c>
      <c r="Z61" s="43">
        <f>IFERROR(IF(Z55="",0,Z55),"0")+IFERROR(IF(Z56="",0,Z56),"0")+IFERROR(IF(Z57="",0,Z57),"0")+IFERROR(IF(Z58="",0,Z58),"0")+IFERROR(IF(Z59="",0,Z59),"0")+IFERROR(IF(Z60="",0,Z60),"0")</f>
        <v>1.7984000000000002</v>
      </c>
      <c r="AA61" s="67"/>
      <c r="AB61" s="67"/>
      <c r="AC61" s="67"/>
    </row>
    <row r="62" spans="1:68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1029</v>
      </c>
      <c r="Y62" s="43">
        <f>IFERROR(SUM(Y55:Y60),"0")</f>
        <v>1029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432</v>
      </c>
      <c r="Y64" s="55">
        <f>IFERROR(IF(X64="",0,CEILING((X64/$H64),1)*$H64),"")</f>
        <v>432</v>
      </c>
      <c r="Z64" s="41">
        <f>IFERROR(IF(Y64=0,"",ROUNDUP(Y64/H64,0)*0.01898),"")</f>
        <v>0.75919999999999999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448.4</v>
      </c>
      <c r="BN64" s="78">
        <f>IFERROR(Y64*I64/H64,"0")</f>
        <v>448.4</v>
      </c>
      <c r="BO64" s="78">
        <f>IFERROR(1/J64*(X64/H64),"0")</f>
        <v>0.625</v>
      </c>
      <c r="BP64" s="78">
        <f>IFERROR(1/J64*(Y64/H64),"0")</f>
        <v>0.625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40</v>
      </c>
      <c r="Y68" s="43">
        <f>IFERROR(Y64/H64,"0")+IFERROR(Y65/H65,"0")+IFERROR(Y66/H66,"0")+IFERROR(Y67/H67,"0")</f>
        <v>40</v>
      </c>
      <c r="Z68" s="43">
        <f>IFERROR(IF(Z64="",0,Z64),"0")+IFERROR(IF(Z65="",0,Z65),"0")+IFERROR(IF(Z66="",0,Z66),"0")+IFERROR(IF(Z67="",0,Z67),"0")</f>
        <v>0.75919999999999999</v>
      </c>
      <c r="AA68" s="67"/>
      <c r="AB68" s="67"/>
      <c r="AC68" s="67"/>
    </row>
    <row r="69" spans="1:68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432</v>
      </c>
      <c r="Y69" s="43">
        <f>IFERROR(SUM(Y64:Y67),"0")</f>
        <v>432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23.4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24.630000000000003</v>
      </c>
      <c r="BN77" s="78">
        <f>IFERROR(Y77*I77/H77,"0")</f>
        <v>24.630000000000003</v>
      </c>
      <c r="BO77" s="78">
        <f>IFERROR(1/J77*(X77/H77),"0")</f>
        <v>4.6875E-2</v>
      </c>
      <c r="BP77" s="78">
        <f>IFERROR(1/J77*(Y77/H77),"0")</f>
        <v>4.6875E-2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3</v>
      </c>
      <c r="Y81" s="43">
        <f>IFERROR(Y77/H77,"0")+IFERROR(Y78/H78,"0")+IFERROR(Y79/H79,"0")+IFERROR(Y80/H80,"0")</f>
        <v>3</v>
      </c>
      <c r="Z81" s="43">
        <f>IFERROR(IF(Z77="",0,Z77),"0")+IFERROR(IF(Z78="",0,Z78),"0")+IFERROR(IF(Z79="",0,Z79),"0")+IFERROR(IF(Z80="",0,Z80),"0")</f>
        <v>5.6940000000000004E-2</v>
      </c>
      <c r="AA81" s="67"/>
      <c r="AB81" s="67"/>
      <c r="AC81" s="67"/>
    </row>
    <row r="82" spans="1:68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23.4</v>
      </c>
      <c r="Y82" s="43">
        <f>IFERROR(SUM(Y77:Y80),"0")</f>
        <v>23.4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324</v>
      </c>
      <c r="Y85" s="55">
        <f>IFERROR(IF(X85="",0,CEILING((X85/$H85),1)*$H85),"")</f>
        <v>324</v>
      </c>
      <c r="Z85" s="41">
        <f>IFERROR(IF(Y85=0,"",ROUNDUP(Y85/H85,0)*0.01898),"")</f>
        <v>0.56940000000000002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336.3</v>
      </c>
      <c r="BN85" s="78">
        <f>IFERROR(Y85*I85/H85,"0")</f>
        <v>336.3</v>
      </c>
      <c r="BO85" s="78">
        <f>IFERROR(1/J85*(X85/H85),"0")</f>
        <v>0.46874999999999994</v>
      </c>
      <c r="BP85" s="78">
        <f>IFERROR(1/J85*(Y85/H85),"0")</f>
        <v>0.46874999999999994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29.999999999999996</v>
      </c>
      <c r="Y90" s="43">
        <f>IFERROR(Y85/H85,"0")+IFERROR(Y86/H86,"0")+IFERROR(Y87/H87,"0")+IFERROR(Y88/H88,"0")+IFERROR(Y89/H89,"0")</f>
        <v>29.999999999999996</v>
      </c>
      <c r="Z90" s="43">
        <f>IFERROR(IF(Z85="",0,Z85),"0")+IFERROR(IF(Z86="",0,Z86),"0")+IFERROR(IF(Z87="",0,Z87),"0")+IFERROR(IF(Z88="",0,Z88),"0")+IFERROR(IF(Z89="",0,Z89),"0")</f>
        <v>0.56940000000000002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324</v>
      </c>
      <c r="Y91" s="43">
        <f>IFERROR(SUM(Y85:Y89),"0")</f>
        <v>324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243</v>
      </c>
      <c r="Y93" s="55">
        <f t="shared" ref="Y93:Y98" si="5">IFERROR(IF(X93="",0,CEILING((X93/$H93),1)*$H93),"")</f>
        <v>243</v>
      </c>
      <c r="Z93" s="41">
        <f>IFERROR(IF(Y93=0,"",ROUNDUP(Y93/H93,0)*0.01898),"")</f>
        <v>0.56940000000000002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257.82</v>
      </c>
      <c r="BN93" s="78">
        <f t="shared" ref="BN93:BN98" si="7">IFERROR(Y93*I93/H93,"0")</f>
        <v>257.82</v>
      </c>
      <c r="BO93" s="78">
        <f t="shared" ref="BO93:BO98" si="8">IFERROR(1/J93*(X93/H93),"0")</f>
        <v>0.46875</v>
      </c>
      <c r="BP93" s="78">
        <f t="shared" ref="BP93:BP98" si="9">IFERROR(1/J93*(Y93/H93),"0")</f>
        <v>0.46875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27</v>
      </c>
      <c r="Y96" s="55">
        <f t="shared" si="5"/>
        <v>27</v>
      </c>
      <c r="Z96" s="41">
        <f>IFERROR(IF(Y96=0,"",ROUNDUP(Y96/H96,0)*0.00651),"")</f>
        <v>6.5100000000000005E-2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29.519999999999996</v>
      </c>
      <c r="BN96" s="78">
        <f t="shared" si="7"/>
        <v>29.519999999999996</v>
      </c>
      <c r="BO96" s="78">
        <f t="shared" si="8"/>
        <v>5.4945054945054951E-2</v>
      </c>
      <c r="BP96" s="78">
        <f t="shared" si="9"/>
        <v>5.4945054945054951E-2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40</v>
      </c>
      <c r="Y99" s="43">
        <f>IFERROR(Y93/H93,"0")+IFERROR(Y94/H94,"0")+IFERROR(Y95/H95,"0")+IFERROR(Y96/H96,"0")+IFERROR(Y97/H97,"0")+IFERROR(Y98/H98,"0")</f>
        <v>40</v>
      </c>
      <c r="Z99" s="43">
        <f>IFERROR(IF(Z93="",0,Z93),"0")+IFERROR(IF(Z94="",0,Z94),"0")+IFERROR(IF(Z95="",0,Z95),"0")+IFERROR(IF(Z96="",0,Z96),"0")+IFERROR(IF(Z97="",0,Z97),"0")+IFERROR(IF(Z98="",0,Z98),"0")</f>
        <v>0.63450000000000006</v>
      </c>
      <c r="AA99" s="67"/>
      <c r="AB99" s="67"/>
      <c r="AC99" s="67"/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270</v>
      </c>
      <c r="Y100" s="43">
        <f>IFERROR(SUM(Y93:Y98),"0")</f>
        <v>270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216</v>
      </c>
      <c r="Y103" s="55">
        <f t="shared" ref="Y103:Y110" si="10">IFERROR(IF(X103="",0,CEILING((X103/$H103),1)*$H103),"")</f>
        <v>216</v>
      </c>
      <c r="Z103" s="41">
        <f>IFERROR(IF(Y103=0,"",ROUNDUP(Y103/H103,0)*0.01898),"")</f>
        <v>0.37959999999999999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224.2</v>
      </c>
      <c r="BN103" s="78">
        <f t="shared" ref="BN103:BN110" si="12">IFERROR(Y103*I103/H103,"0")</f>
        <v>224.2</v>
      </c>
      <c r="BO103" s="78">
        <f t="shared" ref="BO103:BO110" si="13">IFERROR(1/J103*(X103/H103),"0")</f>
        <v>0.3125</v>
      </c>
      <c r="BP103" s="78">
        <f t="shared" ref="BP103:BP110" si="14">IFERROR(1/J103*(Y103/H103),"0")</f>
        <v>0.3125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20</v>
      </c>
      <c r="Y111" s="43">
        <f>IFERROR(Y103/H103,"0")+IFERROR(Y104/H104,"0")+IFERROR(Y105/H105,"0")+IFERROR(Y106/H106,"0")+IFERROR(Y107/H107,"0")+IFERROR(Y108/H108,"0")+IFERROR(Y109/H109,"0")+IFERROR(Y110/H110,"0")</f>
        <v>20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0.37959999999999999</v>
      </c>
      <c r="AA111" s="67"/>
      <c r="AB111" s="67"/>
      <c r="AC111" s="67"/>
    </row>
    <row r="112" spans="1:68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216</v>
      </c>
      <c r="Y112" s="43">
        <f>IFERROR(SUM(Y103:Y110),"0")</f>
        <v>216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486</v>
      </c>
      <c r="Y122" s="55">
        <f t="shared" ref="Y122:Y128" si="15">IFERROR(IF(X122="",0,CEILING((X122/$H122),1)*$H122),"")</f>
        <v>486</v>
      </c>
      <c r="Z122" s="41">
        <f>IFERROR(IF(Y122=0,"",ROUNDUP(Y122/H122,0)*0.01898),"")</f>
        <v>1.1388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515.28</v>
      </c>
      <c r="BN122" s="78">
        <f t="shared" ref="BN122:BN128" si="17">IFERROR(Y122*I122/H122,"0")</f>
        <v>515.28</v>
      </c>
      <c r="BO122" s="78">
        <f t="shared" ref="BO122:BO128" si="18">IFERROR(1/J122*(X122/H122),"0")</f>
        <v>0.9375</v>
      </c>
      <c r="BP122" s="78">
        <f t="shared" ref="BP122:BP128" si="19">IFERROR(1/J122*(Y122/H122),"0")</f>
        <v>0.9375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60</v>
      </c>
      <c r="Y129" s="43">
        <f>IFERROR(Y122/H122,"0")+IFERROR(Y123/H123,"0")+IFERROR(Y124/H124,"0")+IFERROR(Y125/H125,"0")+IFERROR(Y126/H126,"0")+IFERROR(Y127/H127,"0")+IFERROR(Y128/H128,"0")</f>
        <v>60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1.1388</v>
      </c>
      <c r="AA129" s="67"/>
      <c r="AB129" s="67"/>
      <c r="AC129" s="67"/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486</v>
      </c>
      <c r="Y130" s="43">
        <f>IFERROR(SUM(Y122:Y128),"0")</f>
        <v>486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3.5</v>
      </c>
      <c r="Y181" s="55">
        <f t="shared" si="26"/>
        <v>3.5</v>
      </c>
      <c r="Z181" s="41">
        <f>IFERROR(IF(Y181=0,"",ROUNDUP(Y181/H181,0)*0.00902),"")</f>
        <v>9.0200000000000002E-3</v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3.7650000000000001</v>
      </c>
      <c r="BN181" s="78">
        <f t="shared" si="28"/>
        <v>3.7650000000000001</v>
      </c>
      <c r="BO181" s="78">
        <f t="shared" si="29"/>
        <v>7.575757575757576E-3</v>
      </c>
      <c r="BP181" s="78">
        <f t="shared" si="30"/>
        <v>7.575757575757576E-3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9.0200000000000002E-3</v>
      </c>
      <c r="AA192" s="67"/>
      <c r="AB192" s="67"/>
      <c r="AC192" s="67"/>
    </row>
    <row r="193" spans="1:68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3.5</v>
      </c>
      <c r="Y193" s="43">
        <f>IFERROR(SUM(Y180:Y191),"0")</f>
        <v>3.5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24</v>
      </c>
      <c r="Y286" s="55">
        <f t="shared" si="48"/>
        <v>24</v>
      </c>
      <c r="Z286" s="41">
        <f>IFERROR(IF(Y286=0,"",ROUNDUP(Y286/H286,0)*0.00651),"")</f>
        <v>6.5100000000000005E-2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26.7</v>
      </c>
      <c r="BN286" s="78">
        <f t="shared" si="50"/>
        <v>26.7</v>
      </c>
      <c r="BO286" s="78">
        <f t="shared" si="51"/>
        <v>5.4945054945054951E-2</v>
      </c>
      <c r="BP286" s="78">
        <f t="shared" si="52"/>
        <v>5.4945054945054951E-2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24</v>
      </c>
      <c r="Y289" s="55">
        <f t="shared" si="48"/>
        <v>24</v>
      </c>
      <c r="Z289" s="41">
        <f>IFERROR(IF(Y289=0,"",ROUNDUP(Y289/H289,0)*0.00651),"")</f>
        <v>6.5100000000000005E-2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26.520000000000003</v>
      </c>
      <c r="BN289" s="78">
        <f t="shared" si="50"/>
        <v>26.520000000000003</v>
      </c>
      <c r="BO289" s="78">
        <f t="shared" si="51"/>
        <v>5.4945054945054951E-2</v>
      </c>
      <c r="BP289" s="78">
        <f t="shared" si="52"/>
        <v>5.4945054945054951E-2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24</v>
      </c>
      <c r="Y293" s="55">
        <f t="shared" si="48"/>
        <v>24</v>
      </c>
      <c r="Z293" s="41">
        <f>IFERROR(IF(Y293=0,"",ROUNDUP(Y293/H293,0)*0.00651),"")</f>
        <v>6.5100000000000005E-2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26.580000000000002</v>
      </c>
      <c r="BN293" s="78">
        <f t="shared" si="50"/>
        <v>26.580000000000002</v>
      </c>
      <c r="BO293" s="78">
        <f t="shared" si="51"/>
        <v>5.4945054945054951E-2</v>
      </c>
      <c r="BP293" s="78">
        <f t="shared" si="52"/>
        <v>5.4945054945054951E-2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0.19530000000000003</v>
      </c>
      <c r="AA295" s="67"/>
      <c r="AB295" s="67"/>
      <c r="AC295" s="67"/>
    </row>
    <row r="296" spans="1:68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72</v>
      </c>
      <c r="Y296" s="43">
        <f>IFERROR(SUM(Y283:Y294),"0")</f>
        <v>72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10.8</v>
      </c>
      <c r="Y330" s="55">
        <f>IFERROR(IF(X330="",0,CEILING((X330/$H330),1)*$H330),"")</f>
        <v>10.8</v>
      </c>
      <c r="Z330" s="41">
        <f>IFERROR(IF(Y330=0,"",ROUNDUP(Y330/H330,0)*0.01898),"")</f>
        <v>1.898E-2</v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11.21</v>
      </c>
      <c r="BN330" s="78">
        <f>IFERROR(Y330*I330/H330,"0")</f>
        <v>11.21</v>
      </c>
      <c r="BO330" s="78">
        <f>IFERROR(1/J330*(X330/H330),"0")</f>
        <v>1.5625E-2</v>
      </c>
      <c r="BP330" s="78">
        <f>IFERROR(1/J330*(Y330/H330),"0")</f>
        <v>1.5625E-2</v>
      </c>
    </row>
    <row r="331" spans="1:68" ht="27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10.8</v>
      </c>
      <c r="Y331" s="55">
        <f>IFERROR(IF(X331="",0,CEILING((X331/$H331),1)*$H331),"")</f>
        <v>10.8</v>
      </c>
      <c r="Z331" s="41">
        <f>IFERROR(IF(Y331=0,"",ROUNDUP(Y331/H331,0)*0.01898),"")</f>
        <v>1.898E-2</v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11.21</v>
      </c>
      <c r="BN331" s="78">
        <f>IFERROR(Y331*I331/H331,"0")</f>
        <v>11.21</v>
      </c>
      <c r="BO331" s="78">
        <f>IFERROR(1/J331*(X331/H331),"0")</f>
        <v>1.5625E-2</v>
      </c>
      <c r="BP331" s="78">
        <f>IFERROR(1/J331*(Y331/H331),"0")</f>
        <v>1.5625E-2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2</v>
      </c>
      <c r="Y334" s="43">
        <f>IFERROR(Y329/H329,"0")+IFERROR(Y330/H330,"0")+IFERROR(Y331/H331,"0")+IFERROR(Y332/H332,"0")+IFERROR(Y333/H333,"0")</f>
        <v>2</v>
      </c>
      <c r="Z334" s="43">
        <f>IFERROR(IF(Z329="",0,Z329),"0")+IFERROR(IF(Z330="",0,Z330),"0")+IFERROR(IF(Z331="",0,Z331),"0")+IFERROR(IF(Z332="",0,Z332),"0")+IFERROR(IF(Z333="",0,Z333),"0")</f>
        <v>3.7960000000000001E-2</v>
      </c>
      <c r="AA334" s="67"/>
      <c r="AB334" s="67"/>
      <c r="AC334" s="67"/>
    </row>
    <row r="335" spans="1:68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21.6</v>
      </c>
      <c r="Y335" s="43">
        <f>IFERROR(SUM(Y329:Y333),"0")</f>
        <v>21.6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2700</v>
      </c>
      <c r="Y366" s="55">
        <f t="shared" ref="Y366:Y371" si="58">IFERROR(IF(X366="",0,CEILING((X366/$H366),1)*$H366),"")</f>
        <v>2700</v>
      </c>
      <c r="Z366" s="41">
        <f>IFERROR(IF(Y366=0,"",ROUNDUP(Y366/H366,0)*0.01898),"")</f>
        <v>4.7450000000000001</v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2802.5</v>
      </c>
      <c r="BN366" s="78">
        <f t="shared" ref="BN366:BN371" si="60">IFERROR(Y366*I366/H366,"0")</f>
        <v>2802.5</v>
      </c>
      <c r="BO366" s="78">
        <f t="shared" ref="BO366:BO371" si="61">IFERROR(1/J366*(X366/H366),"0")</f>
        <v>3.9062499999999996</v>
      </c>
      <c r="BP366" s="78">
        <f t="shared" ref="BP366:BP371" si="62">IFERROR(1/J366*(Y366/H366),"0")</f>
        <v>3.9062499999999996</v>
      </c>
    </row>
    <row r="367" spans="1:68" ht="27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324</v>
      </c>
      <c r="Y367" s="55">
        <f t="shared" si="58"/>
        <v>324</v>
      </c>
      <c r="Z367" s="41">
        <f>IFERROR(IF(Y367=0,"",ROUNDUP(Y367/H367,0)*0.01898),"")</f>
        <v>0.56940000000000002</v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336.3</v>
      </c>
      <c r="BN367" s="78">
        <f t="shared" si="60"/>
        <v>336.3</v>
      </c>
      <c r="BO367" s="78">
        <f t="shared" si="61"/>
        <v>0.46874999999999994</v>
      </c>
      <c r="BP367" s="78">
        <f t="shared" si="62"/>
        <v>0.46874999999999994</v>
      </c>
    </row>
    <row r="368" spans="1:68" ht="37.5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486</v>
      </c>
      <c r="Y368" s="55">
        <f t="shared" si="58"/>
        <v>486.00000000000006</v>
      </c>
      <c r="Z368" s="41">
        <f>IFERROR(IF(Y368=0,"",ROUNDUP(Y368/H368,0)*0.01898),"")</f>
        <v>0.85409999999999997</v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504.45</v>
      </c>
      <c r="BN368" s="78">
        <f t="shared" si="60"/>
        <v>504.4500000000001</v>
      </c>
      <c r="BO368" s="78">
        <f t="shared" si="61"/>
        <v>0.703125</v>
      </c>
      <c r="BP368" s="78">
        <f t="shared" si="62"/>
        <v>0.703125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324.99999999999994</v>
      </c>
      <c r="Y372" s="43">
        <f>IFERROR(Y366/H366,"0")+IFERROR(Y367/H367,"0")+IFERROR(Y368/H368,"0")+IFERROR(Y369/H369,"0")+IFERROR(Y370/H370,"0")+IFERROR(Y371/H371,"0")</f>
        <v>324.99999999999994</v>
      </c>
      <c r="Z372" s="43">
        <f>IFERROR(IF(Z366="",0,Z366),"0")+IFERROR(IF(Z367="",0,Z367),"0")+IFERROR(IF(Z368="",0,Z368),"0")+IFERROR(IF(Z369="",0,Z369),"0")+IFERROR(IF(Z370="",0,Z370),"0")+IFERROR(IF(Z371="",0,Z371),"0")</f>
        <v>6.1684999999999999</v>
      </c>
      <c r="AA372" s="67"/>
      <c r="AB372" s="67"/>
      <c r="AC372" s="67"/>
    </row>
    <row r="373" spans="1:68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3510</v>
      </c>
      <c r="Y373" s="43">
        <f>IFERROR(SUM(Y366:Y371),"0")</f>
        <v>3510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4.2</v>
      </c>
      <c r="Y376" s="55">
        <f t="shared" si="63"/>
        <v>4.2</v>
      </c>
      <c r="Z376" s="41">
        <f>IFERROR(IF(Y376=0,"",ROUNDUP(Y376/H376,0)*0.00902),"")</f>
        <v>9.0200000000000002E-3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4.45</v>
      </c>
      <c r="BN376" s="78">
        <f t="shared" si="65"/>
        <v>4.45</v>
      </c>
      <c r="BO376" s="78">
        <f t="shared" si="66"/>
        <v>7.575757575757576E-3</v>
      </c>
      <c r="BP376" s="78">
        <f t="shared" si="67"/>
        <v>7.575757575757576E-3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1</v>
      </c>
      <c r="Y382" s="43">
        <f>IFERROR(Y375/H375,"0")+IFERROR(Y376/H376,"0")+IFERROR(Y377/H377,"0")+IFERROR(Y378/H378,"0")+IFERROR(Y379/H379,"0")+IFERROR(Y380/H380,"0")+IFERROR(Y381/H381,"0")</f>
        <v>1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9.0200000000000002E-3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4.2</v>
      </c>
      <c r="Y383" s="43">
        <f>IFERROR(SUM(Y375:Y381),"0")</f>
        <v>4.2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6</v>
      </c>
      <c r="Y405" s="55">
        <f>IFERROR(IF(X405="",0,CEILING((X405/$H405),1)*$H405),"")</f>
        <v>6</v>
      </c>
      <c r="Z405" s="41">
        <f>IFERROR(IF(Y405=0,"",ROUNDUP(Y405/H405,0)*0.00474),"")</f>
        <v>1.422E-2</v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6.7200000000000006</v>
      </c>
      <c r="BN405" s="78">
        <f>IFERROR(Y405*I405/H405,"0")</f>
        <v>6.7200000000000006</v>
      </c>
      <c r="BO405" s="78">
        <f>IFERROR(1/J405*(X405/H405),"0")</f>
        <v>1.2605042016806723E-2</v>
      </c>
      <c r="BP405" s="78">
        <f>IFERROR(1/J405*(Y405/H405),"0")</f>
        <v>1.2605042016806723E-2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6</v>
      </c>
      <c r="Y407" s="55">
        <f>IFERROR(IF(X407="",0,CEILING((X407/$H407),1)*$H407),"")</f>
        <v>6</v>
      </c>
      <c r="Z407" s="41">
        <f>IFERROR(IF(Y407=0,"",ROUNDUP(Y407/H407,0)*0.00474),"")</f>
        <v>1.422E-2</v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6.7200000000000006</v>
      </c>
      <c r="BN407" s="78">
        <f>IFERROR(Y407*I407/H407,"0")</f>
        <v>6.7200000000000006</v>
      </c>
      <c r="BO407" s="78">
        <f>IFERROR(1/J407*(X407/H407),"0")</f>
        <v>1.2605042016806723E-2</v>
      </c>
      <c r="BP407" s="78">
        <f>IFERROR(1/J407*(Y407/H407),"0")</f>
        <v>1.2605042016806723E-2</v>
      </c>
    </row>
    <row r="408" spans="1:68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6</v>
      </c>
      <c r="Y408" s="43">
        <f>IFERROR(Y405/H405,"0")+IFERROR(Y406/H406,"0")+IFERROR(Y407/H407,"0")</f>
        <v>6</v>
      </c>
      <c r="Z408" s="43">
        <f>IFERROR(IF(Z405="",0,Z405),"0")+IFERROR(IF(Z406="",0,Z406),"0")+IFERROR(IF(Z407="",0,Z407),"0")</f>
        <v>2.844E-2</v>
      </c>
      <c r="AA408" s="67"/>
      <c r="AB408" s="67"/>
      <c r="AC408" s="67"/>
    </row>
    <row r="409" spans="1:68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12</v>
      </c>
      <c r="Y409" s="43">
        <f>IFERROR(SUM(Y405:Y407),"0")</f>
        <v>12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525</v>
      </c>
      <c r="Y433" s="55">
        <f t="shared" si="68"/>
        <v>525</v>
      </c>
      <c r="Z433" s="41">
        <f>IFERROR(IF(Y433=0,"",ROUNDUP(Y433/H433,0)*0.02175),"")</f>
        <v>0.76124999999999998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541.45000000000005</v>
      </c>
      <c r="BN433" s="78">
        <f t="shared" si="70"/>
        <v>541.45000000000005</v>
      </c>
      <c r="BO433" s="78">
        <f t="shared" si="71"/>
        <v>0.72916666666666663</v>
      </c>
      <c r="BP433" s="78">
        <f t="shared" si="72"/>
        <v>0.72916666666666663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450</v>
      </c>
      <c r="Y434" s="55">
        <f t="shared" si="68"/>
        <v>450</v>
      </c>
      <c r="Z434" s="41">
        <f>IFERROR(IF(Y434=0,"",ROUNDUP(Y434/H434,0)*0.02175),"")</f>
        <v>0.65249999999999997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464.1</v>
      </c>
      <c r="BN434" s="78">
        <f t="shared" si="70"/>
        <v>464.1</v>
      </c>
      <c r="BO434" s="78">
        <f t="shared" si="71"/>
        <v>0.625</v>
      </c>
      <c r="BP434" s="78">
        <f t="shared" si="72"/>
        <v>0.625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1050</v>
      </c>
      <c r="Y436" s="55">
        <f t="shared" si="68"/>
        <v>1050</v>
      </c>
      <c r="Z436" s="41">
        <f>IFERROR(IF(Y436=0,"",ROUNDUP(Y436/H436,0)*0.02175),"")</f>
        <v>1.5225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1082.9000000000001</v>
      </c>
      <c r="BN436" s="78">
        <f t="shared" si="70"/>
        <v>1082.9000000000001</v>
      </c>
      <c r="BO436" s="78">
        <f t="shared" si="71"/>
        <v>1.4583333333333333</v>
      </c>
      <c r="BP436" s="78">
        <f t="shared" si="72"/>
        <v>1.4583333333333333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135</v>
      </c>
      <c r="Y440" s="43">
        <f>IFERROR(Y432/H432,"0")+IFERROR(Y433/H433,"0")+IFERROR(Y434/H434,"0")+IFERROR(Y435/H435,"0")+IFERROR(Y436/H436,"0")+IFERROR(Y437/H437,"0")+IFERROR(Y438/H438,"0")+IFERROR(Y439/H439,"0")</f>
        <v>135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2.9362499999999998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2025</v>
      </c>
      <c r="Y441" s="43">
        <f>IFERROR(SUM(Y432:Y439),"0")</f>
        <v>2025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675</v>
      </c>
      <c r="Y443" s="55">
        <f>IFERROR(IF(X443="",0,CEILING((X443/$H443),1)*$H443),"")</f>
        <v>675</v>
      </c>
      <c r="Z443" s="41">
        <f>IFERROR(IF(Y443=0,"",ROUNDUP(Y443/H443,0)*0.02175),"")</f>
        <v>0.9787499999999999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696.15</v>
      </c>
      <c r="BN443" s="78">
        <f>IFERROR(Y443*I443/H443,"0")</f>
        <v>696.15</v>
      </c>
      <c r="BO443" s="78">
        <f>IFERROR(1/J443*(X443/H443),"0")</f>
        <v>0.9375</v>
      </c>
      <c r="BP443" s="78">
        <f>IFERROR(1/J443*(Y443/H443),"0")</f>
        <v>0.9375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45</v>
      </c>
      <c r="Y446" s="43">
        <f>IFERROR(Y443/H443,"0")+IFERROR(Y444/H444,"0")+IFERROR(Y445/H445,"0")</f>
        <v>45</v>
      </c>
      <c r="Z446" s="43">
        <f>IFERROR(IF(Z443="",0,Z443),"0")+IFERROR(IF(Z444="",0,Z444),"0")+IFERROR(IF(Z445="",0,Z445),"0")</f>
        <v>0.9787499999999999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675</v>
      </c>
      <c r="Y447" s="43">
        <f>IFERROR(SUM(Y443:Y445),"0")</f>
        <v>675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27</v>
      </c>
      <c r="Y470" s="55">
        <f>IFERROR(IF(X470="",0,CEILING((X470/$H470),1)*$H470),"")</f>
        <v>27</v>
      </c>
      <c r="Z470" s="41">
        <f>IFERROR(IF(Y470=0,"",ROUNDUP(Y470/H470,0)*0.01898),"")</f>
        <v>5.6940000000000004E-2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28.481999999999996</v>
      </c>
      <c r="BN470" s="78">
        <f>IFERROR(Y470*I470/H470,"0")</f>
        <v>28.481999999999996</v>
      </c>
      <c r="BO470" s="78">
        <f>IFERROR(1/J470*(X470/H470),"0")</f>
        <v>4.6875E-2</v>
      </c>
      <c r="BP470" s="78">
        <f>IFERROR(1/J470*(Y470/H470),"0")</f>
        <v>4.6875E-2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3</v>
      </c>
      <c r="Y473" s="43">
        <f>IFERROR(Y470/H470,"0")+IFERROR(Y471/H471,"0")+IFERROR(Y472/H472,"0")</f>
        <v>3</v>
      </c>
      <c r="Z473" s="43">
        <f>IFERROR(IF(Z470="",0,Z470),"0")+IFERROR(IF(Z471="",0,Z471),"0")+IFERROR(IF(Z472="",0,Z472),"0")</f>
        <v>5.6940000000000004E-2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27</v>
      </c>
      <c r="Y474" s="43">
        <f>IFERROR(SUM(Y470:Y472),"0")</f>
        <v>27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15.84</v>
      </c>
      <c r="Y507" s="55">
        <f t="shared" si="78"/>
        <v>15.84</v>
      </c>
      <c r="Z507" s="41">
        <f t="shared" si="79"/>
        <v>3.5880000000000002E-2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16.889999999999997</v>
      </c>
      <c r="BN507" s="78">
        <f t="shared" si="81"/>
        <v>16.889999999999997</v>
      </c>
      <c r="BO507" s="78">
        <f t="shared" si="82"/>
        <v>2.8846153846153848E-2</v>
      </c>
      <c r="BP507" s="78">
        <f t="shared" si="83"/>
        <v>2.8846153846153848E-2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79.2</v>
      </c>
      <c r="Y508" s="55">
        <f t="shared" si="78"/>
        <v>79.2</v>
      </c>
      <c r="Z508" s="41">
        <f t="shared" si="79"/>
        <v>0.1794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84.45</v>
      </c>
      <c r="BN508" s="78">
        <f t="shared" si="81"/>
        <v>84.45</v>
      </c>
      <c r="BO508" s="78">
        <f t="shared" si="82"/>
        <v>0.14423076923076925</v>
      </c>
      <c r="BP508" s="78">
        <f t="shared" si="83"/>
        <v>0.14423076923076925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15.84</v>
      </c>
      <c r="Y510" s="55">
        <f t="shared" si="78"/>
        <v>15.84</v>
      </c>
      <c r="Z510" s="41">
        <f t="shared" si="79"/>
        <v>3.5880000000000002E-2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16.889999999999997</v>
      </c>
      <c r="BN510" s="78">
        <f t="shared" si="81"/>
        <v>16.889999999999997</v>
      </c>
      <c r="BO510" s="78">
        <f t="shared" si="82"/>
        <v>2.8846153846153848E-2</v>
      </c>
      <c r="BP510" s="78">
        <f t="shared" si="83"/>
        <v>2.8846153846153848E-2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21</v>
      </c>
      <c r="Y514" s="43">
        <f>IFERROR(Y505/H505,"0")+IFERROR(Y506/H506,"0")+IFERROR(Y507/H507,"0")+IFERROR(Y508/H508,"0")+IFERROR(Y509/H509,"0")+IFERROR(Y510/H510,"0")+IFERROR(Y511/H511,"0")+IFERROR(Y512/H512,"0")+IFERROR(Y513/H513,"0")</f>
        <v>21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0.25115999999999999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110.88000000000001</v>
      </c>
      <c r="Y515" s="43">
        <f>IFERROR(SUM(Y505:Y513),"0")</f>
        <v>110.88000000000001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79.2</v>
      </c>
      <c r="Y517" s="55">
        <f>IFERROR(IF(X517="",0,CEILING((X517/$H517),1)*$H517),"")</f>
        <v>79.2</v>
      </c>
      <c r="Z517" s="41">
        <f>IFERROR(IF(Y517=0,"",ROUNDUP(Y517/H517,0)*0.01196),"")</f>
        <v>0.1794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84.45</v>
      </c>
      <c r="BN517" s="78">
        <f>IFERROR(Y517*I517/H517,"0")</f>
        <v>84.45</v>
      </c>
      <c r="BO517" s="78">
        <f>IFERROR(1/J517*(X517/H517),"0")</f>
        <v>0.14423076923076925</v>
      </c>
      <c r="BP517" s="78">
        <f>IFERROR(1/J517*(Y517/H517),"0")</f>
        <v>0.14423076923076925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15</v>
      </c>
      <c r="Y520" s="43">
        <f>IFERROR(Y517/H517,"0")+IFERROR(Y518/H518,"0")+IFERROR(Y519/H519,"0")</f>
        <v>15</v>
      </c>
      <c r="Z520" s="43">
        <f>IFERROR(IF(Z517="",0,Z517),"0")+IFERROR(IF(Z518="",0,Z518),"0")+IFERROR(IF(Z519="",0,Z519),"0")</f>
        <v>0.1794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79.2</v>
      </c>
      <c r="Y521" s="43">
        <f>IFERROR(SUM(Y517:Y519),"0")</f>
        <v>79.2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79.2</v>
      </c>
      <c r="Y524" s="55">
        <f t="shared" si="84"/>
        <v>79.2</v>
      </c>
      <c r="Z524" s="41">
        <f>IFERROR(IF(Y524=0,"",ROUNDUP(Y524/H524,0)*0.01196),"")</f>
        <v>0.1794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84.45</v>
      </c>
      <c r="BN524" s="78">
        <f t="shared" si="86"/>
        <v>84.45</v>
      </c>
      <c r="BO524" s="78">
        <f t="shared" si="87"/>
        <v>0.14423076923076925</v>
      </c>
      <c r="BP524" s="78">
        <f t="shared" si="88"/>
        <v>0.14423076923076925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79.2</v>
      </c>
      <c r="Y525" s="55">
        <f t="shared" si="84"/>
        <v>79.2</v>
      </c>
      <c r="Z525" s="41">
        <f>IFERROR(IF(Y525=0,"",ROUNDUP(Y525/H525,0)*0.01196),"")</f>
        <v>0.1794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84.45</v>
      </c>
      <c r="BN525" s="78">
        <f t="shared" si="86"/>
        <v>84.45</v>
      </c>
      <c r="BO525" s="78">
        <f t="shared" si="87"/>
        <v>0.14423076923076925</v>
      </c>
      <c r="BP525" s="78">
        <f t="shared" si="88"/>
        <v>0.14423076923076925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30</v>
      </c>
      <c r="Y530" s="43">
        <f>IFERROR(Y523/H523,"0")+IFERROR(Y524/H524,"0")+IFERROR(Y525/H525,"0")+IFERROR(Y526/H526,"0")+IFERROR(Y527/H527,"0")+IFERROR(Y528/H528,"0")+IFERROR(Y529/H529,"0")</f>
        <v>30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0.35880000000000001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158.4</v>
      </c>
      <c r="Y531" s="43">
        <f>IFERROR(SUM(Y523:Y529),"0")</f>
        <v>158.4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9803.18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9803.18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10192.037000000002</v>
      </c>
      <c r="Y561" s="43">
        <f>IFERROR(SUM(BN22:BN557),"0")</f>
        <v>10192.037000000002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15</v>
      </c>
      <c r="Y562" s="44">
        <f>ROUNDUP(SUM(BP22:BP557),0)</f>
        <v>15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10567.037000000002</v>
      </c>
      <c r="Y563" s="43">
        <f>GrossWeightTotalR+PalletQtyTotalR*25</f>
        <v>10567.037000000002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937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937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17.115779999999997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324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1484.4</v>
      </c>
      <c r="F570" s="52">
        <f>IFERROR(Y85*1,"0")+IFERROR(Y86*1,"0")+IFERROR(Y87*1,"0")+IFERROR(Y88*1,"0")+IFERROR(Y89*1,"0")+IFERROR(Y93*1,"0")+IFERROR(Y94*1,"0")+IFERROR(Y95*1,"0")+IFERROR(Y96*1,"0")+IFERROR(Y97*1,"0")+IFERROR(Y98*1,"0")</f>
        <v>594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702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3.5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72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21.6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3526.2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2700</v>
      </c>
      <c r="X570" s="52">
        <f>IFERROR(Y461*1,"0")+IFERROR(Y462*1,"0")+IFERROR(Y466*1,"0")+IFERROR(Y470*1,"0")+IFERROR(Y471*1,"0")+IFERROR(Y472*1,"0")</f>
        <v>27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348.48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9,00"/>
        <filter val="1 050,00"/>
        <filter val="1,00"/>
        <filter val="10 192,04"/>
        <filter val="10 567,04"/>
        <filter val="10,80"/>
        <filter val="100,00"/>
        <filter val="110,88"/>
        <filter val="12,00"/>
        <filter val="135,00"/>
        <filter val="15"/>
        <filter val="15,00"/>
        <filter val="15,84"/>
        <filter val="158,40"/>
        <filter val="2 025,00"/>
        <filter val="2 700,00"/>
        <filter val="2,00"/>
        <filter val="20,00"/>
        <filter val="21,00"/>
        <filter val="21,60"/>
        <filter val="216,00"/>
        <filter val="23,40"/>
        <filter val="24,00"/>
        <filter val="243,00"/>
        <filter val="27,00"/>
        <filter val="270,00"/>
        <filter val="3 510,00"/>
        <filter val="3,00"/>
        <filter val="3,50"/>
        <filter val="30,00"/>
        <filter val="324,00"/>
        <filter val="325,00"/>
        <filter val="336,00"/>
        <filter val="4,20"/>
        <filter val="40,00"/>
        <filter val="432,00"/>
        <filter val="45,00"/>
        <filter val="450,00"/>
        <filter val="486,00"/>
        <filter val="525,00"/>
        <filter val="6,00"/>
        <filter val="60,00"/>
        <filter val="648,00"/>
        <filter val="675,00"/>
        <filter val="72,00"/>
        <filter val="79,20"/>
        <filter val="9 803,18"/>
        <filter val="937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2026-08-31T13:09:50Z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