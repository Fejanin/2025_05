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69B8500E-9417-4CEE-AAD0-024387DADF55}" xr6:coauthVersionLast="47" xr6:coauthVersionMax="47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1" r:id="rId1"/>
    <sheet name="Setting" sheetId="2" state="hidden" r:id="rId2"/>
  </sheets>
  <definedNames>
    <definedName name="_xlnm._FilterDatabase" localSheetId="0" hidden="1">'Бланк заказа'!$A$18:$AF$284</definedName>
    <definedName name="CodeProxySet">Setting!$E$21:$E$22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Setting!$B$6:$B$10</definedName>
    <definedName name="DeliveryCodeAdressList">Setting!$C$6:$C$10</definedName>
    <definedName name="DeliveryConditions">'Бланк заказа'!$V$12</definedName>
    <definedName name="DeliveryConditionsList">Setting!$B$22:$B$32</definedName>
    <definedName name="DeliveryDate">'Бланк заказа'!$Q$9</definedName>
    <definedName name="DeliveryMethodList">Setting!$B$3:$B$4</definedName>
    <definedName name="DeliveryNumAdressList">Setting!$D$6:$D$10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Setting!$C$21:$C$22</definedName>
    <definedName name="GrossWeightTotal">'Бланк заказа'!$X$280:$X$280</definedName>
    <definedName name="GrossWeightTotalR">'Бланк заказа'!$Y$280:$Y$280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Setting!$B$21:$B$22</definedName>
    <definedName name="PalletQtyTotal">'Бланк заказа'!$X$281:$X$281</definedName>
    <definedName name="PalletQtyTotalR">'Бланк заказа'!$Y$281:$Y$281</definedName>
    <definedName name="PassportProxy">'Бланк заказа'!$J$9:$M$9</definedName>
    <definedName name="PassportProxySet">Setting!$D$21:$D$22</definedName>
    <definedName name="ProductId1">'Бланк заказа'!$B$22:$B$22</definedName>
    <definedName name="ProductId10">'Бланк заказа'!$B$35:$B$35</definedName>
    <definedName name="ProductId11">'Бланк заказа'!$B$41:$B$41</definedName>
    <definedName name="ProductId12">'Бланк заказа'!$B$42:$B$42</definedName>
    <definedName name="ProductId13">'Бланк заказа'!$B$47:$B$47</definedName>
    <definedName name="ProductId14">'Бланк заказа'!$B$48:$B$48</definedName>
    <definedName name="ProductId15">'Бланк заказа'!$B$53:$B$53</definedName>
    <definedName name="ProductId16">'Бланк заказа'!$B$54:$B$54</definedName>
    <definedName name="ProductId17">'Бланк заказа'!$B$55:$B$55</definedName>
    <definedName name="ProductId18">'Бланк заказа'!$B$56:$B$56</definedName>
    <definedName name="ProductId19">'Бланк заказа'!$B$61:$B$61</definedName>
    <definedName name="ProductId2">'Бланк заказа'!$B$23:$B$23</definedName>
    <definedName name="ProductId20">'Бланк заказа'!$B$65:$B$65</definedName>
    <definedName name="ProductId21">'Бланк заказа'!$B$66:$B$66</definedName>
    <definedName name="ProductId22">'Бланк заказа'!$B$70:$B$70</definedName>
    <definedName name="ProductId23">'Бланк заказа'!$B$71:$B$71</definedName>
    <definedName name="ProductId24">'Бланк заказа'!$B$72:$B$72</definedName>
    <definedName name="ProductId25">'Бланк заказа'!$B$77:$B$77</definedName>
    <definedName name="ProductId26">'Бланк заказа'!$B$78:$B$78</definedName>
    <definedName name="ProductId27">'Бланк заказа'!$B$83:$B$83</definedName>
    <definedName name="ProductId28">'Бланк заказа'!$B$88:$B$88</definedName>
    <definedName name="ProductId29">'Бланк заказа'!$B$89:$B$89</definedName>
    <definedName name="ProductId3">'Бланк заказа'!$B$24:$B$24</definedName>
    <definedName name="ProductId30">'Бланк заказа'!$B$94:$B$94</definedName>
    <definedName name="ProductId31">'Бланк заказа'!$B$95:$B$95</definedName>
    <definedName name="ProductId32">'Бланк заказа'!$B$96:$B$96</definedName>
    <definedName name="ProductId33">'Бланк заказа'!$B$97:$B$97</definedName>
    <definedName name="ProductId34">'Бланк заказа'!$B$98:$B$98</definedName>
    <definedName name="ProductId35">'Бланк заказа'!$B$99:$B$99</definedName>
    <definedName name="ProductId36">'Бланк заказа'!$B$104:$B$104</definedName>
    <definedName name="ProductId37">'Бланк заказа'!$B$105:$B$105</definedName>
    <definedName name="ProductId38">'Бланк заказа'!$B$110:$B$110</definedName>
    <definedName name="ProductId39">'Бланк заказа'!$B$111:$B$111</definedName>
    <definedName name="ProductId4">'Бланк заказа'!$B$25:$B$25</definedName>
    <definedName name="ProductId40">'Бланк заказа'!$B$112:$B$112</definedName>
    <definedName name="ProductId41">'Бланк заказа'!$B$113:$B$113</definedName>
    <definedName name="ProductId42">'Бланк заказа'!$B$114:$B$114</definedName>
    <definedName name="ProductId43">'Бланк заказа'!$B$115:$B$115</definedName>
    <definedName name="ProductId44">'Бланк заказа'!$B$116:$B$116</definedName>
    <definedName name="ProductId45">'Бланк заказа'!$B$120:$B$120</definedName>
    <definedName name="ProductId46">'Бланк заказа'!$B$124:$B$124</definedName>
    <definedName name="ProductId47">'Бланк заказа'!$B$129:$B$129</definedName>
    <definedName name="ProductId48">'Бланк заказа'!$B$130:$B$130</definedName>
    <definedName name="ProductId49">'Бланк заказа'!$B$131:$B$131</definedName>
    <definedName name="ProductId5">'Бланк заказа'!$B$26:$B$26</definedName>
    <definedName name="ProductId50">'Бланк заказа'!$B$132:$B$132</definedName>
    <definedName name="ProductId51">'Бланк заказа'!$B$136:$B$136</definedName>
    <definedName name="ProductId52">'Бланк заказа'!$B$137:$B$137</definedName>
    <definedName name="ProductId53">'Бланк заказа'!$B$138:$B$138</definedName>
    <definedName name="ProductId54">'Бланк заказа'!$B$143:$B$143</definedName>
    <definedName name="ProductId55">'Бланк заказа'!$B$144:$B$144</definedName>
    <definedName name="ProductId56">'Бланк заказа'!$B$149:$B$149</definedName>
    <definedName name="ProductId57">'Бланк заказа'!$B$150:$B$150</definedName>
    <definedName name="ProductId58">'Бланк заказа'!$B$155:$B$155</definedName>
    <definedName name="ProductId59">'Бланк заказа'!$B$156:$B$156</definedName>
    <definedName name="ProductId6">'Бланк заказа'!$B$27:$B$27</definedName>
    <definedName name="ProductId60">'Бланк заказа'!$B$161:$B$161</definedName>
    <definedName name="ProductId61">'Бланк заказа'!$B$166:$B$166</definedName>
    <definedName name="ProductId62">'Бланк заказа'!$B$171:$B$171</definedName>
    <definedName name="ProductId63">'Бланк заказа'!$B$177:$B$177</definedName>
    <definedName name="ProductId64">'Бланк заказа'!$B$178:$B$178</definedName>
    <definedName name="ProductId65">'Бланк заказа'!$B$183:$B$183</definedName>
    <definedName name="ProductId66">'Бланк заказа'!$B$189:$B$189</definedName>
    <definedName name="ProductId67">'Бланк заказа'!$B$190:$B$190</definedName>
    <definedName name="ProductId68">'Бланк заказа'!$B$191:$B$191</definedName>
    <definedName name="ProductId69">'Бланк заказа'!$B$192:$B$192</definedName>
    <definedName name="ProductId7">'Бланк заказа'!$B$28:$B$28</definedName>
    <definedName name="ProductId70">'Бланк заказа'!$B$198:$B$198</definedName>
    <definedName name="ProductId71">'Бланк заказа'!$B$202:$B$202</definedName>
    <definedName name="ProductId72">'Бланк заказа'!$B$203:$B$203</definedName>
    <definedName name="ProductId73">'Бланк заказа'!$B$204:$B$204</definedName>
    <definedName name="ProductId74">'Бланк заказа'!$B$209:$B$209</definedName>
    <definedName name="ProductId75">'Бланк заказа'!$B$210:$B$210</definedName>
    <definedName name="ProductId76">'Бланк заказа'!$B$215:$B$215</definedName>
    <definedName name="ProductId77">'Бланк заказа'!$B$220:$B$220</definedName>
    <definedName name="ProductId78">'Бланк заказа'!$B$226:$B$226</definedName>
    <definedName name="ProductId79">'Бланк заказа'!$B$232:$B$232</definedName>
    <definedName name="ProductId8">'Бланк заказа'!$B$29:$B$29</definedName>
    <definedName name="ProductId80">'Бланк заказа'!$B$236:$B$236</definedName>
    <definedName name="ProductId81">'Бланк заказа'!$B$242:$B$242</definedName>
    <definedName name="ProductId82">'Бланк заказа'!$B$246:$B$246</definedName>
    <definedName name="ProductId83">'Бланк заказа'!$B$252:$B$252</definedName>
    <definedName name="ProductId84">'Бланк заказа'!$B$253:$B$253</definedName>
    <definedName name="ProductId85">'Бланк заказа'!$B$257:$B$257</definedName>
    <definedName name="ProductId86">'Бланк заказа'!$B$261:$B$261</definedName>
    <definedName name="ProductId87">'Бланк заказа'!$B$262:$B$262</definedName>
    <definedName name="ProductId88">'Бланк заказа'!$B$263:$B$263</definedName>
    <definedName name="ProductId89">'Бланк заказа'!$B$267:$B$267</definedName>
    <definedName name="ProductId9">'Бланк заказа'!$B$34:$B$34</definedName>
    <definedName name="ProductId90">'Бланк заказа'!$B$268:$B$268</definedName>
    <definedName name="ProductId91">'Бланк заказа'!$B$269:$B$269</definedName>
    <definedName name="ProductId92">'Бланк заказа'!$B$270:$B$270</definedName>
    <definedName name="ProductId93">'Бланк заказа'!$B$271:$B$271</definedName>
    <definedName name="ProductId94">'Бланк заказа'!$B$272:$B$272</definedName>
    <definedName name="ProductId95">'Бланк заказа'!$B$273:$B$273</definedName>
    <definedName name="ProductId96">'Бланк заказа'!$B$274:$B$274</definedName>
    <definedName name="ProductId97">'Бланк заказа'!$B$275:$B$275</definedName>
    <definedName name="ProductId98">'Бланк заказа'!$B$276:$B$276</definedName>
    <definedName name="Proxy">Setting!$B$21:$E$22</definedName>
    <definedName name="Ref_UnloadCodeAdressList0001">Setting!$C$12:$C$12</definedName>
    <definedName name="Ref_UnloadCodeAdressList0002">Setting!$C$14:$C$14</definedName>
    <definedName name="Ref_UnloadCodeAdressList0003">Setting!$C$16:$C$16</definedName>
    <definedName name="Ref_UnloadCodeAdressList0004">Setting!$C$18:$C$18</definedName>
    <definedName name="Ref_UnloadCodeAdressList0005">Setting!$C$20:$C$20</definedName>
    <definedName name="RequestReceiptTime">'Бланк заказа'!$A$13</definedName>
    <definedName name="SalesQty1">'Бланк заказа'!$X$22:$X$22</definedName>
    <definedName name="SalesQty10">'Бланк заказа'!$X$35:$X$35</definedName>
    <definedName name="SalesQty11">'Бланк заказа'!$X$41:$X$41</definedName>
    <definedName name="SalesQty12">'Бланк заказа'!$X$42:$X$42</definedName>
    <definedName name="SalesQty13">'Бланк заказа'!$X$47:$X$47</definedName>
    <definedName name="SalesQty14">'Бланк заказа'!$X$48:$X$48</definedName>
    <definedName name="SalesQty15">'Бланк заказа'!$X$53:$X$53</definedName>
    <definedName name="SalesQty16">'Бланк заказа'!$X$54:$X$54</definedName>
    <definedName name="SalesQty17">'Бланк заказа'!$X$55:$X$55</definedName>
    <definedName name="SalesQty18">'Бланк заказа'!$X$56:$X$56</definedName>
    <definedName name="SalesQty19">'Бланк заказа'!$X$61:$X$61</definedName>
    <definedName name="SalesQty2">'Бланк заказа'!$X$23:$X$23</definedName>
    <definedName name="SalesQty20">'Бланк заказа'!$X$65:$X$65</definedName>
    <definedName name="SalesQty21">'Бланк заказа'!$X$66:$X$66</definedName>
    <definedName name="SalesQty22">'Бланк заказа'!$X$70:$X$70</definedName>
    <definedName name="SalesQty23">'Бланк заказа'!$X$71:$X$71</definedName>
    <definedName name="SalesQty24">'Бланк заказа'!$X$72:$X$72</definedName>
    <definedName name="SalesQty25">'Бланк заказа'!$X$77:$X$77</definedName>
    <definedName name="SalesQty26">'Бланк заказа'!$X$78:$X$78</definedName>
    <definedName name="SalesQty27">'Бланк заказа'!$X$83:$X$83</definedName>
    <definedName name="SalesQty28">'Бланк заказа'!$X$88:$X$88</definedName>
    <definedName name="SalesQty29">'Бланк заказа'!$X$89:$X$89</definedName>
    <definedName name="SalesQty3">'Бланк заказа'!$X$24:$X$24</definedName>
    <definedName name="SalesQty30">'Бланк заказа'!$X$94:$X$94</definedName>
    <definedName name="SalesQty31">'Бланк заказа'!$X$95:$X$95</definedName>
    <definedName name="SalesQty32">'Бланк заказа'!$X$96:$X$96</definedName>
    <definedName name="SalesQty33">'Бланк заказа'!$X$97:$X$97</definedName>
    <definedName name="SalesQty34">'Бланк заказа'!$X$98:$X$98</definedName>
    <definedName name="SalesQty35">'Бланк заказа'!$X$99:$X$99</definedName>
    <definedName name="SalesQty36">'Бланк заказа'!$X$104:$X$104</definedName>
    <definedName name="SalesQty37">'Бланк заказа'!$X$105:$X$105</definedName>
    <definedName name="SalesQty38">'Бланк заказа'!$X$110:$X$110</definedName>
    <definedName name="SalesQty39">'Бланк заказа'!$X$111:$X$111</definedName>
    <definedName name="SalesQty4">'Бланк заказа'!$X$25:$X$25</definedName>
    <definedName name="SalesQty40">'Бланк заказа'!$X$112:$X$112</definedName>
    <definedName name="SalesQty41">'Бланк заказа'!$X$113:$X$113</definedName>
    <definedName name="SalesQty42">'Бланк заказа'!$X$114:$X$114</definedName>
    <definedName name="SalesQty43">'Бланк заказа'!$X$115:$X$115</definedName>
    <definedName name="SalesQty44">'Бланк заказа'!$X$116:$X$116</definedName>
    <definedName name="SalesQty45">'Бланк заказа'!$X$120:$X$120</definedName>
    <definedName name="SalesQty46">'Бланк заказа'!$X$124:$X$124</definedName>
    <definedName name="SalesQty47">'Бланк заказа'!$X$129:$X$129</definedName>
    <definedName name="SalesQty48">'Бланк заказа'!$X$130:$X$130</definedName>
    <definedName name="SalesQty49">'Бланк заказа'!$X$131:$X$131</definedName>
    <definedName name="SalesQty5">'Бланк заказа'!$X$26:$X$26</definedName>
    <definedName name="SalesQty50">'Бланк заказа'!$X$132:$X$132</definedName>
    <definedName name="SalesQty51">'Бланк заказа'!$X$136:$X$136</definedName>
    <definedName name="SalesQty52">'Бланк заказа'!$X$137:$X$137</definedName>
    <definedName name="SalesQty53">'Бланк заказа'!$X$138:$X$138</definedName>
    <definedName name="SalesQty54">'Бланк заказа'!$X$143:$X$143</definedName>
    <definedName name="SalesQty55">'Бланк заказа'!$X$144:$X$144</definedName>
    <definedName name="SalesQty56">'Бланк заказа'!$X$149:$X$149</definedName>
    <definedName name="SalesQty57">'Бланк заказа'!$X$150:$X$150</definedName>
    <definedName name="SalesQty58">'Бланк заказа'!$X$155:$X$155</definedName>
    <definedName name="SalesQty59">'Бланк заказа'!$X$156:$X$156</definedName>
    <definedName name="SalesQty6">'Бланк заказа'!$X$27:$X$27</definedName>
    <definedName name="SalesQty60">'Бланк заказа'!$X$161:$X$161</definedName>
    <definedName name="SalesQty61">'Бланк заказа'!$X$166:$X$166</definedName>
    <definedName name="SalesQty62">'Бланк заказа'!$X$171:$X$171</definedName>
    <definedName name="SalesQty63">'Бланк заказа'!$X$177:$X$177</definedName>
    <definedName name="SalesQty64">'Бланк заказа'!$X$178:$X$178</definedName>
    <definedName name="SalesQty65">'Бланк заказа'!$X$183:$X$183</definedName>
    <definedName name="SalesQty66">'Бланк заказа'!$X$189:$X$189</definedName>
    <definedName name="SalesQty67">'Бланк заказа'!$X$190:$X$190</definedName>
    <definedName name="SalesQty68">'Бланк заказа'!$X$191:$X$191</definedName>
    <definedName name="SalesQty69">'Бланк заказа'!$X$192:$X$192</definedName>
    <definedName name="SalesQty7">'Бланк заказа'!$X$28:$X$28</definedName>
    <definedName name="SalesQty70">'Бланк заказа'!$X$198:$X$198</definedName>
    <definedName name="SalesQty71">'Бланк заказа'!$X$202:$X$202</definedName>
    <definedName name="SalesQty72">'Бланк заказа'!$X$203:$X$203</definedName>
    <definedName name="SalesQty73">'Бланк заказа'!$X$204:$X$204</definedName>
    <definedName name="SalesQty74">'Бланк заказа'!$X$209:$X$209</definedName>
    <definedName name="SalesQty75">'Бланк заказа'!$X$210:$X$210</definedName>
    <definedName name="SalesQty76">'Бланк заказа'!$X$215:$X$215</definedName>
    <definedName name="SalesQty77">'Бланк заказа'!$X$220:$X$220</definedName>
    <definedName name="SalesQty78">'Бланк заказа'!$X$226:$X$226</definedName>
    <definedName name="SalesQty79">'Бланк заказа'!$X$232:$X$232</definedName>
    <definedName name="SalesQty8">'Бланк заказа'!$X$29:$X$29</definedName>
    <definedName name="SalesQty80">'Бланк заказа'!$X$236:$X$236</definedName>
    <definedName name="SalesQty81">'Бланк заказа'!$X$242:$X$242</definedName>
    <definedName name="SalesQty82">'Бланк заказа'!$X$246:$X$246</definedName>
    <definedName name="SalesQty83">'Бланк заказа'!$X$252:$X$252</definedName>
    <definedName name="SalesQty84">'Бланк заказа'!$X$253:$X$253</definedName>
    <definedName name="SalesQty85">'Бланк заказа'!$X$257:$X$257</definedName>
    <definedName name="SalesQty86">'Бланк заказа'!$X$261:$X$261</definedName>
    <definedName name="SalesQty87">'Бланк заказа'!$X$262:$X$262</definedName>
    <definedName name="SalesQty88">'Бланк заказа'!$X$263:$X$263</definedName>
    <definedName name="SalesQty89">'Бланк заказа'!$X$267:$X$267</definedName>
    <definedName name="SalesQty9">'Бланк заказа'!$X$34:$X$34</definedName>
    <definedName name="SalesQty90">'Бланк заказа'!$X$268:$X$268</definedName>
    <definedName name="SalesQty91">'Бланк заказа'!$X$269:$X$269</definedName>
    <definedName name="SalesQty92">'Бланк заказа'!$X$270:$X$270</definedName>
    <definedName name="SalesQty93">'Бланк заказа'!$X$271:$X$271</definedName>
    <definedName name="SalesQty94">'Бланк заказа'!$X$272:$X$272</definedName>
    <definedName name="SalesQty95">'Бланк заказа'!$X$273:$X$273</definedName>
    <definedName name="SalesQty96">'Бланк заказа'!$X$274:$X$274</definedName>
    <definedName name="SalesQty97">'Бланк заказа'!$X$275:$X$275</definedName>
    <definedName name="SalesQty98">'Бланк заказа'!$X$276:$X$276</definedName>
    <definedName name="SalesRequestType">'Бланк заказа'!$V$11</definedName>
    <definedName name="SalesRoundBox1">'Бланк заказа'!$Y$22:$Y$22</definedName>
    <definedName name="SalesRoundBox10">'Бланк заказа'!$Y$35:$Y$35</definedName>
    <definedName name="SalesRoundBox11">'Бланк заказа'!$Y$41:$Y$41</definedName>
    <definedName name="SalesRoundBox12">'Бланк заказа'!$Y$42:$Y$42</definedName>
    <definedName name="SalesRoundBox13">'Бланк заказа'!$Y$47:$Y$47</definedName>
    <definedName name="SalesRoundBox14">'Бланк заказа'!$Y$48:$Y$48</definedName>
    <definedName name="SalesRoundBox15">'Бланк заказа'!$Y$53:$Y$53</definedName>
    <definedName name="SalesRoundBox16">'Бланк заказа'!$Y$54:$Y$54</definedName>
    <definedName name="SalesRoundBox17">'Бланк заказа'!$Y$55:$Y$55</definedName>
    <definedName name="SalesRoundBox18">'Бланк заказа'!$Y$56:$Y$56</definedName>
    <definedName name="SalesRoundBox19">'Бланк заказа'!$Y$61:$Y$61</definedName>
    <definedName name="SalesRoundBox2">'Бланк заказа'!$Y$23:$Y$23</definedName>
    <definedName name="SalesRoundBox20">'Бланк заказа'!$Y$65:$Y$65</definedName>
    <definedName name="SalesRoundBox21">'Бланк заказа'!$Y$66:$Y$66</definedName>
    <definedName name="SalesRoundBox22">'Бланк заказа'!$Y$70:$Y$70</definedName>
    <definedName name="SalesRoundBox23">'Бланк заказа'!$Y$71:$Y$71</definedName>
    <definedName name="SalesRoundBox24">'Бланк заказа'!$Y$72:$Y$72</definedName>
    <definedName name="SalesRoundBox25">'Бланк заказа'!$Y$77:$Y$77</definedName>
    <definedName name="SalesRoundBox26">'Бланк заказа'!$Y$78:$Y$78</definedName>
    <definedName name="SalesRoundBox27">'Бланк заказа'!$Y$83:$Y$83</definedName>
    <definedName name="SalesRoundBox28">'Бланк заказа'!$Y$88:$Y$88</definedName>
    <definedName name="SalesRoundBox29">'Бланк заказа'!$Y$89:$Y$89</definedName>
    <definedName name="SalesRoundBox3">'Бланк заказа'!$Y$24:$Y$24</definedName>
    <definedName name="SalesRoundBox30">'Бланк заказа'!$Y$94:$Y$94</definedName>
    <definedName name="SalesRoundBox31">'Бланк заказа'!$Y$95:$Y$95</definedName>
    <definedName name="SalesRoundBox32">'Бланк заказа'!$Y$96:$Y$96</definedName>
    <definedName name="SalesRoundBox33">'Бланк заказа'!$Y$97:$Y$97</definedName>
    <definedName name="SalesRoundBox34">'Бланк заказа'!$Y$98:$Y$98</definedName>
    <definedName name="SalesRoundBox35">'Бланк заказа'!$Y$99:$Y$99</definedName>
    <definedName name="SalesRoundBox36">'Бланк заказа'!$Y$104:$Y$104</definedName>
    <definedName name="SalesRoundBox37">'Бланк заказа'!$Y$105:$Y$105</definedName>
    <definedName name="SalesRoundBox38">'Бланк заказа'!$Y$110:$Y$110</definedName>
    <definedName name="SalesRoundBox39">'Бланк заказа'!$Y$111:$Y$111</definedName>
    <definedName name="SalesRoundBox4">'Бланк заказа'!$Y$25:$Y$25</definedName>
    <definedName name="SalesRoundBox40">'Бланк заказа'!$Y$112:$Y$112</definedName>
    <definedName name="SalesRoundBox41">'Бланк заказа'!$Y$113:$Y$113</definedName>
    <definedName name="SalesRoundBox42">'Бланк заказа'!$Y$114:$Y$114</definedName>
    <definedName name="SalesRoundBox43">'Бланк заказа'!$Y$115:$Y$115</definedName>
    <definedName name="SalesRoundBox44">'Бланк заказа'!$Y$116:$Y$116</definedName>
    <definedName name="SalesRoundBox45">'Бланк заказа'!$Y$120:$Y$120</definedName>
    <definedName name="SalesRoundBox46">'Бланк заказа'!$Y$124:$Y$124</definedName>
    <definedName name="SalesRoundBox47">'Бланк заказа'!$Y$129:$Y$129</definedName>
    <definedName name="SalesRoundBox48">'Бланк заказа'!$Y$130:$Y$130</definedName>
    <definedName name="SalesRoundBox49">'Бланк заказа'!$Y$131:$Y$131</definedName>
    <definedName name="SalesRoundBox5">'Бланк заказа'!$Y$26:$Y$26</definedName>
    <definedName name="SalesRoundBox50">'Бланк заказа'!$Y$132:$Y$132</definedName>
    <definedName name="SalesRoundBox51">'Бланк заказа'!$Y$136:$Y$136</definedName>
    <definedName name="SalesRoundBox52">'Бланк заказа'!$Y$137:$Y$137</definedName>
    <definedName name="SalesRoundBox53">'Бланк заказа'!$Y$138:$Y$138</definedName>
    <definedName name="SalesRoundBox54">'Бланк заказа'!$Y$143:$Y$143</definedName>
    <definedName name="SalesRoundBox55">'Бланк заказа'!$Y$144:$Y$144</definedName>
    <definedName name="SalesRoundBox56">'Бланк заказа'!$Y$149:$Y$149</definedName>
    <definedName name="SalesRoundBox57">'Бланк заказа'!$Y$150:$Y$150</definedName>
    <definedName name="SalesRoundBox58">'Бланк заказа'!$Y$155:$Y$155</definedName>
    <definedName name="SalesRoundBox59">'Бланк заказа'!$Y$156:$Y$156</definedName>
    <definedName name="SalesRoundBox6">'Бланк заказа'!$Y$27:$Y$27</definedName>
    <definedName name="SalesRoundBox60">'Бланк заказа'!$Y$161:$Y$161</definedName>
    <definedName name="SalesRoundBox61">'Бланк заказа'!$Y$166:$Y$166</definedName>
    <definedName name="SalesRoundBox62">'Бланк заказа'!$Y$171:$Y$171</definedName>
    <definedName name="SalesRoundBox63">'Бланк заказа'!$Y$177:$Y$177</definedName>
    <definedName name="SalesRoundBox64">'Бланк заказа'!$Y$178:$Y$178</definedName>
    <definedName name="SalesRoundBox65">'Бланк заказа'!$Y$183:$Y$183</definedName>
    <definedName name="SalesRoundBox66">'Бланк заказа'!$Y$189:$Y$189</definedName>
    <definedName name="SalesRoundBox67">'Бланк заказа'!$Y$190:$Y$190</definedName>
    <definedName name="SalesRoundBox68">'Бланк заказа'!$Y$191:$Y$191</definedName>
    <definedName name="SalesRoundBox69">'Бланк заказа'!$Y$192:$Y$192</definedName>
    <definedName name="SalesRoundBox7">'Бланк заказа'!$Y$28:$Y$28</definedName>
    <definedName name="SalesRoundBox70">'Бланк заказа'!$Y$198:$Y$198</definedName>
    <definedName name="SalesRoundBox71">'Бланк заказа'!$Y$202:$Y$202</definedName>
    <definedName name="SalesRoundBox72">'Бланк заказа'!$Y$203:$Y$203</definedName>
    <definedName name="SalesRoundBox73">'Бланк заказа'!$Y$204:$Y$204</definedName>
    <definedName name="SalesRoundBox74">'Бланк заказа'!$Y$209:$Y$209</definedName>
    <definedName name="SalesRoundBox75">'Бланк заказа'!$Y$210:$Y$210</definedName>
    <definedName name="SalesRoundBox76">'Бланк заказа'!$Y$215:$Y$215</definedName>
    <definedName name="SalesRoundBox77">'Бланк заказа'!$Y$220:$Y$220</definedName>
    <definedName name="SalesRoundBox78">'Бланк заказа'!$Y$226:$Y$226</definedName>
    <definedName name="SalesRoundBox79">'Бланк заказа'!$Y$232:$Y$232</definedName>
    <definedName name="SalesRoundBox8">'Бланк заказа'!$Y$29:$Y$29</definedName>
    <definedName name="SalesRoundBox80">'Бланк заказа'!$Y$236:$Y$236</definedName>
    <definedName name="SalesRoundBox81">'Бланк заказа'!$Y$242:$Y$242</definedName>
    <definedName name="SalesRoundBox82">'Бланк заказа'!$Y$246:$Y$246</definedName>
    <definedName name="SalesRoundBox83">'Бланк заказа'!$Y$252:$Y$252</definedName>
    <definedName name="SalesRoundBox84">'Бланк заказа'!$Y$253:$Y$253</definedName>
    <definedName name="SalesRoundBox85">'Бланк заказа'!$Y$257:$Y$257</definedName>
    <definedName name="SalesRoundBox86">'Бланк заказа'!$Y$261:$Y$261</definedName>
    <definedName name="SalesRoundBox87">'Бланк заказа'!$Y$262:$Y$262</definedName>
    <definedName name="SalesRoundBox88">'Бланк заказа'!$Y$263:$Y$263</definedName>
    <definedName name="SalesRoundBox89">'Бланк заказа'!$Y$267:$Y$267</definedName>
    <definedName name="SalesRoundBox9">'Бланк заказа'!$Y$34:$Y$34</definedName>
    <definedName name="SalesRoundBox90">'Бланк заказа'!$Y$268:$Y$268</definedName>
    <definedName name="SalesRoundBox91">'Бланк заказа'!$Y$269:$Y$269</definedName>
    <definedName name="SalesRoundBox92">'Бланк заказа'!$Y$270:$Y$270</definedName>
    <definedName name="SalesRoundBox93">'Бланк заказа'!$Y$271:$Y$271</definedName>
    <definedName name="SalesRoundBox94">'Бланк заказа'!$Y$272:$Y$272</definedName>
    <definedName name="SalesRoundBox95">'Бланк заказа'!$Y$273:$Y$273</definedName>
    <definedName name="SalesRoundBox96">'Бланк заказа'!$Y$274:$Y$274</definedName>
    <definedName name="SalesRoundBox97">'Бланк заказа'!$Y$275:$Y$275</definedName>
    <definedName name="SalesRoundBox98">'Бланк заказа'!$Y$276:$Y$276</definedName>
    <definedName name="Table">Setting!$B$6:$D$10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заказа'!$W$35:$W$35</definedName>
    <definedName name="UnitOfMeasure11">'Бланк заказа'!$W$41:$W$41</definedName>
    <definedName name="UnitOfMeasure12">'Бланк заказа'!$W$42:$W$42</definedName>
    <definedName name="UnitOfMeasure13">'Бланк заказа'!$W$47:$W$47</definedName>
    <definedName name="UnitOfMeasure14">'Бланк заказа'!$W$48:$W$48</definedName>
    <definedName name="UnitOfMeasure15">'Бланк заказа'!$W$53:$W$53</definedName>
    <definedName name="UnitOfMeasure16">'Бланк заказа'!$W$54:$W$54</definedName>
    <definedName name="UnitOfMeasure17">'Бланк заказа'!$W$55:$W$55</definedName>
    <definedName name="UnitOfMeasure18">'Бланк заказа'!$W$56:$W$56</definedName>
    <definedName name="UnitOfMeasure19">'Бланк заказа'!$W$61:$W$61</definedName>
    <definedName name="UnitOfMeasure2">'Бланк заказа'!$W$23:$W$23</definedName>
    <definedName name="UnitOfMeasure20">'Бланк заказа'!$W$65:$W$65</definedName>
    <definedName name="UnitOfMeasure21">'Бланк заказа'!$W$66:$W$66</definedName>
    <definedName name="UnitOfMeasure22">'Бланк заказа'!$W$70:$W$70</definedName>
    <definedName name="UnitOfMeasure23">'Бланк заказа'!$W$71:$W$71</definedName>
    <definedName name="UnitOfMeasure24">'Бланк заказа'!$W$72:$W$72</definedName>
    <definedName name="UnitOfMeasure25">'Бланк заказа'!$W$77:$W$77</definedName>
    <definedName name="UnitOfMeasure26">'Бланк заказа'!$W$78:$W$78</definedName>
    <definedName name="UnitOfMeasure27">'Бланк заказа'!$W$83:$W$83</definedName>
    <definedName name="UnitOfMeasure28">'Бланк заказа'!$W$88:$W$88</definedName>
    <definedName name="UnitOfMeasure29">'Бланк заказа'!$W$89:$W$89</definedName>
    <definedName name="UnitOfMeasure3">'Бланк заказа'!$W$24:$W$24</definedName>
    <definedName name="UnitOfMeasure30">'Бланк заказа'!$W$94:$W$94</definedName>
    <definedName name="UnitOfMeasure31">'Бланк заказа'!$W$95:$W$95</definedName>
    <definedName name="UnitOfMeasure32">'Бланк заказа'!$W$96:$W$96</definedName>
    <definedName name="UnitOfMeasure33">'Бланк заказа'!$W$97:$W$97</definedName>
    <definedName name="UnitOfMeasure34">'Бланк заказа'!$W$98:$W$98</definedName>
    <definedName name="UnitOfMeasure35">'Бланк заказа'!$W$99:$W$99</definedName>
    <definedName name="UnitOfMeasure36">'Бланк заказа'!$W$104:$W$104</definedName>
    <definedName name="UnitOfMeasure37">'Бланк заказа'!$W$105:$W$105</definedName>
    <definedName name="UnitOfMeasure38">'Бланк заказа'!$W$110:$W$110</definedName>
    <definedName name="UnitOfMeasure39">'Бланк заказа'!$W$111:$W$111</definedName>
    <definedName name="UnitOfMeasure4">'Бланк заказа'!$W$25:$W$25</definedName>
    <definedName name="UnitOfMeasure40">'Бланк заказа'!$W$112:$W$112</definedName>
    <definedName name="UnitOfMeasure41">'Бланк заказа'!$W$113:$W$113</definedName>
    <definedName name="UnitOfMeasure42">'Бланк заказа'!$W$114:$W$114</definedName>
    <definedName name="UnitOfMeasure43">'Бланк заказа'!$W$115:$W$115</definedName>
    <definedName name="UnitOfMeasure44">'Бланк заказа'!$W$116:$W$116</definedName>
    <definedName name="UnitOfMeasure45">'Бланк заказа'!$W$120:$W$120</definedName>
    <definedName name="UnitOfMeasure46">'Бланк заказа'!$W$124:$W$124</definedName>
    <definedName name="UnitOfMeasure47">'Бланк заказа'!$W$129:$W$129</definedName>
    <definedName name="UnitOfMeasure48">'Бланк заказа'!$W$130:$W$130</definedName>
    <definedName name="UnitOfMeasure49">'Бланк заказа'!$W$131:$W$131</definedName>
    <definedName name="UnitOfMeasure5">'Бланк заказа'!$W$26:$W$26</definedName>
    <definedName name="UnitOfMeasure50">'Бланк заказа'!$W$132:$W$132</definedName>
    <definedName name="UnitOfMeasure51">'Бланк заказа'!$W$136:$W$136</definedName>
    <definedName name="UnitOfMeasure52">'Бланк заказа'!$W$137:$W$137</definedName>
    <definedName name="UnitOfMeasure53">'Бланк заказа'!$W$138:$W$138</definedName>
    <definedName name="UnitOfMeasure54">'Бланк заказа'!$W$143:$W$143</definedName>
    <definedName name="UnitOfMeasure55">'Бланк заказа'!$W$144:$W$144</definedName>
    <definedName name="UnitOfMeasure56">'Бланк заказа'!$W$149:$W$149</definedName>
    <definedName name="UnitOfMeasure57">'Бланк заказа'!$W$150:$W$150</definedName>
    <definedName name="UnitOfMeasure58">'Бланк заказа'!$W$155:$W$155</definedName>
    <definedName name="UnitOfMeasure59">'Бланк заказа'!$W$156:$W$156</definedName>
    <definedName name="UnitOfMeasure6">'Бланк заказа'!$W$27:$W$27</definedName>
    <definedName name="UnitOfMeasure60">'Бланк заказа'!$W$161:$W$161</definedName>
    <definedName name="UnitOfMeasure61">'Бланк заказа'!$W$166:$W$166</definedName>
    <definedName name="UnitOfMeasure62">'Бланк заказа'!$W$171:$W$171</definedName>
    <definedName name="UnitOfMeasure63">'Бланк заказа'!$W$177:$W$177</definedName>
    <definedName name="UnitOfMeasure64">'Бланк заказа'!$W$178:$W$178</definedName>
    <definedName name="UnitOfMeasure65">'Бланк заказа'!$W$183:$W$183</definedName>
    <definedName name="UnitOfMeasure66">'Бланк заказа'!$W$189:$W$189</definedName>
    <definedName name="UnitOfMeasure67">'Бланк заказа'!$W$190:$W$190</definedName>
    <definedName name="UnitOfMeasure68">'Бланк заказа'!$W$191:$W$191</definedName>
    <definedName name="UnitOfMeasure69">'Бланк заказа'!$W$192:$W$192</definedName>
    <definedName name="UnitOfMeasure7">'Бланк заказа'!$W$28:$W$28</definedName>
    <definedName name="UnitOfMeasure70">'Бланк заказа'!$W$198:$W$198</definedName>
    <definedName name="UnitOfMeasure71">'Бланк заказа'!$W$202:$W$202</definedName>
    <definedName name="UnitOfMeasure72">'Бланк заказа'!$W$203:$W$203</definedName>
    <definedName name="UnitOfMeasure73">'Бланк заказа'!$W$204:$W$204</definedName>
    <definedName name="UnitOfMeasure74">'Бланк заказа'!$W$209:$W$209</definedName>
    <definedName name="UnitOfMeasure75">'Бланк заказа'!$W$210:$W$210</definedName>
    <definedName name="UnitOfMeasure76">'Бланк заказа'!$W$215:$W$215</definedName>
    <definedName name="UnitOfMeasure77">'Бланк заказа'!$W$220:$W$220</definedName>
    <definedName name="UnitOfMeasure78">'Бланк заказа'!$W$226:$W$226</definedName>
    <definedName name="UnitOfMeasure79">'Бланк заказа'!$W$232:$W$232</definedName>
    <definedName name="UnitOfMeasure8">'Бланк заказа'!$W$29:$W$29</definedName>
    <definedName name="UnitOfMeasure80">'Бланк заказа'!$W$236:$W$236</definedName>
    <definedName name="UnitOfMeasure81">'Бланк заказа'!$W$242:$W$242</definedName>
    <definedName name="UnitOfMeasure82">'Бланк заказа'!$W$246:$W$246</definedName>
    <definedName name="UnitOfMeasure83">'Бланк заказа'!$W$252:$W$252</definedName>
    <definedName name="UnitOfMeasure84">'Бланк заказа'!$W$253:$W$253</definedName>
    <definedName name="UnitOfMeasure85">'Бланк заказа'!$W$257:$W$257</definedName>
    <definedName name="UnitOfMeasure86">'Бланк заказа'!$W$261:$W$261</definedName>
    <definedName name="UnitOfMeasure87">'Бланк заказа'!$W$262:$W$262</definedName>
    <definedName name="UnitOfMeasure88">'Бланк заказа'!$W$263:$W$263</definedName>
    <definedName name="UnitOfMeasure89">'Бланк заказа'!$W$267:$W$267</definedName>
    <definedName name="UnitOfMeasure9">'Бланк заказа'!$W$34:$W$34</definedName>
    <definedName name="UnitOfMeasure90">'Бланк заказа'!$W$268:$W$268</definedName>
    <definedName name="UnitOfMeasure91">'Бланк заказа'!$W$269:$W$269</definedName>
    <definedName name="UnitOfMeasure92">'Бланк заказа'!$W$270:$W$270</definedName>
    <definedName name="UnitOfMeasure93">'Бланк заказа'!$W$271:$W$271</definedName>
    <definedName name="UnitOfMeasure94">'Бланк заказа'!$W$272:$W$272</definedName>
    <definedName name="UnitOfMeasure95">'Бланк заказа'!$W$273:$W$273</definedName>
    <definedName name="UnitOfMeasure96">'Бланк заказа'!$W$274:$W$274</definedName>
    <definedName name="UnitOfMeasure97">'Бланк заказа'!$W$275:$W$275</definedName>
    <definedName name="UnitOfMeasure98">'Бланк заказа'!$W$276:$W$276</definedName>
    <definedName name="UnloadAddress">'Бланк заказа'!$D$8</definedName>
    <definedName name="UnloadAdressList0001">Setting!$B$12:$B$12</definedName>
    <definedName name="UnloadAdressList0002">Setting!$B$14:$B$14</definedName>
    <definedName name="UnloadAdressList0003">Setting!$B$16:$B$16</definedName>
    <definedName name="UnloadAdressList0004">Setting!$B$18:$B$18</definedName>
    <definedName name="UnloadAdressList0005">Setting!$B$20:$B$20</definedName>
  </definedNames>
  <calcPr calcId="191029" refMode="R1C1"/>
</workbook>
</file>

<file path=xl/calcChain.xml><?xml version="1.0" encoding="utf-8"?>
<calcChain xmlns="http://schemas.openxmlformats.org/spreadsheetml/2006/main">
  <c r="AF289" i="1" l="1"/>
  <c r="AE289" i="1"/>
  <c r="AD289" i="1"/>
  <c r="AC289" i="1"/>
  <c r="AB289" i="1"/>
  <c r="AA289" i="1"/>
  <c r="Z289" i="1"/>
  <c r="Y289" i="1"/>
  <c r="X289" i="1"/>
  <c r="W289" i="1"/>
  <c r="V289" i="1"/>
  <c r="U289" i="1"/>
  <c r="T289" i="1"/>
  <c r="S289" i="1"/>
  <c r="R289" i="1"/>
  <c r="Q289" i="1"/>
  <c r="P289" i="1"/>
  <c r="O289" i="1"/>
  <c r="M289" i="1"/>
  <c r="L289" i="1"/>
  <c r="K289" i="1"/>
  <c r="J289" i="1"/>
  <c r="I289" i="1"/>
  <c r="H289" i="1"/>
  <c r="G289" i="1"/>
  <c r="F289" i="1"/>
  <c r="E289" i="1"/>
  <c r="D289" i="1"/>
  <c r="C289" i="1"/>
  <c r="B289" i="1"/>
  <c r="X278" i="1"/>
  <c r="X277" i="1"/>
  <c r="BO276" i="1"/>
  <c r="BM276" i="1"/>
  <c r="Z276" i="1"/>
  <c r="Y276" i="1"/>
  <c r="P276" i="1"/>
  <c r="BP275" i="1"/>
  <c r="BO275" i="1"/>
  <c r="BN275" i="1"/>
  <c r="BM275" i="1"/>
  <c r="Z275" i="1"/>
  <c r="Y275" i="1"/>
  <c r="P275" i="1"/>
  <c r="BO274" i="1"/>
  <c r="BM274" i="1"/>
  <c r="Z274" i="1"/>
  <c r="Y274" i="1"/>
  <c r="P274" i="1"/>
  <c r="BP273" i="1"/>
  <c r="BO273" i="1"/>
  <c r="BM273" i="1"/>
  <c r="Z273" i="1"/>
  <c r="Y273" i="1"/>
  <c r="BN273" i="1" s="1"/>
  <c r="P273" i="1"/>
  <c r="BO272" i="1"/>
  <c r="BM272" i="1"/>
  <c r="Z272" i="1"/>
  <c r="Y272" i="1"/>
  <c r="P272" i="1"/>
  <c r="BO271" i="1"/>
  <c r="BM271" i="1"/>
  <c r="Z271" i="1"/>
  <c r="Y271" i="1"/>
  <c r="BP271" i="1" s="1"/>
  <c r="P271" i="1"/>
  <c r="BO270" i="1"/>
  <c r="BM270" i="1"/>
  <c r="Z270" i="1"/>
  <c r="Y270" i="1"/>
  <c r="P270" i="1"/>
  <c r="BO269" i="1"/>
  <c r="BM269" i="1"/>
  <c r="Z269" i="1"/>
  <c r="Y269" i="1"/>
  <c r="BP269" i="1" s="1"/>
  <c r="P269" i="1"/>
  <c r="BO268" i="1"/>
  <c r="BM268" i="1"/>
  <c r="Z268" i="1"/>
  <c r="Y268" i="1"/>
  <c r="P268" i="1"/>
  <c r="BO267" i="1"/>
  <c r="BM267" i="1"/>
  <c r="Z267" i="1"/>
  <c r="Y267" i="1"/>
  <c r="BP267" i="1" s="1"/>
  <c r="P267" i="1"/>
  <c r="X265" i="1"/>
  <c r="X264" i="1"/>
  <c r="BO263" i="1"/>
  <c r="BM263" i="1"/>
  <c r="Z263" i="1"/>
  <c r="Y263" i="1"/>
  <c r="BP263" i="1" s="1"/>
  <c r="P263" i="1"/>
  <c r="BO262" i="1"/>
  <c r="BM262" i="1"/>
  <c r="Z262" i="1"/>
  <c r="Y262" i="1"/>
  <c r="P262" i="1"/>
  <c r="BO261" i="1"/>
  <c r="BM261" i="1"/>
  <c r="Z261" i="1"/>
  <c r="Y261" i="1"/>
  <c r="BN261" i="1" s="1"/>
  <c r="P261" i="1"/>
  <c r="X259" i="1"/>
  <c r="X258" i="1"/>
  <c r="BO257" i="1"/>
  <c r="BM257" i="1"/>
  <c r="Z257" i="1"/>
  <c r="Z258" i="1" s="1"/>
  <c r="Y257" i="1"/>
  <c r="Y259" i="1" s="1"/>
  <c r="P257" i="1"/>
  <c r="X255" i="1"/>
  <c r="X254" i="1"/>
  <c r="BO253" i="1"/>
  <c r="BM253" i="1"/>
  <c r="Z253" i="1"/>
  <c r="Y253" i="1"/>
  <c r="BP253" i="1" s="1"/>
  <c r="P253" i="1"/>
  <c r="BO252" i="1"/>
  <c r="BM252" i="1"/>
  <c r="Z252" i="1"/>
  <c r="Y252" i="1"/>
  <c r="P252" i="1"/>
  <c r="X248" i="1"/>
  <c r="X247" i="1"/>
  <c r="BO246" i="1"/>
  <c r="BM246" i="1"/>
  <c r="Z246" i="1"/>
  <c r="Z247" i="1" s="1"/>
  <c r="Y246" i="1"/>
  <c r="P246" i="1"/>
  <c r="X244" i="1"/>
  <c r="X243" i="1"/>
  <c r="BO242" i="1"/>
  <c r="BM242" i="1"/>
  <c r="Z242" i="1"/>
  <c r="Z243" i="1" s="1"/>
  <c r="Y242" i="1"/>
  <c r="Y244" i="1" s="1"/>
  <c r="P242" i="1"/>
  <c r="X238" i="1"/>
  <c r="X237" i="1"/>
  <c r="BO236" i="1"/>
  <c r="BM236" i="1"/>
  <c r="Z236" i="1"/>
  <c r="Z237" i="1" s="1"/>
  <c r="Y236" i="1"/>
  <c r="P236" i="1"/>
  <c r="Y234" i="1"/>
  <c r="X234" i="1"/>
  <c r="X233" i="1"/>
  <c r="BO232" i="1"/>
  <c r="BM232" i="1"/>
  <c r="Z232" i="1"/>
  <c r="Z233" i="1" s="1"/>
  <c r="Y232" i="1"/>
  <c r="P232" i="1"/>
  <c r="X228" i="1"/>
  <c r="X227" i="1"/>
  <c r="BO226" i="1"/>
  <c r="BM226" i="1"/>
  <c r="Z226" i="1"/>
  <c r="Z227" i="1" s="1"/>
  <c r="Y226" i="1"/>
  <c r="P226" i="1"/>
  <c r="X222" i="1"/>
  <c r="X221" i="1"/>
  <c r="BO220" i="1"/>
  <c r="BM220" i="1"/>
  <c r="Z220" i="1"/>
  <c r="Z221" i="1" s="1"/>
  <c r="Y220" i="1"/>
  <c r="Y222" i="1" s="1"/>
  <c r="P220" i="1"/>
  <c r="X217" i="1"/>
  <c r="X216" i="1"/>
  <c r="BO215" i="1"/>
  <c r="BM215" i="1"/>
  <c r="Z215" i="1"/>
  <c r="Z216" i="1" s="1"/>
  <c r="Y215" i="1"/>
  <c r="P215" i="1"/>
  <c r="X212" i="1"/>
  <c r="X211" i="1"/>
  <c r="BO210" i="1"/>
  <c r="BM210" i="1"/>
  <c r="Z210" i="1"/>
  <c r="Y210" i="1"/>
  <c r="P210" i="1"/>
  <c r="BO209" i="1"/>
  <c r="BM209" i="1"/>
  <c r="Z209" i="1"/>
  <c r="Y209" i="1"/>
  <c r="Y211" i="1" s="1"/>
  <c r="P209" i="1"/>
  <c r="X206" i="1"/>
  <c r="X205" i="1"/>
  <c r="BP204" i="1"/>
  <c r="BO204" i="1"/>
  <c r="BN204" i="1"/>
  <c r="BM204" i="1"/>
  <c r="Z204" i="1"/>
  <c r="Y204" i="1"/>
  <c r="P204" i="1"/>
  <c r="BO203" i="1"/>
  <c r="BM203" i="1"/>
  <c r="Z203" i="1"/>
  <c r="Y203" i="1"/>
  <c r="P203" i="1"/>
  <c r="BP202" i="1"/>
  <c r="BO202" i="1"/>
  <c r="BM202" i="1"/>
  <c r="Z202" i="1"/>
  <c r="Y202" i="1"/>
  <c r="BN202" i="1" s="1"/>
  <c r="P202" i="1"/>
  <c r="X200" i="1"/>
  <c r="Y199" i="1"/>
  <c r="X199" i="1"/>
  <c r="BP198" i="1"/>
  <c r="BO198" i="1"/>
  <c r="BM198" i="1"/>
  <c r="Z198" i="1"/>
  <c r="Z199" i="1" s="1"/>
  <c r="Y198" i="1"/>
  <c r="Y200" i="1" s="1"/>
  <c r="P198" i="1"/>
  <c r="X194" i="1"/>
  <c r="X193" i="1"/>
  <c r="BO192" i="1"/>
  <c r="BM192" i="1"/>
  <c r="Z192" i="1"/>
  <c r="Y192" i="1"/>
  <c r="BN192" i="1" s="1"/>
  <c r="P192" i="1"/>
  <c r="BO191" i="1"/>
  <c r="BM191" i="1"/>
  <c r="Z191" i="1"/>
  <c r="Y191" i="1"/>
  <c r="P191" i="1"/>
  <c r="BO190" i="1"/>
  <c r="BM190" i="1"/>
  <c r="Z190" i="1"/>
  <c r="Y190" i="1"/>
  <c r="BN190" i="1" s="1"/>
  <c r="P190" i="1"/>
  <c r="BO189" i="1"/>
  <c r="BM189" i="1"/>
  <c r="Z189" i="1"/>
  <c r="Y189" i="1"/>
  <c r="P189" i="1"/>
  <c r="X185" i="1"/>
  <c r="X184" i="1"/>
  <c r="BO183" i="1"/>
  <c r="BM183" i="1"/>
  <c r="Z183" i="1"/>
  <c r="Z184" i="1" s="1"/>
  <c r="Y183" i="1"/>
  <c r="P183" i="1"/>
  <c r="X180" i="1"/>
  <c r="X179" i="1"/>
  <c r="BO178" i="1"/>
  <c r="BM178" i="1"/>
  <c r="Z178" i="1"/>
  <c r="Y178" i="1"/>
  <c r="P178" i="1"/>
  <c r="BO177" i="1"/>
  <c r="BM177" i="1"/>
  <c r="Z177" i="1"/>
  <c r="Y177" i="1"/>
  <c r="Y179" i="1" s="1"/>
  <c r="P177" i="1"/>
  <c r="X173" i="1"/>
  <c r="Y172" i="1"/>
  <c r="X172" i="1"/>
  <c r="BO171" i="1"/>
  <c r="BM171" i="1"/>
  <c r="Z171" i="1"/>
  <c r="Z172" i="1" s="1"/>
  <c r="Y171" i="1"/>
  <c r="Y173" i="1" s="1"/>
  <c r="P171" i="1"/>
  <c r="X168" i="1"/>
  <c r="X167" i="1"/>
  <c r="BO166" i="1"/>
  <c r="BM166" i="1"/>
  <c r="Z166" i="1"/>
  <c r="Z167" i="1" s="1"/>
  <c r="Y166" i="1"/>
  <c r="Y168" i="1" s="1"/>
  <c r="P166" i="1"/>
  <c r="X163" i="1"/>
  <c r="X162" i="1"/>
  <c r="BP161" i="1"/>
  <c r="BO161" i="1"/>
  <c r="BM161" i="1"/>
  <c r="Z161" i="1"/>
  <c r="Z162" i="1" s="1"/>
  <c r="Y161" i="1"/>
  <c r="Y163" i="1" s="1"/>
  <c r="P161" i="1"/>
  <c r="X158" i="1"/>
  <c r="X157" i="1"/>
  <c r="BO156" i="1"/>
  <c r="BM156" i="1"/>
  <c r="Z156" i="1"/>
  <c r="Y156" i="1"/>
  <c r="BN156" i="1" s="1"/>
  <c r="P156" i="1"/>
  <c r="BO155" i="1"/>
  <c r="BM155" i="1"/>
  <c r="Z155" i="1"/>
  <c r="Z157" i="1" s="1"/>
  <c r="Y155" i="1"/>
  <c r="P155" i="1"/>
  <c r="X152" i="1"/>
  <c r="X151" i="1"/>
  <c r="BO150" i="1"/>
  <c r="BM150" i="1"/>
  <c r="Z150" i="1"/>
  <c r="Y150" i="1"/>
  <c r="P150" i="1"/>
  <c r="BO149" i="1"/>
  <c r="BN149" i="1"/>
  <c r="BM149" i="1"/>
  <c r="Z149" i="1"/>
  <c r="Z151" i="1" s="1"/>
  <c r="Y149" i="1"/>
  <c r="BP149" i="1" s="1"/>
  <c r="P149" i="1"/>
  <c r="X146" i="1"/>
  <c r="X145" i="1"/>
  <c r="BO144" i="1"/>
  <c r="BM144" i="1"/>
  <c r="Z144" i="1"/>
  <c r="Y144" i="1"/>
  <c r="BN144" i="1" s="1"/>
  <c r="P144" i="1"/>
  <c r="BO143" i="1"/>
  <c r="BM143" i="1"/>
  <c r="Z143" i="1"/>
  <c r="Y143" i="1"/>
  <c r="P143" i="1"/>
  <c r="X140" i="1"/>
  <c r="X139" i="1"/>
  <c r="BO138" i="1"/>
  <c r="BM138" i="1"/>
  <c r="Z138" i="1"/>
  <c r="Y138" i="1"/>
  <c r="BP138" i="1" s="1"/>
  <c r="P138" i="1"/>
  <c r="BO137" i="1"/>
  <c r="BM137" i="1"/>
  <c r="Z137" i="1"/>
  <c r="Y137" i="1"/>
  <c r="BP137" i="1" s="1"/>
  <c r="P137" i="1"/>
  <c r="BO136" i="1"/>
  <c r="BM136" i="1"/>
  <c r="Z136" i="1"/>
  <c r="Y136" i="1"/>
  <c r="P136" i="1"/>
  <c r="X134" i="1"/>
  <c r="X133" i="1"/>
  <c r="BO132" i="1"/>
  <c r="BM132" i="1"/>
  <c r="Z132" i="1"/>
  <c r="Y132" i="1"/>
  <c r="BP132" i="1" s="1"/>
  <c r="P132" i="1"/>
  <c r="BP131" i="1"/>
  <c r="BO131" i="1"/>
  <c r="BM131" i="1"/>
  <c r="Z131" i="1"/>
  <c r="Y131" i="1"/>
  <c r="BN131" i="1" s="1"/>
  <c r="P131" i="1"/>
  <c r="BO130" i="1"/>
  <c r="BM130" i="1"/>
  <c r="Z130" i="1"/>
  <c r="Y130" i="1"/>
  <c r="BP130" i="1" s="1"/>
  <c r="P130" i="1"/>
  <c r="BP129" i="1"/>
  <c r="BO129" i="1"/>
  <c r="BM129" i="1"/>
  <c r="Z129" i="1"/>
  <c r="Y129" i="1"/>
  <c r="Y133" i="1" s="1"/>
  <c r="P129" i="1"/>
  <c r="X126" i="1"/>
  <c r="X125" i="1"/>
  <c r="BO124" i="1"/>
  <c r="BM124" i="1"/>
  <c r="Z124" i="1"/>
  <c r="Z125" i="1" s="1"/>
  <c r="Y124" i="1"/>
  <c r="Y126" i="1" s="1"/>
  <c r="P124" i="1"/>
  <c r="X122" i="1"/>
  <c r="X121" i="1"/>
  <c r="BP120" i="1"/>
  <c r="BO120" i="1"/>
  <c r="BM120" i="1"/>
  <c r="Z120" i="1"/>
  <c r="Z121" i="1" s="1"/>
  <c r="Y120" i="1"/>
  <c r="Y122" i="1" s="1"/>
  <c r="P120" i="1"/>
  <c r="X118" i="1"/>
  <c r="X117" i="1"/>
  <c r="BO116" i="1"/>
  <c r="BM116" i="1"/>
  <c r="Z116" i="1"/>
  <c r="Y116" i="1"/>
  <c r="BP116" i="1" s="1"/>
  <c r="P116" i="1"/>
  <c r="BO115" i="1"/>
  <c r="BM115" i="1"/>
  <c r="Z115" i="1"/>
  <c r="Y115" i="1"/>
  <c r="BP115" i="1" s="1"/>
  <c r="P115" i="1"/>
  <c r="BO114" i="1"/>
  <c r="BN114" i="1"/>
  <c r="BM114" i="1"/>
  <c r="Z114" i="1"/>
  <c r="Y114" i="1"/>
  <c r="BP114" i="1" s="1"/>
  <c r="P114" i="1"/>
  <c r="BO113" i="1"/>
  <c r="BM113" i="1"/>
  <c r="Z113" i="1"/>
  <c r="Y113" i="1"/>
  <c r="BP113" i="1" s="1"/>
  <c r="P113" i="1"/>
  <c r="BO112" i="1"/>
  <c r="BM112" i="1"/>
  <c r="Z112" i="1"/>
  <c r="Y112" i="1"/>
  <c r="BP112" i="1" s="1"/>
  <c r="P112" i="1"/>
  <c r="BO111" i="1"/>
  <c r="BM111" i="1"/>
  <c r="Z111" i="1"/>
  <c r="Y111" i="1"/>
  <c r="BP111" i="1" s="1"/>
  <c r="P111" i="1"/>
  <c r="BO110" i="1"/>
  <c r="BN110" i="1"/>
  <c r="BM110" i="1"/>
  <c r="Z110" i="1"/>
  <c r="Y110" i="1"/>
  <c r="P110" i="1"/>
  <c r="X107" i="1"/>
  <c r="X106" i="1"/>
  <c r="BO105" i="1"/>
  <c r="BM105" i="1"/>
  <c r="Z105" i="1"/>
  <c r="Y105" i="1"/>
  <c r="BN105" i="1" s="1"/>
  <c r="P105" i="1"/>
  <c r="BO104" i="1"/>
  <c r="BM104" i="1"/>
  <c r="Z104" i="1"/>
  <c r="Z106" i="1" s="1"/>
  <c r="Y104" i="1"/>
  <c r="P104" i="1"/>
  <c r="X101" i="1"/>
  <c r="X100" i="1"/>
  <c r="BO99" i="1"/>
  <c r="BM99" i="1"/>
  <c r="Z99" i="1"/>
  <c r="Y99" i="1"/>
  <c r="BP99" i="1" s="1"/>
  <c r="P99" i="1"/>
  <c r="BO98" i="1"/>
  <c r="BM98" i="1"/>
  <c r="Z98" i="1"/>
  <c r="Y98" i="1"/>
  <c r="BP98" i="1" s="1"/>
  <c r="P98" i="1"/>
  <c r="BO97" i="1"/>
  <c r="BM97" i="1"/>
  <c r="Z97" i="1"/>
  <c r="Y97" i="1"/>
  <c r="BP97" i="1" s="1"/>
  <c r="P97" i="1"/>
  <c r="BO96" i="1"/>
  <c r="BM96" i="1"/>
  <c r="Z96" i="1"/>
  <c r="Y96" i="1"/>
  <c r="BP96" i="1" s="1"/>
  <c r="P96" i="1"/>
  <c r="BO95" i="1"/>
  <c r="BM95" i="1"/>
  <c r="Z95" i="1"/>
  <c r="Y95" i="1"/>
  <c r="BP95" i="1" s="1"/>
  <c r="P95" i="1"/>
  <c r="BO94" i="1"/>
  <c r="BM94" i="1"/>
  <c r="Z94" i="1"/>
  <c r="Y94" i="1"/>
  <c r="BN94" i="1" s="1"/>
  <c r="P94" i="1"/>
  <c r="X91" i="1"/>
  <c r="X90" i="1"/>
  <c r="BO89" i="1"/>
  <c r="BM89" i="1"/>
  <c r="Z89" i="1"/>
  <c r="Y89" i="1"/>
  <c r="BN89" i="1" s="1"/>
  <c r="P89" i="1"/>
  <c r="BO88" i="1"/>
  <c r="BM88" i="1"/>
  <c r="Z88" i="1"/>
  <c r="Z90" i="1" s="1"/>
  <c r="Y88" i="1"/>
  <c r="P88" i="1"/>
  <c r="X85" i="1"/>
  <c r="X84" i="1"/>
  <c r="BO83" i="1"/>
  <c r="BM83" i="1"/>
  <c r="Z83" i="1"/>
  <c r="Z84" i="1" s="1"/>
  <c r="Y83" i="1"/>
  <c r="Y84" i="1" s="1"/>
  <c r="P83" i="1"/>
  <c r="X80" i="1"/>
  <c r="X79" i="1"/>
  <c r="BO78" i="1"/>
  <c r="BM78" i="1"/>
  <c r="Z78" i="1"/>
  <c r="Y78" i="1"/>
  <c r="BP78" i="1" s="1"/>
  <c r="P78" i="1"/>
  <c r="BO77" i="1"/>
  <c r="BN77" i="1"/>
  <c r="BM77" i="1"/>
  <c r="Z77" i="1"/>
  <c r="Y77" i="1"/>
  <c r="P77" i="1"/>
  <c r="X74" i="1"/>
  <c r="X73" i="1"/>
  <c r="BO72" i="1"/>
  <c r="BM72" i="1"/>
  <c r="Z72" i="1"/>
  <c r="Y72" i="1"/>
  <c r="BN72" i="1" s="1"/>
  <c r="P72" i="1"/>
  <c r="BO71" i="1"/>
  <c r="BM71" i="1"/>
  <c r="Z71" i="1"/>
  <c r="Y71" i="1"/>
  <c r="BP71" i="1" s="1"/>
  <c r="P71" i="1"/>
  <c r="BO70" i="1"/>
  <c r="BM70" i="1"/>
  <c r="Z70" i="1"/>
  <c r="Y70" i="1"/>
  <c r="Y74" i="1" s="1"/>
  <c r="P70" i="1"/>
  <c r="X68" i="1"/>
  <c r="X67" i="1"/>
  <c r="BO66" i="1"/>
  <c r="BM66" i="1"/>
  <c r="Z66" i="1"/>
  <c r="Y66" i="1"/>
  <c r="BN66" i="1" s="1"/>
  <c r="P66" i="1"/>
  <c r="BO65" i="1"/>
  <c r="BM65" i="1"/>
  <c r="Z65" i="1"/>
  <c r="Y65" i="1"/>
  <c r="P65" i="1"/>
  <c r="X63" i="1"/>
  <c r="X62" i="1"/>
  <c r="BO61" i="1"/>
  <c r="BM61" i="1"/>
  <c r="Z61" i="1"/>
  <c r="Z62" i="1" s="1"/>
  <c r="Y61" i="1"/>
  <c r="Y62" i="1" s="1"/>
  <c r="P61" i="1"/>
  <c r="X58" i="1"/>
  <c r="X57" i="1"/>
  <c r="BO56" i="1"/>
  <c r="BM56" i="1"/>
  <c r="Z56" i="1"/>
  <c r="Y56" i="1"/>
  <c r="BP56" i="1" s="1"/>
  <c r="P56" i="1"/>
  <c r="BO55" i="1"/>
  <c r="BM55" i="1"/>
  <c r="Z55" i="1"/>
  <c r="Y55" i="1"/>
  <c r="BN55" i="1" s="1"/>
  <c r="P55" i="1"/>
  <c r="BO54" i="1"/>
  <c r="BM54" i="1"/>
  <c r="Z54" i="1"/>
  <c r="Y54" i="1"/>
  <c r="BP54" i="1" s="1"/>
  <c r="P54" i="1"/>
  <c r="BO53" i="1"/>
  <c r="BM53" i="1"/>
  <c r="Z53" i="1"/>
  <c r="Y53" i="1"/>
  <c r="P53" i="1"/>
  <c r="X50" i="1"/>
  <c r="X49" i="1"/>
  <c r="BO48" i="1"/>
  <c r="BM48" i="1"/>
  <c r="Z48" i="1"/>
  <c r="Y48" i="1"/>
  <c r="BN48" i="1" s="1"/>
  <c r="P48" i="1"/>
  <c r="BO47" i="1"/>
  <c r="BM47" i="1"/>
  <c r="Z47" i="1"/>
  <c r="Y47" i="1"/>
  <c r="Y50" i="1" s="1"/>
  <c r="P47" i="1"/>
  <c r="X44" i="1"/>
  <c r="X43" i="1"/>
  <c r="BO42" i="1"/>
  <c r="BM42" i="1"/>
  <c r="Z42" i="1"/>
  <c r="Y42" i="1"/>
  <c r="BP42" i="1" s="1"/>
  <c r="P42" i="1"/>
  <c r="BO41" i="1"/>
  <c r="BM41" i="1"/>
  <c r="Z41" i="1"/>
  <c r="Y41" i="1"/>
  <c r="P41" i="1"/>
  <c r="X37" i="1"/>
  <c r="X36" i="1"/>
  <c r="BP35" i="1"/>
  <c r="BO35" i="1"/>
  <c r="BN35" i="1"/>
  <c r="BM35" i="1"/>
  <c r="Z35" i="1"/>
  <c r="Y35" i="1"/>
  <c r="P35" i="1"/>
  <c r="BO34" i="1"/>
  <c r="BM34" i="1"/>
  <c r="Z34" i="1"/>
  <c r="Y34" i="1"/>
  <c r="Y37" i="1" s="1"/>
  <c r="P34" i="1"/>
  <c r="X31" i="1"/>
  <c r="X30" i="1"/>
  <c r="BO29" i="1"/>
  <c r="BM29" i="1"/>
  <c r="Z29" i="1"/>
  <c r="Y29" i="1"/>
  <c r="BP29" i="1" s="1"/>
  <c r="P29" i="1"/>
  <c r="BO28" i="1"/>
  <c r="BM28" i="1"/>
  <c r="Z28" i="1"/>
  <c r="Y28" i="1"/>
  <c r="BN28" i="1" s="1"/>
  <c r="P28" i="1"/>
  <c r="BO27" i="1"/>
  <c r="BM27" i="1"/>
  <c r="Z27" i="1"/>
  <c r="Y27" i="1"/>
  <c r="BP27" i="1" s="1"/>
  <c r="P27" i="1"/>
  <c r="BO26" i="1"/>
  <c r="BM26" i="1"/>
  <c r="Z26" i="1"/>
  <c r="Y26" i="1"/>
  <c r="BN26" i="1" s="1"/>
  <c r="P26" i="1"/>
  <c r="BO25" i="1"/>
  <c r="BM25" i="1"/>
  <c r="Z25" i="1"/>
  <c r="Y25" i="1"/>
  <c r="BP25" i="1" s="1"/>
  <c r="P25" i="1"/>
  <c r="BO24" i="1"/>
  <c r="BM24" i="1"/>
  <c r="Z24" i="1"/>
  <c r="Y24" i="1"/>
  <c r="BN24" i="1" s="1"/>
  <c r="P24" i="1"/>
  <c r="BO23" i="1"/>
  <c r="BM23" i="1"/>
  <c r="Z23" i="1"/>
  <c r="Y23" i="1"/>
  <c r="BP23" i="1" s="1"/>
  <c r="P23" i="1"/>
  <c r="BO22" i="1"/>
  <c r="BM22" i="1"/>
  <c r="Z22" i="1"/>
  <c r="Y22" i="1"/>
  <c r="P22" i="1"/>
  <c r="H10" i="1"/>
  <c r="A9" i="1"/>
  <c r="A10" i="1" s="1"/>
  <c r="D7" i="1"/>
  <c r="Q6" i="1"/>
  <c r="P2" i="1"/>
  <c r="BN112" i="1" l="1"/>
  <c r="BN263" i="1"/>
  <c r="BN269" i="1"/>
  <c r="BN116" i="1"/>
  <c r="BN171" i="1"/>
  <c r="Z205" i="1"/>
  <c r="BP257" i="1"/>
  <c r="Z133" i="1"/>
  <c r="Y43" i="1"/>
  <c r="BP48" i="1"/>
  <c r="BN98" i="1"/>
  <c r="BN161" i="1"/>
  <c r="BP171" i="1"/>
  <c r="BP66" i="1"/>
  <c r="Y139" i="1"/>
  <c r="Z277" i="1"/>
  <c r="Y278" i="1"/>
  <c r="Y30" i="1"/>
  <c r="Z117" i="1"/>
  <c r="Y57" i="1"/>
  <c r="Y162" i="1"/>
  <c r="Z211" i="1"/>
  <c r="BN267" i="1"/>
  <c r="Z179" i="1"/>
  <c r="Z193" i="1"/>
  <c r="BN253" i="1"/>
  <c r="BN271" i="1"/>
  <c r="BN96" i="1"/>
  <c r="BP177" i="1"/>
  <c r="BN137" i="1"/>
  <c r="BN198" i="1"/>
  <c r="BP166" i="1"/>
  <c r="F10" i="1"/>
  <c r="Z30" i="1"/>
  <c r="BP22" i="1"/>
  <c r="BP24" i="1"/>
  <c r="BP26" i="1"/>
  <c r="BP28" i="1"/>
  <c r="Z43" i="1"/>
  <c r="BP41" i="1"/>
  <c r="Z57" i="1"/>
  <c r="BP53" i="1"/>
  <c r="BP55" i="1"/>
  <c r="Z73" i="1"/>
  <c r="BP70" i="1"/>
  <c r="BP72" i="1"/>
  <c r="Y79" i="1"/>
  <c r="BP89" i="1"/>
  <c r="Y100" i="1"/>
  <c r="BP105" i="1"/>
  <c r="Y118" i="1"/>
  <c r="BN120" i="1"/>
  <c r="Y121" i="1"/>
  <c r="BP124" i="1"/>
  <c r="BN129" i="1"/>
  <c r="BP144" i="1"/>
  <c r="BP156" i="1"/>
  <c r="Y180" i="1"/>
  <c r="BP190" i="1"/>
  <c r="BP192" i="1"/>
  <c r="BP209" i="1"/>
  <c r="Y68" i="1"/>
  <c r="Z79" i="1"/>
  <c r="BP77" i="1"/>
  <c r="Z100" i="1"/>
  <c r="BP94" i="1"/>
  <c r="BP110" i="1"/>
  <c r="Z139" i="1"/>
  <c r="BN166" i="1"/>
  <c r="Y167" i="1"/>
  <c r="BN177" i="1"/>
  <c r="Y212" i="1"/>
  <c r="F9" i="1"/>
  <c r="BN22" i="1"/>
  <c r="X283" i="1"/>
  <c r="Z36" i="1"/>
  <c r="BN41" i="1"/>
  <c r="Z49" i="1"/>
  <c r="BN53" i="1"/>
  <c r="Z67" i="1"/>
  <c r="BN70" i="1"/>
  <c r="Y91" i="1"/>
  <c r="Y107" i="1"/>
  <c r="BN124" i="1"/>
  <c r="Y125" i="1"/>
  <c r="Y146" i="1"/>
  <c r="Y206" i="1"/>
  <c r="BN209" i="1"/>
  <c r="Y265" i="1"/>
  <c r="J9" i="1"/>
  <c r="Z254" i="1"/>
  <c r="BN257" i="1"/>
  <c r="Y258" i="1"/>
  <c r="Z264" i="1"/>
  <c r="BP261" i="1"/>
  <c r="Y277" i="1"/>
  <c r="Y31" i="1"/>
  <c r="Y36" i="1"/>
  <c r="Y44" i="1"/>
  <c r="Y49" i="1"/>
  <c r="Y58" i="1"/>
  <c r="Y63" i="1"/>
  <c r="Y67" i="1"/>
  <c r="Y73" i="1"/>
  <c r="Y80" i="1"/>
  <c r="Y85" i="1"/>
  <c r="Y90" i="1"/>
  <c r="Y101" i="1"/>
  <c r="Y106" i="1"/>
  <c r="Y117" i="1"/>
  <c r="Y134" i="1"/>
  <c r="Y140" i="1"/>
  <c r="Y145" i="1"/>
  <c r="BP150" i="1"/>
  <c r="BN150" i="1"/>
  <c r="Y184" i="1"/>
  <c r="BP183" i="1"/>
  <c r="BN183" i="1"/>
  <c r="Y216" i="1"/>
  <c r="BP215" i="1"/>
  <c r="BN215" i="1"/>
  <c r="Y227" i="1"/>
  <c r="BP226" i="1"/>
  <c r="BN226" i="1"/>
  <c r="Y237" i="1"/>
  <c r="BP236" i="1"/>
  <c r="BN236" i="1"/>
  <c r="Y247" i="1"/>
  <c r="BP246" i="1"/>
  <c r="BN246" i="1"/>
  <c r="H9" i="1"/>
  <c r="X280" i="1"/>
  <c r="X281" i="1"/>
  <c r="BN23" i="1"/>
  <c r="BN25" i="1"/>
  <c r="BN27" i="1"/>
  <c r="BN29" i="1"/>
  <c r="X279" i="1"/>
  <c r="BN34" i="1"/>
  <c r="BP34" i="1"/>
  <c r="BN42" i="1"/>
  <c r="BN47" i="1"/>
  <c r="BP47" i="1"/>
  <c r="BN54" i="1"/>
  <c r="BN56" i="1"/>
  <c r="BN61" i="1"/>
  <c r="BP61" i="1"/>
  <c r="BN65" i="1"/>
  <c r="BP65" i="1"/>
  <c r="BN71" i="1"/>
  <c r="BN78" i="1"/>
  <c r="BN83" i="1"/>
  <c r="BP83" i="1"/>
  <c r="BN88" i="1"/>
  <c r="BP88" i="1"/>
  <c r="BN95" i="1"/>
  <c r="BN97" i="1"/>
  <c r="BN99" i="1"/>
  <c r="BN104" i="1"/>
  <c r="BP104" i="1"/>
  <c r="BN111" i="1"/>
  <c r="BN113" i="1"/>
  <c r="BN115" i="1"/>
  <c r="BN130" i="1"/>
  <c r="BN132" i="1"/>
  <c r="BN136" i="1"/>
  <c r="BP136" i="1"/>
  <c r="BN138" i="1"/>
  <c r="Z145" i="1"/>
  <c r="BN143" i="1"/>
  <c r="BP143" i="1"/>
  <c r="Y151" i="1"/>
  <c r="Y152" i="1"/>
  <c r="Y158" i="1"/>
  <c r="BP155" i="1"/>
  <c r="BN155" i="1"/>
  <c r="Y157" i="1"/>
  <c r="BP178" i="1"/>
  <c r="BN178" i="1"/>
  <c r="Y185" i="1"/>
  <c r="Y194" i="1"/>
  <c r="BP189" i="1"/>
  <c r="BN189" i="1"/>
  <c r="BP191" i="1"/>
  <c r="BN191" i="1"/>
  <c r="Y193" i="1"/>
  <c r="BP203" i="1"/>
  <c r="BN203" i="1"/>
  <c r="Y205" i="1"/>
  <c r="BP210" i="1"/>
  <c r="BN210" i="1"/>
  <c r="Y217" i="1"/>
  <c r="Y221" i="1"/>
  <c r="BP220" i="1"/>
  <c r="BN220" i="1"/>
  <c r="Y228" i="1"/>
  <c r="Y233" i="1"/>
  <c r="BP232" i="1"/>
  <c r="BN232" i="1"/>
  <c r="Y238" i="1"/>
  <c r="Y243" i="1"/>
  <c r="BP242" i="1"/>
  <c r="BN242" i="1"/>
  <c r="Y248" i="1"/>
  <c r="Y255" i="1"/>
  <c r="BP252" i="1"/>
  <c r="BN252" i="1"/>
  <c r="Y254" i="1"/>
  <c r="BP262" i="1"/>
  <c r="BN262" i="1"/>
  <c r="Y264" i="1"/>
  <c r="BP268" i="1"/>
  <c r="BN268" i="1"/>
  <c r="BP270" i="1"/>
  <c r="BN270" i="1"/>
  <c r="BP272" i="1"/>
  <c r="BN272" i="1"/>
  <c r="BP274" i="1"/>
  <c r="BN274" i="1"/>
  <c r="BP276" i="1"/>
  <c r="BN276" i="1"/>
  <c r="Z284" i="1" l="1"/>
  <c r="Y281" i="1"/>
  <c r="Y280" i="1"/>
  <c r="Y282" i="1" s="1"/>
  <c r="C292" i="1" s="1"/>
  <c r="Y283" i="1"/>
  <c r="X282" i="1"/>
  <c r="Y279" i="1"/>
  <c r="B292" i="1" l="1"/>
  <c r="A292" i="1"/>
</calcChain>
</file>

<file path=xl/sharedStrings.xml><?xml version="1.0" encoding="utf-8"?>
<sst xmlns="http://schemas.openxmlformats.org/spreadsheetml/2006/main" count="1284" uniqueCount="414">
  <si>
    <t xml:space="preserve">  БЛАНК ЗАКАЗА </t>
  </si>
  <si>
    <t>ЗПФ</t>
  </si>
  <si>
    <t>на отгрузку продукции с ООО Трейд-Сервис с</t>
  </si>
  <si>
    <t>11.08.2026</t>
  </si>
  <si>
    <t>бланк создан</t>
  </si>
  <si>
    <t>10.08.2026</t>
  </si>
  <si>
    <t>-поле, обязательное к заполнению</t>
  </si>
  <si>
    <t>-поля, не обязательные к заполнению</t>
  </si>
  <si>
    <t xml:space="preserve">Ваш контактный телефон и имя: </t>
  </si>
  <si>
    <t>Комментарий к заказу:</t>
  </si>
  <si>
    <t>Дата загрузки</t>
  </si>
  <si>
    <t>Способ доставки (доставка/самовывоз)</t>
  </si>
  <si>
    <t>Самовывоз</t>
  </si>
  <si>
    <t>Адрес доставки:</t>
  </si>
  <si>
    <t>День недели</t>
  </si>
  <si>
    <t>Наименование клиента</t>
  </si>
  <si>
    <t>ОБЩЕСТВО С ОГРАНИЧЕННОЙ ОТВЕТСТВЕННОСТЬЮ "НОВОЕ ВРЕМЯ"</t>
  </si>
  <si>
    <t>Адрес сдачи груза:</t>
  </si>
  <si>
    <t>Время загрузки</t>
  </si>
  <si>
    <t>Дата доставки</t>
  </si>
  <si>
    <t>Время доставки</t>
  </si>
  <si>
    <t>КОД Аксапты Клиента</t>
  </si>
  <si>
    <t>596383</t>
  </si>
  <si>
    <t>Справочная информация:</t>
  </si>
  <si>
    <t>Время доставки 2 машины</t>
  </si>
  <si>
    <t>Тип заказа</t>
  </si>
  <si>
    <t>Основной заказ</t>
  </si>
  <si>
    <t>Телефоны для заказов:8(919)022-63-02 E-mail: Zamorozka@abiproduct.ru, Телефон сотрудников склада: 8-980-75-76-203</t>
  </si>
  <si>
    <t>Время доставки 3 машины</t>
  </si>
  <si>
    <t>График приема заказов: Заказы принимаются за ДВА дня до отгрузки Пн-Пт: с 9:00 до 14:00, Суб. - Вс. выходной</t>
  </si>
  <si>
    <t>Время доставки 4 машины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</si>
  <si>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</si>
  <si>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</si>
  <si>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Кликните на продукт, чтобы просмотреть изображение</t>
  </si>
  <si>
    <t>Код единицы продаж</t>
  </si>
  <si>
    <t>Код продукта</t>
  </si>
  <si>
    <t>Номер варианта</t>
  </si>
  <si>
    <t xml:space="preserve">Штрих-код </t>
  </si>
  <si>
    <t>Вес нетто штуки, кг</t>
  </si>
  <si>
    <t>Кол-во штук в коробе, шт</t>
  </si>
  <si>
    <t>Вес нетто короба, кг</t>
  </si>
  <si>
    <t>Вес брутто короба, кг</t>
  </si>
  <si>
    <t>Кол-во кор. на паллте, шт</t>
  </si>
  <si>
    <t>Коробов в слое</t>
  </si>
  <si>
    <t>Квант заказа</t>
  </si>
  <si>
    <t>Завод</t>
  </si>
  <si>
    <t>Внешний код номенклатуры</t>
  </si>
  <si>
    <t>Срок годности, сут.</t>
  </si>
  <si>
    <t>Наименование</t>
  </si>
  <si>
    <t>Доступно к отгрузке</t>
  </si>
  <si>
    <t>Ед. изм.</t>
  </si>
  <si>
    <t>Заказ</t>
  </si>
  <si>
    <t>Заказ с округлением до короба</t>
  </si>
  <si>
    <t>Объём заказа, м3</t>
  </si>
  <si>
    <t>Примечание по продуктку</t>
  </si>
  <si>
    <t>Признак "НОВИНКА"</t>
  </si>
  <si>
    <t>Декларация/Сертификат</t>
  </si>
  <si>
    <t>Для формул</t>
  </si>
  <si>
    <t>Вид продукции</t>
  </si>
  <si>
    <t>начиная с</t>
  </si>
  <si>
    <t>до</t>
  </si>
  <si>
    <t>Медвежье ушко</t>
  </si>
  <si>
    <t>Пельмени</t>
  </si>
  <si>
    <t>SU004027</t>
  </si>
  <si>
    <t>P005159</t>
  </si>
  <si>
    <t>12</t>
  </si>
  <si>
    <t>Короб, мин. 1</t>
  </si>
  <si>
    <t>МГ</t>
  </si>
  <si>
    <t>кор</t>
  </si>
  <si>
    <t>ЕАЭС N RU Д-RU.РА09.В.61345/25</t>
  </si>
  <si>
    <t>Короб</t>
  </si>
  <si>
    <t>SU004022</t>
  </si>
  <si>
    <t>P005158</t>
  </si>
  <si>
    <t>SU004163</t>
  </si>
  <si>
    <t>P005439</t>
  </si>
  <si>
    <t>ЕАЭС N RU Д-RU.РА08.В.42214/25</t>
  </si>
  <si>
    <t>SU004162</t>
  </si>
  <si>
    <t>P005438</t>
  </si>
  <si>
    <t>SU003974</t>
  </si>
  <si>
    <t>P005106</t>
  </si>
  <si>
    <t>ЕАЭС N RU Д-RU.РА01.В.79461/23</t>
  </si>
  <si>
    <t>SU003975</t>
  </si>
  <si>
    <t>P005107</t>
  </si>
  <si>
    <t>SU003972</t>
  </si>
  <si>
    <t>P005104</t>
  </si>
  <si>
    <t>SU003973</t>
  </si>
  <si>
    <t>P005105</t>
  </si>
  <si>
    <t>Итого</t>
  </si>
  <si>
    <t>кг</t>
  </si>
  <si>
    <t>Сочные</t>
  </si>
  <si>
    <t>SU003964</t>
  </si>
  <si>
    <t>P005097</t>
  </si>
  <si>
    <t>ЕАЭС N RU Д-RU.РА01.В.86265/24</t>
  </si>
  <si>
    <t>SU003965</t>
  </si>
  <si>
    <t>P005098</t>
  </si>
  <si>
    <t>Горячая штучка</t>
  </si>
  <si>
    <t>Наггетсы ГШ</t>
  </si>
  <si>
    <t>Наггетсы</t>
  </si>
  <si>
    <t>SU003598</t>
  </si>
  <si>
    <t>P004602</t>
  </si>
  <si>
    <t>14</t>
  </si>
  <si>
    <t>Слой, мин. 1</t>
  </si>
  <si>
    <t>ЕАЭС N RU Д-RU.РА10.В.22386/23</t>
  </si>
  <si>
    <t>Слой</t>
  </si>
  <si>
    <t>ПГП</t>
  </si>
  <si>
    <t>SU003600</t>
  </si>
  <si>
    <t>P004600</t>
  </si>
  <si>
    <t>Grandmeni</t>
  </si>
  <si>
    <t>SU003826</t>
  </si>
  <si>
    <t>P004887</t>
  </si>
  <si>
    <t>ЕАЭС N RU Д-RU.РА05.В.25234/24</t>
  </si>
  <si>
    <t>SU003828</t>
  </si>
  <si>
    <t>P004889</t>
  </si>
  <si>
    <t>ЕАЭС N RU Д-RU.РА05.В.16662/24</t>
  </si>
  <si>
    <t>Бигбули ГШ</t>
  </si>
  <si>
    <t>SU003532</t>
  </si>
  <si>
    <t>P004440</t>
  </si>
  <si>
    <t>ЕАЭС N RU Д-RU.РА06.В.58287/22</t>
  </si>
  <si>
    <t>SU003385</t>
  </si>
  <si>
    <t>P004203</t>
  </si>
  <si>
    <t>ЕАЭС N RU Д-RU.РА04.В.26948/22</t>
  </si>
  <si>
    <t>SU003530</t>
  </si>
  <si>
    <t>P004443</t>
  </si>
  <si>
    <t>SU003529</t>
  </si>
  <si>
    <t>P004442</t>
  </si>
  <si>
    <t>Foodgital</t>
  </si>
  <si>
    <t>SU003678</t>
  </si>
  <si>
    <t>P004731</t>
  </si>
  <si>
    <t>ЕАЭС N RU Д-RU.РА03.В.95139/22</t>
  </si>
  <si>
    <t>Чебуреки</t>
  </si>
  <si>
    <t>SU002657</t>
  </si>
  <si>
    <t>P003038</t>
  </si>
  <si>
    <t>ЕАЭС N RU Д-RU.РА03.В.64590/22</t>
  </si>
  <si>
    <t>SU002607</t>
  </si>
  <si>
    <t>P002938</t>
  </si>
  <si>
    <t>Снеки</t>
  </si>
  <si>
    <t>SU003680</t>
  </si>
  <si>
    <t>P004732</t>
  </si>
  <si>
    <t>SU003677</t>
  </si>
  <si>
    <t>P004733</t>
  </si>
  <si>
    <t>ЕАЭС N RU Д-RU.РА04.В.97529/23</t>
  </si>
  <si>
    <t>SU003676</t>
  </si>
  <si>
    <t>P004818</t>
  </si>
  <si>
    <t>Бульмени вес ГШ</t>
  </si>
  <si>
    <t>SU002798</t>
  </si>
  <si>
    <t>P003687</t>
  </si>
  <si>
    <t>18</t>
  </si>
  <si>
    <t>ЕАЭС N RU Д-RU.РА02.В.13673/23</t>
  </si>
  <si>
    <t>SU002595</t>
  </si>
  <si>
    <t>P003697</t>
  </si>
  <si>
    <t>Бельмеши</t>
  </si>
  <si>
    <t>SU003593</t>
  </si>
  <si>
    <t>P004598</t>
  </si>
  <si>
    <t>ЕАЭС N RU Д-RU.РА02.В.49579/23</t>
  </si>
  <si>
    <t>Крылышки ГШ</t>
  </si>
  <si>
    <t>Крылья</t>
  </si>
  <si>
    <t>SU003591</t>
  </si>
  <si>
    <t>P004588</t>
  </si>
  <si>
    <t>ЕАЭС N RU Д-RU.РА10.В.35725/23</t>
  </si>
  <si>
    <t>SU003607</t>
  </si>
  <si>
    <t>P004589</t>
  </si>
  <si>
    <t>ЕАЭС N RU Д-RU.РА01.В.97554/24</t>
  </si>
  <si>
    <t>Чебупели</t>
  </si>
  <si>
    <t>SU003887</t>
  </si>
  <si>
    <t>P004969</t>
  </si>
  <si>
    <t>SU003889</t>
  </si>
  <si>
    <t>P004971</t>
  </si>
  <si>
    <t>SU003892</t>
  </si>
  <si>
    <t>P004974</t>
  </si>
  <si>
    <t>ЕАЭС N RU Д-RU.РА01.В.13713/23</t>
  </si>
  <si>
    <t>SU003884</t>
  </si>
  <si>
    <t>P004966</t>
  </si>
  <si>
    <t>SU003605</t>
  </si>
  <si>
    <t>P004595</t>
  </si>
  <si>
    <t>SU002293</t>
  </si>
  <si>
    <t>P004113</t>
  </si>
  <si>
    <t>ЕАЭС N RU Д-RU.РА01.В.78287/24, ЕАЭС N RU Д-RU.РА01.В.92613/21</t>
  </si>
  <si>
    <t>Чебуреки ГШ</t>
  </si>
  <si>
    <t>SU002573</t>
  </si>
  <si>
    <t>P004138</t>
  </si>
  <si>
    <t>ЕАЭС N RU Д-RU.РА01.В.13713/23, ЕАЭС N RU Д-RU.РА05.В.14262/23</t>
  </si>
  <si>
    <t>SU003613</t>
  </si>
  <si>
    <t>P004583</t>
  </si>
  <si>
    <t>Бульмени ГШ</t>
  </si>
  <si>
    <t>SU003717</t>
  </si>
  <si>
    <t>P004819</t>
  </si>
  <si>
    <t>ЕАЭС N RU Д-RU.РА01.В.70735/25</t>
  </si>
  <si>
    <t>SU004078</t>
  </si>
  <si>
    <t>P005209</t>
  </si>
  <si>
    <t>ЕАЭС N RU Д-RU.РА09.В.66275/25</t>
  </si>
  <si>
    <t>SU003527</t>
  </si>
  <si>
    <t>P004474</t>
  </si>
  <si>
    <t>SU003460</t>
  </si>
  <si>
    <t>P004345</t>
  </si>
  <si>
    <t>SU002863</t>
  </si>
  <si>
    <t>P003689</t>
  </si>
  <si>
    <t>ЕАЭС N RU Д-RU.РА05.В.26638/22</t>
  </si>
  <si>
    <t>SU003528</t>
  </si>
  <si>
    <t>P004444</t>
  </si>
  <si>
    <t>SU003459</t>
  </si>
  <si>
    <t>P004346</t>
  </si>
  <si>
    <t>SU003945</t>
  </si>
  <si>
    <t>P005065</t>
  </si>
  <si>
    <t>ЕАЭС N RU Д-RU.РА07.В.27335/25</t>
  </si>
  <si>
    <t>Пельмени ПГП</t>
  </si>
  <si>
    <t>SU003845</t>
  </si>
  <si>
    <t>P004909</t>
  </si>
  <si>
    <t>ЕАЭС N RU Д-RU.РА04.В.40597/25</t>
  </si>
  <si>
    <t>Sam Kusay</t>
  </si>
  <si>
    <t>SU004031</t>
  </si>
  <si>
    <t>P005179</t>
  </si>
  <si>
    <t>ЕАЭС N RU Д-RU.РА11.В.05259/25</t>
  </si>
  <si>
    <t>SU004034</t>
  </si>
  <si>
    <t>P005182</t>
  </si>
  <si>
    <t>SU004097</t>
  </si>
  <si>
    <t>P005291</t>
  </si>
  <si>
    <t>SU004032</t>
  </si>
  <si>
    <t>P005180</t>
  </si>
  <si>
    <t>Изделия хлебобулочные</t>
  </si>
  <si>
    <t>SU004071</t>
  </si>
  <si>
    <t>P005201</t>
  </si>
  <si>
    <t>ЕАЭС N RU Д-RU.РА09.В.61500/25</t>
  </si>
  <si>
    <t>SU004069</t>
  </si>
  <si>
    <t>P005199</t>
  </si>
  <si>
    <t>SU004070</t>
  </si>
  <si>
    <t>P005200</t>
  </si>
  <si>
    <t>Чебупицца</t>
  </si>
  <si>
    <t>SU003578</t>
  </si>
  <si>
    <t>P004484</t>
  </si>
  <si>
    <t>ЕАЭС N RU Д-RU.РА10.В.33475/23</t>
  </si>
  <si>
    <t>SU003580</t>
  </si>
  <si>
    <t>P004486</t>
  </si>
  <si>
    <t>Хотстеры</t>
  </si>
  <si>
    <t>SU003944</t>
  </si>
  <si>
    <t>P005058</t>
  </si>
  <si>
    <t>ЕАЭС N RU Д-RU.РА02.В.13267/24</t>
  </si>
  <si>
    <t>SU003576</t>
  </si>
  <si>
    <t>P004489</t>
  </si>
  <si>
    <t>ЕАЭС N RU Д-RU.РА05.В.14086/23</t>
  </si>
  <si>
    <t>Круггетсы</t>
  </si>
  <si>
    <t>SU003872</t>
  </si>
  <si>
    <t>P004956</t>
  </si>
  <si>
    <t>SU003870</t>
  </si>
  <si>
    <t>P004953</t>
  </si>
  <si>
    <t>Пекерсы</t>
  </si>
  <si>
    <t>SU003596</t>
  </si>
  <si>
    <t>P004594</t>
  </si>
  <si>
    <t>ЕАЭС N RU Д-RU.РА05.В.54714/24</t>
  </si>
  <si>
    <t>Хот-Догстер</t>
  </si>
  <si>
    <t>SU003632</t>
  </si>
  <si>
    <t>P004630</t>
  </si>
  <si>
    <t>Чебуманы</t>
  </si>
  <si>
    <t>SU002961</t>
  </si>
  <si>
    <t>P003431</t>
  </si>
  <si>
    <t>ЕАЭС N RU Д-RU.РА07.В.66009/22, ЕАЭС N RU Д-RU.РА10.В.56532/23</t>
  </si>
  <si>
    <t>No Name</t>
  </si>
  <si>
    <t>No Name ЗПФ</t>
  </si>
  <si>
    <t>SU002396</t>
  </si>
  <si>
    <t>P004620</t>
  </si>
  <si>
    <t>ЕАЭС N RU Д-RU.РА05.В.15328/24</t>
  </si>
  <si>
    <t>SU000197</t>
  </si>
  <si>
    <t>P004472</t>
  </si>
  <si>
    <t>ЕАЭС N RU Д-RU.РА08.В.65691/23</t>
  </si>
  <si>
    <t>Любимая ложка</t>
  </si>
  <si>
    <t>SU004038</t>
  </si>
  <si>
    <t>P005173</t>
  </si>
  <si>
    <t>Вязанка</t>
  </si>
  <si>
    <t>Сливушка</t>
  </si>
  <si>
    <t>SU003797</t>
  </si>
  <si>
    <t>P004497</t>
  </si>
  <si>
    <t>ЕАЭС N RU Д-RU.РА06.В.19349/24</t>
  </si>
  <si>
    <t>SU003800</t>
  </si>
  <si>
    <t>P004496</t>
  </si>
  <si>
    <t>ЕАЭС N RU Д-RU.РА04.В.84034/24</t>
  </si>
  <si>
    <t>SU003795</t>
  </si>
  <si>
    <t>P004535</t>
  </si>
  <si>
    <t>ЕАЭС N RU Д-RU.РА04.В.87517/24</t>
  </si>
  <si>
    <t>SU004023</t>
  </si>
  <si>
    <t>P005157</t>
  </si>
  <si>
    <t>ЕАЭС N RU Д-RU.РА09.В.94571/25</t>
  </si>
  <si>
    <t>Стародворье</t>
  </si>
  <si>
    <t>Стародворье ПГП</t>
  </si>
  <si>
    <t>SU003930</t>
  </si>
  <si>
    <t>P005043</t>
  </si>
  <si>
    <t>ЕАЭС N RU Д-RU.РА04.В.93717/25</t>
  </si>
  <si>
    <t>SU004012</t>
  </si>
  <si>
    <t>P005129</t>
  </si>
  <si>
    <t>ЕАЭС N RU Д-RU.РА06.В.97716/25</t>
  </si>
  <si>
    <t>SU003721</t>
  </si>
  <si>
    <t>P004811</t>
  </si>
  <si>
    <t>ЕАЭС N RU Д-RU.РА09.В.00509/24</t>
  </si>
  <si>
    <t>SU003722</t>
  </si>
  <si>
    <t>P004812</t>
  </si>
  <si>
    <t>ЕАЭС N RU Д-RU.РА08.В.93674/24</t>
  </si>
  <si>
    <t>Мясорубская</t>
  </si>
  <si>
    <t>SU004050</t>
  </si>
  <si>
    <t>P005188</t>
  </si>
  <si>
    <t>ЕАЭС N RU Д-RU.РА03.В.73845/26</t>
  </si>
  <si>
    <t>SU004161</t>
  </si>
  <si>
    <t>P005434</t>
  </si>
  <si>
    <t>ЕАЭС N RU Д-RU.РА01.В.45227/26</t>
  </si>
  <si>
    <t>Стародворские</t>
  </si>
  <si>
    <t>SU003935</t>
  </si>
  <si>
    <t>P005048</t>
  </si>
  <si>
    <t>ЕАЭС N RU Д-RU.РА02.В.24375/25</t>
  </si>
  <si>
    <t>Добросельские ЭТМ</t>
  </si>
  <si>
    <t>SU003707</t>
  </si>
  <si>
    <t>P004805</t>
  </si>
  <si>
    <t>ЕАЭС N RU Д-RU.РА10.В.24095/24</t>
  </si>
  <si>
    <t>Колбасный стандарт</t>
  </si>
  <si>
    <t>Владимирский Стандарт ЗПФ</t>
  </si>
  <si>
    <t>SU002267</t>
  </si>
  <si>
    <t>P004241</t>
  </si>
  <si>
    <t>ЕАЭС N RU Д-RU.РА01.В.86313/24</t>
  </si>
  <si>
    <t>Владимирский стандарт</t>
  </si>
  <si>
    <t>Владимирский Стандарт ПГП</t>
  </si>
  <si>
    <t>Печеные пельмени</t>
  </si>
  <si>
    <t>SU003457</t>
  </si>
  <si>
    <t>P004382</t>
  </si>
  <si>
    <t>ЕАЭС N RU Д-RU.РА04.В.81528/24</t>
  </si>
  <si>
    <t>SU003458</t>
  </si>
  <si>
    <t>P004385</t>
  </si>
  <si>
    <t>Горячий заряд</t>
  </si>
  <si>
    <t>SU003933</t>
  </si>
  <si>
    <t>P005046</t>
  </si>
  <si>
    <t>ЕАЭС N RU Д-RU.РА04.В.31432/25</t>
  </si>
  <si>
    <t>SU003928</t>
  </si>
  <si>
    <t>P005037</t>
  </si>
  <si>
    <t>ЕАЭС N RU Д-RU.РА03.В.75060/25</t>
  </si>
  <si>
    <t>Зареченские продукты</t>
  </si>
  <si>
    <t>SU003319</t>
  </si>
  <si>
    <t>P004053</t>
  </si>
  <si>
    <t>ЕАЭС N RU Д-RU.РА01.В.15225/24</t>
  </si>
  <si>
    <t>SU003320</t>
  </si>
  <si>
    <t>P004060</t>
  </si>
  <si>
    <t>SU003020</t>
  </si>
  <si>
    <t>P003486</t>
  </si>
  <si>
    <t>ЕАЭС N RU Д-RU. РА04.В.81113/23</t>
  </si>
  <si>
    <t>SU003012</t>
  </si>
  <si>
    <t>P003478</t>
  </si>
  <si>
    <t>ЕАЭС N RU Д-RU. РА04.В.83320/23</t>
  </si>
  <si>
    <t>SU003010</t>
  </si>
  <si>
    <t>P003476</t>
  </si>
  <si>
    <t>SU003025</t>
  </si>
  <si>
    <t>P003495</t>
  </si>
  <si>
    <t>SU003510</t>
  </si>
  <si>
    <t>P004457</t>
  </si>
  <si>
    <t>ЕАЭС N RU Д-RU.РА02.В.25079/24</t>
  </si>
  <si>
    <t>SU004087</t>
  </si>
  <si>
    <t>P005235</t>
  </si>
  <si>
    <t>ЕАЭС N RU Д-RU.РА02.В.58883/24</t>
  </si>
  <si>
    <t>SU003434</t>
  </si>
  <si>
    <t>P004358</t>
  </si>
  <si>
    <t>SU003448</t>
  </si>
  <si>
    <t>P004394</t>
  </si>
  <si>
    <t>SU003439</t>
  </si>
  <si>
    <t>P004359</t>
  </si>
  <si>
    <t>SU003442</t>
  </si>
  <si>
    <t>P004391</t>
  </si>
  <si>
    <t>SU003444</t>
  </si>
  <si>
    <t>P004392</t>
  </si>
  <si>
    <t>SU003383</t>
  </si>
  <si>
    <t>P004191</t>
  </si>
  <si>
    <t>SU003382</t>
  </si>
  <si>
    <t>P004195</t>
  </si>
  <si>
    <t>SU003377</t>
  </si>
  <si>
    <t>P004193</t>
  </si>
  <si>
    <t>ИТОГО НЕТТО</t>
  </si>
  <si>
    <t>ИТОГО БРУТТО</t>
  </si>
  <si>
    <t>Кол-во паллет</t>
  </si>
  <si>
    <t>шт</t>
  </si>
  <si>
    <t>Вес брутто  с паллетами</t>
  </si>
  <si>
    <t>Кол-во коробок</t>
  </si>
  <si>
    <t>Объем заказа</t>
  </si>
  <si>
    <t>м3</t>
  </si>
  <si>
    <t>ТОРГОВАЯ МАРКА</t>
  </si>
  <si>
    <t>СЕРИЯ</t>
  </si>
  <si>
    <t>ИТОГО, кг</t>
  </si>
  <si>
    <t>ЗПФ, кг</t>
  </si>
  <si>
    <t xml:space="preserve">ПГП, кг </t>
  </si>
  <si>
    <t>КИЗ, кг</t>
  </si>
  <si>
    <t>MSDAX_ЗПФ</t>
  </si>
  <si>
    <t>Доставка</t>
  </si>
  <si>
    <t>НВ, ООО 9001015535, Запорожская обл, Трояны с.,</t>
  </si>
  <si>
    <t>596383_4</t>
  </si>
  <si>
    <t>1</t>
  </si>
  <si>
    <t>НВ, ООО 9001015535, Запорожская обл, Мелитополь г, Полевая ул, д. 3, стр А,</t>
  </si>
  <si>
    <t>596383_7</t>
  </si>
  <si>
    <t>2</t>
  </si>
  <si>
    <t>НВ, ООО 9001015535, Донецкая Народная Респ, Чаадаева ул, д. 1,</t>
  </si>
  <si>
    <t>596383_8</t>
  </si>
  <si>
    <t>3</t>
  </si>
  <si>
    <t>НВ, ООО 9001015535, Луганская Народная Респ, Рабочая ул, д. 10А,</t>
  </si>
  <si>
    <t>596383_9</t>
  </si>
  <si>
    <t>4</t>
  </si>
  <si>
    <t>НВ, ООО 9001015535, Запорожская обл, Мелитополь г, Семёновка с., Северный переезд ул, стр 3,</t>
  </si>
  <si>
    <t>596383_10</t>
  </si>
  <si>
    <t>5</t>
  </si>
  <si>
    <t>272151Российская Федерация, Запорожская обл, Бердянский р-н, Трояны с.,</t>
  </si>
  <si>
    <t>272302Российская Федерация, Запорожская обл, Мелитополь г, Полевая ул, д. 3, стр А,</t>
  </si>
  <si>
    <t>283032Российская Федерация, Донецкая Народная Респ, Донецк г, Чаадаева ул, д. 1,</t>
  </si>
  <si>
    <t>291002Российская Федерация, Луганская Народная Респ, Луганск г, Рабочая ул, д. 10А,</t>
  </si>
  <si>
    <t>272355Российская Федерация, Запорожская обл, Мелитопольский р-н, Мелитополь г, Семёновка с., Северный переезд ул, стр 3,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</si>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</sst>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#,##0.00_ ;[Red]\-#,##0.00\ "/>
    <numFmt numFmtId="167" formatCode="0.000"/>
    <numFmt numFmtId="168" formatCode="dd/mm/yy;@"/>
  </numFmts>
  <fonts count="355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b/>
      <sz val="10"/>
      <name val="Arial Cyr"/>
      <charset val="204"/>
    </font>
    <font>
      <sz val="10"/>
      <color indexed="8"/>
      <name val="Arial Cyr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7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  <border>
      <left style="thick">
        <color rgb="FF651C32"/>
      </left>
      <right style="thick">
        <color theme="0" tint="-0.499984740745262"/>
      </right>
      <top/>
      <bottom/>
      <diagonal/>
    </border>
    <border>
      <left/>
      <right/>
      <top style="thick">
        <color theme="0" tint="-0.499984740745262"/>
      </top>
      <bottom/>
      <diagonal/>
    </border>
    <border>
      <left/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 style="thin">
        <color rgb="FF651C32"/>
      </bottom>
      <diagonal/>
    </border>
  </borders>
  <cellStyleXfs count="52">
    <xf numFmtId="0" fontId="0" fillId="0" borderId="0"/>
    <xf numFmtId="0" fontId="7" fillId="5" borderId="0"/>
    <xf numFmtId="0" fontId="7" fillId="6" borderId="0"/>
    <xf numFmtId="0" fontId="7" fillId="7" borderId="0"/>
    <xf numFmtId="0" fontId="7" fillId="8" borderId="0"/>
    <xf numFmtId="0" fontId="7" fillId="4" borderId="0"/>
    <xf numFmtId="0" fontId="7" fillId="2" borderId="0"/>
    <xf numFmtId="0" fontId="7" fillId="12" borderId="0"/>
    <xf numFmtId="0" fontId="7" fillId="10" borderId="0"/>
    <xf numFmtId="0" fontId="7" fillId="13" borderId="0"/>
    <xf numFmtId="0" fontId="7" fillId="8" borderId="0"/>
    <xf numFmtId="0" fontId="7" fillId="12" borderId="0"/>
    <xf numFmtId="0" fontId="7" fillId="14" borderId="0"/>
    <xf numFmtId="0" fontId="8" fillId="16" borderId="0"/>
    <xf numFmtId="0" fontId="8" fillId="10" borderId="0"/>
    <xf numFmtId="0" fontId="8" fillId="13" borderId="0"/>
    <xf numFmtId="0" fontId="8" fillId="17" borderId="0"/>
    <xf numFmtId="0" fontId="8" fillId="15" borderId="0"/>
    <xf numFmtId="0" fontId="8" fillId="18" borderId="0"/>
    <xf numFmtId="0" fontId="8" fillId="23" borderId="0"/>
    <xf numFmtId="0" fontId="8" fillId="19" borderId="0"/>
    <xf numFmtId="0" fontId="8" fillId="20" borderId="0"/>
    <xf numFmtId="0" fontId="8" fillId="17" borderId="0"/>
    <xf numFmtId="0" fontId="8" fillId="15" borderId="0"/>
    <xf numFmtId="0" fontId="8" fillId="21" borderId="0"/>
    <xf numFmtId="0" fontId="9" fillId="2" borderId="1"/>
    <xf numFmtId="0" fontId="10" fillId="9" borderId="6"/>
    <xf numFmtId="0" fontId="11" fillId="9" borderId="1"/>
    <xf numFmtId="0" fontId="12" fillId="0" borderId="7"/>
    <xf numFmtId="0" fontId="13" fillId="0" borderId="3"/>
    <xf numFmtId="0" fontId="14" fillId="0" borderId="8"/>
    <xf numFmtId="0" fontId="14" fillId="0" borderId="0"/>
    <xf numFmtId="0" fontId="15" fillId="0" borderId="9"/>
    <xf numFmtId="0" fontId="16" fillId="22" borderId="2"/>
    <xf numFmtId="0" fontId="17" fillId="0" borderId="0"/>
    <xf numFmtId="0" fontId="18" fillId="11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9" fillId="0" borderId="0"/>
    <xf numFmtId="0" fontId="29" fillId="0" borderId="0"/>
    <xf numFmtId="0" fontId="29" fillId="0" borderId="0"/>
    <xf numFmtId="0" fontId="19" fillId="6" borderId="0"/>
    <xf numFmtId="0" fontId="20" fillId="0" borderId="0"/>
    <xf numFmtId="0" fontId="6" fillId="3" borderId="5"/>
    <xf numFmtId="0" fontId="6" fillId="3" borderId="5"/>
    <xf numFmtId="0" fontId="21" fillId="0" borderId="4"/>
    <xf numFmtId="0" fontId="22" fillId="0" borderId="0"/>
    <xf numFmtId="0" fontId="23" fillId="7" borderId="0"/>
  </cellStyleXfs>
  <cellXfs count="470">
    <xf numFmtId="0" fontId="0" fillId="0" borderId="0" xfId="0"/>
    <xf numFmtId="0" fontId="5" fillId="0" borderId="0" xfId="0" applyFont="1" applyAlignment="1" applyProtection="1">
      <alignment horizontal="center"/>
      <protection hidden="1"/>
    </xf>
    <xf numFmtId="0" fontId="0" fillId="0" borderId="0" xfId="0" applyProtection="1">
      <protection locked="0" hidden="1"/>
    </xf>
    <xf numFmtId="164" fontId="4" fillId="0" borderId="0" xfId="0" applyNumberFormat="1" applyFont="1" applyAlignment="1" applyProtection="1">
      <alignment horizontal="center"/>
      <protection hidden="1"/>
    </xf>
    <xf numFmtId="0" fontId="4" fillId="0" borderId="0" xfId="0" applyFont="1" applyAlignment="1" applyProtection="1">
      <alignment horizontal="center"/>
      <protection hidden="1"/>
    </xf>
    <xf numFmtId="0" fontId="1" fillId="0" borderId="0" xfId="0" applyFont="1" applyAlignment="1" applyProtection="1">
      <alignment horizontal="right"/>
      <protection hidden="1"/>
    </xf>
    <xf numFmtId="0" fontId="0" fillId="0" borderId="0" xfId="0" applyAlignment="1" applyProtection="1">
      <alignment horizontal="center"/>
      <protection hidden="1"/>
    </xf>
    <xf numFmtId="0" fontId="2" fillId="0" borderId="0" xfId="0" applyFont="1" applyAlignment="1" applyProtection="1">
      <alignment horizontal="center"/>
      <protection hidden="1"/>
    </xf>
    <xf numFmtId="0" fontId="24" fillId="0" borderId="0" xfId="0" applyFont="1" applyAlignment="1">
      <alignment horizontal="right"/>
    </xf>
    <xf numFmtId="165" fontId="0" fillId="0" borderId="0" xfId="0" applyNumberFormat="1" applyAlignment="1">
      <alignment horizontal="center"/>
    </xf>
    <xf numFmtId="49" fontId="32" fillId="0" borderId="14" xfId="39" applyNumberFormat="1" applyFont="1" applyBorder="1" applyAlignment="1">
      <alignment horizontal="left" vertical="center"/>
    </xf>
    <xf numFmtId="0" fontId="33" fillId="0" borderId="0" xfId="0" applyFont="1" applyAlignment="1">
      <alignment horizontal="left" vertical="top" wrapText="1"/>
    </xf>
    <xf numFmtId="0" fontId="34" fillId="24" borderId="0" xfId="39" applyFont="1" applyFill="1" applyAlignment="1">
      <alignment horizontal="center" vertical="center"/>
    </xf>
    <xf numFmtId="14" fontId="34" fillId="24" borderId="0" xfId="39" applyNumberFormat="1" applyFont="1" applyFill="1" applyAlignment="1">
      <alignment vertical="center" wrapText="1"/>
    </xf>
    <xf numFmtId="49" fontId="32" fillId="0" borderId="0" xfId="39" applyNumberFormat="1" applyFont="1" applyAlignment="1">
      <alignment horizontal="left" vertical="center"/>
    </xf>
    <xf numFmtId="0" fontId="34" fillId="0" borderId="0" xfId="0" applyFont="1" applyAlignment="1">
      <alignment horizontal="center" vertical="center" wrapText="1"/>
    </xf>
    <xf numFmtId="0" fontId="33" fillId="0" borderId="0" xfId="0" applyFont="1" applyAlignment="1">
      <alignment vertical="center" wrapText="1"/>
    </xf>
    <xf numFmtId="49" fontId="36" fillId="0" borderId="15" xfId="39" applyNumberFormat="1" applyFont="1" applyBorder="1" applyAlignment="1" applyProtection="1">
      <alignment horizontal="center" vertical="center"/>
      <protection locked="0"/>
    </xf>
    <xf numFmtId="49" fontId="37" fillId="0" borderId="0" xfId="0" applyNumberFormat="1" applyFont="1" applyAlignment="1">
      <alignment horizontal="left" vertical="center"/>
    </xf>
    <xf numFmtId="0" fontId="33" fillId="0" borderId="0" xfId="0" applyFont="1" applyAlignment="1">
      <alignment horizontal="center" vertical="center" wrapText="1"/>
    </xf>
    <xf numFmtId="0" fontId="38" fillId="0" borderId="0" xfId="0" applyFont="1" applyAlignment="1">
      <alignment vertical="center" wrapText="1"/>
    </xf>
    <xf numFmtId="0" fontId="39" fillId="0" borderId="0" xfId="0" applyFont="1" applyAlignment="1" applyProtection="1">
      <alignment horizontal="right"/>
      <protection hidden="1"/>
    </xf>
    <xf numFmtId="0" fontId="40" fillId="0" borderId="0" xfId="0" applyFont="1" applyAlignment="1">
      <alignment horizontal="right"/>
    </xf>
    <xf numFmtId="2" fontId="42" fillId="0" borderId="0" xfId="0" applyNumberFormat="1" applyFont="1" applyAlignment="1" applyProtection="1">
      <alignment horizontal="center" vertical="center" wrapText="1"/>
      <protection hidden="1"/>
    </xf>
    <xf numFmtId="0" fontId="41" fillId="0" borderId="0" xfId="0" applyFont="1" applyAlignment="1" applyProtection="1">
      <alignment horizontal="right" vertical="center"/>
      <protection hidden="1"/>
    </xf>
    <xf numFmtId="0" fontId="35" fillId="0" borderId="0" xfId="0" applyFont="1" applyAlignment="1" applyProtection="1">
      <alignment horizontal="center"/>
      <protection hidden="1"/>
    </xf>
    <xf numFmtId="0" fontId="41" fillId="0" borderId="0" xfId="0" applyFont="1" applyAlignment="1">
      <alignment horizontal="right" vertical="center"/>
    </xf>
    <xf numFmtId="49" fontId="36" fillId="25" borderId="15" xfId="39" applyNumberFormat="1" applyFont="1" applyFill="1" applyBorder="1" applyAlignment="1" applyProtection="1">
      <alignment horizontal="center" vertical="center"/>
      <protection locked="0"/>
    </xf>
    <xf numFmtId="0" fontId="39" fillId="0" borderId="0" xfId="0" applyFont="1" applyAlignment="1" applyProtection="1">
      <alignment horizontal="left"/>
      <protection hidden="1"/>
    </xf>
    <xf numFmtId="0" fontId="43" fillId="0" borderId="0" xfId="0" applyFont="1" applyAlignment="1">
      <alignment horizontal="left" vertical="top"/>
    </xf>
    <xf numFmtId="0" fontId="44" fillId="0" borderId="0" xfId="0" applyFont="1" applyAlignment="1">
      <alignment horizontal="left" vertical="top" wrapText="1"/>
    </xf>
    <xf numFmtId="1" fontId="46" fillId="0" borderId="15" xfId="39" applyNumberFormat="1" applyFont="1" applyBorder="1" applyAlignment="1">
      <alignment horizontal="center" vertical="center"/>
    </xf>
    <xf numFmtId="0" fontId="2" fillId="0" borderId="15" xfId="0" applyFont="1" applyBorder="1" applyAlignment="1" applyProtection="1">
      <alignment horizontal="center" vertical="center"/>
      <protection hidden="1"/>
    </xf>
    <xf numFmtId="1" fontId="2" fillId="0" borderId="15" xfId="0" applyNumberFormat="1" applyFont="1" applyBorder="1" applyAlignment="1">
      <alignment horizontal="center" vertical="center"/>
    </xf>
    <xf numFmtId="0" fontId="2" fillId="0" borderId="15" xfId="0" applyFont="1" applyBorder="1" applyAlignment="1">
      <alignment horizontal="left"/>
    </xf>
    <xf numFmtId="0" fontId="30" fillId="0" borderId="15" xfId="0" applyFont="1" applyBorder="1" applyAlignment="1" applyProtection="1">
      <alignment horizontal="center"/>
      <protection hidden="1"/>
    </xf>
    <xf numFmtId="2" fontId="3" fillId="0" borderId="15" xfId="0" applyNumberFormat="1" applyFont="1" applyBorder="1" applyAlignment="1">
      <alignment horizontal="center"/>
    </xf>
    <xf numFmtId="0" fontId="35" fillId="24" borderId="15" xfId="0" applyFont="1" applyFill="1" applyBorder="1" applyAlignment="1" applyProtection="1">
      <alignment horizontal="center"/>
      <protection hidden="1"/>
    </xf>
    <xf numFmtId="164" fontId="41" fillId="24" borderId="15" xfId="0" applyNumberFormat="1" applyFont="1" applyFill="1" applyBorder="1" applyAlignment="1">
      <alignment horizontal="right"/>
    </xf>
    <xf numFmtId="0" fontId="47" fillId="24" borderId="15" xfId="0" applyFont="1" applyFill="1" applyBorder="1" applyAlignment="1" applyProtection="1">
      <alignment horizontal="center"/>
      <protection hidden="1"/>
    </xf>
    <xf numFmtId="0" fontId="48" fillId="24" borderId="16" xfId="0" applyFont="1" applyFill="1" applyBorder="1" applyAlignment="1" applyProtection="1">
      <alignment horizontal="center" vertical="center" wrapText="1"/>
      <protection hidden="1"/>
    </xf>
    <xf numFmtId="0" fontId="34" fillId="24" borderId="0" xfId="39" applyFont="1" applyFill="1" applyAlignment="1">
      <alignment vertical="center" wrapText="1"/>
    </xf>
    <xf numFmtId="49" fontId="36" fillId="0" borderId="15" xfId="0" applyNumberFormat="1" applyFont="1" applyBorder="1" applyAlignment="1" applyProtection="1">
      <alignment horizontal="center" vertical="center"/>
      <protection locked="0"/>
    </xf>
    <xf numFmtId="49" fontId="49" fillId="0" borderId="0" xfId="0" applyNumberFormat="1" applyFont="1" applyAlignment="1">
      <alignment horizontal="center" vertical="center" wrapText="1"/>
    </xf>
    <xf numFmtId="49" fontId="36" fillId="0" borderId="0" xfId="0" applyNumberFormat="1" applyFont="1" applyAlignment="1">
      <alignment horizontal="center" vertical="center"/>
    </xf>
    <xf numFmtId="165" fontId="36" fillId="0" borderId="0" xfId="0" applyNumberFormat="1" applyFont="1" applyAlignment="1" applyProtection="1">
      <alignment horizontal="center" vertical="center"/>
      <protection locked="0"/>
    </xf>
    <xf numFmtId="4" fontId="28" fillId="0" borderId="17" xfId="39" applyNumberFormat="1" applyFont="1" applyBorder="1" applyAlignment="1" applyProtection="1">
      <alignment horizontal="center" vertical="center"/>
      <protection hidden="1"/>
    </xf>
    <xf numFmtId="0" fontId="0" fillId="0" borderId="10" xfId="0" applyBorder="1"/>
    <xf numFmtId="2" fontId="50" fillId="0" borderId="0" xfId="0" applyNumberFormat="1" applyFont="1" applyAlignment="1">
      <alignment horizontal="center" vertical="center"/>
    </xf>
    <xf numFmtId="0" fontId="48" fillId="0" borderId="0" xfId="0" applyFont="1" applyAlignment="1" applyProtection="1">
      <alignment horizontal="center" vertical="center" wrapText="1"/>
      <protection hidden="1"/>
    </xf>
    <xf numFmtId="4" fontId="51" fillId="0" borderId="0" xfId="39" applyNumberFormat="1" applyFont="1" applyAlignment="1" applyProtection="1">
      <alignment horizontal="center" vertical="center"/>
      <protection hidden="1"/>
    </xf>
    <xf numFmtId="0" fontId="35" fillId="0" borderId="0" xfId="0" applyFont="1" applyProtection="1">
      <protection locked="0"/>
    </xf>
    <xf numFmtId="0" fontId="0" fillId="0" borderId="0" xfId="0" applyProtection="1">
      <protection locked="0"/>
    </xf>
    <xf numFmtId="14" fontId="34" fillId="24" borderId="0" xfId="39" applyNumberFormat="1" applyFont="1" applyFill="1" applyAlignment="1">
      <alignment horizontal="center" vertical="center" wrapText="1"/>
    </xf>
    <xf numFmtId="1" fontId="46" fillId="0" borderId="20" xfId="0" applyNumberFormat="1" applyFont="1" applyBorder="1" applyAlignment="1">
      <alignment horizontal="center" vertical="center"/>
    </xf>
    <xf numFmtId="2" fontId="48" fillId="24" borderId="24" xfId="0" applyNumberFormat="1" applyFont="1" applyFill="1" applyBorder="1" applyAlignment="1" applyProtection="1">
      <alignment vertical="center" wrapText="1"/>
      <protection hidden="1"/>
    </xf>
    <xf numFmtId="2" fontId="3" fillId="0" borderId="11" xfId="0" applyNumberFormat="1" applyFont="1" applyBorder="1" applyAlignment="1">
      <alignment horizontal="center" wrapText="1"/>
    </xf>
    <xf numFmtId="0" fontId="31" fillId="0" borderId="11" xfId="0" applyFont="1" applyBorder="1" applyProtection="1">
      <protection hidden="1"/>
    </xf>
    <xf numFmtId="0" fontId="58" fillId="24" borderId="11" xfId="0" applyFont="1" applyFill="1" applyBorder="1" applyAlignment="1" applyProtection="1">
      <alignment horizontal="center" vertical="center"/>
      <protection hidden="1"/>
    </xf>
    <xf numFmtId="2" fontId="0" fillId="0" borderId="11" xfId="0" applyNumberFormat="1" applyBorder="1" applyProtection="1">
      <protection hidden="1"/>
    </xf>
    <xf numFmtId="2" fontId="59" fillId="0" borderId="11" xfId="0" applyNumberFormat="1" applyFont="1" applyBorder="1" applyAlignment="1" applyProtection="1">
      <alignment horizontal="center"/>
      <protection hidden="1"/>
    </xf>
    <xf numFmtId="2" fontId="48" fillId="0" borderId="0" xfId="0" applyNumberFormat="1" applyFont="1" applyAlignment="1" applyProtection="1">
      <alignment horizontal="left" vertical="center" wrapText="1"/>
      <protection locked="0" hidden="1"/>
    </xf>
    <xf numFmtId="0" fontId="42" fillId="0" borderId="0" xfId="0" applyFont="1" applyAlignment="1" applyProtection="1">
      <alignment horizontal="left" vertical="top" wrapText="1"/>
      <protection locked="0"/>
    </xf>
    <xf numFmtId="0" fontId="42" fillId="0" borderId="0" xfId="0" applyFont="1" applyAlignment="1" applyProtection="1">
      <alignment horizontal="center" vertical="top" wrapText="1"/>
      <protection locked="0"/>
    </xf>
    <xf numFmtId="2" fontId="42" fillId="0" borderId="0" xfId="0" applyNumberFormat="1" applyFont="1" applyAlignment="1" applyProtection="1">
      <alignment horizontal="left" vertical="center" wrapText="1"/>
      <protection locked="0" hidden="1"/>
    </xf>
    <xf numFmtId="2" fontId="48" fillId="0" borderId="0" xfId="0" applyNumberFormat="1" applyFont="1" applyAlignment="1" applyProtection="1">
      <alignment horizontal="left" vertical="center" wrapText="1"/>
      <protection hidden="1"/>
    </xf>
    <xf numFmtId="2" fontId="53" fillId="0" borderId="0" xfId="0" applyNumberFormat="1" applyFont="1" applyAlignment="1" applyProtection="1">
      <alignment horizontal="left" vertical="center" wrapText="1"/>
      <protection hidden="1"/>
    </xf>
    <xf numFmtId="4" fontId="60" fillId="0" borderId="0" xfId="0" applyNumberFormat="1" applyFont="1" applyProtection="1">
      <protection hidden="1"/>
    </xf>
    <xf numFmtId="0" fontId="60" fillId="0" borderId="0" xfId="0" applyFont="1" applyAlignment="1" applyProtection="1">
      <alignment horizontal="center" vertical="center"/>
      <protection hidden="1"/>
    </xf>
    <xf numFmtId="0" fontId="60" fillId="0" borderId="38" xfId="0" applyFont="1" applyBorder="1" applyAlignment="1" applyProtection="1">
      <alignment horizontal="center" vertical="center"/>
      <protection hidden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60" fillId="0" borderId="0" xfId="0" applyFont="1" applyProtection="1">
      <protection hidden="1"/>
    </xf>
    <xf numFmtId="0" fontId="62" fillId="0" borderId="11" xfId="0" applyFont="1" applyBorder="1" applyAlignment="1" applyProtection="1">
      <alignment wrapText="1"/>
      <protection hidden="1"/>
    </xf>
    <xf numFmtId="0" fontId="63" fillId="0" borderId="0" xfId="0" applyFont="1"/>
    <xf numFmtId="0" fontId="65" fillId="0" borderId="11" xfId="0" applyFont="1" applyBorder="1" applyAlignment="1" applyProtection="1">
      <alignment wrapText="1"/>
      <protection hidden="1"/>
    </xf>
    <xf numFmtId="0" fontId="66" fillId="0" borderId="0" xfId="0" applyFont="1"/>
    <xf numFmtId="0" fontId="68" fillId="0" borderId="11" xfId="0" applyFont="1" applyBorder="1" applyAlignment="1" applyProtection="1">
      <alignment wrapText="1"/>
      <protection hidden="1"/>
    </xf>
    <xf numFmtId="0" fontId="69" fillId="0" borderId="0" xfId="0" applyFont="1"/>
    <xf numFmtId="0" fontId="71" fillId="0" borderId="11" xfId="0" applyFont="1" applyBorder="1" applyAlignment="1" applyProtection="1">
      <alignment wrapText="1"/>
      <protection hidden="1"/>
    </xf>
    <xf numFmtId="0" fontId="72" fillId="0" borderId="0" xfId="0" applyFont="1"/>
    <xf numFmtId="0" fontId="74" fillId="0" borderId="11" xfId="0" applyFont="1" applyBorder="1" applyAlignment="1" applyProtection="1">
      <alignment wrapText="1"/>
      <protection hidden="1"/>
    </xf>
    <xf numFmtId="0" fontId="75" fillId="0" borderId="0" xfId="0" applyFont="1"/>
    <xf numFmtId="0" fontId="77" fillId="0" borderId="11" xfId="0" applyFont="1" applyBorder="1" applyAlignment="1" applyProtection="1">
      <alignment wrapText="1"/>
      <protection hidden="1"/>
    </xf>
    <xf numFmtId="0" fontId="78" fillId="0" borderId="0" xfId="0" applyFont="1"/>
    <xf numFmtId="0" fontId="80" fillId="0" borderId="11" xfId="0" applyFont="1" applyBorder="1" applyAlignment="1" applyProtection="1">
      <alignment wrapText="1"/>
      <protection hidden="1"/>
    </xf>
    <xf numFmtId="0" fontId="81" fillId="0" borderId="0" xfId="0" applyFont="1"/>
    <xf numFmtId="0" fontId="83" fillId="0" borderId="11" xfId="0" applyFont="1" applyBorder="1" applyAlignment="1" applyProtection="1">
      <alignment wrapText="1"/>
      <protection hidden="1"/>
    </xf>
    <xf numFmtId="0" fontId="84" fillId="0" borderId="0" xfId="0" applyFont="1"/>
    <xf numFmtId="0" fontId="86" fillId="0" borderId="11" xfId="0" applyFont="1" applyBorder="1" applyAlignment="1" applyProtection="1">
      <alignment wrapText="1"/>
      <protection hidden="1"/>
    </xf>
    <xf numFmtId="0" fontId="87" fillId="0" borderId="0" xfId="0" applyFont="1"/>
    <xf numFmtId="0" fontId="89" fillId="0" borderId="11" xfId="0" applyFont="1" applyBorder="1" applyAlignment="1" applyProtection="1">
      <alignment wrapText="1"/>
      <protection hidden="1"/>
    </xf>
    <xf numFmtId="0" fontId="90" fillId="0" borderId="0" xfId="0" applyFont="1"/>
    <xf numFmtId="0" fontId="92" fillId="0" borderId="11" xfId="0" applyFont="1" applyBorder="1" applyAlignment="1" applyProtection="1">
      <alignment wrapText="1"/>
      <protection hidden="1"/>
    </xf>
    <xf numFmtId="0" fontId="93" fillId="0" borderId="0" xfId="0" applyFont="1"/>
    <xf numFmtId="0" fontId="95" fillId="0" borderId="11" xfId="0" applyFont="1" applyBorder="1" applyAlignment="1" applyProtection="1">
      <alignment wrapText="1"/>
      <protection hidden="1"/>
    </xf>
    <xf numFmtId="0" fontId="96" fillId="0" borderId="0" xfId="0" applyFont="1"/>
    <xf numFmtId="0" fontId="98" fillId="0" borderId="11" xfId="0" applyFont="1" applyBorder="1" applyAlignment="1" applyProtection="1">
      <alignment wrapText="1"/>
      <protection hidden="1"/>
    </xf>
    <xf numFmtId="0" fontId="99" fillId="0" borderId="0" xfId="0" applyFont="1"/>
    <xf numFmtId="0" fontId="101" fillId="0" borderId="11" xfId="0" applyFont="1" applyBorder="1" applyAlignment="1" applyProtection="1">
      <alignment wrapText="1"/>
      <protection hidden="1"/>
    </xf>
    <xf numFmtId="0" fontId="102" fillId="0" borderId="0" xfId="0" applyFont="1"/>
    <xf numFmtId="0" fontId="104" fillId="0" borderId="11" xfId="0" applyFont="1" applyBorder="1" applyAlignment="1" applyProtection="1">
      <alignment wrapText="1"/>
      <protection hidden="1"/>
    </xf>
    <xf numFmtId="0" fontId="105" fillId="0" borderId="0" xfId="0" applyFont="1"/>
    <xf numFmtId="0" fontId="107" fillId="0" borderId="11" xfId="0" applyFont="1" applyBorder="1" applyAlignment="1" applyProtection="1">
      <alignment wrapText="1"/>
      <protection hidden="1"/>
    </xf>
    <xf numFmtId="0" fontId="108" fillId="0" borderId="0" xfId="0" applyFont="1"/>
    <xf numFmtId="0" fontId="110" fillId="0" borderId="11" xfId="0" applyFont="1" applyBorder="1" applyAlignment="1" applyProtection="1">
      <alignment wrapText="1"/>
      <protection hidden="1"/>
    </xf>
    <xf numFmtId="0" fontId="111" fillId="0" borderId="0" xfId="0" applyFont="1"/>
    <xf numFmtId="0" fontId="113" fillId="0" borderId="11" xfId="0" applyFont="1" applyBorder="1" applyAlignment="1" applyProtection="1">
      <alignment wrapText="1"/>
      <protection hidden="1"/>
    </xf>
    <xf numFmtId="0" fontId="114" fillId="0" borderId="0" xfId="0" applyFont="1"/>
    <xf numFmtId="0" fontId="116" fillId="0" borderId="11" xfId="0" applyFont="1" applyBorder="1" applyAlignment="1" applyProtection="1">
      <alignment wrapText="1"/>
      <protection hidden="1"/>
    </xf>
    <xf numFmtId="0" fontId="117" fillId="0" borderId="0" xfId="0" applyFont="1"/>
    <xf numFmtId="0" fontId="119" fillId="0" borderId="11" xfId="0" applyFont="1" applyBorder="1" applyAlignment="1" applyProtection="1">
      <alignment wrapText="1"/>
      <protection hidden="1"/>
    </xf>
    <xf numFmtId="0" fontId="120" fillId="0" borderId="0" xfId="0" applyFont="1"/>
    <xf numFmtId="0" fontId="122" fillId="0" borderId="11" xfId="0" applyFont="1" applyBorder="1" applyAlignment="1" applyProtection="1">
      <alignment wrapText="1"/>
      <protection hidden="1"/>
    </xf>
    <xf numFmtId="0" fontId="123" fillId="0" borderId="0" xfId="0" applyFont="1"/>
    <xf numFmtId="0" fontId="125" fillId="0" borderId="11" xfId="0" applyFont="1" applyBorder="1" applyAlignment="1" applyProtection="1">
      <alignment wrapText="1"/>
      <protection hidden="1"/>
    </xf>
    <xf numFmtId="0" fontId="126" fillId="0" borderId="0" xfId="0" applyFont="1"/>
    <xf numFmtId="0" fontId="128" fillId="0" borderId="11" xfId="0" applyFont="1" applyBorder="1" applyAlignment="1" applyProtection="1">
      <alignment wrapText="1"/>
      <protection hidden="1"/>
    </xf>
    <xf numFmtId="0" fontId="129" fillId="0" borderId="0" xfId="0" applyFont="1"/>
    <xf numFmtId="0" fontId="131" fillId="0" borderId="11" xfId="0" applyFont="1" applyBorder="1" applyAlignment="1" applyProtection="1">
      <alignment wrapText="1"/>
      <protection hidden="1"/>
    </xf>
    <xf numFmtId="0" fontId="132" fillId="0" borderId="0" xfId="0" applyFont="1"/>
    <xf numFmtId="0" fontId="134" fillId="0" borderId="11" xfId="0" applyFont="1" applyBorder="1" applyAlignment="1" applyProtection="1">
      <alignment wrapText="1"/>
      <protection hidden="1"/>
    </xf>
    <xf numFmtId="0" fontId="135" fillId="0" borderId="0" xfId="0" applyFont="1"/>
    <xf numFmtId="0" fontId="137" fillId="0" borderId="11" xfId="0" applyFont="1" applyBorder="1" applyAlignment="1" applyProtection="1">
      <alignment wrapText="1"/>
      <protection hidden="1"/>
    </xf>
    <xf numFmtId="0" fontId="138" fillId="0" borderId="0" xfId="0" applyFont="1"/>
    <xf numFmtId="0" fontId="140" fillId="0" borderId="11" xfId="0" applyFont="1" applyBorder="1" applyAlignment="1" applyProtection="1">
      <alignment wrapText="1"/>
      <protection hidden="1"/>
    </xf>
    <xf numFmtId="0" fontId="141" fillId="0" borderId="0" xfId="0" applyFont="1"/>
    <xf numFmtId="0" fontId="143" fillId="0" borderId="11" xfId="0" applyFont="1" applyBorder="1" applyAlignment="1" applyProtection="1">
      <alignment wrapText="1"/>
      <protection hidden="1"/>
    </xf>
    <xf numFmtId="0" fontId="144" fillId="0" borderId="0" xfId="0" applyFont="1"/>
    <xf numFmtId="0" fontId="146" fillId="0" borderId="11" xfId="0" applyFont="1" applyBorder="1" applyAlignment="1" applyProtection="1">
      <alignment wrapText="1"/>
      <protection hidden="1"/>
    </xf>
    <xf numFmtId="0" fontId="147" fillId="0" borderId="0" xfId="0" applyFont="1"/>
    <xf numFmtId="0" fontId="149" fillId="0" borderId="11" xfId="0" applyFont="1" applyBorder="1" applyAlignment="1" applyProtection="1">
      <alignment wrapText="1"/>
      <protection hidden="1"/>
    </xf>
    <xf numFmtId="0" fontId="150" fillId="0" borderId="0" xfId="0" applyFont="1"/>
    <xf numFmtId="0" fontId="152" fillId="0" borderId="11" xfId="0" applyFont="1" applyBorder="1" applyAlignment="1" applyProtection="1">
      <alignment wrapText="1"/>
      <protection hidden="1"/>
    </xf>
    <xf numFmtId="0" fontId="153" fillId="0" borderId="0" xfId="0" applyFont="1"/>
    <xf numFmtId="0" fontId="155" fillId="0" borderId="11" xfId="0" applyFont="1" applyBorder="1" applyAlignment="1" applyProtection="1">
      <alignment wrapText="1"/>
      <protection hidden="1"/>
    </xf>
    <xf numFmtId="0" fontId="156" fillId="0" borderId="0" xfId="0" applyFont="1"/>
    <xf numFmtId="0" fontId="158" fillId="0" borderId="11" xfId="0" applyFont="1" applyBorder="1" applyAlignment="1" applyProtection="1">
      <alignment wrapText="1"/>
      <protection hidden="1"/>
    </xf>
    <xf numFmtId="0" fontId="159" fillId="0" borderId="0" xfId="0" applyFont="1"/>
    <xf numFmtId="0" fontId="161" fillId="0" borderId="11" xfId="0" applyFont="1" applyBorder="1" applyAlignment="1" applyProtection="1">
      <alignment wrapText="1"/>
      <protection hidden="1"/>
    </xf>
    <xf numFmtId="0" fontId="162" fillId="0" borderId="0" xfId="0" applyFont="1"/>
    <xf numFmtId="0" fontId="164" fillId="0" borderId="11" xfId="0" applyFont="1" applyBorder="1" applyAlignment="1" applyProtection="1">
      <alignment wrapText="1"/>
      <protection hidden="1"/>
    </xf>
    <xf numFmtId="0" fontId="165" fillId="0" borderId="0" xfId="0" applyFont="1"/>
    <xf numFmtId="0" fontId="167" fillId="0" borderId="11" xfId="0" applyFont="1" applyBorder="1" applyAlignment="1" applyProtection="1">
      <alignment wrapText="1"/>
      <protection hidden="1"/>
    </xf>
    <xf numFmtId="0" fontId="168" fillId="0" borderId="0" xfId="0" applyFont="1"/>
    <xf numFmtId="0" fontId="170" fillId="0" borderId="11" xfId="0" applyFont="1" applyBorder="1" applyAlignment="1" applyProtection="1">
      <alignment wrapText="1"/>
      <protection hidden="1"/>
    </xf>
    <xf numFmtId="0" fontId="171" fillId="0" borderId="0" xfId="0" applyFont="1"/>
    <xf numFmtId="0" fontId="173" fillId="0" borderId="11" xfId="0" applyFont="1" applyBorder="1" applyAlignment="1" applyProtection="1">
      <alignment wrapText="1"/>
      <protection hidden="1"/>
    </xf>
    <xf numFmtId="0" fontId="174" fillId="0" borderId="0" xfId="0" applyFont="1"/>
    <xf numFmtId="0" fontId="176" fillId="0" borderId="11" xfId="0" applyFont="1" applyBorder="1" applyAlignment="1" applyProtection="1">
      <alignment wrapText="1"/>
      <protection hidden="1"/>
    </xf>
    <xf numFmtId="0" fontId="177" fillId="0" borderId="0" xfId="0" applyFont="1"/>
    <xf numFmtId="0" fontId="179" fillId="0" borderId="11" xfId="0" applyFont="1" applyBorder="1" applyAlignment="1" applyProtection="1">
      <alignment wrapText="1"/>
      <protection hidden="1"/>
    </xf>
    <xf numFmtId="0" fontId="180" fillId="0" borderId="0" xfId="0" applyFont="1"/>
    <xf numFmtId="0" fontId="182" fillId="0" borderId="11" xfId="0" applyFont="1" applyBorder="1" applyAlignment="1" applyProtection="1">
      <alignment wrapText="1"/>
      <protection hidden="1"/>
    </xf>
    <xf numFmtId="0" fontId="183" fillId="0" borderId="0" xfId="0" applyFont="1"/>
    <xf numFmtId="0" fontId="185" fillId="0" borderId="11" xfId="0" applyFont="1" applyBorder="1" applyAlignment="1" applyProtection="1">
      <alignment wrapText="1"/>
      <protection hidden="1"/>
    </xf>
    <xf numFmtId="0" fontId="186" fillId="0" borderId="0" xfId="0" applyFont="1"/>
    <xf numFmtId="0" fontId="188" fillId="0" borderId="11" xfId="0" applyFont="1" applyBorder="1" applyAlignment="1" applyProtection="1">
      <alignment wrapText="1"/>
      <protection hidden="1"/>
    </xf>
    <xf numFmtId="0" fontId="189" fillId="0" borderId="0" xfId="0" applyFont="1"/>
    <xf numFmtId="0" fontId="191" fillId="0" borderId="11" xfId="0" applyFont="1" applyBorder="1" applyAlignment="1" applyProtection="1">
      <alignment wrapText="1"/>
      <protection hidden="1"/>
    </xf>
    <xf numFmtId="0" fontId="192" fillId="0" borderId="0" xfId="0" applyFont="1"/>
    <xf numFmtId="0" fontId="194" fillId="0" borderId="11" xfId="0" applyFont="1" applyBorder="1" applyAlignment="1" applyProtection="1">
      <alignment wrapText="1"/>
      <protection hidden="1"/>
    </xf>
    <xf numFmtId="0" fontId="195" fillId="0" borderId="0" xfId="0" applyFont="1"/>
    <xf numFmtId="0" fontId="197" fillId="0" borderId="11" xfId="0" applyFont="1" applyBorder="1" applyAlignment="1" applyProtection="1">
      <alignment wrapText="1"/>
      <protection hidden="1"/>
    </xf>
    <xf numFmtId="0" fontId="198" fillId="0" borderId="0" xfId="0" applyFont="1"/>
    <xf numFmtId="0" fontId="200" fillId="0" borderId="11" xfId="0" applyFont="1" applyBorder="1" applyAlignment="1" applyProtection="1">
      <alignment wrapText="1"/>
      <protection hidden="1"/>
    </xf>
    <xf numFmtId="0" fontId="201" fillId="0" borderId="0" xfId="0" applyFont="1"/>
    <xf numFmtId="0" fontId="203" fillId="0" borderId="11" xfId="0" applyFont="1" applyBorder="1" applyAlignment="1" applyProtection="1">
      <alignment wrapText="1"/>
      <protection hidden="1"/>
    </xf>
    <xf numFmtId="0" fontId="204" fillId="0" borderId="0" xfId="0" applyFont="1"/>
    <xf numFmtId="0" fontId="206" fillId="0" borderId="11" xfId="0" applyFont="1" applyBorder="1" applyAlignment="1" applyProtection="1">
      <alignment wrapText="1"/>
      <protection hidden="1"/>
    </xf>
    <xf numFmtId="0" fontId="207" fillId="0" borderId="0" xfId="0" applyFont="1"/>
    <xf numFmtId="0" fontId="209" fillId="0" borderId="11" xfId="0" applyFont="1" applyBorder="1" applyAlignment="1" applyProtection="1">
      <alignment wrapText="1"/>
      <protection hidden="1"/>
    </xf>
    <xf numFmtId="0" fontId="210" fillId="0" borderId="0" xfId="0" applyFont="1"/>
    <xf numFmtId="0" fontId="212" fillId="0" borderId="11" xfId="0" applyFont="1" applyBorder="1" applyAlignment="1" applyProtection="1">
      <alignment wrapText="1"/>
      <protection hidden="1"/>
    </xf>
    <xf numFmtId="0" fontId="213" fillId="0" borderId="0" xfId="0" applyFont="1"/>
    <xf numFmtId="0" fontId="215" fillId="0" borderId="11" xfId="0" applyFont="1" applyBorder="1" applyAlignment="1" applyProtection="1">
      <alignment wrapText="1"/>
      <protection hidden="1"/>
    </xf>
    <xf numFmtId="0" fontId="216" fillId="0" borderId="0" xfId="0" applyFont="1"/>
    <xf numFmtId="0" fontId="218" fillId="0" borderId="11" xfId="0" applyFont="1" applyBorder="1" applyAlignment="1" applyProtection="1">
      <alignment wrapText="1"/>
      <protection hidden="1"/>
    </xf>
    <xf numFmtId="0" fontId="219" fillId="0" borderId="0" xfId="0" applyFont="1"/>
    <xf numFmtId="0" fontId="221" fillId="0" borderId="11" xfId="0" applyFont="1" applyBorder="1" applyAlignment="1" applyProtection="1">
      <alignment wrapText="1"/>
      <protection hidden="1"/>
    </xf>
    <xf numFmtId="0" fontId="222" fillId="0" borderId="0" xfId="0" applyFont="1"/>
    <xf numFmtId="0" fontId="224" fillId="0" borderId="11" xfId="0" applyFont="1" applyBorder="1" applyAlignment="1" applyProtection="1">
      <alignment wrapText="1"/>
      <protection hidden="1"/>
    </xf>
    <xf numFmtId="0" fontId="225" fillId="0" borderId="0" xfId="0" applyFont="1"/>
    <xf numFmtId="0" fontId="227" fillId="0" borderId="11" xfId="0" applyFont="1" applyBorder="1" applyAlignment="1" applyProtection="1">
      <alignment wrapText="1"/>
      <protection hidden="1"/>
    </xf>
    <xf numFmtId="0" fontId="228" fillId="0" borderId="0" xfId="0" applyFont="1"/>
    <xf numFmtId="0" fontId="230" fillId="0" borderId="11" xfId="0" applyFont="1" applyBorder="1" applyAlignment="1" applyProtection="1">
      <alignment wrapText="1"/>
      <protection hidden="1"/>
    </xf>
    <xf numFmtId="0" fontId="231" fillId="0" borderId="0" xfId="0" applyFont="1"/>
    <xf numFmtId="0" fontId="233" fillId="0" borderId="11" xfId="0" applyFont="1" applyBorder="1" applyAlignment="1" applyProtection="1">
      <alignment wrapText="1"/>
      <protection hidden="1"/>
    </xf>
    <xf numFmtId="0" fontId="234" fillId="0" borderId="0" xfId="0" applyFont="1"/>
    <xf numFmtId="0" fontId="236" fillId="0" borderId="11" xfId="0" applyFont="1" applyBorder="1" applyAlignment="1" applyProtection="1">
      <alignment wrapText="1"/>
      <protection hidden="1"/>
    </xf>
    <xf numFmtId="0" fontId="237" fillId="0" borderId="0" xfId="0" applyFont="1"/>
    <xf numFmtId="0" fontId="239" fillId="0" borderId="11" xfId="0" applyFont="1" applyBorder="1" applyAlignment="1" applyProtection="1">
      <alignment wrapText="1"/>
      <protection hidden="1"/>
    </xf>
    <xf numFmtId="0" fontId="240" fillId="0" borderId="0" xfId="0" applyFont="1"/>
    <xf numFmtId="0" fontId="242" fillId="0" borderId="11" xfId="0" applyFont="1" applyBorder="1" applyAlignment="1" applyProtection="1">
      <alignment wrapText="1"/>
      <protection hidden="1"/>
    </xf>
    <xf numFmtId="0" fontId="243" fillId="0" borderId="0" xfId="0" applyFont="1"/>
    <xf numFmtId="0" fontId="245" fillId="0" borderId="11" xfId="0" applyFont="1" applyBorder="1" applyAlignment="1" applyProtection="1">
      <alignment wrapText="1"/>
      <protection hidden="1"/>
    </xf>
    <xf numFmtId="0" fontId="246" fillId="0" borderId="0" xfId="0" applyFont="1"/>
    <xf numFmtId="0" fontId="248" fillId="0" borderId="11" xfId="0" applyFont="1" applyBorder="1" applyAlignment="1" applyProtection="1">
      <alignment wrapText="1"/>
      <protection hidden="1"/>
    </xf>
    <xf numFmtId="0" fontId="249" fillId="0" borderId="0" xfId="0" applyFont="1"/>
    <xf numFmtId="0" fontId="251" fillId="0" borderId="11" xfId="0" applyFont="1" applyBorder="1" applyAlignment="1" applyProtection="1">
      <alignment wrapText="1"/>
      <protection hidden="1"/>
    </xf>
    <xf numFmtId="0" fontId="252" fillId="0" borderId="0" xfId="0" applyFont="1"/>
    <xf numFmtId="0" fontId="254" fillId="0" borderId="11" xfId="0" applyFont="1" applyBorder="1" applyAlignment="1" applyProtection="1">
      <alignment wrapText="1"/>
      <protection hidden="1"/>
    </xf>
    <xf numFmtId="0" fontId="255" fillId="0" borderId="0" xfId="0" applyFont="1"/>
    <xf numFmtId="0" fontId="257" fillId="0" borderId="11" xfId="0" applyFont="1" applyBorder="1" applyAlignment="1" applyProtection="1">
      <alignment wrapText="1"/>
      <protection hidden="1"/>
    </xf>
    <xf numFmtId="0" fontId="258" fillId="0" borderId="0" xfId="0" applyFont="1"/>
    <xf numFmtId="0" fontId="260" fillId="0" borderId="11" xfId="0" applyFont="1" applyBorder="1" applyAlignment="1" applyProtection="1">
      <alignment wrapText="1"/>
      <protection hidden="1"/>
    </xf>
    <xf numFmtId="0" fontId="261" fillId="0" borderId="0" xfId="0" applyFont="1"/>
    <xf numFmtId="0" fontId="263" fillId="0" borderId="11" xfId="0" applyFont="1" applyBorder="1" applyAlignment="1" applyProtection="1">
      <alignment wrapText="1"/>
      <protection hidden="1"/>
    </xf>
    <xf numFmtId="0" fontId="264" fillId="0" borderId="0" xfId="0" applyFont="1"/>
    <xf numFmtId="0" fontId="266" fillId="0" borderId="11" xfId="0" applyFont="1" applyBorder="1" applyAlignment="1" applyProtection="1">
      <alignment wrapText="1"/>
      <protection hidden="1"/>
    </xf>
    <xf numFmtId="0" fontId="267" fillId="0" borderId="0" xfId="0" applyFont="1"/>
    <xf numFmtId="0" fontId="269" fillId="0" borderId="11" xfId="0" applyFont="1" applyBorder="1" applyAlignment="1" applyProtection="1">
      <alignment wrapText="1"/>
      <protection hidden="1"/>
    </xf>
    <xf numFmtId="0" fontId="270" fillId="0" borderId="0" xfId="0" applyFont="1"/>
    <xf numFmtId="0" fontId="272" fillId="0" borderId="11" xfId="0" applyFont="1" applyBorder="1" applyAlignment="1" applyProtection="1">
      <alignment wrapText="1"/>
      <protection hidden="1"/>
    </xf>
    <xf numFmtId="0" fontId="273" fillId="0" borderId="0" xfId="0" applyFont="1"/>
    <xf numFmtId="0" fontId="275" fillId="0" borderId="11" xfId="0" applyFont="1" applyBorder="1" applyAlignment="1" applyProtection="1">
      <alignment wrapText="1"/>
      <protection hidden="1"/>
    </xf>
    <xf numFmtId="0" fontId="276" fillId="0" borderId="0" xfId="0" applyFont="1"/>
    <xf numFmtId="0" fontId="278" fillId="0" borderId="11" xfId="0" applyFont="1" applyBorder="1" applyAlignment="1" applyProtection="1">
      <alignment wrapText="1"/>
      <protection hidden="1"/>
    </xf>
    <xf numFmtId="0" fontId="279" fillId="0" borderId="0" xfId="0" applyFont="1"/>
    <xf numFmtId="0" fontId="281" fillId="0" borderId="11" xfId="0" applyFont="1" applyBorder="1" applyAlignment="1" applyProtection="1">
      <alignment wrapText="1"/>
      <protection hidden="1"/>
    </xf>
    <xf numFmtId="0" fontId="282" fillId="0" borderId="0" xfId="0" applyFont="1"/>
    <xf numFmtId="0" fontId="284" fillId="0" borderId="11" xfId="0" applyFont="1" applyBorder="1" applyAlignment="1" applyProtection="1">
      <alignment wrapText="1"/>
      <protection hidden="1"/>
    </xf>
    <xf numFmtId="0" fontId="285" fillId="0" borderId="0" xfId="0" applyFont="1"/>
    <xf numFmtId="0" fontId="287" fillId="0" borderId="11" xfId="0" applyFont="1" applyBorder="1" applyAlignment="1" applyProtection="1">
      <alignment wrapText="1"/>
      <protection hidden="1"/>
    </xf>
    <xf numFmtId="0" fontId="288" fillId="0" borderId="0" xfId="0" applyFont="1"/>
    <xf numFmtId="0" fontId="290" fillId="0" borderId="11" xfId="0" applyFont="1" applyBorder="1" applyAlignment="1" applyProtection="1">
      <alignment wrapText="1"/>
      <protection hidden="1"/>
    </xf>
    <xf numFmtId="0" fontId="291" fillId="0" borderId="0" xfId="0" applyFont="1"/>
    <xf numFmtId="0" fontId="293" fillId="0" borderId="11" xfId="0" applyFont="1" applyBorder="1" applyAlignment="1" applyProtection="1">
      <alignment wrapText="1"/>
      <protection hidden="1"/>
    </xf>
    <xf numFmtId="0" fontId="294" fillId="0" borderId="0" xfId="0" applyFont="1"/>
    <xf numFmtId="0" fontId="296" fillId="0" borderId="11" xfId="0" applyFont="1" applyBorder="1" applyAlignment="1" applyProtection="1">
      <alignment wrapText="1"/>
      <protection hidden="1"/>
    </xf>
    <xf numFmtId="0" fontId="297" fillId="0" borderId="0" xfId="0" applyFont="1"/>
    <xf numFmtId="0" fontId="299" fillId="0" borderId="11" xfId="0" applyFont="1" applyBorder="1" applyAlignment="1" applyProtection="1">
      <alignment wrapText="1"/>
      <protection hidden="1"/>
    </xf>
    <xf numFmtId="0" fontId="300" fillId="0" borderId="0" xfId="0" applyFont="1"/>
    <xf numFmtId="0" fontId="302" fillId="0" borderId="11" xfId="0" applyFont="1" applyBorder="1" applyAlignment="1" applyProtection="1">
      <alignment wrapText="1"/>
      <protection hidden="1"/>
    </xf>
    <xf numFmtId="0" fontId="303" fillId="0" borderId="0" xfId="0" applyFont="1"/>
    <xf numFmtId="0" fontId="305" fillId="0" borderId="11" xfId="0" applyFont="1" applyBorder="1" applyAlignment="1" applyProtection="1">
      <alignment wrapText="1"/>
      <protection hidden="1"/>
    </xf>
    <xf numFmtId="0" fontId="306" fillId="0" borderId="0" xfId="0" applyFont="1"/>
    <xf numFmtId="0" fontId="308" fillId="0" borderId="11" xfId="0" applyFont="1" applyBorder="1" applyAlignment="1" applyProtection="1">
      <alignment wrapText="1"/>
      <protection hidden="1"/>
    </xf>
    <xf numFmtId="0" fontId="309" fillId="0" borderId="0" xfId="0" applyFont="1"/>
    <xf numFmtId="0" fontId="311" fillId="0" borderId="11" xfId="0" applyFont="1" applyBorder="1" applyAlignment="1" applyProtection="1">
      <alignment wrapText="1"/>
      <protection hidden="1"/>
    </xf>
    <xf numFmtId="0" fontId="312" fillId="0" borderId="0" xfId="0" applyFont="1"/>
    <xf numFmtId="0" fontId="314" fillId="0" borderId="11" xfId="0" applyFont="1" applyBorder="1" applyAlignment="1" applyProtection="1">
      <alignment wrapText="1"/>
      <protection hidden="1"/>
    </xf>
    <xf numFmtId="0" fontId="315" fillId="0" borderId="0" xfId="0" applyFont="1"/>
    <xf numFmtId="0" fontId="317" fillId="0" borderId="11" xfId="0" applyFont="1" applyBorder="1" applyAlignment="1" applyProtection="1">
      <alignment wrapText="1"/>
      <protection hidden="1"/>
    </xf>
    <xf numFmtId="0" fontId="318" fillId="0" borderId="0" xfId="0" applyFont="1"/>
    <xf numFmtId="0" fontId="320" fillId="0" borderId="11" xfId="0" applyFont="1" applyBorder="1" applyAlignment="1" applyProtection="1">
      <alignment wrapText="1"/>
      <protection hidden="1"/>
    </xf>
    <xf numFmtId="0" fontId="321" fillId="0" borderId="0" xfId="0" applyFont="1"/>
    <xf numFmtId="0" fontId="323" fillId="0" borderId="11" xfId="0" applyFont="1" applyBorder="1" applyAlignment="1" applyProtection="1">
      <alignment wrapText="1"/>
      <protection hidden="1"/>
    </xf>
    <xf numFmtId="0" fontId="324" fillId="0" borderId="0" xfId="0" applyFont="1"/>
    <xf numFmtId="0" fontId="326" fillId="0" borderId="11" xfId="0" applyFont="1" applyBorder="1" applyAlignment="1" applyProtection="1">
      <alignment wrapText="1"/>
      <protection hidden="1"/>
    </xf>
    <xf numFmtId="0" fontId="327" fillId="0" borderId="0" xfId="0" applyFont="1"/>
    <xf numFmtId="0" fontId="329" fillId="0" borderId="11" xfId="0" applyFont="1" applyBorder="1" applyAlignment="1" applyProtection="1">
      <alignment wrapText="1"/>
      <protection hidden="1"/>
    </xf>
    <xf numFmtId="0" fontId="330" fillId="0" borderId="0" xfId="0" applyFont="1"/>
    <xf numFmtId="0" fontId="332" fillId="0" borderId="11" xfId="0" applyFont="1" applyBorder="1" applyAlignment="1" applyProtection="1">
      <alignment wrapText="1"/>
      <protection hidden="1"/>
    </xf>
    <xf numFmtId="0" fontId="333" fillId="0" borderId="0" xfId="0" applyFont="1"/>
    <xf numFmtId="0" fontId="335" fillId="0" borderId="11" xfId="0" applyFont="1" applyBorder="1" applyAlignment="1" applyProtection="1">
      <alignment wrapText="1"/>
      <protection hidden="1"/>
    </xf>
    <xf numFmtId="0" fontId="336" fillId="0" borderId="0" xfId="0" applyFont="1"/>
    <xf numFmtId="0" fontId="338" fillId="0" borderId="11" xfId="0" applyFont="1" applyBorder="1" applyAlignment="1" applyProtection="1">
      <alignment wrapText="1"/>
      <protection hidden="1"/>
    </xf>
    <xf numFmtId="0" fontId="339" fillId="0" borderId="0" xfId="0" applyFont="1"/>
    <xf numFmtId="0" fontId="341" fillId="0" borderId="11" xfId="0" applyFont="1" applyBorder="1" applyAlignment="1" applyProtection="1">
      <alignment wrapText="1"/>
      <protection hidden="1"/>
    </xf>
    <xf numFmtId="0" fontId="342" fillId="0" borderId="0" xfId="0" applyFont="1"/>
    <xf numFmtId="0" fontId="344" fillId="0" borderId="11" xfId="0" applyFont="1" applyBorder="1" applyAlignment="1" applyProtection="1">
      <alignment wrapText="1"/>
      <protection hidden="1"/>
    </xf>
    <xf numFmtId="0" fontId="345" fillId="0" borderId="0" xfId="0" applyFont="1"/>
    <xf numFmtId="0" fontId="347" fillId="0" borderId="11" xfId="0" applyFont="1" applyBorder="1" applyAlignment="1" applyProtection="1">
      <alignment wrapText="1"/>
      <protection hidden="1"/>
    </xf>
    <xf numFmtId="0" fontId="348" fillId="0" borderId="0" xfId="0" applyFont="1"/>
    <xf numFmtId="0" fontId="350" fillId="0" borderId="11" xfId="0" applyFont="1" applyBorder="1" applyAlignment="1" applyProtection="1">
      <alignment wrapText="1"/>
      <protection hidden="1"/>
    </xf>
    <xf numFmtId="0" fontId="351" fillId="0" borderId="0" xfId="0" applyFont="1"/>
    <xf numFmtId="0" fontId="353" fillId="0" borderId="11" xfId="0" applyFont="1" applyBorder="1" applyAlignment="1" applyProtection="1">
      <alignment wrapText="1"/>
      <protection hidden="1"/>
    </xf>
    <xf numFmtId="0" fontId="354" fillId="0" borderId="0" xfId="0" applyFont="1"/>
    <xf numFmtId="0" fontId="56" fillId="27" borderId="0" xfId="0" applyFont="1" applyFill="1" applyAlignment="1" applyProtection="1">
      <alignment horizontal="left" vertical="center" wrapText="1"/>
      <protection locked="0"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35" fillId="0" borderId="0" xfId="0" applyFont="1" applyProtection="1">
      <protection hidden="1"/>
    </xf>
    <xf numFmtId="0" fontId="54" fillId="26" borderId="0" xfId="0" applyFont="1" applyFill="1" applyAlignment="1" applyProtection="1">
      <alignment horizontal="center"/>
      <protection hidden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0" xfId="0" applyProtection="1">
      <protection hidden="1"/>
    </xf>
    <xf numFmtId="167" fontId="2" fillId="0" borderId="15" xfId="0" applyNumberFormat="1" applyFont="1" applyBorder="1" applyAlignment="1" applyProtection="1">
      <alignment horizontal="center" vertical="center"/>
      <protection hidden="1"/>
    </xf>
    <xf numFmtId="166" fontId="25" fillId="25" borderId="15" xfId="0" applyNumberFormat="1" applyFont="1" applyFill="1" applyBorder="1" applyAlignment="1" applyProtection="1">
      <alignment horizontal="right"/>
      <protection locked="0"/>
    </xf>
    <xf numFmtId="166" fontId="25" fillId="0" borderId="15" xfId="0" applyNumberFormat="1" applyFont="1" applyBorder="1" applyAlignment="1">
      <alignment horizontal="right"/>
    </xf>
    <xf numFmtId="166" fontId="41" fillId="24" borderId="15" xfId="0" applyNumberFormat="1" applyFont="1" applyFill="1" applyBorder="1" applyAlignment="1">
      <alignment horizontal="right"/>
    </xf>
    <xf numFmtId="166" fontId="41" fillId="24" borderId="0" xfId="0" applyNumberFormat="1" applyFont="1" applyFill="1" applyAlignment="1">
      <alignment horizontal="right"/>
    </xf>
    <xf numFmtId="1" fontId="46" fillId="0" borderId="15" xfId="0" applyNumberFormat="1" applyFont="1" applyBorder="1" applyAlignment="1">
      <alignment horizontal="center" vertical="center"/>
    </xf>
    <xf numFmtId="0" fontId="0" fillId="0" borderId="20" xfId="0" applyBorder="1"/>
    <xf numFmtId="0" fontId="289" fillId="0" borderId="45" xfId="0" applyFont="1" applyBorder="1" applyAlignment="1">
      <alignment horizontal="left" vertical="center" wrapText="1"/>
    </xf>
    <xf numFmtId="0" fontId="0" fillId="0" borderId="40" xfId="0" applyBorder="1"/>
    <xf numFmtId="0" fontId="0" fillId="0" borderId="18" xfId="0" applyBorder="1"/>
    <xf numFmtId="0" fontId="0" fillId="24" borderId="31" xfId="0" applyFill="1" applyBorder="1" applyAlignment="1" applyProtection="1">
      <alignment horizontal="center"/>
      <protection hidden="1"/>
    </xf>
    <xf numFmtId="0" fontId="0" fillId="0" borderId="0" xfId="0" applyProtection="1">
      <protection hidden="1"/>
    </xf>
    <xf numFmtId="0" fontId="0" fillId="0" borderId="31" xfId="0" applyBorder="1" applyProtection="1">
      <protection hidden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112" fillId="0" borderId="45" xfId="0" applyFont="1" applyBorder="1" applyAlignment="1">
      <alignment horizontal="left" vertical="center" wrapText="1"/>
    </xf>
    <xf numFmtId="49" fontId="36" fillId="0" borderId="24" xfId="0" applyNumberFormat="1" applyFont="1" applyBorder="1" applyAlignment="1">
      <alignment horizontal="center" vertical="center"/>
    </xf>
    <xf numFmtId="0" fontId="0" fillId="0" borderId="28" xfId="0" applyBorder="1"/>
    <xf numFmtId="0" fontId="163" fillId="0" borderId="45" xfId="0" applyFont="1" applyBorder="1" applyAlignment="1">
      <alignment horizontal="left" vertical="center" wrapText="1"/>
    </xf>
    <xf numFmtId="0" fontId="280" fillId="0" borderId="45" xfId="0" applyFont="1" applyBorder="1" applyAlignment="1">
      <alignment horizontal="left" vertical="center" wrapText="1"/>
    </xf>
    <xf numFmtId="0" fontId="307" fillId="0" borderId="45" xfId="0" applyFont="1" applyBorder="1" applyAlignment="1">
      <alignment horizontal="left" vertical="center" wrapText="1"/>
    </xf>
    <xf numFmtId="0" fontId="223" fillId="0" borderId="45" xfId="0" applyFont="1" applyBorder="1" applyAlignment="1">
      <alignment horizontal="left" vertical="center" wrapText="1"/>
    </xf>
    <xf numFmtId="0" fontId="56" fillId="27" borderId="0" xfId="0" applyFont="1" applyFill="1" applyAlignment="1" applyProtection="1">
      <alignment horizontal="left" vertical="center" wrapText="1"/>
      <protection locked="0" hidden="1"/>
    </xf>
    <xf numFmtId="0" fontId="0" fillId="0" borderId="0" xfId="0" applyProtection="1">
      <protection locked="0" hidden="1"/>
    </xf>
    <xf numFmtId="0" fontId="41" fillId="24" borderId="11" xfId="0" applyFont="1" applyFill="1" applyBorder="1" applyAlignment="1" applyProtection="1">
      <alignment horizontal="right"/>
      <protection hidden="1"/>
    </xf>
    <xf numFmtId="0" fontId="0" fillId="0" borderId="12" xfId="0" applyBorder="1" applyProtection="1">
      <protection hidden="1"/>
    </xf>
    <xf numFmtId="0" fontId="0" fillId="0" borderId="13" xfId="0" applyBorder="1" applyProtection="1">
      <protection hidden="1"/>
    </xf>
    <xf numFmtId="0" fontId="232" fillId="0" borderId="45" xfId="0" applyFont="1" applyBorder="1" applyAlignment="1">
      <alignment horizontal="left" vertical="center" wrapText="1"/>
    </xf>
    <xf numFmtId="168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0" fillId="0" borderId="13" xfId="0" applyBorder="1" applyProtection="1">
      <protection locked="0"/>
    </xf>
    <xf numFmtId="0" fontId="54" fillId="26" borderId="0" xfId="0" applyFont="1" applyFill="1" applyAlignment="1" applyProtection="1">
      <alignment horizontal="center"/>
      <protection hidden="1"/>
    </xf>
    <xf numFmtId="0" fontId="136" fillId="0" borderId="45" xfId="0" applyFont="1" applyBorder="1" applyAlignment="1">
      <alignment horizontal="left" vertical="center" wrapText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42" xfId="0" applyBorder="1" applyProtection="1">
      <protection hidden="1"/>
    </xf>
    <xf numFmtId="14" fontId="34" fillId="24" borderId="0" xfId="0" applyNumberFormat="1" applyFont="1" applyFill="1" applyAlignment="1">
      <alignment vertical="center" wrapText="1"/>
    </xf>
    <xf numFmtId="0" fontId="35" fillId="0" borderId="0" xfId="0" applyFont="1" applyProtection="1">
      <protection hidden="1"/>
    </xf>
    <xf numFmtId="0" fontId="79" fillId="0" borderId="45" xfId="0" applyFont="1" applyBorder="1" applyAlignment="1">
      <alignment horizontal="left" vertical="center" wrapText="1"/>
    </xf>
    <xf numFmtId="0" fontId="229" fillId="0" borderId="45" xfId="0" applyFont="1" applyBorder="1" applyAlignment="1">
      <alignment horizontal="left" vertical="center" wrapText="1"/>
    </xf>
    <xf numFmtId="0" fontId="286" fillId="0" borderId="45" xfId="0" applyFont="1" applyBorder="1" applyAlignment="1">
      <alignment horizontal="left" vertical="center" wrapText="1"/>
    </xf>
    <xf numFmtId="0" fontId="349" fillId="0" borderId="45" xfId="0" applyFont="1" applyBorder="1" applyAlignment="1">
      <alignment horizontal="left" vertical="center" wrapText="1"/>
    </xf>
    <xf numFmtId="0" fontId="166" fillId="0" borderId="45" xfId="0" applyFont="1" applyBorder="1" applyAlignment="1">
      <alignment horizontal="left" vertical="center" wrapText="1"/>
    </xf>
    <xf numFmtId="0" fontId="52" fillId="24" borderId="15" xfId="0" applyFont="1" applyFill="1" applyBorder="1" applyAlignment="1" applyProtection="1">
      <alignment horizontal="center" vertical="center" wrapText="1"/>
      <protection hidden="1"/>
    </xf>
    <xf numFmtId="0" fontId="0" fillId="0" borderId="25" xfId="0" applyBorder="1" applyProtection="1">
      <protection hidden="1"/>
    </xf>
    <xf numFmtId="0" fontId="48" fillId="24" borderId="21" xfId="0" applyFont="1" applyFill="1" applyBorder="1" applyAlignment="1" applyProtection="1">
      <alignment horizontal="center" vertical="center" wrapText="1"/>
      <protection hidden="1"/>
    </xf>
    <xf numFmtId="0" fontId="0" fillId="0" borderId="22" xfId="0" applyBorder="1" applyProtection="1">
      <protection hidden="1"/>
    </xf>
    <xf numFmtId="0" fontId="328" fillId="0" borderId="45" xfId="0" applyFont="1" applyBorder="1" applyAlignment="1">
      <alignment horizontal="left" vertical="center" wrapText="1"/>
    </xf>
    <xf numFmtId="0" fontId="41" fillId="24" borderId="15" xfId="0" applyFont="1" applyFill="1" applyBorder="1" applyAlignment="1" applyProtection="1">
      <alignment horizontal="left"/>
      <protection hidden="1"/>
    </xf>
    <xf numFmtId="0" fontId="0" fillId="0" borderId="19" xfId="0" applyBorder="1" applyProtection="1">
      <protection hidden="1"/>
    </xf>
    <xf numFmtId="0" fontId="0" fillId="0" borderId="20" xfId="0" applyBorder="1" applyProtection="1">
      <protection hidden="1"/>
    </xf>
    <xf numFmtId="0" fontId="157" fillId="0" borderId="45" xfId="0" applyFont="1" applyBorder="1" applyAlignment="1">
      <alignment horizontal="left" vertical="center" wrapText="1"/>
    </xf>
    <xf numFmtId="0" fontId="34" fillId="24" borderId="0" xfId="39" applyFont="1" applyFill="1" applyAlignment="1">
      <alignment horizontal="center" vertical="center" wrapText="1"/>
    </xf>
    <xf numFmtId="0" fontId="193" fillId="0" borderId="45" xfId="0" applyFont="1" applyBorder="1" applyAlignment="1">
      <alignment horizontal="left" vertical="center" wrapText="1"/>
    </xf>
    <xf numFmtId="0" fontId="244" fillId="0" borderId="45" xfId="0" applyFont="1" applyBorder="1" applyAlignment="1">
      <alignment horizontal="left" vertical="center" wrapText="1"/>
    </xf>
    <xf numFmtId="0" fontId="301" fillId="0" borderId="45" xfId="0" applyFont="1" applyBorder="1" applyAlignment="1">
      <alignment horizontal="left" vertical="center" wrapText="1"/>
    </xf>
    <xf numFmtId="2" fontId="48" fillId="25" borderId="15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20" xfId="0" applyBorder="1" applyProtection="1">
      <protection locked="0" hidden="1"/>
    </xf>
    <xf numFmtId="0" fontId="94" fillId="0" borderId="45" xfId="0" applyFont="1" applyBorder="1" applyAlignment="1">
      <alignment horizontal="left" vertical="center" wrapText="1"/>
    </xf>
    <xf numFmtId="0" fontId="343" fillId="0" borderId="45" xfId="0" applyFont="1" applyBorder="1" applyAlignment="1">
      <alignment horizontal="left" vertical="center" wrapText="1"/>
    </xf>
    <xf numFmtId="0" fontId="97" fillId="0" borderId="45" xfId="0" applyFont="1" applyBorder="1" applyAlignment="1">
      <alignment horizontal="left" vertical="center" wrapText="1"/>
    </xf>
    <xf numFmtId="0" fontId="265" fillId="0" borderId="45" xfId="0" applyFont="1" applyBorder="1" applyAlignment="1">
      <alignment horizontal="left" vertical="center" wrapText="1"/>
    </xf>
    <xf numFmtId="0" fontId="181" fillId="0" borderId="45" xfId="0" applyFont="1" applyBorder="1" applyAlignment="1">
      <alignment horizontal="left" vertical="center" wrapText="1"/>
    </xf>
    <xf numFmtId="2" fontId="50" fillId="0" borderId="26" xfId="0" applyNumberFormat="1" applyFont="1" applyBorder="1" applyAlignment="1">
      <alignment horizontal="center" vertical="center"/>
    </xf>
    <xf numFmtId="0" fontId="0" fillId="0" borderId="26" xfId="0" applyBorder="1"/>
    <xf numFmtId="0" fontId="0" fillId="0" borderId="26" xfId="0" applyBorder="1" applyProtection="1">
      <protection hidden="1"/>
    </xf>
    <xf numFmtId="0" fontId="0" fillId="0" borderId="28" xfId="0" applyBorder="1" applyProtection="1">
      <protection hidden="1"/>
    </xf>
    <xf numFmtId="0" fontId="0" fillId="0" borderId="29" xfId="0" applyBorder="1" applyProtection="1">
      <protection hidden="1"/>
    </xf>
    <xf numFmtId="0" fontId="0" fillId="0" borderId="37" xfId="0" applyBorder="1" applyProtection="1">
      <protection hidden="1"/>
    </xf>
    <xf numFmtId="0" fontId="0" fillId="0" borderId="30" xfId="0" applyBorder="1" applyProtection="1">
      <protection hidden="1"/>
    </xf>
    <xf numFmtId="0" fontId="199" fillId="0" borderId="45" xfId="0" applyFont="1" applyBorder="1" applyAlignment="1">
      <alignment horizontal="left" vertical="center" wrapText="1"/>
    </xf>
    <xf numFmtId="0" fontId="205" fillId="0" borderId="45" xfId="0" applyFont="1" applyBorder="1" applyAlignment="1">
      <alignment horizontal="left" vertical="center" wrapText="1"/>
    </xf>
    <xf numFmtId="0" fontId="256" fillId="0" borderId="45" xfId="0" applyFont="1" applyBorder="1" applyAlignment="1">
      <alignment horizontal="left" vertical="center" wrapText="1"/>
    </xf>
    <xf numFmtId="0" fontId="109" fillId="0" borderId="45" xfId="0" applyFont="1" applyBorder="1" applyAlignment="1">
      <alignment horizontal="left" vertical="center" wrapText="1"/>
    </xf>
    <xf numFmtId="165" fontId="36" fillId="25" borderId="24" xfId="0" applyNumberFormat="1" applyFont="1" applyFill="1" applyBorder="1" applyAlignment="1" applyProtection="1">
      <alignment horizontal="center" vertical="center"/>
      <protection locked="0"/>
    </xf>
    <xf numFmtId="0" fontId="0" fillId="0" borderId="28" xfId="0" applyBorder="1" applyProtection="1">
      <protection locked="0"/>
    </xf>
    <xf numFmtId="0" fontId="304" fillId="0" borderId="45" xfId="0" applyFont="1" applyBorder="1" applyAlignment="1">
      <alignment horizontal="left" vertical="center" wrapText="1"/>
    </xf>
    <xf numFmtId="0" fontId="298" fillId="0" borderId="45" xfId="0" applyFont="1" applyBorder="1" applyAlignment="1">
      <alignment horizontal="left" vertical="center" wrapText="1"/>
    </xf>
    <xf numFmtId="0" fontId="82" fillId="0" borderId="45" xfId="0" applyFont="1" applyBorder="1" applyAlignment="1">
      <alignment horizontal="left" vertical="center" wrapText="1"/>
    </xf>
    <xf numFmtId="0" fontId="217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right" vertical="center" wrapText="1"/>
      <protection hidden="1"/>
    </xf>
    <xf numFmtId="0" fontId="0" fillId="0" borderId="27" xfId="0" applyBorder="1" applyProtection="1">
      <protection hidden="1"/>
    </xf>
    <xf numFmtId="0" fontId="127" fillId="0" borderId="45" xfId="0" applyFont="1" applyBorder="1" applyAlignment="1">
      <alignment horizontal="left" vertical="center" wrapText="1"/>
    </xf>
    <xf numFmtId="165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0" fillId="0" borderId="20" xfId="0" applyBorder="1" applyProtection="1">
      <protection locked="0"/>
    </xf>
    <xf numFmtId="2" fontId="48" fillId="24" borderId="15" xfId="0" applyNumberFormat="1" applyFont="1" applyFill="1" applyBorder="1" applyAlignment="1" applyProtection="1">
      <alignment vertical="center" wrapText="1"/>
      <protection hidden="1"/>
    </xf>
    <xf numFmtId="0" fontId="42" fillId="25" borderId="24" xfId="0" applyFont="1" applyFill="1" applyBorder="1" applyAlignment="1" applyProtection="1">
      <alignment horizontal="center" vertical="top" wrapText="1"/>
      <protection locked="0"/>
    </xf>
    <xf numFmtId="0" fontId="0" fillId="0" borderId="26" xfId="0" applyBorder="1" applyProtection="1">
      <protection locked="0"/>
    </xf>
    <xf numFmtId="0" fontId="337" fillId="0" borderId="45" xfId="0" applyFont="1" applyBorder="1" applyAlignment="1">
      <alignment horizontal="left" vertical="center" wrapText="1"/>
    </xf>
    <xf numFmtId="0" fontId="148" fillId="0" borderId="45" xfId="0" applyFont="1" applyBorder="1" applyAlignment="1">
      <alignment horizontal="left" vertical="center" wrapText="1"/>
    </xf>
    <xf numFmtId="2" fontId="42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12" xfId="0" applyBorder="1" applyProtection="1">
      <protection locked="0" hidden="1"/>
    </xf>
    <xf numFmtId="0" fontId="0" fillId="0" borderId="13" xfId="0" applyBorder="1" applyProtection="1">
      <protection locked="0" hidden="1"/>
    </xf>
    <xf numFmtId="0" fontId="151" fillId="0" borderId="45" xfId="0" applyFont="1" applyBorder="1" applyAlignment="1">
      <alignment horizontal="left" vertical="center" wrapText="1"/>
    </xf>
    <xf numFmtId="0" fontId="241" fillId="0" borderId="45" xfId="0" applyFont="1" applyBorder="1" applyAlignment="1">
      <alignment horizontal="left" vertical="center" wrapText="1"/>
    </xf>
    <xf numFmtId="0" fontId="190" fillId="0" borderId="45" xfId="0" applyFont="1" applyBorder="1" applyAlignment="1">
      <alignment horizontal="left" vertical="center" wrapText="1"/>
    </xf>
    <xf numFmtId="0" fontId="57" fillId="0" borderId="37" xfId="0" applyFont="1" applyBorder="1" applyAlignment="1">
      <alignment horizontal="center" wrapText="1"/>
    </xf>
    <xf numFmtId="0" fontId="0" fillId="0" borderId="37" xfId="0" applyBorder="1"/>
    <xf numFmtId="0" fontId="64" fillId="0" borderId="45" xfId="0" applyFont="1" applyBorder="1" applyAlignment="1">
      <alignment horizontal="left" vertical="center" wrapText="1"/>
    </xf>
    <xf numFmtId="0" fontId="340" fillId="0" borderId="45" xfId="0" applyFont="1" applyBorder="1" applyAlignment="1">
      <alignment horizontal="left" vertical="center" wrapText="1"/>
    </xf>
    <xf numFmtId="0" fontId="283" fillId="0" borderId="45" xfId="0" applyFont="1" applyBorder="1" applyAlignment="1">
      <alignment horizontal="left" vertical="center" wrapText="1"/>
    </xf>
    <xf numFmtId="49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76" fillId="0" borderId="45" xfId="0" applyFont="1" applyBorder="1" applyAlignment="1">
      <alignment horizontal="left" vertical="center" wrapText="1"/>
    </xf>
    <xf numFmtId="0" fontId="0" fillId="0" borderId="19" xfId="0" applyBorder="1" applyProtection="1">
      <protection locked="0" hidden="1"/>
    </xf>
    <xf numFmtId="0" fontId="100" fillId="0" borderId="45" xfId="0" applyFont="1" applyBorder="1" applyAlignment="1">
      <alignment horizontal="left" vertical="center" wrapText="1"/>
    </xf>
    <xf numFmtId="0" fontId="48" fillId="27" borderId="0" xfId="0" applyFont="1" applyFill="1" applyAlignment="1" applyProtection="1">
      <alignment vertical="center" wrapText="1"/>
      <protection hidden="1"/>
    </xf>
    <xf numFmtId="165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91" fillId="0" borderId="45" xfId="0" applyFont="1" applyBorder="1" applyAlignment="1">
      <alignment horizontal="left" vertical="center" wrapText="1"/>
    </xf>
    <xf numFmtId="0" fontId="253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center" vertical="center"/>
      <protection hidden="1"/>
    </xf>
    <xf numFmtId="0" fontId="0" fillId="24" borderId="27" xfId="0" applyFill="1" applyBorder="1" applyAlignment="1" applyProtection="1">
      <alignment horizontal="center"/>
      <protection hidden="1"/>
    </xf>
    <xf numFmtId="165" fontId="36" fillId="25" borderId="25" xfId="0" applyNumberFormat="1" applyFont="1" applyFill="1" applyBorder="1" applyAlignment="1" applyProtection="1">
      <alignment horizontal="center" vertical="center"/>
      <protection locked="0"/>
    </xf>
    <xf numFmtId="0" fontId="0" fillId="0" borderId="30" xfId="0" applyBorder="1" applyProtection="1">
      <protection locked="0"/>
    </xf>
    <xf numFmtId="2" fontId="48" fillId="24" borderId="15" xfId="0" applyNumberFormat="1" applyFont="1" applyFill="1" applyBorder="1" applyAlignment="1" applyProtection="1">
      <alignment horizontal="left" vertical="center" wrapText="1"/>
      <protection hidden="1"/>
    </xf>
    <xf numFmtId="2" fontId="53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133" fillId="0" borderId="45" xfId="0" applyFont="1" applyBorder="1" applyAlignment="1">
      <alignment horizontal="left" vertical="center" wrapText="1"/>
    </xf>
    <xf numFmtId="0" fontId="277" fillId="0" borderId="45" xfId="0" applyFont="1" applyBorder="1" applyAlignment="1">
      <alignment horizontal="left" vertical="center" wrapText="1"/>
    </xf>
    <xf numFmtId="0" fontId="67" fillId="0" borderId="45" xfId="0" applyFont="1" applyBorder="1" applyAlignment="1">
      <alignment horizontal="left" vertical="center" wrapText="1"/>
    </xf>
    <xf numFmtId="0" fontId="145" fillId="0" borderId="45" xfId="0" applyFont="1" applyBorder="1" applyAlignment="1">
      <alignment horizontal="left" vertical="center" wrapText="1"/>
    </xf>
    <xf numFmtId="0" fontId="142" fillId="0" borderId="45" xfId="0" applyFont="1" applyBorder="1" applyAlignment="1">
      <alignment horizontal="left" vertical="center" wrapText="1"/>
    </xf>
    <xf numFmtId="0" fontId="73" fillId="0" borderId="45" xfId="0" applyFont="1" applyBorder="1" applyAlignment="1">
      <alignment horizontal="left" vertical="center" wrapText="1"/>
    </xf>
    <xf numFmtId="0" fontId="187" fillId="0" borderId="45" xfId="0" applyFont="1" applyBorder="1" applyAlignment="1">
      <alignment horizontal="left" vertical="center" wrapText="1"/>
    </xf>
    <xf numFmtId="0" fontId="220" fillId="0" borderId="45" xfId="0" applyFont="1" applyBorder="1" applyAlignment="1">
      <alignment horizontal="left" vertical="center" wrapText="1"/>
    </xf>
    <xf numFmtId="0" fontId="295" fillId="0" borderId="45" xfId="0" applyFont="1" applyBorder="1" applyAlignment="1">
      <alignment horizontal="left" vertical="center" wrapText="1"/>
    </xf>
    <xf numFmtId="0" fontId="154" fillId="0" borderId="45" xfId="0" applyFont="1" applyBorder="1" applyAlignment="1">
      <alignment horizontal="left" vertical="center" wrapText="1"/>
    </xf>
    <xf numFmtId="0" fontId="316" fillId="0" borderId="45" xfId="0" applyFont="1" applyBorder="1" applyAlignment="1">
      <alignment horizontal="left" vertical="center" wrapText="1"/>
    </xf>
    <xf numFmtId="0" fontId="238" fillId="0" borderId="45" xfId="0" applyFont="1" applyBorder="1" applyAlignment="1">
      <alignment horizontal="left" vertical="center" wrapText="1"/>
    </xf>
    <xf numFmtId="0" fontId="235" fillId="0" borderId="45" xfId="0" applyFont="1" applyBorder="1" applyAlignment="1">
      <alignment horizontal="left" vertical="center" wrapText="1"/>
    </xf>
    <xf numFmtId="0" fontId="346" fillId="0" borderId="45" xfId="0" applyFont="1" applyBorder="1" applyAlignment="1">
      <alignment horizontal="left" vertical="center" wrapText="1"/>
    </xf>
    <xf numFmtId="0" fontId="313" fillId="0" borderId="45" xfId="0" applyFont="1" applyBorder="1" applyAlignment="1">
      <alignment horizontal="left" vertical="center" wrapText="1"/>
    </xf>
    <xf numFmtId="0" fontId="0" fillId="0" borderId="43" xfId="0" applyBorder="1" applyProtection="1">
      <protection hidden="1"/>
    </xf>
    <xf numFmtId="0" fontId="0" fillId="0" borderId="44" xfId="0" applyBorder="1" applyProtection="1">
      <protection hidden="1"/>
    </xf>
    <xf numFmtId="0" fontId="178" fillId="0" borderId="45" xfId="0" applyFont="1" applyBorder="1" applyAlignment="1">
      <alignment horizontal="left" vertical="center" wrapText="1"/>
    </xf>
    <xf numFmtId="0" fontId="184" fillId="0" borderId="45" xfId="0" applyFont="1" applyBorder="1" applyAlignment="1">
      <alignment horizontal="left" vertical="center" wrapText="1"/>
    </xf>
    <xf numFmtId="4" fontId="49" fillId="0" borderId="15" xfId="0" applyNumberFormat="1" applyFont="1" applyBorder="1" applyAlignment="1">
      <alignment horizontal="center" vertical="center" wrapText="1"/>
    </xf>
    <xf numFmtId="0" fontId="0" fillId="0" borderId="14" xfId="0" applyBorder="1"/>
    <xf numFmtId="0" fontId="0" fillId="0" borderId="27" xfId="0" applyBorder="1"/>
    <xf numFmtId="0" fontId="0" fillId="0" borderId="29" xfId="0" applyBorder="1"/>
    <xf numFmtId="0" fontId="0" fillId="0" borderId="30" xfId="0" applyBorder="1"/>
    <xf numFmtId="0" fontId="61" fillId="0" borderId="45" xfId="0" applyFont="1" applyBorder="1" applyAlignment="1">
      <alignment horizontal="left" vertical="center" wrapText="1"/>
    </xf>
    <xf numFmtId="0" fontId="42" fillId="25" borderId="15" xfId="0" applyFont="1" applyFill="1" applyBorder="1" applyAlignment="1" applyProtection="1">
      <alignment horizontal="left" vertical="top" wrapText="1"/>
      <protection locked="0"/>
    </xf>
    <xf numFmtId="0" fontId="0" fillId="0" borderId="19" xfId="0" applyBorder="1" applyProtection="1">
      <protection locked="0"/>
    </xf>
    <xf numFmtId="0" fontId="202" fillId="0" borderId="45" xfId="0" applyFont="1" applyBorder="1" applyAlignment="1">
      <alignment horizontal="left" vertical="center" wrapText="1"/>
    </xf>
    <xf numFmtId="0" fontId="175" fillId="0" borderId="45" xfId="0" applyFont="1" applyBorder="1" applyAlignment="1">
      <alignment horizontal="left" vertical="center" wrapText="1"/>
    </xf>
    <xf numFmtId="0" fontId="115" fillId="0" borderId="45" xfId="0" applyFont="1" applyBorder="1" applyAlignment="1">
      <alignment horizontal="left" vertical="center" wrapText="1"/>
    </xf>
    <xf numFmtId="0" fontId="40" fillId="24" borderId="15" xfId="0" applyFont="1" applyFill="1" applyBorder="1" applyAlignment="1" applyProtection="1">
      <alignment horizontal="center" vertical="center" wrapText="1"/>
      <protection hidden="1"/>
    </xf>
    <xf numFmtId="0" fontId="121" fillId="0" borderId="45" xfId="0" applyFont="1" applyBorder="1" applyAlignment="1">
      <alignment horizontal="left" vertical="center" wrapText="1"/>
    </xf>
    <xf numFmtId="0" fontId="214" fillId="0" borderId="45" xfId="0" applyFont="1" applyBorder="1" applyAlignment="1">
      <alignment horizontal="left" vertical="center" wrapText="1"/>
    </xf>
    <xf numFmtId="0" fontId="48" fillId="27" borderId="0" xfId="0" quotePrefix="1" applyFont="1" applyFill="1" applyAlignment="1" applyProtection="1">
      <alignment horizontal="center" vertical="center" wrapText="1"/>
      <protection locked="0" hidden="1"/>
    </xf>
    <xf numFmtId="0" fontId="331" fillId="0" borderId="45" xfId="0" applyFont="1" applyBorder="1" applyAlignment="1">
      <alignment horizontal="left" vertical="center" wrapText="1"/>
    </xf>
    <xf numFmtId="0" fontId="88" fillId="0" borderId="45" xfId="0" applyFont="1" applyBorder="1" applyAlignment="1">
      <alignment horizontal="left" vertical="center" wrapText="1"/>
    </xf>
    <xf numFmtId="0" fontId="52" fillId="24" borderId="11" xfId="0" applyFont="1" applyFill="1" applyBorder="1" applyAlignment="1" applyProtection="1">
      <alignment horizontal="center" vertical="center" wrapText="1"/>
      <protection hidden="1"/>
    </xf>
    <xf numFmtId="0" fontId="0" fillId="0" borderId="39" xfId="0" applyBorder="1" applyProtection="1">
      <protection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259" fillId="0" borderId="45" xfId="0" applyFont="1" applyBorder="1" applyAlignment="1">
      <alignment horizontal="left" vertical="center" wrapText="1"/>
    </xf>
    <xf numFmtId="0" fontId="325" fillId="0" borderId="45" xfId="0" applyFont="1" applyBorder="1" applyAlignment="1">
      <alignment horizontal="left" vertical="center" wrapText="1"/>
    </xf>
    <xf numFmtId="0" fontId="274" fillId="0" borderId="45" xfId="0" applyFont="1" applyBorder="1" applyAlignment="1">
      <alignment horizontal="left" vertical="center" wrapText="1"/>
    </xf>
    <xf numFmtId="0" fontId="103" fillId="0" borderId="45" xfId="0" applyFont="1" applyBorder="1" applyAlignment="1">
      <alignment horizontal="left" vertical="center" wrapText="1"/>
    </xf>
    <xf numFmtId="0" fontId="208" fillId="0" borderId="45" xfId="0" applyFont="1" applyBorder="1" applyAlignment="1">
      <alignment horizontal="left" vertical="center" wrapText="1"/>
    </xf>
    <xf numFmtId="0" fontId="52" fillId="24" borderId="46" xfId="0" applyFont="1" applyFill="1" applyBorder="1" applyAlignment="1" applyProtection="1">
      <alignment horizontal="center" vertical="center" wrapText="1"/>
      <protection hidden="1"/>
    </xf>
    <xf numFmtId="0" fontId="0" fillId="0" borderId="41" xfId="0" applyBorder="1" applyProtection="1">
      <protection hidden="1"/>
    </xf>
    <xf numFmtId="0" fontId="160" fillId="0" borderId="45" xfId="0" applyFont="1" applyBorder="1" applyAlignment="1">
      <alignment horizontal="left" vertical="center" wrapText="1"/>
    </xf>
    <xf numFmtId="0" fontId="247" fillId="0" borderId="45" xfId="0" applyFont="1" applyBorder="1" applyAlignment="1">
      <alignment horizontal="left" vertical="center" wrapText="1"/>
    </xf>
    <xf numFmtId="0" fontId="292" fillId="0" borderId="45" xfId="0" applyFont="1" applyBorder="1" applyAlignment="1">
      <alignment horizontal="left" vertical="center" wrapText="1"/>
    </xf>
    <xf numFmtId="0" fontId="55" fillId="0" borderId="0" xfId="0" applyFont="1" applyAlignment="1" applyProtection="1">
      <alignment horizontal="center" vertical="center" wrapText="1"/>
      <protection hidden="1"/>
    </xf>
    <xf numFmtId="0" fontId="268" fillId="0" borderId="45" xfId="0" applyFont="1" applyBorder="1" applyAlignment="1">
      <alignment horizontal="left" vertical="center" wrapText="1"/>
    </xf>
    <xf numFmtId="0" fontId="106" fillId="0" borderId="45" xfId="0" applyFont="1" applyBorder="1" applyAlignment="1">
      <alignment horizontal="left" vertical="center" wrapText="1"/>
    </xf>
    <xf numFmtId="0" fontId="262" fillId="0" borderId="45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horizontal="center" vertical="center" wrapText="1"/>
      <protection hidden="1"/>
    </xf>
    <xf numFmtId="2" fontId="48" fillId="24" borderId="11" xfId="0" applyNumberFormat="1" applyFont="1" applyFill="1" applyBorder="1" applyAlignment="1" applyProtection="1">
      <alignment vertical="center" wrapText="1"/>
      <protection hidden="1"/>
    </xf>
    <xf numFmtId="0" fontId="0" fillId="0" borderId="32" xfId="0" applyBorder="1" applyProtection="1">
      <protection hidden="1"/>
    </xf>
    <xf numFmtId="0" fontId="0" fillId="0" borderId="33" xfId="0" applyBorder="1" applyProtection="1">
      <protection hidden="1"/>
    </xf>
    <xf numFmtId="0" fontId="0" fillId="0" borderId="34" xfId="0" applyBorder="1" applyProtection="1">
      <protection hidden="1"/>
    </xf>
    <xf numFmtId="0" fontId="0" fillId="0" borderId="35" xfId="0" applyBorder="1" applyProtection="1">
      <protection hidden="1"/>
    </xf>
    <xf numFmtId="0" fontId="0" fillId="0" borderId="36" xfId="0" applyBorder="1" applyProtection="1">
      <protection hidden="1"/>
    </xf>
    <xf numFmtId="0" fontId="310" fillId="0" borderId="45" xfId="0" applyFont="1" applyBorder="1" applyAlignment="1">
      <alignment horizontal="left" vertical="center" wrapText="1"/>
    </xf>
    <xf numFmtId="0" fontId="172" fillId="0" borderId="45" xfId="0" applyFont="1" applyBorder="1" applyAlignment="1">
      <alignment horizontal="left" vertical="center" wrapText="1"/>
    </xf>
    <xf numFmtId="0" fontId="250" fillId="0" borderId="45" xfId="0" applyFont="1" applyBorder="1" applyAlignment="1">
      <alignment horizontal="left" vertical="center" wrapText="1"/>
    </xf>
    <xf numFmtId="0" fontId="85" fillId="0" borderId="45" xfId="0" applyFont="1" applyBorder="1" applyAlignment="1">
      <alignment horizontal="left" vertical="center" wrapText="1"/>
    </xf>
    <xf numFmtId="168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118" fillId="0" borderId="45" xfId="0" applyFont="1" applyBorder="1" applyAlignment="1">
      <alignment horizontal="left" vertical="center" wrapText="1"/>
    </xf>
    <xf numFmtId="0" fontId="211" fillId="0" borderId="45" xfId="0" applyFont="1" applyBorder="1" applyAlignment="1">
      <alignment horizontal="left" vertical="center" wrapText="1"/>
    </xf>
    <xf numFmtId="0" fontId="124" fillId="0" borderId="45" xfId="0" applyFont="1" applyBorder="1" applyAlignment="1">
      <alignment horizontal="left" vertical="center" wrapText="1"/>
    </xf>
    <xf numFmtId="0" fontId="322" fillId="0" borderId="45" xfId="0" applyFont="1" applyBorder="1" applyAlignment="1">
      <alignment horizontal="left" vertical="center" wrapText="1"/>
    </xf>
    <xf numFmtId="49" fontId="36" fillId="0" borderId="15" xfId="0" applyNumberFormat="1" applyFont="1" applyBorder="1" applyAlignment="1">
      <alignment horizontal="center" vertical="center"/>
    </xf>
    <xf numFmtId="0" fontId="70" fillId="0" borderId="45" xfId="0" applyFont="1" applyBorder="1" applyAlignment="1">
      <alignment horizontal="left" vertical="center" wrapText="1"/>
    </xf>
    <xf numFmtId="0" fontId="226" fillId="0" borderId="45" xfId="0" applyFont="1" applyBorder="1" applyAlignment="1">
      <alignment horizontal="left" vertical="center" wrapText="1"/>
    </xf>
    <xf numFmtId="0" fontId="52" fillId="24" borderId="15" xfId="39" applyFont="1" applyFill="1" applyBorder="1" applyAlignment="1" applyProtection="1">
      <alignment horizontal="center" vertical="center" wrapText="1"/>
      <protection locked="0" hidden="1"/>
    </xf>
    <xf numFmtId="0" fontId="0" fillId="0" borderId="25" xfId="0" applyBorder="1" applyProtection="1">
      <protection locked="0" hidden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196" fillId="0" borderId="45" xfId="0" applyFont="1" applyBorder="1" applyAlignment="1">
      <alignment horizontal="left" vertical="center" wrapText="1"/>
    </xf>
    <xf numFmtId="0" fontId="319" fillId="0" borderId="45" xfId="0" applyFont="1" applyBorder="1" applyAlignment="1">
      <alignment horizontal="left" vertical="center" wrapText="1"/>
    </xf>
    <xf numFmtId="0" fontId="130" fillId="0" borderId="45" xfId="0" applyFont="1" applyBorder="1" applyAlignment="1">
      <alignment horizontal="left" vertical="center" wrapText="1"/>
    </xf>
    <xf numFmtId="0" fontId="271" fillId="0" borderId="45" xfId="0" applyFont="1" applyBorder="1" applyAlignment="1">
      <alignment horizontal="left" vertical="center" wrapText="1"/>
    </xf>
    <xf numFmtId="0" fontId="139" fillId="0" borderId="45" xfId="0" applyFont="1" applyBorder="1" applyAlignment="1">
      <alignment horizontal="left" vertical="center" wrapText="1"/>
    </xf>
    <xf numFmtId="0" fontId="352" fillId="0" borderId="45" xfId="0" applyFont="1" applyBorder="1" applyAlignment="1">
      <alignment horizontal="left" vertical="center" wrapText="1"/>
    </xf>
    <xf numFmtId="0" fontId="169" fillId="0" borderId="45" xfId="0" applyFont="1" applyBorder="1" applyAlignment="1">
      <alignment horizontal="left" vertical="center" wrapText="1"/>
    </xf>
    <xf numFmtId="0" fontId="334" fillId="0" borderId="45" xfId="0" applyFont="1" applyBorder="1" applyAlignment="1">
      <alignment horizontal="left" vertical="center" wrapText="1"/>
    </xf>
  </cellXfs>
  <cellStyles count="52">
    <cellStyle name="20% - Акцент1 2" xfId="1" xr:uid="{00000000-0005-0000-0000-000001000000}"/>
    <cellStyle name="20% - Акцент2 2" xfId="2" xr:uid="{00000000-0005-0000-0000-000002000000}"/>
    <cellStyle name="20% - Акцент3 2" xfId="3" xr:uid="{00000000-0005-0000-0000-000003000000}"/>
    <cellStyle name="20% - Акцент4 2" xfId="4" xr:uid="{00000000-0005-0000-0000-000004000000}"/>
    <cellStyle name="20% - Акцент5 2" xfId="5" xr:uid="{00000000-0005-0000-0000-000005000000}"/>
    <cellStyle name="20% - Акцент6 2" xfId="6" xr:uid="{00000000-0005-0000-0000-000006000000}"/>
    <cellStyle name="40% - Акцент1 2" xfId="7" xr:uid="{00000000-0005-0000-0000-000007000000}"/>
    <cellStyle name="40% - Акцент2 2" xfId="8" xr:uid="{00000000-0005-0000-0000-000008000000}"/>
    <cellStyle name="40% - Акцент3 2" xfId="9" xr:uid="{00000000-0005-0000-0000-000009000000}"/>
    <cellStyle name="40% - Акцент4 2" xfId="10" xr:uid="{00000000-0005-0000-0000-00000A000000}"/>
    <cellStyle name="40% - Акцент5 2" xfId="11" xr:uid="{00000000-0005-0000-0000-00000B000000}"/>
    <cellStyle name="40% - Акцент6 2" xfId="12" xr:uid="{00000000-0005-0000-0000-00000C000000}"/>
    <cellStyle name="60% - Акцент1 2" xfId="13" xr:uid="{00000000-0005-0000-0000-00000D000000}"/>
    <cellStyle name="60% - Акцент2 2" xfId="14" xr:uid="{00000000-0005-0000-0000-00000E000000}"/>
    <cellStyle name="60% - Акцент3 2" xfId="15" xr:uid="{00000000-0005-0000-0000-00000F000000}"/>
    <cellStyle name="60% - Акцент4 2" xfId="16" xr:uid="{00000000-0005-0000-0000-000010000000}"/>
    <cellStyle name="60% - Акцент5 2" xfId="17" xr:uid="{00000000-0005-0000-0000-000011000000}"/>
    <cellStyle name="60% - Акцент6 2" xfId="18" xr:uid="{00000000-0005-0000-0000-000012000000}"/>
    <cellStyle name="Акцент1 2" xfId="19" xr:uid="{00000000-0005-0000-0000-000013000000}"/>
    <cellStyle name="Акцент2 2" xfId="20" xr:uid="{00000000-0005-0000-0000-000014000000}"/>
    <cellStyle name="Акцент3 2" xfId="21" xr:uid="{00000000-0005-0000-0000-000015000000}"/>
    <cellStyle name="Акцент4 2" xfId="22" xr:uid="{00000000-0005-0000-0000-000016000000}"/>
    <cellStyle name="Акцент5 2" xfId="23" xr:uid="{00000000-0005-0000-0000-000017000000}"/>
    <cellStyle name="Акцент6 2" xfId="24" xr:uid="{00000000-0005-0000-0000-000018000000}"/>
    <cellStyle name="Ввод  2" xfId="25" xr:uid="{00000000-0005-0000-0000-000019000000}"/>
    <cellStyle name="Вывод 2" xfId="26" xr:uid="{00000000-0005-0000-0000-00001A000000}"/>
    <cellStyle name="Вычисление 2" xfId="27" xr:uid="{00000000-0005-0000-0000-00001B000000}"/>
    <cellStyle name="Заголовок 1 2" xfId="28" xr:uid="{00000000-0005-0000-0000-00001C000000}"/>
    <cellStyle name="Заголовок 2 2" xfId="29" xr:uid="{00000000-0005-0000-0000-00001D000000}"/>
    <cellStyle name="Заголовок 3 2" xfId="30" xr:uid="{00000000-0005-0000-0000-00001E000000}"/>
    <cellStyle name="Заголовок 4 2" xfId="31" xr:uid="{00000000-0005-0000-0000-00001F000000}"/>
    <cellStyle name="Итог 2" xfId="32" xr:uid="{00000000-0005-0000-0000-000020000000}"/>
    <cellStyle name="Контрольная ячейка 2" xfId="33" xr:uid="{00000000-0005-0000-0000-000021000000}"/>
    <cellStyle name="Название 2" xfId="34" xr:uid="{00000000-0005-0000-0000-000022000000}"/>
    <cellStyle name="Нейтральный 2" xfId="35" xr:uid="{00000000-0005-0000-0000-000023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4"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 filterMode="1"/>
  <dimension ref="A1:BP292"/>
  <sheetViews>
    <sheetView showGridLines="0" tabSelected="1" zoomScaleNormal="100" zoomScaleSheetLayoutView="100" workbookViewId="0">
      <selection activeCell="AA27" sqref="AA27"/>
    </sheetView>
  </sheetViews>
  <sheetFormatPr defaultColWidth="9.140625" defaultRowHeight="12.75" x14ac:dyDescent="0.2"/>
  <cols>
    <col min="1" max="1" width="9.140625" style="274" customWidth="1"/>
    <col min="2" max="2" width="10.85546875" style="3" customWidth="1"/>
    <col min="3" max="3" width="12.5703125" style="3" customWidth="1"/>
    <col min="4" max="4" width="6.42578125" style="3" customWidth="1"/>
    <col min="5" max="5" width="6.85546875" style="3" customWidth="1"/>
    <col min="6" max="6" width="8.42578125" style="3" customWidth="1"/>
    <col min="7" max="7" width="9.42578125" style="3" customWidth="1"/>
    <col min="8" max="8" width="11.85546875" style="3" customWidth="1"/>
    <col min="9" max="9" width="9.42578125" style="3" customWidth="1"/>
    <col min="10" max="10" width="9.140625" style="4" customWidth="1"/>
    <col min="11" max="12" width="13.85546875" style="4" customWidth="1"/>
    <col min="13" max="13" width="9.42578125" style="4" customWidth="1"/>
    <col min="14" max="14" width="15.85546875" style="4" hidden="1" customWidth="1"/>
    <col min="15" max="15" width="10.42578125" style="3" customWidth="1"/>
    <col min="16" max="16" width="7.42578125" style="1" customWidth="1"/>
    <col min="17" max="17" width="15.5703125" style="1" customWidth="1"/>
    <col min="18" max="18" width="8.140625" style="274" customWidth="1"/>
    <col min="19" max="19" width="6.140625" style="274" customWidth="1"/>
    <col min="20" max="20" width="10.85546875" style="2" customWidth="1"/>
    <col min="21" max="21" width="10.42578125" style="2" customWidth="1"/>
    <col min="22" max="22" width="9.42578125" style="2" customWidth="1"/>
    <col min="23" max="23" width="8.42578125" style="2" customWidth="1"/>
    <col min="24" max="24" width="10" style="274" customWidth="1"/>
    <col min="25" max="25" width="11" style="274" customWidth="1"/>
    <col min="26" max="26" width="10" style="274" customWidth="1"/>
    <col min="27" max="27" width="11.5703125" style="274" customWidth="1"/>
    <col min="28" max="28" width="10.42578125" style="274" customWidth="1"/>
    <col min="29" max="29" width="30" style="274" customWidth="1"/>
    <col min="30" max="30" width="11.42578125" style="52" bestFit="1" customWidth="1"/>
    <col min="31" max="31" width="9.140625" style="52" customWidth="1"/>
    <col min="32" max="32" width="8.85546875" style="52" customWidth="1"/>
    <col min="33" max="33" width="13.5703125" style="274" customWidth="1"/>
    <col min="34" max="34" width="9.140625" style="274" customWidth="1"/>
    <col min="35" max="16384" width="9.140625" style="274"/>
  </cols>
  <sheetData>
    <row r="1" spans="1:32" s="270" customFormat="1" ht="45" customHeight="1" x14ac:dyDescent="0.2">
      <c r="A1" s="41"/>
      <c r="B1" s="41"/>
      <c r="C1" s="41"/>
      <c r="D1" s="324" t="s">
        <v>0</v>
      </c>
      <c r="E1" s="309"/>
      <c r="F1" s="309"/>
      <c r="G1" s="12" t="s">
        <v>1</v>
      </c>
      <c r="H1" s="324" t="s">
        <v>2</v>
      </c>
      <c r="I1" s="309"/>
      <c r="J1" s="309"/>
      <c r="K1" s="309"/>
      <c r="L1" s="309"/>
      <c r="M1" s="309"/>
      <c r="N1" s="309"/>
      <c r="O1" s="309"/>
      <c r="P1" s="309"/>
      <c r="Q1" s="309"/>
      <c r="R1" s="308" t="s">
        <v>3</v>
      </c>
      <c r="S1" s="309"/>
      <c r="T1" s="309"/>
      <c r="U1" s="13"/>
      <c r="V1" s="13"/>
      <c r="W1" s="13"/>
      <c r="X1" s="13"/>
      <c r="Y1" s="13"/>
      <c r="Z1" s="13"/>
      <c r="AA1" s="13"/>
      <c r="AB1" s="53"/>
      <c r="AC1" s="53"/>
      <c r="AD1" s="53"/>
      <c r="AE1" s="53"/>
      <c r="AF1" s="53"/>
    </row>
    <row r="2" spans="1:32" s="270" customFormat="1" ht="16.5" customHeight="1" x14ac:dyDescent="0.2">
      <c r="A2" s="29" t="s">
        <v>4</v>
      </c>
      <c r="B2" s="30" t="s">
        <v>5</v>
      </c>
      <c r="C2" s="11"/>
      <c r="D2" s="11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436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286"/>
      <c r="R2" s="286"/>
      <c r="S2" s="286"/>
      <c r="T2" s="286"/>
      <c r="U2" s="286"/>
      <c r="V2" s="286"/>
      <c r="W2" s="286"/>
      <c r="X2" s="16"/>
      <c r="Y2" s="16"/>
      <c r="Z2" s="16"/>
      <c r="AA2" s="16"/>
      <c r="AB2" s="51"/>
      <c r="AC2" s="51"/>
      <c r="AD2" s="51"/>
      <c r="AE2" s="51"/>
    </row>
    <row r="3" spans="1:32" s="270" customFormat="1" ht="11.25" customHeight="1" x14ac:dyDescent="0.2">
      <c r="A3" s="27"/>
      <c r="B3" s="10" t="s">
        <v>6</v>
      </c>
      <c r="C3" s="14"/>
      <c r="D3" s="14"/>
      <c r="E3" s="17"/>
      <c r="F3" s="18" t="s">
        <v>7</v>
      </c>
      <c r="G3" s="15"/>
      <c r="H3" s="15"/>
      <c r="I3" s="15"/>
      <c r="J3" s="18"/>
      <c r="K3" s="18"/>
      <c r="L3" s="18"/>
      <c r="M3" s="15"/>
      <c r="N3" s="15"/>
      <c r="O3" s="15"/>
      <c r="P3" s="286"/>
      <c r="Q3" s="286"/>
      <c r="R3" s="286"/>
      <c r="S3" s="286"/>
      <c r="T3" s="286"/>
      <c r="U3" s="286"/>
      <c r="V3" s="286"/>
      <c r="W3" s="286"/>
      <c r="X3" s="16"/>
      <c r="Y3" s="16"/>
      <c r="Z3" s="16"/>
      <c r="AA3" s="16"/>
      <c r="AB3" s="51"/>
      <c r="AC3" s="51"/>
      <c r="AD3" s="51"/>
      <c r="AE3" s="51"/>
    </row>
    <row r="4" spans="1:32" s="270" customFormat="1" ht="9" customHeight="1" x14ac:dyDescent="0.2">
      <c r="A4" s="19"/>
      <c r="B4" s="19"/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20"/>
      <c r="R4" s="20"/>
      <c r="S4" s="20"/>
      <c r="T4" s="20"/>
      <c r="U4" s="20"/>
      <c r="V4" s="21"/>
      <c r="W4" s="22"/>
      <c r="X4" s="22"/>
      <c r="Y4" s="22"/>
      <c r="Z4" s="22"/>
      <c r="AA4" s="22"/>
      <c r="AB4" s="51"/>
      <c r="AC4" s="51"/>
      <c r="AD4" s="51"/>
      <c r="AE4" s="51"/>
    </row>
    <row r="5" spans="1:32" s="270" customFormat="1" ht="23.45" customHeight="1" x14ac:dyDescent="0.2">
      <c r="A5" s="357" t="s">
        <v>8</v>
      </c>
      <c r="B5" s="321"/>
      <c r="C5" s="322"/>
      <c r="D5" s="328"/>
      <c r="E5" s="329"/>
      <c r="F5" s="440" t="s">
        <v>9</v>
      </c>
      <c r="G5" s="322"/>
      <c r="H5" s="328"/>
      <c r="I5" s="375"/>
      <c r="J5" s="375"/>
      <c r="K5" s="375"/>
      <c r="L5" s="375"/>
      <c r="M5" s="329"/>
      <c r="N5" s="61"/>
      <c r="P5" s="24" t="s">
        <v>10</v>
      </c>
      <c r="Q5" s="451">
        <v>46255</v>
      </c>
      <c r="R5" s="356"/>
      <c r="T5" s="352" t="s">
        <v>11</v>
      </c>
      <c r="U5" s="353"/>
      <c r="V5" s="373" t="s">
        <v>12</v>
      </c>
      <c r="W5" s="356"/>
      <c r="AB5" s="51"/>
      <c r="AC5" s="51"/>
      <c r="AD5" s="51"/>
      <c r="AE5" s="51"/>
    </row>
    <row r="6" spans="1:32" s="270" customFormat="1" ht="24" customHeight="1" x14ac:dyDescent="0.2">
      <c r="A6" s="357" t="s">
        <v>13</v>
      </c>
      <c r="B6" s="321"/>
      <c r="C6" s="322"/>
      <c r="D6" s="412" t="s">
        <v>389</v>
      </c>
      <c r="E6" s="413"/>
      <c r="F6" s="413"/>
      <c r="G6" s="413"/>
      <c r="H6" s="413"/>
      <c r="I6" s="413"/>
      <c r="J6" s="413"/>
      <c r="K6" s="413"/>
      <c r="L6" s="413"/>
      <c r="M6" s="356"/>
      <c r="N6" s="62"/>
      <c r="P6" s="24" t="s">
        <v>14</v>
      </c>
      <c r="Q6" s="456" t="str">
        <f>IF(Q5=0," ",CHOOSE(WEEKDAY(Q5,2),"Понедельник","Вторник","Среда","Четверг","Пятница","Суббота","Воскресенье"))</f>
        <v>Пятница</v>
      </c>
      <c r="R6" s="281"/>
      <c r="T6" s="381" t="s">
        <v>15</v>
      </c>
      <c r="U6" s="353"/>
      <c r="V6" s="406" t="s">
        <v>16</v>
      </c>
      <c r="W6" s="291"/>
      <c r="AB6" s="51"/>
      <c r="AC6" s="51"/>
      <c r="AD6" s="51"/>
      <c r="AE6" s="51"/>
    </row>
    <row r="7" spans="1:32" s="270" customFormat="1" ht="21.75" hidden="1" customHeight="1" x14ac:dyDescent="0.2">
      <c r="A7" s="55"/>
      <c r="B7" s="55"/>
      <c r="C7" s="55"/>
      <c r="D7" s="358" t="str">
        <f>IFERROR(VLOOKUP(DeliveryAddress,Table,3,0),1)</f>
        <v>3</v>
      </c>
      <c r="E7" s="359"/>
      <c r="F7" s="359"/>
      <c r="G7" s="359"/>
      <c r="H7" s="359"/>
      <c r="I7" s="359"/>
      <c r="J7" s="359"/>
      <c r="K7" s="359"/>
      <c r="L7" s="359"/>
      <c r="M7" s="347"/>
      <c r="N7" s="63"/>
      <c r="P7" s="24"/>
      <c r="Q7" s="42"/>
      <c r="R7" s="42"/>
      <c r="T7" s="286"/>
      <c r="U7" s="353"/>
      <c r="V7" s="407"/>
      <c r="W7" s="408"/>
      <c r="AB7" s="51"/>
      <c r="AC7" s="51"/>
      <c r="AD7" s="51"/>
      <c r="AE7" s="51"/>
    </row>
    <row r="8" spans="1:32" s="270" customFormat="1" ht="25.5" customHeight="1" x14ac:dyDescent="0.2">
      <c r="A8" s="441" t="s">
        <v>17</v>
      </c>
      <c r="B8" s="299"/>
      <c r="C8" s="300"/>
      <c r="D8" s="362"/>
      <c r="E8" s="363"/>
      <c r="F8" s="363"/>
      <c r="G8" s="363"/>
      <c r="H8" s="363"/>
      <c r="I8" s="363"/>
      <c r="J8" s="363"/>
      <c r="K8" s="363"/>
      <c r="L8" s="363"/>
      <c r="M8" s="364"/>
      <c r="N8" s="64"/>
      <c r="P8" s="24" t="s">
        <v>18</v>
      </c>
      <c r="Q8" s="346">
        <v>0.41666666666666669</v>
      </c>
      <c r="R8" s="347"/>
      <c r="T8" s="286"/>
      <c r="U8" s="353"/>
      <c r="V8" s="407"/>
      <c r="W8" s="408"/>
      <c r="AB8" s="51"/>
      <c r="AC8" s="51"/>
      <c r="AD8" s="51"/>
      <c r="AE8" s="51"/>
    </row>
    <row r="9" spans="1:32" s="270" customFormat="1" ht="39.950000000000003" customHeight="1" x14ac:dyDescent="0.2">
      <c r="A9" s="377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286"/>
      <c r="C9" s="286"/>
      <c r="D9" s="420"/>
      <c r="E9" s="297"/>
      <c r="F9" s="377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286"/>
      <c r="H9" s="296" t="str">
        <f>IF(AND($A$9="Тип доверенности/получателя при получении в адресе перегруза:",$D$9="Разовая доверенность"),"Введите ФИО","")</f>
        <v/>
      </c>
      <c r="I9" s="297"/>
      <c r="J9" s="296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297"/>
      <c r="L9" s="297"/>
      <c r="M9" s="297"/>
      <c r="N9" s="268"/>
      <c r="P9" s="26" t="s">
        <v>19</v>
      </c>
      <c r="Q9" s="302"/>
      <c r="R9" s="303"/>
      <c r="T9" s="286"/>
      <c r="U9" s="353"/>
      <c r="V9" s="409"/>
      <c r="W9" s="410"/>
      <c r="X9" s="43"/>
      <c r="Y9" s="43"/>
      <c r="Z9" s="43"/>
      <c r="AA9" s="43"/>
      <c r="AB9" s="51"/>
      <c r="AC9" s="51"/>
      <c r="AD9" s="51"/>
      <c r="AE9" s="51"/>
    </row>
    <row r="10" spans="1:32" s="270" customFormat="1" ht="26.45" customHeight="1" x14ac:dyDescent="0.2">
      <c r="A10" s="377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286"/>
      <c r="C10" s="286"/>
      <c r="D10" s="420"/>
      <c r="E10" s="297"/>
      <c r="F10" s="377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286"/>
      <c r="H10" s="425" t="str">
        <f>IFERROR(VLOOKUP($D$10,Proxy,2,FALSE),"")</f>
        <v/>
      </c>
      <c r="I10" s="286"/>
      <c r="J10" s="286"/>
      <c r="K10" s="286"/>
      <c r="L10" s="286"/>
      <c r="M10" s="286"/>
      <c r="N10" s="269"/>
      <c r="P10" s="26" t="s">
        <v>20</v>
      </c>
      <c r="Q10" s="383"/>
      <c r="R10" s="384"/>
      <c r="U10" s="24" t="s">
        <v>21</v>
      </c>
      <c r="V10" s="290" t="s">
        <v>22</v>
      </c>
      <c r="W10" s="291"/>
      <c r="X10" s="44"/>
      <c r="Y10" s="44"/>
      <c r="Z10" s="44"/>
      <c r="AA10" s="44"/>
      <c r="AB10" s="51"/>
      <c r="AC10" s="51"/>
      <c r="AD10" s="51"/>
      <c r="AE10" s="51"/>
    </row>
    <row r="11" spans="1:32" s="270" customFormat="1" ht="15.95" customHeight="1" x14ac:dyDescent="0.2">
      <c r="A11" s="28" t="s">
        <v>23</v>
      </c>
      <c r="B11" s="25"/>
      <c r="C11" s="25"/>
      <c r="D11" s="25"/>
      <c r="E11" s="25"/>
      <c r="F11" s="25"/>
      <c r="G11" s="25"/>
      <c r="H11" s="25"/>
      <c r="I11" s="25"/>
      <c r="J11" s="25"/>
      <c r="K11" s="25"/>
      <c r="L11" s="25"/>
      <c r="M11" s="25"/>
      <c r="N11" s="25"/>
      <c r="P11" s="26" t="s">
        <v>24</v>
      </c>
      <c r="Q11" s="355"/>
      <c r="R11" s="356"/>
      <c r="U11" s="24" t="s">
        <v>25</v>
      </c>
      <c r="V11" s="378" t="s">
        <v>26</v>
      </c>
      <c r="W11" s="303"/>
      <c r="X11" s="45"/>
      <c r="Y11" s="45"/>
      <c r="Z11" s="45"/>
      <c r="AA11" s="45"/>
      <c r="AB11" s="51"/>
      <c r="AC11" s="51"/>
      <c r="AD11" s="51"/>
      <c r="AE11" s="51"/>
    </row>
    <row r="12" spans="1:32" s="270" customFormat="1" ht="18.600000000000001" customHeight="1" x14ac:dyDescent="0.2">
      <c r="A12" s="385" t="s">
        <v>27</v>
      </c>
      <c r="B12" s="321"/>
      <c r="C12" s="321"/>
      <c r="D12" s="321"/>
      <c r="E12" s="321"/>
      <c r="F12" s="321"/>
      <c r="G12" s="321"/>
      <c r="H12" s="321"/>
      <c r="I12" s="321"/>
      <c r="J12" s="321"/>
      <c r="K12" s="321"/>
      <c r="L12" s="321"/>
      <c r="M12" s="322"/>
      <c r="N12" s="65"/>
      <c r="P12" s="24" t="s">
        <v>28</v>
      </c>
      <c r="Q12" s="346"/>
      <c r="R12" s="347"/>
      <c r="S12" s="23"/>
      <c r="U12" s="24"/>
      <c r="V12" s="309"/>
      <c r="W12" s="286"/>
      <c r="AB12" s="51"/>
      <c r="AC12" s="51"/>
      <c r="AD12" s="51"/>
      <c r="AE12" s="51"/>
    </row>
    <row r="13" spans="1:32" s="270" customFormat="1" ht="23.25" customHeight="1" x14ac:dyDescent="0.2">
      <c r="A13" s="385" t="s">
        <v>29</v>
      </c>
      <c r="B13" s="321"/>
      <c r="C13" s="321"/>
      <c r="D13" s="321"/>
      <c r="E13" s="321"/>
      <c r="F13" s="321"/>
      <c r="G13" s="321"/>
      <c r="H13" s="321"/>
      <c r="I13" s="321"/>
      <c r="J13" s="321"/>
      <c r="K13" s="321"/>
      <c r="L13" s="321"/>
      <c r="M13" s="322"/>
      <c r="N13" s="65"/>
      <c r="O13" s="26"/>
      <c r="P13" s="26" t="s">
        <v>30</v>
      </c>
      <c r="Q13" s="378"/>
      <c r="R13" s="303"/>
      <c r="S13" s="23"/>
      <c r="X13" s="49"/>
      <c r="Y13" s="49"/>
      <c r="Z13" s="49"/>
      <c r="AA13" s="49"/>
      <c r="AB13" s="51"/>
      <c r="AC13" s="51"/>
      <c r="AD13" s="51"/>
      <c r="AE13" s="51"/>
    </row>
    <row r="14" spans="1:32" s="270" customFormat="1" ht="18.600000000000001" customHeight="1" x14ac:dyDescent="0.2">
      <c r="A14" s="385" t="s">
        <v>31</v>
      </c>
      <c r="B14" s="321"/>
      <c r="C14" s="321"/>
      <c r="D14" s="321"/>
      <c r="E14" s="321"/>
      <c r="F14" s="321"/>
      <c r="G14" s="321"/>
      <c r="H14" s="321"/>
      <c r="I14" s="321"/>
      <c r="J14" s="321"/>
      <c r="K14" s="321"/>
      <c r="L14" s="321"/>
      <c r="M14" s="322"/>
      <c r="N14" s="65"/>
      <c r="X14" s="50"/>
      <c r="Y14" s="50"/>
      <c r="Z14" s="50"/>
      <c r="AA14" s="50"/>
      <c r="AB14" s="51"/>
      <c r="AC14" s="51"/>
      <c r="AD14" s="51"/>
      <c r="AE14" s="51"/>
    </row>
    <row r="15" spans="1:32" s="270" customFormat="1" ht="22.5" customHeight="1" x14ac:dyDescent="0.2">
      <c r="A15" s="386" t="s">
        <v>32</v>
      </c>
      <c r="B15" s="321"/>
      <c r="C15" s="321"/>
      <c r="D15" s="321"/>
      <c r="E15" s="321"/>
      <c r="F15" s="321"/>
      <c r="G15" s="321"/>
      <c r="H15" s="321"/>
      <c r="I15" s="321"/>
      <c r="J15" s="321"/>
      <c r="K15" s="321"/>
      <c r="L15" s="321"/>
      <c r="M15" s="322"/>
      <c r="N15" s="66"/>
      <c r="P15" s="368" t="s">
        <v>33</v>
      </c>
      <c r="Q15" s="309"/>
      <c r="R15" s="309"/>
      <c r="S15" s="309"/>
      <c r="T15" s="309"/>
      <c r="AB15" s="51"/>
      <c r="AC15" s="51"/>
      <c r="AD15" s="51"/>
      <c r="AE15" s="51"/>
    </row>
    <row r="16" spans="1:32" ht="18.75" customHeight="1" x14ac:dyDescent="0.2">
      <c r="B16" s="6"/>
      <c r="C16" s="6"/>
      <c r="D16" s="5"/>
      <c r="E16" s="5"/>
      <c r="F16" s="5"/>
      <c r="G16" s="5"/>
      <c r="H16" s="7"/>
      <c r="I16" s="7"/>
      <c r="J16" s="7"/>
      <c r="K16" s="7"/>
      <c r="L16" s="7"/>
      <c r="M16" s="7"/>
      <c r="N16" s="7"/>
      <c r="O16" s="7"/>
      <c r="P16" s="369"/>
      <c r="Q16" s="369"/>
      <c r="R16" s="369"/>
      <c r="S16" s="369"/>
      <c r="T16" s="369"/>
      <c r="U16" s="7"/>
      <c r="V16" s="7"/>
      <c r="W16" s="8"/>
      <c r="X16" s="9"/>
      <c r="Y16" s="9"/>
      <c r="Z16" s="9"/>
      <c r="AA16" s="9"/>
      <c r="AB16" s="9"/>
      <c r="AC16" s="9"/>
    </row>
    <row r="17" spans="1:68" ht="27.75" customHeight="1" x14ac:dyDescent="0.2">
      <c r="A17" s="315" t="s">
        <v>34</v>
      </c>
      <c r="B17" s="315" t="s">
        <v>35</v>
      </c>
      <c r="C17" s="417" t="s">
        <v>36</v>
      </c>
      <c r="D17" s="315" t="s">
        <v>37</v>
      </c>
      <c r="E17" s="338"/>
      <c r="F17" s="315" t="s">
        <v>38</v>
      </c>
      <c r="G17" s="315" t="s">
        <v>39</v>
      </c>
      <c r="H17" s="315" t="s">
        <v>40</v>
      </c>
      <c r="I17" s="315" t="s">
        <v>41</v>
      </c>
      <c r="J17" s="315" t="s">
        <v>42</v>
      </c>
      <c r="K17" s="315" t="s">
        <v>43</v>
      </c>
      <c r="L17" s="315" t="s">
        <v>44</v>
      </c>
      <c r="M17" s="315" t="s">
        <v>45</v>
      </c>
      <c r="N17" s="315" t="s">
        <v>46</v>
      </c>
      <c r="O17" s="315" t="s">
        <v>47</v>
      </c>
      <c r="P17" s="315" t="s">
        <v>48</v>
      </c>
      <c r="Q17" s="337"/>
      <c r="R17" s="337"/>
      <c r="S17" s="337"/>
      <c r="T17" s="338"/>
      <c r="U17" s="461" t="s">
        <v>49</v>
      </c>
      <c r="V17" s="322"/>
      <c r="W17" s="315" t="s">
        <v>50</v>
      </c>
      <c r="X17" s="315" t="s">
        <v>51</v>
      </c>
      <c r="Y17" s="459" t="s">
        <v>52</v>
      </c>
      <c r="Z17" s="431" t="s">
        <v>53</v>
      </c>
      <c r="AA17" s="423" t="s">
        <v>54</v>
      </c>
      <c r="AB17" s="423" t="s">
        <v>55</v>
      </c>
      <c r="AC17" s="423" t="s">
        <v>56</v>
      </c>
      <c r="AD17" s="423" t="s">
        <v>57</v>
      </c>
      <c r="AE17" s="442"/>
      <c r="AF17" s="443"/>
      <c r="AG17" s="69"/>
      <c r="BD17" s="68" t="s">
        <v>58</v>
      </c>
    </row>
    <row r="18" spans="1:68" ht="14.25" customHeight="1" x14ac:dyDescent="0.2">
      <c r="A18" s="316"/>
      <c r="B18" s="316"/>
      <c r="C18" s="316"/>
      <c r="D18" s="339"/>
      <c r="E18" s="341"/>
      <c r="F18" s="316"/>
      <c r="G18" s="316"/>
      <c r="H18" s="316"/>
      <c r="I18" s="316"/>
      <c r="J18" s="316"/>
      <c r="K18" s="316"/>
      <c r="L18" s="316"/>
      <c r="M18" s="316"/>
      <c r="N18" s="316"/>
      <c r="O18" s="316"/>
      <c r="P18" s="339"/>
      <c r="Q18" s="340"/>
      <c r="R18" s="340"/>
      <c r="S18" s="340"/>
      <c r="T18" s="341"/>
      <c r="U18" s="70" t="s">
        <v>59</v>
      </c>
      <c r="V18" s="70" t="s">
        <v>60</v>
      </c>
      <c r="W18" s="316"/>
      <c r="X18" s="316"/>
      <c r="Y18" s="460"/>
      <c r="Z18" s="432"/>
      <c r="AA18" s="424"/>
      <c r="AB18" s="424"/>
      <c r="AC18" s="424"/>
      <c r="AD18" s="444"/>
      <c r="AE18" s="445"/>
      <c r="AF18" s="446"/>
      <c r="AG18" s="69"/>
      <c r="BD18" s="68"/>
    </row>
    <row r="19" spans="1:68" ht="27.75" hidden="1" customHeight="1" x14ac:dyDescent="0.2">
      <c r="A19" s="335" t="s">
        <v>61</v>
      </c>
      <c r="B19" s="336"/>
      <c r="C19" s="336"/>
      <c r="D19" s="336"/>
      <c r="E19" s="336"/>
      <c r="F19" s="336"/>
      <c r="G19" s="336"/>
      <c r="H19" s="336"/>
      <c r="I19" s="336"/>
      <c r="J19" s="336"/>
      <c r="K19" s="336"/>
      <c r="L19" s="336"/>
      <c r="M19" s="336"/>
      <c r="N19" s="336"/>
      <c r="O19" s="336"/>
      <c r="P19" s="336"/>
      <c r="Q19" s="336"/>
      <c r="R19" s="336"/>
      <c r="S19" s="336"/>
      <c r="T19" s="336"/>
      <c r="U19" s="336"/>
      <c r="V19" s="336"/>
      <c r="W19" s="336"/>
      <c r="X19" s="336"/>
      <c r="Y19" s="336"/>
      <c r="Z19" s="336"/>
      <c r="AA19" s="48"/>
      <c r="AB19" s="48"/>
      <c r="AC19" s="48"/>
    </row>
    <row r="20" spans="1:68" ht="16.5" hidden="1" customHeight="1" x14ac:dyDescent="0.25">
      <c r="A20" s="304" t="s">
        <v>61</v>
      </c>
      <c r="B20" s="286"/>
      <c r="C20" s="286"/>
      <c r="D20" s="286"/>
      <c r="E20" s="286"/>
      <c r="F20" s="286"/>
      <c r="G20" s="286"/>
      <c r="H20" s="286"/>
      <c r="I20" s="286"/>
      <c r="J20" s="286"/>
      <c r="K20" s="286"/>
      <c r="L20" s="286"/>
      <c r="M20" s="286"/>
      <c r="N20" s="286"/>
      <c r="O20" s="286"/>
      <c r="P20" s="286"/>
      <c r="Q20" s="286"/>
      <c r="R20" s="286"/>
      <c r="S20" s="286"/>
      <c r="T20" s="286"/>
      <c r="U20" s="286"/>
      <c r="V20" s="286"/>
      <c r="W20" s="286"/>
      <c r="X20" s="286"/>
      <c r="Y20" s="286"/>
      <c r="Z20" s="286"/>
      <c r="AA20" s="271"/>
      <c r="AB20" s="271"/>
      <c r="AC20" s="271"/>
    </row>
    <row r="21" spans="1:68" ht="14.25" hidden="1" customHeight="1" x14ac:dyDescent="0.25">
      <c r="A21" s="288" t="s">
        <v>62</v>
      </c>
      <c r="B21" s="286"/>
      <c r="C21" s="286"/>
      <c r="D21" s="286"/>
      <c r="E21" s="286"/>
      <c r="F21" s="286"/>
      <c r="G21" s="286"/>
      <c r="H21" s="286"/>
      <c r="I21" s="286"/>
      <c r="J21" s="286"/>
      <c r="K21" s="286"/>
      <c r="L21" s="286"/>
      <c r="M21" s="286"/>
      <c r="N21" s="286"/>
      <c r="O21" s="286"/>
      <c r="P21" s="286"/>
      <c r="Q21" s="286"/>
      <c r="R21" s="286"/>
      <c r="S21" s="286"/>
      <c r="T21" s="286"/>
      <c r="U21" s="286"/>
      <c r="V21" s="286"/>
      <c r="W21" s="286"/>
      <c r="X21" s="286"/>
      <c r="Y21" s="286"/>
      <c r="Z21" s="286"/>
      <c r="AA21" s="272"/>
      <c r="AB21" s="272"/>
      <c r="AC21" s="272"/>
    </row>
    <row r="22" spans="1:68" ht="27" hidden="1" customHeight="1" x14ac:dyDescent="0.25">
      <c r="A22" s="54" t="s">
        <v>63</v>
      </c>
      <c r="B22" s="54" t="s">
        <v>64</v>
      </c>
      <c r="C22" s="31">
        <v>4301071113</v>
      </c>
      <c r="D22" s="280">
        <v>4620207491508</v>
      </c>
      <c r="E22" s="281"/>
      <c r="F22" s="275">
        <v>0.4</v>
      </c>
      <c r="G22" s="32">
        <v>16</v>
      </c>
      <c r="H22" s="275">
        <v>6.4</v>
      </c>
      <c r="I22" s="275">
        <v>6.71</v>
      </c>
      <c r="J22" s="32">
        <v>84</v>
      </c>
      <c r="K22" s="32" t="s">
        <v>65</v>
      </c>
      <c r="L22" s="32" t="s">
        <v>66</v>
      </c>
      <c r="M22" s="33" t="s">
        <v>67</v>
      </c>
      <c r="N22" s="33"/>
      <c r="O22" s="32">
        <v>180</v>
      </c>
      <c r="P22" s="411" t="str">
        <f>HYPERLINK("https://abi.ru/products/Замороженные/Медвежье ушко/Медвежье ушко/Пельмени/P005159/","Пельмени «Медвежье ушко Премиум Мясные» 0,4 классическая форма ТМ «Медвежье ушко»")</f>
        <v>Пельмени «Медвежье ушко Премиум Мясные» 0,4 классическая форма ТМ «Медвежье ушко»</v>
      </c>
      <c r="Q22" s="283"/>
      <c r="R22" s="283"/>
      <c r="S22" s="283"/>
      <c r="T22" s="284"/>
      <c r="U22" s="34"/>
      <c r="V22" s="34"/>
      <c r="W22" s="35" t="s">
        <v>68</v>
      </c>
      <c r="X22" s="276">
        <v>0</v>
      </c>
      <c r="Y22" s="277">
        <f t="shared" ref="Y22:Y29" si="0">IFERROR(IF(X22="","",X22),"")</f>
        <v>0</v>
      </c>
      <c r="Z22" s="36">
        <f t="shared" ref="Z22:Z29" si="1">IFERROR(IF(X22="","",X22*0.0155),"")</f>
        <v>0</v>
      </c>
      <c r="AA22" s="56"/>
      <c r="AB22" s="57"/>
      <c r="AC22" s="72" t="s">
        <v>69</v>
      </c>
      <c r="AG22" s="67"/>
      <c r="AJ22" s="71" t="s">
        <v>70</v>
      </c>
      <c r="AK22" s="71">
        <v>1</v>
      </c>
      <c r="BB22" s="73" t="s">
        <v>1</v>
      </c>
      <c r="BM22" s="67">
        <f t="shared" ref="BM22:BM29" si="2">IFERROR(X22*I22,"0")</f>
        <v>0</v>
      </c>
      <c r="BN22" s="67">
        <f t="shared" ref="BN22:BN29" si="3">IFERROR(Y22*I22,"0")</f>
        <v>0</v>
      </c>
      <c r="BO22" s="67">
        <f t="shared" ref="BO22:BO29" si="4">IFERROR(X22/J22,"0")</f>
        <v>0</v>
      </c>
      <c r="BP22" s="67">
        <f t="shared" ref="BP22:BP29" si="5">IFERROR(Y22/J22,"0")</f>
        <v>0</v>
      </c>
    </row>
    <row r="23" spans="1:68" ht="27" hidden="1" customHeight="1" x14ac:dyDescent="0.25">
      <c r="A23" s="54" t="s">
        <v>71</v>
      </c>
      <c r="B23" s="54" t="s">
        <v>72</v>
      </c>
      <c r="C23" s="31">
        <v>4301071112</v>
      </c>
      <c r="D23" s="280">
        <v>4620207491256</v>
      </c>
      <c r="E23" s="281"/>
      <c r="F23" s="275">
        <v>0.8</v>
      </c>
      <c r="G23" s="32">
        <v>8</v>
      </c>
      <c r="H23" s="275">
        <v>6.4</v>
      </c>
      <c r="I23" s="275">
        <v>6.63</v>
      </c>
      <c r="J23" s="32">
        <v>84</v>
      </c>
      <c r="K23" s="32" t="s">
        <v>65</v>
      </c>
      <c r="L23" s="32" t="s">
        <v>66</v>
      </c>
      <c r="M23" s="33" t="s">
        <v>67</v>
      </c>
      <c r="N23" s="33"/>
      <c r="O23" s="32">
        <v>180</v>
      </c>
      <c r="P23" s="370" t="str">
        <f>HYPERLINK("https://abi.ru/products/Замороженные/Медвежье ушко/Медвежье ушко/Пельмени/P005158/","Пельмени «Медвежье ушко Премиум Мясные» 0,8 классическая форма ТМ «Медвежье ушко»")</f>
        <v>Пельмени «Медвежье ушко Премиум Мясные» 0,8 классическая форма ТМ «Медвежье ушко»</v>
      </c>
      <c r="Q23" s="283"/>
      <c r="R23" s="283"/>
      <c r="S23" s="283"/>
      <c r="T23" s="284"/>
      <c r="U23" s="34"/>
      <c r="V23" s="34"/>
      <c r="W23" s="35" t="s">
        <v>68</v>
      </c>
      <c r="X23" s="276">
        <v>0</v>
      </c>
      <c r="Y23" s="277">
        <f t="shared" si="0"/>
        <v>0</v>
      </c>
      <c r="Z23" s="36">
        <f t="shared" si="1"/>
        <v>0</v>
      </c>
      <c r="AA23" s="56"/>
      <c r="AB23" s="57"/>
      <c r="AC23" s="74" t="s">
        <v>69</v>
      </c>
      <c r="AG23" s="67"/>
      <c r="AJ23" s="71" t="s">
        <v>70</v>
      </c>
      <c r="AK23" s="71">
        <v>1</v>
      </c>
      <c r="BB23" s="75" t="s">
        <v>1</v>
      </c>
      <c r="BM23" s="67">
        <f t="shared" si="2"/>
        <v>0</v>
      </c>
      <c r="BN23" s="67">
        <f t="shared" si="3"/>
        <v>0</v>
      </c>
      <c r="BO23" s="67">
        <f t="shared" si="4"/>
        <v>0</v>
      </c>
      <c r="BP23" s="67">
        <f t="shared" si="5"/>
        <v>0</v>
      </c>
    </row>
    <row r="24" spans="1:68" ht="27" hidden="1" customHeight="1" x14ac:dyDescent="0.25">
      <c r="A24" s="54" t="s">
        <v>73</v>
      </c>
      <c r="B24" s="54" t="s">
        <v>74</v>
      </c>
      <c r="C24" s="31">
        <v>4301071135</v>
      </c>
      <c r="D24" s="280">
        <v>4620207491713</v>
      </c>
      <c r="E24" s="281"/>
      <c r="F24" s="275">
        <v>0.4</v>
      </c>
      <c r="G24" s="32">
        <v>16</v>
      </c>
      <c r="H24" s="275">
        <v>6.4</v>
      </c>
      <c r="I24" s="275">
        <v>6.71</v>
      </c>
      <c r="J24" s="32">
        <v>84</v>
      </c>
      <c r="K24" s="32" t="s">
        <v>65</v>
      </c>
      <c r="L24" s="32" t="s">
        <v>66</v>
      </c>
      <c r="M24" s="33" t="s">
        <v>67</v>
      </c>
      <c r="N24" s="33"/>
      <c r="O24" s="32">
        <v>180</v>
      </c>
      <c r="P24" s="389" t="str">
        <f>HYPERLINK("https://abi.ru/products/Замороженные/Медвежье ушко/Медвежье ушко/Пельмени/P005439/","Пельмени «Медвежье ушко Премиум со сливочным маслом» 0,4 классическая форма ТМ «Медвежье ушко»")</f>
        <v>Пельмени «Медвежье ушко Премиум со сливочным маслом» 0,4 классическая форма ТМ «Медвежье ушко»</v>
      </c>
      <c r="Q24" s="283"/>
      <c r="R24" s="283"/>
      <c r="S24" s="283"/>
      <c r="T24" s="284"/>
      <c r="U24" s="34"/>
      <c r="V24" s="34"/>
      <c r="W24" s="35" t="s">
        <v>68</v>
      </c>
      <c r="X24" s="276">
        <v>0</v>
      </c>
      <c r="Y24" s="277">
        <f t="shared" si="0"/>
        <v>0</v>
      </c>
      <c r="Z24" s="36">
        <f t="shared" si="1"/>
        <v>0</v>
      </c>
      <c r="AA24" s="56"/>
      <c r="AB24" s="57"/>
      <c r="AC24" s="76" t="s">
        <v>75</v>
      </c>
      <c r="AG24" s="67"/>
      <c r="AJ24" s="71" t="s">
        <v>70</v>
      </c>
      <c r="AK24" s="71">
        <v>1</v>
      </c>
      <c r="BB24" s="77" t="s">
        <v>1</v>
      </c>
      <c r="BM24" s="67">
        <f t="shared" si="2"/>
        <v>0</v>
      </c>
      <c r="BN24" s="67">
        <f t="shared" si="3"/>
        <v>0</v>
      </c>
      <c r="BO24" s="67">
        <f t="shared" si="4"/>
        <v>0</v>
      </c>
      <c r="BP24" s="67">
        <f t="shared" si="5"/>
        <v>0</v>
      </c>
    </row>
    <row r="25" spans="1:68" ht="27" hidden="1" customHeight="1" x14ac:dyDescent="0.25">
      <c r="A25" s="54" t="s">
        <v>76</v>
      </c>
      <c r="B25" s="54" t="s">
        <v>77</v>
      </c>
      <c r="C25" s="31">
        <v>4301071134</v>
      </c>
      <c r="D25" s="280">
        <v>4620207491720</v>
      </c>
      <c r="E25" s="281"/>
      <c r="F25" s="275">
        <v>0.8</v>
      </c>
      <c r="G25" s="32">
        <v>8</v>
      </c>
      <c r="H25" s="275">
        <v>6.4</v>
      </c>
      <c r="I25" s="275">
        <v>6.63</v>
      </c>
      <c r="J25" s="32">
        <v>84</v>
      </c>
      <c r="K25" s="32" t="s">
        <v>65</v>
      </c>
      <c r="L25" s="32" t="s">
        <v>66</v>
      </c>
      <c r="M25" s="33" t="s">
        <v>67</v>
      </c>
      <c r="N25" s="33"/>
      <c r="O25" s="32">
        <v>180</v>
      </c>
      <c r="P25" s="457" t="str">
        <f>HYPERLINK("https://abi.ru/products/Замороженные/Медвежье ушко/Медвежье ушко/Пельмени/P005438/","Пельмени «Медвежье ушко Премиум со сливочным маслом» 0,8 классическая форма ТМ «Медвежье ушко»")</f>
        <v>Пельмени «Медвежье ушко Премиум со сливочным маслом» 0,8 классическая форма ТМ «Медвежье ушко»</v>
      </c>
      <c r="Q25" s="283"/>
      <c r="R25" s="283"/>
      <c r="S25" s="283"/>
      <c r="T25" s="284"/>
      <c r="U25" s="34"/>
      <c r="V25" s="34"/>
      <c r="W25" s="35" t="s">
        <v>68</v>
      </c>
      <c r="X25" s="276">
        <v>0</v>
      </c>
      <c r="Y25" s="277">
        <f t="shared" si="0"/>
        <v>0</v>
      </c>
      <c r="Z25" s="36">
        <f t="shared" si="1"/>
        <v>0</v>
      </c>
      <c r="AA25" s="56"/>
      <c r="AB25" s="57"/>
      <c r="AC25" s="78" t="s">
        <v>75</v>
      </c>
      <c r="AG25" s="67"/>
      <c r="AJ25" s="71" t="s">
        <v>70</v>
      </c>
      <c r="AK25" s="71">
        <v>1</v>
      </c>
      <c r="BB25" s="79" t="s">
        <v>1</v>
      </c>
      <c r="BM25" s="67">
        <f t="shared" si="2"/>
        <v>0</v>
      </c>
      <c r="BN25" s="67">
        <f t="shared" si="3"/>
        <v>0</v>
      </c>
      <c r="BO25" s="67">
        <f t="shared" si="4"/>
        <v>0</v>
      </c>
      <c r="BP25" s="67">
        <f t="shared" si="5"/>
        <v>0</v>
      </c>
    </row>
    <row r="26" spans="1:68" ht="27" hidden="1" customHeight="1" x14ac:dyDescent="0.25">
      <c r="A26" s="54" t="s">
        <v>78</v>
      </c>
      <c r="B26" s="54" t="s">
        <v>79</v>
      </c>
      <c r="C26" s="31">
        <v>4301071108</v>
      </c>
      <c r="D26" s="280">
        <v>4607111035912</v>
      </c>
      <c r="E26" s="281"/>
      <c r="F26" s="275">
        <v>0.43</v>
      </c>
      <c r="G26" s="32">
        <v>16</v>
      </c>
      <c r="H26" s="275">
        <v>6.88</v>
      </c>
      <c r="I26" s="275">
        <v>7.19</v>
      </c>
      <c r="J26" s="32">
        <v>84</v>
      </c>
      <c r="K26" s="32" t="s">
        <v>65</v>
      </c>
      <c r="L26" s="32" t="s">
        <v>66</v>
      </c>
      <c r="M26" s="33" t="s">
        <v>67</v>
      </c>
      <c r="N26" s="33"/>
      <c r="O26" s="32">
        <v>180</v>
      </c>
      <c r="P26" s="392" t="str">
        <f>HYPERLINK("https://abi.ru/products/Замороженные/Медвежье ушко/Медвежье ушко/Пельмени/P005106/","Пельмени «Отборные с говядиной и свининой» 0,43 псевдозащип ТМ «Медвежье ушко»")</f>
        <v>Пельмени «Отборные с говядиной и свининой» 0,43 псевдозащип ТМ «Медвежье ушко»</v>
      </c>
      <c r="Q26" s="283"/>
      <c r="R26" s="283"/>
      <c r="S26" s="283"/>
      <c r="T26" s="284"/>
      <c r="U26" s="34"/>
      <c r="V26" s="34"/>
      <c r="W26" s="35" t="s">
        <v>68</v>
      </c>
      <c r="X26" s="276">
        <v>0</v>
      </c>
      <c r="Y26" s="277">
        <f t="shared" si="0"/>
        <v>0</v>
      </c>
      <c r="Z26" s="36">
        <f t="shared" si="1"/>
        <v>0</v>
      </c>
      <c r="AA26" s="56"/>
      <c r="AB26" s="57"/>
      <c r="AC26" s="80" t="s">
        <v>80</v>
      </c>
      <c r="AG26" s="67"/>
      <c r="AJ26" s="71" t="s">
        <v>70</v>
      </c>
      <c r="AK26" s="71">
        <v>1</v>
      </c>
      <c r="BB26" s="81" t="s">
        <v>1</v>
      </c>
      <c r="BM26" s="67">
        <f t="shared" si="2"/>
        <v>0</v>
      </c>
      <c r="BN26" s="67">
        <f t="shared" si="3"/>
        <v>0</v>
      </c>
      <c r="BO26" s="67">
        <f t="shared" si="4"/>
        <v>0</v>
      </c>
      <c r="BP26" s="67">
        <f t="shared" si="5"/>
        <v>0</v>
      </c>
    </row>
    <row r="27" spans="1:68" ht="27" customHeight="1" x14ac:dyDescent="0.25">
      <c r="A27" s="54" t="s">
        <v>81</v>
      </c>
      <c r="B27" s="54" t="s">
        <v>82</v>
      </c>
      <c r="C27" s="31">
        <v>4301071109</v>
      </c>
      <c r="D27" s="280">
        <v>4607111035929</v>
      </c>
      <c r="E27" s="281"/>
      <c r="F27" s="275">
        <v>0.9</v>
      </c>
      <c r="G27" s="32">
        <v>8</v>
      </c>
      <c r="H27" s="275">
        <v>7.2</v>
      </c>
      <c r="I27" s="275">
        <v>7.47</v>
      </c>
      <c r="J27" s="32">
        <v>84</v>
      </c>
      <c r="K27" s="32" t="s">
        <v>65</v>
      </c>
      <c r="L27" s="32" t="s">
        <v>66</v>
      </c>
      <c r="M27" s="33" t="s">
        <v>67</v>
      </c>
      <c r="N27" s="33"/>
      <c r="O27" s="32">
        <v>180</v>
      </c>
      <c r="P27" s="374" t="str">
        <f>HYPERLINK("https://abi.ru/products/Замороженные/Медвежье ушко/Медвежье ушко/Пельмени/P005107/","Пельмени «Отборные с говядиной и свининой» 0,9 псевдозащип ТМ «Медвежье ушко»")</f>
        <v>Пельмени «Отборные с говядиной и свининой» 0,9 псевдозащип ТМ «Медвежье ушко»</v>
      </c>
      <c r="Q27" s="283"/>
      <c r="R27" s="283"/>
      <c r="S27" s="283"/>
      <c r="T27" s="284"/>
      <c r="U27" s="34"/>
      <c r="V27" s="34"/>
      <c r="W27" s="35" t="s">
        <v>68</v>
      </c>
      <c r="X27" s="276">
        <v>24</v>
      </c>
      <c r="Y27" s="277">
        <f t="shared" si="0"/>
        <v>24</v>
      </c>
      <c r="Z27" s="36">
        <f t="shared" si="1"/>
        <v>0.372</v>
      </c>
      <c r="AA27" s="56"/>
      <c r="AB27" s="57"/>
      <c r="AC27" s="82" t="s">
        <v>80</v>
      </c>
      <c r="AG27" s="67"/>
      <c r="AJ27" s="71" t="s">
        <v>70</v>
      </c>
      <c r="AK27" s="71">
        <v>1</v>
      </c>
      <c r="BB27" s="83" t="s">
        <v>1</v>
      </c>
      <c r="BM27" s="67">
        <f t="shared" si="2"/>
        <v>179.28</v>
      </c>
      <c r="BN27" s="67">
        <f t="shared" si="3"/>
        <v>179.28</v>
      </c>
      <c r="BO27" s="67">
        <f t="shared" si="4"/>
        <v>0.2857142857142857</v>
      </c>
      <c r="BP27" s="67">
        <f t="shared" si="5"/>
        <v>0.2857142857142857</v>
      </c>
    </row>
    <row r="28" spans="1:68" ht="27" hidden="1" customHeight="1" x14ac:dyDescent="0.25">
      <c r="A28" s="54" t="s">
        <v>83</v>
      </c>
      <c r="B28" s="54" t="s">
        <v>84</v>
      </c>
      <c r="C28" s="31">
        <v>4301071106</v>
      </c>
      <c r="D28" s="280">
        <v>4607111035882</v>
      </c>
      <c r="E28" s="281"/>
      <c r="F28" s="275">
        <v>0.43</v>
      </c>
      <c r="G28" s="32">
        <v>16</v>
      </c>
      <c r="H28" s="275">
        <v>6.88</v>
      </c>
      <c r="I28" s="275">
        <v>7.19</v>
      </c>
      <c r="J28" s="32">
        <v>84</v>
      </c>
      <c r="K28" s="32" t="s">
        <v>65</v>
      </c>
      <c r="L28" s="32" t="s">
        <v>66</v>
      </c>
      <c r="M28" s="33" t="s">
        <v>67</v>
      </c>
      <c r="N28" s="33"/>
      <c r="O28" s="32">
        <v>180</v>
      </c>
      <c r="P28" s="310" t="str">
        <f>HYPERLINK("https://abi.ru/products/Замороженные/Медвежье ушко/Медвежье ушко/Пельмени/P005104/","Пельмени «Отборные с говядиной» 0,43 псевдозащип ТМ «Медвежье ушко»")</f>
        <v>Пельмени «Отборные с говядиной» 0,43 псевдозащип ТМ «Медвежье ушко»</v>
      </c>
      <c r="Q28" s="283"/>
      <c r="R28" s="283"/>
      <c r="S28" s="283"/>
      <c r="T28" s="284"/>
      <c r="U28" s="34"/>
      <c r="V28" s="34"/>
      <c r="W28" s="35" t="s">
        <v>68</v>
      </c>
      <c r="X28" s="276">
        <v>0</v>
      </c>
      <c r="Y28" s="277">
        <f t="shared" si="0"/>
        <v>0</v>
      </c>
      <c r="Z28" s="36">
        <f t="shared" si="1"/>
        <v>0</v>
      </c>
      <c r="AA28" s="56"/>
      <c r="AB28" s="57"/>
      <c r="AC28" s="84" t="s">
        <v>80</v>
      </c>
      <c r="AG28" s="67"/>
      <c r="AJ28" s="71" t="s">
        <v>70</v>
      </c>
      <c r="AK28" s="71">
        <v>1</v>
      </c>
      <c r="BB28" s="85" t="s">
        <v>1</v>
      </c>
      <c r="BM28" s="67">
        <f t="shared" si="2"/>
        <v>0</v>
      </c>
      <c r="BN28" s="67">
        <f t="shared" si="3"/>
        <v>0</v>
      </c>
      <c r="BO28" s="67">
        <f t="shared" si="4"/>
        <v>0</v>
      </c>
      <c r="BP28" s="67">
        <f t="shared" si="5"/>
        <v>0</v>
      </c>
    </row>
    <row r="29" spans="1:68" ht="27" hidden="1" customHeight="1" x14ac:dyDescent="0.25">
      <c r="A29" s="54" t="s">
        <v>85</v>
      </c>
      <c r="B29" s="54" t="s">
        <v>86</v>
      </c>
      <c r="C29" s="31">
        <v>4301071107</v>
      </c>
      <c r="D29" s="280">
        <v>4607111035905</v>
      </c>
      <c r="E29" s="281"/>
      <c r="F29" s="275">
        <v>0.9</v>
      </c>
      <c r="G29" s="32">
        <v>8</v>
      </c>
      <c r="H29" s="275">
        <v>7.2</v>
      </c>
      <c r="I29" s="275">
        <v>7.47</v>
      </c>
      <c r="J29" s="32">
        <v>84</v>
      </c>
      <c r="K29" s="32" t="s">
        <v>65</v>
      </c>
      <c r="L29" s="32" t="s">
        <v>66</v>
      </c>
      <c r="M29" s="33" t="s">
        <v>67</v>
      </c>
      <c r="N29" s="33"/>
      <c r="O29" s="32">
        <v>180</v>
      </c>
      <c r="P29" s="350" t="str">
        <f>HYPERLINK("https://abi.ru/products/Замороженные/Медвежье ушко/Медвежье ушко/Пельмени/P005105/","Пельмени «Отборные с говядиной» 0,9 псевдозащип ТМ «Медвежье ушко»")</f>
        <v>Пельмени «Отборные с говядиной» 0,9 псевдозащип ТМ «Медвежье ушко»</v>
      </c>
      <c r="Q29" s="283"/>
      <c r="R29" s="283"/>
      <c r="S29" s="283"/>
      <c r="T29" s="284"/>
      <c r="U29" s="34"/>
      <c r="V29" s="34"/>
      <c r="W29" s="35" t="s">
        <v>68</v>
      </c>
      <c r="X29" s="276">
        <v>0</v>
      </c>
      <c r="Y29" s="277">
        <f t="shared" si="0"/>
        <v>0</v>
      </c>
      <c r="Z29" s="36">
        <f t="shared" si="1"/>
        <v>0</v>
      </c>
      <c r="AA29" s="56"/>
      <c r="AB29" s="57"/>
      <c r="AC29" s="86" t="s">
        <v>80</v>
      </c>
      <c r="AG29" s="67"/>
      <c r="AJ29" s="71" t="s">
        <v>70</v>
      </c>
      <c r="AK29" s="71">
        <v>1</v>
      </c>
      <c r="BB29" s="87" t="s">
        <v>1</v>
      </c>
      <c r="BM29" s="67">
        <f t="shared" si="2"/>
        <v>0</v>
      </c>
      <c r="BN29" s="67">
        <f t="shared" si="3"/>
        <v>0</v>
      </c>
      <c r="BO29" s="67">
        <f t="shared" si="4"/>
        <v>0</v>
      </c>
      <c r="BP29" s="67">
        <f t="shared" si="5"/>
        <v>0</v>
      </c>
    </row>
    <row r="30" spans="1:68" x14ac:dyDescent="0.2">
      <c r="A30" s="285"/>
      <c r="B30" s="286"/>
      <c r="C30" s="286"/>
      <c r="D30" s="286"/>
      <c r="E30" s="286"/>
      <c r="F30" s="286"/>
      <c r="G30" s="286"/>
      <c r="H30" s="286"/>
      <c r="I30" s="286"/>
      <c r="J30" s="286"/>
      <c r="K30" s="286"/>
      <c r="L30" s="286"/>
      <c r="M30" s="286"/>
      <c r="N30" s="286"/>
      <c r="O30" s="287"/>
      <c r="P30" s="298" t="s">
        <v>87</v>
      </c>
      <c r="Q30" s="299"/>
      <c r="R30" s="299"/>
      <c r="S30" s="299"/>
      <c r="T30" s="299"/>
      <c r="U30" s="299"/>
      <c r="V30" s="300"/>
      <c r="W30" s="37" t="s">
        <v>68</v>
      </c>
      <c r="X30" s="278">
        <f>IFERROR(SUM(X22:X29),"0")</f>
        <v>24</v>
      </c>
      <c r="Y30" s="278">
        <f>IFERROR(SUM(Y22:Y29),"0")</f>
        <v>24</v>
      </c>
      <c r="Z30" s="278">
        <f>IFERROR(IF(Z22="",0,Z22),"0")+IFERROR(IF(Z23="",0,Z23),"0")+IFERROR(IF(Z24="",0,Z24),"0")+IFERROR(IF(Z25="",0,Z25),"0")+IFERROR(IF(Z26="",0,Z26),"0")+IFERROR(IF(Z27="",0,Z27),"0")+IFERROR(IF(Z28="",0,Z28),"0")+IFERROR(IF(Z29="",0,Z29),"0")</f>
        <v>0.372</v>
      </c>
      <c r="AA30" s="279"/>
      <c r="AB30" s="279"/>
      <c r="AC30" s="279"/>
    </row>
    <row r="31" spans="1:68" x14ac:dyDescent="0.2">
      <c r="A31" s="286"/>
      <c r="B31" s="286"/>
      <c r="C31" s="286"/>
      <c r="D31" s="286"/>
      <c r="E31" s="286"/>
      <c r="F31" s="286"/>
      <c r="G31" s="286"/>
      <c r="H31" s="286"/>
      <c r="I31" s="286"/>
      <c r="J31" s="286"/>
      <c r="K31" s="286"/>
      <c r="L31" s="286"/>
      <c r="M31" s="286"/>
      <c r="N31" s="286"/>
      <c r="O31" s="287"/>
      <c r="P31" s="298" t="s">
        <v>87</v>
      </c>
      <c r="Q31" s="299"/>
      <c r="R31" s="299"/>
      <c r="S31" s="299"/>
      <c r="T31" s="299"/>
      <c r="U31" s="299"/>
      <c r="V31" s="300"/>
      <c r="W31" s="37" t="s">
        <v>88</v>
      </c>
      <c r="X31" s="278">
        <f>IFERROR(SUMPRODUCT(X22:X29*H22:H29),"0")</f>
        <v>172.8</v>
      </c>
      <c r="Y31" s="278">
        <f>IFERROR(SUMPRODUCT(Y22:Y29*H22:H29),"0")</f>
        <v>172.8</v>
      </c>
      <c r="Z31" s="37"/>
      <c r="AA31" s="279"/>
      <c r="AB31" s="279"/>
      <c r="AC31" s="279"/>
    </row>
    <row r="32" spans="1:68" ht="16.5" hidden="1" customHeight="1" x14ac:dyDescent="0.25">
      <c r="A32" s="304" t="s">
        <v>89</v>
      </c>
      <c r="B32" s="286"/>
      <c r="C32" s="286"/>
      <c r="D32" s="286"/>
      <c r="E32" s="286"/>
      <c r="F32" s="286"/>
      <c r="G32" s="286"/>
      <c r="H32" s="286"/>
      <c r="I32" s="286"/>
      <c r="J32" s="286"/>
      <c r="K32" s="286"/>
      <c r="L32" s="286"/>
      <c r="M32" s="286"/>
      <c r="N32" s="286"/>
      <c r="O32" s="286"/>
      <c r="P32" s="286"/>
      <c r="Q32" s="286"/>
      <c r="R32" s="286"/>
      <c r="S32" s="286"/>
      <c r="T32" s="286"/>
      <c r="U32" s="286"/>
      <c r="V32" s="286"/>
      <c r="W32" s="286"/>
      <c r="X32" s="286"/>
      <c r="Y32" s="286"/>
      <c r="Z32" s="286"/>
      <c r="AA32" s="271"/>
      <c r="AB32" s="271"/>
      <c r="AC32" s="271"/>
    </row>
    <row r="33" spans="1:68" ht="14.25" hidden="1" customHeight="1" x14ac:dyDescent="0.25">
      <c r="A33" s="288" t="s">
        <v>62</v>
      </c>
      <c r="B33" s="286"/>
      <c r="C33" s="286"/>
      <c r="D33" s="286"/>
      <c r="E33" s="286"/>
      <c r="F33" s="286"/>
      <c r="G33" s="286"/>
      <c r="H33" s="286"/>
      <c r="I33" s="286"/>
      <c r="J33" s="286"/>
      <c r="K33" s="286"/>
      <c r="L33" s="286"/>
      <c r="M33" s="286"/>
      <c r="N33" s="286"/>
      <c r="O33" s="286"/>
      <c r="P33" s="286"/>
      <c r="Q33" s="286"/>
      <c r="R33" s="286"/>
      <c r="S33" s="286"/>
      <c r="T33" s="286"/>
      <c r="U33" s="286"/>
      <c r="V33" s="286"/>
      <c r="W33" s="286"/>
      <c r="X33" s="286"/>
      <c r="Y33" s="286"/>
      <c r="Z33" s="286"/>
      <c r="AA33" s="272"/>
      <c r="AB33" s="272"/>
      <c r="AC33" s="272"/>
    </row>
    <row r="34" spans="1:68" ht="16.5" hidden="1" customHeight="1" x14ac:dyDescent="0.25">
      <c r="A34" s="54" t="s">
        <v>90</v>
      </c>
      <c r="B34" s="54" t="s">
        <v>91</v>
      </c>
      <c r="C34" s="31">
        <v>4301071099</v>
      </c>
      <c r="D34" s="280">
        <v>4607111039019</v>
      </c>
      <c r="E34" s="281"/>
      <c r="F34" s="275">
        <v>0.43</v>
      </c>
      <c r="G34" s="32">
        <v>16</v>
      </c>
      <c r="H34" s="275">
        <v>6.88</v>
      </c>
      <c r="I34" s="275">
        <v>7.2060000000000004</v>
      </c>
      <c r="J34" s="32">
        <v>84</v>
      </c>
      <c r="K34" s="32" t="s">
        <v>65</v>
      </c>
      <c r="L34" s="32" t="s">
        <v>66</v>
      </c>
      <c r="M34" s="33" t="s">
        <v>67</v>
      </c>
      <c r="N34" s="33"/>
      <c r="O34" s="32">
        <v>180</v>
      </c>
      <c r="P34" s="450" t="str">
        <f>HYPERLINK("https://abi.ru/products/Замороженные/Медвежье ушко/Сочные/Пельмени/P005097/","Пельмени «Сочные» 0,43 сфера ТМ «Медвежье ушко»")</f>
        <v>Пельмени «Сочные» 0,43 сфера ТМ «Медвежье ушко»</v>
      </c>
      <c r="Q34" s="283"/>
      <c r="R34" s="283"/>
      <c r="S34" s="283"/>
      <c r="T34" s="284"/>
      <c r="U34" s="34"/>
      <c r="V34" s="34"/>
      <c r="W34" s="35" t="s">
        <v>68</v>
      </c>
      <c r="X34" s="276">
        <v>0</v>
      </c>
      <c r="Y34" s="277">
        <f>IFERROR(IF(X34="","",X34),"")</f>
        <v>0</v>
      </c>
      <c r="Z34" s="36">
        <f>IFERROR(IF(X34="","",X34*0.0155),"")</f>
        <v>0</v>
      </c>
      <c r="AA34" s="56"/>
      <c r="AB34" s="57"/>
      <c r="AC34" s="88" t="s">
        <v>92</v>
      </c>
      <c r="AG34" s="67"/>
      <c r="AJ34" s="71" t="s">
        <v>70</v>
      </c>
      <c r="AK34" s="71">
        <v>1</v>
      </c>
      <c r="BB34" s="89" t="s">
        <v>1</v>
      </c>
      <c r="BM34" s="67">
        <f>IFERROR(X34*I34,"0")</f>
        <v>0</v>
      </c>
      <c r="BN34" s="67">
        <f>IFERROR(Y34*I34,"0")</f>
        <v>0</v>
      </c>
      <c r="BO34" s="67">
        <f>IFERROR(X34/J34,"0")</f>
        <v>0</v>
      </c>
      <c r="BP34" s="67">
        <f>IFERROR(Y34/J34,"0")</f>
        <v>0</v>
      </c>
    </row>
    <row r="35" spans="1:68" ht="16.5" hidden="1" customHeight="1" x14ac:dyDescent="0.25">
      <c r="A35" s="54" t="s">
        <v>93</v>
      </c>
      <c r="B35" s="54" t="s">
        <v>94</v>
      </c>
      <c r="C35" s="31">
        <v>4301071100</v>
      </c>
      <c r="D35" s="280">
        <v>4607111038708</v>
      </c>
      <c r="E35" s="281"/>
      <c r="F35" s="275">
        <v>0.8</v>
      </c>
      <c r="G35" s="32">
        <v>8</v>
      </c>
      <c r="H35" s="275">
        <v>6.4</v>
      </c>
      <c r="I35" s="275">
        <v>6.67</v>
      </c>
      <c r="J35" s="32">
        <v>84</v>
      </c>
      <c r="K35" s="32" t="s">
        <v>65</v>
      </c>
      <c r="L35" s="32" t="s">
        <v>66</v>
      </c>
      <c r="M35" s="33" t="s">
        <v>67</v>
      </c>
      <c r="N35" s="33"/>
      <c r="O35" s="32">
        <v>180</v>
      </c>
      <c r="P35" s="422" t="str">
        <f>HYPERLINK("https://abi.ru/products/Замороженные/Медвежье ушко/Сочные/Пельмени/P005098/","Пельмени «Сочные» 0,8 сфера ТМ «Медвежье ушко»")</f>
        <v>Пельмени «Сочные» 0,8 сфера ТМ «Медвежье ушко»</v>
      </c>
      <c r="Q35" s="283"/>
      <c r="R35" s="283"/>
      <c r="S35" s="283"/>
      <c r="T35" s="284"/>
      <c r="U35" s="34"/>
      <c r="V35" s="34"/>
      <c r="W35" s="35" t="s">
        <v>68</v>
      </c>
      <c r="X35" s="276">
        <v>0</v>
      </c>
      <c r="Y35" s="277">
        <f>IFERROR(IF(X35="","",X35),"")</f>
        <v>0</v>
      </c>
      <c r="Z35" s="36">
        <f>IFERROR(IF(X35="","",X35*0.0155),"")</f>
        <v>0</v>
      </c>
      <c r="AA35" s="56"/>
      <c r="AB35" s="57"/>
      <c r="AC35" s="90" t="s">
        <v>92</v>
      </c>
      <c r="AG35" s="67"/>
      <c r="AJ35" s="71" t="s">
        <v>70</v>
      </c>
      <c r="AK35" s="71">
        <v>1</v>
      </c>
      <c r="BB35" s="91" t="s">
        <v>1</v>
      </c>
      <c r="BM35" s="67">
        <f>IFERROR(X35*I35,"0")</f>
        <v>0</v>
      </c>
      <c r="BN35" s="67">
        <f>IFERROR(Y35*I35,"0")</f>
        <v>0</v>
      </c>
      <c r="BO35" s="67">
        <f>IFERROR(X35/J35,"0")</f>
        <v>0</v>
      </c>
      <c r="BP35" s="67">
        <f>IFERROR(Y35/J35,"0")</f>
        <v>0</v>
      </c>
    </row>
    <row r="36" spans="1:68" hidden="1" x14ac:dyDescent="0.2">
      <c r="A36" s="285"/>
      <c r="B36" s="286"/>
      <c r="C36" s="286"/>
      <c r="D36" s="286"/>
      <c r="E36" s="286"/>
      <c r="F36" s="286"/>
      <c r="G36" s="286"/>
      <c r="H36" s="286"/>
      <c r="I36" s="286"/>
      <c r="J36" s="286"/>
      <c r="K36" s="286"/>
      <c r="L36" s="286"/>
      <c r="M36" s="286"/>
      <c r="N36" s="286"/>
      <c r="O36" s="287"/>
      <c r="P36" s="298" t="s">
        <v>87</v>
      </c>
      <c r="Q36" s="299"/>
      <c r="R36" s="299"/>
      <c r="S36" s="299"/>
      <c r="T36" s="299"/>
      <c r="U36" s="299"/>
      <c r="V36" s="300"/>
      <c r="W36" s="37" t="s">
        <v>68</v>
      </c>
      <c r="X36" s="278">
        <f>IFERROR(SUM(X34:X35),"0")</f>
        <v>0</v>
      </c>
      <c r="Y36" s="278">
        <f>IFERROR(SUM(Y34:Y35),"0")</f>
        <v>0</v>
      </c>
      <c r="Z36" s="278">
        <f>IFERROR(IF(Z34="",0,Z34),"0")+IFERROR(IF(Z35="",0,Z35),"0")</f>
        <v>0</v>
      </c>
      <c r="AA36" s="279"/>
      <c r="AB36" s="279"/>
      <c r="AC36" s="279"/>
    </row>
    <row r="37" spans="1:68" hidden="1" x14ac:dyDescent="0.2">
      <c r="A37" s="286"/>
      <c r="B37" s="286"/>
      <c r="C37" s="286"/>
      <c r="D37" s="286"/>
      <c r="E37" s="286"/>
      <c r="F37" s="286"/>
      <c r="G37" s="286"/>
      <c r="H37" s="286"/>
      <c r="I37" s="286"/>
      <c r="J37" s="286"/>
      <c r="K37" s="286"/>
      <c r="L37" s="286"/>
      <c r="M37" s="286"/>
      <c r="N37" s="286"/>
      <c r="O37" s="287"/>
      <c r="P37" s="298" t="s">
        <v>87</v>
      </c>
      <c r="Q37" s="299"/>
      <c r="R37" s="299"/>
      <c r="S37" s="299"/>
      <c r="T37" s="299"/>
      <c r="U37" s="299"/>
      <c r="V37" s="300"/>
      <c r="W37" s="37" t="s">
        <v>88</v>
      </c>
      <c r="X37" s="278">
        <f>IFERROR(SUMPRODUCT(X34:X35*H34:H35),"0")</f>
        <v>0</v>
      </c>
      <c r="Y37" s="278">
        <f>IFERROR(SUMPRODUCT(Y34:Y35*H34:H35),"0")</f>
        <v>0</v>
      </c>
      <c r="Z37" s="37"/>
      <c r="AA37" s="279"/>
      <c r="AB37" s="279"/>
      <c r="AC37" s="279"/>
    </row>
    <row r="38" spans="1:68" ht="27.75" hidden="1" customHeight="1" x14ac:dyDescent="0.2">
      <c r="A38" s="335" t="s">
        <v>95</v>
      </c>
      <c r="B38" s="336"/>
      <c r="C38" s="336"/>
      <c r="D38" s="336"/>
      <c r="E38" s="336"/>
      <c r="F38" s="336"/>
      <c r="G38" s="336"/>
      <c r="H38" s="336"/>
      <c r="I38" s="336"/>
      <c r="J38" s="336"/>
      <c r="K38" s="336"/>
      <c r="L38" s="336"/>
      <c r="M38" s="336"/>
      <c r="N38" s="336"/>
      <c r="O38" s="336"/>
      <c r="P38" s="336"/>
      <c r="Q38" s="336"/>
      <c r="R38" s="336"/>
      <c r="S38" s="336"/>
      <c r="T38" s="336"/>
      <c r="U38" s="336"/>
      <c r="V38" s="336"/>
      <c r="W38" s="336"/>
      <c r="X38" s="336"/>
      <c r="Y38" s="336"/>
      <c r="Z38" s="336"/>
      <c r="AA38" s="48"/>
      <c r="AB38" s="48"/>
      <c r="AC38" s="48"/>
    </row>
    <row r="39" spans="1:68" ht="16.5" hidden="1" customHeight="1" x14ac:dyDescent="0.25">
      <c r="A39" s="304" t="s">
        <v>96</v>
      </c>
      <c r="B39" s="286"/>
      <c r="C39" s="286"/>
      <c r="D39" s="286"/>
      <c r="E39" s="286"/>
      <c r="F39" s="286"/>
      <c r="G39" s="286"/>
      <c r="H39" s="286"/>
      <c r="I39" s="286"/>
      <c r="J39" s="286"/>
      <c r="K39" s="286"/>
      <c r="L39" s="286"/>
      <c r="M39" s="286"/>
      <c r="N39" s="286"/>
      <c r="O39" s="286"/>
      <c r="P39" s="286"/>
      <c r="Q39" s="286"/>
      <c r="R39" s="286"/>
      <c r="S39" s="286"/>
      <c r="T39" s="286"/>
      <c r="U39" s="286"/>
      <c r="V39" s="286"/>
      <c r="W39" s="286"/>
      <c r="X39" s="286"/>
      <c r="Y39" s="286"/>
      <c r="Z39" s="286"/>
      <c r="AA39" s="271"/>
      <c r="AB39" s="271"/>
      <c r="AC39" s="271"/>
    </row>
    <row r="40" spans="1:68" ht="14.25" hidden="1" customHeight="1" x14ac:dyDescent="0.25">
      <c r="A40" s="288" t="s">
        <v>97</v>
      </c>
      <c r="B40" s="286"/>
      <c r="C40" s="286"/>
      <c r="D40" s="286"/>
      <c r="E40" s="286"/>
      <c r="F40" s="286"/>
      <c r="G40" s="286"/>
      <c r="H40" s="286"/>
      <c r="I40" s="286"/>
      <c r="J40" s="286"/>
      <c r="K40" s="286"/>
      <c r="L40" s="286"/>
      <c r="M40" s="286"/>
      <c r="N40" s="286"/>
      <c r="O40" s="286"/>
      <c r="P40" s="286"/>
      <c r="Q40" s="286"/>
      <c r="R40" s="286"/>
      <c r="S40" s="286"/>
      <c r="T40" s="286"/>
      <c r="U40" s="286"/>
      <c r="V40" s="286"/>
      <c r="W40" s="286"/>
      <c r="X40" s="286"/>
      <c r="Y40" s="286"/>
      <c r="Z40" s="286"/>
      <c r="AA40" s="272"/>
      <c r="AB40" s="272"/>
      <c r="AC40" s="272"/>
    </row>
    <row r="41" spans="1:68" ht="27" customHeight="1" x14ac:dyDescent="0.25">
      <c r="A41" s="54" t="s">
        <v>98</v>
      </c>
      <c r="B41" s="54" t="s">
        <v>99</v>
      </c>
      <c r="C41" s="31">
        <v>4301132190</v>
      </c>
      <c r="D41" s="280">
        <v>4607111036537</v>
      </c>
      <c r="E41" s="281"/>
      <c r="F41" s="275">
        <v>0.25</v>
      </c>
      <c r="G41" s="32">
        <v>6</v>
      </c>
      <c r="H41" s="275">
        <v>1.5</v>
      </c>
      <c r="I41" s="275">
        <v>1.9218</v>
      </c>
      <c r="J41" s="32">
        <v>140</v>
      </c>
      <c r="K41" s="32" t="s">
        <v>100</v>
      </c>
      <c r="L41" s="32" t="s">
        <v>101</v>
      </c>
      <c r="M41" s="33" t="s">
        <v>67</v>
      </c>
      <c r="N41" s="33"/>
      <c r="O41" s="32">
        <v>365</v>
      </c>
      <c r="P41" s="379" t="str">
        <f>HYPERLINK("https://abi.ru/products/Замороженные/Горячая штучка/Наггетсы ГШ/Наггетсы/P004602/","Наггетсы «Нагетосы Сочная курочка» Фикс.вес 0,25 ТМ «Горячая штучка»")</f>
        <v>Наггетсы «Нагетосы Сочная курочка» Фикс.вес 0,25 ТМ «Горячая штучка»</v>
      </c>
      <c r="Q41" s="283"/>
      <c r="R41" s="283"/>
      <c r="S41" s="283"/>
      <c r="T41" s="284"/>
      <c r="U41" s="34"/>
      <c r="V41" s="34"/>
      <c r="W41" s="35" t="s">
        <v>68</v>
      </c>
      <c r="X41" s="276">
        <v>140</v>
      </c>
      <c r="Y41" s="277">
        <f>IFERROR(IF(X41="","",X41),"")</f>
        <v>140</v>
      </c>
      <c r="Z41" s="36">
        <f>IFERROR(IF(X41="","",X41*0.00941),"")</f>
        <v>1.3173999999999999</v>
      </c>
      <c r="AA41" s="56"/>
      <c r="AB41" s="57"/>
      <c r="AC41" s="92" t="s">
        <v>102</v>
      </c>
      <c r="AG41" s="67"/>
      <c r="AJ41" s="71" t="s">
        <v>103</v>
      </c>
      <c r="AK41" s="71">
        <v>14</v>
      </c>
      <c r="BB41" s="93" t="s">
        <v>104</v>
      </c>
      <c r="BM41" s="67">
        <f>IFERROR(X41*I41,"0")</f>
        <v>269.05200000000002</v>
      </c>
      <c r="BN41" s="67">
        <f>IFERROR(Y41*I41,"0")</f>
        <v>269.05200000000002</v>
      </c>
      <c r="BO41" s="67">
        <f>IFERROR(X41/J41,"0")</f>
        <v>1</v>
      </c>
      <c r="BP41" s="67">
        <f>IFERROR(Y41/J41,"0")</f>
        <v>1</v>
      </c>
    </row>
    <row r="42" spans="1:68" ht="27" customHeight="1" x14ac:dyDescent="0.25">
      <c r="A42" s="54" t="s">
        <v>105</v>
      </c>
      <c r="B42" s="54" t="s">
        <v>106</v>
      </c>
      <c r="C42" s="31">
        <v>4301132188</v>
      </c>
      <c r="D42" s="280">
        <v>4607111036605</v>
      </c>
      <c r="E42" s="281"/>
      <c r="F42" s="275">
        <v>0.25</v>
      </c>
      <c r="G42" s="32">
        <v>6</v>
      </c>
      <c r="H42" s="275">
        <v>1.5</v>
      </c>
      <c r="I42" s="275">
        <v>1.9218</v>
      </c>
      <c r="J42" s="32">
        <v>140</v>
      </c>
      <c r="K42" s="32" t="s">
        <v>100</v>
      </c>
      <c r="L42" s="32" t="s">
        <v>101</v>
      </c>
      <c r="M42" s="33" t="s">
        <v>67</v>
      </c>
      <c r="N42" s="33"/>
      <c r="O42" s="32">
        <v>365</v>
      </c>
      <c r="P42" s="330" t="str">
        <f>HYPERLINK("https://abi.ru/products/Замороженные/Горячая штучка/Наггетсы ГШ/Наггетсы/P004600/","Наггетсы «Нагетосы Сочная курочка со сметаной и зеленью» Фикс.вес 0,25 ТМ «Горячая штучка»")</f>
        <v>Наггетсы «Нагетосы Сочная курочка со сметаной и зеленью» Фикс.вес 0,25 ТМ «Горячая штучка»</v>
      </c>
      <c r="Q42" s="283"/>
      <c r="R42" s="283"/>
      <c r="S42" s="283"/>
      <c r="T42" s="284"/>
      <c r="U42" s="34"/>
      <c r="V42" s="34"/>
      <c r="W42" s="35" t="s">
        <v>68</v>
      </c>
      <c r="X42" s="276">
        <v>14</v>
      </c>
      <c r="Y42" s="277">
        <f>IFERROR(IF(X42="","",X42),"")</f>
        <v>14</v>
      </c>
      <c r="Z42" s="36">
        <f>IFERROR(IF(X42="","",X42*0.00941),"")</f>
        <v>0.13174</v>
      </c>
      <c r="AA42" s="56"/>
      <c r="AB42" s="57"/>
      <c r="AC42" s="94" t="s">
        <v>102</v>
      </c>
      <c r="AG42" s="67"/>
      <c r="AJ42" s="71" t="s">
        <v>103</v>
      </c>
      <c r="AK42" s="71">
        <v>14</v>
      </c>
      <c r="BB42" s="95" t="s">
        <v>104</v>
      </c>
      <c r="BM42" s="67">
        <f>IFERROR(X42*I42,"0")</f>
        <v>26.905200000000001</v>
      </c>
      <c r="BN42" s="67">
        <f>IFERROR(Y42*I42,"0")</f>
        <v>26.905200000000001</v>
      </c>
      <c r="BO42" s="67">
        <f>IFERROR(X42/J42,"0")</f>
        <v>0.1</v>
      </c>
      <c r="BP42" s="67">
        <f>IFERROR(Y42/J42,"0")</f>
        <v>0.1</v>
      </c>
    </row>
    <row r="43" spans="1:68" x14ac:dyDescent="0.2">
      <c r="A43" s="285"/>
      <c r="B43" s="286"/>
      <c r="C43" s="286"/>
      <c r="D43" s="286"/>
      <c r="E43" s="286"/>
      <c r="F43" s="286"/>
      <c r="G43" s="286"/>
      <c r="H43" s="286"/>
      <c r="I43" s="286"/>
      <c r="J43" s="286"/>
      <c r="K43" s="286"/>
      <c r="L43" s="286"/>
      <c r="M43" s="286"/>
      <c r="N43" s="286"/>
      <c r="O43" s="287"/>
      <c r="P43" s="298" t="s">
        <v>87</v>
      </c>
      <c r="Q43" s="299"/>
      <c r="R43" s="299"/>
      <c r="S43" s="299"/>
      <c r="T43" s="299"/>
      <c r="U43" s="299"/>
      <c r="V43" s="300"/>
      <c r="W43" s="37" t="s">
        <v>68</v>
      </c>
      <c r="X43" s="278">
        <f>IFERROR(SUM(X41:X42),"0")</f>
        <v>154</v>
      </c>
      <c r="Y43" s="278">
        <f>IFERROR(SUM(Y41:Y42),"0")</f>
        <v>154</v>
      </c>
      <c r="Z43" s="278">
        <f>IFERROR(IF(Z41="",0,Z41),"0")+IFERROR(IF(Z42="",0,Z42),"0")</f>
        <v>1.4491399999999999</v>
      </c>
      <c r="AA43" s="279"/>
      <c r="AB43" s="279"/>
      <c r="AC43" s="279"/>
    </row>
    <row r="44" spans="1:68" x14ac:dyDescent="0.2">
      <c r="A44" s="286"/>
      <c r="B44" s="286"/>
      <c r="C44" s="286"/>
      <c r="D44" s="286"/>
      <c r="E44" s="286"/>
      <c r="F44" s="286"/>
      <c r="G44" s="286"/>
      <c r="H44" s="286"/>
      <c r="I44" s="286"/>
      <c r="J44" s="286"/>
      <c r="K44" s="286"/>
      <c r="L44" s="286"/>
      <c r="M44" s="286"/>
      <c r="N44" s="286"/>
      <c r="O44" s="287"/>
      <c r="P44" s="298" t="s">
        <v>87</v>
      </c>
      <c r="Q44" s="299"/>
      <c r="R44" s="299"/>
      <c r="S44" s="299"/>
      <c r="T44" s="299"/>
      <c r="U44" s="299"/>
      <c r="V44" s="300"/>
      <c r="W44" s="37" t="s">
        <v>88</v>
      </c>
      <c r="X44" s="278">
        <f>IFERROR(SUMPRODUCT(X41:X42*H41:H42),"0")</f>
        <v>231</v>
      </c>
      <c r="Y44" s="278">
        <f>IFERROR(SUMPRODUCT(Y41:Y42*H41:H42),"0")</f>
        <v>231</v>
      </c>
      <c r="Z44" s="37"/>
      <c r="AA44" s="279"/>
      <c r="AB44" s="279"/>
      <c r="AC44" s="279"/>
    </row>
    <row r="45" spans="1:68" ht="16.5" hidden="1" customHeight="1" x14ac:dyDescent="0.25">
      <c r="A45" s="304" t="s">
        <v>107</v>
      </c>
      <c r="B45" s="286"/>
      <c r="C45" s="286"/>
      <c r="D45" s="286"/>
      <c r="E45" s="286"/>
      <c r="F45" s="286"/>
      <c r="G45" s="286"/>
      <c r="H45" s="286"/>
      <c r="I45" s="286"/>
      <c r="J45" s="286"/>
      <c r="K45" s="286"/>
      <c r="L45" s="286"/>
      <c r="M45" s="286"/>
      <c r="N45" s="286"/>
      <c r="O45" s="286"/>
      <c r="P45" s="286"/>
      <c r="Q45" s="286"/>
      <c r="R45" s="286"/>
      <c r="S45" s="286"/>
      <c r="T45" s="286"/>
      <c r="U45" s="286"/>
      <c r="V45" s="286"/>
      <c r="W45" s="286"/>
      <c r="X45" s="286"/>
      <c r="Y45" s="286"/>
      <c r="Z45" s="286"/>
      <c r="AA45" s="271"/>
      <c r="AB45" s="271"/>
      <c r="AC45" s="271"/>
    </row>
    <row r="46" spans="1:68" ht="14.25" hidden="1" customHeight="1" x14ac:dyDescent="0.25">
      <c r="A46" s="288" t="s">
        <v>62</v>
      </c>
      <c r="B46" s="286"/>
      <c r="C46" s="286"/>
      <c r="D46" s="286"/>
      <c r="E46" s="286"/>
      <c r="F46" s="286"/>
      <c r="G46" s="286"/>
      <c r="H46" s="286"/>
      <c r="I46" s="286"/>
      <c r="J46" s="286"/>
      <c r="K46" s="286"/>
      <c r="L46" s="286"/>
      <c r="M46" s="286"/>
      <c r="N46" s="286"/>
      <c r="O46" s="286"/>
      <c r="P46" s="286"/>
      <c r="Q46" s="286"/>
      <c r="R46" s="286"/>
      <c r="S46" s="286"/>
      <c r="T46" s="286"/>
      <c r="U46" s="286"/>
      <c r="V46" s="286"/>
      <c r="W46" s="286"/>
      <c r="X46" s="286"/>
      <c r="Y46" s="286"/>
      <c r="Z46" s="286"/>
      <c r="AA46" s="272"/>
      <c r="AB46" s="272"/>
      <c r="AC46" s="272"/>
    </row>
    <row r="47" spans="1:68" ht="27" customHeight="1" x14ac:dyDescent="0.25">
      <c r="A47" s="54" t="s">
        <v>108</v>
      </c>
      <c r="B47" s="54" t="s">
        <v>109</v>
      </c>
      <c r="C47" s="31">
        <v>4301071090</v>
      </c>
      <c r="D47" s="280">
        <v>4620207490075</v>
      </c>
      <c r="E47" s="281"/>
      <c r="F47" s="275">
        <v>0.7</v>
      </c>
      <c r="G47" s="32">
        <v>8</v>
      </c>
      <c r="H47" s="275">
        <v>5.6</v>
      </c>
      <c r="I47" s="275">
        <v>5.87</v>
      </c>
      <c r="J47" s="32">
        <v>84</v>
      </c>
      <c r="K47" s="32" t="s">
        <v>65</v>
      </c>
      <c r="L47" s="32" t="s">
        <v>101</v>
      </c>
      <c r="M47" s="33" t="s">
        <v>67</v>
      </c>
      <c r="N47" s="33"/>
      <c r="O47" s="32">
        <v>180</v>
      </c>
      <c r="P47" s="332" t="str">
        <f>HYPERLINK("https://abi.ru/products/Замороженные/Горячая штучка/Grandmeni/Пельмени/P004887/","Пельмени «Grandmeni с говядиной» Фикс.вес 0,7 сфера ТМ «Горячая штучка»")</f>
        <v>Пельмени «Grandmeni с говядиной» Фикс.вес 0,7 сфера ТМ «Горячая штучка»</v>
      </c>
      <c r="Q47" s="283"/>
      <c r="R47" s="283"/>
      <c r="S47" s="283"/>
      <c r="T47" s="284"/>
      <c r="U47" s="34"/>
      <c r="V47" s="34"/>
      <c r="W47" s="35" t="s">
        <v>68</v>
      </c>
      <c r="X47" s="276">
        <v>72</v>
      </c>
      <c r="Y47" s="277">
        <f>IFERROR(IF(X47="","",X47),"")</f>
        <v>72</v>
      </c>
      <c r="Z47" s="36">
        <f>IFERROR(IF(X47="","",X47*0.0155),"")</f>
        <v>1.1160000000000001</v>
      </c>
      <c r="AA47" s="56"/>
      <c r="AB47" s="57"/>
      <c r="AC47" s="96" t="s">
        <v>110</v>
      </c>
      <c r="AG47" s="67"/>
      <c r="AJ47" s="71" t="s">
        <v>103</v>
      </c>
      <c r="AK47" s="71">
        <v>12</v>
      </c>
      <c r="BB47" s="97" t="s">
        <v>1</v>
      </c>
      <c r="BM47" s="67">
        <f>IFERROR(X47*I47,"0")</f>
        <v>422.64</v>
      </c>
      <c r="BN47" s="67">
        <f>IFERROR(Y47*I47,"0")</f>
        <v>422.64</v>
      </c>
      <c r="BO47" s="67">
        <f>IFERROR(X47/J47,"0")</f>
        <v>0.8571428571428571</v>
      </c>
      <c r="BP47" s="67">
        <f>IFERROR(Y47/J47,"0")</f>
        <v>0.8571428571428571</v>
      </c>
    </row>
    <row r="48" spans="1:68" ht="27" customHeight="1" x14ac:dyDescent="0.25">
      <c r="A48" s="54" t="s">
        <v>111</v>
      </c>
      <c r="B48" s="54" t="s">
        <v>112</v>
      </c>
      <c r="C48" s="31">
        <v>4301071092</v>
      </c>
      <c r="D48" s="280">
        <v>4620207490174</v>
      </c>
      <c r="E48" s="281"/>
      <c r="F48" s="275">
        <v>0.7</v>
      </c>
      <c r="G48" s="32">
        <v>8</v>
      </c>
      <c r="H48" s="275">
        <v>5.6</v>
      </c>
      <c r="I48" s="275">
        <v>5.87</v>
      </c>
      <c r="J48" s="32">
        <v>84</v>
      </c>
      <c r="K48" s="32" t="s">
        <v>65</v>
      </c>
      <c r="L48" s="32" t="s">
        <v>101</v>
      </c>
      <c r="M48" s="33" t="s">
        <v>67</v>
      </c>
      <c r="N48" s="33"/>
      <c r="O48" s="32">
        <v>180</v>
      </c>
      <c r="P48" s="376" t="str">
        <f>HYPERLINK("https://abi.ru/products/Замороженные/Горячая штучка/Grandmeni/Пельмени/P004889/","Пельмени «Grandmeni с говядиной и свининой» Фикс.вес 0,7 классическая форма ТМ «Горячая штучка»")</f>
        <v>Пельмени «Grandmeni с говядиной и свининой» Фикс.вес 0,7 классическая форма ТМ «Горячая штучка»</v>
      </c>
      <c r="Q48" s="283"/>
      <c r="R48" s="283"/>
      <c r="S48" s="283"/>
      <c r="T48" s="284"/>
      <c r="U48" s="34"/>
      <c r="V48" s="34"/>
      <c r="W48" s="35" t="s">
        <v>68</v>
      </c>
      <c r="X48" s="276">
        <v>24</v>
      </c>
      <c r="Y48" s="277">
        <f>IFERROR(IF(X48="","",X48),"")</f>
        <v>24</v>
      </c>
      <c r="Z48" s="36">
        <f>IFERROR(IF(X48="","",X48*0.0155),"")</f>
        <v>0.372</v>
      </c>
      <c r="AA48" s="56"/>
      <c r="AB48" s="57"/>
      <c r="AC48" s="98" t="s">
        <v>113</v>
      </c>
      <c r="AG48" s="67"/>
      <c r="AJ48" s="71" t="s">
        <v>103</v>
      </c>
      <c r="AK48" s="71">
        <v>12</v>
      </c>
      <c r="BB48" s="99" t="s">
        <v>1</v>
      </c>
      <c r="BM48" s="67">
        <f>IFERROR(X48*I48,"0")</f>
        <v>140.88</v>
      </c>
      <c r="BN48" s="67">
        <f>IFERROR(Y48*I48,"0")</f>
        <v>140.88</v>
      </c>
      <c r="BO48" s="67">
        <f>IFERROR(X48/J48,"0")</f>
        <v>0.2857142857142857</v>
      </c>
      <c r="BP48" s="67">
        <f>IFERROR(Y48/J48,"0")</f>
        <v>0.2857142857142857</v>
      </c>
    </row>
    <row r="49" spans="1:68" x14ac:dyDescent="0.2">
      <c r="A49" s="285"/>
      <c r="B49" s="286"/>
      <c r="C49" s="286"/>
      <c r="D49" s="286"/>
      <c r="E49" s="286"/>
      <c r="F49" s="286"/>
      <c r="G49" s="286"/>
      <c r="H49" s="286"/>
      <c r="I49" s="286"/>
      <c r="J49" s="286"/>
      <c r="K49" s="286"/>
      <c r="L49" s="286"/>
      <c r="M49" s="286"/>
      <c r="N49" s="286"/>
      <c r="O49" s="287"/>
      <c r="P49" s="298" t="s">
        <v>87</v>
      </c>
      <c r="Q49" s="299"/>
      <c r="R49" s="299"/>
      <c r="S49" s="299"/>
      <c r="T49" s="299"/>
      <c r="U49" s="299"/>
      <c r="V49" s="300"/>
      <c r="W49" s="37" t="s">
        <v>68</v>
      </c>
      <c r="X49" s="278">
        <f>IFERROR(SUM(X47:X48),"0")</f>
        <v>96</v>
      </c>
      <c r="Y49" s="278">
        <f>IFERROR(SUM(Y47:Y48),"0")</f>
        <v>96</v>
      </c>
      <c r="Z49" s="278">
        <f>IFERROR(IF(Z47="",0,Z47),"0")+IFERROR(IF(Z48="",0,Z48),"0")</f>
        <v>1.488</v>
      </c>
      <c r="AA49" s="279"/>
      <c r="AB49" s="279"/>
      <c r="AC49" s="279"/>
    </row>
    <row r="50" spans="1:68" x14ac:dyDescent="0.2">
      <c r="A50" s="286"/>
      <c r="B50" s="286"/>
      <c r="C50" s="286"/>
      <c r="D50" s="286"/>
      <c r="E50" s="286"/>
      <c r="F50" s="286"/>
      <c r="G50" s="286"/>
      <c r="H50" s="286"/>
      <c r="I50" s="286"/>
      <c r="J50" s="286"/>
      <c r="K50" s="286"/>
      <c r="L50" s="286"/>
      <c r="M50" s="286"/>
      <c r="N50" s="286"/>
      <c r="O50" s="287"/>
      <c r="P50" s="298" t="s">
        <v>87</v>
      </c>
      <c r="Q50" s="299"/>
      <c r="R50" s="299"/>
      <c r="S50" s="299"/>
      <c r="T50" s="299"/>
      <c r="U50" s="299"/>
      <c r="V50" s="300"/>
      <c r="W50" s="37" t="s">
        <v>88</v>
      </c>
      <c r="X50" s="278">
        <f>IFERROR(SUMPRODUCT(X47:X48*H47:H48),"0")</f>
        <v>537.59999999999991</v>
      </c>
      <c r="Y50" s="278">
        <f>IFERROR(SUMPRODUCT(Y47:Y48*H47:H48),"0")</f>
        <v>537.59999999999991</v>
      </c>
      <c r="Z50" s="37"/>
      <c r="AA50" s="279"/>
      <c r="AB50" s="279"/>
      <c r="AC50" s="279"/>
    </row>
    <row r="51" spans="1:68" ht="16.5" hidden="1" customHeight="1" x14ac:dyDescent="0.25">
      <c r="A51" s="304" t="s">
        <v>114</v>
      </c>
      <c r="B51" s="286"/>
      <c r="C51" s="286"/>
      <c r="D51" s="286"/>
      <c r="E51" s="286"/>
      <c r="F51" s="286"/>
      <c r="G51" s="286"/>
      <c r="H51" s="286"/>
      <c r="I51" s="286"/>
      <c r="J51" s="286"/>
      <c r="K51" s="286"/>
      <c r="L51" s="286"/>
      <c r="M51" s="286"/>
      <c r="N51" s="286"/>
      <c r="O51" s="286"/>
      <c r="P51" s="286"/>
      <c r="Q51" s="286"/>
      <c r="R51" s="286"/>
      <c r="S51" s="286"/>
      <c r="T51" s="286"/>
      <c r="U51" s="286"/>
      <c r="V51" s="286"/>
      <c r="W51" s="286"/>
      <c r="X51" s="286"/>
      <c r="Y51" s="286"/>
      <c r="Z51" s="286"/>
      <c r="AA51" s="271"/>
      <c r="AB51" s="271"/>
      <c r="AC51" s="271"/>
    </row>
    <row r="52" spans="1:68" ht="14.25" hidden="1" customHeight="1" x14ac:dyDescent="0.25">
      <c r="A52" s="288" t="s">
        <v>62</v>
      </c>
      <c r="B52" s="286"/>
      <c r="C52" s="286"/>
      <c r="D52" s="286"/>
      <c r="E52" s="286"/>
      <c r="F52" s="286"/>
      <c r="G52" s="286"/>
      <c r="H52" s="286"/>
      <c r="I52" s="286"/>
      <c r="J52" s="286"/>
      <c r="K52" s="286"/>
      <c r="L52" s="286"/>
      <c r="M52" s="286"/>
      <c r="N52" s="286"/>
      <c r="O52" s="286"/>
      <c r="P52" s="286"/>
      <c r="Q52" s="286"/>
      <c r="R52" s="286"/>
      <c r="S52" s="286"/>
      <c r="T52" s="286"/>
      <c r="U52" s="286"/>
      <c r="V52" s="286"/>
      <c r="W52" s="286"/>
      <c r="X52" s="286"/>
      <c r="Y52" s="286"/>
      <c r="Z52" s="286"/>
      <c r="AA52" s="272"/>
      <c r="AB52" s="272"/>
      <c r="AC52" s="272"/>
    </row>
    <row r="53" spans="1:68" ht="27" customHeight="1" x14ac:dyDescent="0.25">
      <c r="A53" s="54" t="s">
        <v>115</v>
      </c>
      <c r="B53" s="54" t="s">
        <v>116</v>
      </c>
      <c r="C53" s="31">
        <v>4301071044</v>
      </c>
      <c r="D53" s="280">
        <v>4607111039385</v>
      </c>
      <c r="E53" s="281"/>
      <c r="F53" s="275">
        <v>0.7</v>
      </c>
      <c r="G53" s="32">
        <v>10</v>
      </c>
      <c r="H53" s="275">
        <v>7</v>
      </c>
      <c r="I53" s="275">
        <v>7.3</v>
      </c>
      <c r="J53" s="32">
        <v>84</v>
      </c>
      <c r="K53" s="32" t="s">
        <v>65</v>
      </c>
      <c r="L53" s="32" t="s">
        <v>101</v>
      </c>
      <c r="M53" s="33" t="s">
        <v>67</v>
      </c>
      <c r="N53" s="33"/>
      <c r="O53" s="32">
        <v>180</v>
      </c>
      <c r="P53" s="429" t="str">
        <f>HYPERLINK("https://abi.ru/products/Замороженные/Горячая штучка/Бигбули ГШ/Пельмени/P004440/","Пельмени «Бигбули #МЕГАВКУСИЩЕ с сочной грудинкой» 0,7 сфера ТМ «Горячая штучка»")</f>
        <v>Пельмени «Бигбули #МЕГАВКУСИЩЕ с сочной грудинкой» 0,7 сфера ТМ «Горячая штучка»</v>
      </c>
      <c r="Q53" s="283"/>
      <c r="R53" s="283"/>
      <c r="S53" s="283"/>
      <c r="T53" s="284"/>
      <c r="U53" s="34"/>
      <c r="V53" s="34"/>
      <c r="W53" s="35" t="s">
        <v>68</v>
      </c>
      <c r="X53" s="276">
        <v>36</v>
      </c>
      <c r="Y53" s="277">
        <f>IFERROR(IF(X53="","",X53),"")</f>
        <v>36</v>
      </c>
      <c r="Z53" s="36">
        <f>IFERROR(IF(X53="","",X53*0.0155),"")</f>
        <v>0.55800000000000005</v>
      </c>
      <c r="AA53" s="56"/>
      <c r="AB53" s="57"/>
      <c r="AC53" s="100" t="s">
        <v>117</v>
      </c>
      <c r="AG53" s="67"/>
      <c r="AJ53" s="71" t="s">
        <v>103</v>
      </c>
      <c r="AK53" s="71">
        <v>12</v>
      </c>
      <c r="BB53" s="101" t="s">
        <v>1</v>
      </c>
      <c r="BM53" s="67">
        <f>IFERROR(X53*I53,"0")</f>
        <v>262.8</v>
      </c>
      <c r="BN53" s="67">
        <f>IFERROR(Y53*I53,"0")</f>
        <v>262.8</v>
      </c>
      <c r="BO53" s="67">
        <f>IFERROR(X53/J53,"0")</f>
        <v>0.42857142857142855</v>
      </c>
      <c r="BP53" s="67">
        <f>IFERROR(Y53/J53,"0")</f>
        <v>0.42857142857142855</v>
      </c>
    </row>
    <row r="54" spans="1:68" ht="27" customHeight="1" x14ac:dyDescent="0.25">
      <c r="A54" s="54" t="s">
        <v>118</v>
      </c>
      <c r="B54" s="54" t="s">
        <v>119</v>
      </c>
      <c r="C54" s="31">
        <v>4301071031</v>
      </c>
      <c r="D54" s="280">
        <v>4607111038982</v>
      </c>
      <c r="E54" s="281"/>
      <c r="F54" s="275">
        <v>0.7</v>
      </c>
      <c r="G54" s="32">
        <v>10</v>
      </c>
      <c r="H54" s="275">
        <v>7</v>
      </c>
      <c r="I54" s="275">
        <v>7.2859999999999996</v>
      </c>
      <c r="J54" s="32">
        <v>84</v>
      </c>
      <c r="K54" s="32" t="s">
        <v>65</v>
      </c>
      <c r="L54" s="32" t="s">
        <v>101</v>
      </c>
      <c r="M54" s="33" t="s">
        <v>67</v>
      </c>
      <c r="N54" s="33"/>
      <c r="O54" s="32">
        <v>180</v>
      </c>
      <c r="P54" s="438" t="str">
        <f>HYPERLINK("https://abi.ru/products/Замороженные/Горячая штучка/Бигбули ГШ/Пельмени/P004203/","Пельмени «Бигбули #МЕГАМАСЛИЩЕ со сливочным маслом» 0,7 сфера ТМ «Горячая штучка»")</f>
        <v>Пельмени «Бигбули #МЕГАМАСЛИЩЕ со сливочным маслом» 0,7 сфера ТМ «Горячая штучка»</v>
      </c>
      <c r="Q54" s="283"/>
      <c r="R54" s="283"/>
      <c r="S54" s="283"/>
      <c r="T54" s="284"/>
      <c r="U54" s="34"/>
      <c r="V54" s="34"/>
      <c r="W54" s="35" t="s">
        <v>68</v>
      </c>
      <c r="X54" s="276">
        <v>96</v>
      </c>
      <c r="Y54" s="277">
        <f>IFERROR(IF(X54="","",X54),"")</f>
        <v>96</v>
      </c>
      <c r="Z54" s="36">
        <f>IFERROR(IF(X54="","",X54*0.0155),"")</f>
        <v>1.488</v>
      </c>
      <c r="AA54" s="56"/>
      <c r="AB54" s="57"/>
      <c r="AC54" s="102" t="s">
        <v>120</v>
      </c>
      <c r="AG54" s="67"/>
      <c r="AJ54" s="71" t="s">
        <v>103</v>
      </c>
      <c r="AK54" s="71">
        <v>12</v>
      </c>
      <c r="BB54" s="103" t="s">
        <v>1</v>
      </c>
      <c r="BM54" s="67">
        <f>IFERROR(X54*I54,"0")</f>
        <v>699.4559999999999</v>
      </c>
      <c r="BN54" s="67">
        <f>IFERROR(Y54*I54,"0")</f>
        <v>699.4559999999999</v>
      </c>
      <c r="BO54" s="67">
        <f>IFERROR(X54/J54,"0")</f>
        <v>1.1428571428571428</v>
      </c>
      <c r="BP54" s="67">
        <f>IFERROR(Y54/J54,"0")</f>
        <v>1.1428571428571428</v>
      </c>
    </row>
    <row r="55" spans="1:68" ht="27" hidden="1" customHeight="1" x14ac:dyDescent="0.25">
      <c r="A55" s="54" t="s">
        <v>121</v>
      </c>
      <c r="B55" s="54" t="s">
        <v>122</v>
      </c>
      <c r="C55" s="31">
        <v>4301071046</v>
      </c>
      <c r="D55" s="280">
        <v>4607111039354</v>
      </c>
      <c r="E55" s="281"/>
      <c r="F55" s="275">
        <v>0.4</v>
      </c>
      <c r="G55" s="32">
        <v>16</v>
      </c>
      <c r="H55" s="275">
        <v>6.4</v>
      </c>
      <c r="I55" s="275">
        <v>6.7195999999999998</v>
      </c>
      <c r="J55" s="32">
        <v>84</v>
      </c>
      <c r="K55" s="32" t="s">
        <v>65</v>
      </c>
      <c r="L55" s="32" t="s">
        <v>101</v>
      </c>
      <c r="M55" s="33" t="s">
        <v>67</v>
      </c>
      <c r="N55" s="33"/>
      <c r="O55" s="32">
        <v>180</v>
      </c>
      <c r="P55" s="345" t="str">
        <f>HYPERLINK("https://abi.ru/products/Замороженные/Горячая штучка/Бигбули ГШ/Пельмени/P004443/","Пельмени «Бигбули с мясом» 0,4 Сфера ТМ «Горячая штучка»")</f>
        <v>Пельмени «Бигбули с мясом» 0,4 Сфера ТМ «Горячая штучка»</v>
      </c>
      <c r="Q55" s="283"/>
      <c r="R55" s="283"/>
      <c r="S55" s="283"/>
      <c r="T55" s="284"/>
      <c r="U55" s="34"/>
      <c r="V55" s="34"/>
      <c r="W55" s="35" t="s">
        <v>68</v>
      </c>
      <c r="X55" s="276">
        <v>0</v>
      </c>
      <c r="Y55" s="277">
        <f>IFERROR(IF(X55="","",X55),"")</f>
        <v>0</v>
      </c>
      <c r="Z55" s="36">
        <f>IFERROR(IF(X55="","",X55*0.0155),"")</f>
        <v>0</v>
      </c>
      <c r="AA55" s="56"/>
      <c r="AB55" s="57"/>
      <c r="AC55" s="104" t="s">
        <v>120</v>
      </c>
      <c r="AG55" s="67"/>
      <c r="AJ55" s="71" t="s">
        <v>103</v>
      </c>
      <c r="AK55" s="71">
        <v>12</v>
      </c>
      <c r="BB55" s="105" t="s">
        <v>1</v>
      </c>
      <c r="BM55" s="67">
        <f>IFERROR(X55*I55,"0")</f>
        <v>0</v>
      </c>
      <c r="BN55" s="67">
        <f>IFERROR(Y55*I55,"0")</f>
        <v>0</v>
      </c>
      <c r="BO55" s="67">
        <f>IFERROR(X55/J55,"0")</f>
        <v>0</v>
      </c>
      <c r="BP55" s="67">
        <f>IFERROR(Y55/J55,"0")</f>
        <v>0</v>
      </c>
    </row>
    <row r="56" spans="1:68" ht="27" customHeight="1" x14ac:dyDescent="0.25">
      <c r="A56" s="54" t="s">
        <v>123</v>
      </c>
      <c r="B56" s="54" t="s">
        <v>124</v>
      </c>
      <c r="C56" s="31">
        <v>4301071047</v>
      </c>
      <c r="D56" s="280">
        <v>4607111039330</v>
      </c>
      <c r="E56" s="281"/>
      <c r="F56" s="275">
        <v>0.7</v>
      </c>
      <c r="G56" s="32">
        <v>10</v>
      </c>
      <c r="H56" s="275">
        <v>7</v>
      </c>
      <c r="I56" s="275">
        <v>7.3</v>
      </c>
      <c r="J56" s="32">
        <v>84</v>
      </c>
      <c r="K56" s="32" t="s">
        <v>65</v>
      </c>
      <c r="L56" s="32" t="s">
        <v>101</v>
      </c>
      <c r="M56" s="33" t="s">
        <v>67</v>
      </c>
      <c r="N56" s="33"/>
      <c r="O56" s="32">
        <v>180</v>
      </c>
      <c r="P56" s="289" t="str">
        <f>HYPERLINK("https://abi.ru/products/Замороженные/Горячая штучка/Бигбули ГШ/Пельмени/P004442/","Пельмени «Бигбули с мясом» 0,7 Сфера ТМ «Горячая штучка»")</f>
        <v>Пельмени «Бигбули с мясом» 0,7 Сфера ТМ «Горячая штучка»</v>
      </c>
      <c r="Q56" s="283"/>
      <c r="R56" s="283"/>
      <c r="S56" s="283"/>
      <c r="T56" s="284"/>
      <c r="U56" s="34"/>
      <c r="V56" s="34"/>
      <c r="W56" s="35" t="s">
        <v>68</v>
      </c>
      <c r="X56" s="276">
        <v>12</v>
      </c>
      <c r="Y56" s="277">
        <f>IFERROR(IF(X56="","",X56),"")</f>
        <v>12</v>
      </c>
      <c r="Z56" s="36">
        <f>IFERROR(IF(X56="","",X56*0.0155),"")</f>
        <v>0.186</v>
      </c>
      <c r="AA56" s="56"/>
      <c r="AB56" s="57"/>
      <c r="AC56" s="106" t="s">
        <v>120</v>
      </c>
      <c r="AG56" s="67"/>
      <c r="AJ56" s="71" t="s">
        <v>103</v>
      </c>
      <c r="AK56" s="71">
        <v>12</v>
      </c>
      <c r="BB56" s="107" t="s">
        <v>1</v>
      </c>
      <c r="BM56" s="67">
        <f>IFERROR(X56*I56,"0")</f>
        <v>87.6</v>
      </c>
      <c r="BN56" s="67">
        <f>IFERROR(Y56*I56,"0")</f>
        <v>87.6</v>
      </c>
      <c r="BO56" s="67">
        <f>IFERROR(X56/J56,"0")</f>
        <v>0.14285714285714285</v>
      </c>
      <c r="BP56" s="67">
        <f>IFERROR(Y56/J56,"0")</f>
        <v>0.14285714285714285</v>
      </c>
    </row>
    <row r="57" spans="1:68" x14ac:dyDescent="0.2">
      <c r="A57" s="285"/>
      <c r="B57" s="286"/>
      <c r="C57" s="286"/>
      <c r="D57" s="286"/>
      <c r="E57" s="286"/>
      <c r="F57" s="286"/>
      <c r="G57" s="286"/>
      <c r="H57" s="286"/>
      <c r="I57" s="286"/>
      <c r="J57" s="286"/>
      <c r="K57" s="286"/>
      <c r="L57" s="286"/>
      <c r="M57" s="286"/>
      <c r="N57" s="286"/>
      <c r="O57" s="287"/>
      <c r="P57" s="298" t="s">
        <v>87</v>
      </c>
      <c r="Q57" s="299"/>
      <c r="R57" s="299"/>
      <c r="S57" s="299"/>
      <c r="T57" s="299"/>
      <c r="U57" s="299"/>
      <c r="V57" s="300"/>
      <c r="W57" s="37" t="s">
        <v>68</v>
      </c>
      <c r="X57" s="278">
        <f>IFERROR(SUM(X53:X56),"0")</f>
        <v>144</v>
      </c>
      <c r="Y57" s="278">
        <f>IFERROR(SUM(Y53:Y56),"0")</f>
        <v>144</v>
      </c>
      <c r="Z57" s="278">
        <f>IFERROR(IF(Z53="",0,Z53),"0")+IFERROR(IF(Z54="",0,Z54),"0")+IFERROR(IF(Z55="",0,Z55),"0")+IFERROR(IF(Z56="",0,Z56),"0")</f>
        <v>2.2320000000000002</v>
      </c>
      <c r="AA57" s="279"/>
      <c r="AB57" s="279"/>
      <c r="AC57" s="279"/>
    </row>
    <row r="58" spans="1:68" x14ac:dyDescent="0.2">
      <c r="A58" s="286"/>
      <c r="B58" s="286"/>
      <c r="C58" s="286"/>
      <c r="D58" s="286"/>
      <c r="E58" s="286"/>
      <c r="F58" s="286"/>
      <c r="G58" s="286"/>
      <c r="H58" s="286"/>
      <c r="I58" s="286"/>
      <c r="J58" s="286"/>
      <c r="K58" s="286"/>
      <c r="L58" s="286"/>
      <c r="M58" s="286"/>
      <c r="N58" s="286"/>
      <c r="O58" s="287"/>
      <c r="P58" s="298" t="s">
        <v>87</v>
      </c>
      <c r="Q58" s="299"/>
      <c r="R58" s="299"/>
      <c r="S58" s="299"/>
      <c r="T58" s="299"/>
      <c r="U58" s="299"/>
      <c r="V58" s="300"/>
      <c r="W58" s="37" t="s">
        <v>88</v>
      </c>
      <c r="X58" s="278">
        <f>IFERROR(SUMPRODUCT(X53:X56*H53:H56),"0")</f>
        <v>1008</v>
      </c>
      <c r="Y58" s="278">
        <f>IFERROR(SUMPRODUCT(Y53:Y56*H53:H56),"0")</f>
        <v>1008</v>
      </c>
      <c r="Z58" s="37"/>
      <c r="AA58" s="279"/>
      <c r="AB58" s="279"/>
      <c r="AC58" s="279"/>
    </row>
    <row r="59" spans="1:68" ht="16.5" hidden="1" customHeight="1" x14ac:dyDescent="0.25">
      <c r="A59" s="304" t="s">
        <v>125</v>
      </c>
      <c r="B59" s="286"/>
      <c r="C59" s="286"/>
      <c r="D59" s="286"/>
      <c r="E59" s="286"/>
      <c r="F59" s="286"/>
      <c r="G59" s="286"/>
      <c r="H59" s="286"/>
      <c r="I59" s="286"/>
      <c r="J59" s="286"/>
      <c r="K59" s="286"/>
      <c r="L59" s="286"/>
      <c r="M59" s="286"/>
      <c r="N59" s="286"/>
      <c r="O59" s="286"/>
      <c r="P59" s="286"/>
      <c r="Q59" s="286"/>
      <c r="R59" s="286"/>
      <c r="S59" s="286"/>
      <c r="T59" s="286"/>
      <c r="U59" s="286"/>
      <c r="V59" s="286"/>
      <c r="W59" s="286"/>
      <c r="X59" s="286"/>
      <c r="Y59" s="286"/>
      <c r="Z59" s="286"/>
      <c r="AA59" s="271"/>
      <c r="AB59" s="271"/>
      <c r="AC59" s="271"/>
    </row>
    <row r="60" spans="1:68" ht="14.25" hidden="1" customHeight="1" x14ac:dyDescent="0.25">
      <c r="A60" s="288" t="s">
        <v>97</v>
      </c>
      <c r="B60" s="286"/>
      <c r="C60" s="286"/>
      <c r="D60" s="286"/>
      <c r="E60" s="286"/>
      <c r="F60" s="286"/>
      <c r="G60" s="286"/>
      <c r="H60" s="286"/>
      <c r="I60" s="286"/>
      <c r="J60" s="286"/>
      <c r="K60" s="286"/>
      <c r="L60" s="286"/>
      <c r="M60" s="286"/>
      <c r="N60" s="286"/>
      <c r="O60" s="286"/>
      <c r="P60" s="286"/>
      <c r="Q60" s="286"/>
      <c r="R60" s="286"/>
      <c r="S60" s="286"/>
      <c r="T60" s="286"/>
      <c r="U60" s="286"/>
      <c r="V60" s="286"/>
      <c r="W60" s="286"/>
      <c r="X60" s="286"/>
      <c r="Y60" s="286"/>
      <c r="Z60" s="286"/>
      <c r="AA60" s="272"/>
      <c r="AB60" s="272"/>
      <c r="AC60" s="272"/>
    </row>
    <row r="61" spans="1:68" ht="27" hidden="1" customHeight="1" x14ac:dyDescent="0.25">
      <c r="A61" s="54" t="s">
        <v>126</v>
      </c>
      <c r="B61" s="54" t="s">
        <v>127</v>
      </c>
      <c r="C61" s="31">
        <v>4301132194</v>
      </c>
      <c r="D61" s="280">
        <v>4607111039712</v>
      </c>
      <c r="E61" s="281"/>
      <c r="F61" s="275">
        <v>0.2</v>
      </c>
      <c r="G61" s="32">
        <v>6</v>
      </c>
      <c r="H61" s="275">
        <v>1.2</v>
      </c>
      <c r="I61" s="275">
        <v>1.56</v>
      </c>
      <c r="J61" s="32">
        <v>140</v>
      </c>
      <c r="K61" s="32" t="s">
        <v>100</v>
      </c>
      <c r="L61" s="32" t="s">
        <v>66</v>
      </c>
      <c r="M61" s="33" t="s">
        <v>67</v>
      </c>
      <c r="N61" s="33"/>
      <c r="O61" s="32">
        <v>365</v>
      </c>
      <c r="P61" s="416" t="str">
        <f>HYPERLINK("https://abi.ru/products/Замороженные/Горячая штучка/Foodgital/Наггетсы/P004731/","Наггетсы «Наггетсы» Фикс.вес 0,2 ТС «Foodgital» ТМ «Горячая штучка»")</f>
        <v>Наггетсы «Наггетсы» Фикс.вес 0,2 ТС «Foodgital» ТМ «Горячая штучка»</v>
      </c>
      <c r="Q61" s="283"/>
      <c r="R61" s="283"/>
      <c r="S61" s="283"/>
      <c r="T61" s="284"/>
      <c r="U61" s="34"/>
      <c r="V61" s="34"/>
      <c r="W61" s="35" t="s">
        <v>68</v>
      </c>
      <c r="X61" s="276">
        <v>0</v>
      </c>
      <c r="Y61" s="277">
        <f>IFERROR(IF(X61="","",X61),"")</f>
        <v>0</v>
      </c>
      <c r="Z61" s="36">
        <f>IFERROR(IF(X61="","",X61*0.00941),"")</f>
        <v>0</v>
      </c>
      <c r="AA61" s="56"/>
      <c r="AB61" s="57"/>
      <c r="AC61" s="108" t="s">
        <v>128</v>
      </c>
      <c r="AG61" s="67"/>
      <c r="AJ61" s="71" t="s">
        <v>70</v>
      </c>
      <c r="AK61" s="71">
        <v>1</v>
      </c>
      <c r="BB61" s="109" t="s">
        <v>104</v>
      </c>
      <c r="BM61" s="67">
        <f>IFERROR(X61*I61,"0")</f>
        <v>0</v>
      </c>
      <c r="BN61" s="67">
        <f>IFERROR(Y61*I61,"0")</f>
        <v>0</v>
      </c>
      <c r="BO61" s="67">
        <f>IFERROR(X61/J61,"0")</f>
        <v>0</v>
      </c>
      <c r="BP61" s="67">
        <f>IFERROR(Y61/J61,"0")</f>
        <v>0</v>
      </c>
    </row>
    <row r="62" spans="1:68" hidden="1" x14ac:dyDescent="0.2">
      <c r="A62" s="285"/>
      <c r="B62" s="286"/>
      <c r="C62" s="286"/>
      <c r="D62" s="286"/>
      <c r="E62" s="286"/>
      <c r="F62" s="286"/>
      <c r="G62" s="286"/>
      <c r="H62" s="286"/>
      <c r="I62" s="286"/>
      <c r="J62" s="286"/>
      <c r="K62" s="286"/>
      <c r="L62" s="286"/>
      <c r="M62" s="286"/>
      <c r="N62" s="286"/>
      <c r="O62" s="287"/>
      <c r="P62" s="298" t="s">
        <v>87</v>
      </c>
      <c r="Q62" s="299"/>
      <c r="R62" s="299"/>
      <c r="S62" s="299"/>
      <c r="T62" s="299"/>
      <c r="U62" s="299"/>
      <c r="V62" s="300"/>
      <c r="W62" s="37" t="s">
        <v>68</v>
      </c>
      <c r="X62" s="278">
        <f>IFERROR(SUM(X61:X61),"0")</f>
        <v>0</v>
      </c>
      <c r="Y62" s="278">
        <f>IFERROR(SUM(Y61:Y61),"0")</f>
        <v>0</v>
      </c>
      <c r="Z62" s="278">
        <f>IFERROR(IF(Z61="",0,Z61),"0")</f>
        <v>0</v>
      </c>
      <c r="AA62" s="279"/>
      <c r="AB62" s="279"/>
      <c r="AC62" s="279"/>
    </row>
    <row r="63" spans="1:68" hidden="1" x14ac:dyDescent="0.2">
      <c r="A63" s="286"/>
      <c r="B63" s="286"/>
      <c r="C63" s="286"/>
      <c r="D63" s="286"/>
      <c r="E63" s="286"/>
      <c r="F63" s="286"/>
      <c r="G63" s="286"/>
      <c r="H63" s="286"/>
      <c r="I63" s="286"/>
      <c r="J63" s="286"/>
      <c r="K63" s="286"/>
      <c r="L63" s="286"/>
      <c r="M63" s="286"/>
      <c r="N63" s="286"/>
      <c r="O63" s="287"/>
      <c r="P63" s="298" t="s">
        <v>87</v>
      </c>
      <c r="Q63" s="299"/>
      <c r="R63" s="299"/>
      <c r="S63" s="299"/>
      <c r="T63" s="299"/>
      <c r="U63" s="299"/>
      <c r="V63" s="300"/>
      <c r="W63" s="37" t="s">
        <v>88</v>
      </c>
      <c r="X63" s="278">
        <f>IFERROR(SUMPRODUCT(X61:X61*H61:H61),"0")</f>
        <v>0</v>
      </c>
      <c r="Y63" s="278">
        <f>IFERROR(SUMPRODUCT(Y61:Y61*H61:H61),"0")</f>
        <v>0</v>
      </c>
      <c r="Z63" s="37"/>
      <c r="AA63" s="279"/>
      <c r="AB63" s="279"/>
      <c r="AC63" s="279"/>
    </row>
    <row r="64" spans="1:68" ht="14.25" hidden="1" customHeight="1" x14ac:dyDescent="0.25">
      <c r="A64" s="288" t="s">
        <v>129</v>
      </c>
      <c r="B64" s="286"/>
      <c r="C64" s="286"/>
      <c r="D64" s="286"/>
      <c r="E64" s="286"/>
      <c r="F64" s="286"/>
      <c r="G64" s="286"/>
      <c r="H64" s="286"/>
      <c r="I64" s="286"/>
      <c r="J64" s="286"/>
      <c r="K64" s="286"/>
      <c r="L64" s="286"/>
      <c r="M64" s="286"/>
      <c r="N64" s="286"/>
      <c r="O64" s="286"/>
      <c r="P64" s="286"/>
      <c r="Q64" s="286"/>
      <c r="R64" s="286"/>
      <c r="S64" s="286"/>
      <c r="T64" s="286"/>
      <c r="U64" s="286"/>
      <c r="V64" s="286"/>
      <c r="W64" s="286"/>
      <c r="X64" s="286"/>
      <c r="Y64" s="286"/>
      <c r="Z64" s="286"/>
      <c r="AA64" s="272"/>
      <c r="AB64" s="272"/>
      <c r="AC64" s="272"/>
    </row>
    <row r="65" spans="1:68" ht="16.5" hidden="1" customHeight="1" x14ac:dyDescent="0.25">
      <c r="A65" s="54" t="s">
        <v>130</v>
      </c>
      <c r="B65" s="54" t="s">
        <v>131</v>
      </c>
      <c r="C65" s="31">
        <v>4301136018</v>
      </c>
      <c r="D65" s="280">
        <v>4607111037008</v>
      </c>
      <c r="E65" s="281"/>
      <c r="F65" s="275">
        <v>0.36</v>
      </c>
      <c r="G65" s="32">
        <v>4</v>
      </c>
      <c r="H65" s="275">
        <v>1.44</v>
      </c>
      <c r="I65" s="275">
        <v>1.74</v>
      </c>
      <c r="J65" s="32">
        <v>140</v>
      </c>
      <c r="K65" s="32" t="s">
        <v>100</v>
      </c>
      <c r="L65" s="32" t="s">
        <v>66</v>
      </c>
      <c r="M65" s="33" t="s">
        <v>67</v>
      </c>
      <c r="N65" s="33"/>
      <c r="O65" s="32">
        <v>365</v>
      </c>
      <c r="P65" s="452" t="str">
        <f>HYPERLINK("https://abi.ru/products/Замороженные/Горячая штучка/Foodgital/Чебуреки/P003038/","Чебуреки из растительного белка Foodgital фикс.вес 0,36 лоток Горячая штучка")</f>
        <v>Чебуреки из растительного белка Foodgital фикс.вес 0,36 лоток Горячая штучка</v>
      </c>
      <c r="Q65" s="283"/>
      <c r="R65" s="283"/>
      <c r="S65" s="283"/>
      <c r="T65" s="284"/>
      <c r="U65" s="34"/>
      <c r="V65" s="34"/>
      <c r="W65" s="35" t="s">
        <v>68</v>
      </c>
      <c r="X65" s="276">
        <v>0</v>
      </c>
      <c r="Y65" s="277">
        <f>IFERROR(IF(X65="","",X65),"")</f>
        <v>0</v>
      </c>
      <c r="Z65" s="36">
        <f>IFERROR(IF(X65="","",X65*0.00941),"")</f>
        <v>0</v>
      </c>
      <c r="AA65" s="56"/>
      <c r="AB65" s="57"/>
      <c r="AC65" s="110" t="s">
        <v>132</v>
      </c>
      <c r="AG65" s="67"/>
      <c r="AJ65" s="71" t="s">
        <v>70</v>
      </c>
      <c r="AK65" s="71">
        <v>1</v>
      </c>
      <c r="BB65" s="111" t="s">
        <v>104</v>
      </c>
      <c r="BM65" s="67">
        <f>IFERROR(X65*I65,"0")</f>
        <v>0</v>
      </c>
      <c r="BN65" s="67">
        <f>IFERROR(Y65*I65,"0")</f>
        <v>0</v>
      </c>
      <c r="BO65" s="67">
        <f>IFERROR(X65/J65,"0")</f>
        <v>0</v>
      </c>
      <c r="BP65" s="67">
        <f>IFERROR(Y65/J65,"0")</f>
        <v>0</v>
      </c>
    </row>
    <row r="66" spans="1:68" ht="16.5" hidden="1" customHeight="1" x14ac:dyDescent="0.25">
      <c r="A66" s="54" t="s">
        <v>133</v>
      </c>
      <c r="B66" s="54" t="s">
        <v>134</v>
      </c>
      <c r="C66" s="31">
        <v>4301136015</v>
      </c>
      <c r="D66" s="280">
        <v>4607111037398</v>
      </c>
      <c r="E66" s="281"/>
      <c r="F66" s="275">
        <v>0.09</v>
      </c>
      <c r="G66" s="32">
        <v>24</v>
      </c>
      <c r="H66" s="275">
        <v>2.16</v>
      </c>
      <c r="I66" s="275">
        <v>4.0199999999999996</v>
      </c>
      <c r="J66" s="32">
        <v>126</v>
      </c>
      <c r="K66" s="32" t="s">
        <v>100</v>
      </c>
      <c r="L66" s="32" t="s">
        <v>66</v>
      </c>
      <c r="M66" s="33" t="s">
        <v>67</v>
      </c>
      <c r="N66" s="33"/>
      <c r="O66" s="32">
        <v>365</v>
      </c>
      <c r="P66" s="418" t="str">
        <f>HYPERLINK("https://abi.ru/products/Замороженные/Горячая штучка/Foodgital/Чебуреки/P002938/","Чебуреки «из растительного белка» штучка 0,09 кг ТМ «Горячая штучка»")</f>
        <v>Чебуреки «из растительного белка» штучка 0,09 кг ТМ «Горячая штучка»</v>
      </c>
      <c r="Q66" s="283"/>
      <c r="R66" s="283"/>
      <c r="S66" s="283"/>
      <c r="T66" s="284"/>
      <c r="U66" s="34"/>
      <c r="V66" s="34"/>
      <c r="W66" s="35" t="s">
        <v>68</v>
      </c>
      <c r="X66" s="276">
        <v>0</v>
      </c>
      <c r="Y66" s="277">
        <f>IFERROR(IF(X66="","",X66),"")</f>
        <v>0</v>
      </c>
      <c r="Z66" s="36">
        <f>IFERROR(IF(X66="","",X66*0.00936),"")</f>
        <v>0</v>
      </c>
      <c r="AA66" s="56"/>
      <c r="AB66" s="57"/>
      <c r="AC66" s="112" t="s">
        <v>132</v>
      </c>
      <c r="AG66" s="67"/>
      <c r="AJ66" s="71" t="s">
        <v>70</v>
      </c>
      <c r="AK66" s="71">
        <v>1</v>
      </c>
      <c r="BB66" s="113" t="s">
        <v>104</v>
      </c>
      <c r="BM66" s="67">
        <f>IFERROR(X66*I66,"0")</f>
        <v>0</v>
      </c>
      <c r="BN66" s="67">
        <f>IFERROR(Y66*I66,"0")</f>
        <v>0</v>
      </c>
      <c r="BO66" s="67">
        <f>IFERROR(X66/J66,"0")</f>
        <v>0</v>
      </c>
      <c r="BP66" s="67">
        <f>IFERROR(Y66/J66,"0")</f>
        <v>0</v>
      </c>
    </row>
    <row r="67" spans="1:68" hidden="1" x14ac:dyDescent="0.2">
      <c r="A67" s="285"/>
      <c r="B67" s="286"/>
      <c r="C67" s="286"/>
      <c r="D67" s="286"/>
      <c r="E67" s="286"/>
      <c r="F67" s="286"/>
      <c r="G67" s="286"/>
      <c r="H67" s="286"/>
      <c r="I67" s="286"/>
      <c r="J67" s="286"/>
      <c r="K67" s="286"/>
      <c r="L67" s="286"/>
      <c r="M67" s="286"/>
      <c r="N67" s="286"/>
      <c r="O67" s="287"/>
      <c r="P67" s="298" t="s">
        <v>87</v>
      </c>
      <c r="Q67" s="299"/>
      <c r="R67" s="299"/>
      <c r="S67" s="299"/>
      <c r="T67" s="299"/>
      <c r="U67" s="299"/>
      <c r="V67" s="300"/>
      <c r="W67" s="37" t="s">
        <v>68</v>
      </c>
      <c r="X67" s="278">
        <f>IFERROR(SUM(X65:X66),"0")</f>
        <v>0</v>
      </c>
      <c r="Y67" s="278">
        <f>IFERROR(SUM(Y65:Y66),"0")</f>
        <v>0</v>
      </c>
      <c r="Z67" s="278">
        <f>IFERROR(IF(Z65="",0,Z65),"0")+IFERROR(IF(Z66="",0,Z66),"0")</f>
        <v>0</v>
      </c>
      <c r="AA67" s="279"/>
      <c r="AB67" s="279"/>
      <c r="AC67" s="279"/>
    </row>
    <row r="68" spans="1:68" hidden="1" x14ac:dyDescent="0.2">
      <c r="A68" s="286"/>
      <c r="B68" s="286"/>
      <c r="C68" s="286"/>
      <c r="D68" s="286"/>
      <c r="E68" s="286"/>
      <c r="F68" s="286"/>
      <c r="G68" s="286"/>
      <c r="H68" s="286"/>
      <c r="I68" s="286"/>
      <c r="J68" s="286"/>
      <c r="K68" s="286"/>
      <c r="L68" s="286"/>
      <c r="M68" s="286"/>
      <c r="N68" s="286"/>
      <c r="O68" s="287"/>
      <c r="P68" s="298" t="s">
        <v>87</v>
      </c>
      <c r="Q68" s="299"/>
      <c r="R68" s="299"/>
      <c r="S68" s="299"/>
      <c r="T68" s="299"/>
      <c r="U68" s="299"/>
      <c r="V68" s="300"/>
      <c r="W68" s="37" t="s">
        <v>88</v>
      </c>
      <c r="X68" s="278">
        <f>IFERROR(SUMPRODUCT(X65:X66*H65:H66),"0")</f>
        <v>0</v>
      </c>
      <c r="Y68" s="278">
        <f>IFERROR(SUMPRODUCT(Y65:Y66*H65:H66),"0")</f>
        <v>0</v>
      </c>
      <c r="Z68" s="37"/>
      <c r="AA68" s="279"/>
      <c r="AB68" s="279"/>
      <c r="AC68" s="279"/>
    </row>
    <row r="69" spans="1:68" ht="14.25" hidden="1" customHeight="1" x14ac:dyDescent="0.25">
      <c r="A69" s="288" t="s">
        <v>135</v>
      </c>
      <c r="B69" s="286"/>
      <c r="C69" s="286"/>
      <c r="D69" s="286"/>
      <c r="E69" s="286"/>
      <c r="F69" s="286"/>
      <c r="G69" s="286"/>
      <c r="H69" s="286"/>
      <c r="I69" s="286"/>
      <c r="J69" s="286"/>
      <c r="K69" s="286"/>
      <c r="L69" s="286"/>
      <c r="M69" s="286"/>
      <c r="N69" s="286"/>
      <c r="O69" s="286"/>
      <c r="P69" s="286"/>
      <c r="Q69" s="286"/>
      <c r="R69" s="286"/>
      <c r="S69" s="286"/>
      <c r="T69" s="286"/>
      <c r="U69" s="286"/>
      <c r="V69" s="286"/>
      <c r="W69" s="286"/>
      <c r="X69" s="286"/>
      <c r="Y69" s="286"/>
      <c r="Z69" s="286"/>
      <c r="AA69" s="272"/>
      <c r="AB69" s="272"/>
      <c r="AC69" s="272"/>
    </row>
    <row r="70" spans="1:68" ht="27" hidden="1" customHeight="1" x14ac:dyDescent="0.25">
      <c r="A70" s="54" t="s">
        <v>136</v>
      </c>
      <c r="B70" s="54" t="s">
        <v>137</v>
      </c>
      <c r="C70" s="31">
        <v>4301135664</v>
      </c>
      <c r="D70" s="280">
        <v>4607111039705</v>
      </c>
      <c r="E70" s="281"/>
      <c r="F70" s="275">
        <v>0.2</v>
      </c>
      <c r="G70" s="32">
        <v>6</v>
      </c>
      <c r="H70" s="275">
        <v>1.2</v>
      </c>
      <c r="I70" s="275">
        <v>1.56</v>
      </c>
      <c r="J70" s="32">
        <v>140</v>
      </c>
      <c r="K70" s="32" t="s">
        <v>100</v>
      </c>
      <c r="L70" s="32" t="s">
        <v>66</v>
      </c>
      <c r="M70" s="33" t="s">
        <v>67</v>
      </c>
      <c r="N70" s="33"/>
      <c r="O70" s="32">
        <v>365</v>
      </c>
      <c r="P70" s="454" t="str">
        <f>HYPERLINK("https://abi.ru/products/Замороженные/Горячая штучка/Foodgital/Снеки/P004732/","Снеки «Чебупели» Фикс.вес 0,2 ТС «Foodgital» ТМ «Горячая штучка»")</f>
        <v>Снеки «Чебупели» Фикс.вес 0,2 ТС «Foodgital» ТМ «Горячая штучка»</v>
      </c>
      <c r="Q70" s="283"/>
      <c r="R70" s="283"/>
      <c r="S70" s="283"/>
      <c r="T70" s="284"/>
      <c r="U70" s="34"/>
      <c r="V70" s="34"/>
      <c r="W70" s="35" t="s">
        <v>68</v>
      </c>
      <c r="X70" s="276">
        <v>0</v>
      </c>
      <c r="Y70" s="277">
        <f>IFERROR(IF(X70="","",X70),"")</f>
        <v>0</v>
      </c>
      <c r="Z70" s="36">
        <f>IFERROR(IF(X70="","",X70*0.00941),"")</f>
        <v>0</v>
      </c>
      <c r="AA70" s="56"/>
      <c r="AB70" s="57"/>
      <c r="AC70" s="114" t="s">
        <v>132</v>
      </c>
      <c r="AG70" s="67"/>
      <c r="AJ70" s="71" t="s">
        <v>70</v>
      </c>
      <c r="AK70" s="71">
        <v>1</v>
      </c>
      <c r="BB70" s="115" t="s">
        <v>104</v>
      </c>
      <c r="BM70" s="67">
        <f>IFERROR(X70*I70,"0")</f>
        <v>0</v>
      </c>
      <c r="BN70" s="67">
        <f>IFERROR(Y70*I70,"0")</f>
        <v>0</v>
      </c>
      <c r="BO70" s="67">
        <f>IFERROR(X70/J70,"0")</f>
        <v>0</v>
      </c>
      <c r="BP70" s="67">
        <f>IFERROR(Y70/J70,"0")</f>
        <v>0</v>
      </c>
    </row>
    <row r="71" spans="1:68" ht="27" hidden="1" customHeight="1" x14ac:dyDescent="0.25">
      <c r="A71" s="54" t="s">
        <v>138</v>
      </c>
      <c r="B71" s="54" t="s">
        <v>139</v>
      </c>
      <c r="C71" s="31">
        <v>4301135665</v>
      </c>
      <c r="D71" s="280">
        <v>4607111039729</v>
      </c>
      <c r="E71" s="281"/>
      <c r="F71" s="275">
        <v>0.2</v>
      </c>
      <c r="G71" s="32">
        <v>6</v>
      </c>
      <c r="H71" s="275">
        <v>1.2</v>
      </c>
      <c r="I71" s="275">
        <v>1.56</v>
      </c>
      <c r="J71" s="32">
        <v>140</v>
      </c>
      <c r="K71" s="32" t="s">
        <v>100</v>
      </c>
      <c r="L71" s="32" t="s">
        <v>66</v>
      </c>
      <c r="M71" s="33" t="s">
        <v>67</v>
      </c>
      <c r="N71" s="33"/>
      <c r="O71" s="32">
        <v>365</v>
      </c>
      <c r="P71" s="354" t="str">
        <f>HYPERLINK("https://abi.ru/products/Замороженные/Горячая штучка/Foodgital/Снеки/P004733/","Снеки «Чебупицца Маргарита» Фикс.вес 0,2 ТС «Foodgital» ТМ «Горячая штучка»")</f>
        <v>Снеки «Чебупицца Маргарита» Фикс.вес 0,2 ТС «Foodgital» ТМ «Горячая штучка»</v>
      </c>
      <c r="Q71" s="283"/>
      <c r="R71" s="283"/>
      <c r="S71" s="283"/>
      <c r="T71" s="284"/>
      <c r="U71" s="34"/>
      <c r="V71" s="34"/>
      <c r="W71" s="35" t="s">
        <v>68</v>
      </c>
      <c r="X71" s="276">
        <v>0</v>
      </c>
      <c r="Y71" s="277">
        <f>IFERROR(IF(X71="","",X71),"")</f>
        <v>0</v>
      </c>
      <c r="Z71" s="36">
        <f>IFERROR(IF(X71="","",X71*0.00941),"")</f>
        <v>0</v>
      </c>
      <c r="AA71" s="56"/>
      <c r="AB71" s="57"/>
      <c r="AC71" s="116" t="s">
        <v>140</v>
      </c>
      <c r="AG71" s="67"/>
      <c r="AJ71" s="71" t="s">
        <v>70</v>
      </c>
      <c r="AK71" s="71">
        <v>1</v>
      </c>
      <c r="BB71" s="117" t="s">
        <v>104</v>
      </c>
      <c r="BM71" s="67">
        <f>IFERROR(X71*I71,"0")</f>
        <v>0</v>
      </c>
      <c r="BN71" s="67">
        <f>IFERROR(Y71*I71,"0")</f>
        <v>0</v>
      </c>
      <c r="BO71" s="67">
        <f>IFERROR(X71/J71,"0")</f>
        <v>0</v>
      </c>
      <c r="BP71" s="67">
        <f>IFERROR(Y71/J71,"0")</f>
        <v>0</v>
      </c>
    </row>
    <row r="72" spans="1:68" ht="27" customHeight="1" x14ac:dyDescent="0.25">
      <c r="A72" s="54" t="s">
        <v>141</v>
      </c>
      <c r="B72" s="54" t="s">
        <v>142</v>
      </c>
      <c r="C72" s="31">
        <v>4301135702</v>
      </c>
      <c r="D72" s="280">
        <v>4620207490228</v>
      </c>
      <c r="E72" s="281"/>
      <c r="F72" s="275">
        <v>0.2</v>
      </c>
      <c r="G72" s="32">
        <v>6</v>
      </c>
      <c r="H72" s="275">
        <v>1.2</v>
      </c>
      <c r="I72" s="275">
        <v>1.56</v>
      </c>
      <c r="J72" s="32">
        <v>140</v>
      </c>
      <c r="K72" s="32" t="s">
        <v>100</v>
      </c>
      <c r="L72" s="32" t="s">
        <v>66</v>
      </c>
      <c r="M72" s="33" t="s">
        <v>67</v>
      </c>
      <c r="N72" s="33"/>
      <c r="O72" s="32">
        <v>365</v>
      </c>
      <c r="P72" s="464" t="str">
        <f>HYPERLINK("https://abi.ru/products/Замороженные/Горячая штучка/Foodgital/Снеки/P004818/","Снеки «Чебупицца со вкусом 4 сыра» Фикс.вес 0,2 ТС «Foodgital» ТМ «Горячая штучка»")</f>
        <v>Снеки «Чебупицца со вкусом 4 сыра» Фикс.вес 0,2 ТС «Foodgital» ТМ «Горячая штучка»</v>
      </c>
      <c r="Q72" s="283"/>
      <c r="R72" s="283"/>
      <c r="S72" s="283"/>
      <c r="T72" s="284"/>
      <c r="U72" s="34"/>
      <c r="V72" s="34"/>
      <c r="W72" s="35" t="s">
        <v>68</v>
      </c>
      <c r="X72" s="276">
        <v>70</v>
      </c>
      <c r="Y72" s="277">
        <f>IFERROR(IF(X72="","",X72),"")</f>
        <v>70</v>
      </c>
      <c r="Z72" s="36">
        <f>IFERROR(IF(X72="","",X72*0.00941),"")</f>
        <v>0.65869999999999995</v>
      </c>
      <c r="AA72" s="56"/>
      <c r="AB72" s="57"/>
      <c r="AC72" s="118" t="s">
        <v>140</v>
      </c>
      <c r="AG72" s="67"/>
      <c r="AJ72" s="71" t="s">
        <v>70</v>
      </c>
      <c r="AK72" s="71">
        <v>1</v>
      </c>
      <c r="BB72" s="119" t="s">
        <v>104</v>
      </c>
      <c r="BM72" s="67">
        <f>IFERROR(X72*I72,"0")</f>
        <v>109.2</v>
      </c>
      <c r="BN72" s="67">
        <f>IFERROR(Y72*I72,"0")</f>
        <v>109.2</v>
      </c>
      <c r="BO72" s="67">
        <f>IFERROR(X72/J72,"0")</f>
        <v>0.5</v>
      </c>
      <c r="BP72" s="67">
        <f>IFERROR(Y72/J72,"0")</f>
        <v>0.5</v>
      </c>
    </row>
    <row r="73" spans="1:68" x14ac:dyDescent="0.2">
      <c r="A73" s="285"/>
      <c r="B73" s="286"/>
      <c r="C73" s="286"/>
      <c r="D73" s="286"/>
      <c r="E73" s="286"/>
      <c r="F73" s="286"/>
      <c r="G73" s="286"/>
      <c r="H73" s="286"/>
      <c r="I73" s="286"/>
      <c r="J73" s="286"/>
      <c r="K73" s="286"/>
      <c r="L73" s="286"/>
      <c r="M73" s="286"/>
      <c r="N73" s="286"/>
      <c r="O73" s="287"/>
      <c r="P73" s="298" t="s">
        <v>87</v>
      </c>
      <c r="Q73" s="299"/>
      <c r="R73" s="299"/>
      <c r="S73" s="299"/>
      <c r="T73" s="299"/>
      <c r="U73" s="299"/>
      <c r="V73" s="300"/>
      <c r="W73" s="37" t="s">
        <v>68</v>
      </c>
      <c r="X73" s="278">
        <f>IFERROR(SUM(X70:X72),"0")</f>
        <v>70</v>
      </c>
      <c r="Y73" s="278">
        <f>IFERROR(SUM(Y70:Y72),"0")</f>
        <v>70</v>
      </c>
      <c r="Z73" s="278">
        <f>IFERROR(IF(Z70="",0,Z70),"0")+IFERROR(IF(Z71="",0,Z71),"0")+IFERROR(IF(Z72="",0,Z72),"0")</f>
        <v>0.65869999999999995</v>
      </c>
      <c r="AA73" s="279"/>
      <c r="AB73" s="279"/>
      <c r="AC73" s="279"/>
    </row>
    <row r="74" spans="1:68" x14ac:dyDescent="0.2">
      <c r="A74" s="286"/>
      <c r="B74" s="286"/>
      <c r="C74" s="286"/>
      <c r="D74" s="286"/>
      <c r="E74" s="286"/>
      <c r="F74" s="286"/>
      <c r="G74" s="286"/>
      <c r="H74" s="286"/>
      <c r="I74" s="286"/>
      <c r="J74" s="286"/>
      <c r="K74" s="286"/>
      <c r="L74" s="286"/>
      <c r="M74" s="286"/>
      <c r="N74" s="286"/>
      <c r="O74" s="287"/>
      <c r="P74" s="298" t="s">
        <v>87</v>
      </c>
      <c r="Q74" s="299"/>
      <c r="R74" s="299"/>
      <c r="S74" s="299"/>
      <c r="T74" s="299"/>
      <c r="U74" s="299"/>
      <c r="V74" s="300"/>
      <c r="W74" s="37" t="s">
        <v>88</v>
      </c>
      <c r="X74" s="278">
        <f>IFERROR(SUMPRODUCT(X70:X72*H70:H72),"0")</f>
        <v>84</v>
      </c>
      <c r="Y74" s="278">
        <f>IFERROR(SUMPRODUCT(Y70:Y72*H70:H72),"0")</f>
        <v>84</v>
      </c>
      <c r="Z74" s="37"/>
      <c r="AA74" s="279"/>
      <c r="AB74" s="279"/>
      <c r="AC74" s="279"/>
    </row>
    <row r="75" spans="1:68" ht="16.5" hidden="1" customHeight="1" x14ac:dyDescent="0.25">
      <c r="A75" s="304" t="s">
        <v>143</v>
      </c>
      <c r="B75" s="286"/>
      <c r="C75" s="286"/>
      <c r="D75" s="286"/>
      <c r="E75" s="286"/>
      <c r="F75" s="286"/>
      <c r="G75" s="286"/>
      <c r="H75" s="286"/>
      <c r="I75" s="286"/>
      <c r="J75" s="286"/>
      <c r="K75" s="286"/>
      <c r="L75" s="286"/>
      <c r="M75" s="286"/>
      <c r="N75" s="286"/>
      <c r="O75" s="286"/>
      <c r="P75" s="286"/>
      <c r="Q75" s="286"/>
      <c r="R75" s="286"/>
      <c r="S75" s="286"/>
      <c r="T75" s="286"/>
      <c r="U75" s="286"/>
      <c r="V75" s="286"/>
      <c r="W75" s="286"/>
      <c r="X75" s="286"/>
      <c r="Y75" s="286"/>
      <c r="Z75" s="286"/>
      <c r="AA75" s="271"/>
      <c r="AB75" s="271"/>
      <c r="AC75" s="271"/>
    </row>
    <row r="76" spans="1:68" ht="14.25" hidden="1" customHeight="1" x14ac:dyDescent="0.25">
      <c r="A76" s="288" t="s">
        <v>62</v>
      </c>
      <c r="B76" s="286"/>
      <c r="C76" s="286"/>
      <c r="D76" s="286"/>
      <c r="E76" s="286"/>
      <c r="F76" s="286"/>
      <c r="G76" s="286"/>
      <c r="H76" s="286"/>
      <c r="I76" s="286"/>
      <c r="J76" s="286"/>
      <c r="K76" s="286"/>
      <c r="L76" s="286"/>
      <c r="M76" s="286"/>
      <c r="N76" s="286"/>
      <c r="O76" s="286"/>
      <c r="P76" s="286"/>
      <c r="Q76" s="286"/>
      <c r="R76" s="286"/>
      <c r="S76" s="286"/>
      <c r="T76" s="286"/>
      <c r="U76" s="286"/>
      <c r="V76" s="286"/>
      <c r="W76" s="286"/>
      <c r="X76" s="286"/>
      <c r="Y76" s="286"/>
      <c r="Z76" s="286"/>
      <c r="AA76" s="272"/>
      <c r="AB76" s="272"/>
      <c r="AC76" s="272"/>
    </row>
    <row r="77" spans="1:68" ht="27" hidden="1" customHeight="1" x14ac:dyDescent="0.25">
      <c r="A77" s="54" t="s">
        <v>144</v>
      </c>
      <c r="B77" s="54" t="s">
        <v>145</v>
      </c>
      <c r="C77" s="31">
        <v>4301070977</v>
      </c>
      <c r="D77" s="280">
        <v>4607111037411</v>
      </c>
      <c r="E77" s="281"/>
      <c r="F77" s="275">
        <v>2.7</v>
      </c>
      <c r="G77" s="32">
        <v>1</v>
      </c>
      <c r="H77" s="275">
        <v>2.7</v>
      </c>
      <c r="I77" s="275">
        <v>2.8132000000000001</v>
      </c>
      <c r="J77" s="32">
        <v>234</v>
      </c>
      <c r="K77" s="32" t="s">
        <v>146</v>
      </c>
      <c r="L77" s="32" t="s">
        <v>66</v>
      </c>
      <c r="M77" s="33" t="s">
        <v>67</v>
      </c>
      <c r="N77" s="33"/>
      <c r="O77" s="32">
        <v>180</v>
      </c>
      <c r="P77" s="387" t="str">
        <f>HYPERLINK("https://abi.ru/products/Замороженные/Горячая штучка/Бульмени вес ГШ/Пельмени/P003687/","Пельмени «Бульмени с говядиной и свининой Наваристые» Весовые Сфера ТМ «Горячая штучка» 2,7 кг")</f>
        <v>Пельмени «Бульмени с говядиной и свининой Наваристые» Весовые Сфера ТМ «Горячая штучка» 2,7 кг</v>
      </c>
      <c r="Q77" s="283"/>
      <c r="R77" s="283"/>
      <c r="S77" s="283"/>
      <c r="T77" s="284"/>
      <c r="U77" s="34"/>
      <c r="V77" s="34"/>
      <c r="W77" s="35" t="s">
        <v>68</v>
      </c>
      <c r="X77" s="276">
        <v>0</v>
      </c>
      <c r="Y77" s="277">
        <f>IFERROR(IF(X77="","",X77),"")</f>
        <v>0</v>
      </c>
      <c r="Z77" s="36">
        <f>IFERROR(IF(X77="","",X77*0.00502),"")</f>
        <v>0</v>
      </c>
      <c r="AA77" s="56"/>
      <c r="AB77" s="57"/>
      <c r="AC77" s="120" t="s">
        <v>147</v>
      </c>
      <c r="AG77" s="67"/>
      <c r="AJ77" s="71" t="s">
        <v>70</v>
      </c>
      <c r="AK77" s="71">
        <v>1</v>
      </c>
      <c r="BB77" s="121" t="s">
        <v>1</v>
      </c>
      <c r="BM77" s="67">
        <f>IFERROR(X77*I77,"0")</f>
        <v>0</v>
      </c>
      <c r="BN77" s="67">
        <f>IFERROR(Y77*I77,"0")</f>
        <v>0</v>
      </c>
      <c r="BO77" s="67">
        <f>IFERROR(X77/J77,"0")</f>
        <v>0</v>
      </c>
      <c r="BP77" s="67">
        <f>IFERROR(Y77/J77,"0")</f>
        <v>0</v>
      </c>
    </row>
    <row r="78" spans="1:68" ht="27" customHeight="1" x14ac:dyDescent="0.25">
      <c r="A78" s="54" t="s">
        <v>148</v>
      </c>
      <c r="B78" s="54" t="s">
        <v>149</v>
      </c>
      <c r="C78" s="31">
        <v>4301070981</v>
      </c>
      <c r="D78" s="280">
        <v>4607111036728</v>
      </c>
      <c r="E78" s="281"/>
      <c r="F78" s="275">
        <v>5</v>
      </c>
      <c r="G78" s="32">
        <v>1</v>
      </c>
      <c r="H78" s="275">
        <v>5</v>
      </c>
      <c r="I78" s="275">
        <v>5.2131999999999996</v>
      </c>
      <c r="J78" s="32">
        <v>144</v>
      </c>
      <c r="K78" s="32" t="s">
        <v>65</v>
      </c>
      <c r="L78" s="32" t="s">
        <v>101</v>
      </c>
      <c r="M78" s="33" t="s">
        <v>67</v>
      </c>
      <c r="N78" s="33"/>
      <c r="O78" s="32">
        <v>180</v>
      </c>
      <c r="P78" s="305" t="str">
        <f>HYPERLINK("https://abi.ru/products/Замороженные/Горячая штучка/Бульмени вес ГШ/Пельмени/P003697/","Пельмени «Бульмени с говядиной и свининой Наваристые» Весовые Сфера ТМ «Горячая штучка» 5 кг")</f>
        <v>Пельмени «Бульмени с говядиной и свининой Наваристые» Весовые Сфера ТМ «Горячая штучка» 5 кг</v>
      </c>
      <c r="Q78" s="283"/>
      <c r="R78" s="283"/>
      <c r="S78" s="283"/>
      <c r="T78" s="284"/>
      <c r="U78" s="34"/>
      <c r="V78" s="34"/>
      <c r="W78" s="35" t="s">
        <v>68</v>
      </c>
      <c r="X78" s="276">
        <v>24</v>
      </c>
      <c r="Y78" s="277">
        <f>IFERROR(IF(X78="","",X78),"")</f>
        <v>24</v>
      </c>
      <c r="Z78" s="36">
        <f>IFERROR(IF(X78="","",X78*0.00866),"")</f>
        <v>0.20783999999999997</v>
      </c>
      <c r="AA78" s="56"/>
      <c r="AB78" s="57"/>
      <c r="AC78" s="122" t="s">
        <v>147</v>
      </c>
      <c r="AG78" s="67"/>
      <c r="AJ78" s="71" t="s">
        <v>103</v>
      </c>
      <c r="AK78" s="71">
        <v>12</v>
      </c>
      <c r="BB78" s="123" t="s">
        <v>1</v>
      </c>
      <c r="BM78" s="67">
        <f>IFERROR(X78*I78,"0")</f>
        <v>125.11679999999998</v>
      </c>
      <c r="BN78" s="67">
        <f>IFERROR(Y78*I78,"0")</f>
        <v>125.11679999999998</v>
      </c>
      <c r="BO78" s="67">
        <f>IFERROR(X78/J78,"0")</f>
        <v>0.16666666666666666</v>
      </c>
      <c r="BP78" s="67">
        <f>IFERROR(Y78/J78,"0")</f>
        <v>0.16666666666666666</v>
      </c>
    </row>
    <row r="79" spans="1:68" x14ac:dyDescent="0.2">
      <c r="A79" s="285"/>
      <c r="B79" s="286"/>
      <c r="C79" s="286"/>
      <c r="D79" s="286"/>
      <c r="E79" s="286"/>
      <c r="F79" s="286"/>
      <c r="G79" s="286"/>
      <c r="H79" s="286"/>
      <c r="I79" s="286"/>
      <c r="J79" s="286"/>
      <c r="K79" s="286"/>
      <c r="L79" s="286"/>
      <c r="M79" s="286"/>
      <c r="N79" s="286"/>
      <c r="O79" s="287"/>
      <c r="P79" s="298" t="s">
        <v>87</v>
      </c>
      <c r="Q79" s="299"/>
      <c r="R79" s="299"/>
      <c r="S79" s="299"/>
      <c r="T79" s="299"/>
      <c r="U79" s="299"/>
      <c r="V79" s="300"/>
      <c r="W79" s="37" t="s">
        <v>68</v>
      </c>
      <c r="X79" s="278">
        <f>IFERROR(SUM(X77:X78),"0")</f>
        <v>24</v>
      </c>
      <c r="Y79" s="278">
        <f>IFERROR(SUM(Y77:Y78),"0")</f>
        <v>24</v>
      </c>
      <c r="Z79" s="278">
        <f>IFERROR(IF(Z77="",0,Z77),"0")+IFERROR(IF(Z78="",0,Z78),"0")</f>
        <v>0.20783999999999997</v>
      </c>
      <c r="AA79" s="279"/>
      <c r="AB79" s="279"/>
      <c r="AC79" s="279"/>
    </row>
    <row r="80" spans="1:68" x14ac:dyDescent="0.2">
      <c r="A80" s="286"/>
      <c r="B80" s="286"/>
      <c r="C80" s="286"/>
      <c r="D80" s="286"/>
      <c r="E80" s="286"/>
      <c r="F80" s="286"/>
      <c r="G80" s="286"/>
      <c r="H80" s="286"/>
      <c r="I80" s="286"/>
      <c r="J80" s="286"/>
      <c r="K80" s="286"/>
      <c r="L80" s="286"/>
      <c r="M80" s="286"/>
      <c r="N80" s="286"/>
      <c r="O80" s="287"/>
      <c r="P80" s="298" t="s">
        <v>87</v>
      </c>
      <c r="Q80" s="299"/>
      <c r="R80" s="299"/>
      <c r="S80" s="299"/>
      <c r="T80" s="299"/>
      <c r="U80" s="299"/>
      <c r="V80" s="300"/>
      <c r="W80" s="37" t="s">
        <v>88</v>
      </c>
      <c r="X80" s="278">
        <f>IFERROR(SUMPRODUCT(X77:X78*H77:H78),"0")</f>
        <v>120</v>
      </c>
      <c r="Y80" s="278">
        <f>IFERROR(SUMPRODUCT(Y77:Y78*H77:H78),"0")</f>
        <v>120</v>
      </c>
      <c r="Z80" s="37"/>
      <c r="AA80" s="279"/>
      <c r="AB80" s="279"/>
      <c r="AC80" s="279"/>
    </row>
    <row r="81" spans="1:68" ht="16.5" hidden="1" customHeight="1" x14ac:dyDescent="0.25">
      <c r="A81" s="304" t="s">
        <v>150</v>
      </c>
      <c r="B81" s="286"/>
      <c r="C81" s="286"/>
      <c r="D81" s="286"/>
      <c r="E81" s="286"/>
      <c r="F81" s="286"/>
      <c r="G81" s="286"/>
      <c r="H81" s="286"/>
      <c r="I81" s="286"/>
      <c r="J81" s="286"/>
      <c r="K81" s="286"/>
      <c r="L81" s="286"/>
      <c r="M81" s="286"/>
      <c r="N81" s="286"/>
      <c r="O81" s="286"/>
      <c r="P81" s="286"/>
      <c r="Q81" s="286"/>
      <c r="R81" s="286"/>
      <c r="S81" s="286"/>
      <c r="T81" s="286"/>
      <c r="U81" s="286"/>
      <c r="V81" s="286"/>
      <c r="W81" s="286"/>
      <c r="X81" s="286"/>
      <c r="Y81" s="286"/>
      <c r="Z81" s="286"/>
      <c r="AA81" s="271"/>
      <c r="AB81" s="271"/>
      <c r="AC81" s="271"/>
    </row>
    <row r="82" spans="1:68" ht="14.25" hidden="1" customHeight="1" x14ac:dyDescent="0.25">
      <c r="A82" s="288" t="s">
        <v>135</v>
      </c>
      <c r="B82" s="286"/>
      <c r="C82" s="286"/>
      <c r="D82" s="286"/>
      <c r="E82" s="286"/>
      <c r="F82" s="286"/>
      <c r="G82" s="286"/>
      <c r="H82" s="286"/>
      <c r="I82" s="286"/>
      <c r="J82" s="286"/>
      <c r="K82" s="286"/>
      <c r="L82" s="286"/>
      <c r="M82" s="286"/>
      <c r="N82" s="286"/>
      <c r="O82" s="286"/>
      <c r="P82" s="286"/>
      <c r="Q82" s="286"/>
      <c r="R82" s="286"/>
      <c r="S82" s="286"/>
      <c r="T82" s="286"/>
      <c r="U82" s="286"/>
      <c r="V82" s="286"/>
      <c r="W82" s="286"/>
      <c r="X82" s="286"/>
      <c r="Y82" s="286"/>
      <c r="Z82" s="286"/>
      <c r="AA82" s="272"/>
      <c r="AB82" s="272"/>
      <c r="AC82" s="272"/>
    </row>
    <row r="83" spans="1:68" ht="27" customHeight="1" x14ac:dyDescent="0.25">
      <c r="A83" s="54" t="s">
        <v>151</v>
      </c>
      <c r="B83" s="54" t="s">
        <v>152</v>
      </c>
      <c r="C83" s="31">
        <v>4301135574</v>
      </c>
      <c r="D83" s="280">
        <v>4607111033659</v>
      </c>
      <c r="E83" s="281"/>
      <c r="F83" s="275">
        <v>0.3</v>
      </c>
      <c r="G83" s="32">
        <v>12</v>
      </c>
      <c r="H83" s="275">
        <v>3.6</v>
      </c>
      <c r="I83" s="275">
        <v>4.3036000000000003</v>
      </c>
      <c r="J83" s="32">
        <v>70</v>
      </c>
      <c r="K83" s="32" t="s">
        <v>100</v>
      </c>
      <c r="L83" s="32" t="s">
        <v>101</v>
      </c>
      <c r="M83" s="33" t="s">
        <v>67</v>
      </c>
      <c r="N83" s="33"/>
      <c r="O83" s="32">
        <v>180</v>
      </c>
      <c r="P83" s="466" t="str">
        <f>HYPERLINK("https://abi.ru/products/Замороженные/Горячая штучка/Бельмеши/Снеки/P004598/","Снеки «Бельмеши сочные с мясом» Фикс.вес 0,3 Пакет ТМ «Горячая штучка»")</f>
        <v>Снеки «Бельмеши сочные с мясом» Фикс.вес 0,3 Пакет ТМ «Горячая штучка»</v>
      </c>
      <c r="Q83" s="283"/>
      <c r="R83" s="283"/>
      <c r="S83" s="283"/>
      <c r="T83" s="284"/>
      <c r="U83" s="34"/>
      <c r="V83" s="34"/>
      <c r="W83" s="35" t="s">
        <v>68</v>
      </c>
      <c r="X83" s="276">
        <v>56</v>
      </c>
      <c r="Y83" s="277">
        <f>IFERROR(IF(X83="","",X83),"")</f>
        <v>56</v>
      </c>
      <c r="Z83" s="36">
        <f>IFERROR(IF(X83="","",X83*0.01788),"")</f>
        <v>1.0012799999999999</v>
      </c>
      <c r="AA83" s="56"/>
      <c r="AB83" s="57"/>
      <c r="AC83" s="124" t="s">
        <v>153</v>
      </c>
      <c r="AG83" s="67"/>
      <c r="AJ83" s="71" t="s">
        <v>103</v>
      </c>
      <c r="AK83" s="71">
        <v>14</v>
      </c>
      <c r="BB83" s="125" t="s">
        <v>104</v>
      </c>
      <c r="BM83" s="67">
        <f>IFERROR(X83*I83,"0")</f>
        <v>241.00160000000002</v>
      </c>
      <c r="BN83" s="67">
        <f>IFERROR(Y83*I83,"0")</f>
        <v>241.00160000000002</v>
      </c>
      <c r="BO83" s="67">
        <f>IFERROR(X83/J83,"0")</f>
        <v>0.8</v>
      </c>
      <c r="BP83" s="67">
        <f>IFERROR(Y83/J83,"0")</f>
        <v>0.8</v>
      </c>
    </row>
    <row r="84" spans="1:68" x14ac:dyDescent="0.2">
      <c r="A84" s="285"/>
      <c r="B84" s="286"/>
      <c r="C84" s="286"/>
      <c r="D84" s="286"/>
      <c r="E84" s="286"/>
      <c r="F84" s="286"/>
      <c r="G84" s="286"/>
      <c r="H84" s="286"/>
      <c r="I84" s="286"/>
      <c r="J84" s="286"/>
      <c r="K84" s="286"/>
      <c r="L84" s="286"/>
      <c r="M84" s="286"/>
      <c r="N84" s="286"/>
      <c r="O84" s="287"/>
      <c r="P84" s="298" t="s">
        <v>87</v>
      </c>
      <c r="Q84" s="299"/>
      <c r="R84" s="299"/>
      <c r="S84" s="299"/>
      <c r="T84" s="299"/>
      <c r="U84" s="299"/>
      <c r="V84" s="300"/>
      <c r="W84" s="37" t="s">
        <v>68</v>
      </c>
      <c r="X84" s="278">
        <f>IFERROR(SUM(X83:X83),"0")</f>
        <v>56</v>
      </c>
      <c r="Y84" s="278">
        <f>IFERROR(SUM(Y83:Y83),"0")</f>
        <v>56</v>
      </c>
      <c r="Z84" s="278">
        <f>IFERROR(IF(Z83="",0,Z83),"0")</f>
        <v>1.0012799999999999</v>
      </c>
      <c r="AA84" s="279"/>
      <c r="AB84" s="279"/>
      <c r="AC84" s="279"/>
    </row>
    <row r="85" spans="1:68" x14ac:dyDescent="0.2">
      <c r="A85" s="286"/>
      <c r="B85" s="286"/>
      <c r="C85" s="286"/>
      <c r="D85" s="286"/>
      <c r="E85" s="286"/>
      <c r="F85" s="286"/>
      <c r="G85" s="286"/>
      <c r="H85" s="286"/>
      <c r="I85" s="286"/>
      <c r="J85" s="286"/>
      <c r="K85" s="286"/>
      <c r="L85" s="286"/>
      <c r="M85" s="286"/>
      <c r="N85" s="286"/>
      <c r="O85" s="287"/>
      <c r="P85" s="298" t="s">
        <v>87</v>
      </c>
      <c r="Q85" s="299"/>
      <c r="R85" s="299"/>
      <c r="S85" s="299"/>
      <c r="T85" s="299"/>
      <c r="U85" s="299"/>
      <c r="V85" s="300"/>
      <c r="W85" s="37" t="s">
        <v>88</v>
      </c>
      <c r="X85" s="278">
        <f>IFERROR(SUMPRODUCT(X83:X83*H83:H83),"0")</f>
        <v>201.6</v>
      </c>
      <c r="Y85" s="278">
        <f>IFERROR(SUMPRODUCT(Y83:Y83*H83:H83),"0")</f>
        <v>201.6</v>
      </c>
      <c r="Z85" s="37"/>
      <c r="AA85" s="279"/>
      <c r="AB85" s="279"/>
      <c r="AC85" s="279"/>
    </row>
    <row r="86" spans="1:68" ht="16.5" hidden="1" customHeight="1" x14ac:dyDescent="0.25">
      <c r="A86" s="304" t="s">
        <v>154</v>
      </c>
      <c r="B86" s="286"/>
      <c r="C86" s="286"/>
      <c r="D86" s="286"/>
      <c r="E86" s="286"/>
      <c r="F86" s="286"/>
      <c r="G86" s="286"/>
      <c r="H86" s="286"/>
      <c r="I86" s="286"/>
      <c r="J86" s="286"/>
      <c r="K86" s="286"/>
      <c r="L86" s="286"/>
      <c r="M86" s="286"/>
      <c r="N86" s="286"/>
      <c r="O86" s="286"/>
      <c r="P86" s="286"/>
      <c r="Q86" s="286"/>
      <c r="R86" s="286"/>
      <c r="S86" s="286"/>
      <c r="T86" s="286"/>
      <c r="U86" s="286"/>
      <c r="V86" s="286"/>
      <c r="W86" s="286"/>
      <c r="X86" s="286"/>
      <c r="Y86" s="286"/>
      <c r="Z86" s="286"/>
      <c r="AA86" s="271"/>
      <c r="AB86" s="271"/>
      <c r="AC86" s="271"/>
    </row>
    <row r="87" spans="1:68" ht="14.25" hidden="1" customHeight="1" x14ac:dyDescent="0.25">
      <c r="A87" s="288" t="s">
        <v>155</v>
      </c>
      <c r="B87" s="286"/>
      <c r="C87" s="286"/>
      <c r="D87" s="286"/>
      <c r="E87" s="286"/>
      <c r="F87" s="286"/>
      <c r="G87" s="286"/>
      <c r="H87" s="286"/>
      <c r="I87" s="286"/>
      <c r="J87" s="286"/>
      <c r="K87" s="286"/>
      <c r="L87" s="286"/>
      <c r="M87" s="286"/>
      <c r="N87" s="286"/>
      <c r="O87" s="286"/>
      <c r="P87" s="286"/>
      <c r="Q87" s="286"/>
      <c r="R87" s="286"/>
      <c r="S87" s="286"/>
      <c r="T87" s="286"/>
      <c r="U87" s="286"/>
      <c r="V87" s="286"/>
      <c r="W87" s="286"/>
      <c r="X87" s="286"/>
      <c r="Y87" s="286"/>
      <c r="Z87" s="286"/>
      <c r="AA87" s="272"/>
      <c r="AB87" s="272"/>
      <c r="AC87" s="272"/>
    </row>
    <row r="88" spans="1:68" ht="27" customHeight="1" x14ac:dyDescent="0.25">
      <c r="A88" s="54" t="s">
        <v>156</v>
      </c>
      <c r="B88" s="54" t="s">
        <v>157</v>
      </c>
      <c r="C88" s="31">
        <v>4301131047</v>
      </c>
      <c r="D88" s="280">
        <v>4607111034120</v>
      </c>
      <c r="E88" s="281"/>
      <c r="F88" s="275">
        <v>0.3</v>
      </c>
      <c r="G88" s="32">
        <v>12</v>
      </c>
      <c r="H88" s="275">
        <v>3.6</v>
      </c>
      <c r="I88" s="275">
        <v>4.3036000000000003</v>
      </c>
      <c r="J88" s="32">
        <v>70</v>
      </c>
      <c r="K88" s="32" t="s">
        <v>100</v>
      </c>
      <c r="L88" s="32" t="s">
        <v>101</v>
      </c>
      <c r="M88" s="33" t="s">
        <v>67</v>
      </c>
      <c r="N88" s="33"/>
      <c r="O88" s="32">
        <v>180</v>
      </c>
      <c r="P88" s="391" t="str">
        <f>HYPERLINK("https://abi.ru/products/Замороженные/Горячая штучка/Крылышки ГШ/Крылья/P004588/","Крылья «Хрустящие крылышки» Фикс.вес 0,3 Пакет ТМ «Горячая штучка»")</f>
        <v>Крылья «Хрустящие крылышки» Фикс.вес 0,3 Пакет ТМ «Горячая штучка»</v>
      </c>
      <c r="Q88" s="283"/>
      <c r="R88" s="283"/>
      <c r="S88" s="283"/>
      <c r="T88" s="284"/>
      <c r="U88" s="34"/>
      <c r="V88" s="34"/>
      <c r="W88" s="35" t="s">
        <v>68</v>
      </c>
      <c r="X88" s="276">
        <v>28</v>
      </c>
      <c r="Y88" s="277">
        <f>IFERROR(IF(X88="","",X88),"")</f>
        <v>28</v>
      </c>
      <c r="Z88" s="36">
        <f>IFERROR(IF(X88="","",X88*0.01788),"")</f>
        <v>0.50063999999999997</v>
      </c>
      <c r="AA88" s="56"/>
      <c r="AB88" s="57"/>
      <c r="AC88" s="126" t="s">
        <v>158</v>
      </c>
      <c r="AG88" s="67"/>
      <c r="AJ88" s="71" t="s">
        <v>103</v>
      </c>
      <c r="AK88" s="71">
        <v>14</v>
      </c>
      <c r="BB88" s="127" t="s">
        <v>104</v>
      </c>
      <c r="BM88" s="67">
        <f>IFERROR(X88*I88,"0")</f>
        <v>120.50080000000001</v>
      </c>
      <c r="BN88" s="67">
        <f>IFERROR(Y88*I88,"0")</f>
        <v>120.50080000000001</v>
      </c>
      <c r="BO88" s="67">
        <f>IFERROR(X88/J88,"0")</f>
        <v>0.4</v>
      </c>
      <c r="BP88" s="67">
        <f>IFERROR(Y88/J88,"0")</f>
        <v>0.4</v>
      </c>
    </row>
    <row r="89" spans="1:68" ht="27" customHeight="1" x14ac:dyDescent="0.25">
      <c r="A89" s="54" t="s">
        <v>159</v>
      </c>
      <c r="B89" s="54" t="s">
        <v>160</v>
      </c>
      <c r="C89" s="31">
        <v>4301131046</v>
      </c>
      <c r="D89" s="280">
        <v>4607111034137</v>
      </c>
      <c r="E89" s="281"/>
      <c r="F89" s="275">
        <v>0.3</v>
      </c>
      <c r="G89" s="32">
        <v>12</v>
      </c>
      <c r="H89" s="275">
        <v>3.6</v>
      </c>
      <c r="I89" s="275">
        <v>4.3036000000000003</v>
      </c>
      <c r="J89" s="32">
        <v>70</v>
      </c>
      <c r="K89" s="32" t="s">
        <v>100</v>
      </c>
      <c r="L89" s="32" t="s">
        <v>101</v>
      </c>
      <c r="M89" s="33" t="s">
        <v>67</v>
      </c>
      <c r="N89" s="33"/>
      <c r="O89" s="32">
        <v>180</v>
      </c>
      <c r="P89" s="390" t="str">
        <f>HYPERLINK("https://abi.ru/products/Замороженные/Горячая штучка/Крылышки ГШ/Крылья/P004589/","Крылья «Крылышки острые к пиву» Фикс.вес 0,3 Пакет ТМ «Горячая штучка»")</f>
        <v>Крылья «Крылышки острые к пиву» Фикс.вес 0,3 Пакет ТМ «Горячая штучка»</v>
      </c>
      <c r="Q89" s="283"/>
      <c r="R89" s="283"/>
      <c r="S89" s="283"/>
      <c r="T89" s="284"/>
      <c r="U89" s="34"/>
      <c r="V89" s="34"/>
      <c r="W89" s="35" t="s">
        <v>68</v>
      </c>
      <c r="X89" s="276">
        <v>84</v>
      </c>
      <c r="Y89" s="277">
        <f>IFERROR(IF(X89="","",X89),"")</f>
        <v>84</v>
      </c>
      <c r="Z89" s="36">
        <f>IFERROR(IF(X89="","",X89*0.01788),"")</f>
        <v>1.5019199999999999</v>
      </c>
      <c r="AA89" s="56"/>
      <c r="AB89" s="57"/>
      <c r="AC89" s="128" t="s">
        <v>161</v>
      </c>
      <c r="AG89" s="67"/>
      <c r="AJ89" s="71" t="s">
        <v>103</v>
      </c>
      <c r="AK89" s="71">
        <v>14</v>
      </c>
      <c r="BB89" s="129" t="s">
        <v>104</v>
      </c>
      <c r="BM89" s="67">
        <f>IFERROR(X89*I89,"0")</f>
        <v>361.50240000000002</v>
      </c>
      <c r="BN89" s="67">
        <f>IFERROR(Y89*I89,"0")</f>
        <v>361.50240000000002</v>
      </c>
      <c r="BO89" s="67">
        <f>IFERROR(X89/J89,"0")</f>
        <v>1.2</v>
      </c>
      <c r="BP89" s="67">
        <f>IFERROR(Y89/J89,"0")</f>
        <v>1.2</v>
      </c>
    </row>
    <row r="90" spans="1:68" x14ac:dyDescent="0.2">
      <c r="A90" s="285"/>
      <c r="B90" s="286"/>
      <c r="C90" s="286"/>
      <c r="D90" s="286"/>
      <c r="E90" s="286"/>
      <c r="F90" s="286"/>
      <c r="G90" s="286"/>
      <c r="H90" s="286"/>
      <c r="I90" s="286"/>
      <c r="J90" s="286"/>
      <c r="K90" s="286"/>
      <c r="L90" s="286"/>
      <c r="M90" s="286"/>
      <c r="N90" s="286"/>
      <c r="O90" s="287"/>
      <c r="P90" s="298" t="s">
        <v>87</v>
      </c>
      <c r="Q90" s="299"/>
      <c r="R90" s="299"/>
      <c r="S90" s="299"/>
      <c r="T90" s="299"/>
      <c r="U90" s="299"/>
      <c r="V90" s="300"/>
      <c r="W90" s="37" t="s">
        <v>68</v>
      </c>
      <c r="X90" s="278">
        <f>IFERROR(SUM(X88:X89),"0")</f>
        <v>112</v>
      </c>
      <c r="Y90" s="278">
        <f>IFERROR(SUM(Y88:Y89),"0")</f>
        <v>112</v>
      </c>
      <c r="Z90" s="278">
        <f>IFERROR(IF(Z88="",0,Z88),"0")+IFERROR(IF(Z89="",0,Z89),"0")</f>
        <v>2.0025599999999999</v>
      </c>
      <c r="AA90" s="279"/>
      <c r="AB90" s="279"/>
      <c r="AC90" s="279"/>
    </row>
    <row r="91" spans="1:68" x14ac:dyDescent="0.2">
      <c r="A91" s="286"/>
      <c r="B91" s="286"/>
      <c r="C91" s="286"/>
      <c r="D91" s="286"/>
      <c r="E91" s="286"/>
      <c r="F91" s="286"/>
      <c r="G91" s="286"/>
      <c r="H91" s="286"/>
      <c r="I91" s="286"/>
      <c r="J91" s="286"/>
      <c r="K91" s="286"/>
      <c r="L91" s="286"/>
      <c r="M91" s="286"/>
      <c r="N91" s="286"/>
      <c r="O91" s="287"/>
      <c r="P91" s="298" t="s">
        <v>87</v>
      </c>
      <c r="Q91" s="299"/>
      <c r="R91" s="299"/>
      <c r="S91" s="299"/>
      <c r="T91" s="299"/>
      <c r="U91" s="299"/>
      <c r="V91" s="300"/>
      <c r="W91" s="37" t="s">
        <v>88</v>
      </c>
      <c r="X91" s="278">
        <f>IFERROR(SUMPRODUCT(X88:X89*H88:H89),"0")</f>
        <v>403.20000000000005</v>
      </c>
      <c r="Y91" s="278">
        <f>IFERROR(SUMPRODUCT(Y88:Y89*H88:H89),"0")</f>
        <v>403.20000000000005</v>
      </c>
      <c r="Z91" s="37"/>
      <c r="AA91" s="279"/>
      <c r="AB91" s="279"/>
      <c r="AC91" s="279"/>
    </row>
    <row r="92" spans="1:68" ht="16.5" hidden="1" customHeight="1" x14ac:dyDescent="0.25">
      <c r="A92" s="304" t="s">
        <v>162</v>
      </c>
      <c r="B92" s="286"/>
      <c r="C92" s="286"/>
      <c r="D92" s="286"/>
      <c r="E92" s="286"/>
      <c r="F92" s="286"/>
      <c r="G92" s="286"/>
      <c r="H92" s="286"/>
      <c r="I92" s="286"/>
      <c r="J92" s="286"/>
      <c r="K92" s="286"/>
      <c r="L92" s="286"/>
      <c r="M92" s="286"/>
      <c r="N92" s="286"/>
      <c r="O92" s="286"/>
      <c r="P92" s="286"/>
      <c r="Q92" s="286"/>
      <c r="R92" s="286"/>
      <c r="S92" s="286"/>
      <c r="T92" s="286"/>
      <c r="U92" s="286"/>
      <c r="V92" s="286"/>
      <c r="W92" s="286"/>
      <c r="X92" s="286"/>
      <c r="Y92" s="286"/>
      <c r="Z92" s="286"/>
      <c r="AA92" s="271"/>
      <c r="AB92" s="271"/>
      <c r="AC92" s="271"/>
    </row>
    <row r="93" spans="1:68" ht="14.25" hidden="1" customHeight="1" x14ac:dyDescent="0.25">
      <c r="A93" s="288" t="s">
        <v>135</v>
      </c>
      <c r="B93" s="286"/>
      <c r="C93" s="286"/>
      <c r="D93" s="286"/>
      <c r="E93" s="286"/>
      <c r="F93" s="286"/>
      <c r="G93" s="286"/>
      <c r="H93" s="286"/>
      <c r="I93" s="286"/>
      <c r="J93" s="286"/>
      <c r="K93" s="286"/>
      <c r="L93" s="286"/>
      <c r="M93" s="286"/>
      <c r="N93" s="286"/>
      <c r="O93" s="286"/>
      <c r="P93" s="286"/>
      <c r="Q93" s="286"/>
      <c r="R93" s="286"/>
      <c r="S93" s="286"/>
      <c r="T93" s="286"/>
      <c r="U93" s="286"/>
      <c r="V93" s="286"/>
      <c r="W93" s="286"/>
      <c r="X93" s="286"/>
      <c r="Y93" s="286"/>
      <c r="Z93" s="286"/>
      <c r="AA93" s="272"/>
      <c r="AB93" s="272"/>
      <c r="AC93" s="272"/>
    </row>
    <row r="94" spans="1:68" ht="27" customHeight="1" x14ac:dyDescent="0.25">
      <c r="A94" s="54" t="s">
        <v>163</v>
      </c>
      <c r="B94" s="54" t="s">
        <v>164</v>
      </c>
      <c r="C94" s="31">
        <v>4301135763</v>
      </c>
      <c r="D94" s="280">
        <v>4620207491027</v>
      </c>
      <c r="E94" s="281"/>
      <c r="F94" s="275">
        <v>0.24</v>
      </c>
      <c r="G94" s="32">
        <v>12</v>
      </c>
      <c r="H94" s="275">
        <v>2.88</v>
      </c>
      <c r="I94" s="275">
        <v>3.5836000000000001</v>
      </c>
      <c r="J94" s="32">
        <v>70</v>
      </c>
      <c r="K94" s="32" t="s">
        <v>100</v>
      </c>
      <c r="L94" s="32" t="s">
        <v>101</v>
      </c>
      <c r="M94" s="33" t="s">
        <v>67</v>
      </c>
      <c r="N94" s="33"/>
      <c r="O94" s="32">
        <v>180</v>
      </c>
      <c r="P94" s="361" t="str">
        <f>HYPERLINK("https://abi.ru/products/Замороженные/Горячая штучка/Чебупели/Снеки/P004969/","Снеки «Готовые чебупели острые с мясом» Фикс.вес 0,24 ТМ «Горячая штучка»")</f>
        <v>Снеки «Готовые чебупели острые с мясом» Фикс.вес 0,24 ТМ «Горячая штучка»</v>
      </c>
      <c r="Q94" s="283"/>
      <c r="R94" s="283"/>
      <c r="S94" s="283"/>
      <c r="T94" s="284"/>
      <c r="U94" s="34"/>
      <c r="V94" s="34"/>
      <c r="W94" s="35" t="s">
        <v>68</v>
      </c>
      <c r="X94" s="276">
        <v>70</v>
      </c>
      <c r="Y94" s="277">
        <f t="shared" ref="Y94:Y99" si="6">IFERROR(IF(X94="","",X94),"")</f>
        <v>70</v>
      </c>
      <c r="Z94" s="36">
        <f t="shared" ref="Z94:Z99" si="7">IFERROR(IF(X94="","",X94*0.01788),"")</f>
        <v>1.2516</v>
      </c>
      <c r="AA94" s="56"/>
      <c r="AB94" s="57"/>
      <c r="AC94" s="130" t="s">
        <v>153</v>
      </c>
      <c r="AG94" s="67"/>
      <c r="AJ94" s="71" t="s">
        <v>103</v>
      </c>
      <c r="AK94" s="71">
        <v>14</v>
      </c>
      <c r="BB94" s="131" t="s">
        <v>104</v>
      </c>
      <c r="BM94" s="67">
        <f t="shared" ref="BM94:BM99" si="8">IFERROR(X94*I94,"0")</f>
        <v>250.852</v>
      </c>
      <c r="BN94" s="67">
        <f t="shared" ref="BN94:BN99" si="9">IFERROR(Y94*I94,"0")</f>
        <v>250.852</v>
      </c>
      <c r="BO94" s="67">
        <f t="shared" ref="BO94:BO99" si="10">IFERROR(X94/J94,"0")</f>
        <v>1</v>
      </c>
      <c r="BP94" s="67">
        <f t="shared" ref="BP94:BP99" si="11">IFERROR(Y94/J94,"0")</f>
        <v>1</v>
      </c>
    </row>
    <row r="95" spans="1:68" ht="27" customHeight="1" x14ac:dyDescent="0.25">
      <c r="A95" s="54" t="s">
        <v>165</v>
      </c>
      <c r="B95" s="54" t="s">
        <v>166</v>
      </c>
      <c r="C95" s="31">
        <v>4301135793</v>
      </c>
      <c r="D95" s="280">
        <v>4620207491003</v>
      </c>
      <c r="E95" s="281"/>
      <c r="F95" s="275">
        <v>0.24</v>
      </c>
      <c r="G95" s="32">
        <v>12</v>
      </c>
      <c r="H95" s="275">
        <v>2.88</v>
      </c>
      <c r="I95" s="275">
        <v>3.5836000000000001</v>
      </c>
      <c r="J95" s="32">
        <v>70</v>
      </c>
      <c r="K95" s="32" t="s">
        <v>100</v>
      </c>
      <c r="L95" s="32" t="s">
        <v>101</v>
      </c>
      <c r="M95" s="33" t="s">
        <v>67</v>
      </c>
      <c r="N95" s="33"/>
      <c r="O95" s="32">
        <v>180</v>
      </c>
      <c r="P95" s="365" t="str">
        <f>HYPERLINK("https://abi.ru/products/Замороженные/Горячая штучка/Чебупели/Снеки/P004971/","Снеки «Готовые чебупели с ветчиной и сыром» Фикс.вес 0,24 ТМ «Горячая штучка»")</f>
        <v>Снеки «Готовые чебупели с ветчиной и сыром» Фикс.вес 0,24 ТМ «Горячая штучка»</v>
      </c>
      <c r="Q95" s="283"/>
      <c r="R95" s="283"/>
      <c r="S95" s="283"/>
      <c r="T95" s="284"/>
      <c r="U95" s="34"/>
      <c r="V95" s="34"/>
      <c r="W95" s="35" t="s">
        <v>68</v>
      </c>
      <c r="X95" s="276">
        <v>154</v>
      </c>
      <c r="Y95" s="277">
        <f t="shared" si="6"/>
        <v>154</v>
      </c>
      <c r="Z95" s="36">
        <f t="shared" si="7"/>
        <v>2.75352</v>
      </c>
      <c r="AA95" s="56"/>
      <c r="AB95" s="57"/>
      <c r="AC95" s="132" t="s">
        <v>153</v>
      </c>
      <c r="AG95" s="67"/>
      <c r="AJ95" s="71" t="s">
        <v>103</v>
      </c>
      <c r="AK95" s="71">
        <v>14</v>
      </c>
      <c r="BB95" s="133" t="s">
        <v>104</v>
      </c>
      <c r="BM95" s="67">
        <f t="shared" si="8"/>
        <v>551.87440000000004</v>
      </c>
      <c r="BN95" s="67">
        <f t="shared" si="9"/>
        <v>551.87440000000004</v>
      </c>
      <c r="BO95" s="67">
        <f t="shared" si="10"/>
        <v>2.2000000000000002</v>
      </c>
      <c r="BP95" s="67">
        <f t="shared" si="11"/>
        <v>2.2000000000000002</v>
      </c>
    </row>
    <row r="96" spans="1:68" ht="27" customHeight="1" x14ac:dyDescent="0.25">
      <c r="A96" s="54" t="s">
        <v>167</v>
      </c>
      <c r="B96" s="54" t="s">
        <v>168</v>
      </c>
      <c r="C96" s="31">
        <v>4301135768</v>
      </c>
      <c r="D96" s="280">
        <v>4620207491034</v>
      </c>
      <c r="E96" s="281"/>
      <c r="F96" s="275">
        <v>0.24</v>
      </c>
      <c r="G96" s="32">
        <v>12</v>
      </c>
      <c r="H96" s="275">
        <v>2.88</v>
      </c>
      <c r="I96" s="275">
        <v>3.5836000000000001</v>
      </c>
      <c r="J96" s="32">
        <v>70</v>
      </c>
      <c r="K96" s="32" t="s">
        <v>100</v>
      </c>
      <c r="L96" s="32" t="s">
        <v>101</v>
      </c>
      <c r="M96" s="33" t="s">
        <v>67</v>
      </c>
      <c r="N96" s="33"/>
      <c r="O96" s="32">
        <v>180</v>
      </c>
      <c r="P96" s="396" t="str">
        <f>HYPERLINK("https://abi.ru/products/Замороженные/Горячая штучка/Чебупели/Снеки/P004974/","Снеки «Готовые чебупели с мясом» Фикс.вес 0,24 ТМ «Горячая штучка»")</f>
        <v>Снеки «Готовые чебупели с мясом» Фикс.вес 0,24 ТМ «Горячая штучка»</v>
      </c>
      <c r="Q96" s="283"/>
      <c r="R96" s="283"/>
      <c r="S96" s="283"/>
      <c r="T96" s="284"/>
      <c r="U96" s="34"/>
      <c r="V96" s="34"/>
      <c r="W96" s="35" t="s">
        <v>68</v>
      </c>
      <c r="X96" s="276">
        <v>70</v>
      </c>
      <c r="Y96" s="277">
        <f t="shared" si="6"/>
        <v>70</v>
      </c>
      <c r="Z96" s="36">
        <f t="shared" si="7"/>
        <v>1.2516</v>
      </c>
      <c r="AA96" s="56"/>
      <c r="AB96" s="57"/>
      <c r="AC96" s="134" t="s">
        <v>169</v>
      </c>
      <c r="AG96" s="67"/>
      <c r="AJ96" s="71" t="s">
        <v>103</v>
      </c>
      <c r="AK96" s="71">
        <v>14</v>
      </c>
      <c r="BB96" s="135" t="s">
        <v>104</v>
      </c>
      <c r="BM96" s="67">
        <f t="shared" si="8"/>
        <v>250.852</v>
      </c>
      <c r="BN96" s="67">
        <f t="shared" si="9"/>
        <v>250.852</v>
      </c>
      <c r="BO96" s="67">
        <f t="shared" si="10"/>
        <v>1</v>
      </c>
      <c r="BP96" s="67">
        <f t="shared" si="11"/>
        <v>1</v>
      </c>
    </row>
    <row r="97" spans="1:68" ht="27" customHeight="1" x14ac:dyDescent="0.25">
      <c r="A97" s="54" t="s">
        <v>170</v>
      </c>
      <c r="B97" s="54" t="s">
        <v>171</v>
      </c>
      <c r="C97" s="31">
        <v>4301135760</v>
      </c>
      <c r="D97" s="280">
        <v>4620207491010</v>
      </c>
      <c r="E97" s="281"/>
      <c r="F97" s="275">
        <v>0.24</v>
      </c>
      <c r="G97" s="32">
        <v>12</v>
      </c>
      <c r="H97" s="275">
        <v>2.88</v>
      </c>
      <c r="I97" s="275">
        <v>3.5836000000000001</v>
      </c>
      <c r="J97" s="32">
        <v>70</v>
      </c>
      <c r="K97" s="32" t="s">
        <v>100</v>
      </c>
      <c r="L97" s="32" t="s">
        <v>101</v>
      </c>
      <c r="M97" s="33" t="s">
        <v>67</v>
      </c>
      <c r="N97" s="33"/>
      <c r="O97" s="32">
        <v>180</v>
      </c>
      <c r="P97" s="323" t="str">
        <f>HYPERLINK("https://abi.ru/products/Замороженные/Горячая штучка/Чебупели/Снеки/P004966/","Снеки «Готовые чебупели сочные с мясом» Фикс.вес 0,24 ТМ «Горячая штучка»")</f>
        <v>Снеки «Готовые чебупели сочные с мясом» Фикс.вес 0,24 ТМ «Горячая штучка»</v>
      </c>
      <c r="Q97" s="283"/>
      <c r="R97" s="283"/>
      <c r="S97" s="283"/>
      <c r="T97" s="284"/>
      <c r="U97" s="34"/>
      <c r="V97" s="34"/>
      <c r="W97" s="35" t="s">
        <v>68</v>
      </c>
      <c r="X97" s="276">
        <v>112</v>
      </c>
      <c r="Y97" s="277">
        <f t="shared" si="6"/>
        <v>112</v>
      </c>
      <c r="Z97" s="36">
        <f t="shared" si="7"/>
        <v>2.0025599999999999</v>
      </c>
      <c r="AA97" s="56"/>
      <c r="AB97" s="57"/>
      <c r="AC97" s="136" t="s">
        <v>153</v>
      </c>
      <c r="AG97" s="67"/>
      <c r="AJ97" s="71" t="s">
        <v>103</v>
      </c>
      <c r="AK97" s="71">
        <v>14</v>
      </c>
      <c r="BB97" s="137" t="s">
        <v>104</v>
      </c>
      <c r="BM97" s="67">
        <f t="shared" si="8"/>
        <v>401.36320000000001</v>
      </c>
      <c r="BN97" s="67">
        <f t="shared" si="9"/>
        <v>401.36320000000001</v>
      </c>
      <c r="BO97" s="67">
        <f t="shared" si="10"/>
        <v>1.6</v>
      </c>
      <c r="BP97" s="67">
        <f t="shared" si="11"/>
        <v>1.6</v>
      </c>
    </row>
    <row r="98" spans="1:68" ht="27" hidden="1" customHeight="1" x14ac:dyDescent="0.25">
      <c r="A98" s="54" t="s">
        <v>172</v>
      </c>
      <c r="B98" s="54" t="s">
        <v>173</v>
      </c>
      <c r="C98" s="31">
        <v>4301135571</v>
      </c>
      <c r="D98" s="280">
        <v>4607111035028</v>
      </c>
      <c r="E98" s="281"/>
      <c r="F98" s="275">
        <v>0.48</v>
      </c>
      <c r="G98" s="32">
        <v>8</v>
      </c>
      <c r="H98" s="275">
        <v>3.84</v>
      </c>
      <c r="I98" s="275">
        <v>4.4488000000000003</v>
      </c>
      <c r="J98" s="32">
        <v>70</v>
      </c>
      <c r="K98" s="32" t="s">
        <v>100</v>
      </c>
      <c r="L98" s="32" t="s">
        <v>101</v>
      </c>
      <c r="M98" s="33" t="s">
        <v>67</v>
      </c>
      <c r="N98" s="33"/>
      <c r="O98" s="32">
        <v>180</v>
      </c>
      <c r="P98" s="433" t="str">
        <f>HYPERLINK("https://abi.ru/products/Замороженные/Горячая штучка/Чебупели/Снеки/P004595/","Снеки «Готовые чебупели сочные с мясом» Фикс.вес 0,48 ТМ «Горячая штучка»")</f>
        <v>Снеки «Готовые чебупели сочные с мясом» Фикс.вес 0,48 ТМ «Горячая штучка»</v>
      </c>
      <c r="Q98" s="283"/>
      <c r="R98" s="283"/>
      <c r="S98" s="283"/>
      <c r="T98" s="284"/>
      <c r="U98" s="34"/>
      <c r="V98" s="34"/>
      <c r="W98" s="35" t="s">
        <v>68</v>
      </c>
      <c r="X98" s="276">
        <v>0</v>
      </c>
      <c r="Y98" s="277">
        <f t="shared" si="6"/>
        <v>0</v>
      </c>
      <c r="Z98" s="36">
        <f t="shared" si="7"/>
        <v>0</v>
      </c>
      <c r="AA98" s="56"/>
      <c r="AB98" s="57"/>
      <c r="AC98" s="138" t="s">
        <v>153</v>
      </c>
      <c r="AG98" s="67"/>
      <c r="AJ98" s="71" t="s">
        <v>103</v>
      </c>
      <c r="AK98" s="71">
        <v>14</v>
      </c>
      <c r="BB98" s="139" t="s">
        <v>104</v>
      </c>
      <c r="BM98" s="67">
        <f t="shared" si="8"/>
        <v>0</v>
      </c>
      <c r="BN98" s="67">
        <f t="shared" si="9"/>
        <v>0</v>
      </c>
      <c r="BO98" s="67">
        <f t="shared" si="10"/>
        <v>0</v>
      </c>
      <c r="BP98" s="67">
        <f t="shared" si="11"/>
        <v>0</v>
      </c>
    </row>
    <row r="99" spans="1:68" ht="27" hidden="1" customHeight="1" x14ac:dyDescent="0.25">
      <c r="A99" s="54" t="s">
        <v>174</v>
      </c>
      <c r="B99" s="54" t="s">
        <v>175</v>
      </c>
      <c r="C99" s="31">
        <v>4301135285</v>
      </c>
      <c r="D99" s="280">
        <v>4607111036407</v>
      </c>
      <c r="E99" s="281"/>
      <c r="F99" s="275">
        <v>0.3</v>
      </c>
      <c r="G99" s="32">
        <v>14</v>
      </c>
      <c r="H99" s="275">
        <v>4.2</v>
      </c>
      <c r="I99" s="275">
        <v>4.5292000000000003</v>
      </c>
      <c r="J99" s="32">
        <v>70</v>
      </c>
      <c r="K99" s="32" t="s">
        <v>100</v>
      </c>
      <c r="L99" s="32" t="s">
        <v>66</v>
      </c>
      <c r="M99" s="33" t="s">
        <v>67</v>
      </c>
      <c r="N99" s="33"/>
      <c r="O99" s="32">
        <v>180</v>
      </c>
      <c r="P99" s="292" t="str">
        <f>HYPERLINK("https://abi.ru/products/Замороженные/Горячая штучка/Чебупели/Снеки/P004113/","Чебупели Курочка гриль Базовый ассортимент Фикс.вес 0,3 Пакет Горячая штучка")</f>
        <v>Чебупели Курочка гриль Базовый ассортимент Фикс.вес 0,3 Пакет Горячая штучка</v>
      </c>
      <c r="Q99" s="283"/>
      <c r="R99" s="283"/>
      <c r="S99" s="283"/>
      <c r="T99" s="284"/>
      <c r="U99" s="34"/>
      <c r="V99" s="34"/>
      <c r="W99" s="35" t="s">
        <v>68</v>
      </c>
      <c r="X99" s="276">
        <v>0</v>
      </c>
      <c r="Y99" s="277">
        <f t="shared" si="6"/>
        <v>0</v>
      </c>
      <c r="Z99" s="36">
        <f t="shared" si="7"/>
        <v>0</v>
      </c>
      <c r="AA99" s="56"/>
      <c r="AB99" s="57"/>
      <c r="AC99" s="140" t="s">
        <v>176</v>
      </c>
      <c r="AG99" s="67"/>
      <c r="AJ99" s="71" t="s">
        <v>70</v>
      </c>
      <c r="AK99" s="71">
        <v>1</v>
      </c>
      <c r="BB99" s="141" t="s">
        <v>104</v>
      </c>
      <c r="BM99" s="67">
        <f t="shared" si="8"/>
        <v>0</v>
      </c>
      <c r="BN99" s="67">
        <f t="shared" si="9"/>
        <v>0</v>
      </c>
      <c r="BO99" s="67">
        <f t="shared" si="10"/>
        <v>0</v>
      </c>
      <c r="BP99" s="67">
        <f t="shared" si="11"/>
        <v>0</v>
      </c>
    </row>
    <row r="100" spans="1:68" x14ac:dyDescent="0.2">
      <c r="A100" s="285"/>
      <c r="B100" s="286"/>
      <c r="C100" s="286"/>
      <c r="D100" s="286"/>
      <c r="E100" s="286"/>
      <c r="F100" s="286"/>
      <c r="G100" s="286"/>
      <c r="H100" s="286"/>
      <c r="I100" s="286"/>
      <c r="J100" s="286"/>
      <c r="K100" s="286"/>
      <c r="L100" s="286"/>
      <c r="M100" s="286"/>
      <c r="N100" s="286"/>
      <c r="O100" s="287"/>
      <c r="P100" s="298" t="s">
        <v>87</v>
      </c>
      <c r="Q100" s="299"/>
      <c r="R100" s="299"/>
      <c r="S100" s="299"/>
      <c r="T100" s="299"/>
      <c r="U100" s="299"/>
      <c r="V100" s="300"/>
      <c r="W100" s="37" t="s">
        <v>68</v>
      </c>
      <c r="X100" s="278">
        <f>IFERROR(SUM(X94:X99),"0")</f>
        <v>406</v>
      </c>
      <c r="Y100" s="278">
        <f>IFERROR(SUM(Y94:Y99),"0")</f>
        <v>406</v>
      </c>
      <c r="Z100" s="278">
        <f>IFERROR(IF(Z94="",0,Z94),"0")+IFERROR(IF(Z95="",0,Z95),"0")+IFERROR(IF(Z96="",0,Z96),"0")+IFERROR(IF(Z97="",0,Z97),"0")+IFERROR(IF(Z98="",0,Z98),"0")+IFERROR(IF(Z99="",0,Z99),"0")</f>
        <v>7.2592799999999995</v>
      </c>
      <c r="AA100" s="279"/>
      <c r="AB100" s="279"/>
      <c r="AC100" s="279"/>
    </row>
    <row r="101" spans="1:68" x14ac:dyDescent="0.2">
      <c r="A101" s="286"/>
      <c r="B101" s="286"/>
      <c r="C101" s="286"/>
      <c r="D101" s="286"/>
      <c r="E101" s="286"/>
      <c r="F101" s="286"/>
      <c r="G101" s="286"/>
      <c r="H101" s="286"/>
      <c r="I101" s="286"/>
      <c r="J101" s="286"/>
      <c r="K101" s="286"/>
      <c r="L101" s="286"/>
      <c r="M101" s="286"/>
      <c r="N101" s="286"/>
      <c r="O101" s="287"/>
      <c r="P101" s="298" t="s">
        <v>87</v>
      </c>
      <c r="Q101" s="299"/>
      <c r="R101" s="299"/>
      <c r="S101" s="299"/>
      <c r="T101" s="299"/>
      <c r="U101" s="299"/>
      <c r="V101" s="300"/>
      <c r="W101" s="37" t="s">
        <v>88</v>
      </c>
      <c r="X101" s="278">
        <f>IFERROR(SUMPRODUCT(X94:X99*H94:H99),"0")</f>
        <v>1169.28</v>
      </c>
      <c r="Y101" s="278">
        <f>IFERROR(SUMPRODUCT(Y94:Y99*H94:H99),"0")</f>
        <v>1169.28</v>
      </c>
      <c r="Z101" s="37"/>
      <c r="AA101" s="279"/>
      <c r="AB101" s="279"/>
      <c r="AC101" s="279"/>
    </row>
    <row r="102" spans="1:68" ht="16.5" hidden="1" customHeight="1" x14ac:dyDescent="0.25">
      <c r="A102" s="304" t="s">
        <v>177</v>
      </c>
      <c r="B102" s="286"/>
      <c r="C102" s="286"/>
      <c r="D102" s="286"/>
      <c r="E102" s="286"/>
      <c r="F102" s="286"/>
      <c r="G102" s="286"/>
      <c r="H102" s="286"/>
      <c r="I102" s="286"/>
      <c r="J102" s="286"/>
      <c r="K102" s="286"/>
      <c r="L102" s="286"/>
      <c r="M102" s="286"/>
      <c r="N102" s="286"/>
      <c r="O102" s="286"/>
      <c r="P102" s="286"/>
      <c r="Q102" s="286"/>
      <c r="R102" s="286"/>
      <c r="S102" s="286"/>
      <c r="T102" s="286"/>
      <c r="U102" s="286"/>
      <c r="V102" s="286"/>
      <c r="W102" s="286"/>
      <c r="X102" s="286"/>
      <c r="Y102" s="286"/>
      <c r="Z102" s="286"/>
      <c r="AA102" s="271"/>
      <c r="AB102" s="271"/>
      <c r="AC102" s="271"/>
    </row>
    <row r="103" spans="1:68" ht="14.25" hidden="1" customHeight="1" x14ac:dyDescent="0.25">
      <c r="A103" s="288" t="s">
        <v>129</v>
      </c>
      <c r="B103" s="286"/>
      <c r="C103" s="286"/>
      <c r="D103" s="286"/>
      <c r="E103" s="286"/>
      <c r="F103" s="286"/>
      <c r="G103" s="286"/>
      <c r="H103" s="286"/>
      <c r="I103" s="286"/>
      <c r="J103" s="286"/>
      <c r="K103" s="286"/>
      <c r="L103" s="286"/>
      <c r="M103" s="286"/>
      <c r="N103" s="286"/>
      <c r="O103" s="286"/>
      <c r="P103" s="286"/>
      <c r="Q103" s="286"/>
      <c r="R103" s="286"/>
      <c r="S103" s="286"/>
      <c r="T103" s="286"/>
      <c r="U103" s="286"/>
      <c r="V103" s="286"/>
      <c r="W103" s="286"/>
      <c r="X103" s="286"/>
      <c r="Y103" s="286"/>
      <c r="Z103" s="286"/>
      <c r="AA103" s="272"/>
      <c r="AB103" s="272"/>
      <c r="AC103" s="272"/>
    </row>
    <row r="104" spans="1:68" ht="27" hidden="1" customHeight="1" x14ac:dyDescent="0.25">
      <c r="A104" s="54" t="s">
        <v>178</v>
      </c>
      <c r="B104" s="54" t="s">
        <v>179</v>
      </c>
      <c r="C104" s="31">
        <v>4301136070</v>
      </c>
      <c r="D104" s="280">
        <v>4607025784012</v>
      </c>
      <c r="E104" s="281"/>
      <c r="F104" s="275">
        <v>0.09</v>
      </c>
      <c r="G104" s="32">
        <v>24</v>
      </c>
      <c r="H104" s="275">
        <v>2.16</v>
      </c>
      <c r="I104" s="275">
        <v>2.4912000000000001</v>
      </c>
      <c r="J104" s="32">
        <v>126</v>
      </c>
      <c r="K104" s="32" t="s">
        <v>100</v>
      </c>
      <c r="L104" s="32" t="s">
        <v>101</v>
      </c>
      <c r="M104" s="33" t="s">
        <v>67</v>
      </c>
      <c r="N104" s="33"/>
      <c r="O104" s="32">
        <v>180</v>
      </c>
      <c r="P104" s="314" t="str">
        <f>HYPERLINK("https://abi.ru/products/Замороженные/Горячая штучка/Чебуреки ГШ/Чебуреки/P004138/","Чебуреки с мясом Базовый ассортимент Штучка 0,09 Пленка Горячая штучка")</f>
        <v>Чебуреки с мясом Базовый ассортимент Штучка 0,09 Пленка Горячая штучка</v>
      </c>
      <c r="Q104" s="283"/>
      <c r="R104" s="283"/>
      <c r="S104" s="283"/>
      <c r="T104" s="284"/>
      <c r="U104" s="34"/>
      <c r="V104" s="34"/>
      <c r="W104" s="35" t="s">
        <v>68</v>
      </c>
      <c r="X104" s="276">
        <v>0</v>
      </c>
      <c r="Y104" s="277">
        <f>IFERROR(IF(X104="","",X104),"")</f>
        <v>0</v>
      </c>
      <c r="Z104" s="36">
        <f>IFERROR(IF(X104="","",X104*0.00936),"")</f>
        <v>0</v>
      </c>
      <c r="AA104" s="56"/>
      <c r="AB104" s="57"/>
      <c r="AC104" s="142" t="s">
        <v>180</v>
      </c>
      <c r="AG104" s="67"/>
      <c r="AJ104" s="71" t="s">
        <v>103</v>
      </c>
      <c r="AK104" s="71">
        <v>14</v>
      </c>
      <c r="BB104" s="143" t="s">
        <v>104</v>
      </c>
      <c r="BM104" s="67">
        <f>IFERROR(X104*I104,"0")</f>
        <v>0</v>
      </c>
      <c r="BN104" s="67">
        <f>IFERROR(Y104*I104,"0")</f>
        <v>0</v>
      </c>
      <c r="BO104" s="67">
        <f>IFERROR(X104/J104,"0")</f>
        <v>0</v>
      </c>
      <c r="BP104" s="67">
        <f>IFERROR(Y104/J104,"0")</f>
        <v>0</v>
      </c>
    </row>
    <row r="105" spans="1:68" ht="27" customHeight="1" x14ac:dyDescent="0.25">
      <c r="A105" s="54" t="s">
        <v>181</v>
      </c>
      <c r="B105" s="54" t="s">
        <v>182</v>
      </c>
      <c r="C105" s="31">
        <v>4301136079</v>
      </c>
      <c r="D105" s="280">
        <v>4607025784319</v>
      </c>
      <c r="E105" s="281"/>
      <c r="F105" s="275">
        <v>0.36</v>
      </c>
      <c r="G105" s="32">
        <v>10</v>
      </c>
      <c r="H105" s="275">
        <v>3.6</v>
      </c>
      <c r="I105" s="275">
        <v>4.2439999999999998</v>
      </c>
      <c r="J105" s="32">
        <v>70</v>
      </c>
      <c r="K105" s="32" t="s">
        <v>100</v>
      </c>
      <c r="L105" s="32" t="s">
        <v>101</v>
      </c>
      <c r="M105" s="33" t="s">
        <v>67</v>
      </c>
      <c r="N105" s="33"/>
      <c r="O105" s="32">
        <v>180</v>
      </c>
      <c r="P105" s="468" t="str">
        <f>HYPERLINK("https://abi.ru/products/Замороженные/Горячая штучка/Чебуреки ГШ/Чебуреки/P004583/","Чебуреки «Чебуреки со свининой и говядиной» Фикс.вес 0,36 Пакет ТМ «Горячая штучка»")</f>
        <v>Чебуреки «Чебуреки со свининой и говядиной» Фикс.вес 0,36 Пакет ТМ «Горячая штучка»</v>
      </c>
      <c r="Q105" s="283"/>
      <c r="R105" s="283"/>
      <c r="S105" s="283"/>
      <c r="T105" s="284"/>
      <c r="U105" s="34"/>
      <c r="V105" s="34"/>
      <c r="W105" s="35" t="s">
        <v>68</v>
      </c>
      <c r="X105" s="276">
        <v>28</v>
      </c>
      <c r="Y105" s="277">
        <f>IFERROR(IF(X105="","",X105),"")</f>
        <v>28</v>
      </c>
      <c r="Z105" s="36">
        <f>IFERROR(IF(X105="","",X105*0.01788),"")</f>
        <v>0.50063999999999997</v>
      </c>
      <c r="AA105" s="56"/>
      <c r="AB105" s="57"/>
      <c r="AC105" s="144" t="s">
        <v>153</v>
      </c>
      <c r="AG105" s="67"/>
      <c r="AJ105" s="71" t="s">
        <v>103</v>
      </c>
      <c r="AK105" s="71">
        <v>14</v>
      </c>
      <c r="BB105" s="145" t="s">
        <v>104</v>
      </c>
      <c r="BM105" s="67">
        <f>IFERROR(X105*I105,"0")</f>
        <v>118.83199999999999</v>
      </c>
      <c r="BN105" s="67">
        <f>IFERROR(Y105*I105,"0")</f>
        <v>118.83199999999999</v>
      </c>
      <c r="BO105" s="67">
        <f>IFERROR(X105/J105,"0")</f>
        <v>0.4</v>
      </c>
      <c r="BP105" s="67">
        <f>IFERROR(Y105/J105,"0")</f>
        <v>0.4</v>
      </c>
    </row>
    <row r="106" spans="1:68" x14ac:dyDescent="0.2">
      <c r="A106" s="285"/>
      <c r="B106" s="286"/>
      <c r="C106" s="286"/>
      <c r="D106" s="286"/>
      <c r="E106" s="286"/>
      <c r="F106" s="286"/>
      <c r="G106" s="286"/>
      <c r="H106" s="286"/>
      <c r="I106" s="286"/>
      <c r="J106" s="286"/>
      <c r="K106" s="286"/>
      <c r="L106" s="286"/>
      <c r="M106" s="286"/>
      <c r="N106" s="286"/>
      <c r="O106" s="287"/>
      <c r="P106" s="298" t="s">
        <v>87</v>
      </c>
      <c r="Q106" s="299"/>
      <c r="R106" s="299"/>
      <c r="S106" s="299"/>
      <c r="T106" s="299"/>
      <c r="U106" s="299"/>
      <c r="V106" s="300"/>
      <c r="W106" s="37" t="s">
        <v>68</v>
      </c>
      <c r="X106" s="278">
        <f>IFERROR(SUM(X104:X105),"0")</f>
        <v>28</v>
      </c>
      <c r="Y106" s="278">
        <f>IFERROR(SUM(Y104:Y105),"0")</f>
        <v>28</v>
      </c>
      <c r="Z106" s="278">
        <f>IFERROR(IF(Z104="",0,Z104),"0")+IFERROR(IF(Z105="",0,Z105),"0")</f>
        <v>0.50063999999999997</v>
      </c>
      <c r="AA106" s="279"/>
      <c r="AB106" s="279"/>
      <c r="AC106" s="279"/>
    </row>
    <row r="107" spans="1:68" x14ac:dyDescent="0.2">
      <c r="A107" s="286"/>
      <c r="B107" s="286"/>
      <c r="C107" s="286"/>
      <c r="D107" s="286"/>
      <c r="E107" s="286"/>
      <c r="F107" s="286"/>
      <c r="G107" s="286"/>
      <c r="H107" s="286"/>
      <c r="I107" s="286"/>
      <c r="J107" s="286"/>
      <c r="K107" s="286"/>
      <c r="L107" s="286"/>
      <c r="M107" s="286"/>
      <c r="N107" s="286"/>
      <c r="O107" s="287"/>
      <c r="P107" s="298" t="s">
        <v>87</v>
      </c>
      <c r="Q107" s="299"/>
      <c r="R107" s="299"/>
      <c r="S107" s="299"/>
      <c r="T107" s="299"/>
      <c r="U107" s="299"/>
      <c r="V107" s="300"/>
      <c r="W107" s="37" t="s">
        <v>88</v>
      </c>
      <c r="X107" s="278">
        <f>IFERROR(SUMPRODUCT(X104:X105*H104:H105),"0")</f>
        <v>100.8</v>
      </c>
      <c r="Y107" s="278">
        <f>IFERROR(SUMPRODUCT(Y104:Y105*H104:H105),"0")</f>
        <v>100.8</v>
      </c>
      <c r="Z107" s="37"/>
      <c r="AA107" s="279"/>
      <c r="AB107" s="279"/>
      <c r="AC107" s="279"/>
    </row>
    <row r="108" spans="1:68" ht="16.5" hidden="1" customHeight="1" x14ac:dyDescent="0.25">
      <c r="A108" s="304" t="s">
        <v>183</v>
      </c>
      <c r="B108" s="286"/>
      <c r="C108" s="286"/>
      <c r="D108" s="286"/>
      <c r="E108" s="286"/>
      <c r="F108" s="286"/>
      <c r="G108" s="286"/>
      <c r="H108" s="286"/>
      <c r="I108" s="286"/>
      <c r="J108" s="286"/>
      <c r="K108" s="286"/>
      <c r="L108" s="286"/>
      <c r="M108" s="286"/>
      <c r="N108" s="286"/>
      <c r="O108" s="286"/>
      <c r="P108" s="286"/>
      <c r="Q108" s="286"/>
      <c r="R108" s="286"/>
      <c r="S108" s="286"/>
      <c r="T108" s="286"/>
      <c r="U108" s="286"/>
      <c r="V108" s="286"/>
      <c r="W108" s="286"/>
      <c r="X108" s="286"/>
      <c r="Y108" s="286"/>
      <c r="Z108" s="286"/>
      <c r="AA108" s="271"/>
      <c r="AB108" s="271"/>
      <c r="AC108" s="271"/>
    </row>
    <row r="109" spans="1:68" ht="14.25" hidden="1" customHeight="1" x14ac:dyDescent="0.25">
      <c r="A109" s="288" t="s">
        <v>62</v>
      </c>
      <c r="B109" s="286"/>
      <c r="C109" s="286"/>
      <c r="D109" s="286"/>
      <c r="E109" s="286"/>
      <c r="F109" s="286"/>
      <c r="G109" s="286"/>
      <c r="H109" s="286"/>
      <c r="I109" s="286"/>
      <c r="J109" s="286"/>
      <c r="K109" s="286"/>
      <c r="L109" s="286"/>
      <c r="M109" s="286"/>
      <c r="N109" s="286"/>
      <c r="O109" s="286"/>
      <c r="P109" s="286"/>
      <c r="Q109" s="286"/>
      <c r="R109" s="286"/>
      <c r="S109" s="286"/>
      <c r="T109" s="286"/>
      <c r="U109" s="286"/>
      <c r="V109" s="286"/>
      <c r="W109" s="286"/>
      <c r="X109" s="286"/>
      <c r="Y109" s="286"/>
      <c r="Z109" s="286"/>
      <c r="AA109" s="272"/>
      <c r="AB109" s="272"/>
      <c r="AC109" s="272"/>
    </row>
    <row r="110" spans="1:68" ht="27" hidden="1" customHeight="1" x14ac:dyDescent="0.25">
      <c r="A110" s="54" t="s">
        <v>184</v>
      </c>
      <c r="B110" s="54" t="s">
        <v>185</v>
      </c>
      <c r="C110" s="31">
        <v>4301071074</v>
      </c>
      <c r="D110" s="280">
        <v>4620207491157</v>
      </c>
      <c r="E110" s="281"/>
      <c r="F110" s="275">
        <v>0.7</v>
      </c>
      <c r="G110" s="32">
        <v>10</v>
      </c>
      <c r="H110" s="275">
        <v>7</v>
      </c>
      <c r="I110" s="275">
        <v>7.28</v>
      </c>
      <c r="J110" s="32">
        <v>84</v>
      </c>
      <c r="K110" s="32" t="s">
        <v>65</v>
      </c>
      <c r="L110" s="32" t="s">
        <v>101</v>
      </c>
      <c r="M110" s="33" t="s">
        <v>67</v>
      </c>
      <c r="N110" s="33"/>
      <c r="O110" s="32">
        <v>180</v>
      </c>
      <c r="P110" s="448" t="str">
        <f>HYPERLINK("https://abi.ru/products/Замороженные/Горячая штучка/Бульмени ГШ/Пельмени/P004819/","Пельмени «Бульмени мини с мясом и оливковым маслом» Фикс.вес 0,7 сфера ТМ «Горячая штучка»")</f>
        <v>Пельмени «Бульмени мини с мясом и оливковым маслом» Фикс.вес 0,7 сфера ТМ «Горячая штучка»</v>
      </c>
      <c r="Q110" s="283"/>
      <c r="R110" s="283"/>
      <c r="S110" s="283"/>
      <c r="T110" s="284"/>
      <c r="U110" s="34"/>
      <c r="V110" s="34"/>
      <c r="W110" s="35" t="s">
        <v>68</v>
      </c>
      <c r="X110" s="276">
        <v>0</v>
      </c>
      <c r="Y110" s="277">
        <f t="shared" ref="Y110:Y116" si="12">IFERROR(IF(X110="","",X110),"")</f>
        <v>0</v>
      </c>
      <c r="Z110" s="36">
        <f t="shared" ref="Z110:Z116" si="13">IFERROR(IF(X110="","",X110*0.0155),"")</f>
        <v>0</v>
      </c>
      <c r="AA110" s="56"/>
      <c r="AB110" s="57"/>
      <c r="AC110" s="146" t="s">
        <v>186</v>
      </c>
      <c r="AG110" s="67"/>
      <c r="AJ110" s="71" t="s">
        <v>103</v>
      </c>
      <c r="AK110" s="71">
        <v>12</v>
      </c>
      <c r="BB110" s="147" t="s">
        <v>1</v>
      </c>
      <c r="BM110" s="67">
        <f t="shared" ref="BM110:BM116" si="14">IFERROR(X110*I110,"0")</f>
        <v>0</v>
      </c>
      <c r="BN110" s="67">
        <f t="shared" ref="BN110:BN116" si="15">IFERROR(Y110*I110,"0")</f>
        <v>0</v>
      </c>
      <c r="BO110" s="67">
        <f t="shared" ref="BO110:BO116" si="16">IFERROR(X110/J110,"0")</f>
        <v>0</v>
      </c>
      <c r="BP110" s="67">
        <f t="shared" ref="BP110:BP116" si="17">IFERROR(Y110/J110,"0")</f>
        <v>0</v>
      </c>
    </row>
    <row r="111" spans="1:68" ht="27" hidden="1" customHeight="1" x14ac:dyDescent="0.25">
      <c r="A111" s="54" t="s">
        <v>187</v>
      </c>
      <c r="B111" s="54" t="s">
        <v>188</v>
      </c>
      <c r="C111" s="31">
        <v>4301071121</v>
      </c>
      <c r="D111" s="280">
        <v>4620207491393</v>
      </c>
      <c r="E111" s="281"/>
      <c r="F111" s="275">
        <v>0.4</v>
      </c>
      <c r="G111" s="32">
        <v>16</v>
      </c>
      <c r="H111" s="275">
        <v>6.4</v>
      </c>
      <c r="I111" s="275">
        <v>6.71</v>
      </c>
      <c r="J111" s="32">
        <v>84</v>
      </c>
      <c r="K111" s="32" t="s">
        <v>65</v>
      </c>
      <c r="L111" s="32" t="s">
        <v>66</v>
      </c>
      <c r="M111" s="33" t="s">
        <v>67</v>
      </c>
      <c r="N111" s="33"/>
      <c r="O111" s="32">
        <v>180</v>
      </c>
      <c r="P111" s="415" t="str">
        <f>HYPERLINK("https://abi.ru/products/Замороженные/Горячая штучка/Бульмени ГШ/Пельмени/P005209/","Пельмени «Бульмени мини с мясом и сыром» Фикс.вес 0,4 сфера ТМ «Горячая штучка»")</f>
        <v>Пельмени «Бульмени мини с мясом и сыром» Фикс.вес 0,4 сфера ТМ «Горячая штучка»</v>
      </c>
      <c r="Q111" s="283"/>
      <c r="R111" s="283"/>
      <c r="S111" s="283"/>
      <c r="T111" s="284"/>
      <c r="U111" s="34"/>
      <c r="V111" s="34"/>
      <c r="W111" s="35" t="s">
        <v>68</v>
      </c>
      <c r="X111" s="276">
        <v>0</v>
      </c>
      <c r="Y111" s="277">
        <f t="shared" si="12"/>
        <v>0</v>
      </c>
      <c r="Z111" s="36">
        <f t="shared" si="13"/>
        <v>0</v>
      </c>
      <c r="AA111" s="56"/>
      <c r="AB111" s="57"/>
      <c r="AC111" s="148" t="s">
        <v>189</v>
      </c>
      <c r="AG111" s="67"/>
      <c r="AJ111" s="71" t="s">
        <v>70</v>
      </c>
      <c r="AK111" s="71">
        <v>1</v>
      </c>
      <c r="BB111" s="149" t="s">
        <v>1</v>
      </c>
      <c r="BM111" s="67">
        <f t="shared" si="14"/>
        <v>0</v>
      </c>
      <c r="BN111" s="67">
        <f t="shared" si="15"/>
        <v>0</v>
      </c>
      <c r="BO111" s="67">
        <f t="shared" si="16"/>
        <v>0</v>
      </c>
      <c r="BP111" s="67">
        <f t="shared" si="17"/>
        <v>0</v>
      </c>
    </row>
    <row r="112" spans="1:68" ht="27" customHeight="1" x14ac:dyDescent="0.25">
      <c r="A112" s="54" t="s">
        <v>190</v>
      </c>
      <c r="B112" s="54" t="s">
        <v>191</v>
      </c>
      <c r="C112" s="31">
        <v>4301071051</v>
      </c>
      <c r="D112" s="280">
        <v>4607111039262</v>
      </c>
      <c r="E112" s="281"/>
      <c r="F112" s="275">
        <v>0.4</v>
      </c>
      <c r="G112" s="32">
        <v>16</v>
      </c>
      <c r="H112" s="275">
        <v>6.4</v>
      </c>
      <c r="I112" s="275">
        <v>6.7195999999999998</v>
      </c>
      <c r="J112" s="32">
        <v>84</v>
      </c>
      <c r="K112" s="32" t="s">
        <v>65</v>
      </c>
      <c r="L112" s="32" t="s">
        <v>101</v>
      </c>
      <c r="M112" s="33" t="s">
        <v>67</v>
      </c>
      <c r="N112" s="33"/>
      <c r="O112" s="32">
        <v>180</v>
      </c>
      <c r="P112" s="404" t="str">
        <f>HYPERLINK("https://abi.ru/products/Замороженные/Горячая штучка/Бульмени ГШ/Пельмени/P004474/","Пельмени «Бульмени с говядиной и свининой» 0,4 Сфера ТМ «Горячая штучка»")</f>
        <v>Пельмени «Бульмени с говядиной и свининой» 0,4 Сфера ТМ «Горячая штучка»</v>
      </c>
      <c r="Q112" s="283"/>
      <c r="R112" s="283"/>
      <c r="S112" s="283"/>
      <c r="T112" s="284"/>
      <c r="U112" s="34"/>
      <c r="V112" s="34"/>
      <c r="W112" s="35" t="s">
        <v>68</v>
      </c>
      <c r="X112" s="276">
        <v>12</v>
      </c>
      <c r="Y112" s="277">
        <f t="shared" si="12"/>
        <v>12</v>
      </c>
      <c r="Z112" s="36">
        <f t="shared" si="13"/>
        <v>0.186</v>
      </c>
      <c r="AA112" s="56"/>
      <c r="AB112" s="57"/>
      <c r="AC112" s="150" t="s">
        <v>147</v>
      </c>
      <c r="AG112" s="67"/>
      <c r="AJ112" s="71" t="s">
        <v>103</v>
      </c>
      <c r="AK112" s="71">
        <v>12</v>
      </c>
      <c r="BB112" s="151" t="s">
        <v>1</v>
      </c>
      <c r="BM112" s="67">
        <f t="shared" si="14"/>
        <v>80.635199999999998</v>
      </c>
      <c r="BN112" s="67">
        <f t="shared" si="15"/>
        <v>80.635199999999998</v>
      </c>
      <c r="BO112" s="67">
        <f t="shared" si="16"/>
        <v>0.14285714285714285</v>
      </c>
      <c r="BP112" s="67">
        <f t="shared" si="17"/>
        <v>0.14285714285714285</v>
      </c>
    </row>
    <row r="113" spans="1:68" ht="27" customHeight="1" x14ac:dyDescent="0.25">
      <c r="A113" s="54" t="s">
        <v>192</v>
      </c>
      <c r="B113" s="54" t="s">
        <v>193</v>
      </c>
      <c r="C113" s="31">
        <v>4301071038</v>
      </c>
      <c r="D113" s="280">
        <v>4607111039248</v>
      </c>
      <c r="E113" s="281"/>
      <c r="F113" s="275">
        <v>0.7</v>
      </c>
      <c r="G113" s="32">
        <v>10</v>
      </c>
      <c r="H113" s="275">
        <v>7</v>
      </c>
      <c r="I113" s="275">
        <v>7.3</v>
      </c>
      <c r="J113" s="32">
        <v>84</v>
      </c>
      <c r="K113" s="32" t="s">
        <v>65</v>
      </c>
      <c r="L113" s="32" t="s">
        <v>101</v>
      </c>
      <c r="M113" s="33" t="s">
        <v>67</v>
      </c>
      <c r="N113" s="33"/>
      <c r="O113" s="32">
        <v>180</v>
      </c>
      <c r="P113" s="334" t="str">
        <f>HYPERLINK("https://abi.ru/products/Замороженные/Горячая штучка/Бульмени ГШ/Пельмени/P004345/","Пельмени «Бульмени с говядиной и свининой» 0,7 Сфера ТМ «Горячая штучка»")</f>
        <v>Пельмени «Бульмени с говядиной и свининой» 0,7 Сфера ТМ «Горячая штучка»</v>
      </c>
      <c r="Q113" s="283"/>
      <c r="R113" s="283"/>
      <c r="S113" s="283"/>
      <c r="T113" s="284"/>
      <c r="U113" s="34"/>
      <c r="V113" s="34"/>
      <c r="W113" s="35" t="s">
        <v>68</v>
      </c>
      <c r="X113" s="276">
        <v>24</v>
      </c>
      <c r="Y113" s="277">
        <f t="shared" si="12"/>
        <v>24</v>
      </c>
      <c r="Z113" s="36">
        <f t="shared" si="13"/>
        <v>0.372</v>
      </c>
      <c r="AA113" s="56"/>
      <c r="AB113" s="57"/>
      <c r="AC113" s="152" t="s">
        <v>147</v>
      </c>
      <c r="AG113" s="67"/>
      <c r="AJ113" s="71" t="s">
        <v>103</v>
      </c>
      <c r="AK113" s="71">
        <v>12</v>
      </c>
      <c r="BB113" s="153" t="s">
        <v>1</v>
      </c>
      <c r="BM113" s="67">
        <f t="shared" si="14"/>
        <v>175.2</v>
      </c>
      <c r="BN113" s="67">
        <f t="shared" si="15"/>
        <v>175.2</v>
      </c>
      <c r="BO113" s="67">
        <f t="shared" si="16"/>
        <v>0.2857142857142857</v>
      </c>
      <c r="BP113" s="67">
        <f t="shared" si="17"/>
        <v>0.2857142857142857</v>
      </c>
    </row>
    <row r="114" spans="1:68" ht="27" hidden="1" customHeight="1" x14ac:dyDescent="0.25">
      <c r="A114" s="54" t="s">
        <v>194</v>
      </c>
      <c r="B114" s="54" t="s">
        <v>195</v>
      </c>
      <c r="C114" s="31">
        <v>4301070979</v>
      </c>
      <c r="D114" s="280">
        <v>4607111037145</v>
      </c>
      <c r="E114" s="281"/>
      <c r="F114" s="275">
        <v>0.8</v>
      </c>
      <c r="G114" s="32">
        <v>8</v>
      </c>
      <c r="H114" s="275">
        <v>6.4</v>
      </c>
      <c r="I114" s="275">
        <v>6.6748000000000003</v>
      </c>
      <c r="J114" s="32">
        <v>84</v>
      </c>
      <c r="K114" s="32" t="s">
        <v>65</v>
      </c>
      <c r="L114" s="32" t="s">
        <v>66</v>
      </c>
      <c r="M114" s="33" t="s">
        <v>67</v>
      </c>
      <c r="N114" s="33"/>
      <c r="O114" s="32">
        <v>180</v>
      </c>
      <c r="P114" s="405" t="str">
        <f>HYPERLINK("https://abi.ru/products/Замороженные/Горячая штучка/Бульмени ГШ/Пельмени/P003689/","Пельмени «Бульмени с говядиной и свининой» 0,8 Сфера ТМ «Горячая штучка»")</f>
        <v>Пельмени «Бульмени с говядиной и свининой» 0,8 Сфера ТМ «Горячая штучка»</v>
      </c>
      <c r="Q114" s="283"/>
      <c r="R114" s="283"/>
      <c r="S114" s="283"/>
      <c r="T114" s="284"/>
      <c r="U114" s="34"/>
      <c r="V114" s="34"/>
      <c r="W114" s="35" t="s">
        <v>68</v>
      </c>
      <c r="X114" s="276">
        <v>0</v>
      </c>
      <c r="Y114" s="277">
        <f t="shared" si="12"/>
        <v>0</v>
      </c>
      <c r="Z114" s="36">
        <f t="shared" si="13"/>
        <v>0</v>
      </c>
      <c r="AA114" s="56"/>
      <c r="AB114" s="57"/>
      <c r="AC114" s="154" t="s">
        <v>196</v>
      </c>
      <c r="AG114" s="67"/>
      <c r="AJ114" s="71" t="s">
        <v>70</v>
      </c>
      <c r="AK114" s="71">
        <v>1</v>
      </c>
      <c r="BB114" s="155" t="s">
        <v>1</v>
      </c>
      <c r="BM114" s="67">
        <f t="shared" si="14"/>
        <v>0</v>
      </c>
      <c r="BN114" s="67">
        <f t="shared" si="15"/>
        <v>0</v>
      </c>
      <c r="BO114" s="67">
        <f t="shared" si="16"/>
        <v>0</v>
      </c>
      <c r="BP114" s="67">
        <f t="shared" si="17"/>
        <v>0</v>
      </c>
    </row>
    <row r="115" spans="1:68" ht="27" customHeight="1" x14ac:dyDescent="0.25">
      <c r="A115" s="54" t="s">
        <v>197</v>
      </c>
      <c r="B115" s="54" t="s">
        <v>198</v>
      </c>
      <c r="C115" s="31">
        <v>4301071049</v>
      </c>
      <c r="D115" s="280">
        <v>4607111039293</v>
      </c>
      <c r="E115" s="281"/>
      <c r="F115" s="275">
        <v>0.4</v>
      </c>
      <c r="G115" s="32">
        <v>16</v>
      </c>
      <c r="H115" s="275">
        <v>6.4</v>
      </c>
      <c r="I115" s="275">
        <v>6.7195999999999998</v>
      </c>
      <c r="J115" s="32">
        <v>84</v>
      </c>
      <c r="K115" s="32" t="s">
        <v>65</v>
      </c>
      <c r="L115" s="32" t="s">
        <v>101</v>
      </c>
      <c r="M115" s="33" t="s">
        <v>67</v>
      </c>
      <c r="N115" s="33"/>
      <c r="O115" s="32">
        <v>180</v>
      </c>
      <c r="P115" s="393" t="str">
        <f>HYPERLINK("https://abi.ru/products/Замороженные/Горячая штучка/Бульмени ГШ/Пельмени/P004444/","Пельмени «Бульмени со сливочным маслом» Фикс.вес 0,4 ТМ «Горячая штучка»")</f>
        <v>Пельмени «Бульмени со сливочным маслом» Фикс.вес 0,4 ТМ «Горячая штучка»</v>
      </c>
      <c r="Q115" s="283"/>
      <c r="R115" s="283"/>
      <c r="S115" s="283"/>
      <c r="T115" s="284"/>
      <c r="U115" s="34"/>
      <c r="V115" s="34"/>
      <c r="W115" s="35" t="s">
        <v>68</v>
      </c>
      <c r="X115" s="276">
        <v>96</v>
      </c>
      <c r="Y115" s="277">
        <f t="shared" si="12"/>
        <v>96</v>
      </c>
      <c r="Z115" s="36">
        <f t="shared" si="13"/>
        <v>1.488</v>
      </c>
      <c r="AA115" s="56"/>
      <c r="AB115" s="57"/>
      <c r="AC115" s="156" t="s">
        <v>147</v>
      </c>
      <c r="AG115" s="67"/>
      <c r="AJ115" s="71" t="s">
        <v>103</v>
      </c>
      <c r="AK115" s="71">
        <v>12</v>
      </c>
      <c r="BB115" s="157" t="s">
        <v>1</v>
      </c>
      <c r="BM115" s="67">
        <f t="shared" si="14"/>
        <v>645.08159999999998</v>
      </c>
      <c r="BN115" s="67">
        <f t="shared" si="15"/>
        <v>645.08159999999998</v>
      </c>
      <c r="BO115" s="67">
        <f t="shared" si="16"/>
        <v>1.1428571428571428</v>
      </c>
      <c r="BP115" s="67">
        <f t="shared" si="17"/>
        <v>1.1428571428571428</v>
      </c>
    </row>
    <row r="116" spans="1:68" ht="27" hidden="1" customHeight="1" x14ac:dyDescent="0.25">
      <c r="A116" s="54" t="s">
        <v>199</v>
      </c>
      <c r="B116" s="54" t="s">
        <v>200</v>
      </c>
      <c r="C116" s="31">
        <v>4301071039</v>
      </c>
      <c r="D116" s="280">
        <v>4607111039279</v>
      </c>
      <c r="E116" s="281"/>
      <c r="F116" s="275">
        <v>0.7</v>
      </c>
      <c r="G116" s="32">
        <v>10</v>
      </c>
      <c r="H116" s="275">
        <v>7</v>
      </c>
      <c r="I116" s="275">
        <v>7.3</v>
      </c>
      <c r="J116" s="32">
        <v>84</v>
      </c>
      <c r="K116" s="32" t="s">
        <v>65</v>
      </c>
      <c r="L116" s="32" t="s">
        <v>101</v>
      </c>
      <c r="M116" s="33" t="s">
        <v>67</v>
      </c>
      <c r="N116" s="33"/>
      <c r="O116" s="32">
        <v>180</v>
      </c>
      <c r="P116" s="367" t="str">
        <f>HYPERLINK("https://abi.ru/products/Замороженные/Горячая штучка/Бульмени ГШ/Пельмени/P004346/","Пельмени «Бульмени со сливочным маслом» 0,7 Сфера ТМ «Горячая штучка»")</f>
        <v>Пельмени «Бульмени со сливочным маслом» 0,7 Сфера ТМ «Горячая штучка»</v>
      </c>
      <c r="Q116" s="283"/>
      <c r="R116" s="283"/>
      <c r="S116" s="283"/>
      <c r="T116" s="284"/>
      <c r="U116" s="34"/>
      <c r="V116" s="34"/>
      <c r="W116" s="35" t="s">
        <v>68</v>
      </c>
      <c r="X116" s="276">
        <v>0</v>
      </c>
      <c r="Y116" s="277">
        <f t="shared" si="12"/>
        <v>0</v>
      </c>
      <c r="Z116" s="36">
        <f t="shared" si="13"/>
        <v>0</v>
      </c>
      <c r="AA116" s="56"/>
      <c r="AB116" s="57"/>
      <c r="AC116" s="158" t="s">
        <v>147</v>
      </c>
      <c r="AG116" s="67"/>
      <c r="AJ116" s="71" t="s">
        <v>103</v>
      </c>
      <c r="AK116" s="71">
        <v>12</v>
      </c>
      <c r="BB116" s="159" t="s">
        <v>1</v>
      </c>
      <c r="BM116" s="67">
        <f t="shared" si="14"/>
        <v>0</v>
      </c>
      <c r="BN116" s="67">
        <f t="shared" si="15"/>
        <v>0</v>
      </c>
      <c r="BO116" s="67">
        <f t="shared" si="16"/>
        <v>0</v>
      </c>
      <c r="BP116" s="67">
        <f t="shared" si="17"/>
        <v>0</v>
      </c>
    </row>
    <row r="117" spans="1:68" x14ac:dyDescent="0.2">
      <c r="A117" s="285"/>
      <c r="B117" s="286"/>
      <c r="C117" s="286"/>
      <c r="D117" s="286"/>
      <c r="E117" s="286"/>
      <c r="F117" s="286"/>
      <c r="G117" s="286"/>
      <c r="H117" s="286"/>
      <c r="I117" s="286"/>
      <c r="J117" s="286"/>
      <c r="K117" s="286"/>
      <c r="L117" s="286"/>
      <c r="M117" s="286"/>
      <c r="N117" s="286"/>
      <c r="O117" s="287"/>
      <c r="P117" s="298" t="s">
        <v>87</v>
      </c>
      <c r="Q117" s="299"/>
      <c r="R117" s="299"/>
      <c r="S117" s="299"/>
      <c r="T117" s="299"/>
      <c r="U117" s="299"/>
      <c r="V117" s="300"/>
      <c r="W117" s="37" t="s">
        <v>68</v>
      </c>
      <c r="X117" s="278">
        <f>IFERROR(SUM(X110:X116),"0")</f>
        <v>132</v>
      </c>
      <c r="Y117" s="278">
        <f>IFERROR(SUM(Y110:Y116),"0")</f>
        <v>132</v>
      </c>
      <c r="Z117" s="278">
        <f>IFERROR(IF(Z110="",0,Z110),"0")+IFERROR(IF(Z111="",0,Z111),"0")+IFERROR(IF(Z112="",0,Z112),"0")+IFERROR(IF(Z113="",0,Z113),"0")+IFERROR(IF(Z114="",0,Z114),"0")+IFERROR(IF(Z115="",0,Z115),"0")+IFERROR(IF(Z116="",0,Z116),"0")</f>
        <v>2.0460000000000003</v>
      </c>
      <c r="AA117" s="279"/>
      <c r="AB117" s="279"/>
      <c r="AC117" s="279"/>
    </row>
    <row r="118" spans="1:68" x14ac:dyDescent="0.2">
      <c r="A118" s="286"/>
      <c r="B118" s="286"/>
      <c r="C118" s="286"/>
      <c r="D118" s="286"/>
      <c r="E118" s="286"/>
      <c r="F118" s="286"/>
      <c r="G118" s="286"/>
      <c r="H118" s="286"/>
      <c r="I118" s="286"/>
      <c r="J118" s="286"/>
      <c r="K118" s="286"/>
      <c r="L118" s="286"/>
      <c r="M118" s="286"/>
      <c r="N118" s="286"/>
      <c r="O118" s="287"/>
      <c r="P118" s="298" t="s">
        <v>87</v>
      </c>
      <c r="Q118" s="299"/>
      <c r="R118" s="299"/>
      <c r="S118" s="299"/>
      <c r="T118" s="299"/>
      <c r="U118" s="299"/>
      <c r="V118" s="300"/>
      <c r="W118" s="37" t="s">
        <v>88</v>
      </c>
      <c r="X118" s="278">
        <f>IFERROR(SUMPRODUCT(X110:X116*H110:H116),"0")</f>
        <v>859.2</v>
      </c>
      <c r="Y118" s="278">
        <f>IFERROR(SUMPRODUCT(Y110:Y116*H110:H116),"0")</f>
        <v>859.2</v>
      </c>
      <c r="Z118" s="37"/>
      <c r="AA118" s="279"/>
      <c r="AB118" s="279"/>
      <c r="AC118" s="279"/>
    </row>
    <row r="119" spans="1:68" ht="14.25" hidden="1" customHeight="1" x14ac:dyDescent="0.25">
      <c r="A119" s="288" t="s">
        <v>135</v>
      </c>
      <c r="B119" s="286"/>
      <c r="C119" s="286"/>
      <c r="D119" s="286"/>
      <c r="E119" s="286"/>
      <c r="F119" s="286"/>
      <c r="G119" s="286"/>
      <c r="H119" s="286"/>
      <c r="I119" s="286"/>
      <c r="J119" s="286"/>
      <c r="K119" s="286"/>
      <c r="L119" s="286"/>
      <c r="M119" s="286"/>
      <c r="N119" s="286"/>
      <c r="O119" s="286"/>
      <c r="P119" s="286"/>
      <c r="Q119" s="286"/>
      <c r="R119" s="286"/>
      <c r="S119" s="286"/>
      <c r="T119" s="286"/>
      <c r="U119" s="286"/>
      <c r="V119" s="286"/>
      <c r="W119" s="286"/>
      <c r="X119" s="286"/>
      <c r="Y119" s="286"/>
      <c r="Z119" s="286"/>
      <c r="AA119" s="272"/>
      <c r="AB119" s="272"/>
      <c r="AC119" s="272"/>
    </row>
    <row r="120" spans="1:68" ht="27" hidden="1" customHeight="1" x14ac:dyDescent="0.25">
      <c r="A120" s="54" t="s">
        <v>201</v>
      </c>
      <c r="B120" s="54" t="s">
        <v>202</v>
      </c>
      <c r="C120" s="31">
        <v>4301135826</v>
      </c>
      <c r="D120" s="280">
        <v>4620207490983</v>
      </c>
      <c r="E120" s="281"/>
      <c r="F120" s="275">
        <v>0.22</v>
      </c>
      <c r="G120" s="32">
        <v>12</v>
      </c>
      <c r="H120" s="275">
        <v>2.64</v>
      </c>
      <c r="I120" s="275">
        <v>3.3435999999999999</v>
      </c>
      <c r="J120" s="32">
        <v>70</v>
      </c>
      <c r="K120" s="32" t="s">
        <v>100</v>
      </c>
      <c r="L120" s="32" t="s">
        <v>66</v>
      </c>
      <c r="M120" s="33" t="s">
        <v>67</v>
      </c>
      <c r="N120" s="33"/>
      <c r="O120" s="32">
        <v>180</v>
      </c>
      <c r="P120" s="325" t="str">
        <f>HYPERLINK("https://abi.ru/products/Замороженные/Горячая штучка/Бульмени ГШ/Снеки/P005065/","Снеки «Бульмени хрустящие с мясом» Фикс.вес 0,22 сфера ТМ «Горячая штучка»")</f>
        <v>Снеки «Бульмени хрустящие с мясом» Фикс.вес 0,22 сфера ТМ «Горячая штучка»</v>
      </c>
      <c r="Q120" s="283"/>
      <c r="R120" s="283"/>
      <c r="S120" s="283"/>
      <c r="T120" s="284"/>
      <c r="U120" s="34"/>
      <c r="V120" s="34"/>
      <c r="W120" s="35" t="s">
        <v>68</v>
      </c>
      <c r="X120" s="276">
        <v>0</v>
      </c>
      <c r="Y120" s="277">
        <f>IFERROR(IF(X120="","",X120),"")</f>
        <v>0</v>
      </c>
      <c r="Z120" s="36">
        <f>IFERROR(IF(X120="","",X120*0.01788),"")</f>
        <v>0</v>
      </c>
      <c r="AA120" s="56"/>
      <c r="AB120" s="57"/>
      <c r="AC120" s="160" t="s">
        <v>203</v>
      </c>
      <c r="AG120" s="67"/>
      <c r="AJ120" s="71" t="s">
        <v>70</v>
      </c>
      <c r="AK120" s="71">
        <v>1</v>
      </c>
      <c r="BB120" s="161" t="s">
        <v>104</v>
      </c>
      <c r="BM120" s="67">
        <f>IFERROR(X120*I120,"0")</f>
        <v>0</v>
      </c>
      <c r="BN120" s="67">
        <f>IFERROR(Y120*I120,"0")</f>
        <v>0</v>
      </c>
      <c r="BO120" s="67">
        <f>IFERROR(X120/J120,"0")</f>
        <v>0</v>
      </c>
      <c r="BP120" s="67">
        <f>IFERROR(Y120/J120,"0")</f>
        <v>0</v>
      </c>
    </row>
    <row r="121" spans="1:68" hidden="1" x14ac:dyDescent="0.2">
      <c r="A121" s="285"/>
      <c r="B121" s="286"/>
      <c r="C121" s="286"/>
      <c r="D121" s="286"/>
      <c r="E121" s="286"/>
      <c r="F121" s="286"/>
      <c r="G121" s="286"/>
      <c r="H121" s="286"/>
      <c r="I121" s="286"/>
      <c r="J121" s="286"/>
      <c r="K121" s="286"/>
      <c r="L121" s="286"/>
      <c r="M121" s="286"/>
      <c r="N121" s="286"/>
      <c r="O121" s="287"/>
      <c r="P121" s="298" t="s">
        <v>87</v>
      </c>
      <c r="Q121" s="299"/>
      <c r="R121" s="299"/>
      <c r="S121" s="299"/>
      <c r="T121" s="299"/>
      <c r="U121" s="299"/>
      <c r="V121" s="300"/>
      <c r="W121" s="37" t="s">
        <v>68</v>
      </c>
      <c r="X121" s="278">
        <f>IFERROR(SUM(X120:X120),"0")</f>
        <v>0</v>
      </c>
      <c r="Y121" s="278">
        <f>IFERROR(SUM(Y120:Y120),"0")</f>
        <v>0</v>
      </c>
      <c r="Z121" s="278">
        <f>IFERROR(IF(Z120="",0,Z120),"0")</f>
        <v>0</v>
      </c>
      <c r="AA121" s="279"/>
      <c r="AB121" s="279"/>
      <c r="AC121" s="279"/>
    </row>
    <row r="122" spans="1:68" hidden="1" x14ac:dyDescent="0.2">
      <c r="A122" s="286"/>
      <c r="B122" s="286"/>
      <c r="C122" s="286"/>
      <c r="D122" s="286"/>
      <c r="E122" s="286"/>
      <c r="F122" s="286"/>
      <c r="G122" s="286"/>
      <c r="H122" s="286"/>
      <c r="I122" s="286"/>
      <c r="J122" s="286"/>
      <c r="K122" s="286"/>
      <c r="L122" s="286"/>
      <c r="M122" s="286"/>
      <c r="N122" s="286"/>
      <c r="O122" s="287"/>
      <c r="P122" s="298" t="s">
        <v>87</v>
      </c>
      <c r="Q122" s="299"/>
      <c r="R122" s="299"/>
      <c r="S122" s="299"/>
      <c r="T122" s="299"/>
      <c r="U122" s="299"/>
      <c r="V122" s="300"/>
      <c r="W122" s="37" t="s">
        <v>88</v>
      </c>
      <c r="X122" s="278">
        <f>IFERROR(SUMPRODUCT(X120:X120*H120:H120),"0")</f>
        <v>0</v>
      </c>
      <c r="Y122" s="278">
        <f>IFERROR(SUMPRODUCT(Y120:Y120*H120:H120),"0")</f>
        <v>0</v>
      </c>
      <c r="Z122" s="37"/>
      <c r="AA122" s="279"/>
      <c r="AB122" s="279"/>
      <c r="AC122" s="279"/>
    </row>
    <row r="123" spans="1:68" ht="14.25" hidden="1" customHeight="1" x14ac:dyDescent="0.25">
      <c r="A123" s="288" t="s">
        <v>204</v>
      </c>
      <c r="B123" s="286"/>
      <c r="C123" s="286"/>
      <c r="D123" s="286"/>
      <c r="E123" s="286"/>
      <c r="F123" s="286"/>
      <c r="G123" s="286"/>
      <c r="H123" s="286"/>
      <c r="I123" s="286"/>
      <c r="J123" s="286"/>
      <c r="K123" s="286"/>
      <c r="L123" s="286"/>
      <c r="M123" s="286"/>
      <c r="N123" s="286"/>
      <c r="O123" s="286"/>
      <c r="P123" s="286"/>
      <c r="Q123" s="286"/>
      <c r="R123" s="286"/>
      <c r="S123" s="286"/>
      <c r="T123" s="286"/>
      <c r="U123" s="286"/>
      <c r="V123" s="286"/>
      <c r="W123" s="286"/>
      <c r="X123" s="286"/>
      <c r="Y123" s="286"/>
      <c r="Z123" s="286"/>
      <c r="AA123" s="272"/>
      <c r="AB123" s="272"/>
      <c r="AC123" s="272"/>
    </row>
    <row r="124" spans="1:68" ht="27" hidden="1" customHeight="1" x14ac:dyDescent="0.25">
      <c r="A124" s="54" t="s">
        <v>205</v>
      </c>
      <c r="B124" s="54" t="s">
        <v>206</v>
      </c>
      <c r="C124" s="31">
        <v>4301071094</v>
      </c>
      <c r="D124" s="280">
        <v>4620207491140</v>
      </c>
      <c r="E124" s="281"/>
      <c r="F124" s="275">
        <v>0.6</v>
      </c>
      <c r="G124" s="32">
        <v>10</v>
      </c>
      <c r="H124" s="275">
        <v>6</v>
      </c>
      <c r="I124" s="275">
        <v>6.28</v>
      </c>
      <c r="J124" s="32">
        <v>84</v>
      </c>
      <c r="K124" s="32" t="s">
        <v>65</v>
      </c>
      <c r="L124" s="32" t="s">
        <v>66</v>
      </c>
      <c r="M124" s="33" t="s">
        <v>67</v>
      </c>
      <c r="N124" s="33"/>
      <c r="O124" s="32">
        <v>180</v>
      </c>
      <c r="P124" s="462" t="str">
        <f>HYPERLINK("https://abi.ru/products/Замороженные/Горячая штучка/Бульмени ГШ/Пельмени ПГП/P004909/","Пельмени ПГП «Пельмени Бульмени Нейробуст с мясом» Фикс.вес 0,6 сфера ТМ «Горячая штучка»")</f>
        <v>Пельмени ПГП «Пельмени Бульмени Нейробуст с мясом» Фикс.вес 0,6 сфера ТМ «Горячая штучка»</v>
      </c>
      <c r="Q124" s="283"/>
      <c r="R124" s="283"/>
      <c r="S124" s="283"/>
      <c r="T124" s="284"/>
      <c r="U124" s="34"/>
      <c r="V124" s="34"/>
      <c r="W124" s="35" t="s">
        <v>68</v>
      </c>
      <c r="X124" s="276">
        <v>0</v>
      </c>
      <c r="Y124" s="277">
        <f>IFERROR(IF(X124="","",X124),"")</f>
        <v>0</v>
      </c>
      <c r="Z124" s="36">
        <f>IFERROR(IF(X124="","",X124*0.0155),"")</f>
        <v>0</v>
      </c>
      <c r="AA124" s="56"/>
      <c r="AB124" s="57"/>
      <c r="AC124" s="162" t="s">
        <v>207</v>
      </c>
      <c r="AG124" s="67"/>
      <c r="AJ124" s="71" t="s">
        <v>70</v>
      </c>
      <c r="AK124" s="71">
        <v>1</v>
      </c>
      <c r="BB124" s="163" t="s">
        <v>104</v>
      </c>
      <c r="BM124" s="67">
        <f>IFERROR(X124*I124,"0")</f>
        <v>0</v>
      </c>
      <c r="BN124" s="67">
        <f>IFERROR(Y124*I124,"0")</f>
        <v>0</v>
      </c>
      <c r="BO124" s="67">
        <f>IFERROR(X124/J124,"0")</f>
        <v>0</v>
      </c>
      <c r="BP124" s="67">
        <f>IFERROR(Y124/J124,"0")</f>
        <v>0</v>
      </c>
    </row>
    <row r="125" spans="1:68" hidden="1" x14ac:dyDescent="0.2">
      <c r="A125" s="285"/>
      <c r="B125" s="286"/>
      <c r="C125" s="286"/>
      <c r="D125" s="286"/>
      <c r="E125" s="286"/>
      <c r="F125" s="286"/>
      <c r="G125" s="286"/>
      <c r="H125" s="286"/>
      <c r="I125" s="286"/>
      <c r="J125" s="286"/>
      <c r="K125" s="286"/>
      <c r="L125" s="286"/>
      <c r="M125" s="286"/>
      <c r="N125" s="286"/>
      <c r="O125" s="287"/>
      <c r="P125" s="298" t="s">
        <v>87</v>
      </c>
      <c r="Q125" s="299"/>
      <c r="R125" s="299"/>
      <c r="S125" s="299"/>
      <c r="T125" s="299"/>
      <c r="U125" s="299"/>
      <c r="V125" s="300"/>
      <c r="W125" s="37" t="s">
        <v>68</v>
      </c>
      <c r="X125" s="278">
        <f>IFERROR(SUM(X124:X124),"0")</f>
        <v>0</v>
      </c>
      <c r="Y125" s="278">
        <f>IFERROR(SUM(Y124:Y124),"0")</f>
        <v>0</v>
      </c>
      <c r="Z125" s="278">
        <f>IFERROR(IF(Z124="",0,Z124),"0")</f>
        <v>0</v>
      </c>
      <c r="AA125" s="279"/>
      <c r="AB125" s="279"/>
      <c r="AC125" s="279"/>
    </row>
    <row r="126" spans="1:68" hidden="1" x14ac:dyDescent="0.2">
      <c r="A126" s="286"/>
      <c r="B126" s="286"/>
      <c r="C126" s="286"/>
      <c r="D126" s="286"/>
      <c r="E126" s="286"/>
      <c r="F126" s="286"/>
      <c r="G126" s="286"/>
      <c r="H126" s="286"/>
      <c r="I126" s="286"/>
      <c r="J126" s="286"/>
      <c r="K126" s="286"/>
      <c r="L126" s="286"/>
      <c r="M126" s="286"/>
      <c r="N126" s="286"/>
      <c r="O126" s="287"/>
      <c r="P126" s="298" t="s">
        <v>87</v>
      </c>
      <c r="Q126" s="299"/>
      <c r="R126" s="299"/>
      <c r="S126" s="299"/>
      <c r="T126" s="299"/>
      <c r="U126" s="299"/>
      <c r="V126" s="300"/>
      <c r="W126" s="37" t="s">
        <v>88</v>
      </c>
      <c r="X126" s="278">
        <f>IFERROR(SUMPRODUCT(X124:X124*H124:H124),"0")</f>
        <v>0</v>
      </c>
      <c r="Y126" s="278">
        <f>IFERROR(SUMPRODUCT(Y124:Y124*H124:H124),"0")</f>
        <v>0</v>
      </c>
      <c r="Z126" s="37"/>
      <c r="AA126" s="279"/>
      <c r="AB126" s="279"/>
      <c r="AC126" s="279"/>
    </row>
    <row r="127" spans="1:68" ht="16.5" hidden="1" customHeight="1" x14ac:dyDescent="0.25">
      <c r="A127" s="304" t="s">
        <v>208</v>
      </c>
      <c r="B127" s="286"/>
      <c r="C127" s="286"/>
      <c r="D127" s="286"/>
      <c r="E127" s="286"/>
      <c r="F127" s="286"/>
      <c r="G127" s="286"/>
      <c r="H127" s="286"/>
      <c r="I127" s="286"/>
      <c r="J127" s="286"/>
      <c r="K127" s="286"/>
      <c r="L127" s="286"/>
      <c r="M127" s="286"/>
      <c r="N127" s="286"/>
      <c r="O127" s="286"/>
      <c r="P127" s="286"/>
      <c r="Q127" s="286"/>
      <c r="R127" s="286"/>
      <c r="S127" s="286"/>
      <c r="T127" s="286"/>
      <c r="U127" s="286"/>
      <c r="V127" s="286"/>
      <c r="W127" s="286"/>
      <c r="X127" s="286"/>
      <c r="Y127" s="286"/>
      <c r="Z127" s="286"/>
      <c r="AA127" s="271"/>
      <c r="AB127" s="271"/>
      <c r="AC127" s="271"/>
    </row>
    <row r="128" spans="1:68" ht="14.25" hidden="1" customHeight="1" x14ac:dyDescent="0.25">
      <c r="A128" s="288" t="s">
        <v>135</v>
      </c>
      <c r="B128" s="286"/>
      <c r="C128" s="286"/>
      <c r="D128" s="286"/>
      <c r="E128" s="286"/>
      <c r="F128" s="286"/>
      <c r="G128" s="286"/>
      <c r="H128" s="286"/>
      <c r="I128" s="286"/>
      <c r="J128" s="286"/>
      <c r="K128" s="286"/>
      <c r="L128" s="286"/>
      <c r="M128" s="286"/>
      <c r="N128" s="286"/>
      <c r="O128" s="286"/>
      <c r="P128" s="286"/>
      <c r="Q128" s="286"/>
      <c r="R128" s="286"/>
      <c r="S128" s="286"/>
      <c r="T128" s="286"/>
      <c r="U128" s="286"/>
      <c r="V128" s="286"/>
      <c r="W128" s="286"/>
      <c r="X128" s="286"/>
      <c r="Y128" s="286"/>
      <c r="Z128" s="286"/>
      <c r="AA128" s="272"/>
      <c r="AB128" s="272"/>
      <c r="AC128" s="272"/>
    </row>
    <row r="129" spans="1:68" ht="27" customHeight="1" x14ac:dyDescent="0.25">
      <c r="A129" s="54" t="s">
        <v>209</v>
      </c>
      <c r="B129" s="54" t="s">
        <v>210</v>
      </c>
      <c r="C129" s="31">
        <v>4301135848</v>
      </c>
      <c r="D129" s="280">
        <v>4620207491799</v>
      </c>
      <c r="E129" s="281"/>
      <c r="F129" s="275">
        <v>0.23</v>
      </c>
      <c r="G129" s="32">
        <v>6</v>
      </c>
      <c r="H129" s="275">
        <v>1.38</v>
      </c>
      <c r="I129" s="275">
        <v>1.8</v>
      </c>
      <c r="J129" s="32">
        <v>140</v>
      </c>
      <c r="K129" s="32" t="s">
        <v>100</v>
      </c>
      <c r="L129" s="32" t="s">
        <v>66</v>
      </c>
      <c r="M129" s="33" t="s">
        <v>67</v>
      </c>
      <c r="N129" s="33"/>
      <c r="O129" s="32">
        <v>180</v>
      </c>
      <c r="P129" s="342" t="str">
        <f>HYPERLINK("https://abi.ru/products/Замороженные/Горячая штучка/Sam Kusay/Снеки/P005179/","Снеки «Чебупицца со вкусом Утка по-пекински» Фикс.вес 0,23 ТМ «Горячая штучка»")</f>
        <v>Снеки «Чебупицца со вкусом Утка по-пекински» Фикс.вес 0,23 ТМ «Горячая штучка»</v>
      </c>
      <c r="Q129" s="283"/>
      <c r="R129" s="283"/>
      <c r="S129" s="283"/>
      <c r="T129" s="284"/>
      <c r="U129" s="34"/>
      <c r="V129" s="34"/>
      <c r="W129" s="35" t="s">
        <v>68</v>
      </c>
      <c r="X129" s="276">
        <v>140</v>
      </c>
      <c r="Y129" s="277">
        <f>IFERROR(IF(X129="","",X129),"")</f>
        <v>140</v>
      </c>
      <c r="Z129" s="36">
        <f>IFERROR(IF(X129="","",X129*0.00941),"")</f>
        <v>1.3173999999999999</v>
      </c>
      <c r="AA129" s="56"/>
      <c r="AB129" s="57"/>
      <c r="AC129" s="164" t="s">
        <v>211</v>
      </c>
      <c r="AG129" s="67"/>
      <c r="AJ129" s="71" t="s">
        <v>70</v>
      </c>
      <c r="AK129" s="71">
        <v>1</v>
      </c>
      <c r="BB129" s="165" t="s">
        <v>104</v>
      </c>
      <c r="BM129" s="67">
        <f>IFERROR(X129*I129,"0")</f>
        <v>252</v>
      </c>
      <c r="BN129" s="67">
        <f>IFERROR(Y129*I129,"0")</f>
        <v>252</v>
      </c>
      <c r="BO129" s="67">
        <f>IFERROR(X129/J129,"0")</f>
        <v>1</v>
      </c>
      <c r="BP129" s="67">
        <f>IFERROR(Y129/J129,"0")</f>
        <v>1</v>
      </c>
    </row>
    <row r="130" spans="1:68" ht="27" customHeight="1" x14ac:dyDescent="0.25">
      <c r="A130" s="54" t="s">
        <v>212</v>
      </c>
      <c r="B130" s="54" t="s">
        <v>213</v>
      </c>
      <c r="C130" s="31">
        <v>4301135850</v>
      </c>
      <c r="D130" s="280">
        <v>4620207491492</v>
      </c>
      <c r="E130" s="281"/>
      <c r="F130" s="275">
        <v>0.23</v>
      </c>
      <c r="G130" s="32">
        <v>6</v>
      </c>
      <c r="H130" s="275">
        <v>1.38</v>
      </c>
      <c r="I130" s="275">
        <v>1.8</v>
      </c>
      <c r="J130" s="32">
        <v>140</v>
      </c>
      <c r="K130" s="32" t="s">
        <v>100</v>
      </c>
      <c r="L130" s="32" t="s">
        <v>66</v>
      </c>
      <c r="M130" s="33" t="s">
        <v>67</v>
      </c>
      <c r="N130" s="33"/>
      <c r="O130" s="32">
        <v>180</v>
      </c>
      <c r="P130" s="414" t="str">
        <f>HYPERLINK("https://abi.ru/products/Замороженные/Горячая штучка/Sam Kusay/Снеки/P005182/","Снеки «Хотстеры Васаби-чили» Фикс.вес 0,23 ТМ «Горячая штучка»")</f>
        <v>Снеки «Хотстеры Васаби-чили» Фикс.вес 0,23 ТМ «Горячая штучка»</v>
      </c>
      <c r="Q130" s="283"/>
      <c r="R130" s="283"/>
      <c r="S130" s="283"/>
      <c r="T130" s="284"/>
      <c r="U130" s="34"/>
      <c r="V130" s="34"/>
      <c r="W130" s="35" t="s">
        <v>68</v>
      </c>
      <c r="X130" s="276">
        <v>112</v>
      </c>
      <c r="Y130" s="277">
        <f>IFERROR(IF(X130="","",X130),"")</f>
        <v>112</v>
      </c>
      <c r="Z130" s="36">
        <f>IFERROR(IF(X130="","",X130*0.00941),"")</f>
        <v>1.05392</v>
      </c>
      <c r="AA130" s="56"/>
      <c r="AB130" s="57"/>
      <c r="AC130" s="166" t="s">
        <v>211</v>
      </c>
      <c r="AG130" s="67"/>
      <c r="AJ130" s="71" t="s">
        <v>70</v>
      </c>
      <c r="AK130" s="71">
        <v>1</v>
      </c>
      <c r="BB130" s="167" t="s">
        <v>104</v>
      </c>
      <c r="BM130" s="67">
        <f>IFERROR(X130*I130,"0")</f>
        <v>201.6</v>
      </c>
      <c r="BN130" s="67">
        <f>IFERROR(Y130*I130,"0")</f>
        <v>201.6</v>
      </c>
      <c r="BO130" s="67">
        <f>IFERROR(X130/J130,"0")</f>
        <v>0.8</v>
      </c>
      <c r="BP130" s="67">
        <f>IFERROR(Y130/J130,"0")</f>
        <v>0.8</v>
      </c>
    </row>
    <row r="131" spans="1:68" ht="27" customHeight="1" x14ac:dyDescent="0.25">
      <c r="A131" s="54" t="s">
        <v>214</v>
      </c>
      <c r="B131" s="54" t="s">
        <v>215</v>
      </c>
      <c r="C131" s="31">
        <v>4301190118</v>
      </c>
      <c r="D131" s="280">
        <v>4620207491461</v>
      </c>
      <c r="E131" s="281"/>
      <c r="F131" s="275">
        <v>0.22</v>
      </c>
      <c r="G131" s="32">
        <v>6</v>
      </c>
      <c r="H131" s="275">
        <v>1.32</v>
      </c>
      <c r="I131" s="275">
        <v>1.74</v>
      </c>
      <c r="J131" s="32">
        <v>140</v>
      </c>
      <c r="K131" s="32" t="s">
        <v>100</v>
      </c>
      <c r="L131" s="32" t="s">
        <v>66</v>
      </c>
      <c r="M131" s="33" t="s">
        <v>67</v>
      </c>
      <c r="N131" s="33"/>
      <c r="O131" s="32">
        <v>180</v>
      </c>
      <c r="P131" s="343" t="str">
        <f>HYPERLINK("https://abi.ru/products/Замороженные/Горячая штучка/Sam Kusay/Снеки/P005291/","Снеки «Чебупели со вкусом Фо бо» Фикс.вес 0,22 ТМ «Горячая штучка»")</f>
        <v>Снеки «Чебупели со вкусом Фо бо» Фикс.вес 0,22 ТМ «Горячая штучка»</v>
      </c>
      <c r="Q131" s="283"/>
      <c r="R131" s="283"/>
      <c r="S131" s="283"/>
      <c r="T131" s="284"/>
      <c r="U131" s="34"/>
      <c r="V131" s="34"/>
      <c r="W131" s="35" t="s">
        <v>68</v>
      </c>
      <c r="X131" s="276">
        <v>70</v>
      </c>
      <c r="Y131" s="277">
        <f>IFERROR(IF(X131="","",X131),"")</f>
        <v>70</v>
      </c>
      <c r="Z131" s="36">
        <f>IFERROR(IF(X131="","",X131*0.00941),"")</f>
        <v>0.65869999999999995</v>
      </c>
      <c r="AA131" s="56"/>
      <c r="AB131" s="57"/>
      <c r="AC131" s="168" t="s">
        <v>211</v>
      </c>
      <c r="AG131" s="67"/>
      <c r="AJ131" s="71" t="s">
        <v>70</v>
      </c>
      <c r="AK131" s="71">
        <v>1</v>
      </c>
      <c r="BB131" s="169" t="s">
        <v>104</v>
      </c>
      <c r="BM131" s="67">
        <f>IFERROR(X131*I131,"0")</f>
        <v>121.8</v>
      </c>
      <c r="BN131" s="67">
        <f>IFERROR(Y131*I131,"0")</f>
        <v>121.8</v>
      </c>
      <c r="BO131" s="67">
        <f>IFERROR(X131/J131,"0")</f>
        <v>0.5</v>
      </c>
      <c r="BP131" s="67">
        <f>IFERROR(Y131/J131,"0")</f>
        <v>0.5</v>
      </c>
    </row>
    <row r="132" spans="1:68" ht="27" customHeight="1" x14ac:dyDescent="0.25">
      <c r="A132" s="54" t="s">
        <v>216</v>
      </c>
      <c r="B132" s="54" t="s">
        <v>217</v>
      </c>
      <c r="C132" s="31">
        <v>4301135865</v>
      </c>
      <c r="D132" s="280">
        <v>4620207491485</v>
      </c>
      <c r="E132" s="281"/>
      <c r="F132" s="275">
        <v>0.23</v>
      </c>
      <c r="G132" s="32">
        <v>6</v>
      </c>
      <c r="H132" s="275">
        <v>1.38</v>
      </c>
      <c r="I132" s="275">
        <v>1.8</v>
      </c>
      <c r="J132" s="32">
        <v>140</v>
      </c>
      <c r="K132" s="32" t="s">
        <v>100</v>
      </c>
      <c r="L132" s="32" t="s">
        <v>66</v>
      </c>
      <c r="M132" s="33" t="s">
        <v>67</v>
      </c>
      <c r="N132" s="33"/>
      <c r="O132" s="32">
        <v>180</v>
      </c>
      <c r="P132" s="430" t="str">
        <f>HYPERLINK("https://abi.ru/products/Замороженные/Горячая штучка/Sam Kusay/Снеки/P005180/","Снеки «Чебупицца со вкусом Том ям» Фикс.вес 0,23 ТМ «Горячая штучка»")</f>
        <v>Снеки «Чебупицца со вкусом Том ям» Фикс.вес 0,23 ТМ «Горячая штучка»</v>
      </c>
      <c r="Q132" s="283"/>
      <c r="R132" s="283"/>
      <c r="S132" s="283"/>
      <c r="T132" s="284"/>
      <c r="U132" s="34"/>
      <c r="V132" s="34"/>
      <c r="W132" s="35" t="s">
        <v>68</v>
      </c>
      <c r="X132" s="276">
        <v>98</v>
      </c>
      <c r="Y132" s="277">
        <f>IFERROR(IF(X132="","",X132),"")</f>
        <v>98</v>
      </c>
      <c r="Z132" s="36">
        <f>IFERROR(IF(X132="","",X132*0.00941),"")</f>
        <v>0.92218</v>
      </c>
      <c r="AA132" s="56"/>
      <c r="AB132" s="57"/>
      <c r="AC132" s="170" t="s">
        <v>211</v>
      </c>
      <c r="AG132" s="67"/>
      <c r="AJ132" s="71" t="s">
        <v>70</v>
      </c>
      <c r="AK132" s="71">
        <v>1</v>
      </c>
      <c r="BB132" s="171" t="s">
        <v>104</v>
      </c>
      <c r="BM132" s="67">
        <f>IFERROR(X132*I132,"0")</f>
        <v>176.4</v>
      </c>
      <c r="BN132" s="67">
        <f>IFERROR(Y132*I132,"0")</f>
        <v>176.4</v>
      </c>
      <c r="BO132" s="67">
        <f>IFERROR(X132/J132,"0")</f>
        <v>0.7</v>
      </c>
      <c r="BP132" s="67">
        <f>IFERROR(Y132/J132,"0")</f>
        <v>0.7</v>
      </c>
    </row>
    <row r="133" spans="1:68" x14ac:dyDescent="0.2">
      <c r="A133" s="285"/>
      <c r="B133" s="286"/>
      <c r="C133" s="286"/>
      <c r="D133" s="286"/>
      <c r="E133" s="286"/>
      <c r="F133" s="286"/>
      <c r="G133" s="286"/>
      <c r="H133" s="286"/>
      <c r="I133" s="286"/>
      <c r="J133" s="286"/>
      <c r="K133" s="286"/>
      <c r="L133" s="286"/>
      <c r="M133" s="286"/>
      <c r="N133" s="286"/>
      <c r="O133" s="287"/>
      <c r="P133" s="298" t="s">
        <v>87</v>
      </c>
      <c r="Q133" s="299"/>
      <c r="R133" s="299"/>
      <c r="S133" s="299"/>
      <c r="T133" s="299"/>
      <c r="U133" s="299"/>
      <c r="V133" s="300"/>
      <c r="W133" s="37" t="s">
        <v>68</v>
      </c>
      <c r="X133" s="278">
        <f>IFERROR(SUM(X129:X132),"0")</f>
        <v>420</v>
      </c>
      <c r="Y133" s="278">
        <f>IFERROR(SUM(Y129:Y132),"0")</f>
        <v>420</v>
      </c>
      <c r="Z133" s="278">
        <f>IFERROR(IF(Z129="",0,Z129),"0")+IFERROR(IF(Z130="",0,Z130),"0")+IFERROR(IF(Z131="",0,Z131),"0")+IFERROR(IF(Z132="",0,Z132),"0")</f>
        <v>3.9521999999999999</v>
      </c>
      <c r="AA133" s="279"/>
      <c r="AB133" s="279"/>
      <c r="AC133" s="279"/>
    </row>
    <row r="134" spans="1:68" x14ac:dyDescent="0.2">
      <c r="A134" s="286"/>
      <c r="B134" s="286"/>
      <c r="C134" s="286"/>
      <c r="D134" s="286"/>
      <c r="E134" s="286"/>
      <c r="F134" s="286"/>
      <c r="G134" s="286"/>
      <c r="H134" s="286"/>
      <c r="I134" s="286"/>
      <c r="J134" s="286"/>
      <c r="K134" s="286"/>
      <c r="L134" s="286"/>
      <c r="M134" s="286"/>
      <c r="N134" s="286"/>
      <c r="O134" s="287"/>
      <c r="P134" s="298" t="s">
        <v>87</v>
      </c>
      <c r="Q134" s="299"/>
      <c r="R134" s="299"/>
      <c r="S134" s="299"/>
      <c r="T134" s="299"/>
      <c r="U134" s="299"/>
      <c r="V134" s="300"/>
      <c r="W134" s="37" t="s">
        <v>88</v>
      </c>
      <c r="X134" s="278">
        <f>IFERROR(SUMPRODUCT(X129:X132*H129:H132),"0")</f>
        <v>575.4</v>
      </c>
      <c r="Y134" s="278">
        <f>IFERROR(SUMPRODUCT(Y129:Y132*H129:H132),"0")</f>
        <v>575.4</v>
      </c>
      <c r="Z134" s="37"/>
      <c r="AA134" s="279"/>
      <c r="AB134" s="279"/>
      <c r="AC134" s="279"/>
    </row>
    <row r="135" spans="1:68" ht="14.25" hidden="1" customHeight="1" x14ac:dyDescent="0.25">
      <c r="A135" s="288" t="s">
        <v>218</v>
      </c>
      <c r="B135" s="286"/>
      <c r="C135" s="286"/>
      <c r="D135" s="286"/>
      <c r="E135" s="286"/>
      <c r="F135" s="286"/>
      <c r="G135" s="286"/>
      <c r="H135" s="286"/>
      <c r="I135" s="286"/>
      <c r="J135" s="286"/>
      <c r="K135" s="286"/>
      <c r="L135" s="286"/>
      <c r="M135" s="286"/>
      <c r="N135" s="286"/>
      <c r="O135" s="286"/>
      <c r="P135" s="286"/>
      <c r="Q135" s="286"/>
      <c r="R135" s="286"/>
      <c r="S135" s="286"/>
      <c r="T135" s="286"/>
      <c r="U135" s="286"/>
      <c r="V135" s="286"/>
      <c r="W135" s="286"/>
      <c r="X135" s="286"/>
      <c r="Y135" s="286"/>
      <c r="Z135" s="286"/>
      <c r="AA135" s="272"/>
      <c r="AB135" s="272"/>
      <c r="AC135" s="272"/>
    </row>
    <row r="136" spans="1:68" ht="27" hidden="1" customHeight="1" x14ac:dyDescent="0.25">
      <c r="A136" s="54" t="s">
        <v>219</v>
      </c>
      <c r="B136" s="54" t="s">
        <v>220</v>
      </c>
      <c r="C136" s="31">
        <v>4301190117</v>
      </c>
      <c r="D136" s="280">
        <v>4620207491386</v>
      </c>
      <c r="E136" s="281"/>
      <c r="F136" s="275">
        <v>0.18</v>
      </c>
      <c r="G136" s="32">
        <v>6</v>
      </c>
      <c r="H136" s="275">
        <v>1.08</v>
      </c>
      <c r="I136" s="275">
        <v>1.3979999999999999</v>
      </c>
      <c r="J136" s="32">
        <v>140</v>
      </c>
      <c r="K136" s="32" t="s">
        <v>100</v>
      </c>
      <c r="L136" s="32" t="s">
        <v>66</v>
      </c>
      <c r="M136" s="33" t="s">
        <v>67</v>
      </c>
      <c r="N136" s="33"/>
      <c r="O136" s="32">
        <v>180</v>
      </c>
      <c r="P136" s="453" t="str">
        <f>HYPERLINK("https://abi.ru/products/Замороженные/Горячая штучка/Sam Kusay/Изделия хлебобулочные/P005201/","Изделия хлебобулочные «Хрустипай апельсин имбирь» Фикс.вес 0,18 ТМ «Горячая штучка»")</f>
        <v>Изделия хлебобулочные «Хрустипай апельсин имбирь» Фикс.вес 0,18 ТМ «Горячая штучка»</v>
      </c>
      <c r="Q136" s="283"/>
      <c r="R136" s="283"/>
      <c r="S136" s="283"/>
      <c r="T136" s="284"/>
      <c r="U136" s="34"/>
      <c r="V136" s="34"/>
      <c r="W136" s="35" t="s">
        <v>68</v>
      </c>
      <c r="X136" s="276">
        <v>0</v>
      </c>
      <c r="Y136" s="277">
        <f>IFERROR(IF(X136="","",X136),"")</f>
        <v>0</v>
      </c>
      <c r="Z136" s="36">
        <f>IFERROR(IF(X136="","",X136*0.00941),"")</f>
        <v>0</v>
      </c>
      <c r="AA136" s="56"/>
      <c r="AB136" s="57"/>
      <c r="AC136" s="172" t="s">
        <v>221</v>
      </c>
      <c r="AG136" s="67"/>
      <c r="AJ136" s="71" t="s">
        <v>70</v>
      </c>
      <c r="AK136" s="71">
        <v>1</v>
      </c>
      <c r="BB136" s="173" t="s">
        <v>104</v>
      </c>
      <c r="BM136" s="67">
        <f>IFERROR(X136*I136,"0")</f>
        <v>0</v>
      </c>
      <c r="BN136" s="67">
        <f>IFERROR(Y136*I136,"0")</f>
        <v>0</v>
      </c>
      <c r="BO136" s="67">
        <f>IFERROR(X136/J136,"0")</f>
        <v>0</v>
      </c>
      <c r="BP136" s="67">
        <f>IFERROR(Y136/J136,"0")</f>
        <v>0</v>
      </c>
    </row>
    <row r="137" spans="1:68" ht="27" hidden="1" customHeight="1" x14ac:dyDescent="0.25">
      <c r="A137" s="54" t="s">
        <v>222</v>
      </c>
      <c r="B137" s="54" t="s">
        <v>223</v>
      </c>
      <c r="C137" s="31">
        <v>4301190115</v>
      </c>
      <c r="D137" s="280">
        <v>4620207491362</v>
      </c>
      <c r="E137" s="281"/>
      <c r="F137" s="275">
        <v>0.18</v>
      </c>
      <c r="G137" s="32">
        <v>6</v>
      </c>
      <c r="H137" s="275">
        <v>1.08</v>
      </c>
      <c r="I137" s="275">
        <v>1.3979999999999999</v>
      </c>
      <c r="J137" s="32">
        <v>140</v>
      </c>
      <c r="K137" s="32" t="s">
        <v>100</v>
      </c>
      <c r="L137" s="32" t="s">
        <v>66</v>
      </c>
      <c r="M137" s="33" t="s">
        <v>67</v>
      </c>
      <c r="N137" s="33"/>
      <c r="O137" s="32">
        <v>180</v>
      </c>
      <c r="P137" s="419" t="str">
        <f>HYPERLINK("https://abi.ru/products/Замороженные/Горячая штучка/Sam Kusay/Изделия хлебобулочные/P005199/","Изделия хлебобулочные «Хрустипай манго маракуйя» Фикс.вес 0,18 ТМ «Горячая штучка»")</f>
        <v>Изделия хлебобулочные «Хрустипай манго маракуйя» Фикс.вес 0,18 ТМ «Горячая штучка»</v>
      </c>
      <c r="Q137" s="283"/>
      <c r="R137" s="283"/>
      <c r="S137" s="283"/>
      <c r="T137" s="284"/>
      <c r="U137" s="34"/>
      <c r="V137" s="34"/>
      <c r="W137" s="35" t="s">
        <v>68</v>
      </c>
      <c r="X137" s="276">
        <v>0</v>
      </c>
      <c r="Y137" s="277">
        <f>IFERROR(IF(X137="","",X137),"")</f>
        <v>0</v>
      </c>
      <c r="Z137" s="36">
        <f>IFERROR(IF(X137="","",X137*0.00941),"")</f>
        <v>0</v>
      </c>
      <c r="AA137" s="56"/>
      <c r="AB137" s="57"/>
      <c r="AC137" s="174" t="s">
        <v>221</v>
      </c>
      <c r="AG137" s="67"/>
      <c r="AJ137" s="71" t="s">
        <v>70</v>
      </c>
      <c r="AK137" s="71">
        <v>1</v>
      </c>
      <c r="BB137" s="175" t="s">
        <v>104</v>
      </c>
      <c r="BM137" s="67">
        <f>IFERROR(X137*I137,"0")</f>
        <v>0</v>
      </c>
      <c r="BN137" s="67">
        <f>IFERROR(Y137*I137,"0")</f>
        <v>0</v>
      </c>
      <c r="BO137" s="67">
        <f>IFERROR(X137/J137,"0")</f>
        <v>0</v>
      </c>
      <c r="BP137" s="67">
        <f>IFERROR(Y137/J137,"0")</f>
        <v>0</v>
      </c>
    </row>
    <row r="138" spans="1:68" ht="27" hidden="1" customHeight="1" x14ac:dyDescent="0.25">
      <c r="A138" s="54" t="s">
        <v>224</v>
      </c>
      <c r="B138" s="54" t="s">
        <v>225</v>
      </c>
      <c r="C138" s="31">
        <v>4301190116</v>
      </c>
      <c r="D138" s="280">
        <v>4620207491379</v>
      </c>
      <c r="E138" s="281"/>
      <c r="F138" s="275">
        <v>0.18</v>
      </c>
      <c r="G138" s="32">
        <v>6</v>
      </c>
      <c r="H138" s="275">
        <v>1.08</v>
      </c>
      <c r="I138" s="275">
        <v>1.3979999999999999</v>
      </c>
      <c r="J138" s="32">
        <v>140</v>
      </c>
      <c r="K138" s="32" t="s">
        <v>100</v>
      </c>
      <c r="L138" s="32" t="s">
        <v>66</v>
      </c>
      <c r="M138" s="33" t="s">
        <v>67</v>
      </c>
      <c r="N138" s="33"/>
      <c r="O138" s="32">
        <v>180</v>
      </c>
      <c r="P138" s="351" t="str">
        <f>HYPERLINK("https://abi.ru/products/Замороженные/Горячая штучка/Sam Kusay/Изделия хлебобулочные/P005200/","Изделия хлебобулочные «Хрустипай манго чили» Фикс.вес 0,18 ТМ «Горячая штучка»")</f>
        <v>Изделия хлебобулочные «Хрустипай манго чили» Фикс.вес 0,18 ТМ «Горячая штучка»</v>
      </c>
      <c r="Q138" s="283"/>
      <c r="R138" s="283"/>
      <c r="S138" s="283"/>
      <c r="T138" s="284"/>
      <c r="U138" s="34"/>
      <c r="V138" s="34"/>
      <c r="W138" s="35" t="s">
        <v>68</v>
      </c>
      <c r="X138" s="276">
        <v>0</v>
      </c>
      <c r="Y138" s="277">
        <f>IFERROR(IF(X138="","",X138),"")</f>
        <v>0</v>
      </c>
      <c r="Z138" s="36">
        <f>IFERROR(IF(X138="","",X138*0.00941),"")</f>
        <v>0</v>
      </c>
      <c r="AA138" s="56"/>
      <c r="AB138" s="57"/>
      <c r="AC138" s="176" t="s">
        <v>221</v>
      </c>
      <c r="AG138" s="67"/>
      <c r="AJ138" s="71" t="s">
        <v>70</v>
      </c>
      <c r="AK138" s="71">
        <v>1</v>
      </c>
      <c r="BB138" s="177" t="s">
        <v>104</v>
      </c>
      <c r="BM138" s="67">
        <f>IFERROR(X138*I138,"0")</f>
        <v>0</v>
      </c>
      <c r="BN138" s="67">
        <f>IFERROR(Y138*I138,"0")</f>
        <v>0</v>
      </c>
      <c r="BO138" s="67">
        <f>IFERROR(X138/J138,"0")</f>
        <v>0</v>
      </c>
      <c r="BP138" s="67">
        <f>IFERROR(Y138/J138,"0")</f>
        <v>0</v>
      </c>
    </row>
    <row r="139" spans="1:68" hidden="1" x14ac:dyDescent="0.2">
      <c r="A139" s="285"/>
      <c r="B139" s="286"/>
      <c r="C139" s="286"/>
      <c r="D139" s="286"/>
      <c r="E139" s="286"/>
      <c r="F139" s="286"/>
      <c r="G139" s="286"/>
      <c r="H139" s="286"/>
      <c r="I139" s="286"/>
      <c r="J139" s="286"/>
      <c r="K139" s="286"/>
      <c r="L139" s="286"/>
      <c r="M139" s="286"/>
      <c r="N139" s="286"/>
      <c r="O139" s="287"/>
      <c r="P139" s="298" t="s">
        <v>87</v>
      </c>
      <c r="Q139" s="299"/>
      <c r="R139" s="299"/>
      <c r="S139" s="299"/>
      <c r="T139" s="299"/>
      <c r="U139" s="299"/>
      <c r="V139" s="300"/>
      <c r="W139" s="37" t="s">
        <v>68</v>
      </c>
      <c r="X139" s="278">
        <f>IFERROR(SUM(X136:X138),"0")</f>
        <v>0</v>
      </c>
      <c r="Y139" s="278">
        <f>IFERROR(SUM(Y136:Y138),"0")</f>
        <v>0</v>
      </c>
      <c r="Z139" s="278">
        <f>IFERROR(IF(Z136="",0,Z136),"0")+IFERROR(IF(Z137="",0,Z137),"0")+IFERROR(IF(Z138="",0,Z138),"0")</f>
        <v>0</v>
      </c>
      <c r="AA139" s="279"/>
      <c r="AB139" s="279"/>
      <c r="AC139" s="279"/>
    </row>
    <row r="140" spans="1:68" hidden="1" x14ac:dyDescent="0.2">
      <c r="A140" s="286"/>
      <c r="B140" s="286"/>
      <c r="C140" s="286"/>
      <c r="D140" s="286"/>
      <c r="E140" s="286"/>
      <c r="F140" s="286"/>
      <c r="G140" s="286"/>
      <c r="H140" s="286"/>
      <c r="I140" s="286"/>
      <c r="J140" s="286"/>
      <c r="K140" s="286"/>
      <c r="L140" s="286"/>
      <c r="M140" s="286"/>
      <c r="N140" s="286"/>
      <c r="O140" s="287"/>
      <c r="P140" s="298" t="s">
        <v>87</v>
      </c>
      <c r="Q140" s="299"/>
      <c r="R140" s="299"/>
      <c r="S140" s="299"/>
      <c r="T140" s="299"/>
      <c r="U140" s="299"/>
      <c r="V140" s="300"/>
      <c r="W140" s="37" t="s">
        <v>88</v>
      </c>
      <c r="X140" s="278">
        <f>IFERROR(SUMPRODUCT(X136:X138*H136:H138),"0")</f>
        <v>0</v>
      </c>
      <c r="Y140" s="278">
        <f>IFERROR(SUMPRODUCT(Y136:Y138*H136:H138),"0")</f>
        <v>0</v>
      </c>
      <c r="Z140" s="37"/>
      <c r="AA140" s="279"/>
      <c r="AB140" s="279"/>
      <c r="AC140" s="279"/>
    </row>
    <row r="141" spans="1:68" ht="16.5" hidden="1" customHeight="1" x14ac:dyDescent="0.25">
      <c r="A141" s="304" t="s">
        <v>226</v>
      </c>
      <c r="B141" s="286"/>
      <c r="C141" s="286"/>
      <c r="D141" s="286"/>
      <c r="E141" s="286"/>
      <c r="F141" s="286"/>
      <c r="G141" s="286"/>
      <c r="H141" s="286"/>
      <c r="I141" s="286"/>
      <c r="J141" s="286"/>
      <c r="K141" s="286"/>
      <c r="L141" s="286"/>
      <c r="M141" s="286"/>
      <c r="N141" s="286"/>
      <c r="O141" s="286"/>
      <c r="P141" s="286"/>
      <c r="Q141" s="286"/>
      <c r="R141" s="286"/>
      <c r="S141" s="286"/>
      <c r="T141" s="286"/>
      <c r="U141" s="286"/>
      <c r="V141" s="286"/>
      <c r="W141" s="286"/>
      <c r="X141" s="286"/>
      <c r="Y141" s="286"/>
      <c r="Z141" s="286"/>
      <c r="AA141" s="271"/>
      <c r="AB141" s="271"/>
      <c r="AC141" s="271"/>
    </row>
    <row r="142" spans="1:68" ht="14.25" hidden="1" customHeight="1" x14ac:dyDescent="0.25">
      <c r="A142" s="288" t="s">
        <v>135</v>
      </c>
      <c r="B142" s="286"/>
      <c r="C142" s="286"/>
      <c r="D142" s="286"/>
      <c r="E142" s="286"/>
      <c r="F142" s="286"/>
      <c r="G142" s="286"/>
      <c r="H142" s="286"/>
      <c r="I142" s="286"/>
      <c r="J142" s="286"/>
      <c r="K142" s="286"/>
      <c r="L142" s="286"/>
      <c r="M142" s="286"/>
      <c r="N142" s="286"/>
      <c r="O142" s="286"/>
      <c r="P142" s="286"/>
      <c r="Q142" s="286"/>
      <c r="R142" s="286"/>
      <c r="S142" s="286"/>
      <c r="T142" s="286"/>
      <c r="U142" s="286"/>
      <c r="V142" s="286"/>
      <c r="W142" s="286"/>
      <c r="X142" s="286"/>
      <c r="Y142" s="286"/>
      <c r="Z142" s="286"/>
      <c r="AA142" s="272"/>
      <c r="AB142" s="272"/>
      <c r="AC142" s="272"/>
    </row>
    <row r="143" spans="1:68" ht="27" customHeight="1" x14ac:dyDescent="0.25">
      <c r="A143" s="54" t="s">
        <v>227</v>
      </c>
      <c r="B143" s="54" t="s">
        <v>228</v>
      </c>
      <c r="C143" s="31">
        <v>4301135555</v>
      </c>
      <c r="D143" s="280">
        <v>4607111034014</v>
      </c>
      <c r="E143" s="281"/>
      <c r="F143" s="275">
        <v>0.25</v>
      </c>
      <c r="G143" s="32">
        <v>12</v>
      </c>
      <c r="H143" s="275">
        <v>3</v>
      </c>
      <c r="I143" s="275">
        <v>3.7035999999999998</v>
      </c>
      <c r="J143" s="32">
        <v>70</v>
      </c>
      <c r="K143" s="32" t="s">
        <v>100</v>
      </c>
      <c r="L143" s="32" t="s">
        <v>101</v>
      </c>
      <c r="M143" s="33" t="s">
        <v>67</v>
      </c>
      <c r="N143" s="33"/>
      <c r="O143" s="32">
        <v>180</v>
      </c>
      <c r="P143" s="394" t="str">
        <f>HYPERLINK("https://abi.ru/products/Замороженные/Горячая штучка/Чебупицца/Снеки/P004484/","Снеки «Чебупицца курочка По-итальянски» Фикс.вес 0,25 Пакет ТМ «Горячая штучка»")</f>
        <v>Снеки «Чебупицца курочка По-итальянски» Фикс.вес 0,25 Пакет ТМ «Горячая штучка»</v>
      </c>
      <c r="Q143" s="283"/>
      <c r="R143" s="283"/>
      <c r="S143" s="283"/>
      <c r="T143" s="284"/>
      <c r="U143" s="34"/>
      <c r="V143" s="34"/>
      <c r="W143" s="35" t="s">
        <v>68</v>
      </c>
      <c r="X143" s="276">
        <v>210</v>
      </c>
      <c r="Y143" s="277">
        <f>IFERROR(IF(X143="","",X143),"")</f>
        <v>210</v>
      </c>
      <c r="Z143" s="36">
        <f>IFERROR(IF(X143="","",X143*0.01788),"")</f>
        <v>3.7547999999999999</v>
      </c>
      <c r="AA143" s="56"/>
      <c r="AB143" s="57"/>
      <c r="AC143" s="178" t="s">
        <v>229</v>
      </c>
      <c r="AG143" s="67"/>
      <c r="AJ143" s="71" t="s">
        <v>103</v>
      </c>
      <c r="AK143" s="71">
        <v>14</v>
      </c>
      <c r="BB143" s="179" t="s">
        <v>104</v>
      </c>
      <c r="BM143" s="67">
        <f>IFERROR(X143*I143,"0")</f>
        <v>777.75599999999997</v>
      </c>
      <c r="BN143" s="67">
        <f>IFERROR(Y143*I143,"0")</f>
        <v>777.75599999999997</v>
      </c>
      <c r="BO143" s="67">
        <f>IFERROR(X143/J143,"0")</f>
        <v>3</v>
      </c>
      <c r="BP143" s="67">
        <f>IFERROR(Y143/J143,"0")</f>
        <v>3</v>
      </c>
    </row>
    <row r="144" spans="1:68" ht="27" customHeight="1" x14ac:dyDescent="0.25">
      <c r="A144" s="54" t="s">
        <v>230</v>
      </c>
      <c r="B144" s="54" t="s">
        <v>231</v>
      </c>
      <c r="C144" s="31">
        <v>4301135532</v>
      </c>
      <c r="D144" s="280">
        <v>4607111033994</v>
      </c>
      <c r="E144" s="281"/>
      <c r="F144" s="275">
        <v>0.25</v>
      </c>
      <c r="G144" s="32">
        <v>12</v>
      </c>
      <c r="H144" s="275">
        <v>3</v>
      </c>
      <c r="I144" s="275">
        <v>3.7035999999999998</v>
      </c>
      <c r="J144" s="32">
        <v>70</v>
      </c>
      <c r="K144" s="32" t="s">
        <v>100</v>
      </c>
      <c r="L144" s="32" t="s">
        <v>101</v>
      </c>
      <c r="M144" s="33" t="s">
        <v>67</v>
      </c>
      <c r="N144" s="33"/>
      <c r="O144" s="32">
        <v>180</v>
      </c>
      <c r="P144" s="295" t="str">
        <f>HYPERLINK("https://abi.ru/products/Замороженные/Горячая штучка/Чебупицца/Снеки/P004486/","Снеки «Чебупицца Пепперони» Фикс.вес 0,25 Пакет ТМ «Горячая штучка»")</f>
        <v>Снеки «Чебупицца Пепперони» Фикс.вес 0,25 Пакет ТМ «Горячая штучка»</v>
      </c>
      <c r="Q144" s="283"/>
      <c r="R144" s="283"/>
      <c r="S144" s="283"/>
      <c r="T144" s="284"/>
      <c r="U144" s="34"/>
      <c r="V144" s="34"/>
      <c r="W144" s="35" t="s">
        <v>68</v>
      </c>
      <c r="X144" s="276">
        <v>420</v>
      </c>
      <c r="Y144" s="277">
        <f>IFERROR(IF(X144="","",X144),"")</f>
        <v>420</v>
      </c>
      <c r="Z144" s="36">
        <f>IFERROR(IF(X144="","",X144*0.01788),"")</f>
        <v>7.5095999999999998</v>
      </c>
      <c r="AA144" s="56"/>
      <c r="AB144" s="57"/>
      <c r="AC144" s="180" t="s">
        <v>153</v>
      </c>
      <c r="AG144" s="67"/>
      <c r="AJ144" s="71" t="s">
        <v>103</v>
      </c>
      <c r="AK144" s="71">
        <v>14</v>
      </c>
      <c r="BB144" s="181" t="s">
        <v>104</v>
      </c>
      <c r="BM144" s="67">
        <f>IFERROR(X144*I144,"0")</f>
        <v>1555.5119999999999</v>
      </c>
      <c r="BN144" s="67">
        <f>IFERROR(Y144*I144,"0")</f>
        <v>1555.5119999999999</v>
      </c>
      <c r="BO144" s="67">
        <f>IFERROR(X144/J144,"0")</f>
        <v>6</v>
      </c>
      <c r="BP144" s="67">
        <f>IFERROR(Y144/J144,"0")</f>
        <v>6</v>
      </c>
    </row>
    <row r="145" spans="1:68" x14ac:dyDescent="0.2">
      <c r="A145" s="285"/>
      <c r="B145" s="286"/>
      <c r="C145" s="286"/>
      <c r="D145" s="286"/>
      <c r="E145" s="286"/>
      <c r="F145" s="286"/>
      <c r="G145" s="286"/>
      <c r="H145" s="286"/>
      <c r="I145" s="286"/>
      <c r="J145" s="286"/>
      <c r="K145" s="286"/>
      <c r="L145" s="286"/>
      <c r="M145" s="286"/>
      <c r="N145" s="286"/>
      <c r="O145" s="287"/>
      <c r="P145" s="298" t="s">
        <v>87</v>
      </c>
      <c r="Q145" s="299"/>
      <c r="R145" s="299"/>
      <c r="S145" s="299"/>
      <c r="T145" s="299"/>
      <c r="U145" s="299"/>
      <c r="V145" s="300"/>
      <c r="W145" s="37" t="s">
        <v>68</v>
      </c>
      <c r="X145" s="278">
        <f>IFERROR(SUM(X143:X144),"0")</f>
        <v>630</v>
      </c>
      <c r="Y145" s="278">
        <f>IFERROR(SUM(Y143:Y144),"0")</f>
        <v>630</v>
      </c>
      <c r="Z145" s="278">
        <f>IFERROR(IF(Z143="",0,Z143),"0")+IFERROR(IF(Z144="",0,Z144),"0")</f>
        <v>11.2644</v>
      </c>
      <c r="AA145" s="279"/>
      <c r="AB145" s="279"/>
      <c r="AC145" s="279"/>
    </row>
    <row r="146" spans="1:68" x14ac:dyDescent="0.2">
      <c r="A146" s="286"/>
      <c r="B146" s="286"/>
      <c r="C146" s="286"/>
      <c r="D146" s="286"/>
      <c r="E146" s="286"/>
      <c r="F146" s="286"/>
      <c r="G146" s="286"/>
      <c r="H146" s="286"/>
      <c r="I146" s="286"/>
      <c r="J146" s="286"/>
      <c r="K146" s="286"/>
      <c r="L146" s="286"/>
      <c r="M146" s="286"/>
      <c r="N146" s="286"/>
      <c r="O146" s="287"/>
      <c r="P146" s="298" t="s">
        <v>87</v>
      </c>
      <c r="Q146" s="299"/>
      <c r="R146" s="299"/>
      <c r="S146" s="299"/>
      <c r="T146" s="299"/>
      <c r="U146" s="299"/>
      <c r="V146" s="300"/>
      <c r="W146" s="37" t="s">
        <v>88</v>
      </c>
      <c r="X146" s="278">
        <f>IFERROR(SUMPRODUCT(X143:X144*H143:H144),"0")</f>
        <v>1890</v>
      </c>
      <c r="Y146" s="278">
        <f>IFERROR(SUMPRODUCT(Y143:Y144*H143:H144),"0")</f>
        <v>1890</v>
      </c>
      <c r="Z146" s="37"/>
      <c r="AA146" s="279"/>
      <c r="AB146" s="279"/>
      <c r="AC146" s="279"/>
    </row>
    <row r="147" spans="1:68" ht="16.5" hidden="1" customHeight="1" x14ac:dyDescent="0.25">
      <c r="A147" s="304" t="s">
        <v>232</v>
      </c>
      <c r="B147" s="286"/>
      <c r="C147" s="286"/>
      <c r="D147" s="286"/>
      <c r="E147" s="286"/>
      <c r="F147" s="286"/>
      <c r="G147" s="286"/>
      <c r="H147" s="286"/>
      <c r="I147" s="286"/>
      <c r="J147" s="286"/>
      <c r="K147" s="286"/>
      <c r="L147" s="286"/>
      <c r="M147" s="286"/>
      <c r="N147" s="286"/>
      <c r="O147" s="286"/>
      <c r="P147" s="286"/>
      <c r="Q147" s="286"/>
      <c r="R147" s="286"/>
      <c r="S147" s="286"/>
      <c r="T147" s="286"/>
      <c r="U147" s="286"/>
      <c r="V147" s="286"/>
      <c r="W147" s="286"/>
      <c r="X147" s="286"/>
      <c r="Y147" s="286"/>
      <c r="Z147" s="286"/>
      <c r="AA147" s="271"/>
      <c r="AB147" s="271"/>
      <c r="AC147" s="271"/>
    </row>
    <row r="148" spans="1:68" ht="14.25" hidden="1" customHeight="1" x14ac:dyDescent="0.25">
      <c r="A148" s="288" t="s">
        <v>135</v>
      </c>
      <c r="B148" s="286"/>
      <c r="C148" s="286"/>
      <c r="D148" s="286"/>
      <c r="E148" s="286"/>
      <c r="F148" s="286"/>
      <c r="G148" s="286"/>
      <c r="H148" s="286"/>
      <c r="I148" s="286"/>
      <c r="J148" s="286"/>
      <c r="K148" s="286"/>
      <c r="L148" s="286"/>
      <c r="M148" s="286"/>
      <c r="N148" s="286"/>
      <c r="O148" s="286"/>
      <c r="P148" s="286"/>
      <c r="Q148" s="286"/>
      <c r="R148" s="286"/>
      <c r="S148" s="286"/>
      <c r="T148" s="286"/>
      <c r="U148" s="286"/>
      <c r="V148" s="286"/>
      <c r="W148" s="286"/>
      <c r="X148" s="286"/>
      <c r="Y148" s="286"/>
      <c r="Z148" s="286"/>
      <c r="AA148" s="272"/>
      <c r="AB148" s="272"/>
      <c r="AC148" s="272"/>
    </row>
    <row r="149" spans="1:68" ht="27" customHeight="1" x14ac:dyDescent="0.25">
      <c r="A149" s="54" t="s">
        <v>233</v>
      </c>
      <c r="B149" s="54" t="s">
        <v>234</v>
      </c>
      <c r="C149" s="31">
        <v>4301135824</v>
      </c>
      <c r="D149" s="280">
        <v>4607111039095</v>
      </c>
      <c r="E149" s="281"/>
      <c r="F149" s="275">
        <v>0.25</v>
      </c>
      <c r="G149" s="32">
        <v>12</v>
      </c>
      <c r="H149" s="275">
        <v>3</v>
      </c>
      <c r="I149" s="275">
        <v>3.7480000000000002</v>
      </c>
      <c r="J149" s="32">
        <v>70</v>
      </c>
      <c r="K149" s="32" t="s">
        <v>100</v>
      </c>
      <c r="L149" s="32" t="s">
        <v>66</v>
      </c>
      <c r="M149" s="33" t="s">
        <v>67</v>
      </c>
      <c r="N149" s="33"/>
      <c r="O149" s="32">
        <v>180</v>
      </c>
      <c r="P149" s="458" t="str">
        <f>HYPERLINK("https://abi.ru/products/Замороженные/Горячая штучка/Хотстеры/Снеки/P005058/","Снеки «Хотстеры с сыром» Фикс.вес 0,25 ТМ «Горячая штучка»")</f>
        <v>Снеки «Хотстеры с сыром» Фикс.вес 0,25 ТМ «Горячая штучка»</v>
      </c>
      <c r="Q149" s="283"/>
      <c r="R149" s="283"/>
      <c r="S149" s="283"/>
      <c r="T149" s="284"/>
      <c r="U149" s="34"/>
      <c r="V149" s="34"/>
      <c r="W149" s="35" t="s">
        <v>68</v>
      </c>
      <c r="X149" s="276">
        <v>70</v>
      </c>
      <c r="Y149" s="277">
        <f>IFERROR(IF(X149="","",X149),"")</f>
        <v>70</v>
      </c>
      <c r="Z149" s="36">
        <f>IFERROR(IF(X149="","",X149*0.01788),"")</f>
        <v>1.2516</v>
      </c>
      <c r="AA149" s="56"/>
      <c r="AB149" s="57"/>
      <c r="AC149" s="182" t="s">
        <v>235</v>
      </c>
      <c r="AG149" s="67"/>
      <c r="AJ149" s="71" t="s">
        <v>70</v>
      </c>
      <c r="AK149" s="71">
        <v>1</v>
      </c>
      <c r="BB149" s="183" t="s">
        <v>104</v>
      </c>
      <c r="BM149" s="67">
        <f>IFERROR(X149*I149,"0")</f>
        <v>262.36</v>
      </c>
      <c r="BN149" s="67">
        <f>IFERROR(Y149*I149,"0")</f>
        <v>262.36</v>
      </c>
      <c r="BO149" s="67">
        <f>IFERROR(X149/J149,"0")</f>
        <v>1</v>
      </c>
      <c r="BP149" s="67">
        <f>IFERROR(Y149/J149,"0")</f>
        <v>1</v>
      </c>
    </row>
    <row r="150" spans="1:68" ht="16.5" customHeight="1" x14ac:dyDescent="0.25">
      <c r="A150" s="54" t="s">
        <v>236</v>
      </c>
      <c r="B150" s="54" t="s">
        <v>237</v>
      </c>
      <c r="C150" s="31">
        <v>4301135550</v>
      </c>
      <c r="D150" s="280">
        <v>4607111034199</v>
      </c>
      <c r="E150" s="281"/>
      <c r="F150" s="275">
        <v>0.25</v>
      </c>
      <c r="G150" s="32">
        <v>12</v>
      </c>
      <c r="H150" s="275">
        <v>3</v>
      </c>
      <c r="I150" s="275">
        <v>3.7035999999999998</v>
      </c>
      <c r="J150" s="32">
        <v>70</v>
      </c>
      <c r="K150" s="32" t="s">
        <v>100</v>
      </c>
      <c r="L150" s="32" t="s">
        <v>101</v>
      </c>
      <c r="M150" s="33" t="s">
        <v>67</v>
      </c>
      <c r="N150" s="33"/>
      <c r="O150" s="32">
        <v>180</v>
      </c>
      <c r="P150" s="311" t="str">
        <f>HYPERLINK("https://abi.ru/products/Замороженные/Горячая штучка/Хотстеры/Снеки/P004489/","Снеки «Хотстеры» Фикс.вес 0,25 Пакет ТМ «Горячая штучка»")</f>
        <v>Снеки «Хотстеры» Фикс.вес 0,25 Пакет ТМ «Горячая штучка»</v>
      </c>
      <c r="Q150" s="283"/>
      <c r="R150" s="283"/>
      <c r="S150" s="283"/>
      <c r="T150" s="284"/>
      <c r="U150" s="34"/>
      <c r="V150" s="34"/>
      <c r="W150" s="35" t="s">
        <v>68</v>
      </c>
      <c r="X150" s="276">
        <v>140</v>
      </c>
      <c r="Y150" s="277">
        <f>IFERROR(IF(X150="","",X150),"")</f>
        <v>140</v>
      </c>
      <c r="Z150" s="36">
        <f>IFERROR(IF(X150="","",X150*0.01788),"")</f>
        <v>2.5032000000000001</v>
      </c>
      <c r="AA150" s="56"/>
      <c r="AB150" s="57"/>
      <c r="AC150" s="184" t="s">
        <v>238</v>
      </c>
      <c r="AG150" s="67"/>
      <c r="AJ150" s="71" t="s">
        <v>103</v>
      </c>
      <c r="AK150" s="71">
        <v>14</v>
      </c>
      <c r="BB150" s="185" t="s">
        <v>104</v>
      </c>
      <c r="BM150" s="67">
        <f>IFERROR(X150*I150,"0")</f>
        <v>518.50400000000002</v>
      </c>
      <c r="BN150" s="67">
        <f>IFERROR(Y150*I150,"0")</f>
        <v>518.50400000000002</v>
      </c>
      <c r="BO150" s="67">
        <f>IFERROR(X150/J150,"0")</f>
        <v>2</v>
      </c>
      <c r="BP150" s="67">
        <f>IFERROR(Y150/J150,"0")</f>
        <v>2</v>
      </c>
    </row>
    <row r="151" spans="1:68" x14ac:dyDescent="0.2">
      <c r="A151" s="285"/>
      <c r="B151" s="286"/>
      <c r="C151" s="286"/>
      <c r="D151" s="286"/>
      <c r="E151" s="286"/>
      <c r="F151" s="286"/>
      <c r="G151" s="286"/>
      <c r="H151" s="286"/>
      <c r="I151" s="286"/>
      <c r="J151" s="286"/>
      <c r="K151" s="286"/>
      <c r="L151" s="286"/>
      <c r="M151" s="286"/>
      <c r="N151" s="286"/>
      <c r="O151" s="287"/>
      <c r="P151" s="298" t="s">
        <v>87</v>
      </c>
      <c r="Q151" s="299"/>
      <c r="R151" s="299"/>
      <c r="S151" s="299"/>
      <c r="T151" s="299"/>
      <c r="U151" s="299"/>
      <c r="V151" s="300"/>
      <c r="W151" s="37" t="s">
        <v>68</v>
      </c>
      <c r="X151" s="278">
        <f>IFERROR(SUM(X149:X150),"0")</f>
        <v>210</v>
      </c>
      <c r="Y151" s="278">
        <f>IFERROR(SUM(Y149:Y150),"0")</f>
        <v>210</v>
      </c>
      <c r="Z151" s="278">
        <f>IFERROR(IF(Z149="",0,Z149),"0")+IFERROR(IF(Z150="",0,Z150),"0")</f>
        <v>3.7548000000000004</v>
      </c>
      <c r="AA151" s="279"/>
      <c r="AB151" s="279"/>
      <c r="AC151" s="279"/>
    </row>
    <row r="152" spans="1:68" x14ac:dyDescent="0.2">
      <c r="A152" s="286"/>
      <c r="B152" s="286"/>
      <c r="C152" s="286"/>
      <c r="D152" s="286"/>
      <c r="E152" s="286"/>
      <c r="F152" s="286"/>
      <c r="G152" s="286"/>
      <c r="H152" s="286"/>
      <c r="I152" s="286"/>
      <c r="J152" s="286"/>
      <c r="K152" s="286"/>
      <c r="L152" s="286"/>
      <c r="M152" s="286"/>
      <c r="N152" s="286"/>
      <c r="O152" s="287"/>
      <c r="P152" s="298" t="s">
        <v>87</v>
      </c>
      <c r="Q152" s="299"/>
      <c r="R152" s="299"/>
      <c r="S152" s="299"/>
      <c r="T152" s="299"/>
      <c r="U152" s="299"/>
      <c r="V152" s="300"/>
      <c r="W152" s="37" t="s">
        <v>88</v>
      </c>
      <c r="X152" s="278">
        <f>IFERROR(SUMPRODUCT(X149:X150*H149:H150),"0")</f>
        <v>630</v>
      </c>
      <c r="Y152" s="278">
        <f>IFERROR(SUMPRODUCT(Y149:Y150*H149:H150),"0")</f>
        <v>630</v>
      </c>
      <c r="Z152" s="37"/>
      <c r="AA152" s="279"/>
      <c r="AB152" s="279"/>
      <c r="AC152" s="279"/>
    </row>
    <row r="153" spans="1:68" ht="16.5" hidden="1" customHeight="1" x14ac:dyDescent="0.25">
      <c r="A153" s="304" t="s">
        <v>239</v>
      </c>
      <c r="B153" s="286"/>
      <c r="C153" s="286"/>
      <c r="D153" s="286"/>
      <c r="E153" s="286"/>
      <c r="F153" s="286"/>
      <c r="G153" s="286"/>
      <c r="H153" s="286"/>
      <c r="I153" s="286"/>
      <c r="J153" s="286"/>
      <c r="K153" s="286"/>
      <c r="L153" s="286"/>
      <c r="M153" s="286"/>
      <c r="N153" s="286"/>
      <c r="O153" s="286"/>
      <c r="P153" s="286"/>
      <c r="Q153" s="286"/>
      <c r="R153" s="286"/>
      <c r="S153" s="286"/>
      <c r="T153" s="286"/>
      <c r="U153" s="286"/>
      <c r="V153" s="286"/>
      <c r="W153" s="286"/>
      <c r="X153" s="286"/>
      <c r="Y153" s="286"/>
      <c r="Z153" s="286"/>
      <c r="AA153" s="271"/>
      <c r="AB153" s="271"/>
      <c r="AC153" s="271"/>
    </row>
    <row r="154" spans="1:68" ht="14.25" hidden="1" customHeight="1" x14ac:dyDescent="0.25">
      <c r="A154" s="288" t="s">
        <v>135</v>
      </c>
      <c r="B154" s="286"/>
      <c r="C154" s="286"/>
      <c r="D154" s="286"/>
      <c r="E154" s="286"/>
      <c r="F154" s="286"/>
      <c r="G154" s="286"/>
      <c r="H154" s="286"/>
      <c r="I154" s="286"/>
      <c r="J154" s="286"/>
      <c r="K154" s="286"/>
      <c r="L154" s="286"/>
      <c r="M154" s="286"/>
      <c r="N154" s="286"/>
      <c r="O154" s="286"/>
      <c r="P154" s="286"/>
      <c r="Q154" s="286"/>
      <c r="R154" s="286"/>
      <c r="S154" s="286"/>
      <c r="T154" s="286"/>
      <c r="U154" s="286"/>
      <c r="V154" s="286"/>
      <c r="W154" s="286"/>
      <c r="X154" s="286"/>
      <c r="Y154" s="286"/>
      <c r="Z154" s="286"/>
      <c r="AA154" s="272"/>
      <c r="AB154" s="272"/>
      <c r="AC154" s="272"/>
    </row>
    <row r="155" spans="1:68" ht="27" customHeight="1" x14ac:dyDescent="0.25">
      <c r="A155" s="54" t="s">
        <v>240</v>
      </c>
      <c r="B155" s="54" t="s">
        <v>241</v>
      </c>
      <c r="C155" s="31">
        <v>4301135753</v>
      </c>
      <c r="D155" s="280">
        <v>4620207490914</v>
      </c>
      <c r="E155" s="281"/>
      <c r="F155" s="275">
        <v>0.2</v>
      </c>
      <c r="G155" s="32">
        <v>12</v>
      </c>
      <c r="H155" s="275">
        <v>2.4</v>
      </c>
      <c r="I155" s="275">
        <v>2.68</v>
      </c>
      <c r="J155" s="32">
        <v>70</v>
      </c>
      <c r="K155" s="32" t="s">
        <v>100</v>
      </c>
      <c r="L155" s="32" t="s">
        <v>66</v>
      </c>
      <c r="M155" s="33" t="s">
        <v>67</v>
      </c>
      <c r="N155" s="33"/>
      <c r="O155" s="32">
        <v>180</v>
      </c>
      <c r="P155" s="301" t="str">
        <f>HYPERLINK("https://abi.ru/products/Замороженные/Горячая штучка/Круггетсы/Снеки/P004956/","Снеки «Круггетсы с сырным соусом» Фикс.вес 0,2 ТМ «Горячая штучка»")</f>
        <v>Снеки «Круггетсы с сырным соусом» Фикс.вес 0,2 ТМ «Горячая штучка»</v>
      </c>
      <c r="Q155" s="283"/>
      <c r="R155" s="283"/>
      <c r="S155" s="283"/>
      <c r="T155" s="284"/>
      <c r="U155" s="34"/>
      <c r="V155" s="34"/>
      <c r="W155" s="35" t="s">
        <v>68</v>
      </c>
      <c r="X155" s="276">
        <v>56</v>
      </c>
      <c r="Y155" s="277">
        <f>IFERROR(IF(X155="","",X155),"")</f>
        <v>56</v>
      </c>
      <c r="Z155" s="36">
        <f>IFERROR(IF(X155="","",X155*0.01788),"")</f>
        <v>1.0012799999999999</v>
      </c>
      <c r="AA155" s="56"/>
      <c r="AB155" s="57"/>
      <c r="AC155" s="186" t="s">
        <v>229</v>
      </c>
      <c r="AG155" s="67"/>
      <c r="AJ155" s="71" t="s">
        <v>70</v>
      </c>
      <c r="AK155" s="71">
        <v>1</v>
      </c>
      <c r="BB155" s="187" t="s">
        <v>104</v>
      </c>
      <c r="BM155" s="67">
        <f>IFERROR(X155*I155,"0")</f>
        <v>150.08000000000001</v>
      </c>
      <c r="BN155" s="67">
        <f>IFERROR(Y155*I155,"0")</f>
        <v>150.08000000000001</v>
      </c>
      <c r="BO155" s="67">
        <f>IFERROR(X155/J155,"0")</f>
        <v>0.8</v>
      </c>
      <c r="BP155" s="67">
        <f>IFERROR(Y155/J155,"0")</f>
        <v>0.8</v>
      </c>
    </row>
    <row r="156" spans="1:68" ht="27" customHeight="1" x14ac:dyDescent="0.25">
      <c r="A156" s="54" t="s">
        <v>242</v>
      </c>
      <c r="B156" s="54" t="s">
        <v>243</v>
      </c>
      <c r="C156" s="31">
        <v>4301135778</v>
      </c>
      <c r="D156" s="280">
        <v>4620207490853</v>
      </c>
      <c r="E156" s="281"/>
      <c r="F156" s="275">
        <v>0.2</v>
      </c>
      <c r="G156" s="32">
        <v>12</v>
      </c>
      <c r="H156" s="275">
        <v>2.4</v>
      </c>
      <c r="I156" s="275">
        <v>2.68</v>
      </c>
      <c r="J156" s="32">
        <v>70</v>
      </c>
      <c r="K156" s="32" t="s">
        <v>100</v>
      </c>
      <c r="L156" s="32" t="s">
        <v>101</v>
      </c>
      <c r="M156" s="33" t="s">
        <v>67</v>
      </c>
      <c r="N156" s="33"/>
      <c r="O156" s="32">
        <v>180</v>
      </c>
      <c r="P156" s="399" t="str">
        <f>HYPERLINK("https://abi.ru/products/Замороженные/Горячая штучка/Круггетсы/Снеки/P004953/","Снеки «Круггетсы сочные» Фикс.вес 0,2 ТМ «Горячая штучка»")</f>
        <v>Снеки «Круггетсы сочные» Фикс.вес 0,2 ТМ «Горячая штучка»</v>
      </c>
      <c r="Q156" s="283"/>
      <c r="R156" s="283"/>
      <c r="S156" s="283"/>
      <c r="T156" s="284"/>
      <c r="U156" s="34"/>
      <c r="V156" s="34"/>
      <c r="W156" s="35" t="s">
        <v>68</v>
      </c>
      <c r="X156" s="276">
        <v>112</v>
      </c>
      <c r="Y156" s="277">
        <f>IFERROR(IF(X156="","",X156),"")</f>
        <v>112</v>
      </c>
      <c r="Z156" s="36">
        <f>IFERROR(IF(X156="","",X156*0.01788),"")</f>
        <v>2.0025599999999999</v>
      </c>
      <c r="AA156" s="56"/>
      <c r="AB156" s="57"/>
      <c r="AC156" s="188" t="s">
        <v>229</v>
      </c>
      <c r="AG156" s="67"/>
      <c r="AJ156" s="71" t="s">
        <v>103</v>
      </c>
      <c r="AK156" s="71">
        <v>14</v>
      </c>
      <c r="BB156" s="189" t="s">
        <v>104</v>
      </c>
      <c r="BM156" s="67">
        <f>IFERROR(X156*I156,"0")</f>
        <v>300.16000000000003</v>
      </c>
      <c r="BN156" s="67">
        <f>IFERROR(Y156*I156,"0")</f>
        <v>300.16000000000003</v>
      </c>
      <c r="BO156" s="67">
        <f>IFERROR(X156/J156,"0")</f>
        <v>1.6</v>
      </c>
      <c r="BP156" s="67">
        <f>IFERROR(Y156/J156,"0")</f>
        <v>1.6</v>
      </c>
    </row>
    <row r="157" spans="1:68" x14ac:dyDescent="0.2">
      <c r="A157" s="285"/>
      <c r="B157" s="286"/>
      <c r="C157" s="286"/>
      <c r="D157" s="286"/>
      <c r="E157" s="286"/>
      <c r="F157" s="286"/>
      <c r="G157" s="286"/>
      <c r="H157" s="286"/>
      <c r="I157" s="286"/>
      <c r="J157" s="286"/>
      <c r="K157" s="286"/>
      <c r="L157" s="286"/>
      <c r="M157" s="286"/>
      <c r="N157" s="286"/>
      <c r="O157" s="287"/>
      <c r="P157" s="298" t="s">
        <v>87</v>
      </c>
      <c r="Q157" s="299"/>
      <c r="R157" s="299"/>
      <c r="S157" s="299"/>
      <c r="T157" s="299"/>
      <c r="U157" s="299"/>
      <c r="V157" s="300"/>
      <c r="W157" s="37" t="s">
        <v>68</v>
      </c>
      <c r="X157" s="278">
        <f>IFERROR(SUM(X155:X156),"0")</f>
        <v>168</v>
      </c>
      <c r="Y157" s="278">
        <f>IFERROR(SUM(Y155:Y156),"0")</f>
        <v>168</v>
      </c>
      <c r="Z157" s="278">
        <f>IFERROR(IF(Z155="",0,Z155),"0")+IFERROR(IF(Z156="",0,Z156),"0")</f>
        <v>3.0038399999999998</v>
      </c>
      <c r="AA157" s="279"/>
      <c r="AB157" s="279"/>
      <c r="AC157" s="279"/>
    </row>
    <row r="158" spans="1:68" x14ac:dyDescent="0.2">
      <c r="A158" s="286"/>
      <c r="B158" s="286"/>
      <c r="C158" s="286"/>
      <c r="D158" s="286"/>
      <c r="E158" s="286"/>
      <c r="F158" s="286"/>
      <c r="G158" s="286"/>
      <c r="H158" s="286"/>
      <c r="I158" s="286"/>
      <c r="J158" s="286"/>
      <c r="K158" s="286"/>
      <c r="L158" s="286"/>
      <c r="M158" s="286"/>
      <c r="N158" s="286"/>
      <c r="O158" s="287"/>
      <c r="P158" s="298" t="s">
        <v>87</v>
      </c>
      <c r="Q158" s="299"/>
      <c r="R158" s="299"/>
      <c r="S158" s="299"/>
      <c r="T158" s="299"/>
      <c r="U158" s="299"/>
      <c r="V158" s="300"/>
      <c r="W158" s="37" t="s">
        <v>88</v>
      </c>
      <c r="X158" s="278">
        <f>IFERROR(SUMPRODUCT(X155:X156*H155:H156),"0")</f>
        <v>403.20000000000005</v>
      </c>
      <c r="Y158" s="278">
        <f>IFERROR(SUMPRODUCT(Y155:Y156*H155:H156),"0")</f>
        <v>403.20000000000005</v>
      </c>
      <c r="Z158" s="37"/>
      <c r="AA158" s="279"/>
      <c r="AB158" s="279"/>
      <c r="AC158" s="279"/>
    </row>
    <row r="159" spans="1:68" ht="16.5" hidden="1" customHeight="1" x14ac:dyDescent="0.25">
      <c r="A159" s="304" t="s">
        <v>244</v>
      </c>
      <c r="B159" s="286"/>
      <c r="C159" s="286"/>
      <c r="D159" s="286"/>
      <c r="E159" s="286"/>
      <c r="F159" s="286"/>
      <c r="G159" s="286"/>
      <c r="H159" s="286"/>
      <c r="I159" s="286"/>
      <c r="J159" s="286"/>
      <c r="K159" s="286"/>
      <c r="L159" s="286"/>
      <c r="M159" s="286"/>
      <c r="N159" s="286"/>
      <c r="O159" s="286"/>
      <c r="P159" s="286"/>
      <c r="Q159" s="286"/>
      <c r="R159" s="286"/>
      <c r="S159" s="286"/>
      <c r="T159" s="286"/>
      <c r="U159" s="286"/>
      <c r="V159" s="286"/>
      <c r="W159" s="286"/>
      <c r="X159" s="286"/>
      <c r="Y159" s="286"/>
      <c r="Z159" s="286"/>
      <c r="AA159" s="271"/>
      <c r="AB159" s="271"/>
      <c r="AC159" s="271"/>
    </row>
    <row r="160" spans="1:68" ht="14.25" hidden="1" customHeight="1" x14ac:dyDescent="0.25">
      <c r="A160" s="288" t="s">
        <v>135</v>
      </c>
      <c r="B160" s="286"/>
      <c r="C160" s="286"/>
      <c r="D160" s="286"/>
      <c r="E160" s="286"/>
      <c r="F160" s="286"/>
      <c r="G160" s="286"/>
      <c r="H160" s="286"/>
      <c r="I160" s="286"/>
      <c r="J160" s="286"/>
      <c r="K160" s="286"/>
      <c r="L160" s="286"/>
      <c r="M160" s="286"/>
      <c r="N160" s="286"/>
      <c r="O160" s="286"/>
      <c r="P160" s="286"/>
      <c r="Q160" s="286"/>
      <c r="R160" s="286"/>
      <c r="S160" s="286"/>
      <c r="T160" s="286"/>
      <c r="U160" s="286"/>
      <c r="V160" s="286"/>
      <c r="W160" s="286"/>
      <c r="X160" s="286"/>
      <c r="Y160" s="286"/>
      <c r="Z160" s="286"/>
      <c r="AA160" s="272"/>
      <c r="AB160" s="272"/>
      <c r="AC160" s="272"/>
    </row>
    <row r="161" spans="1:68" ht="27" customHeight="1" x14ac:dyDescent="0.25">
      <c r="A161" s="54" t="s">
        <v>245</v>
      </c>
      <c r="B161" s="54" t="s">
        <v>246</v>
      </c>
      <c r="C161" s="31">
        <v>4301135570</v>
      </c>
      <c r="D161" s="280">
        <v>4607111035806</v>
      </c>
      <c r="E161" s="281"/>
      <c r="F161" s="275">
        <v>0.25</v>
      </c>
      <c r="G161" s="32">
        <v>12</v>
      </c>
      <c r="H161" s="275">
        <v>3</v>
      </c>
      <c r="I161" s="275">
        <v>3.7035999999999998</v>
      </c>
      <c r="J161" s="32">
        <v>70</v>
      </c>
      <c r="K161" s="32" t="s">
        <v>100</v>
      </c>
      <c r="L161" s="32" t="s">
        <v>101</v>
      </c>
      <c r="M161" s="33" t="s">
        <v>67</v>
      </c>
      <c r="N161" s="33"/>
      <c r="O161" s="32">
        <v>180</v>
      </c>
      <c r="P161" s="398" t="str">
        <f>HYPERLINK("https://abi.ru/products/Замороженные/Горячая штучка/Пекерсы/Снеки/P004594/","Снеки «Пекерсы с индейкой в сливочном соусе» Фикс.вес 0,25 Пакет ТМ «Горячая штучка»")</f>
        <v>Снеки «Пекерсы с индейкой в сливочном соусе» Фикс.вес 0,25 Пакет ТМ «Горячая штучка»</v>
      </c>
      <c r="Q161" s="283"/>
      <c r="R161" s="283"/>
      <c r="S161" s="283"/>
      <c r="T161" s="284"/>
      <c r="U161" s="34"/>
      <c r="V161" s="34"/>
      <c r="W161" s="35" t="s">
        <v>68</v>
      </c>
      <c r="X161" s="276">
        <v>154</v>
      </c>
      <c r="Y161" s="277">
        <f>IFERROR(IF(X161="","",X161),"")</f>
        <v>154</v>
      </c>
      <c r="Z161" s="36">
        <f>IFERROR(IF(X161="","",X161*0.01788),"")</f>
        <v>2.75352</v>
      </c>
      <c r="AA161" s="56"/>
      <c r="AB161" s="57"/>
      <c r="AC161" s="190" t="s">
        <v>247</v>
      </c>
      <c r="AG161" s="67"/>
      <c r="AJ161" s="71" t="s">
        <v>103</v>
      </c>
      <c r="AK161" s="71">
        <v>14</v>
      </c>
      <c r="BB161" s="191" t="s">
        <v>104</v>
      </c>
      <c r="BM161" s="67">
        <f>IFERROR(X161*I161,"0")</f>
        <v>570.35439999999994</v>
      </c>
      <c r="BN161" s="67">
        <f>IFERROR(Y161*I161,"0")</f>
        <v>570.35439999999994</v>
      </c>
      <c r="BO161" s="67">
        <f>IFERROR(X161/J161,"0")</f>
        <v>2.2000000000000002</v>
      </c>
      <c r="BP161" s="67">
        <f>IFERROR(Y161/J161,"0")</f>
        <v>2.2000000000000002</v>
      </c>
    </row>
    <row r="162" spans="1:68" x14ac:dyDescent="0.2">
      <c r="A162" s="285"/>
      <c r="B162" s="286"/>
      <c r="C162" s="286"/>
      <c r="D162" s="286"/>
      <c r="E162" s="286"/>
      <c r="F162" s="286"/>
      <c r="G162" s="286"/>
      <c r="H162" s="286"/>
      <c r="I162" s="286"/>
      <c r="J162" s="286"/>
      <c r="K162" s="286"/>
      <c r="L162" s="286"/>
      <c r="M162" s="286"/>
      <c r="N162" s="286"/>
      <c r="O162" s="287"/>
      <c r="P162" s="298" t="s">
        <v>87</v>
      </c>
      <c r="Q162" s="299"/>
      <c r="R162" s="299"/>
      <c r="S162" s="299"/>
      <c r="T162" s="299"/>
      <c r="U162" s="299"/>
      <c r="V162" s="300"/>
      <c r="W162" s="37" t="s">
        <v>68</v>
      </c>
      <c r="X162" s="278">
        <f>IFERROR(SUM(X161:X161),"0")</f>
        <v>154</v>
      </c>
      <c r="Y162" s="278">
        <f>IFERROR(SUM(Y161:Y161),"0")</f>
        <v>154</v>
      </c>
      <c r="Z162" s="278">
        <f>IFERROR(IF(Z161="",0,Z161),"0")</f>
        <v>2.75352</v>
      </c>
      <c r="AA162" s="279"/>
      <c r="AB162" s="279"/>
      <c r="AC162" s="279"/>
    </row>
    <row r="163" spans="1:68" x14ac:dyDescent="0.2">
      <c r="A163" s="286"/>
      <c r="B163" s="286"/>
      <c r="C163" s="286"/>
      <c r="D163" s="286"/>
      <c r="E163" s="286"/>
      <c r="F163" s="286"/>
      <c r="G163" s="286"/>
      <c r="H163" s="286"/>
      <c r="I163" s="286"/>
      <c r="J163" s="286"/>
      <c r="K163" s="286"/>
      <c r="L163" s="286"/>
      <c r="M163" s="286"/>
      <c r="N163" s="286"/>
      <c r="O163" s="287"/>
      <c r="P163" s="298" t="s">
        <v>87</v>
      </c>
      <c r="Q163" s="299"/>
      <c r="R163" s="299"/>
      <c r="S163" s="299"/>
      <c r="T163" s="299"/>
      <c r="U163" s="299"/>
      <c r="V163" s="300"/>
      <c r="W163" s="37" t="s">
        <v>88</v>
      </c>
      <c r="X163" s="278">
        <f>IFERROR(SUMPRODUCT(X161:X161*H161:H161),"0")</f>
        <v>462</v>
      </c>
      <c r="Y163" s="278">
        <f>IFERROR(SUMPRODUCT(Y161:Y161*H161:H161),"0")</f>
        <v>462</v>
      </c>
      <c r="Z163" s="37"/>
      <c r="AA163" s="279"/>
      <c r="AB163" s="279"/>
      <c r="AC163" s="279"/>
    </row>
    <row r="164" spans="1:68" ht="16.5" hidden="1" customHeight="1" x14ac:dyDescent="0.25">
      <c r="A164" s="304" t="s">
        <v>248</v>
      </c>
      <c r="B164" s="286"/>
      <c r="C164" s="286"/>
      <c r="D164" s="286"/>
      <c r="E164" s="286"/>
      <c r="F164" s="286"/>
      <c r="G164" s="286"/>
      <c r="H164" s="286"/>
      <c r="I164" s="286"/>
      <c r="J164" s="286"/>
      <c r="K164" s="286"/>
      <c r="L164" s="286"/>
      <c r="M164" s="286"/>
      <c r="N164" s="286"/>
      <c r="O164" s="286"/>
      <c r="P164" s="286"/>
      <c r="Q164" s="286"/>
      <c r="R164" s="286"/>
      <c r="S164" s="286"/>
      <c r="T164" s="286"/>
      <c r="U164" s="286"/>
      <c r="V164" s="286"/>
      <c r="W164" s="286"/>
      <c r="X164" s="286"/>
      <c r="Y164" s="286"/>
      <c r="Z164" s="286"/>
      <c r="AA164" s="271"/>
      <c r="AB164" s="271"/>
      <c r="AC164" s="271"/>
    </row>
    <row r="165" spans="1:68" ht="14.25" hidden="1" customHeight="1" x14ac:dyDescent="0.25">
      <c r="A165" s="288" t="s">
        <v>135</v>
      </c>
      <c r="B165" s="286"/>
      <c r="C165" s="286"/>
      <c r="D165" s="286"/>
      <c r="E165" s="286"/>
      <c r="F165" s="286"/>
      <c r="G165" s="286"/>
      <c r="H165" s="286"/>
      <c r="I165" s="286"/>
      <c r="J165" s="286"/>
      <c r="K165" s="286"/>
      <c r="L165" s="286"/>
      <c r="M165" s="286"/>
      <c r="N165" s="286"/>
      <c r="O165" s="286"/>
      <c r="P165" s="286"/>
      <c r="Q165" s="286"/>
      <c r="R165" s="286"/>
      <c r="S165" s="286"/>
      <c r="T165" s="286"/>
      <c r="U165" s="286"/>
      <c r="V165" s="286"/>
      <c r="W165" s="286"/>
      <c r="X165" s="286"/>
      <c r="Y165" s="286"/>
      <c r="Z165" s="286"/>
      <c r="AA165" s="272"/>
      <c r="AB165" s="272"/>
      <c r="AC165" s="272"/>
    </row>
    <row r="166" spans="1:68" ht="16.5" hidden="1" customHeight="1" x14ac:dyDescent="0.25">
      <c r="A166" s="54" t="s">
        <v>249</v>
      </c>
      <c r="B166" s="54" t="s">
        <v>250</v>
      </c>
      <c r="C166" s="31">
        <v>4301135607</v>
      </c>
      <c r="D166" s="280">
        <v>4607111039613</v>
      </c>
      <c r="E166" s="281"/>
      <c r="F166" s="275">
        <v>0.09</v>
      </c>
      <c r="G166" s="32">
        <v>30</v>
      </c>
      <c r="H166" s="275">
        <v>2.7</v>
      </c>
      <c r="I166" s="275">
        <v>3.09</v>
      </c>
      <c r="J166" s="32">
        <v>126</v>
      </c>
      <c r="K166" s="32" t="s">
        <v>100</v>
      </c>
      <c r="L166" s="32" t="s">
        <v>101</v>
      </c>
      <c r="M166" s="33" t="s">
        <v>67</v>
      </c>
      <c r="N166" s="33"/>
      <c r="O166" s="32">
        <v>180</v>
      </c>
      <c r="P166" s="366" t="str">
        <f>HYPERLINK("https://abi.ru/products/Замороженные/Горячая штучка/Хот-Догстер/Снеки/P004630/","Снеки «Хот-догстер» Фикс.вес 0,09 ТМ «Горячая штучка»")</f>
        <v>Снеки «Хот-догстер» Фикс.вес 0,09 ТМ «Горячая штучка»</v>
      </c>
      <c r="Q166" s="283"/>
      <c r="R166" s="283"/>
      <c r="S166" s="283"/>
      <c r="T166" s="284"/>
      <c r="U166" s="34"/>
      <c r="V166" s="34"/>
      <c r="W166" s="35" t="s">
        <v>68</v>
      </c>
      <c r="X166" s="276">
        <v>0</v>
      </c>
      <c r="Y166" s="277">
        <f>IFERROR(IF(X166="","",X166),"")</f>
        <v>0</v>
      </c>
      <c r="Z166" s="36">
        <f>IFERROR(IF(X166="","",X166*0.00936),"")</f>
        <v>0</v>
      </c>
      <c r="AA166" s="56"/>
      <c r="AB166" s="57"/>
      <c r="AC166" s="192" t="s">
        <v>235</v>
      </c>
      <c r="AG166" s="67"/>
      <c r="AJ166" s="71" t="s">
        <v>103</v>
      </c>
      <c r="AK166" s="71">
        <v>14</v>
      </c>
      <c r="BB166" s="193" t="s">
        <v>104</v>
      </c>
      <c r="BM166" s="67">
        <f>IFERROR(X166*I166,"0")</f>
        <v>0</v>
      </c>
      <c r="BN166" s="67">
        <f>IFERROR(Y166*I166,"0")</f>
        <v>0</v>
      </c>
      <c r="BO166" s="67">
        <f>IFERROR(X166/J166,"0")</f>
        <v>0</v>
      </c>
      <c r="BP166" s="67">
        <f>IFERROR(Y166/J166,"0")</f>
        <v>0</v>
      </c>
    </row>
    <row r="167" spans="1:68" hidden="1" x14ac:dyDescent="0.2">
      <c r="A167" s="285"/>
      <c r="B167" s="286"/>
      <c r="C167" s="286"/>
      <c r="D167" s="286"/>
      <c r="E167" s="286"/>
      <c r="F167" s="286"/>
      <c r="G167" s="286"/>
      <c r="H167" s="286"/>
      <c r="I167" s="286"/>
      <c r="J167" s="286"/>
      <c r="K167" s="286"/>
      <c r="L167" s="286"/>
      <c r="M167" s="286"/>
      <c r="N167" s="286"/>
      <c r="O167" s="287"/>
      <c r="P167" s="298" t="s">
        <v>87</v>
      </c>
      <c r="Q167" s="299"/>
      <c r="R167" s="299"/>
      <c r="S167" s="299"/>
      <c r="T167" s="299"/>
      <c r="U167" s="299"/>
      <c r="V167" s="300"/>
      <c r="W167" s="37" t="s">
        <v>68</v>
      </c>
      <c r="X167" s="278">
        <f>IFERROR(SUM(X166:X166),"0")</f>
        <v>0</v>
      </c>
      <c r="Y167" s="278">
        <f>IFERROR(SUM(Y166:Y166),"0")</f>
        <v>0</v>
      </c>
      <c r="Z167" s="278">
        <f>IFERROR(IF(Z166="",0,Z166),"0")</f>
        <v>0</v>
      </c>
      <c r="AA167" s="279"/>
      <c r="AB167" s="279"/>
      <c r="AC167" s="279"/>
    </row>
    <row r="168" spans="1:68" hidden="1" x14ac:dyDescent="0.2">
      <c r="A168" s="286"/>
      <c r="B168" s="286"/>
      <c r="C168" s="286"/>
      <c r="D168" s="286"/>
      <c r="E168" s="286"/>
      <c r="F168" s="286"/>
      <c r="G168" s="286"/>
      <c r="H168" s="286"/>
      <c r="I168" s="286"/>
      <c r="J168" s="286"/>
      <c r="K168" s="286"/>
      <c r="L168" s="286"/>
      <c r="M168" s="286"/>
      <c r="N168" s="286"/>
      <c r="O168" s="287"/>
      <c r="P168" s="298" t="s">
        <v>87</v>
      </c>
      <c r="Q168" s="299"/>
      <c r="R168" s="299"/>
      <c r="S168" s="299"/>
      <c r="T168" s="299"/>
      <c r="U168" s="299"/>
      <c r="V168" s="300"/>
      <c r="W168" s="37" t="s">
        <v>88</v>
      </c>
      <c r="X168" s="278">
        <f>IFERROR(SUMPRODUCT(X166:X166*H166:H166),"0")</f>
        <v>0</v>
      </c>
      <c r="Y168" s="278">
        <f>IFERROR(SUMPRODUCT(Y166:Y166*H166:H166),"0")</f>
        <v>0</v>
      </c>
      <c r="Z168" s="37"/>
      <c r="AA168" s="279"/>
      <c r="AB168" s="279"/>
      <c r="AC168" s="279"/>
    </row>
    <row r="169" spans="1:68" ht="16.5" hidden="1" customHeight="1" x14ac:dyDescent="0.25">
      <c r="A169" s="304" t="s">
        <v>251</v>
      </c>
      <c r="B169" s="286"/>
      <c r="C169" s="286"/>
      <c r="D169" s="286"/>
      <c r="E169" s="286"/>
      <c r="F169" s="286"/>
      <c r="G169" s="286"/>
      <c r="H169" s="286"/>
      <c r="I169" s="286"/>
      <c r="J169" s="286"/>
      <c r="K169" s="286"/>
      <c r="L169" s="286"/>
      <c r="M169" s="286"/>
      <c r="N169" s="286"/>
      <c r="O169" s="286"/>
      <c r="P169" s="286"/>
      <c r="Q169" s="286"/>
      <c r="R169" s="286"/>
      <c r="S169" s="286"/>
      <c r="T169" s="286"/>
      <c r="U169" s="286"/>
      <c r="V169" s="286"/>
      <c r="W169" s="286"/>
      <c r="X169" s="286"/>
      <c r="Y169" s="286"/>
      <c r="Z169" s="286"/>
      <c r="AA169" s="271"/>
      <c r="AB169" s="271"/>
      <c r="AC169" s="271"/>
    </row>
    <row r="170" spans="1:68" ht="14.25" hidden="1" customHeight="1" x14ac:dyDescent="0.25">
      <c r="A170" s="288" t="s">
        <v>135</v>
      </c>
      <c r="B170" s="286"/>
      <c r="C170" s="286"/>
      <c r="D170" s="286"/>
      <c r="E170" s="286"/>
      <c r="F170" s="286"/>
      <c r="G170" s="286"/>
      <c r="H170" s="286"/>
      <c r="I170" s="286"/>
      <c r="J170" s="286"/>
      <c r="K170" s="286"/>
      <c r="L170" s="286"/>
      <c r="M170" s="286"/>
      <c r="N170" s="286"/>
      <c r="O170" s="286"/>
      <c r="P170" s="286"/>
      <c r="Q170" s="286"/>
      <c r="R170" s="286"/>
      <c r="S170" s="286"/>
      <c r="T170" s="286"/>
      <c r="U170" s="286"/>
      <c r="V170" s="286"/>
      <c r="W170" s="286"/>
      <c r="X170" s="286"/>
      <c r="Y170" s="286"/>
      <c r="Z170" s="286"/>
      <c r="AA170" s="272"/>
      <c r="AB170" s="272"/>
      <c r="AC170" s="272"/>
    </row>
    <row r="171" spans="1:68" ht="27" customHeight="1" x14ac:dyDescent="0.25">
      <c r="A171" s="54" t="s">
        <v>252</v>
      </c>
      <c r="B171" s="54" t="s">
        <v>253</v>
      </c>
      <c r="C171" s="31">
        <v>4301135184</v>
      </c>
      <c r="D171" s="280">
        <v>4607111036568</v>
      </c>
      <c r="E171" s="281"/>
      <c r="F171" s="275">
        <v>0.28000000000000003</v>
      </c>
      <c r="G171" s="32">
        <v>6</v>
      </c>
      <c r="H171" s="275">
        <v>1.68</v>
      </c>
      <c r="I171" s="275">
        <v>2.1017999999999999</v>
      </c>
      <c r="J171" s="32">
        <v>140</v>
      </c>
      <c r="K171" s="32" t="s">
        <v>100</v>
      </c>
      <c r="L171" s="32" t="s">
        <v>66</v>
      </c>
      <c r="M171" s="33" t="s">
        <v>67</v>
      </c>
      <c r="N171" s="33"/>
      <c r="O171" s="32">
        <v>180</v>
      </c>
      <c r="P171" s="326" t="str">
        <f>HYPERLINK("https://abi.ru/products/Замороженные/Горячая штучка/Чебуманы/Снеки/P003431/","Снеки «Чебуманы с говядиной» Фикс.вес 0,28 лоток ТМ «Горячая штучка»")</f>
        <v>Снеки «Чебуманы с говядиной» Фикс.вес 0,28 лоток ТМ «Горячая штучка»</v>
      </c>
      <c r="Q171" s="283"/>
      <c r="R171" s="283"/>
      <c r="S171" s="283"/>
      <c r="T171" s="284"/>
      <c r="U171" s="34"/>
      <c r="V171" s="34"/>
      <c r="W171" s="35" t="s">
        <v>68</v>
      </c>
      <c r="X171" s="276">
        <v>28</v>
      </c>
      <c r="Y171" s="277">
        <f>IFERROR(IF(X171="","",X171),"")</f>
        <v>28</v>
      </c>
      <c r="Z171" s="36">
        <f>IFERROR(IF(X171="","",X171*0.00941),"")</f>
        <v>0.26347999999999999</v>
      </c>
      <c r="AA171" s="56"/>
      <c r="AB171" s="57"/>
      <c r="AC171" s="194" t="s">
        <v>254</v>
      </c>
      <c r="AG171" s="67"/>
      <c r="AJ171" s="71" t="s">
        <v>70</v>
      </c>
      <c r="AK171" s="71">
        <v>1</v>
      </c>
      <c r="BB171" s="195" t="s">
        <v>104</v>
      </c>
      <c r="BM171" s="67">
        <f>IFERROR(X171*I171,"0")</f>
        <v>58.850399999999993</v>
      </c>
      <c r="BN171" s="67">
        <f>IFERROR(Y171*I171,"0")</f>
        <v>58.850399999999993</v>
      </c>
      <c r="BO171" s="67">
        <f>IFERROR(X171/J171,"0")</f>
        <v>0.2</v>
      </c>
      <c r="BP171" s="67">
        <f>IFERROR(Y171/J171,"0")</f>
        <v>0.2</v>
      </c>
    </row>
    <row r="172" spans="1:68" x14ac:dyDescent="0.2">
      <c r="A172" s="285"/>
      <c r="B172" s="286"/>
      <c r="C172" s="286"/>
      <c r="D172" s="286"/>
      <c r="E172" s="286"/>
      <c r="F172" s="286"/>
      <c r="G172" s="286"/>
      <c r="H172" s="286"/>
      <c r="I172" s="286"/>
      <c r="J172" s="286"/>
      <c r="K172" s="286"/>
      <c r="L172" s="286"/>
      <c r="M172" s="286"/>
      <c r="N172" s="286"/>
      <c r="O172" s="287"/>
      <c r="P172" s="298" t="s">
        <v>87</v>
      </c>
      <c r="Q172" s="299"/>
      <c r="R172" s="299"/>
      <c r="S172" s="299"/>
      <c r="T172" s="299"/>
      <c r="U172" s="299"/>
      <c r="V172" s="300"/>
      <c r="W172" s="37" t="s">
        <v>68</v>
      </c>
      <c r="X172" s="278">
        <f>IFERROR(SUM(X171:X171),"0")</f>
        <v>28</v>
      </c>
      <c r="Y172" s="278">
        <f>IFERROR(SUM(Y171:Y171),"0")</f>
        <v>28</v>
      </c>
      <c r="Z172" s="278">
        <f>IFERROR(IF(Z171="",0,Z171),"0")</f>
        <v>0.26347999999999999</v>
      </c>
      <c r="AA172" s="279"/>
      <c r="AB172" s="279"/>
      <c r="AC172" s="279"/>
    </row>
    <row r="173" spans="1:68" x14ac:dyDescent="0.2">
      <c r="A173" s="286"/>
      <c r="B173" s="286"/>
      <c r="C173" s="286"/>
      <c r="D173" s="286"/>
      <c r="E173" s="286"/>
      <c r="F173" s="286"/>
      <c r="G173" s="286"/>
      <c r="H173" s="286"/>
      <c r="I173" s="286"/>
      <c r="J173" s="286"/>
      <c r="K173" s="286"/>
      <c r="L173" s="286"/>
      <c r="M173" s="286"/>
      <c r="N173" s="286"/>
      <c r="O173" s="287"/>
      <c r="P173" s="298" t="s">
        <v>87</v>
      </c>
      <c r="Q173" s="299"/>
      <c r="R173" s="299"/>
      <c r="S173" s="299"/>
      <c r="T173" s="299"/>
      <c r="U173" s="299"/>
      <c r="V173" s="300"/>
      <c r="W173" s="37" t="s">
        <v>88</v>
      </c>
      <c r="X173" s="278">
        <f>IFERROR(SUMPRODUCT(X171:X171*H171:H171),"0")</f>
        <v>47.04</v>
      </c>
      <c r="Y173" s="278">
        <f>IFERROR(SUMPRODUCT(Y171:Y171*H171:H171),"0")</f>
        <v>47.04</v>
      </c>
      <c r="Z173" s="37"/>
      <c r="AA173" s="279"/>
      <c r="AB173" s="279"/>
      <c r="AC173" s="279"/>
    </row>
    <row r="174" spans="1:68" ht="27.75" hidden="1" customHeight="1" x14ac:dyDescent="0.2">
      <c r="A174" s="335" t="s">
        <v>255</v>
      </c>
      <c r="B174" s="336"/>
      <c r="C174" s="336"/>
      <c r="D174" s="336"/>
      <c r="E174" s="336"/>
      <c r="F174" s="336"/>
      <c r="G174" s="336"/>
      <c r="H174" s="336"/>
      <c r="I174" s="336"/>
      <c r="J174" s="336"/>
      <c r="K174" s="336"/>
      <c r="L174" s="336"/>
      <c r="M174" s="336"/>
      <c r="N174" s="336"/>
      <c r="O174" s="336"/>
      <c r="P174" s="336"/>
      <c r="Q174" s="336"/>
      <c r="R174" s="336"/>
      <c r="S174" s="336"/>
      <c r="T174" s="336"/>
      <c r="U174" s="336"/>
      <c r="V174" s="336"/>
      <c r="W174" s="336"/>
      <c r="X174" s="336"/>
      <c r="Y174" s="336"/>
      <c r="Z174" s="336"/>
      <c r="AA174" s="48"/>
      <c r="AB174" s="48"/>
      <c r="AC174" s="48"/>
    </row>
    <row r="175" spans="1:68" ht="16.5" hidden="1" customHeight="1" x14ac:dyDescent="0.25">
      <c r="A175" s="304" t="s">
        <v>256</v>
      </c>
      <c r="B175" s="286"/>
      <c r="C175" s="286"/>
      <c r="D175" s="286"/>
      <c r="E175" s="286"/>
      <c r="F175" s="286"/>
      <c r="G175" s="286"/>
      <c r="H175" s="286"/>
      <c r="I175" s="286"/>
      <c r="J175" s="286"/>
      <c r="K175" s="286"/>
      <c r="L175" s="286"/>
      <c r="M175" s="286"/>
      <c r="N175" s="286"/>
      <c r="O175" s="286"/>
      <c r="P175" s="286"/>
      <c r="Q175" s="286"/>
      <c r="R175" s="286"/>
      <c r="S175" s="286"/>
      <c r="T175" s="286"/>
      <c r="U175" s="286"/>
      <c r="V175" s="286"/>
      <c r="W175" s="286"/>
      <c r="X175" s="286"/>
      <c r="Y175" s="286"/>
      <c r="Z175" s="286"/>
      <c r="AA175" s="271"/>
      <c r="AB175" s="271"/>
      <c r="AC175" s="271"/>
    </row>
    <row r="176" spans="1:68" ht="14.25" hidden="1" customHeight="1" x14ac:dyDescent="0.25">
      <c r="A176" s="288" t="s">
        <v>62</v>
      </c>
      <c r="B176" s="286"/>
      <c r="C176" s="286"/>
      <c r="D176" s="286"/>
      <c r="E176" s="286"/>
      <c r="F176" s="286"/>
      <c r="G176" s="286"/>
      <c r="H176" s="286"/>
      <c r="I176" s="286"/>
      <c r="J176" s="286"/>
      <c r="K176" s="286"/>
      <c r="L176" s="286"/>
      <c r="M176" s="286"/>
      <c r="N176" s="286"/>
      <c r="O176" s="286"/>
      <c r="P176" s="286"/>
      <c r="Q176" s="286"/>
      <c r="R176" s="286"/>
      <c r="S176" s="286"/>
      <c r="T176" s="286"/>
      <c r="U176" s="286"/>
      <c r="V176" s="286"/>
      <c r="W176" s="286"/>
      <c r="X176" s="286"/>
      <c r="Y176" s="286"/>
      <c r="Z176" s="286"/>
      <c r="AA176" s="272"/>
      <c r="AB176" s="272"/>
      <c r="AC176" s="272"/>
    </row>
    <row r="177" spans="1:68" ht="16.5" hidden="1" customHeight="1" x14ac:dyDescent="0.25">
      <c r="A177" s="54" t="s">
        <v>257</v>
      </c>
      <c r="B177" s="54" t="s">
        <v>258</v>
      </c>
      <c r="C177" s="31">
        <v>4301071062</v>
      </c>
      <c r="D177" s="280">
        <v>4607111036384</v>
      </c>
      <c r="E177" s="281"/>
      <c r="F177" s="275">
        <v>5</v>
      </c>
      <c r="G177" s="32">
        <v>1</v>
      </c>
      <c r="H177" s="275">
        <v>5</v>
      </c>
      <c r="I177" s="275">
        <v>5.2106000000000003</v>
      </c>
      <c r="J177" s="32">
        <v>144</v>
      </c>
      <c r="K177" s="32" t="s">
        <v>65</v>
      </c>
      <c r="L177" s="32" t="s">
        <v>66</v>
      </c>
      <c r="M177" s="33" t="s">
        <v>67</v>
      </c>
      <c r="N177" s="33"/>
      <c r="O177" s="32">
        <v>180</v>
      </c>
      <c r="P177" s="434" t="str">
        <f>HYPERLINK("https://abi.ru/products/Замороженные/No Name/No Name ЗПФ/Пельмени/P004620/","Пельмени «Зареченские» Весовые Сфера ТМ «No name» 5 кг")</f>
        <v>Пельмени «Зареченские» Весовые Сфера ТМ «No name» 5 кг</v>
      </c>
      <c r="Q177" s="283"/>
      <c r="R177" s="283"/>
      <c r="S177" s="283"/>
      <c r="T177" s="284"/>
      <c r="U177" s="34"/>
      <c r="V177" s="34"/>
      <c r="W177" s="35" t="s">
        <v>68</v>
      </c>
      <c r="X177" s="276">
        <v>0</v>
      </c>
      <c r="Y177" s="277">
        <f>IFERROR(IF(X177="","",X177),"")</f>
        <v>0</v>
      </c>
      <c r="Z177" s="36">
        <f>IFERROR(IF(X177="","",X177*0.00866),"")</f>
        <v>0</v>
      </c>
      <c r="AA177" s="56"/>
      <c r="AB177" s="57"/>
      <c r="AC177" s="196" t="s">
        <v>259</v>
      </c>
      <c r="AG177" s="67"/>
      <c r="AJ177" s="71" t="s">
        <v>70</v>
      </c>
      <c r="AK177" s="71">
        <v>1</v>
      </c>
      <c r="BB177" s="197" t="s">
        <v>1</v>
      </c>
      <c r="BM177" s="67">
        <f>IFERROR(X177*I177,"0")</f>
        <v>0</v>
      </c>
      <c r="BN177" s="67">
        <f>IFERROR(Y177*I177,"0")</f>
        <v>0</v>
      </c>
      <c r="BO177" s="67">
        <f>IFERROR(X177/J177,"0")</f>
        <v>0</v>
      </c>
      <c r="BP177" s="67">
        <f>IFERROR(Y177/J177,"0")</f>
        <v>0</v>
      </c>
    </row>
    <row r="178" spans="1:68" ht="27" customHeight="1" x14ac:dyDescent="0.25">
      <c r="A178" s="54" t="s">
        <v>260</v>
      </c>
      <c r="B178" s="54" t="s">
        <v>261</v>
      </c>
      <c r="C178" s="31">
        <v>4301071050</v>
      </c>
      <c r="D178" s="280">
        <v>4607111036216</v>
      </c>
      <c r="E178" s="281"/>
      <c r="F178" s="275">
        <v>5</v>
      </c>
      <c r="G178" s="32">
        <v>1</v>
      </c>
      <c r="H178" s="275">
        <v>5</v>
      </c>
      <c r="I178" s="275">
        <v>5.2131999999999996</v>
      </c>
      <c r="J178" s="32">
        <v>144</v>
      </c>
      <c r="K178" s="32" t="s">
        <v>65</v>
      </c>
      <c r="L178" s="32" t="s">
        <v>101</v>
      </c>
      <c r="M178" s="33" t="s">
        <v>67</v>
      </c>
      <c r="N178" s="33"/>
      <c r="O178" s="32">
        <v>180</v>
      </c>
      <c r="P178" s="449" t="str">
        <f>HYPERLINK("https://abi.ru/products/Замороженные/No Name/No Name ЗПФ/Пельмени/P004472/","Пельмени «Пуговки с говядиной и свининой» Весовые Сфера ТМ «No Name» 5 кг")</f>
        <v>Пельмени «Пуговки с говядиной и свининой» Весовые Сфера ТМ «No Name» 5 кг</v>
      </c>
      <c r="Q178" s="283"/>
      <c r="R178" s="283"/>
      <c r="S178" s="283"/>
      <c r="T178" s="284"/>
      <c r="U178" s="34"/>
      <c r="V178" s="34"/>
      <c r="W178" s="35" t="s">
        <v>68</v>
      </c>
      <c r="X178" s="276">
        <v>24</v>
      </c>
      <c r="Y178" s="277">
        <f>IFERROR(IF(X178="","",X178),"")</f>
        <v>24</v>
      </c>
      <c r="Z178" s="36">
        <f>IFERROR(IF(X178="","",X178*0.00866),"")</f>
        <v>0.20783999999999997</v>
      </c>
      <c r="AA178" s="56"/>
      <c r="AB178" s="57"/>
      <c r="AC178" s="198" t="s">
        <v>262</v>
      </c>
      <c r="AG178" s="67"/>
      <c r="AJ178" s="71" t="s">
        <v>103</v>
      </c>
      <c r="AK178" s="71">
        <v>12</v>
      </c>
      <c r="BB178" s="199" t="s">
        <v>1</v>
      </c>
      <c r="BM178" s="67">
        <f>IFERROR(X178*I178,"0")</f>
        <v>125.11679999999998</v>
      </c>
      <c r="BN178" s="67">
        <f>IFERROR(Y178*I178,"0")</f>
        <v>125.11679999999998</v>
      </c>
      <c r="BO178" s="67">
        <f>IFERROR(X178/J178,"0")</f>
        <v>0.16666666666666666</v>
      </c>
      <c r="BP178" s="67">
        <f>IFERROR(Y178/J178,"0")</f>
        <v>0.16666666666666666</v>
      </c>
    </row>
    <row r="179" spans="1:68" x14ac:dyDescent="0.2">
      <c r="A179" s="285"/>
      <c r="B179" s="286"/>
      <c r="C179" s="286"/>
      <c r="D179" s="286"/>
      <c r="E179" s="286"/>
      <c r="F179" s="286"/>
      <c r="G179" s="286"/>
      <c r="H179" s="286"/>
      <c r="I179" s="286"/>
      <c r="J179" s="286"/>
      <c r="K179" s="286"/>
      <c r="L179" s="286"/>
      <c r="M179" s="286"/>
      <c r="N179" s="286"/>
      <c r="O179" s="287"/>
      <c r="P179" s="298" t="s">
        <v>87</v>
      </c>
      <c r="Q179" s="299"/>
      <c r="R179" s="299"/>
      <c r="S179" s="299"/>
      <c r="T179" s="299"/>
      <c r="U179" s="299"/>
      <c r="V179" s="300"/>
      <c r="W179" s="37" t="s">
        <v>68</v>
      </c>
      <c r="X179" s="278">
        <f>IFERROR(SUM(X177:X178),"0")</f>
        <v>24</v>
      </c>
      <c r="Y179" s="278">
        <f>IFERROR(SUM(Y177:Y178),"0")</f>
        <v>24</v>
      </c>
      <c r="Z179" s="278">
        <f>IFERROR(IF(Z177="",0,Z177),"0")+IFERROR(IF(Z178="",0,Z178),"0")</f>
        <v>0.20783999999999997</v>
      </c>
      <c r="AA179" s="279"/>
      <c r="AB179" s="279"/>
      <c r="AC179" s="279"/>
    </row>
    <row r="180" spans="1:68" x14ac:dyDescent="0.2">
      <c r="A180" s="286"/>
      <c r="B180" s="286"/>
      <c r="C180" s="286"/>
      <c r="D180" s="286"/>
      <c r="E180" s="286"/>
      <c r="F180" s="286"/>
      <c r="G180" s="286"/>
      <c r="H180" s="286"/>
      <c r="I180" s="286"/>
      <c r="J180" s="286"/>
      <c r="K180" s="286"/>
      <c r="L180" s="286"/>
      <c r="M180" s="286"/>
      <c r="N180" s="286"/>
      <c r="O180" s="287"/>
      <c r="P180" s="298" t="s">
        <v>87</v>
      </c>
      <c r="Q180" s="299"/>
      <c r="R180" s="299"/>
      <c r="S180" s="299"/>
      <c r="T180" s="299"/>
      <c r="U180" s="299"/>
      <c r="V180" s="300"/>
      <c r="W180" s="37" t="s">
        <v>88</v>
      </c>
      <c r="X180" s="278">
        <f>IFERROR(SUMPRODUCT(X177:X178*H177:H178),"0")</f>
        <v>120</v>
      </c>
      <c r="Y180" s="278">
        <f>IFERROR(SUMPRODUCT(Y177:Y178*H177:H178),"0")</f>
        <v>120</v>
      </c>
      <c r="Z180" s="37"/>
      <c r="AA180" s="279"/>
      <c r="AB180" s="279"/>
      <c r="AC180" s="279"/>
    </row>
    <row r="181" spans="1:68" ht="16.5" hidden="1" customHeight="1" x14ac:dyDescent="0.25">
      <c r="A181" s="304" t="s">
        <v>263</v>
      </c>
      <c r="B181" s="286"/>
      <c r="C181" s="286"/>
      <c r="D181" s="286"/>
      <c r="E181" s="286"/>
      <c r="F181" s="286"/>
      <c r="G181" s="286"/>
      <c r="H181" s="286"/>
      <c r="I181" s="286"/>
      <c r="J181" s="286"/>
      <c r="K181" s="286"/>
      <c r="L181" s="286"/>
      <c r="M181" s="286"/>
      <c r="N181" s="286"/>
      <c r="O181" s="286"/>
      <c r="P181" s="286"/>
      <c r="Q181" s="286"/>
      <c r="R181" s="286"/>
      <c r="S181" s="286"/>
      <c r="T181" s="286"/>
      <c r="U181" s="286"/>
      <c r="V181" s="286"/>
      <c r="W181" s="286"/>
      <c r="X181" s="286"/>
      <c r="Y181" s="286"/>
      <c r="Z181" s="286"/>
      <c r="AA181" s="271"/>
      <c r="AB181" s="271"/>
      <c r="AC181" s="271"/>
    </row>
    <row r="182" spans="1:68" ht="14.25" hidden="1" customHeight="1" x14ac:dyDescent="0.25">
      <c r="A182" s="288" t="s">
        <v>62</v>
      </c>
      <c r="B182" s="286"/>
      <c r="C182" s="286"/>
      <c r="D182" s="286"/>
      <c r="E182" s="286"/>
      <c r="F182" s="286"/>
      <c r="G182" s="286"/>
      <c r="H182" s="286"/>
      <c r="I182" s="286"/>
      <c r="J182" s="286"/>
      <c r="K182" s="286"/>
      <c r="L182" s="286"/>
      <c r="M182" s="286"/>
      <c r="N182" s="286"/>
      <c r="O182" s="286"/>
      <c r="P182" s="286"/>
      <c r="Q182" s="286"/>
      <c r="R182" s="286"/>
      <c r="S182" s="286"/>
      <c r="T182" s="286"/>
      <c r="U182" s="286"/>
      <c r="V182" s="286"/>
      <c r="W182" s="286"/>
      <c r="X182" s="286"/>
      <c r="Y182" s="286"/>
      <c r="Z182" s="286"/>
      <c r="AA182" s="272"/>
      <c r="AB182" s="272"/>
      <c r="AC182" s="272"/>
    </row>
    <row r="183" spans="1:68" ht="27" hidden="1" customHeight="1" x14ac:dyDescent="0.25">
      <c r="A183" s="54" t="s">
        <v>264</v>
      </c>
      <c r="B183" s="54" t="s">
        <v>265</v>
      </c>
      <c r="C183" s="31">
        <v>4301071117</v>
      </c>
      <c r="D183" s="280">
        <v>4620207491737</v>
      </c>
      <c r="E183" s="281"/>
      <c r="F183" s="275">
        <v>1</v>
      </c>
      <c r="G183" s="32">
        <v>5</v>
      </c>
      <c r="H183" s="275">
        <v>5</v>
      </c>
      <c r="I183" s="275">
        <v>5.2619999999999996</v>
      </c>
      <c r="J183" s="32">
        <v>84</v>
      </c>
      <c r="K183" s="32" t="s">
        <v>65</v>
      </c>
      <c r="L183" s="32" t="s">
        <v>66</v>
      </c>
      <c r="M183" s="33" t="s">
        <v>67</v>
      </c>
      <c r="N183" s="33"/>
      <c r="O183" s="32">
        <v>180</v>
      </c>
      <c r="P183" s="380" t="str">
        <f>HYPERLINK("https://abi.ru/products/Замороженные/No Name/Любимая ложка/Пельмени/P005173/","Пельмени «Со свининой и говядиной» 1 сфера ТМ «No Name»")</f>
        <v>Пельмени «Со свининой и говядиной» 1 сфера ТМ «No Name»</v>
      </c>
      <c r="Q183" s="283"/>
      <c r="R183" s="283"/>
      <c r="S183" s="283"/>
      <c r="T183" s="284"/>
      <c r="U183" s="34"/>
      <c r="V183" s="34"/>
      <c r="W183" s="35" t="s">
        <v>68</v>
      </c>
      <c r="X183" s="276">
        <v>0</v>
      </c>
      <c r="Y183" s="277">
        <f>IFERROR(IF(X183="","",X183),"")</f>
        <v>0</v>
      </c>
      <c r="Z183" s="36">
        <f>IFERROR(IF(X183="","",X183*0.0155),"")</f>
        <v>0</v>
      </c>
      <c r="AA183" s="56"/>
      <c r="AB183" s="57"/>
      <c r="AC183" s="200" t="s">
        <v>262</v>
      </c>
      <c r="AG183" s="67"/>
      <c r="AJ183" s="71" t="s">
        <v>70</v>
      </c>
      <c r="AK183" s="71">
        <v>1</v>
      </c>
      <c r="BB183" s="201" t="s">
        <v>1</v>
      </c>
      <c r="BM183" s="67">
        <f>IFERROR(X183*I183,"0")</f>
        <v>0</v>
      </c>
      <c r="BN183" s="67">
        <f>IFERROR(Y183*I183,"0")</f>
        <v>0</v>
      </c>
      <c r="BO183" s="67">
        <f>IFERROR(X183/J183,"0")</f>
        <v>0</v>
      </c>
      <c r="BP183" s="67">
        <f>IFERROR(Y183/J183,"0")</f>
        <v>0</v>
      </c>
    </row>
    <row r="184" spans="1:68" hidden="1" x14ac:dyDescent="0.2">
      <c r="A184" s="285"/>
      <c r="B184" s="286"/>
      <c r="C184" s="286"/>
      <c r="D184" s="286"/>
      <c r="E184" s="286"/>
      <c r="F184" s="286"/>
      <c r="G184" s="286"/>
      <c r="H184" s="286"/>
      <c r="I184" s="286"/>
      <c r="J184" s="286"/>
      <c r="K184" s="286"/>
      <c r="L184" s="286"/>
      <c r="M184" s="286"/>
      <c r="N184" s="286"/>
      <c r="O184" s="287"/>
      <c r="P184" s="298" t="s">
        <v>87</v>
      </c>
      <c r="Q184" s="299"/>
      <c r="R184" s="299"/>
      <c r="S184" s="299"/>
      <c r="T184" s="299"/>
      <c r="U184" s="299"/>
      <c r="V184" s="300"/>
      <c r="W184" s="37" t="s">
        <v>68</v>
      </c>
      <c r="X184" s="278">
        <f>IFERROR(SUM(X183:X183),"0")</f>
        <v>0</v>
      </c>
      <c r="Y184" s="278">
        <f>IFERROR(SUM(Y183:Y183),"0")</f>
        <v>0</v>
      </c>
      <c r="Z184" s="278">
        <f>IFERROR(IF(Z183="",0,Z183),"0")</f>
        <v>0</v>
      </c>
      <c r="AA184" s="279"/>
      <c r="AB184" s="279"/>
      <c r="AC184" s="279"/>
    </row>
    <row r="185" spans="1:68" hidden="1" x14ac:dyDescent="0.2">
      <c r="A185" s="286"/>
      <c r="B185" s="286"/>
      <c r="C185" s="286"/>
      <c r="D185" s="286"/>
      <c r="E185" s="286"/>
      <c r="F185" s="286"/>
      <c r="G185" s="286"/>
      <c r="H185" s="286"/>
      <c r="I185" s="286"/>
      <c r="J185" s="286"/>
      <c r="K185" s="286"/>
      <c r="L185" s="286"/>
      <c r="M185" s="286"/>
      <c r="N185" s="286"/>
      <c r="O185" s="287"/>
      <c r="P185" s="298" t="s">
        <v>87</v>
      </c>
      <c r="Q185" s="299"/>
      <c r="R185" s="299"/>
      <c r="S185" s="299"/>
      <c r="T185" s="299"/>
      <c r="U185" s="299"/>
      <c r="V185" s="300"/>
      <c r="W185" s="37" t="s">
        <v>88</v>
      </c>
      <c r="X185" s="278">
        <f>IFERROR(SUMPRODUCT(X183:X183*H183:H183),"0")</f>
        <v>0</v>
      </c>
      <c r="Y185" s="278">
        <f>IFERROR(SUMPRODUCT(Y183:Y183*H183:H183),"0")</f>
        <v>0</v>
      </c>
      <c r="Z185" s="37"/>
      <c r="AA185" s="279"/>
      <c r="AB185" s="279"/>
      <c r="AC185" s="279"/>
    </row>
    <row r="186" spans="1:68" ht="27.75" hidden="1" customHeight="1" x14ac:dyDescent="0.2">
      <c r="A186" s="335" t="s">
        <v>266</v>
      </c>
      <c r="B186" s="336"/>
      <c r="C186" s="336"/>
      <c r="D186" s="336"/>
      <c r="E186" s="336"/>
      <c r="F186" s="336"/>
      <c r="G186" s="336"/>
      <c r="H186" s="336"/>
      <c r="I186" s="336"/>
      <c r="J186" s="336"/>
      <c r="K186" s="336"/>
      <c r="L186" s="336"/>
      <c r="M186" s="336"/>
      <c r="N186" s="336"/>
      <c r="O186" s="336"/>
      <c r="P186" s="336"/>
      <c r="Q186" s="336"/>
      <c r="R186" s="336"/>
      <c r="S186" s="336"/>
      <c r="T186" s="336"/>
      <c r="U186" s="336"/>
      <c r="V186" s="336"/>
      <c r="W186" s="336"/>
      <c r="X186" s="336"/>
      <c r="Y186" s="336"/>
      <c r="Z186" s="336"/>
      <c r="AA186" s="48"/>
      <c r="AB186" s="48"/>
      <c r="AC186" s="48"/>
    </row>
    <row r="187" spans="1:68" ht="16.5" hidden="1" customHeight="1" x14ac:dyDescent="0.25">
      <c r="A187" s="304" t="s">
        <v>267</v>
      </c>
      <c r="B187" s="286"/>
      <c r="C187" s="286"/>
      <c r="D187" s="286"/>
      <c r="E187" s="286"/>
      <c r="F187" s="286"/>
      <c r="G187" s="286"/>
      <c r="H187" s="286"/>
      <c r="I187" s="286"/>
      <c r="J187" s="286"/>
      <c r="K187" s="286"/>
      <c r="L187" s="286"/>
      <c r="M187" s="286"/>
      <c r="N187" s="286"/>
      <c r="O187" s="286"/>
      <c r="P187" s="286"/>
      <c r="Q187" s="286"/>
      <c r="R187" s="286"/>
      <c r="S187" s="286"/>
      <c r="T187" s="286"/>
      <c r="U187" s="286"/>
      <c r="V187" s="286"/>
      <c r="W187" s="286"/>
      <c r="X187" s="286"/>
      <c r="Y187" s="286"/>
      <c r="Z187" s="286"/>
      <c r="AA187" s="271"/>
      <c r="AB187" s="271"/>
      <c r="AC187" s="271"/>
    </row>
    <row r="188" spans="1:68" ht="14.25" hidden="1" customHeight="1" x14ac:dyDescent="0.25">
      <c r="A188" s="288" t="s">
        <v>97</v>
      </c>
      <c r="B188" s="286"/>
      <c r="C188" s="286"/>
      <c r="D188" s="286"/>
      <c r="E188" s="286"/>
      <c r="F188" s="286"/>
      <c r="G188" s="286"/>
      <c r="H188" s="286"/>
      <c r="I188" s="286"/>
      <c r="J188" s="286"/>
      <c r="K188" s="286"/>
      <c r="L188" s="286"/>
      <c r="M188" s="286"/>
      <c r="N188" s="286"/>
      <c r="O188" s="286"/>
      <c r="P188" s="286"/>
      <c r="Q188" s="286"/>
      <c r="R188" s="286"/>
      <c r="S188" s="286"/>
      <c r="T188" s="286"/>
      <c r="U188" s="286"/>
      <c r="V188" s="286"/>
      <c r="W188" s="286"/>
      <c r="X188" s="286"/>
      <c r="Y188" s="286"/>
      <c r="Z188" s="286"/>
      <c r="AA188" s="272"/>
      <c r="AB188" s="272"/>
      <c r="AC188" s="272"/>
    </row>
    <row r="189" spans="1:68" ht="16.5" customHeight="1" x14ac:dyDescent="0.25">
      <c r="A189" s="54" t="s">
        <v>268</v>
      </c>
      <c r="B189" s="54" t="s">
        <v>269</v>
      </c>
      <c r="C189" s="31">
        <v>4301132179</v>
      </c>
      <c r="D189" s="280">
        <v>4607111035691</v>
      </c>
      <c r="E189" s="281"/>
      <c r="F189" s="275">
        <v>0.25</v>
      </c>
      <c r="G189" s="32">
        <v>12</v>
      </c>
      <c r="H189" s="275">
        <v>3</v>
      </c>
      <c r="I189" s="275">
        <v>3.3879999999999999</v>
      </c>
      <c r="J189" s="32">
        <v>70</v>
      </c>
      <c r="K189" s="32" t="s">
        <v>100</v>
      </c>
      <c r="L189" s="32" t="s">
        <v>101</v>
      </c>
      <c r="M189" s="33" t="s">
        <v>67</v>
      </c>
      <c r="N189" s="33"/>
      <c r="O189" s="32">
        <v>365</v>
      </c>
      <c r="P189" s="344" t="str">
        <f>HYPERLINK("https://abi.ru/products/Замороженные/Вязанка/Сливушка/Наггетсы/P004497/","Наггетсы «из печи» Фикс.вес 0,25 ТМ «Вязанка»")</f>
        <v>Наггетсы «из печи» Фикс.вес 0,25 ТМ «Вязанка»</v>
      </c>
      <c r="Q189" s="283"/>
      <c r="R189" s="283"/>
      <c r="S189" s="283"/>
      <c r="T189" s="284"/>
      <c r="U189" s="34"/>
      <c r="V189" s="34"/>
      <c r="W189" s="35" t="s">
        <v>68</v>
      </c>
      <c r="X189" s="276">
        <v>154</v>
      </c>
      <c r="Y189" s="277">
        <f>IFERROR(IF(X189="","",X189),"")</f>
        <v>154</v>
      </c>
      <c r="Z189" s="36">
        <f>IFERROR(IF(X189="","",X189*0.01788),"")</f>
        <v>2.75352</v>
      </c>
      <c r="AA189" s="56"/>
      <c r="AB189" s="57"/>
      <c r="AC189" s="202" t="s">
        <v>270</v>
      </c>
      <c r="AG189" s="67"/>
      <c r="AJ189" s="71" t="s">
        <v>103</v>
      </c>
      <c r="AK189" s="71">
        <v>14</v>
      </c>
      <c r="BB189" s="203" t="s">
        <v>104</v>
      </c>
      <c r="BM189" s="67">
        <f>IFERROR(X189*I189,"0")</f>
        <v>521.75199999999995</v>
      </c>
      <c r="BN189" s="67">
        <f>IFERROR(Y189*I189,"0")</f>
        <v>521.75199999999995</v>
      </c>
      <c r="BO189" s="67">
        <f>IFERROR(X189/J189,"0")</f>
        <v>2.2000000000000002</v>
      </c>
      <c r="BP189" s="67">
        <f>IFERROR(Y189/J189,"0")</f>
        <v>2.2000000000000002</v>
      </c>
    </row>
    <row r="190" spans="1:68" ht="27" customHeight="1" x14ac:dyDescent="0.25">
      <c r="A190" s="54" t="s">
        <v>271</v>
      </c>
      <c r="B190" s="54" t="s">
        <v>272</v>
      </c>
      <c r="C190" s="31">
        <v>4301132182</v>
      </c>
      <c r="D190" s="280">
        <v>4607111035721</v>
      </c>
      <c r="E190" s="281"/>
      <c r="F190" s="275">
        <v>0.25</v>
      </c>
      <c r="G190" s="32">
        <v>12</v>
      </c>
      <c r="H190" s="275">
        <v>3</v>
      </c>
      <c r="I190" s="275">
        <v>3.3879999999999999</v>
      </c>
      <c r="J190" s="32">
        <v>70</v>
      </c>
      <c r="K190" s="32" t="s">
        <v>100</v>
      </c>
      <c r="L190" s="32" t="s">
        <v>101</v>
      </c>
      <c r="M190" s="33" t="s">
        <v>67</v>
      </c>
      <c r="N190" s="33"/>
      <c r="O190" s="32">
        <v>365</v>
      </c>
      <c r="P190" s="426" t="str">
        <f>HYPERLINK("https://abi.ru/products/Замороженные/Вязанка/Сливушка/Наггетсы/P004496/","Наггетсы «с индейкой» Фикс.вес 0,25 ТМ «Вязанка»")</f>
        <v>Наггетсы «с индейкой» Фикс.вес 0,25 ТМ «Вязанка»</v>
      </c>
      <c r="Q190" s="283"/>
      <c r="R190" s="283"/>
      <c r="S190" s="283"/>
      <c r="T190" s="284"/>
      <c r="U190" s="34"/>
      <c r="V190" s="34"/>
      <c r="W190" s="35" t="s">
        <v>68</v>
      </c>
      <c r="X190" s="276">
        <v>42</v>
      </c>
      <c r="Y190" s="277">
        <f>IFERROR(IF(X190="","",X190),"")</f>
        <v>42</v>
      </c>
      <c r="Z190" s="36">
        <f>IFERROR(IF(X190="","",X190*0.01788),"")</f>
        <v>0.75095999999999996</v>
      </c>
      <c r="AA190" s="56"/>
      <c r="AB190" s="57"/>
      <c r="AC190" s="204" t="s">
        <v>273</v>
      </c>
      <c r="AG190" s="67"/>
      <c r="AJ190" s="71" t="s">
        <v>103</v>
      </c>
      <c r="AK190" s="71">
        <v>14</v>
      </c>
      <c r="BB190" s="205" t="s">
        <v>104</v>
      </c>
      <c r="BM190" s="67">
        <f>IFERROR(X190*I190,"0")</f>
        <v>142.29599999999999</v>
      </c>
      <c r="BN190" s="67">
        <f>IFERROR(Y190*I190,"0")</f>
        <v>142.29599999999999</v>
      </c>
      <c r="BO190" s="67">
        <f>IFERROR(X190/J190,"0")</f>
        <v>0.6</v>
      </c>
      <c r="BP190" s="67">
        <f>IFERROR(Y190/J190,"0")</f>
        <v>0.6</v>
      </c>
    </row>
    <row r="191" spans="1:68" ht="27" customHeight="1" x14ac:dyDescent="0.25">
      <c r="A191" s="54" t="s">
        <v>274</v>
      </c>
      <c r="B191" s="54" t="s">
        <v>275</v>
      </c>
      <c r="C191" s="31">
        <v>4301132170</v>
      </c>
      <c r="D191" s="280">
        <v>4607111038487</v>
      </c>
      <c r="E191" s="281"/>
      <c r="F191" s="275">
        <v>0.25</v>
      </c>
      <c r="G191" s="32">
        <v>12</v>
      </c>
      <c r="H191" s="275">
        <v>3</v>
      </c>
      <c r="I191" s="275">
        <v>3.7360000000000002</v>
      </c>
      <c r="J191" s="32">
        <v>70</v>
      </c>
      <c r="K191" s="32" t="s">
        <v>100</v>
      </c>
      <c r="L191" s="32" t="s">
        <v>101</v>
      </c>
      <c r="M191" s="33" t="s">
        <v>67</v>
      </c>
      <c r="N191" s="33"/>
      <c r="O191" s="32">
        <v>180</v>
      </c>
      <c r="P191" s="439" t="str">
        <f>HYPERLINK("https://abi.ru/products/Замороженные/Вязанка/Сливушка/Наггетсы/P004535/","Наггетсы «с куриным филе и сыром» Фикс.вес 0,25 ТМ «Вязанка»")</f>
        <v>Наггетсы «с куриным филе и сыром» Фикс.вес 0,25 ТМ «Вязанка»</v>
      </c>
      <c r="Q191" s="283"/>
      <c r="R191" s="283"/>
      <c r="S191" s="283"/>
      <c r="T191" s="284"/>
      <c r="U191" s="34"/>
      <c r="V191" s="34"/>
      <c r="W191" s="35" t="s">
        <v>68</v>
      </c>
      <c r="X191" s="276">
        <v>14</v>
      </c>
      <c r="Y191" s="277">
        <f>IFERROR(IF(X191="","",X191),"")</f>
        <v>14</v>
      </c>
      <c r="Z191" s="36">
        <f>IFERROR(IF(X191="","",X191*0.01788),"")</f>
        <v>0.25031999999999999</v>
      </c>
      <c r="AA191" s="56"/>
      <c r="AB191" s="57"/>
      <c r="AC191" s="206" t="s">
        <v>276</v>
      </c>
      <c r="AG191" s="67"/>
      <c r="AJ191" s="71" t="s">
        <v>103</v>
      </c>
      <c r="AK191" s="71">
        <v>14</v>
      </c>
      <c r="BB191" s="207" t="s">
        <v>104</v>
      </c>
      <c r="BM191" s="67">
        <f>IFERROR(X191*I191,"0")</f>
        <v>52.304000000000002</v>
      </c>
      <c r="BN191" s="67">
        <f>IFERROR(Y191*I191,"0")</f>
        <v>52.304000000000002</v>
      </c>
      <c r="BO191" s="67">
        <f>IFERROR(X191/J191,"0")</f>
        <v>0.2</v>
      </c>
      <c r="BP191" s="67">
        <f>IFERROR(Y191/J191,"0")</f>
        <v>0.2</v>
      </c>
    </row>
    <row r="192" spans="1:68" ht="27" hidden="1" customHeight="1" x14ac:dyDescent="0.25">
      <c r="A192" s="54" t="s">
        <v>277</v>
      </c>
      <c r="B192" s="54" t="s">
        <v>278</v>
      </c>
      <c r="C192" s="31">
        <v>4301132243</v>
      </c>
      <c r="D192" s="280">
        <v>4620207491195</v>
      </c>
      <c r="E192" s="281"/>
      <c r="F192" s="275">
        <v>0.23</v>
      </c>
      <c r="G192" s="32">
        <v>12</v>
      </c>
      <c r="H192" s="275">
        <v>2.76</v>
      </c>
      <c r="I192" s="275">
        <v>3.1480000000000001</v>
      </c>
      <c r="J192" s="32">
        <v>70</v>
      </c>
      <c r="K192" s="32" t="s">
        <v>100</v>
      </c>
      <c r="L192" s="32" t="s">
        <v>66</v>
      </c>
      <c r="M192" s="33" t="s">
        <v>67</v>
      </c>
      <c r="N192" s="33"/>
      <c r="O192" s="32">
        <v>180</v>
      </c>
      <c r="P192" s="333" t="str">
        <f>HYPERLINK("https://abi.ru/products/Замороженные/Вязанка/Сливушка/Наггетсы/P005157/","Наггетсы «Сливушки в темпуре» Фикс.вес 0,23 ТМ «Вязанка»")</f>
        <v>Наггетсы «Сливушки в темпуре» Фикс.вес 0,23 ТМ «Вязанка»</v>
      </c>
      <c r="Q192" s="283"/>
      <c r="R192" s="283"/>
      <c r="S192" s="283"/>
      <c r="T192" s="284"/>
      <c r="U192" s="34"/>
      <c r="V192" s="34"/>
      <c r="W192" s="35" t="s">
        <v>68</v>
      </c>
      <c r="X192" s="276">
        <v>0</v>
      </c>
      <c r="Y192" s="277">
        <f>IFERROR(IF(X192="","",X192),"")</f>
        <v>0</v>
      </c>
      <c r="Z192" s="36">
        <f>IFERROR(IF(X192="","",X192*0.01788),"")</f>
        <v>0</v>
      </c>
      <c r="AA192" s="56"/>
      <c r="AB192" s="57"/>
      <c r="AC192" s="208" t="s">
        <v>279</v>
      </c>
      <c r="AG192" s="67"/>
      <c r="AJ192" s="71" t="s">
        <v>70</v>
      </c>
      <c r="AK192" s="71">
        <v>1</v>
      </c>
      <c r="BB192" s="209" t="s">
        <v>104</v>
      </c>
      <c r="BM192" s="67">
        <f>IFERROR(X192*I192,"0")</f>
        <v>0</v>
      </c>
      <c r="BN192" s="67">
        <f>IFERROR(Y192*I192,"0")</f>
        <v>0</v>
      </c>
      <c r="BO192" s="67">
        <f>IFERROR(X192/J192,"0")</f>
        <v>0</v>
      </c>
      <c r="BP192" s="67">
        <f>IFERROR(Y192/J192,"0")</f>
        <v>0</v>
      </c>
    </row>
    <row r="193" spans="1:68" x14ac:dyDescent="0.2">
      <c r="A193" s="285"/>
      <c r="B193" s="286"/>
      <c r="C193" s="286"/>
      <c r="D193" s="286"/>
      <c r="E193" s="286"/>
      <c r="F193" s="286"/>
      <c r="G193" s="286"/>
      <c r="H193" s="286"/>
      <c r="I193" s="286"/>
      <c r="J193" s="286"/>
      <c r="K193" s="286"/>
      <c r="L193" s="286"/>
      <c r="M193" s="286"/>
      <c r="N193" s="286"/>
      <c r="O193" s="287"/>
      <c r="P193" s="298" t="s">
        <v>87</v>
      </c>
      <c r="Q193" s="299"/>
      <c r="R193" s="299"/>
      <c r="S193" s="299"/>
      <c r="T193" s="299"/>
      <c r="U193" s="299"/>
      <c r="V193" s="300"/>
      <c r="W193" s="37" t="s">
        <v>68</v>
      </c>
      <c r="X193" s="278">
        <f>IFERROR(SUM(X189:X192),"0")</f>
        <v>210</v>
      </c>
      <c r="Y193" s="278">
        <f>IFERROR(SUM(Y189:Y192),"0")</f>
        <v>210</v>
      </c>
      <c r="Z193" s="278">
        <f>IFERROR(IF(Z189="",0,Z189),"0")+IFERROR(IF(Z190="",0,Z190),"0")+IFERROR(IF(Z191="",0,Z191),"0")+IFERROR(IF(Z192="",0,Z192),"0")</f>
        <v>3.7547999999999999</v>
      </c>
      <c r="AA193" s="279"/>
      <c r="AB193" s="279"/>
      <c r="AC193" s="279"/>
    </row>
    <row r="194" spans="1:68" x14ac:dyDescent="0.2">
      <c r="A194" s="286"/>
      <c r="B194" s="286"/>
      <c r="C194" s="286"/>
      <c r="D194" s="286"/>
      <c r="E194" s="286"/>
      <c r="F194" s="286"/>
      <c r="G194" s="286"/>
      <c r="H194" s="286"/>
      <c r="I194" s="286"/>
      <c r="J194" s="286"/>
      <c r="K194" s="286"/>
      <c r="L194" s="286"/>
      <c r="M194" s="286"/>
      <c r="N194" s="286"/>
      <c r="O194" s="287"/>
      <c r="P194" s="298" t="s">
        <v>87</v>
      </c>
      <c r="Q194" s="299"/>
      <c r="R194" s="299"/>
      <c r="S194" s="299"/>
      <c r="T194" s="299"/>
      <c r="U194" s="299"/>
      <c r="V194" s="300"/>
      <c r="W194" s="37" t="s">
        <v>88</v>
      </c>
      <c r="X194" s="278">
        <f>IFERROR(SUMPRODUCT(X189:X192*H189:H192),"0")</f>
        <v>630</v>
      </c>
      <c r="Y194" s="278">
        <f>IFERROR(SUMPRODUCT(Y189:Y192*H189:H192),"0")</f>
        <v>630</v>
      </c>
      <c r="Z194" s="37"/>
      <c r="AA194" s="279"/>
      <c r="AB194" s="279"/>
      <c r="AC194" s="279"/>
    </row>
    <row r="195" spans="1:68" ht="27.75" hidden="1" customHeight="1" x14ac:dyDescent="0.2">
      <c r="A195" s="335" t="s">
        <v>280</v>
      </c>
      <c r="B195" s="336"/>
      <c r="C195" s="336"/>
      <c r="D195" s="336"/>
      <c r="E195" s="336"/>
      <c r="F195" s="336"/>
      <c r="G195" s="336"/>
      <c r="H195" s="336"/>
      <c r="I195" s="336"/>
      <c r="J195" s="336"/>
      <c r="K195" s="336"/>
      <c r="L195" s="336"/>
      <c r="M195" s="336"/>
      <c r="N195" s="336"/>
      <c r="O195" s="336"/>
      <c r="P195" s="336"/>
      <c r="Q195" s="336"/>
      <c r="R195" s="336"/>
      <c r="S195" s="336"/>
      <c r="T195" s="336"/>
      <c r="U195" s="336"/>
      <c r="V195" s="336"/>
      <c r="W195" s="336"/>
      <c r="X195" s="336"/>
      <c r="Y195" s="336"/>
      <c r="Z195" s="336"/>
      <c r="AA195" s="48"/>
      <c r="AB195" s="48"/>
      <c r="AC195" s="48"/>
    </row>
    <row r="196" spans="1:68" ht="16.5" hidden="1" customHeight="1" x14ac:dyDescent="0.25">
      <c r="A196" s="304" t="s">
        <v>281</v>
      </c>
      <c r="B196" s="286"/>
      <c r="C196" s="286"/>
      <c r="D196" s="286"/>
      <c r="E196" s="286"/>
      <c r="F196" s="286"/>
      <c r="G196" s="286"/>
      <c r="H196" s="286"/>
      <c r="I196" s="286"/>
      <c r="J196" s="286"/>
      <c r="K196" s="286"/>
      <c r="L196" s="286"/>
      <c r="M196" s="286"/>
      <c r="N196" s="286"/>
      <c r="O196" s="286"/>
      <c r="P196" s="286"/>
      <c r="Q196" s="286"/>
      <c r="R196" s="286"/>
      <c r="S196" s="286"/>
      <c r="T196" s="286"/>
      <c r="U196" s="286"/>
      <c r="V196" s="286"/>
      <c r="W196" s="286"/>
      <c r="X196" s="286"/>
      <c r="Y196" s="286"/>
      <c r="Z196" s="286"/>
      <c r="AA196" s="271"/>
      <c r="AB196" s="271"/>
      <c r="AC196" s="271"/>
    </row>
    <row r="197" spans="1:68" ht="14.25" hidden="1" customHeight="1" x14ac:dyDescent="0.25">
      <c r="A197" s="288" t="s">
        <v>97</v>
      </c>
      <c r="B197" s="286"/>
      <c r="C197" s="286"/>
      <c r="D197" s="286"/>
      <c r="E197" s="286"/>
      <c r="F197" s="286"/>
      <c r="G197" s="286"/>
      <c r="H197" s="286"/>
      <c r="I197" s="286"/>
      <c r="J197" s="286"/>
      <c r="K197" s="286"/>
      <c r="L197" s="286"/>
      <c r="M197" s="286"/>
      <c r="N197" s="286"/>
      <c r="O197" s="286"/>
      <c r="P197" s="286"/>
      <c r="Q197" s="286"/>
      <c r="R197" s="286"/>
      <c r="S197" s="286"/>
      <c r="T197" s="286"/>
      <c r="U197" s="286"/>
      <c r="V197" s="286"/>
      <c r="W197" s="286"/>
      <c r="X197" s="286"/>
      <c r="Y197" s="286"/>
      <c r="Z197" s="286"/>
      <c r="AA197" s="272"/>
      <c r="AB197" s="272"/>
      <c r="AC197" s="272"/>
    </row>
    <row r="198" spans="1:68" ht="27" customHeight="1" x14ac:dyDescent="0.25">
      <c r="A198" s="54" t="s">
        <v>282</v>
      </c>
      <c r="B198" s="54" t="s">
        <v>283</v>
      </c>
      <c r="C198" s="31">
        <v>4301132227</v>
      </c>
      <c r="D198" s="280">
        <v>4620207491133</v>
      </c>
      <c r="E198" s="281"/>
      <c r="F198" s="275">
        <v>0.23</v>
      </c>
      <c r="G198" s="32">
        <v>12</v>
      </c>
      <c r="H198" s="275">
        <v>2.76</v>
      </c>
      <c r="I198" s="275">
        <v>2.98</v>
      </c>
      <c r="J198" s="32">
        <v>70</v>
      </c>
      <c r="K198" s="32" t="s">
        <v>100</v>
      </c>
      <c r="L198" s="32" t="s">
        <v>101</v>
      </c>
      <c r="M198" s="33" t="s">
        <v>67</v>
      </c>
      <c r="N198" s="33"/>
      <c r="O198" s="32">
        <v>180</v>
      </c>
      <c r="P198" s="437" t="str">
        <f>HYPERLINK("https://abi.ru/products/Замороженные/Стародворье/Стародворье ПГП/Наггетсы/P005043/","Наггетсы «Хрустящие с сочной курочкой» Фикс.вес 0,23 ТМ «Стародворье»")</f>
        <v>Наггетсы «Хрустящие с сочной курочкой» Фикс.вес 0,23 ТМ «Стародворье»</v>
      </c>
      <c r="Q198" s="283"/>
      <c r="R198" s="283"/>
      <c r="S198" s="283"/>
      <c r="T198" s="284"/>
      <c r="U198" s="34"/>
      <c r="V198" s="34"/>
      <c r="W198" s="35" t="s">
        <v>68</v>
      </c>
      <c r="X198" s="276">
        <v>112</v>
      </c>
      <c r="Y198" s="277">
        <f>IFERROR(IF(X198="","",X198),"")</f>
        <v>112</v>
      </c>
      <c r="Z198" s="36">
        <f>IFERROR(IF(X198="","",X198*0.01788),"")</f>
        <v>2.0025599999999999</v>
      </c>
      <c r="AA198" s="56"/>
      <c r="AB198" s="57"/>
      <c r="AC198" s="210" t="s">
        <v>284</v>
      </c>
      <c r="AG198" s="67"/>
      <c r="AJ198" s="71" t="s">
        <v>103</v>
      </c>
      <c r="AK198" s="71">
        <v>14</v>
      </c>
      <c r="BB198" s="211" t="s">
        <v>104</v>
      </c>
      <c r="BM198" s="67">
        <f>IFERROR(X198*I198,"0")</f>
        <v>333.76</v>
      </c>
      <c r="BN198" s="67">
        <f>IFERROR(Y198*I198,"0")</f>
        <v>333.76</v>
      </c>
      <c r="BO198" s="67">
        <f>IFERROR(X198/J198,"0")</f>
        <v>1.6</v>
      </c>
      <c r="BP198" s="67">
        <f>IFERROR(Y198/J198,"0")</f>
        <v>1.6</v>
      </c>
    </row>
    <row r="199" spans="1:68" x14ac:dyDescent="0.2">
      <c r="A199" s="285"/>
      <c r="B199" s="286"/>
      <c r="C199" s="286"/>
      <c r="D199" s="286"/>
      <c r="E199" s="286"/>
      <c r="F199" s="286"/>
      <c r="G199" s="286"/>
      <c r="H199" s="286"/>
      <c r="I199" s="286"/>
      <c r="J199" s="286"/>
      <c r="K199" s="286"/>
      <c r="L199" s="286"/>
      <c r="M199" s="286"/>
      <c r="N199" s="286"/>
      <c r="O199" s="287"/>
      <c r="P199" s="298" t="s">
        <v>87</v>
      </c>
      <c r="Q199" s="299"/>
      <c r="R199" s="299"/>
      <c r="S199" s="299"/>
      <c r="T199" s="299"/>
      <c r="U199" s="299"/>
      <c r="V199" s="300"/>
      <c r="W199" s="37" t="s">
        <v>68</v>
      </c>
      <c r="X199" s="278">
        <f>IFERROR(SUM(X198:X198),"0")</f>
        <v>112</v>
      </c>
      <c r="Y199" s="278">
        <f>IFERROR(SUM(Y198:Y198),"0")</f>
        <v>112</v>
      </c>
      <c r="Z199" s="278">
        <f>IFERROR(IF(Z198="",0,Z198),"0")</f>
        <v>2.0025599999999999</v>
      </c>
      <c r="AA199" s="279"/>
      <c r="AB199" s="279"/>
      <c r="AC199" s="279"/>
    </row>
    <row r="200" spans="1:68" x14ac:dyDescent="0.2">
      <c r="A200" s="286"/>
      <c r="B200" s="286"/>
      <c r="C200" s="286"/>
      <c r="D200" s="286"/>
      <c r="E200" s="286"/>
      <c r="F200" s="286"/>
      <c r="G200" s="286"/>
      <c r="H200" s="286"/>
      <c r="I200" s="286"/>
      <c r="J200" s="286"/>
      <c r="K200" s="286"/>
      <c r="L200" s="286"/>
      <c r="M200" s="286"/>
      <c r="N200" s="286"/>
      <c r="O200" s="287"/>
      <c r="P200" s="298" t="s">
        <v>87</v>
      </c>
      <c r="Q200" s="299"/>
      <c r="R200" s="299"/>
      <c r="S200" s="299"/>
      <c r="T200" s="299"/>
      <c r="U200" s="299"/>
      <c r="V200" s="300"/>
      <c r="W200" s="37" t="s">
        <v>88</v>
      </c>
      <c r="X200" s="278">
        <f>IFERROR(SUMPRODUCT(X198:X198*H198:H198),"0")</f>
        <v>309.12</v>
      </c>
      <c r="Y200" s="278">
        <f>IFERROR(SUMPRODUCT(Y198:Y198*H198:H198),"0")</f>
        <v>309.12</v>
      </c>
      <c r="Z200" s="37"/>
      <c r="AA200" s="279"/>
      <c r="AB200" s="279"/>
      <c r="AC200" s="279"/>
    </row>
    <row r="201" spans="1:68" ht="14.25" hidden="1" customHeight="1" x14ac:dyDescent="0.25">
      <c r="A201" s="288" t="s">
        <v>135</v>
      </c>
      <c r="B201" s="286"/>
      <c r="C201" s="286"/>
      <c r="D201" s="286"/>
      <c r="E201" s="286"/>
      <c r="F201" s="286"/>
      <c r="G201" s="286"/>
      <c r="H201" s="286"/>
      <c r="I201" s="286"/>
      <c r="J201" s="286"/>
      <c r="K201" s="286"/>
      <c r="L201" s="286"/>
      <c r="M201" s="286"/>
      <c r="N201" s="286"/>
      <c r="O201" s="286"/>
      <c r="P201" s="286"/>
      <c r="Q201" s="286"/>
      <c r="R201" s="286"/>
      <c r="S201" s="286"/>
      <c r="T201" s="286"/>
      <c r="U201" s="286"/>
      <c r="V201" s="286"/>
      <c r="W201" s="286"/>
      <c r="X201" s="286"/>
      <c r="Y201" s="286"/>
      <c r="Z201" s="286"/>
      <c r="AA201" s="272"/>
      <c r="AB201" s="272"/>
      <c r="AC201" s="272"/>
    </row>
    <row r="202" spans="1:68" ht="27" customHeight="1" x14ac:dyDescent="0.25">
      <c r="A202" s="54" t="s">
        <v>285</v>
      </c>
      <c r="B202" s="54" t="s">
        <v>286</v>
      </c>
      <c r="C202" s="31">
        <v>4301135834</v>
      </c>
      <c r="D202" s="280">
        <v>4620207491188</v>
      </c>
      <c r="E202" s="281"/>
      <c r="F202" s="275">
        <v>0.2</v>
      </c>
      <c r="G202" s="32">
        <v>12</v>
      </c>
      <c r="H202" s="275">
        <v>2.4</v>
      </c>
      <c r="I202" s="275">
        <v>3.1036000000000001</v>
      </c>
      <c r="J202" s="32">
        <v>70</v>
      </c>
      <c r="K202" s="32" t="s">
        <v>100</v>
      </c>
      <c r="L202" s="32" t="s">
        <v>66</v>
      </c>
      <c r="M202" s="33" t="s">
        <v>67</v>
      </c>
      <c r="N202" s="33"/>
      <c r="O202" s="32">
        <v>180</v>
      </c>
      <c r="P202" s="465" t="str">
        <f>HYPERLINK("https://abi.ru/products/Замороженные/Стародворье/Стародворье ПГП/Снеки/P005129/","Снеки «Жареные вареники с картофелем и беконом» Фикс.вес 0,2 ТМ «Стародворье»")</f>
        <v>Снеки «Жареные вареники с картофелем и беконом» Фикс.вес 0,2 ТМ «Стародворье»</v>
      </c>
      <c r="Q202" s="283"/>
      <c r="R202" s="283"/>
      <c r="S202" s="283"/>
      <c r="T202" s="284"/>
      <c r="U202" s="34"/>
      <c r="V202" s="34"/>
      <c r="W202" s="35" t="s">
        <v>68</v>
      </c>
      <c r="X202" s="276">
        <v>42</v>
      </c>
      <c r="Y202" s="277">
        <f>IFERROR(IF(X202="","",X202),"")</f>
        <v>42</v>
      </c>
      <c r="Z202" s="36">
        <f>IFERROR(IF(X202="","",X202*0.01788),"")</f>
        <v>0.75095999999999996</v>
      </c>
      <c r="AA202" s="56"/>
      <c r="AB202" s="57"/>
      <c r="AC202" s="212" t="s">
        <v>287</v>
      </c>
      <c r="AG202" s="67"/>
      <c r="AJ202" s="71" t="s">
        <v>70</v>
      </c>
      <c r="AK202" s="71">
        <v>1</v>
      </c>
      <c r="BB202" s="213" t="s">
        <v>104</v>
      </c>
      <c r="BM202" s="67">
        <f>IFERROR(X202*I202,"0")</f>
        <v>130.35120000000001</v>
      </c>
      <c r="BN202" s="67">
        <f>IFERROR(Y202*I202,"0")</f>
        <v>130.35120000000001</v>
      </c>
      <c r="BO202" s="67">
        <f>IFERROR(X202/J202,"0")</f>
        <v>0.6</v>
      </c>
      <c r="BP202" s="67">
        <f>IFERROR(Y202/J202,"0")</f>
        <v>0.6</v>
      </c>
    </row>
    <row r="203" spans="1:68" ht="27" hidden="1" customHeight="1" x14ac:dyDescent="0.25">
      <c r="A203" s="54" t="s">
        <v>288</v>
      </c>
      <c r="B203" s="54" t="s">
        <v>289</v>
      </c>
      <c r="C203" s="31">
        <v>4301135696</v>
      </c>
      <c r="D203" s="280">
        <v>4620207490235</v>
      </c>
      <c r="E203" s="281"/>
      <c r="F203" s="275">
        <v>0.2</v>
      </c>
      <c r="G203" s="32">
        <v>12</v>
      </c>
      <c r="H203" s="275">
        <v>2.4</v>
      </c>
      <c r="I203" s="275">
        <v>3.1036000000000001</v>
      </c>
      <c r="J203" s="32">
        <v>70</v>
      </c>
      <c r="K203" s="32" t="s">
        <v>100</v>
      </c>
      <c r="L203" s="32" t="s">
        <v>101</v>
      </c>
      <c r="M203" s="33" t="s">
        <v>67</v>
      </c>
      <c r="N203" s="33"/>
      <c r="O203" s="32">
        <v>180</v>
      </c>
      <c r="P203" s="428" t="str">
        <f>HYPERLINK("https://abi.ru/products/Замороженные/Стародворье/Стародворье ПГП/Снеки/P004811/","Снеки «ЖАР-ладушки с мясом» Фикс.вес 0,2 ТМ «Стародворье»")</f>
        <v>Снеки «ЖАР-ладушки с мясом» Фикс.вес 0,2 ТМ «Стародворье»</v>
      </c>
      <c r="Q203" s="283"/>
      <c r="R203" s="283"/>
      <c r="S203" s="283"/>
      <c r="T203" s="284"/>
      <c r="U203" s="34"/>
      <c r="V203" s="34"/>
      <c r="W203" s="35" t="s">
        <v>68</v>
      </c>
      <c r="X203" s="276">
        <v>0</v>
      </c>
      <c r="Y203" s="277">
        <f>IFERROR(IF(X203="","",X203),"")</f>
        <v>0</v>
      </c>
      <c r="Z203" s="36">
        <f>IFERROR(IF(X203="","",X203*0.01788),"")</f>
        <v>0</v>
      </c>
      <c r="AA203" s="56"/>
      <c r="AB203" s="57"/>
      <c r="AC203" s="214" t="s">
        <v>290</v>
      </c>
      <c r="AG203" s="67"/>
      <c r="AJ203" s="71" t="s">
        <v>103</v>
      </c>
      <c r="AK203" s="71">
        <v>14</v>
      </c>
      <c r="BB203" s="215" t="s">
        <v>104</v>
      </c>
      <c r="BM203" s="67">
        <f>IFERROR(X203*I203,"0")</f>
        <v>0</v>
      </c>
      <c r="BN203" s="67">
        <f>IFERROR(Y203*I203,"0")</f>
        <v>0</v>
      </c>
      <c r="BO203" s="67">
        <f>IFERROR(X203/J203,"0")</f>
        <v>0</v>
      </c>
      <c r="BP203" s="67">
        <f>IFERROR(Y203/J203,"0")</f>
        <v>0</v>
      </c>
    </row>
    <row r="204" spans="1:68" ht="27" hidden="1" customHeight="1" x14ac:dyDescent="0.25">
      <c r="A204" s="54" t="s">
        <v>291</v>
      </c>
      <c r="B204" s="54" t="s">
        <v>292</v>
      </c>
      <c r="C204" s="31">
        <v>4301135697</v>
      </c>
      <c r="D204" s="280">
        <v>4620207490259</v>
      </c>
      <c r="E204" s="281"/>
      <c r="F204" s="275">
        <v>0.2</v>
      </c>
      <c r="G204" s="32">
        <v>12</v>
      </c>
      <c r="H204" s="275">
        <v>2.4</v>
      </c>
      <c r="I204" s="275">
        <v>3.1036000000000001</v>
      </c>
      <c r="J204" s="32">
        <v>70</v>
      </c>
      <c r="K204" s="32" t="s">
        <v>100</v>
      </c>
      <c r="L204" s="32" t="s">
        <v>101</v>
      </c>
      <c r="M204" s="33" t="s">
        <v>67</v>
      </c>
      <c r="N204" s="33"/>
      <c r="O204" s="32">
        <v>180</v>
      </c>
      <c r="P204" s="388" t="str">
        <f>HYPERLINK("https://abi.ru/products/Замороженные/Стародворье/Стародворье ПГП/Снеки/P004812/","Снеки «ЖАР-ладушки с яблоком и грушей» Фикс.вес 0,2 ТМ «Стародворье»")</f>
        <v>Снеки «ЖАР-ладушки с яблоком и грушей» Фикс.вес 0,2 ТМ «Стародворье»</v>
      </c>
      <c r="Q204" s="283"/>
      <c r="R204" s="283"/>
      <c r="S204" s="283"/>
      <c r="T204" s="284"/>
      <c r="U204" s="34"/>
      <c r="V204" s="34"/>
      <c r="W204" s="35" t="s">
        <v>68</v>
      </c>
      <c r="X204" s="276">
        <v>0</v>
      </c>
      <c r="Y204" s="277">
        <f>IFERROR(IF(X204="","",X204),"")</f>
        <v>0</v>
      </c>
      <c r="Z204" s="36">
        <f>IFERROR(IF(X204="","",X204*0.01788),"")</f>
        <v>0</v>
      </c>
      <c r="AA204" s="56"/>
      <c r="AB204" s="57"/>
      <c r="AC204" s="216" t="s">
        <v>293</v>
      </c>
      <c r="AG204" s="67"/>
      <c r="AJ204" s="71" t="s">
        <v>103</v>
      </c>
      <c r="AK204" s="71">
        <v>14</v>
      </c>
      <c r="BB204" s="217" t="s">
        <v>104</v>
      </c>
      <c r="BM204" s="67">
        <f>IFERROR(X204*I204,"0")</f>
        <v>0</v>
      </c>
      <c r="BN204" s="67">
        <f>IFERROR(Y204*I204,"0")</f>
        <v>0</v>
      </c>
      <c r="BO204" s="67">
        <f>IFERROR(X204/J204,"0")</f>
        <v>0</v>
      </c>
      <c r="BP204" s="67">
        <f>IFERROR(Y204/J204,"0")</f>
        <v>0</v>
      </c>
    </row>
    <row r="205" spans="1:68" x14ac:dyDescent="0.2">
      <c r="A205" s="285"/>
      <c r="B205" s="286"/>
      <c r="C205" s="286"/>
      <c r="D205" s="286"/>
      <c r="E205" s="286"/>
      <c r="F205" s="286"/>
      <c r="G205" s="286"/>
      <c r="H205" s="286"/>
      <c r="I205" s="286"/>
      <c r="J205" s="286"/>
      <c r="K205" s="286"/>
      <c r="L205" s="286"/>
      <c r="M205" s="286"/>
      <c r="N205" s="286"/>
      <c r="O205" s="287"/>
      <c r="P205" s="298" t="s">
        <v>87</v>
      </c>
      <c r="Q205" s="299"/>
      <c r="R205" s="299"/>
      <c r="S205" s="299"/>
      <c r="T205" s="299"/>
      <c r="U205" s="299"/>
      <c r="V205" s="300"/>
      <c r="W205" s="37" t="s">
        <v>68</v>
      </c>
      <c r="X205" s="278">
        <f>IFERROR(SUM(X202:X204),"0")</f>
        <v>42</v>
      </c>
      <c r="Y205" s="278">
        <f>IFERROR(SUM(Y202:Y204),"0")</f>
        <v>42</v>
      </c>
      <c r="Z205" s="278">
        <f>IFERROR(IF(Z202="",0,Z202),"0")+IFERROR(IF(Z203="",0,Z203),"0")+IFERROR(IF(Z204="",0,Z204),"0")</f>
        <v>0.75095999999999996</v>
      </c>
      <c r="AA205" s="279"/>
      <c r="AB205" s="279"/>
      <c r="AC205" s="279"/>
    </row>
    <row r="206" spans="1:68" x14ac:dyDescent="0.2">
      <c r="A206" s="286"/>
      <c r="B206" s="286"/>
      <c r="C206" s="286"/>
      <c r="D206" s="286"/>
      <c r="E206" s="286"/>
      <c r="F206" s="286"/>
      <c r="G206" s="286"/>
      <c r="H206" s="286"/>
      <c r="I206" s="286"/>
      <c r="J206" s="286"/>
      <c r="K206" s="286"/>
      <c r="L206" s="286"/>
      <c r="M206" s="286"/>
      <c r="N206" s="286"/>
      <c r="O206" s="287"/>
      <c r="P206" s="298" t="s">
        <v>87</v>
      </c>
      <c r="Q206" s="299"/>
      <c r="R206" s="299"/>
      <c r="S206" s="299"/>
      <c r="T206" s="299"/>
      <c r="U206" s="299"/>
      <c r="V206" s="300"/>
      <c r="W206" s="37" t="s">
        <v>88</v>
      </c>
      <c r="X206" s="278">
        <f>IFERROR(SUMPRODUCT(X202:X204*H202:H204),"0")</f>
        <v>100.8</v>
      </c>
      <c r="Y206" s="278">
        <f>IFERROR(SUMPRODUCT(Y202:Y204*H202:H204),"0")</f>
        <v>100.8</v>
      </c>
      <c r="Z206" s="37"/>
      <c r="AA206" s="279"/>
      <c r="AB206" s="279"/>
      <c r="AC206" s="279"/>
    </row>
    <row r="207" spans="1:68" ht="16.5" hidden="1" customHeight="1" x14ac:dyDescent="0.25">
      <c r="A207" s="304" t="s">
        <v>294</v>
      </c>
      <c r="B207" s="286"/>
      <c r="C207" s="286"/>
      <c r="D207" s="286"/>
      <c r="E207" s="286"/>
      <c r="F207" s="286"/>
      <c r="G207" s="286"/>
      <c r="H207" s="286"/>
      <c r="I207" s="286"/>
      <c r="J207" s="286"/>
      <c r="K207" s="286"/>
      <c r="L207" s="286"/>
      <c r="M207" s="286"/>
      <c r="N207" s="286"/>
      <c r="O207" s="286"/>
      <c r="P207" s="286"/>
      <c r="Q207" s="286"/>
      <c r="R207" s="286"/>
      <c r="S207" s="286"/>
      <c r="T207" s="286"/>
      <c r="U207" s="286"/>
      <c r="V207" s="286"/>
      <c r="W207" s="286"/>
      <c r="X207" s="286"/>
      <c r="Y207" s="286"/>
      <c r="Z207" s="286"/>
      <c r="AA207" s="271"/>
      <c r="AB207" s="271"/>
      <c r="AC207" s="271"/>
    </row>
    <row r="208" spans="1:68" ht="14.25" hidden="1" customHeight="1" x14ac:dyDescent="0.25">
      <c r="A208" s="288" t="s">
        <v>135</v>
      </c>
      <c r="B208" s="286"/>
      <c r="C208" s="286"/>
      <c r="D208" s="286"/>
      <c r="E208" s="286"/>
      <c r="F208" s="286"/>
      <c r="G208" s="286"/>
      <c r="H208" s="286"/>
      <c r="I208" s="286"/>
      <c r="J208" s="286"/>
      <c r="K208" s="286"/>
      <c r="L208" s="286"/>
      <c r="M208" s="286"/>
      <c r="N208" s="286"/>
      <c r="O208" s="286"/>
      <c r="P208" s="286"/>
      <c r="Q208" s="286"/>
      <c r="R208" s="286"/>
      <c r="S208" s="286"/>
      <c r="T208" s="286"/>
      <c r="U208" s="286"/>
      <c r="V208" s="286"/>
      <c r="W208" s="286"/>
      <c r="X208" s="286"/>
      <c r="Y208" s="286"/>
      <c r="Z208" s="286"/>
      <c r="AA208" s="272"/>
      <c r="AB208" s="272"/>
      <c r="AC208" s="272"/>
    </row>
    <row r="209" spans="1:68" ht="27" hidden="1" customHeight="1" x14ac:dyDescent="0.25">
      <c r="A209" s="54" t="s">
        <v>295</v>
      </c>
      <c r="B209" s="54" t="s">
        <v>296</v>
      </c>
      <c r="C209" s="31">
        <v>4301135854</v>
      </c>
      <c r="D209" s="280">
        <v>4620207491706</v>
      </c>
      <c r="E209" s="281"/>
      <c r="F209" s="275">
        <v>0.2</v>
      </c>
      <c r="G209" s="32">
        <v>12</v>
      </c>
      <c r="H209" s="275">
        <v>2.4</v>
      </c>
      <c r="I209" s="275">
        <v>3.1036000000000001</v>
      </c>
      <c r="J209" s="32">
        <v>70</v>
      </c>
      <c r="K209" s="32" t="s">
        <v>100</v>
      </c>
      <c r="L209" s="32" t="s">
        <v>66</v>
      </c>
      <c r="M209" s="33" t="s">
        <v>67</v>
      </c>
      <c r="N209" s="33"/>
      <c r="O209" s="32">
        <v>180</v>
      </c>
      <c r="P209" s="293" t="str">
        <f>HYPERLINK("https://abi.ru/products/Замороженные/Стародворье/Мясорубская/Снеки/P005188/","Снеки «Жареные пельмени Мясорубские» Фикс.вес 0,2 ТМ «Стародворье»")</f>
        <v>Снеки «Жареные пельмени Мясорубские» Фикс.вес 0,2 ТМ «Стародворье»</v>
      </c>
      <c r="Q209" s="283"/>
      <c r="R209" s="283"/>
      <c r="S209" s="283"/>
      <c r="T209" s="284"/>
      <c r="U209" s="34"/>
      <c r="V209" s="34"/>
      <c r="W209" s="35" t="s">
        <v>68</v>
      </c>
      <c r="X209" s="276">
        <v>0</v>
      </c>
      <c r="Y209" s="277">
        <f>IFERROR(IF(X209="","",X209),"")</f>
        <v>0</v>
      </c>
      <c r="Z209" s="36">
        <f>IFERROR(IF(X209="","",X209*0.01788),"")</f>
        <v>0</v>
      </c>
      <c r="AA209" s="56"/>
      <c r="AB209" s="57"/>
      <c r="AC209" s="218" t="s">
        <v>297</v>
      </c>
      <c r="AG209" s="67"/>
      <c r="AJ209" s="71" t="s">
        <v>70</v>
      </c>
      <c r="AK209" s="71">
        <v>1</v>
      </c>
      <c r="BB209" s="219" t="s">
        <v>104</v>
      </c>
      <c r="BM209" s="67">
        <f>IFERROR(X209*I209,"0")</f>
        <v>0</v>
      </c>
      <c r="BN209" s="67">
        <f>IFERROR(Y209*I209,"0")</f>
        <v>0</v>
      </c>
      <c r="BO209" s="67">
        <f>IFERROR(X209/J209,"0")</f>
        <v>0</v>
      </c>
      <c r="BP209" s="67">
        <f>IFERROR(Y209/J209,"0")</f>
        <v>0</v>
      </c>
    </row>
    <row r="210" spans="1:68" ht="27" hidden="1" customHeight="1" x14ac:dyDescent="0.25">
      <c r="A210" s="54" t="s">
        <v>298</v>
      </c>
      <c r="B210" s="54" t="s">
        <v>299</v>
      </c>
      <c r="C210" s="31">
        <v>4301135895</v>
      </c>
      <c r="D210" s="280">
        <v>4620207491522</v>
      </c>
      <c r="E210" s="281"/>
      <c r="F210" s="275">
        <v>0.28000000000000003</v>
      </c>
      <c r="G210" s="32">
        <v>12</v>
      </c>
      <c r="H210" s="275">
        <v>3.36</v>
      </c>
      <c r="I210" s="275">
        <v>4.0636000000000001</v>
      </c>
      <c r="J210" s="32">
        <v>70</v>
      </c>
      <c r="K210" s="32" t="s">
        <v>100</v>
      </c>
      <c r="L210" s="32" t="s">
        <v>66</v>
      </c>
      <c r="M210" s="33" t="s">
        <v>67</v>
      </c>
      <c r="N210" s="33"/>
      <c r="O210" s="32">
        <v>180</v>
      </c>
      <c r="P210" s="372" t="str">
        <f>HYPERLINK("https://abi.ru/products/Замороженные/Стародворье/Мясорубская/Снеки/P005434/","Снеки «Жареные хинкали Мясорубские» Фикс.вес 0,28 ТМ «Стародворье»")</f>
        <v>Снеки «Жареные хинкали Мясорубские» Фикс.вес 0,28 ТМ «Стародворье»</v>
      </c>
      <c r="Q210" s="283"/>
      <c r="R210" s="283"/>
      <c r="S210" s="283"/>
      <c r="T210" s="284"/>
      <c r="U210" s="34"/>
      <c r="V210" s="34"/>
      <c r="W210" s="35" t="s">
        <v>68</v>
      </c>
      <c r="X210" s="276">
        <v>0</v>
      </c>
      <c r="Y210" s="277">
        <f>IFERROR(IF(X210="","",X210),"")</f>
        <v>0</v>
      </c>
      <c r="Z210" s="36">
        <f>IFERROR(IF(X210="","",X210*0.01788),"")</f>
        <v>0</v>
      </c>
      <c r="AA210" s="56"/>
      <c r="AB210" s="57"/>
      <c r="AC210" s="220" t="s">
        <v>300</v>
      </c>
      <c r="AG210" s="67"/>
      <c r="AJ210" s="71" t="s">
        <v>70</v>
      </c>
      <c r="AK210" s="71">
        <v>1</v>
      </c>
      <c r="BB210" s="221" t="s">
        <v>104</v>
      </c>
      <c r="BM210" s="67">
        <f>IFERROR(X210*I210,"0")</f>
        <v>0</v>
      </c>
      <c r="BN210" s="67">
        <f>IFERROR(Y210*I210,"0")</f>
        <v>0</v>
      </c>
      <c r="BO210" s="67">
        <f>IFERROR(X210/J210,"0")</f>
        <v>0</v>
      </c>
      <c r="BP210" s="67">
        <f>IFERROR(Y210/J210,"0")</f>
        <v>0</v>
      </c>
    </row>
    <row r="211" spans="1:68" hidden="1" x14ac:dyDescent="0.2">
      <c r="A211" s="285"/>
      <c r="B211" s="286"/>
      <c r="C211" s="286"/>
      <c r="D211" s="286"/>
      <c r="E211" s="286"/>
      <c r="F211" s="286"/>
      <c r="G211" s="286"/>
      <c r="H211" s="286"/>
      <c r="I211" s="286"/>
      <c r="J211" s="286"/>
      <c r="K211" s="286"/>
      <c r="L211" s="286"/>
      <c r="M211" s="286"/>
      <c r="N211" s="286"/>
      <c r="O211" s="287"/>
      <c r="P211" s="298" t="s">
        <v>87</v>
      </c>
      <c r="Q211" s="299"/>
      <c r="R211" s="299"/>
      <c r="S211" s="299"/>
      <c r="T211" s="299"/>
      <c r="U211" s="299"/>
      <c r="V211" s="300"/>
      <c r="W211" s="37" t="s">
        <v>68</v>
      </c>
      <c r="X211" s="278">
        <f>IFERROR(SUM(X209:X210),"0")</f>
        <v>0</v>
      </c>
      <c r="Y211" s="278">
        <f>IFERROR(SUM(Y209:Y210),"0")</f>
        <v>0</v>
      </c>
      <c r="Z211" s="278">
        <f>IFERROR(IF(Z209="",0,Z209),"0")+IFERROR(IF(Z210="",0,Z210),"0")</f>
        <v>0</v>
      </c>
      <c r="AA211" s="279"/>
      <c r="AB211" s="279"/>
      <c r="AC211" s="279"/>
    </row>
    <row r="212" spans="1:68" hidden="1" x14ac:dyDescent="0.2">
      <c r="A212" s="286"/>
      <c r="B212" s="286"/>
      <c r="C212" s="286"/>
      <c r="D212" s="286"/>
      <c r="E212" s="286"/>
      <c r="F212" s="286"/>
      <c r="G212" s="286"/>
      <c r="H212" s="286"/>
      <c r="I212" s="286"/>
      <c r="J212" s="286"/>
      <c r="K212" s="286"/>
      <c r="L212" s="286"/>
      <c r="M212" s="286"/>
      <c r="N212" s="286"/>
      <c r="O212" s="287"/>
      <c r="P212" s="298" t="s">
        <v>87</v>
      </c>
      <c r="Q212" s="299"/>
      <c r="R212" s="299"/>
      <c r="S212" s="299"/>
      <c r="T212" s="299"/>
      <c r="U212" s="299"/>
      <c r="V212" s="300"/>
      <c r="W212" s="37" t="s">
        <v>88</v>
      </c>
      <c r="X212" s="278">
        <f>IFERROR(SUMPRODUCT(X209:X210*H209:H210),"0")</f>
        <v>0</v>
      </c>
      <c r="Y212" s="278">
        <f>IFERROR(SUMPRODUCT(Y209:Y210*H209:H210),"0")</f>
        <v>0</v>
      </c>
      <c r="Z212" s="37"/>
      <c r="AA212" s="279"/>
      <c r="AB212" s="279"/>
      <c r="AC212" s="279"/>
    </row>
    <row r="213" spans="1:68" ht="16.5" hidden="1" customHeight="1" x14ac:dyDescent="0.25">
      <c r="A213" s="304" t="s">
        <v>301</v>
      </c>
      <c r="B213" s="286"/>
      <c r="C213" s="286"/>
      <c r="D213" s="286"/>
      <c r="E213" s="286"/>
      <c r="F213" s="286"/>
      <c r="G213" s="286"/>
      <c r="H213" s="286"/>
      <c r="I213" s="286"/>
      <c r="J213" s="286"/>
      <c r="K213" s="286"/>
      <c r="L213" s="286"/>
      <c r="M213" s="286"/>
      <c r="N213" s="286"/>
      <c r="O213" s="286"/>
      <c r="P213" s="286"/>
      <c r="Q213" s="286"/>
      <c r="R213" s="286"/>
      <c r="S213" s="286"/>
      <c r="T213" s="286"/>
      <c r="U213" s="286"/>
      <c r="V213" s="286"/>
      <c r="W213" s="286"/>
      <c r="X213" s="286"/>
      <c r="Y213" s="286"/>
      <c r="Z213" s="286"/>
      <c r="AA213" s="271"/>
      <c r="AB213" s="271"/>
      <c r="AC213" s="271"/>
    </row>
    <row r="214" spans="1:68" ht="14.25" hidden="1" customHeight="1" x14ac:dyDescent="0.25">
      <c r="A214" s="288" t="s">
        <v>62</v>
      </c>
      <c r="B214" s="286"/>
      <c r="C214" s="286"/>
      <c r="D214" s="286"/>
      <c r="E214" s="286"/>
      <c r="F214" s="286"/>
      <c r="G214" s="286"/>
      <c r="H214" s="286"/>
      <c r="I214" s="286"/>
      <c r="J214" s="286"/>
      <c r="K214" s="286"/>
      <c r="L214" s="286"/>
      <c r="M214" s="286"/>
      <c r="N214" s="286"/>
      <c r="O214" s="286"/>
      <c r="P214" s="286"/>
      <c r="Q214" s="286"/>
      <c r="R214" s="286"/>
      <c r="S214" s="286"/>
      <c r="T214" s="286"/>
      <c r="U214" s="286"/>
      <c r="V214" s="286"/>
      <c r="W214" s="286"/>
      <c r="X214" s="286"/>
      <c r="Y214" s="286"/>
      <c r="Z214" s="286"/>
      <c r="AA214" s="272"/>
      <c r="AB214" s="272"/>
      <c r="AC214" s="272"/>
    </row>
    <row r="215" spans="1:68" ht="27" customHeight="1" x14ac:dyDescent="0.25">
      <c r="A215" s="54" t="s">
        <v>302</v>
      </c>
      <c r="B215" s="54" t="s">
        <v>303</v>
      </c>
      <c r="C215" s="31">
        <v>4301071097</v>
      </c>
      <c r="D215" s="280">
        <v>4620207491096</v>
      </c>
      <c r="E215" s="281"/>
      <c r="F215" s="275">
        <v>1</v>
      </c>
      <c r="G215" s="32">
        <v>5</v>
      </c>
      <c r="H215" s="275">
        <v>5</v>
      </c>
      <c r="I215" s="275">
        <v>5.23</v>
      </c>
      <c r="J215" s="32">
        <v>84</v>
      </c>
      <c r="K215" s="32" t="s">
        <v>65</v>
      </c>
      <c r="L215" s="32" t="s">
        <v>101</v>
      </c>
      <c r="M215" s="33" t="s">
        <v>67</v>
      </c>
      <c r="N215" s="33"/>
      <c r="O215" s="32">
        <v>180</v>
      </c>
      <c r="P215" s="312" t="str">
        <f>HYPERLINK("https://abi.ru/products/Замороженные/Стародворье/Стародворские/Пельмени/P005048/","Пельмени «Мясные с говядиной» Фикс.вес 1 сфера ТМ «Стародворье»")</f>
        <v>Пельмени «Мясные с говядиной» Фикс.вес 1 сфера ТМ «Стародворье»</v>
      </c>
      <c r="Q215" s="283"/>
      <c r="R215" s="283"/>
      <c r="S215" s="283"/>
      <c r="T215" s="284"/>
      <c r="U215" s="34"/>
      <c r="V215" s="34"/>
      <c r="W215" s="35" t="s">
        <v>68</v>
      </c>
      <c r="X215" s="276">
        <v>48</v>
      </c>
      <c r="Y215" s="277">
        <f>IFERROR(IF(X215="","",X215),"")</f>
        <v>48</v>
      </c>
      <c r="Z215" s="36">
        <f>IFERROR(IF(X215="","",X215*0.0155),"")</f>
        <v>0.74399999999999999</v>
      </c>
      <c r="AA215" s="56"/>
      <c r="AB215" s="57"/>
      <c r="AC215" s="222" t="s">
        <v>304</v>
      </c>
      <c r="AG215" s="67"/>
      <c r="AJ215" s="71" t="s">
        <v>103</v>
      </c>
      <c r="AK215" s="71">
        <v>12</v>
      </c>
      <c r="BB215" s="223" t="s">
        <v>1</v>
      </c>
      <c r="BM215" s="67">
        <f>IFERROR(X215*I215,"0")</f>
        <v>251.04000000000002</v>
      </c>
      <c r="BN215" s="67">
        <f>IFERROR(Y215*I215,"0")</f>
        <v>251.04000000000002</v>
      </c>
      <c r="BO215" s="67">
        <f>IFERROR(X215/J215,"0")</f>
        <v>0.5714285714285714</v>
      </c>
      <c r="BP215" s="67">
        <f>IFERROR(Y215/J215,"0")</f>
        <v>0.5714285714285714</v>
      </c>
    </row>
    <row r="216" spans="1:68" x14ac:dyDescent="0.2">
      <c r="A216" s="285"/>
      <c r="B216" s="286"/>
      <c r="C216" s="286"/>
      <c r="D216" s="286"/>
      <c r="E216" s="286"/>
      <c r="F216" s="286"/>
      <c r="G216" s="286"/>
      <c r="H216" s="286"/>
      <c r="I216" s="286"/>
      <c r="J216" s="286"/>
      <c r="K216" s="286"/>
      <c r="L216" s="286"/>
      <c r="M216" s="286"/>
      <c r="N216" s="286"/>
      <c r="O216" s="287"/>
      <c r="P216" s="298" t="s">
        <v>87</v>
      </c>
      <c r="Q216" s="299"/>
      <c r="R216" s="299"/>
      <c r="S216" s="299"/>
      <c r="T216" s="299"/>
      <c r="U216" s="299"/>
      <c r="V216" s="300"/>
      <c r="W216" s="37" t="s">
        <v>68</v>
      </c>
      <c r="X216" s="278">
        <f>IFERROR(SUM(X215:X215),"0")</f>
        <v>48</v>
      </c>
      <c r="Y216" s="278">
        <f>IFERROR(SUM(Y215:Y215),"0")</f>
        <v>48</v>
      </c>
      <c r="Z216" s="278">
        <f>IFERROR(IF(Z215="",0,Z215),"0")</f>
        <v>0.74399999999999999</v>
      </c>
      <c r="AA216" s="279"/>
      <c r="AB216" s="279"/>
      <c r="AC216" s="279"/>
    </row>
    <row r="217" spans="1:68" x14ac:dyDescent="0.2">
      <c r="A217" s="286"/>
      <c r="B217" s="286"/>
      <c r="C217" s="286"/>
      <c r="D217" s="286"/>
      <c r="E217" s="286"/>
      <c r="F217" s="286"/>
      <c r="G217" s="286"/>
      <c r="H217" s="286"/>
      <c r="I217" s="286"/>
      <c r="J217" s="286"/>
      <c r="K217" s="286"/>
      <c r="L217" s="286"/>
      <c r="M217" s="286"/>
      <c r="N217" s="286"/>
      <c r="O217" s="287"/>
      <c r="P217" s="298" t="s">
        <v>87</v>
      </c>
      <c r="Q217" s="299"/>
      <c r="R217" s="299"/>
      <c r="S217" s="299"/>
      <c r="T217" s="299"/>
      <c r="U217" s="299"/>
      <c r="V217" s="300"/>
      <c r="W217" s="37" t="s">
        <v>88</v>
      </c>
      <c r="X217" s="278">
        <f>IFERROR(SUMPRODUCT(X215:X215*H215:H215),"0")</f>
        <v>240</v>
      </c>
      <c r="Y217" s="278">
        <f>IFERROR(SUMPRODUCT(Y215:Y215*H215:H215),"0")</f>
        <v>240</v>
      </c>
      <c r="Z217" s="37"/>
      <c r="AA217" s="279"/>
      <c r="AB217" s="279"/>
      <c r="AC217" s="279"/>
    </row>
    <row r="218" spans="1:68" ht="16.5" hidden="1" customHeight="1" x14ac:dyDescent="0.25">
      <c r="A218" s="304" t="s">
        <v>305</v>
      </c>
      <c r="B218" s="286"/>
      <c r="C218" s="286"/>
      <c r="D218" s="286"/>
      <c r="E218" s="286"/>
      <c r="F218" s="286"/>
      <c r="G218" s="286"/>
      <c r="H218" s="286"/>
      <c r="I218" s="286"/>
      <c r="J218" s="286"/>
      <c r="K218" s="286"/>
      <c r="L218" s="286"/>
      <c r="M218" s="286"/>
      <c r="N218" s="286"/>
      <c r="O218" s="286"/>
      <c r="P218" s="286"/>
      <c r="Q218" s="286"/>
      <c r="R218" s="286"/>
      <c r="S218" s="286"/>
      <c r="T218" s="286"/>
      <c r="U218" s="286"/>
      <c r="V218" s="286"/>
      <c r="W218" s="286"/>
      <c r="X218" s="286"/>
      <c r="Y218" s="286"/>
      <c r="Z218" s="286"/>
      <c r="AA218" s="271"/>
      <c r="AB218" s="271"/>
      <c r="AC218" s="271"/>
    </row>
    <row r="219" spans="1:68" ht="14.25" hidden="1" customHeight="1" x14ac:dyDescent="0.25">
      <c r="A219" s="288" t="s">
        <v>135</v>
      </c>
      <c r="B219" s="286"/>
      <c r="C219" s="286"/>
      <c r="D219" s="286"/>
      <c r="E219" s="286"/>
      <c r="F219" s="286"/>
      <c r="G219" s="286"/>
      <c r="H219" s="286"/>
      <c r="I219" s="286"/>
      <c r="J219" s="286"/>
      <c r="K219" s="286"/>
      <c r="L219" s="286"/>
      <c r="M219" s="286"/>
      <c r="N219" s="286"/>
      <c r="O219" s="286"/>
      <c r="P219" s="286"/>
      <c r="Q219" s="286"/>
      <c r="R219" s="286"/>
      <c r="S219" s="286"/>
      <c r="T219" s="286"/>
      <c r="U219" s="286"/>
      <c r="V219" s="286"/>
      <c r="W219" s="286"/>
      <c r="X219" s="286"/>
      <c r="Y219" s="286"/>
      <c r="Z219" s="286"/>
      <c r="AA219" s="272"/>
      <c r="AB219" s="272"/>
      <c r="AC219" s="272"/>
    </row>
    <row r="220" spans="1:68" ht="27" hidden="1" customHeight="1" x14ac:dyDescent="0.25">
      <c r="A220" s="54" t="s">
        <v>306</v>
      </c>
      <c r="B220" s="54" t="s">
        <v>307</v>
      </c>
      <c r="C220" s="31">
        <v>4301135694</v>
      </c>
      <c r="D220" s="280">
        <v>4620207490501</v>
      </c>
      <c r="E220" s="281"/>
      <c r="F220" s="275">
        <v>0.2</v>
      </c>
      <c r="G220" s="32">
        <v>12</v>
      </c>
      <c r="H220" s="275">
        <v>2.4</v>
      </c>
      <c r="I220" s="275">
        <v>3.1036000000000001</v>
      </c>
      <c r="J220" s="32">
        <v>70</v>
      </c>
      <c r="K220" s="32" t="s">
        <v>100</v>
      </c>
      <c r="L220" s="32" t="s">
        <v>66</v>
      </c>
      <c r="M220" s="33" t="s">
        <v>67</v>
      </c>
      <c r="N220" s="33"/>
      <c r="O220" s="32">
        <v>180</v>
      </c>
      <c r="P220" s="282" t="str">
        <f>HYPERLINK("https://abi.ru/products/Замороженные/Стародворье/Добросельские ЭТМ/Снеки/P004805/","Снеки «Жареные пельмени с мясом и сыром Добросельские» Фикс.вес 0,2 ТМ «Стародворье»")</f>
        <v>Снеки «Жареные пельмени с мясом и сыром Добросельские» Фикс.вес 0,2 ТМ «Стародворье»</v>
      </c>
      <c r="Q220" s="283"/>
      <c r="R220" s="283"/>
      <c r="S220" s="283"/>
      <c r="T220" s="284"/>
      <c r="U220" s="34"/>
      <c r="V220" s="34"/>
      <c r="W220" s="35" t="s">
        <v>68</v>
      </c>
      <c r="X220" s="276">
        <v>0</v>
      </c>
      <c r="Y220" s="277">
        <f>IFERROR(IF(X220="","",X220),"")</f>
        <v>0</v>
      </c>
      <c r="Z220" s="36">
        <f>IFERROR(IF(X220="","",X220*0.01788),"")</f>
        <v>0</v>
      </c>
      <c r="AA220" s="56"/>
      <c r="AB220" s="57"/>
      <c r="AC220" s="224" t="s">
        <v>308</v>
      </c>
      <c r="AG220" s="67"/>
      <c r="AJ220" s="71" t="s">
        <v>70</v>
      </c>
      <c r="AK220" s="71">
        <v>1</v>
      </c>
      <c r="BB220" s="225" t="s">
        <v>104</v>
      </c>
      <c r="BM220" s="67">
        <f>IFERROR(X220*I220,"0")</f>
        <v>0</v>
      </c>
      <c r="BN220" s="67">
        <f>IFERROR(Y220*I220,"0")</f>
        <v>0</v>
      </c>
      <c r="BO220" s="67">
        <f>IFERROR(X220/J220,"0")</f>
        <v>0</v>
      </c>
      <c r="BP220" s="67">
        <f>IFERROR(Y220/J220,"0")</f>
        <v>0</v>
      </c>
    </row>
    <row r="221" spans="1:68" hidden="1" x14ac:dyDescent="0.2">
      <c r="A221" s="285"/>
      <c r="B221" s="286"/>
      <c r="C221" s="286"/>
      <c r="D221" s="286"/>
      <c r="E221" s="286"/>
      <c r="F221" s="286"/>
      <c r="G221" s="286"/>
      <c r="H221" s="286"/>
      <c r="I221" s="286"/>
      <c r="J221" s="286"/>
      <c r="K221" s="286"/>
      <c r="L221" s="286"/>
      <c r="M221" s="286"/>
      <c r="N221" s="286"/>
      <c r="O221" s="287"/>
      <c r="P221" s="298" t="s">
        <v>87</v>
      </c>
      <c r="Q221" s="299"/>
      <c r="R221" s="299"/>
      <c r="S221" s="299"/>
      <c r="T221" s="299"/>
      <c r="U221" s="299"/>
      <c r="V221" s="300"/>
      <c r="W221" s="37" t="s">
        <v>68</v>
      </c>
      <c r="X221" s="278">
        <f>IFERROR(SUM(X220:X220),"0")</f>
        <v>0</v>
      </c>
      <c r="Y221" s="278">
        <f>IFERROR(SUM(Y220:Y220),"0")</f>
        <v>0</v>
      </c>
      <c r="Z221" s="278">
        <f>IFERROR(IF(Z220="",0,Z220),"0")</f>
        <v>0</v>
      </c>
      <c r="AA221" s="279"/>
      <c r="AB221" s="279"/>
      <c r="AC221" s="279"/>
    </row>
    <row r="222" spans="1:68" hidden="1" x14ac:dyDescent="0.2">
      <c r="A222" s="286"/>
      <c r="B222" s="286"/>
      <c r="C222" s="286"/>
      <c r="D222" s="286"/>
      <c r="E222" s="286"/>
      <c r="F222" s="286"/>
      <c r="G222" s="286"/>
      <c r="H222" s="286"/>
      <c r="I222" s="286"/>
      <c r="J222" s="286"/>
      <c r="K222" s="286"/>
      <c r="L222" s="286"/>
      <c r="M222" s="286"/>
      <c r="N222" s="286"/>
      <c r="O222" s="287"/>
      <c r="P222" s="298" t="s">
        <v>87</v>
      </c>
      <c r="Q222" s="299"/>
      <c r="R222" s="299"/>
      <c r="S222" s="299"/>
      <c r="T222" s="299"/>
      <c r="U222" s="299"/>
      <c r="V222" s="300"/>
      <c r="W222" s="37" t="s">
        <v>88</v>
      </c>
      <c r="X222" s="278">
        <f>IFERROR(SUMPRODUCT(X220:X220*H220:H220),"0")</f>
        <v>0</v>
      </c>
      <c r="Y222" s="278">
        <f>IFERROR(SUMPRODUCT(Y220:Y220*H220:H220),"0")</f>
        <v>0</v>
      </c>
      <c r="Z222" s="37"/>
      <c r="AA222" s="279"/>
      <c r="AB222" s="279"/>
      <c r="AC222" s="279"/>
    </row>
    <row r="223" spans="1:68" ht="27.75" hidden="1" customHeight="1" x14ac:dyDescent="0.2">
      <c r="A223" s="335" t="s">
        <v>309</v>
      </c>
      <c r="B223" s="336"/>
      <c r="C223" s="336"/>
      <c r="D223" s="336"/>
      <c r="E223" s="336"/>
      <c r="F223" s="336"/>
      <c r="G223" s="336"/>
      <c r="H223" s="336"/>
      <c r="I223" s="336"/>
      <c r="J223" s="336"/>
      <c r="K223" s="336"/>
      <c r="L223" s="336"/>
      <c r="M223" s="336"/>
      <c r="N223" s="336"/>
      <c r="O223" s="336"/>
      <c r="P223" s="336"/>
      <c r="Q223" s="336"/>
      <c r="R223" s="336"/>
      <c r="S223" s="336"/>
      <c r="T223" s="336"/>
      <c r="U223" s="336"/>
      <c r="V223" s="336"/>
      <c r="W223" s="336"/>
      <c r="X223" s="336"/>
      <c r="Y223" s="336"/>
      <c r="Z223" s="336"/>
      <c r="AA223" s="48"/>
      <c r="AB223" s="48"/>
      <c r="AC223" s="48"/>
    </row>
    <row r="224" spans="1:68" ht="16.5" hidden="1" customHeight="1" x14ac:dyDescent="0.25">
      <c r="A224" s="304" t="s">
        <v>310</v>
      </c>
      <c r="B224" s="286"/>
      <c r="C224" s="286"/>
      <c r="D224" s="286"/>
      <c r="E224" s="286"/>
      <c r="F224" s="286"/>
      <c r="G224" s="286"/>
      <c r="H224" s="286"/>
      <c r="I224" s="286"/>
      <c r="J224" s="286"/>
      <c r="K224" s="286"/>
      <c r="L224" s="286"/>
      <c r="M224" s="286"/>
      <c r="N224" s="286"/>
      <c r="O224" s="286"/>
      <c r="P224" s="286"/>
      <c r="Q224" s="286"/>
      <c r="R224" s="286"/>
      <c r="S224" s="286"/>
      <c r="T224" s="286"/>
      <c r="U224" s="286"/>
      <c r="V224" s="286"/>
      <c r="W224" s="286"/>
      <c r="X224" s="286"/>
      <c r="Y224" s="286"/>
      <c r="Z224" s="286"/>
      <c r="AA224" s="271"/>
      <c r="AB224" s="271"/>
      <c r="AC224" s="271"/>
    </row>
    <row r="225" spans="1:68" ht="14.25" hidden="1" customHeight="1" x14ac:dyDescent="0.25">
      <c r="A225" s="288" t="s">
        <v>62</v>
      </c>
      <c r="B225" s="286"/>
      <c r="C225" s="286"/>
      <c r="D225" s="286"/>
      <c r="E225" s="286"/>
      <c r="F225" s="286"/>
      <c r="G225" s="286"/>
      <c r="H225" s="286"/>
      <c r="I225" s="286"/>
      <c r="J225" s="286"/>
      <c r="K225" s="286"/>
      <c r="L225" s="286"/>
      <c r="M225" s="286"/>
      <c r="N225" s="286"/>
      <c r="O225" s="286"/>
      <c r="P225" s="286"/>
      <c r="Q225" s="286"/>
      <c r="R225" s="286"/>
      <c r="S225" s="286"/>
      <c r="T225" s="286"/>
      <c r="U225" s="286"/>
      <c r="V225" s="286"/>
      <c r="W225" s="286"/>
      <c r="X225" s="286"/>
      <c r="Y225" s="286"/>
      <c r="Z225" s="286"/>
      <c r="AA225" s="272"/>
      <c r="AB225" s="272"/>
      <c r="AC225" s="272"/>
    </row>
    <row r="226" spans="1:68" ht="27" hidden="1" customHeight="1" x14ac:dyDescent="0.25">
      <c r="A226" s="54" t="s">
        <v>311</v>
      </c>
      <c r="B226" s="54" t="s">
        <v>312</v>
      </c>
      <c r="C226" s="31">
        <v>4301071036</v>
      </c>
      <c r="D226" s="280">
        <v>4607111036162</v>
      </c>
      <c r="E226" s="281"/>
      <c r="F226" s="275">
        <v>0.8</v>
      </c>
      <c r="G226" s="32">
        <v>8</v>
      </c>
      <c r="H226" s="275">
        <v>6.4</v>
      </c>
      <c r="I226" s="275">
        <v>6.6811999999999996</v>
      </c>
      <c r="J226" s="32">
        <v>84</v>
      </c>
      <c r="K226" s="32" t="s">
        <v>65</v>
      </c>
      <c r="L226" s="32" t="s">
        <v>66</v>
      </c>
      <c r="M226" s="33" t="s">
        <v>67</v>
      </c>
      <c r="N226" s="33"/>
      <c r="O226" s="32">
        <v>90</v>
      </c>
      <c r="P226" s="435" t="str">
        <f>HYPERLINK("https://abi.ru/products/Замороженные/Колбасный стандарт/Владимирский Стандарт ЗПФ/Пельмени/P004241/","Пельмени «Владимирский стандарт с говядиной и свининой» флоу-пак 0,8 Сфера ТМ «Владимирский стандарт»")</f>
        <v>Пельмени «Владимирский стандарт с говядиной и свининой» флоу-пак 0,8 Сфера ТМ «Владимирский стандарт»</v>
      </c>
      <c r="Q226" s="283"/>
      <c r="R226" s="283"/>
      <c r="S226" s="283"/>
      <c r="T226" s="284"/>
      <c r="U226" s="34"/>
      <c r="V226" s="34"/>
      <c r="W226" s="35" t="s">
        <v>68</v>
      </c>
      <c r="X226" s="276">
        <v>0</v>
      </c>
      <c r="Y226" s="277">
        <f>IFERROR(IF(X226="","",X226),"")</f>
        <v>0</v>
      </c>
      <c r="Z226" s="36">
        <f>IFERROR(IF(X226="","",X226*0.0155),"")</f>
        <v>0</v>
      </c>
      <c r="AA226" s="56"/>
      <c r="AB226" s="57"/>
      <c r="AC226" s="226" t="s">
        <v>313</v>
      </c>
      <c r="AG226" s="67"/>
      <c r="AJ226" s="71" t="s">
        <v>70</v>
      </c>
      <c r="AK226" s="71">
        <v>1</v>
      </c>
      <c r="BB226" s="227" t="s">
        <v>1</v>
      </c>
      <c r="BM226" s="67">
        <f>IFERROR(X226*I226,"0")</f>
        <v>0</v>
      </c>
      <c r="BN226" s="67">
        <f>IFERROR(Y226*I226,"0")</f>
        <v>0</v>
      </c>
      <c r="BO226" s="67">
        <f>IFERROR(X226/J226,"0")</f>
        <v>0</v>
      </c>
      <c r="BP226" s="67">
        <f>IFERROR(Y226/J226,"0")</f>
        <v>0</v>
      </c>
    </row>
    <row r="227" spans="1:68" hidden="1" x14ac:dyDescent="0.2">
      <c r="A227" s="285"/>
      <c r="B227" s="286"/>
      <c r="C227" s="286"/>
      <c r="D227" s="286"/>
      <c r="E227" s="286"/>
      <c r="F227" s="286"/>
      <c r="G227" s="286"/>
      <c r="H227" s="286"/>
      <c r="I227" s="286"/>
      <c r="J227" s="286"/>
      <c r="K227" s="286"/>
      <c r="L227" s="286"/>
      <c r="M227" s="286"/>
      <c r="N227" s="286"/>
      <c r="O227" s="287"/>
      <c r="P227" s="298" t="s">
        <v>87</v>
      </c>
      <c r="Q227" s="299"/>
      <c r="R227" s="299"/>
      <c r="S227" s="299"/>
      <c r="T227" s="299"/>
      <c r="U227" s="299"/>
      <c r="V227" s="300"/>
      <c r="W227" s="37" t="s">
        <v>68</v>
      </c>
      <c r="X227" s="278">
        <f>IFERROR(SUM(X226:X226),"0")</f>
        <v>0</v>
      </c>
      <c r="Y227" s="278">
        <f>IFERROR(SUM(Y226:Y226),"0")</f>
        <v>0</v>
      </c>
      <c r="Z227" s="278">
        <f>IFERROR(IF(Z226="",0,Z226),"0")</f>
        <v>0</v>
      </c>
      <c r="AA227" s="279"/>
      <c r="AB227" s="279"/>
      <c r="AC227" s="279"/>
    </row>
    <row r="228" spans="1:68" hidden="1" x14ac:dyDescent="0.2">
      <c r="A228" s="286"/>
      <c r="B228" s="286"/>
      <c r="C228" s="286"/>
      <c r="D228" s="286"/>
      <c r="E228" s="286"/>
      <c r="F228" s="286"/>
      <c r="G228" s="286"/>
      <c r="H228" s="286"/>
      <c r="I228" s="286"/>
      <c r="J228" s="286"/>
      <c r="K228" s="286"/>
      <c r="L228" s="286"/>
      <c r="M228" s="286"/>
      <c r="N228" s="286"/>
      <c r="O228" s="287"/>
      <c r="P228" s="298" t="s">
        <v>87</v>
      </c>
      <c r="Q228" s="299"/>
      <c r="R228" s="299"/>
      <c r="S228" s="299"/>
      <c r="T228" s="299"/>
      <c r="U228" s="299"/>
      <c r="V228" s="300"/>
      <c r="W228" s="37" t="s">
        <v>88</v>
      </c>
      <c r="X228" s="278">
        <f>IFERROR(SUMPRODUCT(X226:X226*H226:H226),"0")</f>
        <v>0</v>
      </c>
      <c r="Y228" s="278">
        <f>IFERROR(SUMPRODUCT(Y226:Y226*H226:H226),"0")</f>
        <v>0</v>
      </c>
      <c r="Z228" s="37"/>
      <c r="AA228" s="279"/>
      <c r="AB228" s="279"/>
      <c r="AC228" s="279"/>
    </row>
    <row r="229" spans="1:68" ht="27.75" hidden="1" customHeight="1" x14ac:dyDescent="0.2">
      <c r="A229" s="335" t="s">
        <v>314</v>
      </c>
      <c r="B229" s="336"/>
      <c r="C229" s="336"/>
      <c r="D229" s="336"/>
      <c r="E229" s="336"/>
      <c r="F229" s="336"/>
      <c r="G229" s="336"/>
      <c r="H229" s="336"/>
      <c r="I229" s="336"/>
      <c r="J229" s="336"/>
      <c r="K229" s="336"/>
      <c r="L229" s="336"/>
      <c r="M229" s="336"/>
      <c r="N229" s="336"/>
      <c r="O229" s="336"/>
      <c r="P229" s="336"/>
      <c r="Q229" s="336"/>
      <c r="R229" s="336"/>
      <c r="S229" s="336"/>
      <c r="T229" s="336"/>
      <c r="U229" s="336"/>
      <c r="V229" s="336"/>
      <c r="W229" s="336"/>
      <c r="X229" s="336"/>
      <c r="Y229" s="336"/>
      <c r="Z229" s="336"/>
      <c r="AA229" s="48"/>
      <c r="AB229" s="48"/>
      <c r="AC229" s="48"/>
    </row>
    <row r="230" spans="1:68" ht="16.5" hidden="1" customHeight="1" x14ac:dyDescent="0.25">
      <c r="A230" s="304" t="s">
        <v>315</v>
      </c>
      <c r="B230" s="286"/>
      <c r="C230" s="286"/>
      <c r="D230" s="286"/>
      <c r="E230" s="286"/>
      <c r="F230" s="286"/>
      <c r="G230" s="286"/>
      <c r="H230" s="286"/>
      <c r="I230" s="286"/>
      <c r="J230" s="286"/>
      <c r="K230" s="286"/>
      <c r="L230" s="286"/>
      <c r="M230" s="286"/>
      <c r="N230" s="286"/>
      <c r="O230" s="286"/>
      <c r="P230" s="286"/>
      <c r="Q230" s="286"/>
      <c r="R230" s="286"/>
      <c r="S230" s="286"/>
      <c r="T230" s="286"/>
      <c r="U230" s="286"/>
      <c r="V230" s="286"/>
      <c r="W230" s="286"/>
      <c r="X230" s="286"/>
      <c r="Y230" s="286"/>
      <c r="Z230" s="286"/>
      <c r="AA230" s="271"/>
      <c r="AB230" s="271"/>
      <c r="AC230" s="271"/>
    </row>
    <row r="231" spans="1:68" ht="14.25" hidden="1" customHeight="1" x14ac:dyDescent="0.25">
      <c r="A231" s="288" t="s">
        <v>316</v>
      </c>
      <c r="B231" s="286"/>
      <c r="C231" s="286"/>
      <c r="D231" s="286"/>
      <c r="E231" s="286"/>
      <c r="F231" s="286"/>
      <c r="G231" s="286"/>
      <c r="H231" s="286"/>
      <c r="I231" s="286"/>
      <c r="J231" s="286"/>
      <c r="K231" s="286"/>
      <c r="L231" s="286"/>
      <c r="M231" s="286"/>
      <c r="N231" s="286"/>
      <c r="O231" s="286"/>
      <c r="P231" s="286"/>
      <c r="Q231" s="286"/>
      <c r="R231" s="286"/>
      <c r="S231" s="286"/>
      <c r="T231" s="286"/>
      <c r="U231" s="286"/>
      <c r="V231" s="286"/>
      <c r="W231" s="286"/>
      <c r="X231" s="286"/>
      <c r="Y231" s="286"/>
      <c r="Z231" s="286"/>
      <c r="AA231" s="272"/>
      <c r="AB231" s="272"/>
      <c r="AC231" s="272"/>
    </row>
    <row r="232" spans="1:68" ht="27" hidden="1" customHeight="1" x14ac:dyDescent="0.25">
      <c r="A232" s="54" t="s">
        <v>317</v>
      </c>
      <c r="B232" s="54" t="s">
        <v>318</v>
      </c>
      <c r="C232" s="31">
        <v>4301133004</v>
      </c>
      <c r="D232" s="280">
        <v>4607111039774</v>
      </c>
      <c r="E232" s="281"/>
      <c r="F232" s="275">
        <v>0.25</v>
      </c>
      <c r="G232" s="32">
        <v>12</v>
      </c>
      <c r="H232" s="275">
        <v>3</v>
      </c>
      <c r="I232" s="275">
        <v>3.22</v>
      </c>
      <c r="J232" s="32">
        <v>70</v>
      </c>
      <c r="K232" s="32" t="s">
        <v>100</v>
      </c>
      <c r="L232" s="32" t="s">
        <v>66</v>
      </c>
      <c r="M232" s="33" t="s">
        <v>67</v>
      </c>
      <c r="N232" s="33"/>
      <c r="O232" s="32">
        <v>180</v>
      </c>
      <c r="P232" s="395" t="str">
        <f>HYPERLINK("https://abi.ru/products/Замороженные/Владимирский стандарт/Владимирский Стандарт ПГП/Печеные пельмени/P004382/","Печеные пельмени «Владимирский стандарт с сочной курочкой» Фикс.вес 0,25 ТМ «Владимирский стандарт»")</f>
        <v>Печеные пельмени «Владимирский стандарт с сочной курочкой» Фикс.вес 0,25 ТМ «Владимирский стандарт»</v>
      </c>
      <c r="Q232" s="283"/>
      <c r="R232" s="283"/>
      <c r="S232" s="283"/>
      <c r="T232" s="284"/>
      <c r="U232" s="34"/>
      <c r="V232" s="34"/>
      <c r="W232" s="35" t="s">
        <v>68</v>
      </c>
      <c r="X232" s="276">
        <v>0</v>
      </c>
      <c r="Y232" s="277">
        <f>IFERROR(IF(X232="","",X232),"")</f>
        <v>0</v>
      </c>
      <c r="Z232" s="36">
        <f>IFERROR(IF(X232="","",X232*0.01788),"")</f>
        <v>0</v>
      </c>
      <c r="AA232" s="56"/>
      <c r="AB232" s="57"/>
      <c r="AC232" s="228" t="s">
        <v>319</v>
      </c>
      <c r="AG232" s="67"/>
      <c r="AJ232" s="71" t="s">
        <v>70</v>
      </c>
      <c r="AK232" s="71">
        <v>1</v>
      </c>
      <c r="BB232" s="229" t="s">
        <v>104</v>
      </c>
      <c r="BM232" s="67">
        <f>IFERROR(X232*I232,"0")</f>
        <v>0</v>
      </c>
      <c r="BN232" s="67">
        <f>IFERROR(Y232*I232,"0")</f>
        <v>0</v>
      </c>
      <c r="BO232" s="67">
        <f>IFERROR(X232/J232,"0")</f>
        <v>0</v>
      </c>
      <c r="BP232" s="67">
        <f>IFERROR(Y232/J232,"0")</f>
        <v>0</v>
      </c>
    </row>
    <row r="233" spans="1:68" hidden="1" x14ac:dyDescent="0.2">
      <c r="A233" s="285"/>
      <c r="B233" s="286"/>
      <c r="C233" s="286"/>
      <c r="D233" s="286"/>
      <c r="E233" s="286"/>
      <c r="F233" s="286"/>
      <c r="G233" s="286"/>
      <c r="H233" s="286"/>
      <c r="I233" s="286"/>
      <c r="J233" s="286"/>
      <c r="K233" s="286"/>
      <c r="L233" s="286"/>
      <c r="M233" s="286"/>
      <c r="N233" s="286"/>
      <c r="O233" s="287"/>
      <c r="P233" s="298" t="s">
        <v>87</v>
      </c>
      <c r="Q233" s="299"/>
      <c r="R233" s="299"/>
      <c r="S233" s="299"/>
      <c r="T233" s="299"/>
      <c r="U233" s="299"/>
      <c r="V233" s="300"/>
      <c r="W233" s="37" t="s">
        <v>68</v>
      </c>
      <c r="X233" s="278">
        <f>IFERROR(SUM(X232:X232),"0")</f>
        <v>0</v>
      </c>
      <c r="Y233" s="278">
        <f>IFERROR(SUM(Y232:Y232),"0")</f>
        <v>0</v>
      </c>
      <c r="Z233" s="278">
        <f>IFERROR(IF(Z232="",0,Z232),"0")</f>
        <v>0</v>
      </c>
      <c r="AA233" s="279"/>
      <c r="AB233" s="279"/>
      <c r="AC233" s="279"/>
    </row>
    <row r="234" spans="1:68" hidden="1" x14ac:dyDescent="0.2">
      <c r="A234" s="286"/>
      <c r="B234" s="286"/>
      <c r="C234" s="286"/>
      <c r="D234" s="286"/>
      <c r="E234" s="286"/>
      <c r="F234" s="286"/>
      <c r="G234" s="286"/>
      <c r="H234" s="286"/>
      <c r="I234" s="286"/>
      <c r="J234" s="286"/>
      <c r="K234" s="286"/>
      <c r="L234" s="286"/>
      <c r="M234" s="286"/>
      <c r="N234" s="286"/>
      <c r="O234" s="287"/>
      <c r="P234" s="298" t="s">
        <v>87</v>
      </c>
      <c r="Q234" s="299"/>
      <c r="R234" s="299"/>
      <c r="S234" s="299"/>
      <c r="T234" s="299"/>
      <c r="U234" s="299"/>
      <c r="V234" s="300"/>
      <c r="W234" s="37" t="s">
        <v>88</v>
      </c>
      <c r="X234" s="278">
        <f>IFERROR(SUMPRODUCT(X232:X232*H232:H232),"0")</f>
        <v>0</v>
      </c>
      <c r="Y234" s="278">
        <f>IFERROR(SUMPRODUCT(Y232:Y232*H232:H232),"0")</f>
        <v>0</v>
      </c>
      <c r="Z234" s="37"/>
      <c r="AA234" s="279"/>
      <c r="AB234" s="279"/>
      <c r="AC234" s="279"/>
    </row>
    <row r="235" spans="1:68" ht="14.25" hidden="1" customHeight="1" x14ac:dyDescent="0.25">
      <c r="A235" s="288" t="s">
        <v>135</v>
      </c>
      <c r="B235" s="286"/>
      <c r="C235" s="286"/>
      <c r="D235" s="286"/>
      <c r="E235" s="286"/>
      <c r="F235" s="286"/>
      <c r="G235" s="286"/>
      <c r="H235" s="286"/>
      <c r="I235" s="286"/>
      <c r="J235" s="286"/>
      <c r="K235" s="286"/>
      <c r="L235" s="286"/>
      <c r="M235" s="286"/>
      <c r="N235" s="286"/>
      <c r="O235" s="286"/>
      <c r="P235" s="286"/>
      <c r="Q235" s="286"/>
      <c r="R235" s="286"/>
      <c r="S235" s="286"/>
      <c r="T235" s="286"/>
      <c r="U235" s="286"/>
      <c r="V235" s="286"/>
      <c r="W235" s="286"/>
      <c r="X235" s="286"/>
      <c r="Y235" s="286"/>
      <c r="Z235" s="286"/>
      <c r="AA235" s="272"/>
      <c r="AB235" s="272"/>
      <c r="AC235" s="272"/>
    </row>
    <row r="236" spans="1:68" ht="37.5" hidden="1" customHeight="1" x14ac:dyDescent="0.25">
      <c r="A236" s="54" t="s">
        <v>320</v>
      </c>
      <c r="B236" s="54" t="s">
        <v>321</v>
      </c>
      <c r="C236" s="31">
        <v>4301135400</v>
      </c>
      <c r="D236" s="280">
        <v>4607111039361</v>
      </c>
      <c r="E236" s="281"/>
      <c r="F236" s="275">
        <v>0.25</v>
      </c>
      <c r="G236" s="32">
        <v>12</v>
      </c>
      <c r="H236" s="275">
        <v>3</v>
      </c>
      <c r="I236" s="275">
        <v>3.7035999999999998</v>
      </c>
      <c r="J236" s="32">
        <v>70</v>
      </c>
      <c r="K236" s="32" t="s">
        <v>100</v>
      </c>
      <c r="L236" s="32" t="s">
        <v>66</v>
      </c>
      <c r="M236" s="33" t="s">
        <v>67</v>
      </c>
      <c r="N236" s="33"/>
      <c r="O236" s="32">
        <v>180</v>
      </c>
      <c r="P236" s="349" t="str">
        <f>HYPERLINK("https://abi.ru/products/Замороженные/Владимирский стандарт/Владимирский Стандарт ПГП/Снеки/P004385/","Снеки «Мини-пицца Владимирский стандарт с ветчиной и грибами» ф/в 0,25 ТМ «Владимирский стандарт»")</f>
        <v>Снеки «Мини-пицца Владимирский стандарт с ветчиной и грибами» ф/в 0,25 ТМ «Владимирский стандарт»</v>
      </c>
      <c r="Q236" s="283"/>
      <c r="R236" s="283"/>
      <c r="S236" s="283"/>
      <c r="T236" s="284"/>
      <c r="U236" s="34"/>
      <c r="V236" s="34"/>
      <c r="W236" s="35" t="s">
        <v>68</v>
      </c>
      <c r="X236" s="276">
        <v>0</v>
      </c>
      <c r="Y236" s="277">
        <f>IFERROR(IF(X236="","",X236),"")</f>
        <v>0</v>
      </c>
      <c r="Z236" s="36">
        <f>IFERROR(IF(X236="","",X236*0.01788),"")</f>
        <v>0</v>
      </c>
      <c r="AA236" s="56"/>
      <c r="AB236" s="57"/>
      <c r="AC236" s="230" t="s">
        <v>319</v>
      </c>
      <c r="AG236" s="67"/>
      <c r="AJ236" s="71" t="s">
        <v>70</v>
      </c>
      <c r="AK236" s="71">
        <v>1</v>
      </c>
      <c r="BB236" s="231" t="s">
        <v>104</v>
      </c>
      <c r="BM236" s="67">
        <f>IFERROR(X236*I236,"0")</f>
        <v>0</v>
      </c>
      <c r="BN236" s="67">
        <f>IFERROR(Y236*I236,"0")</f>
        <v>0</v>
      </c>
      <c r="BO236" s="67">
        <f>IFERROR(X236/J236,"0")</f>
        <v>0</v>
      </c>
      <c r="BP236" s="67">
        <f>IFERROR(Y236/J236,"0")</f>
        <v>0</v>
      </c>
    </row>
    <row r="237" spans="1:68" hidden="1" x14ac:dyDescent="0.2">
      <c r="A237" s="285"/>
      <c r="B237" s="286"/>
      <c r="C237" s="286"/>
      <c r="D237" s="286"/>
      <c r="E237" s="286"/>
      <c r="F237" s="286"/>
      <c r="G237" s="286"/>
      <c r="H237" s="286"/>
      <c r="I237" s="286"/>
      <c r="J237" s="286"/>
      <c r="K237" s="286"/>
      <c r="L237" s="286"/>
      <c r="M237" s="286"/>
      <c r="N237" s="286"/>
      <c r="O237" s="287"/>
      <c r="P237" s="298" t="s">
        <v>87</v>
      </c>
      <c r="Q237" s="299"/>
      <c r="R237" s="299"/>
      <c r="S237" s="299"/>
      <c r="T237" s="299"/>
      <c r="U237" s="299"/>
      <c r="V237" s="300"/>
      <c r="W237" s="37" t="s">
        <v>68</v>
      </c>
      <c r="X237" s="278">
        <f>IFERROR(SUM(X236:X236),"0")</f>
        <v>0</v>
      </c>
      <c r="Y237" s="278">
        <f>IFERROR(SUM(Y236:Y236),"0")</f>
        <v>0</v>
      </c>
      <c r="Z237" s="278">
        <f>IFERROR(IF(Z236="",0,Z236),"0")</f>
        <v>0</v>
      </c>
      <c r="AA237" s="279"/>
      <c r="AB237" s="279"/>
      <c r="AC237" s="279"/>
    </row>
    <row r="238" spans="1:68" hidden="1" x14ac:dyDescent="0.2">
      <c r="A238" s="286"/>
      <c r="B238" s="286"/>
      <c r="C238" s="286"/>
      <c r="D238" s="286"/>
      <c r="E238" s="286"/>
      <c r="F238" s="286"/>
      <c r="G238" s="286"/>
      <c r="H238" s="286"/>
      <c r="I238" s="286"/>
      <c r="J238" s="286"/>
      <c r="K238" s="286"/>
      <c r="L238" s="286"/>
      <c r="M238" s="286"/>
      <c r="N238" s="286"/>
      <c r="O238" s="287"/>
      <c r="P238" s="298" t="s">
        <v>87</v>
      </c>
      <c r="Q238" s="299"/>
      <c r="R238" s="299"/>
      <c r="S238" s="299"/>
      <c r="T238" s="299"/>
      <c r="U238" s="299"/>
      <c r="V238" s="300"/>
      <c r="W238" s="37" t="s">
        <v>88</v>
      </c>
      <c r="X238" s="278">
        <f>IFERROR(SUMPRODUCT(X236:X236*H236:H236),"0")</f>
        <v>0</v>
      </c>
      <c r="Y238" s="278">
        <f>IFERROR(SUMPRODUCT(Y236:Y236*H236:H236),"0")</f>
        <v>0</v>
      </c>
      <c r="Z238" s="37"/>
      <c r="AA238" s="279"/>
      <c r="AB238" s="279"/>
      <c r="AC238" s="279"/>
    </row>
    <row r="239" spans="1:68" ht="27.75" hidden="1" customHeight="1" x14ac:dyDescent="0.2">
      <c r="A239" s="335" t="s">
        <v>322</v>
      </c>
      <c r="B239" s="336"/>
      <c r="C239" s="336"/>
      <c r="D239" s="336"/>
      <c r="E239" s="336"/>
      <c r="F239" s="336"/>
      <c r="G239" s="336"/>
      <c r="H239" s="336"/>
      <c r="I239" s="336"/>
      <c r="J239" s="336"/>
      <c r="K239" s="336"/>
      <c r="L239" s="336"/>
      <c r="M239" s="336"/>
      <c r="N239" s="336"/>
      <c r="O239" s="336"/>
      <c r="P239" s="336"/>
      <c r="Q239" s="336"/>
      <c r="R239" s="336"/>
      <c r="S239" s="336"/>
      <c r="T239" s="336"/>
      <c r="U239" s="336"/>
      <c r="V239" s="336"/>
      <c r="W239" s="336"/>
      <c r="X239" s="336"/>
      <c r="Y239" s="336"/>
      <c r="Z239" s="336"/>
      <c r="AA239" s="48"/>
      <c r="AB239" s="48"/>
      <c r="AC239" s="48"/>
    </row>
    <row r="240" spans="1:68" ht="16.5" hidden="1" customHeight="1" x14ac:dyDescent="0.25">
      <c r="A240" s="304" t="s">
        <v>322</v>
      </c>
      <c r="B240" s="286"/>
      <c r="C240" s="286"/>
      <c r="D240" s="286"/>
      <c r="E240" s="286"/>
      <c r="F240" s="286"/>
      <c r="G240" s="286"/>
      <c r="H240" s="286"/>
      <c r="I240" s="286"/>
      <c r="J240" s="286"/>
      <c r="K240" s="286"/>
      <c r="L240" s="286"/>
      <c r="M240" s="286"/>
      <c r="N240" s="286"/>
      <c r="O240" s="286"/>
      <c r="P240" s="286"/>
      <c r="Q240" s="286"/>
      <c r="R240" s="286"/>
      <c r="S240" s="286"/>
      <c r="T240" s="286"/>
      <c r="U240" s="286"/>
      <c r="V240" s="286"/>
      <c r="W240" s="286"/>
      <c r="X240" s="286"/>
      <c r="Y240" s="286"/>
      <c r="Z240" s="286"/>
      <c r="AA240" s="271"/>
      <c r="AB240" s="271"/>
      <c r="AC240" s="271"/>
    </row>
    <row r="241" spans="1:68" ht="14.25" hidden="1" customHeight="1" x14ac:dyDescent="0.25">
      <c r="A241" s="288" t="s">
        <v>97</v>
      </c>
      <c r="B241" s="286"/>
      <c r="C241" s="286"/>
      <c r="D241" s="286"/>
      <c r="E241" s="286"/>
      <c r="F241" s="286"/>
      <c r="G241" s="286"/>
      <c r="H241" s="286"/>
      <c r="I241" s="286"/>
      <c r="J241" s="286"/>
      <c r="K241" s="286"/>
      <c r="L241" s="286"/>
      <c r="M241" s="286"/>
      <c r="N241" s="286"/>
      <c r="O241" s="286"/>
      <c r="P241" s="286"/>
      <c r="Q241" s="286"/>
      <c r="R241" s="286"/>
      <c r="S241" s="286"/>
      <c r="T241" s="286"/>
      <c r="U241" s="286"/>
      <c r="V241" s="286"/>
      <c r="W241" s="286"/>
      <c r="X241" s="286"/>
      <c r="Y241" s="286"/>
      <c r="Z241" s="286"/>
      <c r="AA241" s="272"/>
      <c r="AB241" s="272"/>
      <c r="AC241" s="272"/>
    </row>
    <row r="242" spans="1:68" ht="27" hidden="1" customHeight="1" x14ac:dyDescent="0.25">
      <c r="A242" s="54" t="s">
        <v>323</v>
      </c>
      <c r="B242" s="54" t="s">
        <v>324</v>
      </c>
      <c r="C242" s="31">
        <v>4301132228</v>
      </c>
      <c r="D242" s="280">
        <v>4640242181950</v>
      </c>
      <c r="E242" s="281"/>
      <c r="F242" s="275">
        <v>0.23</v>
      </c>
      <c r="G242" s="32">
        <v>12</v>
      </c>
      <c r="H242" s="275">
        <v>2.76</v>
      </c>
      <c r="I242" s="275">
        <v>3.22</v>
      </c>
      <c r="J242" s="32">
        <v>70</v>
      </c>
      <c r="K242" s="32" t="s">
        <v>100</v>
      </c>
      <c r="L242" s="32" t="s">
        <v>66</v>
      </c>
      <c r="M242" s="33" t="s">
        <v>67</v>
      </c>
      <c r="N242" s="33"/>
      <c r="O242" s="32">
        <v>365</v>
      </c>
      <c r="P242" s="327" t="str">
        <f>HYPERLINK("https://abi.ru/products/Замороженные/Горячий заряд/Горячий заряд/Наггетсы/P005046/","Наггетсы «с сочной курочкой» Фикс.вес 0,23 ТМ «Горячий заряд»")</f>
        <v>Наггетсы «с сочной курочкой» Фикс.вес 0,23 ТМ «Горячий заряд»</v>
      </c>
      <c r="Q242" s="283"/>
      <c r="R242" s="283"/>
      <c r="S242" s="283"/>
      <c r="T242" s="284"/>
      <c r="U242" s="34"/>
      <c r="V242" s="34"/>
      <c r="W242" s="35" t="s">
        <v>68</v>
      </c>
      <c r="X242" s="276">
        <v>0</v>
      </c>
      <c r="Y242" s="277">
        <f>IFERROR(IF(X242="","",X242),"")</f>
        <v>0</v>
      </c>
      <c r="Z242" s="36">
        <f>IFERROR(IF(X242="","",X242*0.01788),"")</f>
        <v>0</v>
      </c>
      <c r="AA242" s="56"/>
      <c r="AB242" s="57"/>
      <c r="AC242" s="232" t="s">
        <v>325</v>
      </c>
      <c r="AG242" s="67"/>
      <c r="AJ242" s="71" t="s">
        <v>70</v>
      </c>
      <c r="AK242" s="71">
        <v>1</v>
      </c>
      <c r="BB242" s="233" t="s">
        <v>104</v>
      </c>
      <c r="BM242" s="67">
        <f>IFERROR(X242*I242,"0")</f>
        <v>0</v>
      </c>
      <c r="BN242" s="67">
        <f>IFERROR(Y242*I242,"0")</f>
        <v>0</v>
      </c>
      <c r="BO242" s="67">
        <f>IFERROR(X242/J242,"0")</f>
        <v>0</v>
      </c>
      <c r="BP242" s="67">
        <f>IFERROR(Y242/J242,"0")</f>
        <v>0</v>
      </c>
    </row>
    <row r="243" spans="1:68" hidden="1" x14ac:dyDescent="0.2">
      <c r="A243" s="285"/>
      <c r="B243" s="286"/>
      <c r="C243" s="286"/>
      <c r="D243" s="286"/>
      <c r="E243" s="286"/>
      <c r="F243" s="286"/>
      <c r="G243" s="286"/>
      <c r="H243" s="286"/>
      <c r="I243" s="286"/>
      <c r="J243" s="286"/>
      <c r="K243" s="286"/>
      <c r="L243" s="286"/>
      <c r="M243" s="286"/>
      <c r="N243" s="286"/>
      <c r="O243" s="287"/>
      <c r="P243" s="298" t="s">
        <v>87</v>
      </c>
      <c r="Q243" s="299"/>
      <c r="R243" s="299"/>
      <c r="S243" s="299"/>
      <c r="T243" s="299"/>
      <c r="U243" s="299"/>
      <c r="V243" s="300"/>
      <c r="W243" s="37" t="s">
        <v>68</v>
      </c>
      <c r="X243" s="278">
        <f>IFERROR(SUM(X242:X242),"0")</f>
        <v>0</v>
      </c>
      <c r="Y243" s="278">
        <f>IFERROR(SUM(Y242:Y242),"0")</f>
        <v>0</v>
      </c>
      <c r="Z243" s="278">
        <f>IFERROR(IF(Z242="",0,Z242),"0")</f>
        <v>0</v>
      </c>
      <c r="AA243" s="279"/>
      <c r="AB243" s="279"/>
      <c r="AC243" s="279"/>
    </row>
    <row r="244" spans="1:68" hidden="1" x14ac:dyDescent="0.2">
      <c r="A244" s="286"/>
      <c r="B244" s="286"/>
      <c r="C244" s="286"/>
      <c r="D244" s="286"/>
      <c r="E244" s="286"/>
      <c r="F244" s="286"/>
      <c r="G244" s="286"/>
      <c r="H244" s="286"/>
      <c r="I244" s="286"/>
      <c r="J244" s="286"/>
      <c r="K244" s="286"/>
      <c r="L244" s="286"/>
      <c r="M244" s="286"/>
      <c r="N244" s="286"/>
      <c r="O244" s="287"/>
      <c r="P244" s="298" t="s">
        <v>87</v>
      </c>
      <c r="Q244" s="299"/>
      <c r="R244" s="299"/>
      <c r="S244" s="299"/>
      <c r="T244" s="299"/>
      <c r="U244" s="299"/>
      <c r="V244" s="300"/>
      <c r="W244" s="37" t="s">
        <v>88</v>
      </c>
      <c r="X244" s="278">
        <f>IFERROR(SUMPRODUCT(X242:X242*H242:H242),"0")</f>
        <v>0</v>
      </c>
      <c r="Y244" s="278">
        <f>IFERROR(SUMPRODUCT(Y242:Y242*H242:H242),"0")</f>
        <v>0</v>
      </c>
      <c r="Z244" s="37"/>
      <c r="AA244" s="279"/>
      <c r="AB244" s="279"/>
      <c r="AC244" s="279"/>
    </row>
    <row r="245" spans="1:68" ht="14.25" hidden="1" customHeight="1" x14ac:dyDescent="0.25">
      <c r="A245" s="288" t="s">
        <v>129</v>
      </c>
      <c r="B245" s="286"/>
      <c r="C245" s="286"/>
      <c r="D245" s="286"/>
      <c r="E245" s="286"/>
      <c r="F245" s="286"/>
      <c r="G245" s="286"/>
      <c r="H245" s="286"/>
      <c r="I245" s="286"/>
      <c r="J245" s="286"/>
      <c r="K245" s="286"/>
      <c r="L245" s="286"/>
      <c r="M245" s="286"/>
      <c r="N245" s="286"/>
      <c r="O245" s="286"/>
      <c r="P245" s="286"/>
      <c r="Q245" s="286"/>
      <c r="R245" s="286"/>
      <c r="S245" s="286"/>
      <c r="T245" s="286"/>
      <c r="U245" s="286"/>
      <c r="V245" s="286"/>
      <c r="W245" s="286"/>
      <c r="X245" s="286"/>
      <c r="Y245" s="286"/>
      <c r="Z245" s="286"/>
      <c r="AA245" s="272"/>
      <c r="AB245" s="272"/>
      <c r="AC245" s="272"/>
    </row>
    <row r="246" spans="1:68" ht="27" hidden="1" customHeight="1" x14ac:dyDescent="0.25">
      <c r="A246" s="54" t="s">
        <v>326</v>
      </c>
      <c r="B246" s="54" t="s">
        <v>327</v>
      </c>
      <c r="C246" s="31">
        <v>4301136098</v>
      </c>
      <c r="D246" s="280">
        <v>4640242181943</v>
      </c>
      <c r="E246" s="281"/>
      <c r="F246" s="275">
        <v>0.09</v>
      </c>
      <c r="G246" s="32">
        <v>24</v>
      </c>
      <c r="H246" s="275">
        <v>2.16</v>
      </c>
      <c r="I246" s="275">
        <v>2.34</v>
      </c>
      <c r="J246" s="32">
        <v>126</v>
      </c>
      <c r="K246" s="32" t="s">
        <v>100</v>
      </c>
      <c r="L246" s="32" t="s">
        <v>66</v>
      </c>
      <c r="M246" s="33" t="s">
        <v>67</v>
      </c>
      <c r="N246" s="33"/>
      <c r="O246" s="32">
        <v>180</v>
      </c>
      <c r="P246" s="348" t="str">
        <f>HYPERLINK("https://abi.ru/products/Замороженные/Горячий заряд/Горячий заряд/Чебуреки/P005037/","Чебуреки «сочный с мясом» Штучка 0,09 ТМ «Горячий заряд»")</f>
        <v>Чебуреки «сочный с мясом» Штучка 0,09 ТМ «Горячий заряд»</v>
      </c>
      <c r="Q246" s="283"/>
      <c r="R246" s="283"/>
      <c r="S246" s="283"/>
      <c r="T246" s="284"/>
      <c r="U246" s="34"/>
      <c r="V246" s="34"/>
      <c r="W246" s="35" t="s">
        <v>68</v>
      </c>
      <c r="X246" s="276">
        <v>0</v>
      </c>
      <c r="Y246" s="277">
        <f>IFERROR(IF(X246="","",X246),"")</f>
        <v>0</v>
      </c>
      <c r="Z246" s="36">
        <f>IFERROR(IF(X246="","",X246*0.00936),"")</f>
        <v>0</v>
      </c>
      <c r="AA246" s="56"/>
      <c r="AB246" s="57"/>
      <c r="AC246" s="234" t="s">
        <v>328</v>
      </c>
      <c r="AG246" s="67"/>
      <c r="AJ246" s="71" t="s">
        <v>70</v>
      </c>
      <c r="AK246" s="71">
        <v>1</v>
      </c>
      <c r="BB246" s="235" t="s">
        <v>104</v>
      </c>
      <c r="BM246" s="67">
        <f>IFERROR(X246*I246,"0")</f>
        <v>0</v>
      </c>
      <c r="BN246" s="67">
        <f>IFERROR(Y246*I246,"0")</f>
        <v>0</v>
      </c>
      <c r="BO246" s="67">
        <f>IFERROR(X246/J246,"0")</f>
        <v>0</v>
      </c>
      <c r="BP246" s="67">
        <f>IFERROR(Y246/J246,"0")</f>
        <v>0</v>
      </c>
    </row>
    <row r="247" spans="1:68" hidden="1" x14ac:dyDescent="0.2">
      <c r="A247" s="285"/>
      <c r="B247" s="286"/>
      <c r="C247" s="286"/>
      <c r="D247" s="286"/>
      <c r="E247" s="286"/>
      <c r="F247" s="286"/>
      <c r="G247" s="286"/>
      <c r="H247" s="286"/>
      <c r="I247" s="286"/>
      <c r="J247" s="286"/>
      <c r="K247" s="286"/>
      <c r="L247" s="286"/>
      <c r="M247" s="286"/>
      <c r="N247" s="286"/>
      <c r="O247" s="287"/>
      <c r="P247" s="298" t="s">
        <v>87</v>
      </c>
      <c r="Q247" s="299"/>
      <c r="R247" s="299"/>
      <c r="S247" s="299"/>
      <c r="T247" s="299"/>
      <c r="U247" s="299"/>
      <c r="V247" s="300"/>
      <c r="W247" s="37" t="s">
        <v>68</v>
      </c>
      <c r="X247" s="278">
        <f>IFERROR(SUM(X246:X246),"0")</f>
        <v>0</v>
      </c>
      <c r="Y247" s="278">
        <f>IFERROR(SUM(Y246:Y246),"0")</f>
        <v>0</v>
      </c>
      <c r="Z247" s="278">
        <f>IFERROR(IF(Z246="",0,Z246),"0")</f>
        <v>0</v>
      </c>
      <c r="AA247" s="279"/>
      <c r="AB247" s="279"/>
      <c r="AC247" s="279"/>
    </row>
    <row r="248" spans="1:68" hidden="1" x14ac:dyDescent="0.2">
      <c r="A248" s="286"/>
      <c r="B248" s="286"/>
      <c r="C248" s="286"/>
      <c r="D248" s="286"/>
      <c r="E248" s="286"/>
      <c r="F248" s="286"/>
      <c r="G248" s="286"/>
      <c r="H248" s="286"/>
      <c r="I248" s="286"/>
      <c r="J248" s="286"/>
      <c r="K248" s="286"/>
      <c r="L248" s="286"/>
      <c r="M248" s="286"/>
      <c r="N248" s="286"/>
      <c r="O248" s="287"/>
      <c r="P248" s="298" t="s">
        <v>87</v>
      </c>
      <c r="Q248" s="299"/>
      <c r="R248" s="299"/>
      <c r="S248" s="299"/>
      <c r="T248" s="299"/>
      <c r="U248" s="299"/>
      <c r="V248" s="300"/>
      <c r="W248" s="37" t="s">
        <v>88</v>
      </c>
      <c r="X248" s="278">
        <f>IFERROR(SUMPRODUCT(X246:X246*H246:H246),"0")</f>
        <v>0</v>
      </c>
      <c r="Y248" s="278">
        <f>IFERROR(SUMPRODUCT(Y246:Y246*H246:H246),"0")</f>
        <v>0</v>
      </c>
      <c r="Z248" s="37"/>
      <c r="AA248" s="279"/>
      <c r="AB248" s="279"/>
      <c r="AC248" s="279"/>
    </row>
    <row r="249" spans="1:68" ht="27.75" hidden="1" customHeight="1" x14ac:dyDescent="0.2">
      <c r="A249" s="335" t="s">
        <v>329</v>
      </c>
      <c r="B249" s="336"/>
      <c r="C249" s="336"/>
      <c r="D249" s="336"/>
      <c r="E249" s="336"/>
      <c r="F249" s="336"/>
      <c r="G249" s="336"/>
      <c r="H249" s="336"/>
      <c r="I249" s="336"/>
      <c r="J249" s="336"/>
      <c r="K249" s="336"/>
      <c r="L249" s="336"/>
      <c r="M249" s="336"/>
      <c r="N249" s="336"/>
      <c r="O249" s="336"/>
      <c r="P249" s="336"/>
      <c r="Q249" s="336"/>
      <c r="R249" s="336"/>
      <c r="S249" s="336"/>
      <c r="T249" s="336"/>
      <c r="U249" s="336"/>
      <c r="V249" s="336"/>
      <c r="W249" s="336"/>
      <c r="X249" s="336"/>
      <c r="Y249" s="336"/>
      <c r="Z249" s="336"/>
      <c r="AA249" s="48"/>
      <c r="AB249" s="48"/>
      <c r="AC249" s="48"/>
    </row>
    <row r="250" spans="1:68" ht="16.5" hidden="1" customHeight="1" x14ac:dyDescent="0.25">
      <c r="A250" s="304" t="s">
        <v>329</v>
      </c>
      <c r="B250" s="286"/>
      <c r="C250" s="286"/>
      <c r="D250" s="286"/>
      <c r="E250" s="286"/>
      <c r="F250" s="286"/>
      <c r="G250" s="286"/>
      <c r="H250" s="286"/>
      <c r="I250" s="286"/>
      <c r="J250" s="286"/>
      <c r="K250" s="286"/>
      <c r="L250" s="286"/>
      <c r="M250" s="286"/>
      <c r="N250" s="286"/>
      <c r="O250" s="286"/>
      <c r="P250" s="286"/>
      <c r="Q250" s="286"/>
      <c r="R250" s="286"/>
      <c r="S250" s="286"/>
      <c r="T250" s="286"/>
      <c r="U250" s="286"/>
      <c r="V250" s="286"/>
      <c r="W250" s="286"/>
      <c r="X250" s="286"/>
      <c r="Y250" s="286"/>
      <c r="Z250" s="286"/>
      <c r="AA250" s="271"/>
      <c r="AB250" s="271"/>
      <c r="AC250" s="271"/>
    </row>
    <row r="251" spans="1:68" ht="14.25" hidden="1" customHeight="1" x14ac:dyDescent="0.25">
      <c r="A251" s="288" t="s">
        <v>62</v>
      </c>
      <c r="B251" s="286"/>
      <c r="C251" s="286"/>
      <c r="D251" s="286"/>
      <c r="E251" s="286"/>
      <c r="F251" s="286"/>
      <c r="G251" s="286"/>
      <c r="H251" s="286"/>
      <c r="I251" s="286"/>
      <c r="J251" s="286"/>
      <c r="K251" s="286"/>
      <c r="L251" s="286"/>
      <c r="M251" s="286"/>
      <c r="N251" s="286"/>
      <c r="O251" s="286"/>
      <c r="P251" s="286"/>
      <c r="Q251" s="286"/>
      <c r="R251" s="286"/>
      <c r="S251" s="286"/>
      <c r="T251" s="286"/>
      <c r="U251" s="286"/>
      <c r="V251" s="286"/>
      <c r="W251" s="286"/>
      <c r="X251" s="286"/>
      <c r="Y251" s="286"/>
      <c r="Z251" s="286"/>
      <c r="AA251" s="272"/>
      <c r="AB251" s="272"/>
      <c r="AC251" s="272"/>
    </row>
    <row r="252" spans="1:68" ht="27" hidden="1" customHeight="1" x14ac:dyDescent="0.25">
      <c r="A252" s="54" t="s">
        <v>330</v>
      </c>
      <c r="B252" s="54" t="s">
        <v>331</v>
      </c>
      <c r="C252" s="31">
        <v>4301071014</v>
      </c>
      <c r="D252" s="280">
        <v>4640242181264</v>
      </c>
      <c r="E252" s="281"/>
      <c r="F252" s="275">
        <v>0.7</v>
      </c>
      <c r="G252" s="32">
        <v>10</v>
      </c>
      <c r="H252" s="275">
        <v>7</v>
      </c>
      <c r="I252" s="275">
        <v>7.28</v>
      </c>
      <c r="J252" s="32">
        <v>84</v>
      </c>
      <c r="K252" s="32" t="s">
        <v>65</v>
      </c>
      <c r="L252" s="32" t="s">
        <v>66</v>
      </c>
      <c r="M252" s="33" t="s">
        <v>67</v>
      </c>
      <c r="N252" s="33"/>
      <c r="O252" s="32">
        <v>180</v>
      </c>
      <c r="P252" s="294" t="str">
        <f>HYPERLINK("https://abi.ru/products/Замороженные/Зареченские продукты/Зареченские продукты/Пельмени/P004053/","Пельмени «Домашние» 0,7 сфера ТМ «Зареченские»")</f>
        <v>Пельмени «Домашние» 0,7 сфера ТМ «Зареченские»</v>
      </c>
      <c r="Q252" s="283"/>
      <c r="R252" s="283"/>
      <c r="S252" s="283"/>
      <c r="T252" s="284"/>
      <c r="U252" s="34"/>
      <c r="V252" s="34"/>
      <c r="W252" s="35" t="s">
        <v>68</v>
      </c>
      <c r="X252" s="276">
        <v>0</v>
      </c>
      <c r="Y252" s="277">
        <f>IFERROR(IF(X252="","",X252),"")</f>
        <v>0</v>
      </c>
      <c r="Z252" s="36">
        <f>IFERROR(IF(X252="","",X252*0.0155),"")</f>
        <v>0</v>
      </c>
      <c r="AA252" s="56"/>
      <c r="AB252" s="57"/>
      <c r="AC252" s="236" t="s">
        <v>332</v>
      </c>
      <c r="AG252" s="67"/>
      <c r="AJ252" s="71" t="s">
        <v>70</v>
      </c>
      <c r="AK252" s="71">
        <v>1</v>
      </c>
      <c r="BB252" s="237" t="s">
        <v>1</v>
      </c>
      <c r="BM252" s="67">
        <f>IFERROR(X252*I252,"0")</f>
        <v>0</v>
      </c>
      <c r="BN252" s="67">
        <f>IFERROR(Y252*I252,"0")</f>
        <v>0</v>
      </c>
      <c r="BO252" s="67">
        <f>IFERROR(X252/J252,"0")</f>
        <v>0</v>
      </c>
      <c r="BP252" s="67">
        <f>IFERROR(Y252/J252,"0")</f>
        <v>0</v>
      </c>
    </row>
    <row r="253" spans="1:68" ht="27" hidden="1" customHeight="1" x14ac:dyDescent="0.25">
      <c r="A253" s="54" t="s">
        <v>333</v>
      </c>
      <c r="B253" s="54" t="s">
        <v>334</v>
      </c>
      <c r="C253" s="31">
        <v>4301071021</v>
      </c>
      <c r="D253" s="280">
        <v>4640242181325</v>
      </c>
      <c r="E253" s="281"/>
      <c r="F253" s="275">
        <v>0.7</v>
      </c>
      <c r="G253" s="32">
        <v>10</v>
      </c>
      <c r="H253" s="275">
        <v>7</v>
      </c>
      <c r="I253" s="275">
        <v>7.28</v>
      </c>
      <c r="J253" s="32">
        <v>84</v>
      </c>
      <c r="K253" s="32" t="s">
        <v>65</v>
      </c>
      <c r="L253" s="32" t="s">
        <v>101</v>
      </c>
      <c r="M253" s="33" t="s">
        <v>67</v>
      </c>
      <c r="N253" s="33"/>
      <c r="O253" s="32">
        <v>180</v>
      </c>
      <c r="P253" s="447" t="str">
        <f>HYPERLINK("https://abi.ru/products/Замороженные/Зареченские продукты/Зареченские продукты/Пельмени/P004060/","Пельмени «Домашние со сливочным маслом» 0,7 сфера ТМ «Зареченские»")</f>
        <v>Пельмени «Домашние со сливочным маслом» 0,7 сфера ТМ «Зареченские»</v>
      </c>
      <c r="Q253" s="283"/>
      <c r="R253" s="283"/>
      <c r="S253" s="283"/>
      <c r="T253" s="284"/>
      <c r="U253" s="34"/>
      <c r="V253" s="34"/>
      <c r="W253" s="35" t="s">
        <v>68</v>
      </c>
      <c r="X253" s="276">
        <v>0</v>
      </c>
      <c r="Y253" s="277">
        <f>IFERROR(IF(X253="","",X253),"")</f>
        <v>0</v>
      </c>
      <c r="Z253" s="36">
        <f>IFERROR(IF(X253="","",X253*0.0155),"")</f>
        <v>0</v>
      </c>
      <c r="AA253" s="56"/>
      <c r="AB253" s="57"/>
      <c r="AC253" s="238" t="s">
        <v>332</v>
      </c>
      <c r="AG253" s="67"/>
      <c r="AJ253" s="71" t="s">
        <v>103</v>
      </c>
      <c r="AK253" s="71">
        <v>12</v>
      </c>
      <c r="BB253" s="239" t="s">
        <v>1</v>
      </c>
      <c r="BM253" s="67">
        <f>IFERROR(X253*I253,"0")</f>
        <v>0</v>
      </c>
      <c r="BN253" s="67">
        <f>IFERROR(Y253*I253,"0")</f>
        <v>0</v>
      </c>
      <c r="BO253" s="67">
        <f>IFERROR(X253/J253,"0")</f>
        <v>0</v>
      </c>
      <c r="BP253" s="67">
        <f>IFERROR(Y253/J253,"0")</f>
        <v>0</v>
      </c>
    </row>
    <row r="254" spans="1:68" hidden="1" x14ac:dyDescent="0.2">
      <c r="A254" s="285"/>
      <c r="B254" s="286"/>
      <c r="C254" s="286"/>
      <c r="D254" s="286"/>
      <c r="E254" s="286"/>
      <c r="F254" s="286"/>
      <c r="G254" s="286"/>
      <c r="H254" s="286"/>
      <c r="I254" s="286"/>
      <c r="J254" s="286"/>
      <c r="K254" s="286"/>
      <c r="L254" s="286"/>
      <c r="M254" s="286"/>
      <c r="N254" s="286"/>
      <c r="O254" s="287"/>
      <c r="P254" s="298" t="s">
        <v>87</v>
      </c>
      <c r="Q254" s="299"/>
      <c r="R254" s="299"/>
      <c r="S254" s="299"/>
      <c r="T254" s="299"/>
      <c r="U254" s="299"/>
      <c r="V254" s="300"/>
      <c r="W254" s="37" t="s">
        <v>68</v>
      </c>
      <c r="X254" s="278">
        <f>IFERROR(SUM(X252:X253),"0")</f>
        <v>0</v>
      </c>
      <c r="Y254" s="278">
        <f>IFERROR(SUM(Y252:Y253),"0")</f>
        <v>0</v>
      </c>
      <c r="Z254" s="278">
        <f>IFERROR(IF(Z252="",0,Z252),"0")+IFERROR(IF(Z253="",0,Z253),"0")</f>
        <v>0</v>
      </c>
      <c r="AA254" s="279"/>
      <c r="AB254" s="279"/>
      <c r="AC254" s="279"/>
    </row>
    <row r="255" spans="1:68" hidden="1" x14ac:dyDescent="0.2">
      <c r="A255" s="286"/>
      <c r="B255" s="286"/>
      <c r="C255" s="286"/>
      <c r="D255" s="286"/>
      <c r="E255" s="286"/>
      <c r="F255" s="286"/>
      <c r="G255" s="286"/>
      <c r="H255" s="286"/>
      <c r="I255" s="286"/>
      <c r="J255" s="286"/>
      <c r="K255" s="286"/>
      <c r="L255" s="286"/>
      <c r="M255" s="286"/>
      <c r="N255" s="286"/>
      <c r="O255" s="287"/>
      <c r="P255" s="298" t="s">
        <v>87</v>
      </c>
      <c r="Q255" s="299"/>
      <c r="R255" s="299"/>
      <c r="S255" s="299"/>
      <c r="T255" s="299"/>
      <c r="U255" s="299"/>
      <c r="V255" s="300"/>
      <c r="W255" s="37" t="s">
        <v>88</v>
      </c>
      <c r="X255" s="278">
        <f>IFERROR(SUMPRODUCT(X252:X253*H252:H253),"0")</f>
        <v>0</v>
      </c>
      <c r="Y255" s="278">
        <f>IFERROR(SUMPRODUCT(Y252:Y253*H252:H253),"0")</f>
        <v>0</v>
      </c>
      <c r="Z255" s="37"/>
      <c r="AA255" s="279"/>
      <c r="AB255" s="279"/>
      <c r="AC255" s="279"/>
    </row>
    <row r="256" spans="1:68" ht="14.25" hidden="1" customHeight="1" x14ac:dyDescent="0.25">
      <c r="A256" s="288" t="s">
        <v>97</v>
      </c>
      <c r="B256" s="286"/>
      <c r="C256" s="286"/>
      <c r="D256" s="286"/>
      <c r="E256" s="286"/>
      <c r="F256" s="286"/>
      <c r="G256" s="286"/>
      <c r="H256" s="286"/>
      <c r="I256" s="286"/>
      <c r="J256" s="286"/>
      <c r="K256" s="286"/>
      <c r="L256" s="286"/>
      <c r="M256" s="286"/>
      <c r="N256" s="286"/>
      <c r="O256" s="286"/>
      <c r="P256" s="286"/>
      <c r="Q256" s="286"/>
      <c r="R256" s="286"/>
      <c r="S256" s="286"/>
      <c r="T256" s="286"/>
      <c r="U256" s="286"/>
      <c r="V256" s="286"/>
      <c r="W256" s="286"/>
      <c r="X256" s="286"/>
      <c r="Y256" s="286"/>
      <c r="Z256" s="286"/>
      <c r="AA256" s="272"/>
      <c r="AB256" s="272"/>
      <c r="AC256" s="272"/>
    </row>
    <row r="257" spans="1:68" ht="27" customHeight="1" x14ac:dyDescent="0.25">
      <c r="A257" s="54" t="s">
        <v>335</v>
      </c>
      <c r="B257" s="54" t="s">
        <v>336</v>
      </c>
      <c r="C257" s="31">
        <v>4301132080</v>
      </c>
      <c r="D257" s="280">
        <v>4640242180397</v>
      </c>
      <c r="E257" s="281"/>
      <c r="F257" s="275">
        <v>1</v>
      </c>
      <c r="G257" s="32">
        <v>6</v>
      </c>
      <c r="H257" s="275">
        <v>6</v>
      </c>
      <c r="I257" s="275">
        <v>6.26</v>
      </c>
      <c r="J257" s="32">
        <v>84</v>
      </c>
      <c r="K257" s="32" t="s">
        <v>65</v>
      </c>
      <c r="L257" s="32" t="s">
        <v>101</v>
      </c>
      <c r="M257" s="33" t="s">
        <v>67</v>
      </c>
      <c r="N257" s="33"/>
      <c r="O257" s="32">
        <v>180</v>
      </c>
      <c r="P257" s="401" t="str">
        <f>HYPERLINK("https://abi.ru/products/Замороженные/Зареченские продукты/Зареченские продукты/Наггетсы/P003486/","Наггетсы «Хрустящие» Весовые ТМ «Зареченские» 6 кг")</f>
        <v>Наггетсы «Хрустящие» Весовые ТМ «Зареченские» 6 кг</v>
      </c>
      <c r="Q257" s="283"/>
      <c r="R257" s="283"/>
      <c r="S257" s="283"/>
      <c r="T257" s="284"/>
      <c r="U257" s="34"/>
      <c r="V257" s="34"/>
      <c r="W257" s="35" t="s">
        <v>68</v>
      </c>
      <c r="X257" s="276">
        <v>60</v>
      </c>
      <c r="Y257" s="277">
        <f>IFERROR(IF(X257="","",X257),"")</f>
        <v>60</v>
      </c>
      <c r="Z257" s="36">
        <f>IFERROR(IF(X257="","",X257*0.0155),"")</f>
        <v>0.92999999999999994</v>
      </c>
      <c r="AA257" s="56"/>
      <c r="AB257" s="57"/>
      <c r="AC257" s="240" t="s">
        <v>337</v>
      </c>
      <c r="AG257" s="67"/>
      <c r="AJ257" s="71" t="s">
        <v>103</v>
      </c>
      <c r="AK257" s="71">
        <v>12</v>
      </c>
      <c r="BB257" s="241" t="s">
        <v>104</v>
      </c>
      <c r="BM257" s="67">
        <f>IFERROR(X257*I257,"0")</f>
        <v>375.59999999999997</v>
      </c>
      <c r="BN257" s="67">
        <f>IFERROR(Y257*I257,"0")</f>
        <v>375.59999999999997</v>
      </c>
      <c r="BO257" s="67">
        <f>IFERROR(X257/J257,"0")</f>
        <v>0.7142857142857143</v>
      </c>
      <c r="BP257" s="67">
        <f>IFERROR(Y257/J257,"0")</f>
        <v>0.7142857142857143</v>
      </c>
    </row>
    <row r="258" spans="1:68" x14ac:dyDescent="0.2">
      <c r="A258" s="285"/>
      <c r="B258" s="286"/>
      <c r="C258" s="286"/>
      <c r="D258" s="286"/>
      <c r="E258" s="286"/>
      <c r="F258" s="286"/>
      <c r="G258" s="286"/>
      <c r="H258" s="286"/>
      <c r="I258" s="286"/>
      <c r="J258" s="286"/>
      <c r="K258" s="286"/>
      <c r="L258" s="286"/>
      <c r="M258" s="286"/>
      <c r="N258" s="286"/>
      <c r="O258" s="287"/>
      <c r="P258" s="298" t="s">
        <v>87</v>
      </c>
      <c r="Q258" s="299"/>
      <c r="R258" s="299"/>
      <c r="S258" s="299"/>
      <c r="T258" s="299"/>
      <c r="U258" s="299"/>
      <c r="V258" s="300"/>
      <c r="W258" s="37" t="s">
        <v>68</v>
      </c>
      <c r="X258" s="278">
        <f>IFERROR(SUM(X257:X257),"0")</f>
        <v>60</v>
      </c>
      <c r="Y258" s="278">
        <f>IFERROR(SUM(Y257:Y257),"0")</f>
        <v>60</v>
      </c>
      <c r="Z258" s="278">
        <f>IFERROR(IF(Z257="",0,Z257),"0")</f>
        <v>0.92999999999999994</v>
      </c>
      <c r="AA258" s="279"/>
      <c r="AB258" s="279"/>
      <c r="AC258" s="279"/>
    </row>
    <row r="259" spans="1:68" x14ac:dyDescent="0.2">
      <c r="A259" s="286"/>
      <c r="B259" s="286"/>
      <c r="C259" s="286"/>
      <c r="D259" s="286"/>
      <c r="E259" s="286"/>
      <c r="F259" s="286"/>
      <c r="G259" s="286"/>
      <c r="H259" s="286"/>
      <c r="I259" s="286"/>
      <c r="J259" s="286"/>
      <c r="K259" s="286"/>
      <c r="L259" s="286"/>
      <c r="M259" s="286"/>
      <c r="N259" s="286"/>
      <c r="O259" s="287"/>
      <c r="P259" s="298" t="s">
        <v>87</v>
      </c>
      <c r="Q259" s="299"/>
      <c r="R259" s="299"/>
      <c r="S259" s="299"/>
      <c r="T259" s="299"/>
      <c r="U259" s="299"/>
      <c r="V259" s="300"/>
      <c r="W259" s="37" t="s">
        <v>88</v>
      </c>
      <c r="X259" s="278">
        <f>IFERROR(SUMPRODUCT(X257:X257*H257:H257),"0")</f>
        <v>360</v>
      </c>
      <c r="Y259" s="278">
        <f>IFERROR(SUMPRODUCT(Y257:Y257*H257:H257),"0")</f>
        <v>360</v>
      </c>
      <c r="Z259" s="37"/>
      <c r="AA259" s="279"/>
      <c r="AB259" s="279"/>
      <c r="AC259" s="279"/>
    </row>
    <row r="260" spans="1:68" ht="14.25" hidden="1" customHeight="1" x14ac:dyDescent="0.25">
      <c r="A260" s="288" t="s">
        <v>129</v>
      </c>
      <c r="B260" s="286"/>
      <c r="C260" s="286"/>
      <c r="D260" s="286"/>
      <c r="E260" s="286"/>
      <c r="F260" s="286"/>
      <c r="G260" s="286"/>
      <c r="H260" s="286"/>
      <c r="I260" s="286"/>
      <c r="J260" s="286"/>
      <c r="K260" s="286"/>
      <c r="L260" s="286"/>
      <c r="M260" s="286"/>
      <c r="N260" s="286"/>
      <c r="O260" s="286"/>
      <c r="P260" s="286"/>
      <c r="Q260" s="286"/>
      <c r="R260" s="286"/>
      <c r="S260" s="286"/>
      <c r="T260" s="286"/>
      <c r="U260" s="286"/>
      <c r="V260" s="286"/>
      <c r="W260" s="286"/>
      <c r="X260" s="286"/>
      <c r="Y260" s="286"/>
      <c r="Z260" s="286"/>
      <c r="AA260" s="272"/>
      <c r="AB260" s="272"/>
      <c r="AC260" s="272"/>
    </row>
    <row r="261" spans="1:68" ht="27" hidden="1" customHeight="1" x14ac:dyDescent="0.25">
      <c r="A261" s="54" t="s">
        <v>338</v>
      </c>
      <c r="B261" s="54" t="s">
        <v>339</v>
      </c>
      <c r="C261" s="31">
        <v>4301136051</v>
      </c>
      <c r="D261" s="280">
        <v>4640242180304</v>
      </c>
      <c r="E261" s="281"/>
      <c r="F261" s="275">
        <v>2.7</v>
      </c>
      <c r="G261" s="32">
        <v>1</v>
      </c>
      <c r="H261" s="275">
        <v>2.7</v>
      </c>
      <c r="I261" s="275">
        <v>2.8906000000000001</v>
      </c>
      <c r="J261" s="32">
        <v>126</v>
      </c>
      <c r="K261" s="32" t="s">
        <v>100</v>
      </c>
      <c r="L261" s="32" t="s">
        <v>101</v>
      </c>
      <c r="M261" s="33" t="s">
        <v>67</v>
      </c>
      <c r="N261" s="33"/>
      <c r="O261" s="32">
        <v>180</v>
      </c>
      <c r="P261" s="397" t="str">
        <f>HYPERLINK("https://abi.ru/products/Замороженные/Зареченские продукты/Зареченские продукты/Чебуреки/P003478/","Чебуреки «Мясные» Весовые ТМ «Зареченские» 2,7 кг")</f>
        <v>Чебуреки «Мясные» Весовые ТМ «Зареченские» 2,7 кг</v>
      </c>
      <c r="Q261" s="283"/>
      <c r="R261" s="283"/>
      <c r="S261" s="283"/>
      <c r="T261" s="284"/>
      <c r="U261" s="34"/>
      <c r="V261" s="34"/>
      <c r="W261" s="35" t="s">
        <v>68</v>
      </c>
      <c r="X261" s="276">
        <v>0</v>
      </c>
      <c r="Y261" s="277">
        <f>IFERROR(IF(X261="","",X261),"")</f>
        <v>0</v>
      </c>
      <c r="Z261" s="36">
        <f>IFERROR(IF(X261="","",X261*0.00936),"")</f>
        <v>0</v>
      </c>
      <c r="AA261" s="56"/>
      <c r="AB261" s="57"/>
      <c r="AC261" s="242" t="s">
        <v>340</v>
      </c>
      <c r="AG261" s="67"/>
      <c r="AJ261" s="71" t="s">
        <v>103</v>
      </c>
      <c r="AK261" s="71">
        <v>14</v>
      </c>
      <c r="BB261" s="243" t="s">
        <v>104</v>
      </c>
      <c r="BM261" s="67">
        <f>IFERROR(X261*I261,"0")</f>
        <v>0</v>
      </c>
      <c r="BN261" s="67">
        <f>IFERROR(Y261*I261,"0")</f>
        <v>0</v>
      </c>
      <c r="BO261" s="67">
        <f>IFERROR(X261/J261,"0")</f>
        <v>0</v>
      </c>
      <c r="BP261" s="67">
        <f>IFERROR(Y261/J261,"0")</f>
        <v>0</v>
      </c>
    </row>
    <row r="262" spans="1:68" ht="27" customHeight="1" x14ac:dyDescent="0.25">
      <c r="A262" s="54" t="s">
        <v>341</v>
      </c>
      <c r="B262" s="54" t="s">
        <v>342</v>
      </c>
      <c r="C262" s="31">
        <v>4301136053</v>
      </c>
      <c r="D262" s="280">
        <v>4640242180236</v>
      </c>
      <c r="E262" s="281"/>
      <c r="F262" s="275">
        <v>5</v>
      </c>
      <c r="G262" s="32">
        <v>1</v>
      </c>
      <c r="H262" s="275">
        <v>5</v>
      </c>
      <c r="I262" s="275">
        <v>5.2350000000000003</v>
      </c>
      <c r="J262" s="32">
        <v>84</v>
      </c>
      <c r="K262" s="32" t="s">
        <v>65</v>
      </c>
      <c r="L262" s="32" t="s">
        <v>101</v>
      </c>
      <c r="M262" s="33" t="s">
        <v>67</v>
      </c>
      <c r="N262" s="33"/>
      <c r="O262" s="32">
        <v>180</v>
      </c>
      <c r="P262" s="463" t="str">
        <f>HYPERLINK("https://abi.ru/products/Замороженные/Зареченские продукты/Зареченские продукты/Чебуреки/P003476/","Чебуреки «Сочные» Весовые ТМ «Зареченские» 5 кг")</f>
        <v>Чебуреки «Сочные» Весовые ТМ «Зареченские» 5 кг</v>
      </c>
      <c r="Q262" s="283"/>
      <c r="R262" s="283"/>
      <c r="S262" s="283"/>
      <c r="T262" s="284"/>
      <c r="U262" s="34"/>
      <c r="V262" s="34"/>
      <c r="W262" s="35" t="s">
        <v>68</v>
      </c>
      <c r="X262" s="276">
        <v>36</v>
      </c>
      <c r="Y262" s="277">
        <f>IFERROR(IF(X262="","",X262),"")</f>
        <v>36</v>
      </c>
      <c r="Z262" s="36">
        <f>IFERROR(IF(X262="","",X262*0.0155),"")</f>
        <v>0.55800000000000005</v>
      </c>
      <c r="AA262" s="56"/>
      <c r="AB262" s="57"/>
      <c r="AC262" s="244" t="s">
        <v>340</v>
      </c>
      <c r="AG262" s="67"/>
      <c r="AJ262" s="71" t="s">
        <v>103</v>
      </c>
      <c r="AK262" s="71">
        <v>12</v>
      </c>
      <c r="BB262" s="245" t="s">
        <v>104</v>
      </c>
      <c r="BM262" s="67">
        <f>IFERROR(X262*I262,"0")</f>
        <v>188.46</v>
      </c>
      <c r="BN262" s="67">
        <f>IFERROR(Y262*I262,"0")</f>
        <v>188.46</v>
      </c>
      <c r="BO262" s="67">
        <f>IFERROR(X262/J262,"0")</f>
        <v>0.42857142857142855</v>
      </c>
      <c r="BP262" s="67">
        <f>IFERROR(Y262/J262,"0")</f>
        <v>0.42857142857142855</v>
      </c>
    </row>
    <row r="263" spans="1:68" ht="27" hidden="1" customHeight="1" x14ac:dyDescent="0.25">
      <c r="A263" s="54" t="s">
        <v>343</v>
      </c>
      <c r="B263" s="54" t="s">
        <v>344</v>
      </c>
      <c r="C263" s="31">
        <v>4301136052</v>
      </c>
      <c r="D263" s="280">
        <v>4640242180410</v>
      </c>
      <c r="E263" s="281"/>
      <c r="F263" s="275">
        <v>2.2400000000000002</v>
      </c>
      <c r="G263" s="32">
        <v>1</v>
      </c>
      <c r="H263" s="275">
        <v>2.2400000000000002</v>
      </c>
      <c r="I263" s="275">
        <v>2.4319999999999999</v>
      </c>
      <c r="J263" s="32">
        <v>126</v>
      </c>
      <c r="K263" s="32" t="s">
        <v>100</v>
      </c>
      <c r="L263" s="32" t="s">
        <v>66</v>
      </c>
      <c r="M263" s="33" t="s">
        <v>67</v>
      </c>
      <c r="N263" s="33"/>
      <c r="O263" s="32">
        <v>180</v>
      </c>
      <c r="P263" s="455" t="str">
        <f>HYPERLINK("https://abi.ru/products/Замороженные/Зареченские продукты/Зареченские продукты/Чебуреки/P003495/","Чебуреки «Сочный мегачебурек» Весовой ТМ «Зареченские» 2,24 кг")</f>
        <v>Чебуреки «Сочный мегачебурек» Весовой ТМ «Зареченские» 2,24 кг</v>
      </c>
      <c r="Q263" s="283"/>
      <c r="R263" s="283"/>
      <c r="S263" s="283"/>
      <c r="T263" s="284"/>
      <c r="U263" s="34"/>
      <c r="V263" s="34"/>
      <c r="W263" s="35" t="s">
        <v>68</v>
      </c>
      <c r="X263" s="276">
        <v>0</v>
      </c>
      <c r="Y263" s="277">
        <f>IFERROR(IF(X263="","",X263),"")</f>
        <v>0</v>
      </c>
      <c r="Z263" s="36">
        <f>IFERROR(IF(X263="","",X263*0.00936),"")</f>
        <v>0</v>
      </c>
      <c r="AA263" s="56"/>
      <c r="AB263" s="57"/>
      <c r="AC263" s="246" t="s">
        <v>340</v>
      </c>
      <c r="AG263" s="67"/>
      <c r="AJ263" s="71" t="s">
        <v>70</v>
      </c>
      <c r="AK263" s="71">
        <v>1</v>
      </c>
      <c r="BB263" s="247" t="s">
        <v>104</v>
      </c>
      <c r="BM263" s="67">
        <f>IFERROR(X263*I263,"0")</f>
        <v>0</v>
      </c>
      <c r="BN263" s="67">
        <f>IFERROR(Y263*I263,"0")</f>
        <v>0</v>
      </c>
      <c r="BO263" s="67">
        <f>IFERROR(X263/J263,"0")</f>
        <v>0</v>
      </c>
      <c r="BP263" s="67">
        <f>IFERROR(Y263/J263,"0")</f>
        <v>0</v>
      </c>
    </row>
    <row r="264" spans="1:68" x14ac:dyDescent="0.2">
      <c r="A264" s="285"/>
      <c r="B264" s="286"/>
      <c r="C264" s="286"/>
      <c r="D264" s="286"/>
      <c r="E264" s="286"/>
      <c r="F264" s="286"/>
      <c r="G264" s="286"/>
      <c r="H264" s="286"/>
      <c r="I264" s="286"/>
      <c r="J264" s="286"/>
      <c r="K264" s="286"/>
      <c r="L264" s="286"/>
      <c r="M264" s="286"/>
      <c r="N264" s="286"/>
      <c r="O264" s="287"/>
      <c r="P264" s="298" t="s">
        <v>87</v>
      </c>
      <c r="Q264" s="299"/>
      <c r="R264" s="299"/>
      <c r="S264" s="299"/>
      <c r="T264" s="299"/>
      <c r="U264" s="299"/>
      <c r="V264" s="300"/>
      <c r="W264" s="37" t="s">
        <v>68</v>
      </c>
      <c r="X264" s="278">
        <f>IFERROR(SUM(X261:X263),"0")</f>
        <v>36</v>
      </c>
      <c r="Y264" s="278">
        <f>IFERROR(SUM(Y261:Y263),"0")</f>
        <v>36</v>
      </c>
      <c r="Z264" s="278">
        <f>IFERROR(IF(Z261="",0,Z261),"0")+IFERROR(IF(Z262="",0,Z262),"0")+IFERROR(IF(Z263="",0,Z263),"0")</f>
        <v>0.55800000000000005</v>
      </c>
      <c r="AA264" s="279"/>
      <c r="AB264" s="279"/>
      <c r="AC264" s="279"/>
    </row>
    <row r="265" spans="1:68" x14ac:dyDescent="0.2">
      <c r="A265" s="286"/>
      <c r="B265" s="286"/>
      <c r="C265" s="286"/>
      <c r="D265" s="286"/>
      <c r="E265" s="286"/>
      <c r="F265" s="286"/>
      <c r="G265" s="286"/>
      <c r="H265" s="286"/>
      <c r="I265" s="286"/>
      <c r="J265" s="286"/>
      <c r="K265" s="286"/>
      <c r="L265" s="286"/>
      <c r="M265" s="286"/>
      <c r="N265" s="286"/>
      <c r="O265" s="287"/>
      <c r="P265" s="298" t="s">
        <v>87</v>
      </c>
      <c r="Q265" s="299"/>
      <c r="R265" s="299"/>
      <c r="S265" s="299"/>
      <c r="T265" s="299"/>
      <c r="U265" s="299"/>
      <c r="V265" s="300"/>
      <c r="W265" s="37" t="s">
        <v>88</v>
      </c>
      <c r="X265" s="278">
        <f>IFERROR(SUMPRODUCT(X261:X263*H261:H263),"0")</f>
        <v>180</v>
      </c>
      <c r="Y265" s="278">
        <f>IFERROR(SUMPRODUCT(Y261:Y263*H261:H263),"0")</f>
        <v>180</v>
      </c>
      <c r="Z265" s="37"/>
      <c r="AA265" s="279"/>
      <c r="AB265" s="279"/>
      <c r="AC265" s="279"/>
    </row>
    <row r="266" spans="1:68" ht="14.25" hidden="1" customHeight="1" x14ac:dyDescent="0.25">
      <c r="A266" s="288" t="s">
        <v>135</v>
      </c>
      <c r="B266" s="286"/>
      <c r="C266" s="286"/>
      <c r="D266" s="286"/>
      <c r="E266" s="286"/>
      <c r="F266" s="286"/>
      <c r="G266" s="286"/>
      <c r="H266" s="286"/>
      <c r="I266" s="286"/>
      <c r="J266" s="286"/>
      <c r="K266" s="286"/>
      <c r="L266" s="286"/>
      <c r="M266" s="286"/>
      <c r="N266" s="286"/>
      <c r="O266" s="286"/>
      <c r="P266" s="286"/>
      <c r="Q266" s="286"/>
      <c r="R266" s="286"/>
      <c r="S266" s="286"/>
      <c r="T266" s="286"/>
      <c r="U266" s="286"/>
      <c r="V266" s="286"/>
      <c r="W266" s="286"/>
      <c r="X266" s="286"/>
      <c r="Y266" s="286"/>
      <c r="Z266" s="286"/>
      <c r="AA266" s="272"/>
      <c r="AB266" s="272"/>
      <c r="AC266" s="272"/>
    </row>
    <row r="267" spans="1:68" ht="37.5" hidden="1" customHeight="1" x14ac:dyDescent="0.25">
      <c r="A267" s="54" t="s">
        <v>345</v>
      </c>
      <c r="B267" s="54" t="s">
        <v>346</v>
      </c>
      <c r="C267" s="31">
        <v>4301135504</v>
      </c>
      <c r="D267" s="280">
        <v>4640242181554</v>
      </c>
      <c r="E267" s="281"/>
      <c r="F267" s="275">
        <v>3</v>
      </c>
      <c r="G267" s="32">
        <v>1</v>
      </c>
      <c r="H267" s="275">
        <v>3</v>
      </c>
      <c r="I267" s="275">
        <v>3.1920000000000002</v>
      </c>
      <c r="J267" s="32">
        <v>126</v>
      </c>
      <c r="K267" s="32" t="s">
        <v>100</v>
      </c>
      <c r="L267" s="32" t="s">
        <v>101</v>
      </c>
      <c r="M267" s="33" t="s">
        <v>67</v>
      </c>
      <c r="N267" s="33"/>
      <c r="O267" s="32">
        <v>180</v>
      </c>
      <c r="P267" s="427" t="str">
        <f>HYPERLINK("https://abi.ru/products/Замороженные/Зареченские продукты/Зареченские продукты/Снеки/P004457/","Снеки «Мини-пицца с ветчиной и сыром» Весовые ТМ «Зареченские продукты» 3 кг")</f>
        <v>Снеки «Мини-пицца с ветчиной и сыром» Весовые ТМ «Зареченские продукты» 3 кг</v>
      </c>
      <c r="Q267" s="283"/>
      <c r="R267" s="283"/>
      <c r="S267" s="283"/>
      <c r="T267" s="284"/>
      <c r="U267" s="34"/>
      <c r="V267" s="34"/>
      <c r="W267" s="35" t="s">
        <v>68</v>
      </c>
      <c r="X267" s="276">
        <v>0</v>
      </c>
      <c r="Y267" s="277">
        <f t="shared" ref="Y267:Y276" si="18">IFERROR(IF(X267="","",X267),"")</f>
        <v>0</v>
      </c>
      <c r="Z267" s="36">
        <f>IFERROR(IF(X267="","",X267*0.00936),"")</f>
        <v>0</v>
      </c>
      <c r="AA267" s="56"/>
      <c r="AB267" s="57"/>
      <c r="AC267" s="248" t="s">
        <v>347</v>
      </c>
      <c r="AG267" s="67"/>
      <c r="AJ267" s="71" t="s">
        <v>103</v>
      </c>
      <c r="AK267" s="71">
        <v>14</v>
      </c>
      <c r="BB267" s="249" t="s">
        <v>104</v>
      </c>
      <c r="BM267" s="67">
        <f t="shared" ref="BM267:BM276" si="19">IFERROR(X267*I267,"0")</f>
        <v>0</v>
      </c>
      <c r="BN267" s="67">
        <f t="shared" ref="BN267:BN276" si="20">IFERROR(Y267*I267,"0")</f>
        <v>0</v>
      </c>
      <c r="BO267" s="67">
        <f t="shared" ref="BO267:BO276" si="21">IFERROR(X267/J267,"0")</f>
        <v>0</v>
      </c>
      <c r="BP267" s="67">
        <f t="shared" ref="BP267:BP276" si="22">IFERROR(Y267/J267,"0")</f>
        <v>0</v>
      </c>
    </row>
    <row r="268" spans="1:68" ht="27" hidden="1" customHeight="1" x14ac:dyDescent="0.25">
      <c r="A268" s="54" t="s">
        <v>348</v>
      </c>
      <c r="B268" s="54" t="s">
        <v>349</v>
      </c>
      <c r="C268" s="31">
        <v>4301135873</v>
      </c>
      <c r="D268" s="280">
        <v>4640242182087</v>
      </c>
      <c r="E268" s="281"/>
      <c r="F268" s="275">
        <v>5</v>
      </c>
      <c r="G268" s="32">
        <v>1</v>
      </c>
      <c r="H268" s="275">
        <v>5</v>
      </c>
      <c r="I268" s="275">
        <v>5.23</v>
      </c>
      <c r="J268" s="32">
        <v>84</v>
      </c>
      <c r="K268" s="32" t="s">
        <v>65</v>
      </c>
      <c r="L268" s="32" t="s">
        <v>66</v>
      </c>
      <c r="M268" s="33" t="s">
        <v>67</v>
      </c>
      <c r="N268" s="33"/>
      <c r="O268" s="32">
        <v>180</v>
      </c>
      <c r="P268" s="319" t="str">
        <f>HYPERLINK("https://abi.ru/products/Замороженные/Зареченские продукты/Зареченские продукты/Снеки/P005235/","Снеки «Мини-сосиски в тесте» Весовой ТМ «Зареченские продукты» 5 кг")</f>
        <v>Снеки «Мини-сосиски в тесте» Весовой ТМ «Зареченские продукты» 5 кг</v>
      </c>
      <c r="Q268" s="283"/>
      <c r="R268" s="283"/>
      <c r="S268" s="283"/>
      <c r="T268" s="284"/>
      <c r="U268" s="34"/>
      <c r="V268" s="34"/>
      <c r="W268" s="35" t="s">
        <v>68</v>
      </c>
      <c r="X268" s="276">
        <v>0</v>
      </c>
      <c r="Y268" s="277">
        <f t="shared" si="18"/>
        <v>0</v>
      </c>
      <c r="Z268" s="36">
        <f>IFERROR(IF(X268="","",X268*0.0155),"")</f>
        <v>0</v>
      </c>
      <c r="AA268" s="56"/>
      <c r="AB268" s="57"/>
      <c r="AC268" s="250" t="s">
        <v>350</v>
      </c>
      <c r="AG268" s="67"/>
      <c r="AJ268" s="71" t="s">
        <v>70</v>
      </c>
      <c r="AK268" s="71">
        <v>1</v>
      </c>
      <c r="BB268" s="251" t="s">
        <v>104</v>
      </c>
      <c r="BM268" s="67">
        <f t="shared" si="19"/>
        <v>0</v>
      </c>
      <c r="BN268" s="67">
        <f t="shared" si="20"/>
        <v>0</v>
      </c>
      <c r="BO268" s="67">
        <f t="shared" si="21"/>
        <v>0</v>
      </c>
      <c r="BP268" s="67">
        <f t="shared" si="22"/>
        <v>0</v>
      </c>
    </row>
    <row r="269" spans="1:68" ht="27" hidden="1" customHeight="1" x14ac:dyDescent="0.25">
      <c r="A269" s="54" t="s">
        <v>351</v>
      </c>
      <c r="B269" s="54" t="s">
        <v>352</v>
      </c>
      <c r="C269" s="31">
        <v>4301135374</v>
      </c>
      <c r="D269" s="280">
        <v>4640242181424</v>
      </c>
      <c r="E269" s="281"/>
      <c r="F269" s="275">
        <v>5.5</v>
      </c>
      <c r="G269" s="32">
        <v>1</v>
      </c>
      <c r="H269" s="275">
        <v>5.5</v>
      </c>
      <c r="I269" s="275">
        <v>5.7350000000000003</v>
      </c>
      <c r="J269" s="32">
        <v>84</v>
      </c>
      <c r="K269" s="32" t="s">
        <v>65</v>
      </c>
      <c r="L269" s="32" t="s">
        <v>101</v>
      </c>
      <c r="M269" s="33" t="s">
        <v>67</v>
      </c>
      <c r="N269" s="33"/>
      <c r="O269" s="32">
        <v>180</v>
      </c>
      <c r="P269" s="421" t="str">
        <f>HYPERLINK("https://abi.ru/products/Замороженные/Зареченские продукты/Зареченские продукты/Снеки/P004358/","Снеки «Мини-чебуречки с мясом» Весовой ТМ «Зареченские» 5,5 кг")</f>
        <v>Снеки «Мини-чебуречки с мясом» Весовой ТМ «Зареченские» 5,5 кг</v>
      </c>
      <c r="Q269" s="283"/>
      <c r="R269" s="283"/>
      <c r="S269" s="283"/>
      <c r="T269" s="284"/>
      <c r="U269" s="34"/>
      <c r="V269" s="34"/>
      <c r="W269" s="35" t="s">
        <v>68</v>
      </c>
      <c r="X269" s="276">
        <v>0</v>
      </c>
      <c r="Y269" s="277">
        <f t="shared" si="18"/>
        <v>0</v>
      </c>
      <c r="Z269" s="36">
        <f>IFERROR(IF(X269="","",X269*0.0155),"")</f>
        <v>0</v>
      </c>
      <c r="AA269" s="56"/>
      <c r="AB269" s="57"/>
      <c r="AC269" s="252" t="s">
        <v>347</v>
      </c>
      <c r="AG269" s="67"/>
      <c r="AJ269" s="71" t="s">
        <v>103</v>
      </c>
      <c r="AK269" s="71">
        <v>12</v>
      </c>
      <c r="BB269" s="253" t="s">
        <v>104</v>
      </c>
      <c r="BM269" s="67">
        <f t="shared" si="19"/>
        <v>0</v>
      </c>
      <c r="BN269" s="67">
        <f t="shared" si="20"/>
        <v>0</v>
      </c>
      <c r="BO269" s="67">
        <f t="shared" si="21"/>
        <v>0</v>
      </c>
      <c r="BP269" s="67">
        <f t="shared" si="22"/>
        <v>0</v>
      </c>
    </row>
    <row r="270" spans="1:68" ht="27" customHeight="1" x14ac:dyDescent="0.25">
      <c r="A270" s="54" t="s">
        <v>353</v>
      </c>
      <c r="B270" s="54" t="s">
        <v>354</v>
      </c>
      <c r="C270" s="31">
        <v>4301135405</v>
      </c>
      <c r="D270" s="280">
        <v>4640242181523</v>
      </c>
      <c r="E270" s="281"/>
      <c r="F270" s="275">
        <v>3</v>
      </c>
      <c r="G270" s="32">
        <v>1</v>
      </c>
      <c r="H270" s="275">
        <v>3</v>
      </c>
      <c r="I270" s="275">
        <v>3.1920000000000002</v>
      </c>
      <c r="J270" s="32">
        <v>126</v>
      </c>
      <c r="K270" s="32" t="s">
        <v>100</v>
      </c>
      <c r="L270" s="32" t="s">
        <v>101</v>
      </c>
      <c r="M270" s="33" t="s">
        <v>67</v>
      </c>
      <c r="N270" s="33"/>
      <c r="O270" s="32">
        <v>180</v>
      </c>
      <c r="P270" s="469" t="str">
        <f>HYPERLINK("https://abi.ru/products/Замороженные/Зареченские продукты/Зареченские продукты/Снеки/P004394/","Снеки «Мини-шарики с курочкой и сыром» Весовой ТМ «Зареченские» 3 кг")</f>
        <v>Снеки «Мини-шарики с курочкой и сыром» Весовой ТМ «Зареченские» 3 кг</v>
      </c>
      <c r="Q270" s="283"/>
      <c r="R270" s="283"/>
      <c r="S270" s="283"/>
      <c r="T270" s="284"/>
      <c r="U270" s="34"/>
      <c r="V270" s="34"/>
      <c r="W270" s="35" t="s">
        <v>68</v>
      </c>
      <c r="X270" s="276">
        <v>98</v>
      </c>
      <c r="Y270" s="277">
        <f t="shared" si="18"/>
        <v>98</v>
      </c>
      <c r="Z270" s="36">
        <f t="shared" ref="Z270:Z275" si="23">IFERROR(IF(X270="","",X270*0.00936),"")</f>
        <v>0.91727999999999998</v>
      </c>
      <c r="AA270" s="56"/>
      <c r="AB270" s="57"/>
      <c r="AC270" s="254" t="s">
        <v>350</v>
      </c>
      <c r="AG270" s="67"/>
      <c r="AJ270" s="71" t="s">
        <v>103</v>
      </c>
      <c r="AK270" s="71">
        <v>14</v>
      </c>
      <c r="BB270" s="255" t="s">
        <v>104</v>
      </c>
      <c r="BM270" s="67">
        <f t="shared" si="19"/>
        <v>312.81600000000003</v>
      </c>
      <c r="BN270" s="67">
        <f t="shared" si="20"/>
        <v>312.81600000000003</v>
      </c>
      <c r="BO270" s="67">
        <f t="shared" si="21"/>
        <v>0.77777777777777779</v>
      </c>
      <c r="BP270" s="67">
        <f t="shared" si="22"/>
        <v>0.77777777777777779</v>
      </c>
    </row>
    <row r="271" spans="1:68" ht="27" customHeight="1" x14ac:dyDescent="0.25">
      <c r="A271" s="54" t="s">
        <v>355</v>
      </c>
      <c r="B271" s="54" t="s">
        <v>356</v>
      </c>
      <c r="C271" s="31">
        <v>4301135375</v>
      </c>
      <c r="D271" s="280">
        <v>4640242181486</v>
      </c>
      <c r="E271" s="281"/>
      <c r="F271" s="275">
        <v>3.7</v>
      </c>
      <c r="G271" s="32">
        <v>1</v>
      </c>
      <c r="H271" s="275">
        <v>3.7</v>
      </c>
      <c r="I271" s="275">
        <v>3.8919999999999999</v>
      </c>
      <c r="J271" s="32">
        <v>126</v>
      </c>
      <c r="K271" s="32" t="s">
        <v>100</v>
      </c>
      <c r="L271" s="32" t="s">
        <v>101</v>
      </c>
      <c r="M271" s="33" t="s">
        <v>67</v>
      </c>
      <c r="N271" s="33"/>
      <c r="O271" s="32">
        <v>180</v>
      </c>
      <c r="P271" s="360" t="str">
        <f>HYPERLINK("https://abi.ru/products/Замороженные/Зареченские продукты/Зареченские продукты/Снеки/P004359/","«Пирожки с мясом» Весовые ТМ «Зареченские» 3,7 кг")</f>
        <v>«Пирожки с мясом» Весовые ТМ «Зареченские» 3,7 кг</v>
      </c>
      <c r="Q271" s="283"/>
      <c r="R271" s="283"/>
      <c r="S271" s="283"/>
      <c r="T271" s="284"/>
      <c r="U271" s="34"/>
      <c r="V271" s="34"/>
      <c r="W271" s="35" t="s">
        <v>68</v>
      </c>
      <c r="X271" s="276">
        <v>14</v>
      </c>
      <c r="Y271" s="277">
        <f t="shared" si="18"/>
        <v>14</v>
      </c>
      <c r="Z271" s="36">
        <f t="shared" si="23"/>
        <v>0.13103999999999999</v>
      </c>
      <c r="AA271" s="56"/>
      <c r="AB271" s="57"/>
      <c r="AC271" s="256" t="s">
        <v>347</v>
      </c>
      <c r="AG271" s="67"/>
      <c r="AJ271" s="71" t="s">
        <v>103</v>
      </c>
      <c r="AK271" s="71">
        <v>14</v>
      </c>
      <c r="BB271" s="257" t="s">
        <v>104</v>
      </c>
      <c r="BM271" s="67">
        <f t="shared" si="19"/>
        <v>54.488</v>
      </c>
      <c r="BN271" s="67">
        <f t="shared" si="20"/>
        <v>54.488</v>
      </c>
      <c r="BO271" s="67">
        <f t="shared" si="21"/>
        <v>0.1111111111111111</v>
      </c>
      <c r="BP271" s="67">
        <f t="shared" si="22"/>
        <v>0.1111111111111111</v>
      </c>
    </row>
    <row r="272" spans="1:68" ht="37.5" hidden="1" customHeight="1" x14ac:dyDescent="0.25">
      <c r="A272" s="54" t="s">
        <v>357</v>
      </c>
      <c r="B272" s="54" t="s">
        <v>358</v>
      </c>
      <c r="C272" s="31">
        <v>4301135402</v>
      </c>
      <c r="D272" s="280">
        <v>4640242181493</v>
      </c>
      <c r="E272" s="281"/>
      <c r="F272" s="275">
        <v>3.7</v>
      </c>
      <c r="G272" s="32">
        <v>1</v>
      </c>
      <c r="H272" s="275">
        <v>3.7</v>
      </c>
      <c r="I272" s="275">
        <v>3.8919999999999999</v>
      </c>
      <c r="J272" s="32">
        <v>126</v>
      </c>
      <c r="K272" s="32" t="s">
        <v>100</v>
      </c>
      <c r="L272" s="32" t="s">
        <v>101</v>
      </c>
      <c r="M272" s="33" t="s">
        <v>67</v>
      </c>
      <c r="N272" s="33"/>
      <c r="O272" s="32">
        <v>180</v>
      </c>
      <c r="P272" s="371" t="str">
        <f>HYPERLINK("https://abi.ru/products/Замороженные/Зареченские продукты/Зареченские продукты/Снеки/P004391/","Снеки «Пирожки с мясом, картофелем и грибами» Весовые ТМ «Зареченские» 3,7 кг")</f>
        <v>Снеки «Пирожки с мясом, картофелем и грибами» Весовые ТМ «Зареченские» 3,7 кг</v>
      </c>
      <c r="Q272" s="283"/>
      <c r="R272" s="283"/>
      <c r="S272" s="283"/>
      <c r="T272" s="284"/>
      <c r="U272" s="34"/>
      <c r="V272" s="34"/>
      <c r="W272" s="35" t="s">
        <v>68</v>
      </c>
      <c r="X272" s="276">
        <v>0</v>
      </c>
      <c r="Y272" s="277">
        <f t="shared" si="18"/>
        <v>0</v>
      </c>
      <c r="Z272" s="36">
        <f t="shared" si="23"/>
        <v>0</v>
      </c>
      <c r="AA272" s="56"/>
      <c r="AB272" s="57"/>
      <c r="AC272" s="258" t="s">
        <v>347</v>
      </c>
      <c r="AG272" s="67"/>
      <c r="AJ272" s="71" t="s">
        <v>103</v>
      </c>
      <c r="AK272" s="71">
        <v>14</v>
      </c>
      <c r="BB272" s="259" t="s">
        <v>104</v>
      </c>
      <c r="BM272" s="67">
        <f t="shared" si="19"/>
        <v>0</v>
      </c>
      <c r="BN272" s="67">
        <f t="shared" si="20"/>
        <v>0</v>
      </c>
      <c r="BO272" s="67">
        <f t="shared" si="21"/>
        <v>0</v>
      </c>
      <c r="BP272" s="67">
        <f t="shared" si="22"/>
        <v>0</v>
      </c>
    </row>
    <row r="273" spans="1:68" ht="37.5" hidden="1" customHeight="1" x14ac:dyDescent="0.25">
      <c r="A273" s="54" t="s">
        <v>359</v>
      </c>
      <c r="B273" s="54" t="s">
        <v>360</v>
      </c>
      <c r="C273" s="31">
        <v>4301135403</v>
      </c>
      <c r="D273" s="280">
        <v>4640242181509</v>
      </c>
      <c r="E273" s="281"/>
      <c r="F273" s="275">
        <v>3.7</v>
      </c>
      <c r="G273" s="32">
        <v>1</v>
      </c>
      <c r="H273" s="275">
        <v>3.7</v>
      </c>
      <c r="I273" s="275">
        <v>3.8919999999999999</v>
      </c>
      <c r="J273" s="32">
        <v>126</v>
      </c>
      <c r="K273" s="32" t="s">
        <v>100</v>
      </c>
      <c r="L273" s="32" t="s">
        <v>66</v>
      </c>
      <c r="M273" s="33" t="s">
        <v>67</v>
      </c>
      <c r="N273" s="33"/>
      <c r="O273" s="32">
        <v>180</v>
      </c>
      <c r="P273" s="331" t="str">
        <f>HYPERLINK("https://abi.ru/products/Замороженные/Зареченские продукты/Зареченские продукты/Снеки/P004392/","Снеки «Пирожки с яблоком и грушей» Весовой ТМ «Зареченские» 3,7 кг")</f>
        <v>Снеки «Пирожки с яблоком и грушей» Весовой ТМ «Зареченские» 3,7 кг</v>
      </c>
      <c r="Q273" s="283"/>
      <c r="R273" s="283"/>
      <c r="S273" s="283"/>
      <c r="T273" s="284"/>
      <c r="U273" s="34"/>
      <c r="V273" s="34"/>
      <c r="W273" s="35" t="s">
        <v>68</v>
      </c>
      <c r="X273" s="276">
        <v>0</v>
      </c>
      <c r="Y273" s="277">
        <f t="shared" si="18"/>
        <v>0</v>
      </c>
      <c r="Z273" s="36">
        <f t="shared" si="23"/>
        <v>0</v>
      </c>
      <c r="AA273" s="56"/>
      <c r="AB273" s="57"/>
      <c r="AC273" s="260" t="s">
        <v>347</v>
      </c>
      <c r="AG273" s="67"/>
      <c r="AJ273" s="71" t="s">
        <v>70</v>
      </c>
      <c r="AK273" s="71">
        <v>1</v>
      </c>
      <c r="BB273" s="261" t="s">
        <v>104</v>
      </c>
      <c r="BM273" s="67">
        <f t="shared" si="19"/>
        <v>0</v>
      </c>
      <c r="BN273" s="67">
        <f t="shared" si="20"/>
        <v>0</v>
      </c>
      <c r="BO273" s="67">
        <f t="shared" si="21"/>
        <v>0</v>
      </c>
      <c r="BP273" s="67">
        <f t="shared" si="22"/>
        <v>0</v>
      </c>
    </row>
    <row r="274" spans="1:68" ht="27" hidden="1" customHeight="1" x14ac:dyDescent="0.25">
      <c r="A274" s="54" t="s">
        <v>361</v>
      </c>
      <c r="B274" s="54" t="s">
        <v>362</v>
      </c>
      <c r="C274" s="31">
        <v>4301135304</v>
      </c>
      <c r="D274" s="280">
        <v>4640242181240</v>
      </c>
      <c r="E274" s="281"/>
      <c r="F274" s="275">
        <v>0.3</v>
      </c>
      <c r="G274" s="32">
        <v>9</v>
      </c>
      <c r="H274" s="275">
        <v>2.7</v>
      </c>
      <c r="I274" s="275">
        <v>2.88</v>
      </c>
      <c r="J274" s="32">
        <v>126</v>
      </c>
      <c r="K274" s="32" t="s">
        <v>100</v>
      </c>
      <c r="L274" s="32" t="s">
        <v>101</v>
      </c>
      <c r="M274" s="33" t="s">
        <v>67</v>
      </c>
      <c r="N274" s="33"/>
      <c r="O274" s="32">
        <v>180</v>
      </c>
      <c r="P274" s="400" t="str">
        <f>HYPERLINK("https://abi.ru/products/Замороженные/Зареченские продукты/Зареченские продукты/Снеки/P004191/","Снеки «Мини-пицца с ветчиной и сыром» Фикс.вес 0,3 ф/п ТМ «Зареченские»")</f>
        <v>Снеки «Мини-пицца с ветчиной и сыром» Фикс.вес 0,3 ф/п ТМ «Зареченские»</v>
      </c>
      <c r="Q274" s="283"/>
      <c r="R274" s="283"/>
      <c r="S274" s="283"/>
      <c r="T274" s="284"/>
      <c r="U274" s="34"/>
      <c r="V274" s="34"/>
      <c r="W274" s="35" t="s">
        <v>68</v>
      </c>
      <c r="X274" s="276">
        <v>0</v>
      </c>
      <c r="Y274" s="277">
        <f t="shared" si="18"/>
        <v>0</v>
      </c>
      <c r="Z274" s="36">
        <f t="shared" si="23"/>
        <v>0</v>
      </c>
      <c r="AA274" s="56"/>
      <c r="AB274" s="57"/>
      <c r="AC274" s="262" t="s">
        <v>347</v>
      </c>
      <c r="AG274" s="67"/>
      <c r="AJ274" s="71" t="s">
        <v>103</v>
      </c>
      <c r="AK274" s="71">
        <v>14</v>
      </c>
      <c r="BB274" s="263" t="s">
        <v>104</v>
      </c>
      <c r="BM274" s="67">
        <f t="shared" si="19"/>
        <v>0</v>
      </c>
      <c r="BN274" s="67">
        <f t="shared" si="20"/>
        <v>0</v>
      </c>
      <c r="BO274" s="67">
        <f t="shared" si="21"/>
        <v>0</v>
      </c>
      <c r="BP274" s="67">
        <f t="shared" si="22"/>
        <v>0</v>
      </c>
    </row>
    <row r="275" spans="1:68" ht="27" hidden="1" customHeight="1" x14ac:dyDescent="0.25">
      <c r="A275" s="54" t="s">
        <v>363</v>
      </c>
      <c r="B275" s="54" t="s">
        <v>364</v>
      </c>
      <c r="C275" s="31">
        <v>4301135610</v>
      </c>
      <c r="D275" s="280">
        <v>4640242181318</v>
      </c>
      <c r="E275" s="281"/>
      <c r="F275" s="275">
        <v>0.3</v>
      </c>
      <c r="G275" s="32">
        <v>9</v>
      </c>
      <c r="H275" s="275">
        <v>2.7</v>
      </c>
      <c r="I275" s="275">
        <v>2.988</v>
      </c>
      <c r="J275" s="32">
        <v>126</v>
      </c>
      <c r="K275" s="32" t="s">
        <v>100</v>
      </c>
      <c r="L275" s="32" t="s">
        <v>101</v>
      </c>
      <c r="M275" s="33" t="s">
        <v>67</v>
      </c>
      <c r="N275" s="33"/>
      <c r="O275" s="32">
        <v>180</v>
      </c>
      <c r="P275" s="313" t="str">
        <f>HYPERLINK("https://abi.ru/products/Замороженные/Зареченские продукты/Зареченские продукты/Снеки/P004195/","Снеки «Мини-сосиски в тесте» Фикс.вес 0,3 ф/п ТМ «Зареченские»")</f>
        <v>Снеки «Мини-сосиски в тесте» Фикс.вес 0,3 ф/п ТМ «Зареченские»</v>
      </c>
      <c r="Q275" s="283"/>
      <c r="R275" s="283"/>
      <c r="S275" s="283"/>
      <c r="T275" s="284"/>
      <c r="U275" s="34"/>
      <c r="V275" s="34"/>
      <c r="W275" s="35" t="s">
        <v>68</v>
      </c>
      <c r="X275" s="276">
        <v>0</v>
      </c>
      <c r="Y275" s="277">
        <f t="shared" si="18"/>
        <v>0</v>
      </c>
      <c r="Z275" s="36">
        <f t="shared" si="23"/>
        <v>0</v>
      </c>
      <c r="AA275" s="56"/>
      <c r="AB275" s="57"/>
      <c r="AC275" s="264" t="s">
        <v>350</v>
      </c>
      <c r="AG275" s="67"/>
      <c r="AJ275" s="71" t="s">
        <v>103</v>
      </c>
      <c r="AK275" s="71">
        <v>14</v>
      </c>
      <c r="BB275" s="265" t="s">
        <v>104</v>
      </c>
      <c r="BM275" s="67">
        <f t="shared" si="19"/>
        <v>0</v>
      </c>
      <c r="BN275" s="67">
        <f t="shared" si="20"/>
        <v>0</v>
      </c>
      <c r="BO275" s="67">
        <f t="shared" si="21"/>
        <v>0</v>
      </c>
      <c r="BP275" s="67">
        <f t="shared" si="22"/>
        <v>0</v>
      </c>
    </row>
    <row r="276" spans="1:68" ht="27" hidden="1" customHeight="1" x14ac:dyDescent="0.25">
      <c r="A276" s="54" t="s">
        <v>365</v>
      </c>
      <c r="B276" s="54" t="s">
        <v>366</v>
      </c>
      <c r="C276" s="31">
        <v>4301135306</v>
      </c>
      <c r="D276" s="280">
        <v>4640242181387</v>
      </c>
      <c r="E276" s="281"/>
      <c r="F276" s="275">
        <v>0.3</v>
      </c>
      <c r="G276" s="32">
        <v>9</v>
      </c>
      <c r="H276" s="275">
        <v>2.7</v>
      </c>
      <c r="I276" s="275">
        <v>2.8450000000000002</v>
      </c>
      <c r="J276" s="32">
        <v>234</v>
      </c>
      <c r="K276" s="32" t="s">
        <v>146</v>
      </c>
      <c r="L276" s="32" t="s">
        <v>101</v>
      </c>
      <c r="M276" s="33" t="s">
        <v>67</v>
      </c>
      <c r="N276" s="33"/>
      <c r="O276" s="32">
        <v>180</v>
      </c>
      <c r="P276" s="467" t="str">
        <f>HYPERLINK("https://abi.ru/products/Замороженные/Зареченские продукты/Зареченские продукты/Снеки/P004193/","Снеки «Мини-чебуречки с мясом» Фикс.вес 0,3 ф/п ТМ «Зареченские»")</f>
        <v>Снеки «Мини-чебуречки с мясом» Фикс.вес 0,3 ф/п ТМ «Зареченские»</v>
      </c>
      <c r="Q276" s="283"/>
      <c r="R276" s="283"/>
      <c r="S276" s="283"/>
      <c r="T276" s="284"/>
      <c r="U276" s="34"/>
      <c r="V276" s="34"/>
      <c r="W276" s="35" t="s">
        <v>68</v>
      </c>
      <c r="X276" s="276">
        <v>0</v>
      </c>
      <c r="Y276" s="277">
        <f t="shared" si="18"/>
        <v>0</v>
      </c>
      <c r="Z276" s="36">
        <f>IFERROR(IF(X276="","",X276*0.00502),"")</f>
        <v>0</v>
      </c>
      <c r="AA276" s="56"/>
      <c r="AB276" s="57"/>
      <c r="AC276" s="266" t="s">
        <v>347</v>
      </c>
      <c r="AG276" s="67"/>
      <c r="AJ276" s="71" t="s">
        <v>103</v>
      </c>
      <c r="AK276" s="71">
        <v>18</v>
      </c>
      <c r="BB276" s="267" t="s">
        <v>104</v>
      </c>
      <c r="BM276" s="67">
        <f t="shared" si="19"/>
        <v>0</v>
      </c>
      <c r="BN276" s="67">
        <f t="shared" si="20"/>
        <v>0</v>
      </c>
      <c r="BO276" s="67">
        <f t="shared" si="21"/>
        <v>0</v>
      </c>
      <c r="BP276" s="67">
        <f t="shared" si="22"/>
        <v>0</v>
      </c>
    </row>
    <row r="277" spans="1:68" x14ac:dyDescent="0.2">
      <c r="A277" s="285"/>
      <c r="B277" s="286"/>
      <c r="C277" s="286"/>
      <c r="D277" s="286"/>
      <c r="E277" s="286"/>
      <c r="F277" s="286"/>
      <c r="G277" s="286"/>
      <c r="H277" s="286"/>
      <c r="I277" s="286"/>
      <c r="J277" s="286"/>
      <c r="K277" s="286"/>
      <c r="L277" s="286"/>
      <c r="M277" s="286"/>
      <c r="N277" s="286"/>
      <c r="O277" s="287"/>
      <c r="P277" s="298" t="s">
        <v>87</v>
      </c>
      <c r="Q277" s="299"/>
      <c r="R277" s="299"/>
      <c r="S277" s="299"/>
      <c r="T277" s="299"/>
      <c r="U277" s="299"/>
      <c r="V277" s="300"/>
      <c r="W277" s="37" t="s">
        <v>68</v>
      </c>
      <c r="X277" s="278">
        <f>IFERROR(SUM(X267:X276),"0")</f>
        <v>112</v>
      </c>
      <c r="Y277" s="278">
        <f>IFERROR(SUM(Y267:Y276),"0")</f>
        <v>112</v>
      </c>
      <c r="Z277" s="278">
        <f>IFERROR(IF(Z267="",0,Z267),"0")+IFERROR(IF(Z268="",0,Z268),"0")+IFERROR(IF(Z269="",0,Z269),"0")+IFERROR(IF(Z270="",0,Z270),"0")+IFERROR(IF(Z271="",0,Z271),"0")+IFERROR(IF(Z272="",0,Z272),"0")+IFERROR(IF(Z273="",0,Z273),"0")+IFERROR(IF(Z274="",0,Z274),"0")+IFERROR(IF(Z275="",0,Z275),"0")+IFERROR(IF(Z276="",0,Z276),"0")</f>
        <v>1.0483199999999999</v>
      </c>
      <c r="AA277" s="279"/>
      <c r="AB277" s="279"/>
      <c r="AC277" s="279"/>
    </row>
    <row r="278" spans="1:68" x14ac:dyDescent="0.2">
      <c r="A278" s="286"/>
      <c r="B278" s="286"/>
      <c r="C278" s="286"/>
      <c r="D278" s="286"/>
      <c r="E278" s="286"/>
      <c r="F278" s="286"/>
      <c r="G278" s="286"/>
      <c r="H278" s="286"/>
      <c r="I278" s="286"/>
      <c r="J278" s="286"/>
      <c r="K278" s="286"/>
      <c r="L278" s="286"/>
      <c r="M278" s="286"/>
      <c r="N278" s="286"/>
      <c r="O278" s="287"/>
      <c r="P278" s="298" t="s">
        <v>87</v>
      </c>
      <c r="Q278" s="299"/>
      <c r="R278" s="299"/>
      <c r="S278" s="299"/>
      <c r="T278" s="299"/>
      <c r="U278" s="299"/>
      <c r="V278" s="300"/>
      <c r="W278" s="37" t="s">
        <v>88</v>
      </c>
      <c r="X278" s="278">
        <f>IFERROR(SUMPRODUCT(X267:X276*H267:H276),"0")</f>
        <v>345.8</v>
      </c>
      <c r="Y278" s="278">
        <f>IFERROR(SUMPRODUCT(Y267:Y276*H267:H276),"0")</f>
        <v>345.8</v>
      </c>
      <c r="Z278" s="37"/>
      <c r="AA278" s="279"/>
      <c r="AB278" s="279"/>
      <c r="AC278" s="279"/>
    </row>
    <row r="279" spans="1:68" ht="15" customHeight="1" x14ac:dyDescent="0.2">
      <c r="A279" s="382"/>
      <c r="B279" s="286"/>
      <c r="C279" s="286"/>
      <c r="D279" s="286"/>
      <c r="E279" s="286"/>
      <c r="F279" s="286"/>
      <c r="G279" s="286"/>
      <c r="H279" s="286"/>
      <c r="I279" s="286"/>
      <c r="J279" s="286"/>
      <c r="K279" s="286"/>
      <c r="L279" s="286"/>
      <c r="M279" s="286"/>
      <c r="N279" s="286"/>
      <c r="O279" s="353"/>
      <c r="P279" s="320" t="s">
        <v>367</v>
      </c>
      <c r="Q279" s="321"/>
      <c r="R279" s="321"/>
      <c r="S279" s="321"/>
      <c r="T279" s="321"/>
      <c r="U279" s="321"/>
      <c r="V279" s="322"/>
      <c r="W279" s="37" t="s">
        <v>88</v>
      </c>
      <c r="X279" s="278">
        <f>IFERROR(X31+X37+X44+X50+X58+X63+X68+X74+X80+X85+X91+X101+X107+X118+X122+X126+X134+X140+X146+X152+X158+X163+X168+X173+X180+X185+X194+X200+X206+X212+X217+X222+X228+X234+X238+X244+X248+X255+X259+X265+X278,"0")</f>
        <v>11180.84</v>
      </c>
      <c r="Y279" s="278">
        <f>IFERROR(Y31+Y37+Y44+Y50+Y58+Y63+Y68+Y74+Y80+Y85+Y91+Y101+Y107+Y118+Y122+Y126+Y134+Y140+Y146+Y152+Y158+Y163+Y168+Y173+Y180+Y185+Y194+Y200+Y206+Y212+Y217+Y222+Y228+Y234+Y238+Y244+Y248+Y255+Y259+Y265+Y278,"0")</f>
        <v>11180.84</v>
      </c>
      <c r="Z279" s="37"/>
      <c r="AA279" s="279"/>
      <c r="AB279" s="279"/>
      <c r="AC279" s="279"/>
    </row>
    <row r="280" spans="1:68" x14ac:dyDescent="0.2">
      <c r="A280" s="286"/>
      <c r="B280" s="286"/>
      <c r="C280" s="286"/>
      <c r="D280" s="286"/>
      <c r="E280" s="286"/>
      <c r="F280" s="286"/>
      <c r="G280" s="286"/>
      <c r="H280" s="286"/>
      <c r="I280" s="286"/>
      <c r="J280" s="286"/>
      <c r="K280" s="286"/>
      <c r="L280" s="286"/>
      <c r="M280" s="286"/>
      <c r="N280" s="286"/>
      <c r="O280" s="353"/>
      <c r="P280" s="320" t="s">
        <v>368</v>
      </c>
      <c r="Q280" s="321"/>
      <c r="R280" s="321"/>
      <c r="S280" s="321"/>
      <c r="T280" s="321"/>
      <c r="U280" s="321"/>
      <c r="V280" s="322"/>
      <c r="W280" s="37" t="s">
        <v>88</v>
      </c>
      <c r="X280" s="278">
        <f>IFERROR(SUM(BM22:BM276),"0")</f>
        <v>12953.986000000001</v>
      </c>
      <c r="Y280" s="278">
        <f>IFERROR(SUM(BN22:BN276),"0")</f>
        <v>12953.986000000001</v>
      </c>
      <c r="Z280" s="37"/>
      <c r="AA280" s="279"/>
      <c r="AB280" s="279"/>
      <c r="AC280" s="279"/>
    </row>
    <row r="281" spans="1:68" x14ac:dyDescent="0.2">
      <c r="A281" s="286"/>
      <c r="B281" s="286"/>
      <c r="C281" s="286"/>
      <c r="D281" s="286"/>
      <c r="E281" s="286"/>
      <c r="F281" s="286"/>
      <c r="G281" s="286"/>
      <c r="H281" s="286"/>
      <c r="I281" s="286"/>
      <c r="J281" s="286"/>
      <c r="K281" s="286"/>
      <c r="L281" s="286"/>
      <c r="M281" s="286"/>
      <c r="N281" s="286"/>
      <c r="O281" s="353"/>
      <c r="P281" s="320" t="s">
        <v>369</v>
      </c>
      <c r="Q281" s="321"/>
      <c r="R281" s="321"/>
      <c r="S281" s="321"/>
      <c r="T281" s="321"/>
      <c r="U281" s="321"/>
      <c r="V281" s="322"/>
      <c r="W281" s="37" t="s">
        <v>370</v>
      </c>
      <c r="X281" s="38">
        <f>ROUNDUP(SUM(BO22:BO276),0)</f>
        <v>43</v>
      </c>
      <c r="Y281" s="38">
        <f>ROUNDUP(SUM(BP22:BP276),0)</f>
        <v>43</v>
      </c>
      <c r="Z281" s="37"/>
      <c r="AA281" s="279"/>
      <c r="AB281" s="279"/>
      <c r="AC281" s="279"/>
    </row>
    <row r="282" spans="1:68" x14ac:dyDescent="0.2">
      <c r="A282" s="286"/>
      <c r="B282" s="286"/>
      <c r="C282" s="286"/>
      <c r="D282" s="286"/>
      <c r="E282" s="286"/>
      <c r="F282" s="286"/>
      <c r="G282" s="286"/>
      <c r="H282" s="286"/>
      <c r="I282" s="286"/>
      <c r="J282" s="286"/>
      <c r="K282" s="286"/>
      <c r="L282" s="286"/>
      <c r="M282" s="286"/>
      <c r="N282" s="286"/>
      <c r="O282" s="353"/>
      <c r="P282" s="320" t="s">
        <v>371</v>
      </c>
      <c r="Q282" s="321"/>
      <c r="R282" s="321"/>
      <c r="S282" s="321"/>
      <c r="T282" s="321"/>
      <c r="U282" s="321"/>
      <c r="V282" s="322"/>
      <c r="W282" s="37" t="s">
        <v>88</v>
      </c>
      <c r="X282" s="278">
        <f>GrossWeightTotal+PalletQtyTotal*25</f>
        <v>14028.986000000001</v>
      </c>
      <c r="Y282" s="278">
        <f>GrossWeightTotalR+PalletQtyTotalR*25</f>
        <v>14028.986000000001</v>
      </c>
      <c r="Z282" s="37"/>
      <c r="AA282" s="279"/>
      <c r="AB282" s="279"/>
      <c r="AC282" s="279"/>
    </row>
    <row r="283" spans="1:68" x14ac:dyDescent="0.2">
      <c r="A283" s="286"/>
      <c r="B283" s="286"/>
      <c r="C283" s="286"/>
      <c r="D283" s="286"/>
      <c r="E283" s="286"/>
      <c r="F283" s="286"/>
      <c r="G283" s="286"/>
      <c r="H283" s="286"/>
      <c r="I283" s="286"/>
      <c r="J283" s="286"/>
      <c r="K283" s="286"/>
      <c r="L283" s="286"/>
      <c r="M283" s="286"/>
      <c r="N283" s="286"/>
      <c r="O283" s="353"/>
      <c r="P283" s="320" t="s">
        <v>372</v>
      </c>
      <c r="Q283" s="321"/>
      <c r="R283" s="321"/>
      <c r="S283" s="321"/>
      <c r="T283" s="321"/>
      <c r="U283" s="321"/>
      <c r="V283" s="322"/>
      <c r="W283" s="37" t="s">
        <v>370</v>
      </c>
      <c r="X283" s="278">
        <f>IFERROR(X30+X36+X43+X49+X57+X62+X67+X73+X79+X84+X90+X100+X106+X117+X121+X125+X133+X139+X145+X151+X157+X162+X167+X172+X179+X184+X193+X199+X205+X211+X216+X221+X227+X233+X237+X243+X247+X254+X258+X264+X277,"0")</f>
        <v>3500</v>
      </c>
      <c r="Y283" s="278">
        <f>IFERROR(Y30+Y36+Y43+Y49+Y57+Y62+Y67+Y73+Y79+Y84+Y90+Y100+Y106+Y117+Y121+Y125+Y133+Y139+Y145+Y151+Y157+Y162+Y167+Y172+Y179+Y184+Y193+Y199+Y205+Y211+Y216+Y221+Y227+Y233+Y237+Y243+Y247+Y254+Y258+Y264+Y277,"0")</f>
        <v>3500</v>
      </c>
      <c r="Z283" s="37"/>
      <c r="AA283" s="279"/>
      <c r="AB283" s="279"/>
      <c r="AC283" s="279"/>
    </row>
    <row r="284" spans="1:68" ht="14.25" hidden="1" customHeight="1" x14ac:dyDescent="0.2">
      <c r="A284" s="286"/>
      <c r="B284" s="286"/>
      <c r="C284" s="286"/>
      <c r="D284" s="286"/>
      <c r="E284" s="286"/>
      <c r="F284" s="286"/>
      <c r="G284" s="286"/>
      <c r="H284" s="286"/>
      <c r="I284" s="286"/>
      <c r="J284" s="286"/>
      <c r="K284" s="286"/>
      <c r="L284" s="286"/>
      <c r="M284" s="286"/>
      <c r="N284" s="286"/>
      <c r="O284" s="353"/>
      <c r="P284" s="320" t="s">
        <v>373</v>
      </c>
      <c r="Q284" s="321"/>
      <c r="R284" s="321"/>
      <c r="S284" s="321"/>
      <c r="T284" s="321"/>
      <c r="U284" s="321"/>
      <c r="V284" s="322"/>
      <c r="W284" s="39" t="s">
        <v>374</v>
      </c>
      <c r="X284" s="37"/>
      <c r="Y284" s="37"/>
      <c r="Z284" s="37">
        <f>IFERROR(Z30+Z36+Z43+Z49+Z57+Z62+Z67+Z73+Z79+Z84+Z90+Z100+Z106+Z117+Z121+Z125+Z133+Z139+Z145+Z151+Z157+Z162+Z167+Z172+Z179+Z184+Z193+Z199+Z205+Z211+Z216+Z221+Z227+Z233+Z237+Z243+Z247+Z254+Z258+Z264+Z277,"0")</f>
        <v>54.206160000000004</v>
      </c>
      <c r="AA284" s="279"/>
      <c r="AB284" s="279"/>
      <c r="AC284" s="279"/>
    </row>
    <row r="285" spans="1:68" ht="13.5" customHeight="1" thickBot="1" x14ac:dyDescent="0.25"/>
    <row r="286" spans="1:68" ht="27" customHeight="1" thickTop="1" thickBot="1" x14ac:dyDescent="0.25">
      <c r="A286" s="40" t="s">
        <v>375</v>
      </c>
      <c r="B286" s="306" t="s">
        <v>61</v>
      </c>
      <c r="C286" s="403"/>
      <c r="D286" s="306" t="s">
        <v>95</v>
      </c>
      <c r="E286" s="402"/>
      <c r="F286" s="402"/>
      <c r="G286" s="402"/>
      <c r="H286" s="402"/>
      <c r="I286" s="402"/>
      <c r="J286" s="402"/>
      <c r="K286" s="402"/>
      <c r="L286" s="402"/>
      <c r="M286" s="402"/>
      <c r="N286" s="402"/>
      <c r="O286" s="402"/>
      <c r="P286" s="402"/>
      <c r="Q286" s="402"/>
      <c r="R286" s="402"/>
      <c r="S286" s="402"/>
      <c r="T286" s="402"/>
      <c r="U286" s="403"/>
      <c r="V286" s="306" t="s">
        <v>255</v>
      </c>
      <c r="W286" s="403"/>
      <c r="X286" s="273" t="s">
        <v>266</v>
      </c>
      <c r="Y286" s="306" t="s">
        <v>280</v>
      </c>
      <c r="Z286" s="402"/>
      <c r="AA286" s="402"/>
      <c r="AB286" s="403"/>
      <c r="AC286" s="273" t="s">
        <v>309</v>
      </c>
      <c r="AD286" s="273" t="s">
        <v>314</v>
      </c>
      <c r="AE286" s="273" t="s">
        <v>322</v>
      </c>
      <c r="AF286" s="273" t="s">
        <v>329</v>
      </c>
    </row>
    <row r="287" spans="1:68" ht="14.25" customHeight="1" thickTop="1" x14ac:dyDescent="0.2">
      <c r="A287" s="317" t="s">
        <v>376</v>
      </c>
      <c r="B287" s="306" t="s">
        <v>61</v>
      </c>
      <c r="C287" s="306" t="s">
        <v>89</v>
      </c>
      <c r="D287" s="306" t="s">
        <v>96</v>
      </c>
      <c r="E287" s="306" t="s">
        <v>107</v>
      </c>
      <c r="F287" s="306" t="s">
        <v>114</v>
      </c>
      <c r="G287" s="306" t="s">
        <v>125</v>
      </c>
      <c r="H287" s="306" t="s">
        <v>143</v>
      </c>
      <c r="I287" s="306" t="s">
        <v>150</v>
      </c>
      <c r="J287" s="306" t="s">
        <v>154</v>
      </c>
      <c r="K287" s="306" t="s">
        <v>162</v>
      </c>
      <c r="L287" s="306" t="s">
        <v>177</v>
      </c>
      <c r="M287" s="306" t="s">
        <v>183</v>
      </c>
      <c r="N287" s="274"/>
      <c r="O287" s="306" t="s">
        <v>208</v>
      </c>
      <c r="P287" s="306" t="s">
        <v>226</v>
      </c>
      <c r="Q287" s="306" t="s">
        <v>232</v>
      </c>
      <c r="R287" s="306" t="s">
        <v>239</v>
      </c>
      <c r="S287" s="306" t="s">
        <v>244</v>
      </c>
      <c r="T287" s="306" t="s">
        <v>248</v>
      </c>
      <c r="U287" s="306" t="s">
        <v>251</v>
      </c>
      <c r="V287" s="306" t="s">
        <v>256</v>
      </c>
      <c r="W287" s="306" t="s">
        <v>263</v>
      </c>
      <c r="X287" s="306" t="s">
        <v>267</v>
      </c>
      <c r="Y287" s="306" t="s">
        <v>281</v>
      </c>
      <c r="Z287" s="306" t="s">
        <v>294</v>
      </c>
      <c r="AA287" s="306" t="s">
        <v>301</v>
      </c>
      <c r="AB287" s="306" t="s">
        <v>305</v>
      </c>
      <c r="AC287" s="306" t="s">
        <v>310</v>
      </c>
      <c r="AD287" s="306" t="s">
        <v>315</v>
      </c>
      <c r="AE287" s="306" t="s">
        <v>322</v>
      </c>
      <c r="AF287" s="306" t="s">
        <v>329</v>
      </c>
    </row>
    <row r="288" spans="1:68" ht="13.5" customHeight="1" thickBot="1" x14ac:dyDescent="0.25">
      <c r="A288" s="318"/>
      <c r="B288" s="307"/>
      <c r="C288" s="307"/>
      <c r="D288" s="307"/>
      <c r="E288" s="307"/>
      <c r="F288" s="307"/>
      <c r="G288" s="307"/>
      <c r="H288" s="307"/>
      <c r="I288" s="307"/>
      <c r="J288" s="307"/>
      <c r="K288" s="307"/>
      <c r="L288" s="307"/>
      <c r="M288" s="307"/>
      <c r="N288" s="274"/>
      <c r="O288" s="307"/>
      <c r="P288" s="307"/>
      <c r="Q288" s="307"/>
      <c r="R288" s="307"/>
      <c r="S288" s="307"/>
      <c r="T288" s="307"/>
      <c r="U288" s="307"/>
      <c r="V288" s="307"/>
      <c r="W288" s="307"/>
      <c r="X288" s="307"/>
      <c r="Y288" s="307"/>
      <c r="Z288" s="307"/>
      <c r="AA288" s="307"/>
      <c r="AB288" s="307"/>
      <c r="AC288" s="307"/>
      <c r="AD288" s="307"/>
      <c r="AE288" s="307"/>
      <c r="AF288" s="307"/>
    </row>
    <row r="289" spans="1:32" ht="18" customHeight="1" thickTop="1" thickBot="1" x14ac:dyDescent="0.25">
      <c r="A289" s="40" t="s">
        <v>377</v>
      </c>
      <c r="B289" s="46">
        <f>IFERROR(X22*H22,"0")+IFERROR(X23*H23,"0")+IFERROR(X24*H24,"0")+IFERROR(X25*H25,"0")+IFERROR(X26*H26,"0")+IFERROR(X27*H27,"0")+IFERROR(X28*H28,"0")+IFERROR(X29*H29,"0")</f>
        <v>172.8</v>
      </c>
      <c r="C289" s="46">
        <f>IFERROR(X34*H34,"0")+IFERROR(X35*H35,"0")</f>
        <v>0</v>
      </c>
      <c r="D289" s="46">
        <f>IFERROR(X41*H41,"0")+IFERROR(X42*H42,"0")</f>
        <v>231</v>
      </c>
      <c r="E289" s="46">
        <f>IFERROR(X47*H47,"0")+IFERROR(X48*H48,"0")</f>
        <v>537.59999999999991</v>
      </c>
      <c r="F289" s="46">
        <f>IFERROR(X53*H53,"0")+IFERROR(X54*H54,"0")+IFERROR(X55*H55,"0")+IFERROR(X56*H56,"0")</f>
        <v>1008</v>
      </c>
      <c r="G289" s="46">
        <f>IFERROR(X61*H61,"0")+IFERROR(X65*H65,"0")+IFERROR(X66*H66,"0")+IFERROR(X70*H70,"0")+IFERROR(X71*H71,"0")+IFERROR(X72*H72,"0")</f>
        <v>84</v>
      </c>
      <c r="H289" s="46">
        <f>IFERROR(X77*H77,"0")+IFERROR(X78*H78,"0")</f>
        <v>120</v>
      </c>
      <c r="I289" s="46">
        <f>IFERROR(X83*H83,"0")</f>
        <v>201.6</v>
      </c>
      <c r="J289" s="46">
        <f>IFERROR(X88*H88,"0")+IFERROR(X89*H89,"0")</f>
        <v>403.20000000000005</v>
      </c>
      <c r="K289" s="46">
        <f>IFERROR(X94*H94,"0")+IFERROR(X95*H95,"0")+IFERROR(X96*H96,"0")+IFERROR(X97*H97,"0")+IFERROR(X98*H98,"0")+IFERROR(X99*H99,"0")</f>
        <v>1169.28</v>
      </c>
      <c r="L289" s="46">
        <f>IFERROR(X104*H104,"0")+IFERROR(X105*H105,"0")</f>
        <v>100.8</v>
      </c>
      <c r="M289" s="46">
        <f>IFERROR(X110*H110,"0")+IFERROR(X111*H111,"0")+IFERROR(X112*H112,"0")+IFERROR(X113*H113,"0")+IFERROR(X114*H114,"0")+IFERROR(X115*H115,"0")+IFERROR(X116*H116,"0")+IFERROR(X120*H120,"0")+IFERROR(X124*H124,"0")</f>
        <v>859.2</v>
      </c>
      <c r="N289" s="274"/>
      <c r="O289" s="46">
        <f>IFERROR(X129*H129,"0")+IFERROR(X130*H130,"0")+IFERROR(X131*H131,"0")+IFERROR(X132*H132,"0")+IFERROR(X136*H136,"0")+IFERROR(X137*H137,"0")+IFERROR(X138*H138,"0")</f>
        <v>575.4</v>
      </c>
      <c r="P289" s="46">
        <f>IFERROR(X143*H143,"0")+IFERROR(X144*H144,"0")</f>
        <v>1890</v>
      </c>
      <c r="Q289" s="46">
        <f>IFERROR(X149*H149,"0")+IFERROR(X150*H150,"0")</f>
        <v>630</v>
      </c>
      <c r="R289" s="46">
        <f>IFERROR(X155*H155,"0")+IFERROR(X156*H156,"0")</f>
        <v>403.20000000000005</v>
      </c>
      <c r="S289" s="46">
        <f>IFERROR(X161*H161,"0")</f>
        <v>462</v>
      </c>
      <c r="T289" s="46">
        <f>IFERROR(X166*H166,"0")</f>
        <v>0</v>
      </c>
      <c r="U289" s="46">
        <f>IFERROR(X171*H171,"0")</f>
        <v>47.04</v>
      </c>
      <c r="V289" s="46">
        <f>IFERROR(X177*H177,"0")+IFERROR(X178*H178,"0")</f>
        <v>120</v>
      </c>
      <c r="W289" s="46">
        <f>IFERROR(X183*H183,"0")</f>
        <v>0</v>
      </c>
      <c r="X289" s="46">
        <f>IFERROR(X189*H189,"0")+IFERROR(X190*H190,"0")+IFERROR(X191*H191,"0")+IFERROR(X192*H192,"0")</f>
        <v>630</v>
      </c>
      <c r="Y289" s="46">
        <f>IFERROR(X198*H198,"0")+IFERROR(X202*H202,"0")+IFERROR(X203*H203,"0")+IFERROR(X204*H204,"0")</f>
        <v>409.92</v>
      </c>
      <c r="Z289" s="46">
        <f>IFERROR(X209*H209,"0")+IFERROR(X210*H210,"0")</f>
        <v>0</v>
      </c>
      <c r="AA289" s="46">
        <f>IFERROR(X215*H215,"0")</f>
        <v>240</v>
      </c>
      <c r="AB289" s="46">
        <f>IFERROR(X220*H220,"0")</f>
        <v>0</v>
      </c>
      <c r="AC289" s="46">
        <f>IFERROR(X226*H226,"0")</f>
        <v>0</v>
      </c>
      <c r="AD289" s="46">
        <f>IFERROR(X232*H232,"0")+IFERROR(X236*H236,"0")</f>
        <v>0</v>
      </c>
      <c r="AE289" s="46">
        <f>IFERROR(X242*H242,"0")+IFERROR(X246*H246,"0")</f>
        <v>0</v>
      </c>
      <c r="AF289" s="46">
        <f>IFERROR(X252*H252,"0")+IFERROR(X253*H253,"0")+IFERROR(X257*H257,"0")+IFERROR(X261*H261,"0")+IFERROR(X262*H262,"0")+IFERROR(X263*H263,"0")+IFERROR(X267*H267,"0")+IFERROR(X268*H268,"0")+IFERROR(X269*H269,"0")+IFERROR(X270*H270,"0")+IFERROR(X271*H271,"0")+IFERROR(X272*H272,"0")+IFERROR(X273*H273,"0")+IFERROR(X274*H274,"0")+IFERROR(X275*H275,"0")+IFERROR(X276*H276,"0")</f>
        <v>885.8</v>
      </c>
    </row>
    <row r="290" spans="1:32" ht="13.5" customHeight="1" thickTop="1" x14ac:dyDescent="0.2">
      <c r="C290" s="274"/>
    </row>
    <row r="291" spans="1:32" ht="19.5" customHeight="1" x14ac:dyDescent="0.2">
      <c r="A291" s="58" t="s">
        <v>378</v>
      </c>
      <c r="B291" s="58" t="s">
        <v>379</v>
      </c>
      <c r="C291" s="58" t="s">
        <v>380</v>
      </c>
    </row>
    <row r="292" spans="1:32" x14ac:dyDescent="0.2">
      <c r="A292" s="59">
        <f>SUMPRODUCT(--(BB:BB="ЗПФ"),--(W:W="кор"),H:H,Y:Y)+SUMPRODUCT(--(BB:BB="ЗПФ"),--(W:W="кг"),Y:Y)</f>
        <v>3057.6</v>
      </c>
      <c r="B292" s="60">
        <f>SUMPRODUCT(--(BB:BB="ПГП"),--(W:W="кор"),H:H,Y:Y)+SUMPRODUCT(--(BB:BB="ПГП"),--(W:W="кг"),Y:Y)</f>
        <v>8123.24</v>
      </c>
      <c r="C292" s="60">
        <f>SUMPRODUCT(--(BB:BB="КИЗ"),--(W:W="кор"),H:H,Y:Y)+SUMPRODUCT(--(BB:BB="КИЗ"),--(W:W="кг"),Y:Y)</f>
        <v>0</v>
      </c>
    </row>
  </sheetData>
  <sheetProtection algorithmName="SHA-512" hashValue="A/NXs8A1/N8dbuGKmzNQ9IouCtGiRV6b70tIsvLfwixr3deGl247CCRqEFWJThmhIaEt560pNdhsCcN3ScP5Ng==" saltValue="hfALzMLC888qi4EOwRO2mg==" spinCount="100000" sheet="1" objects="1" scenarios="1" sort="0" autoFilter="0" pivotTables="0"/>
  <autoFilter ref="A18:AF284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3">
      <filters>
        <filter val="1 008,00"/>
        <filter val="1 169,28"/>
        <filter val="1 890,00"/>
        <filter val="100,80"/>
        <filter val="11 180,84"/>
        <filter val="112,00"/>
        <filter val="12 953,99"/>
        <filter val="12,00"/>
        <filter val="120,00"/>
        <filter val="132,00"/>
        <filter val="14 028,99"/>
        <filter val="14,00"/>
        <filter val="140,00"/>
        <filter val="144,00"/>
        <filter val="154,00"/>
        <filter val="168,00"/>
        <filter val="172,80"/>
        <filter val="180,00"/>
        <filter val="201,60"/>
        <filter val="210,00"/>
        <filter val="231,00"/>
        <filter val="24,00"/>
        <filter val="240,00"/>
        <filter val="28,00"/>
        <filter val="3 500,00"/>
        <filter val="309,12"/>
        <filter val="345,80"/>
        <filter val="36,00"/>
        <filter val="360,00"/>
        <filter val="403,20"/>
        <filter val="406,00"/>
        <filter val="42,00"/>
        <filter val="420,00"/>
        <filter val="43"/>
        <filter val="462,00"/>
        <filter val="47,04"/>
        <filter val="48,00"/>
        <filter val="537,60"/>
        <filter val="56,00"/>
        <filter val="575,40"/>
        <filter val="60,00"/>
        <filter val="630,00"/>
        <filter val="70,00"/>
        <filter val="72,00"/>
        <filter val="84,00"/>
        <filter val="859,20"/>
        <filter val="96,00"/>
        <filter val="98,00"/>
      </filters>
    </filterColumn>
    <filterColumn colId="29" showButton="0"/>
    <filterColumn colId="30" showButton="0"/>
  </autoFilter>
  <mergeCells count="507">
    <mergeCell ref="P50:V50"/>
    <mergeCell ref="P258:V258"/>
    <mergeCell ref="A175:Z175"/>
    <mergeCell ref="A51:Z51"/>
    <mergeCell ref="P72:T72"/>
    <mergeCell ref="N17:N18"/>
    <mergeCell ref="P202:T202"/>
    <mergeCell ref="X17:X18"/>
    <mergeCell ref="A52:Z52"/>
    <mergeCell ref="B286:C286"/>
    <mergeCell ref="P216:V216"/>
    <mergeCell ref="L287:L288"/>
    <mergeCell ref="P283:V283"/>
    <mergeCell ref="P83:T83"/>
    <mergeCell ref="D271:E271"/>
    <mergeCell ref="D268:E268"/>
    <mergeCell ref="D276:E276"/>
    <mergeCell ref="P276:T276"/>
    <mergeCell ref="P105:T105"/>
    <mergeCell ref="D257:E257"/>
    <mergeCell ref="P270:T270"/>
    <mergeCell ref="P284:V284"/>
    <mergeCell ref="D150:E150"/>
    <mergeCell ref="P63:V63"/>
    <mergeCell ref="D215:E215"/>
    <mergeCell ref="P194:V194"/>
    <mergeCell ref="A75:Z75"/>
    <mergeCell ref="Q5:R5"/>
    <mergeCell ref="D242:E242"/>
    <mergeCell ref="M287:M288"/>
    <mergeCell ref="D120:E120"/>
    <mergeCell ref="F17:F18"/>
    <mergeCell ref="A49:O50"/>
    <mergeCell ref="P65:T65"/>
    <mergeCell ref="P136:T136"/>
    <mergeCell ref="P70:T70"/>
    <mergeCell ref="P263:T263"/>
    <mergeCell ref="D171:E171"/>
    <mergeCell ref="Q6:R6"/>
    <mergeCell ref="A33:Z33"/>
    <mergeCell ref="D25:E25"/>
    <mergeCell ref="P145:V145"/>
    <mergeCell ref="A231:Z231"/>
    <mergeCell ref="J287:J288"/>
    <mergeCell ref="D54:E54"/>
    <mergeCell ref="D270:E270"/>
    <mergeCell ref="D99:E99"/>
    <mergeCell ref="P205:V205"/>
    <mergeCell ref="S287:S288"/>
    <mergeCell ref="A201:Z201"/>
    <mergeCell ref="U287:U288"/>
    <mergeCell ref="B287:B288"/>
    <mergeCell ref="D287:D288"/>
    <mergeCell ref="A36:O37"/>
    <mergeCell ref="P253:T253"/>
    <mergeCell ref="A223:Z223"/>
    <mergeCell ref="A205:O206"/>
    <mergeCell ref="D29:E29"/>
    <mergeCell ref="V286:W286"/>
    <mergeCell ref="D23:E23"/>
    <mergeCell ref="D252:E252"/>
    <mergeCell ref="P110:T110"/>
    <mergeCell ref="A258:O259"/>
    <mergeCell ref="A249:Z249"/>
    <mergeCell ref="A127:Z127"/>
    <mergeCell ref="Z287:Z288"/>
    <mergeCell ref="D149:E149"/>
    <mergeCell ref="A62:O63"/>
    <mergeCell ref="P255:V255"/>
    <mergeCell ref="P178:T178"/>
    <mergeCell ref="P34:T34"/>
    <mergeCell ref="D191:E191"/>
    <mergeCell ref="D262:E262"/>
    <mergeCell ref="P122:V122"/>
    <mergeCell ref="A245:Z245"/>
    <mergeCell ref="P2:W3"/>
    <mergeCell ref="A57:O58"/>
    <mergeCell ref="P198:T198"/>
    <mergeCell ref="P54:T54"/>
    <mergeCell ref="A170:Z170"/>
    <mergeCell ref="D35:E35"/>
    <mergeCell ref="D10:E10"/>
    <mergeCell ref="F10:G10"/>
    <mergeCell ref="P191:T191"/>
    <mergeCell ref="A121:O122"/>
    <mergeCell ref="D34:E34"/>
    <mergeCell ref="F5:G5"/>
    <mergeCell ref="V11:W11"/>
    <mergeCell ref="A176:Z176"/>
    <mergeCell ref="P68:V68"/>
    <mergeCell ref="A64:Z64"/>
    <mergeCell ref="P185:V185"/>
    <mergeCell ref="A8:C8"/>
    <mergeCell ref="A128:Z128"/>
    <mergeCell ref="A10:C10"/>
    <mergeCell ref="P140:V140"/>
    <mergeCell ref="A21:Z21"/>
    <mergeCell ref="D192:E192"/>
    <mergeCell ref="D42:E42"/>
    <mergeCell ref="D286:U286"/>
    <mergeCell ref="D177:E177"/>
    <mergeCell ref="P281:V281"/>
    <mergeCell ref="D226:E226"/>
    <mergeCell ref="AE287:AE288"/>
    <mergeCell ref="Z17:Z18"/>
    <mergeCell ref="P173:V173"/>
    <mergeCell ref="A172:O173"/>
    <mergeCell ref="Y287:Y288"/>
    <mergeCell ref="P100:V100"/>
    <mergeCell ref="AB17:AB18"/>
    <mergeCell ref="P265:V265"/>
    <mergeCell ref="P44:V44"/>
    <mergeCell ref="P237:V237"/>
    <mergeCell ref="P31:V31"/>
    <mergeCell ref="P158:V158"/>
    <mergeCell ref="A154:Z154"/>
    <mergeCell ref="P98:T98"/>
    <mergeCell ref="A214:Z214"/>
    <mergeCell ref="D83:E83"/>
    <mergeCell ref="D143:E143"/>
    <mergeCell ref="P177:T177"/>
    <mergeCell ref="P226:T226"/>
    <mergeCell ref="AD17:AF18"/>
    <mergeCell ref="AC17:AC18"/>
    <mergeCell ref="P101:V101"/>
    <mergeCell ref="A224:Z224"/>
    <mergeCell ref="D89:E89"/>
    <mergeCell ref="A207:Z207"/>
    <mergeCell ref="P190:T190"/>
    <mergeCell ref="P267:T267"/>
    <mergeCell ref="D246:E246"/>
    <mergeCell ref="P203:T203"/>
    <mergeCell ref="P53:T53"/>
    <mergeCell ref="D161:E161"/>
    <mergeCell ref="P67:V67"/>
    <mergeCell ref="P132:T132"/>
    <mergeCell ref="P146:V146"/>
    <mergeCell ref="A235:Z235"/>
    <mergeCell ref="P167:V167"/>
    <mergeCell ref="P117:V117"/>
    <mergeCell ref="A20:Z20"/>
    <mergeCell ref="P43:V43"/>
    <mergeCell ref="A39:Z39"/>
    <mergeCell ref="P25:T25"/>
    <mergeCell ref="A103:Z103"/>
    <mergeCell ref="D95:E95"/>
    <mergeCell ref="P149:T149"/>
    <mergeCell ref="P137:T137"/>
    <mergeCell ref="D9:E9"/>
    <mergeCell ref="F9:G9"/>
    <mergeCell ref="P269:T269"/>
    <mergeCell ref="A100:O101"/>
    <mergeCell ref="A230:Z230"/>
    <mergeCell ref="P35:T35"/>
    <mergeCell ref="P57:V57"/>
    <mergeCell ref="AA17:AA18"/>
    <mergeCell ref="H10:M10"/>
    <mergeCell ref="P107:V107"/>
    <mergeCell ref="A12:M12"/>
    <mergeCell ref="A14:M14"/>
    <mergeCell ref="V12:W12"/>
    <mergeCell ref="P74:V74"/>
    <mergeCell ref="A73:O74"/>
    <mergeCell ref="Y17:Y18"/>
    <mergeCell ref="U17:V17"/>
    <mergeCell ref="P124:T124"/>
    <mergeCell ref="P163:V163"/>
    <mergeCell ref="A153:Z153"/>
    <mergeCell ref="D97:E97"/>
    <mergeCell ref="P262:T262"/>
    <mergeCell ref="D105:E105"/>
    <mergeCell ref="A125:O126"/>
    <mergeCell ref="P114:T114"/>
    <mergeCell ref="X287:X288"/>
    <mergeCell ref="V6:W9"/>
    <mergeCell ref="A106:O107"/>
    <mergeCell ref="A59:Z59"/>
    <mergeCell ref="D65:E65"/>
    <mergeCell ref="P22:T22"/>
    <mergeCell ref="D6:M6"/>
    <mergeCell ref="G17:G18"/>
    <mergeCell ref="P184:V184"/>
    <mergeCell ref="P121:V121"/>
    <mergeCell ref="A182:Z182"/>
    <mergeCell ref="A169:Z169"/>
    <mergeCell ref="P130:T130"/>
    <mergeCell ref="D136:E136"/>
    <mergeCell ref="P111:T111"/>
    <mergeCell ref="P61:T61"/>
    <mergeCell ref="A108:Z108"/>
    <mergeCell ref="D166:E166"/>
    <mergeCell ref="A17:A18"/>
    <mergeCell ref="K17:K18"/>
    <mergeCell ref="C17:C18"/>
    <mergeCell ref="P66:T66"/>
    <mergeCell ref="A38:Z38"/>
    <mergeCell ref="A147:Z147"/>
    <mergeCell ref="P172:V172"/>
    <mergeCell ref="P221:V221"/>
    <mergeCell ref="D138:E138"/>
    <mergeCell ref="A40:Z40"/>
    <mergeCell ref="D203:E203"/>
    <mergeCell ref="A186:Z186"/>
    <mergeCell ref="P232:T232"/>
    <mergeCell ref="P152:V152"/>
    <mergeCell ref="A82:Z82"/>
    <mergeCell ref="P96:T96"/>
    <mergeCell ref="D204:E204"/>
    <mergeCell ref="P161:T161"/>
    <mergeCell ref="D198:E198"/>
    <mergeCell ref="A84:O85"/>
    <mergeCell ref="A221:O222"/>
    <mergeCell ref="P156:T156"/>
    <mergeCell ref="A160:Z160"/>
    <mergeCell ref="A141:Z141"/>
    <mergeCell ref="A135:Z135"/>
    <mergeCell ref="A225:Z225"/>
    <mergeCell ref="D202:E202"/>
    <mergeCell ref="P112:T112"/>
    <mergeCell ref="D61:E61"/>
    <mergeCell ref="P115:T115"/>
    <mergeCell ref="A256:Z256"/>
    <mergeCell ref="AF287:AF288"/>
    <mergeCell ref="D56:E56"/>
    <mergeCell ref="D114:E114"/>
    <mergeCell ref="P143:T143"/>
    <mergeCell ref="Q287:Q288"/>
    <mergeCell ref="P157:V157"/>
    <mergeCell ref="D267:E267"/>
    <mergeCell ref="P261:T261"/>
    <mergeCell ref="D269:E269"/>
    <mergeCell ref="P287:P288"/>
    <mergeCell ref="P247:V247"/>
    <mergeCell ref="D273:E273"/>
    <mergeCell ref="P234:V234"/>
    <mergeCell ref="P274:T274"/>
    <mergeCell ref="P257:T257"/>
    <mergeCell ref="Y286:AB286"/>
    <mergeCell ref="A243:O244"/>
    <mergeCell ref="C287:C288"/>
    <mergeCell ref="E287:E288"/>
    <mergeCell ref="P134:V134"/>
    <mergeCell ref="A93:Z93"/>
    <mergeCell ref="P30:V30"/>
    <mergeCell ref="H17:H18"/>
    <mergeCell ref="D190:E190"/>
    <mergeCell ref="W287:W288"/>
    <mergeCell ref="O287:O288"/>
    <mergeCell ref="P80:V80"/>
    <mergeCell ref="P151:V151"/>
    <mergeCell ref="D130:E130"/>
    <mergeCell ref="P126:V126"/>
    <mergeCell ref="P24:T24"/>
    <mergeCell ref="D132:E132"/>
    <mergeCell ref="P89:T89"/>
    <mergeCell ref="D178:E178"/>
    <mergeCell ref="P88:T88"/>
    <mergeCell ref="P26:T26"/>
    <mergeCell ref="A199:O200"/>
    <mergeCell ref="A92:Z92"/>
    <mergeCell ref="P227:V227"/>
    <mergeCell ref="P58:V58"/>
    <mergeCell ref="A119:Z119"/>
    <mergeCell ref="P79:V79"/>
    <mergeCell ref="P244:V244"/>
    <mergeCell ref="P73:V73"/>
    <mergeCell ref="A69:Z69"/>
    <mergeCell ref="A5:C5"/>
    <mergeCell ref="A187:Z187"/>
    <mergeCell ref="A174:Z174"/>
    <mergeCell ref="D275:E275"/>
    <mergeCell ref="D104:E104"/>
    <mergeCell ref="P254:V254"/>
    <mergeCell ref="T6:U9"/>
    <mergeCell ref="A279:O284"/>
    <mergeCell ref="A30:O31"/>
    <mergeCell ref="Q10:R10"/>
    <mergeCell ref="D41:E41"/>
    <mergeCell ref="P85:V85"/>
    <mergeCell ref="A208:Z208"/>
    <mergeCell ref="P84:V84"/>
    <mergeCell ref="D137:E137"/>
    <mergeCell ref="A13:M13"/>
    <mergeCell ref="A15:M15"/>
    <mergeCell ref="A196:Z196"/>
    <mergeCell ref="D48:E48"/>
    <mergeCell ref="P77:T77"/>
    <mergeCell ref="P204:T204"/>
    <mergeCell ref="J9:M9"/>
    <mergeCell ref="D112:E112"/>
    <mergeCell ref="A90:O91"/>
    <mergeCell ref="P200:V200"/>
    <mergeCell ref="P243:V243"/>
    <mergeCell ref="A19:Z19"/>
    <mergeCell ref="V5:W5"/>
    <mergeCell ref="D111:E111"/>
    <mergeCell ref="P212:V212"/>
    <mergeCell ref="A142:Z142"/>
    <mergeCell ref="Q8:R8"/>
    <mergeCell ref="D183:E183"/>
    <mergeCell ref="A157:O158"/>
    <mergeCell ref="P27:T27"/>
    <mergeCell ref="H5:M5"/>
    <mergeCell ref="P48:T48"/>
    <mergeCell ref="A9:C9"/>
    <mergeCell ref="Q13:R13"/>
    <mergeCell ref="P41:T41"/>
    <mergeCell ref="D155:E155"/>
    <mergeCell ref="D22:E22"/>
    <mergeCell ref="M17:M18"/>
    <mergeCell ref="O17:O18"/>
    <mergeCell ref="P183:T183"/>
    <mergeCell ref="A181:Z181"/>
    <mergeCell ref="D17:E18"/>
    <mergeCell ref="A151:O152"/>
    <mergeCell ref="T5:U5"/>
    <mergeCell ref="P71:T71"/>
    <mergeCell ref="D24:E24"/>
    <mergeCell ref="Q11:R11"/>
    <mergeCell ref="A6:C6"/>
    <mergeCell ref="D113:E113"/>
    <mergeCell ref="AA287:AA288"/>
    <mergeCell ref="D88:E88"/>
    <mergeCell ref="D7:M7"/>
    <mergeCell ref="P271:T271"/>
    <mergeCell ref="P94:T94"/>
    <mergeCell ref="D8:M8"/>
    <mergeCell ref="A211:O212"/>
    <mergeCell ref="P180:V180"/>
    <mergeCell ref="P118:V118"/>
    <mergeCell ref="A241:Z241"/>
    <mergeCell ref="P95:T95"/>
    <mergeCell ref="D210:E210"/>
    <mergeCell ref="A46:Z46"/>
    <mergeCell ref="D209:E209"/>
    <mergeCell ref="P166:T166"/>
    <mergeCell ref="P116:T116"/>
    <mergeCell ref="A162:O163"/>
    <mergeCell ref="I287:I288"/>
    <mergeCell ref="R287:R288"/>
    <mergeCell ref="A250:Z250"/>
    <mergeCell ref="A254:O255"/>
    <mergeCell ref="D232:E232"/>
    <mergeCell ref="P238:V238"/>
    <mergeCell ref="A247:O248"/>
    <mergeCell ref="G287:G288"/>
    <mergeCell ref="P91:V91"/>
    <mergeCell ref="P236:T236"/>
    <mergeCell ref="D144:E144"/>
    <mergeCell ref="A184:O185"/>
    <mergeCell ref="P138:T138"/>
    <mergeCell ref="D96:E96"/>
    <mergeCell ref="D116:E116"/>
    <mergeCell ref="A164:Z164"/>
    <mergeCell ref="P272:T272"/>
    <mergeCell ref="D156:E156"/>
    <mergeCell ref="P210:T210"/>
    <mergeCell ref="A277:O278"/>
    <mergeCell ref="A133:O134"/>
    <mergeCell ref="D220:E220"/>
    <mergeCell ref="P199:V199"/>
    <mergeCell ref="A195:Z195"/>
    <mergeCell ref="A251:Z251"/>
    <mergeCell ref="D1:F1"/>
    <mergeCell ref="P47:T47"/>
    <mergeCell ref="P282:V282"/>
    <mergeCell ref="J17:J18"/>
    <mergeCell ref="L17:L18"/>
    <mergeCell ref="A165:Z165"/>
    <mergeCell ref="P125:V125"/>
    <mergeCell ref="P192:T192"/>
    <mergeCell ref="P277:V277"/>
    <mergeCell ref="A102:Z102"/>
    <mergeCell ref="P113:T113"/>
    <mergeCell ref="A229:Z229"/>
    <mergeCell ref="P17:T18"/>
    <mergeCell ref="P129:T129"/>
    <mergeCell ref="A148:Z148"/>
    <mergeCell ref="A167:O168"/>
    <mergeCell ref="D77:E77"/>
    <mergeCell ref="P131:T131"/>
    <mergeCell ref="A117:O118"/>
    <mergeCell ref="P139:V139"/>
    <mergeCell ref="I17:I18"/>
    <mergeCell ref="P189:T189"/>
    <mergeCell ref="D72:E72"/>
    <mergeCell ref="A239:Z239"/>
    <mergeCell ref="H1:Q1"/>
    <mergeCell ref="P280:V280"/>
    <mergeCell ref="P222:V222"/>
    <mergeCell ref="P193:V193"/>
    <mergeCell ref="P120:T120"/>
    <mergeCell ref="A237:O238"/>
    <mergeCell ref="D28:E28"/>
    <mergeCell ref="A76:Z76"/>
    <mergeCell ref="D236:E236"/>
    <mergeCell ref="A179:O180"/>
    <mergeCell ref="P171:T171"/>
    <mergeCell ref="D55:E55"/>
    <mergeCell ref="P242:T242"/>
    <mergeCell ref="D5:E5"/>
    <mergeCell ref="P42:T42"/>
    <mergeCell ref="D94:E94"/>
    <mergeCell ref="P162:V162"/>
    <mergeCell ref="P106:V106"/>
    <mergeCell ref="P264:V264"/>
    <mergeCell ref="A45:Z45"/>
    <mergeCell ref="A87:Z87"/>
    <mergeCell ref="P273:T273"/>
    <mergeCell ref="A218:Z218"/>
    <mergeCell ref="D272:E272"/>
    <mergeCell ref="AB287:AB288"/>
    <mergeCell ref="A193:O194"/>
    <mergeCell ref="W17:W18"/>
    <mergeCell ref="A264:O265"/>
    <mergeCell ref="AD287:AD288"/>
    <mergeCell ref="T287:T288"/>
    <mergeCell ref="V287:V288"/>
    <mergeCell ref="P90:V90"/>
    <mergeCell ref="A86:Z86"/>
    <mergeCell ref="P217:V217"/>
    <mergeCell ref="A213:Z213"/>
    <mergeCell ref="D110:E110"/>
    <mergeCell ref="D129:E129"/>
    <mergeCell ref="P279:V279"/>
    <mergeCell ref="D274:E274"/>
    <mergeCell ref="P97:T97"/>
    <mergeCell ref="F287:F288"/>
    <mergeCell ref="H287:H288"/>
    <mergeCell ref="P49:V49"/>
    <mergeCell ref="P36:V36"/>
    <mergeCell ref="A32:Z32"/>
    <mergeCell ref="AC287:AC288"/>
    <mergeCell ref="D26:E26"/>
    <mergeCell ref="P55:T55"/>
    <mergeCell ref="K287:K288"/>
    <mergeCell ref="R1:T1"/>
    <mergeCell ref="D71:E71"/>
    <mergeCell ref="P28:T28"/>
    <mergeCell ref="P150:T150"/>
    <mergeCell ref="A145:O146"/>
    <mergeCell ref="P215:T215"/>
    <mergeCell ref="A139:O140"/>
    <mergeCell ref="D98:E98"/>
    <mergeCell ref="P179:V179"/>
    <mergeCell ref="P206:V206"/>
    <mergeCell ref="P233:V233"/>
    <mergeCell ref="P37:V37"/>
    <mergeCell ref="P275:T275"/>
    <mergeCell ref="P168:V168"/>
    <mergeCell ref="P104:T104"/>
    <mergeCell ref="B17:B18"/>
    <mergeCell ref="A287:A288"/>
    <mergeCell ref="P248:V248"/>
    <mergeCell ref="A266:Z266"/>
    <mergeCell ref="D131:E131"/>
    <mergeCell ref="A233:O234"/>
    <mergeCell ref="A227:O228"/>
    <mergeCell ref="P268:T268"/>
    <mergeCell ref="H9:I9"/>
    <mergeCell ref="P211:V211"/>
    <mergeCell ref="P259:V259"/>
    <mergeCell ref="P155:T155"/>
    <mergeCell ref="D70:E70"/>
    <mergeCell ref="A79:O80"/>
    <mergeCell ref="Q9:R9"/>
    <mergeCell ref="P278:V278"/>
    <mergeCell ref="A159:Z159"/>
    <mergeCell ref="P78:T78"/>
    <mergeCell ref="D115:E115"/>
    <mergeCell ref="Q12:R12"/>
    <mergeCell ref="D261:E261"/>
    <mergeCell ref="P246:T246"/>
    <mergeCell ref="A43:O44"/>
    <mergeCell ref="P62:V62"/>
    <mergeCell ref="P133:V133"/>
    <mergeCell ref="A123:Z123"/>
    <mergeCell ref="A81:Z81"/>
    <mergeCell ref="P29:T29"/>
    <mergeCell ref="D27:E27"/>
    <mergeCell ref="A67:O68"/>
    <mergeCell ref="P15:T16"/>
    <mergeCell ref="P23:T23"/>
    <mergeCell ref="D263:E263"/>
    <mergeCell ref="P220:T220"/>
    <mergeCell ref="A216:O217"/>
    <mergeCell ref="D78:E78"/>
    <mergeCell ref="D124:E124"/>
    <mergeCell ref="A197:Z197"/>
    <mergeCell ref="P56:T56"/>
    <mergeCell ref="V10:W10"/>
    <mergeCell ref="D189:E189"/>
    <mergeCell ref="P99:T99"/>
    <mergeCell ref="D66:E66"/>
    <mergeCell ref="D253:E253"/>
    <mergeCell ref="D53:E53"/>
    <mergeCell ref="D47:E47"/>
    <mergeCell ref="P209:T209"/>
    <mergeCell ref="A219:Z219"/>
    <mergeCell ref="A260:Z260"/>
    <mergeCell ref="A60:Z60"/>
    <mergeCell ref="P252:T252"/>
    <mergeCell ref="P144:T144"/>
    <mergeCell ref="A188:Z188"/>
    <mergeCell ref="P228:V228"/>
    <mergeCell ref="A109:Z109"/>
    <mergeCell ref="A240:Z240"/>
  </mergeCells>
  <conditionalFormatting sqref="A8:N10">
    <cfRule type="expression" dxfId="3" priority="3" stopIfTrue="1">
      <formula>IF($V$5="самовывоз",1,0)</formula>
    </cfRule>
  </conditionalFormatting>
  <conditionalFormatting sqref="P5:R6">
    <cfRule type="expression" dxfId="2" priority="2" stopIfTrue="1">
      <formula>IF($V$5="доставка",1,0)</formula>
    </cfRule>
  </conditionalFormatting>
  <conditionalFormatting sqref="P8:R8">
    <cfRule type="expression" dxfId="1" priority="1" stopIfTrue="1">
      <formula>IF($V$5="доставка",1,0)</formula>
    </cfRule>
  </conditionalFormatting>
  <conditionalFormatting sqref="P9:R13">
    <cfRule type="expression" dxfId="0" priority="14" stopIfTrue="1">
      <formula>IF($V$5="самовывоз",1,0)</formula>
    </cfRule>
  </conditionalFormatting>
  <dataValidations xWindow="697" yWindow="616" count="19">
    <dataValidation allowBlank="1" showInputMessage="1" showErrorMessage="1" prompt="День недели загрузки. Считается сам." sqref="Q6:Q7" xr:uid="{00000000-0002-0000-0000-000000000000}"/>
    <dataValidation type="list" allowBlank="1" showInputMessage="1" showErrorMessage="1" sqref="X16:AC16" xr:uid="{00000000-0002-0000-0000-000001000000}">
      <formula1>"80-60,60-40,40-10,70-10"</formula1>
    </dataValidation>
    <dataValidation type="date" allowBlank="1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allowBlank="1" showInputMessage="1" showErrorMessage="1" prompt="Введите название вашей фирмы." sqref="V6:V7" xr:uid="{00000000-0002-0000-0000-000003000000}"/>
    <dataValidation allowBlank="1" showInputMessage="1" showErrorMessage="1" prompt="Введите код клиента в системе Axapta" sqref="V10" xr:uid="{00000000-0002-0000-0000-000004000000}"/>
    <dataValidation type="list" allowBlank="1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allowBlank="1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allowBlank="1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allowBlank="1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allowBlank="1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allowBlank="1" showInputMessage="1" showErrorMessage="1" sqref="D10:E10" xr:uid="{00000000-0002-0000-0000-00000B000000}">
      <formula1>IF(TypeProxy="Уполномоченное лицо",NumProxySet,null)</formula1>
    </dataValidation>
    <dataValidation operator="equal" allowBlank="1" showInputMessage="1" showErrorMessage="1" error="укажите вес, кратный весу коробки" sqref="Z22:AC22" xr:uid="{00000000-0002-0000-0000-00000C000000}"/>
    <dataValidation type="list" allowBlank="1" showInputMessage="1" showErrorMessage="1" sqref="V12" xr:uid="{00000000-0002-0000-0000-00000D000000}">
      <formula1>DeliveryConditionsList</formula1>
    </dataValidation>
    <dataValidation type="list" allowBlank="1" showInputMessage="1" showErrorMessage="1" sqref="D6:N6" xr:uid="{00000000-0002-0000-0000-00000E000000}">
      <formula1>DeliveryAdressList</formula1>
    </dataValidation>
    <dataValidation type="list" allowBlank="1" showInputMessage="1" showErrorMessage="1" sqref="M8:N8" xr:uid="{00000000-0002-0000-0000-00000F000000}">
      <formula1>CHOOSE($D$7,UnloadAdressList)</formula1>
    </dataValidation>
    <dataValidation type="list" allowBlank="1" showInputMessage="1" showErrorMessage="1" sqref="D8:L8" xr:uid="{00000000-0002-0000-0000-000010000000}">
      <formula1>CHOOSE($D$7,UnloadAdressList0001,UnloadAdressList0002,UnloadAdressList0003,UnloadAdressList0004,UnloadAdressList0005)</formula1>
    </dataValidation>
    <dataValidation type="custom" allowBlank="1" showInputMessage="1" showErrorMessage="1" errorTitle="Нарушение кванта заказа!" error="Для этой позиции задан квант заказ равный Короб, введите значение не меньше минимального количества" sqref="X22:X29 X34:X35 X61 X65:X66 X70:X72 X77 X99 X111 X114 X120 X124 X129:X132 X136:X138 X149 X155 X171 X177 X183 X192 X202 X209:X210 X220 X226 X232 X236 X242 X246 X252 X263 X268 X273" xr:uid="{00000000-0002-0000-0000-000011000000}">
      <formula1>IF(AK22&gt;0,OR(X22=0,AND(IF(X22-AK22&gt;=0,TRUE,FALSE),X22&gt;0)),FALSE)</formula1>
    </dataValidation>
    <dataValidation type="custom" allowBlank="1" showInputMessage="1" showErrorMessage="1" errorTitle="Нарушение кванта заказа!" error="Для этой позиции задан квант заказа, отличный от Короба. Пожалуйста, введите значение, не меньше минимального количества и кратное количеству коробов в слое/паллете" sqref="X41:X42 X47:X48 X53:X56 X78 X83 X88:X89 X94:X98 X104:X105 X110 X112:X113 X115:X116 X143:X144 X150 X156 X161 X166 X178 X189:X191 X198 X203:X204 X215 X253 X257 X261:X262 X267 X269:X272 X274:X276" xr:uid="{00000000-0002-0000-0000-000012000000}">
      <formula1>IF(AK41&gt;0,OR(X41=0,AND(IF(X41-AK41&gt;=0,TRUE,FALSE),X41&gt;0,IF(X41/K41=ROUND(X41/K41,0),TRUE,FALSE))),FALSE)</formula1>
    </dataValidation>
  </dataValidations>
  <pageMargins left="0.23622047244094491" right="0.23622047244094491" top="0.74803149606299213" bottom="0.74803149606299213" header="0.31496062992125978" footer="0.31496062992125978"/>
  <pageSetup paperSize="9" scale="45" fitToHeight="3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32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381</v>
      </c>
      <c r="H1" s="52"/>
    </row>
    <row r="3" spans="2:8" x14ac:dyDescent="0.2">
      <c r="B3" s="47" t="s">
        <v>382</v>
      </c>
      <c r="C3" s="47"/>
      <c r="D3" s="47"/>
      <c r="E3" s="47"/>
    </row>
    <row r="4" spans="2:8" x14ac:dyDescent="0.2">
      <c r="B4" s="47" t="s">
        <v>12</v>
      </c>
      <c r="C4" s="47"/>
      <c r="D4" s="47"/>
      <c r="E4" s="47"/>
    </row>
    <row r="6" spans="2:8" x14ac:dyDescent="0.2">
      <c r="B6" s="47" t="s">
        <v>383</v>
      </c>
      <c r="C6" s="47" t="s">
        <v>384</v>
      </c>
      <c r="D6" s="47" t="s">
        <v>385</v>
      </c>
      <c r="E6" s="47"/>
    </row>
    <row r="7" spans="2:8" x14ac:dyDescent="0.2">
      <c r="B7" s="47" t="s">
        <v>386</v>
      </c>
      <c r="C7" s="47" t="s">
        <v>387</v>
      </c>
      <c r="D7" s="47" t="s">
        <v>388</v>
      </c>
      <c r="E7" s="47"/>
    </row>
    <row r="8" spans="2:8" x14ac:dyDescent="0.2">
      <c r="B8" s="47" t="s">
        <v>389</v>
      </c>
      <c r="C8" s="47" t="s">
        <v>390</v>
      </c>
      <c r="D8" s="47" t="s">
        <v>391</v>
      </c>
      <c r="E8" s="47"/>
    </row>
    <row r="9" spans="2:8" x14ac:dyDescent="0.2">
      <c r="B9" s="47" t="s">
        <v>392</v>
      </c>
      <c r="C9" s="47" t="s">
        <v>393</v>
      </c>
      <c r="D9" s="47" t="s">
        <v>394</v>
      </c>
      <c r="E9" s="47"/>
    </row>
    <row r="10" spans="2:8" x14ac:dyDescent="0.2">
      <c r="B10" s="47" t="s">
        <v>395</v>
      </c>
      <c r="C10" s="47" t="s">
        <v>396</v>
      </c>
      <c r="D10" s="47" t="s">
        <v>397</v>
      </c>
      <c r="E10" s="47"/>
    </row>
    <row r="12" spans="2:8" x14ac:dyDescent="0.2">
      <c r="B12" s="47" t="s">
        <v>398</v>
      </c>
      <c r="C12" s="47" t="s">
        <v>384</v>
      </c>
      <c r="D12" s="47"/>
      <c r="E12" s="47"/>
    </row>
    <row r="14" spans="2:8" x14ac:dyDescent="0.2">
      <c r="B14" s="47" t="s">
        <v>399</v>
      </c>
      <c r="C14" s="47" t="s">
        <v>387</v>
      </c>
      <c r="D14" s="47"/>
      <c r="E14" s="47"/>
    </row>
    <row r="16" spans="2:8" x14ac:dyDescent="0.2">
      <c r="B16" s="47" t="s">
        <v>400</v>
      </c>
      <c r="C16" s="47" t="s">
        <v>390</v>
      </c>
      <c r="D16" s="47"/>
      <c r="E16" s="47"/>
    </row>
    <row r="18" spans="2:5" x14ac:dyDescent="0.2">
      <c r="B18" s="47" t="s">
        <v>401</v>
      </c>
      <c r="C18" s="47" t="s">
        <v>393</v>
      </c>
      <c r="D18" s="47"/>
      <c r="E18" s="47"/>
    </row>
    <row r="20" spans="2:5" x14ac:dyDescent="0.2">
      <c r="B20" s="47" t="s">
        <v>402</v>
      </c>
      <c r="C20" s="47" t="s">
        <v>396</v>
      </c>
      <c r="D20" s="47"/>
      <c r="E20" s="47"/>
    </row>
    <row r="22" spans="2:5" x14ac:dyDescent="0.2">
      <c r="B22" s="47" t="s">
        <v>403</v>
      </c>
      <c r="C22" s="47"/>
      <c r="D22" s="47"/>
      <c r="E22" s="47"/>
    </row>
    <row r="23" spans="2:5" x14ac:dyDescent="0.2">
      <c r="B23" s="47" t="s">
        <v>404</v>
      </c>
      <c r="C23" s="47"/>
      <c r="D23" s="47"/>
      <c r="E23" s="47"/>
    </row>
    <row r="24" spans="2:5" x14ac:dyDescent="0.2">
      <c r="B24" s="47" t="s">
        <v>405</v>
      </c>
      <c r="C24" s="47"/>
      <c r="D24" s="47"/>
      <c r="E24" s="47"/>
    </row>
    <row r="25" spans="2:5" x14ac:dyDescent="0.2">
      <c r="B25" s="47" t="s">
        <v>406</v>
      </c>
      <c r="C25" s="47"/>
      <c r="D25" s="47"/>
      <c r="E25" s="47"/>
    </row>
    <row r="26" spans="2:5" x14ac:dyDescent="0.2">
      <c r="B26" s="47" t="s">
        <v>407</v>
      </c>
      <c r="C26" s="47"/>
      <c r="D26" s="47"/>
      <c r="E26" s="47"/>
    </row>
    <row r="27" spans="2:5" x14ac:dyDescent="0.2">
      <c r="B27" s="47" t="s">
        <v>408</v>
      </c>
      <c r="C27" s="47"/>
      <c r="D27" s="47"/>
      <c r="E27" s="47"/>
    </row>
    <row r="28" spans="2:5" x14ac:dyDescent="0.2">
      <c r="B28" s="47" t="s">
        <v>409</v>
      </c>
      <c r="C28" s="47"/>
      <c r="D28" s="47"/>
      <c r="E28" s="47"/>
    </row>
    <row r="29" spans="2:5" x14ac:dyDescent="0.2">
      <c r="B29" s="47" t="s">
        <v>410</v>
      </c>
      <c r="C29" s="47"/>
      <c r="D29" s="47"/>
      <c r="E29" s="47"/>
    </row>
    <row r="30" spans="2:5" x14ac:dyDescent="0.2">
      <c r="B30" s="47" t="s">
        <v>411</v>
      </c>
      <c r="C30" s="47"/>
      <c r="D30" s="47"/>
      <c r="E30" s="47"/>
    </row>
    <row r="31" spans="2:5" x14ac:dyDescent="0.2">
      <c r="B31" s="47" t="s">
        <v>412</v>
      </c>
      <c r="C31" s="47"/>
      <c r="D31" s="47"/>
      <c r="E31" s="47"/>
    </row>
    <row r="32" spans="2:5" x14ac:dyDescent="0.2">
      <c r="B32" s="47" t="s">
        <v>413</v>
      </c>
      <c r="C32" s="47"/>
      <c r="D32" s="47"/>
      <c r="E32" s="47"/>
    </row>
  </sheetData>
  <sheetProtection algorithmName="SHA-512" hashValue="DdP5cPcNzRpS8imMKAcoyj2z6tUpsZH16U/ezoAtoaHMF1Mo4zxdBW2QVlCAOmNeYb8JYoMylQvsUL0ridHzfQ==" saltValue="RVovyb7Ar2AsBx+7Ae0ggQ==" spinCount="100000" sheet="1" objects="1" scenarios="1" sort="0" autoFilter="0" pivotTables="0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441</vt:i4>
      </vt:variant>
    </vt:vector>
  </HeadingPairs>
  <TitlesOfParts>
    <vt:vector size="443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ProductId11</vt:lpstr>
      <vt:lpstr>ProductId12</vt:lpstr>
      <vt:lpstr>ProductId13</vt:lpstr>
      <vt:lpstr>ProductId14</vt:lpstr>
      <vt:lpstr>ProductId15</vt:lpstr>
      <vt:lpstr>ProductId16</vt:lpstr>
      <vt:lpstr>ProductId17</vt:lpstr>
      <vt:lpstr>ProductId18</vt:lpstr>
      <vt:lpstr>ProductId19</vt:lpstr>
      <vt:lpstr>ProductId2</vt:lpstr>
      <vt:lpstr>ProductId20</vt:lpstr>
      <vt:lpstr>ProductId21</vt:lpstr>
      <vt:lpstr>ProductId22</vt:lpstr>
      <vt:lpstr>ProductId23</vt:lpstr>
      <vt:lpstr>ProductId24</vt:lpstr>
      <vt:lpstr>ProductId25</vt:lpstr>
      <vt:lpstr>ProductId26</vt:lpstr>
      <vt:lpstr>ProductId27</vt:lpstr>
      <vt:lpstr>ProductId28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Proxy</vt:lpstr>
      <vt:lpstr>Ref_UnloadCodeAdressList0001</vt:lpstr>
      <vt:lpstr>Ref_UnloadCodeAdressList0002</vt:lpstr>
      <vt:lpstr>Ref_UnloadCodeAdressList0003</vt:lpstr>
      <vt:lpstr>Ref_UnloadCodeAdressList0004</vt:lpstr>
      <vt:lpstr>Ref_UnloadCodeAdressList0005</vt:lpstr>
      <vt:lpstr>RequestReceiptTime</vt:lpstr>
      <vt:lpstr>SalesQty1</vt:lpstr>
      <vt:lpstr>SalesQty10</vt:lpstr>
      <vt:lpstr>SalesQty11</vt:lpstr>
      <vt:lpstr>SalesQty12</vt:lpstr>
      <vt:lpstr>SalesQty13</vt:lpstr>
      <vt:lpstr>SalesQty14</vt:lpstr>
      <vt:lpstr>SalesQty15</vt:lpstr>
      <vt:lpstr>SalesQty16</vt:lpstr>
      <vt:lpstr>SalesQty17</vt:lpstr>
      <vt:lpstr>SalesQty18</vt:lpstr>
      <vt:lpstr>SalesQty19</vt:lpstr>
      <vt:lpstr>SalesQty2</vt:lpstr>
      <vt:lpstr>SalesQty20</vt:lpstr>
      <vt:lpstr>SalesQty21</vt:lpstr>
      <vt:lpstr>SalesQty22</vt:lpstr>
      <vt:lpstr>SalesQty23</vt:lpstr>
      <vt:lpstr>SalesQty24</vt:lpstr>
      <vt:lpstr>SalesQty25</vt:lpstr>
      <vt:lpstr>SalesQty26</vt:lpstr>
      <vt:lpstr>SalesQty27</vt:lpstr>
      <vt:lpstr>SalesQty28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SalesRequestType</vt:lpstr>
      <vt:lpstr>SalesRoundBox1</vt:lpstr>
      <vt:lpstr>SalesRoundBox10</vt:lpstr>
      <vt:lpstr>SalesRoundBox11</vt:lpstr>
      <vt:lpstr>SalesRoundBox12</vt:lpstr>
      <vt:lpstr>SalesRoundBox13</vt:lpstr>
      <vt:lpstr>SalesRoundBox14</vt:lpstr>
      <vt:lpstr>SalesRoundBox15</vt:lpstr>
      <vt:lpstr>SalesRoundBox16</vt:lpstr>
      <vt:lpstr>SalesRoundBox17</vt:lpstr>
      <vt:lpstr>SalesRoundBox18</vt:lpstr>
      <vt:lpstr>SalesRoundBox19</vt:lpstr>
      <vt:lpstr>SalesRoundBox2</vt:lpstr>
      <vt:lpstr>SalesRoundBox20</vt:lpstr>
      <vt:lpstr>SalesRoundBox21</vt:lpstr>
      <vt:lpstr>SalesRoundBox22</vt:lpstr>
      <vt:lpstr>SalesRoundBox23</vt:lpstr>
      <vt:lpstr>SalesRoundBox24</vt:lpstr>
      <vt:lpstr>SalesRoundBox25</vt:lpstr>
      <vt:lpstr>SalesRoundBox26</vt:lpstr>
      <vt:lpstr>SalesRoundBox27</vt:lpstr>
      <vt:lpstr>SalesRoundBox28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Table</vt:lpstr>
      <vt:lpstr>TemplateProductType</vt:lpstr>
      <vt:lpstr>TypeProxy</vt:lpstr>
      <vt:lpstr>UnitOfMeasure1</vt:lpstr>
      <vt:lpstr>UnitOfMeasure10</vt:lpstr>
      <vt:lpstr>UnitOfMeasure11</vt:lpstr>
      <vt:lpstr>UnitOfMeasure12</vt:lpstr>
      <vt:lpstr>UnitOfMeasure13</vt:lpstr>
      <vt:lpstr>UnitOfMeasure14</vt:lpstr>
      <vt:lpstr>UnitOfMeasure15</vt:lpstr>
      <vt:lpstr>UnitOfMeasure16</vt:lpstr>
      <vt:lpstr>UnitOfMeasure17</vt:lpstr>
      <vt:lpstr>UnitOfMeasure18</vt:lpstr>
      <vt:lpstr>UnitOfMeasure19</vt:lpstr>
      <vt:lpstr>UnitOfMeasure2</vt:lpstr>
      <vt:lpstr>UnitOfMeasure20</vt:lpstr>
      <vt:lpstr>UnitOfMeasure21</vt:lpstr>
      <vt:lpstr>UnitOfMeasure22</vt:lpstr>
      <vt:lpstr>UnitOfMeasure23</vt:lpstr>
      <vt:lpstr>UnitOfMeasure24</vt:lpstr>
      <vt:lpstr>UnitOfMeasure25</vt:lpstr>
      <vt:lpstr>UnitOfMeasure26</vt:lpstr>
      <vt:lpstr>UnitOfMeasure27</vt:lpstr>
      <vt:lpstr>UnitOfMeasure28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UnloadAddress</vt:lpstr>
      <vt:lpstr>UnloadAdressList0001</vt:lpstr>
      <vt:lpstr>UnloadAdressList0002</vt:lpstr>
      <vt:lpstr>UnloadAdressList0003</vt:lpstr>
      <vt:lpstr>UnloadAdressList0004</vt:lpstr>
      <vt:lpstr>UnloadAdressList0005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User</cp:lastModifiedBy>
  <dcterms:created xsi:type="dcterms:W3CDTF">2021-11-12T12:13:19Z</dcterms:created>
  <dcterms:modified xsi:type="dcterms:W3CDTF">2026-08-19T15:05:01Z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