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7BBB110-83D1-4FFF-8197-D3DF159D3CE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заказа'!$X$278:$X$278</definedName>
    <definedName name="GrossWeightTotalR">'Бланк заказа'!$Y$278:$Y$278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заказа'!$X$279:$X$279</definedName>
    <definedName name="PalletQtyTotalR">'Бланк заказа'!$Y$279:$Y$279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заказа'!$B$250:$B$250</definedName>
    <definedName name="ProductId85">'Бланк заказа'!$B$251:$B$251</definedName>
    <definedName name="ProductId86">'Бланк заказа'!$B$255:$B$255</definedName>
    <definedName name="ProductId87">'Бланк заказа'!$B$259:$B$259</definedName>
    <definedName name="ProductId88">'Бланк заказа'!$B$260:$B$260</definedName>
    <definedName name="ProductId89">'Бланк заказа'!$B$261:$B$261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ductId99">'Бланк заказа'!$B$274:$B$274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заказа'!$X$250:$X$250</definedName>
    <definedName name="SalesQty85">'Бланк заказа'!$X$251:$X$251</definedName>
    <definedName name="SalesQty86">'Бланк заказа'!$X$255:$X$255</definedName>
    <definedName name="SalesQty87">'Бланк заказа'!$X$259:$X$259</definedName>
    <definedName name="SalesQty88">'Бланк заказа'!$X$260:$X$260</definedName>
    <definedName name="SalesQty89">'Бланк заказа'!$X$261:$X$261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Qty99">'Бланк заказа'!$X$274:$X$274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заказа'!$Y$250:$Y$250</definedName>
    <definedName name="SalesRoundBox85">'Бланк заказа'!$Y$251:$Y$251</definedName>
    <definedName name="SalesRoundBox86">'Бланк заказа'!$Y$255:$Y$255</definedName>
    <definedName name="SalesRoundBox87">'Бланк заказа'!$Y$259:$Y$259</definedName>
    <definedName name="SalesRoundBox88">'Бланк заказа'!$Y$260:$Y$260</definedName>
    <definedName name="SalesRoundBox89">'Бланк заказа'!$Y$261:$Y$261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SalesRoundBox99">'Бланк заказа'!$Y$274:$Y$274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заказа'!$W$250:$W$250</definedName>
    <definedName name="UnitOfMeasure85">'Бланк заказа'!$W$251:$W$251</definedName>
    <definedName name="UnitOfMeasure86">'Бланк заказа'!$W$255:$W$255</definedName>
    <definedName name="UnitOfMeasure87">'Бланк заказа'!$W$259:$W$259</definedName>
    <definedName name="UnitOfMeasure88">'Бланк заказа'!$W$260:$W$260</definedName>
    <definedName name="UnitOfMeasure89">'Бланк заказа'!$W$261:$W$261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itOfMeasure99">'Бланк заказа'!$W$274:$W$274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7" i="2" l="1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X276" i="2"/>
  <c r="X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P266" i="2"/>
  <c r="BO265" i="2"/>
  <c r="BM265" i="2"/>
  <c r="Z265" i="2"/>
  <c r="Y265" i="2"/>
  <c r="BP265" i="2" s="1"/>
  <c r="P265" i="2"/>
  <c r="X263" i="2"/>
  <c r="X262" i="2"/>
  <c r="BO261" i="2"/>
  <c r="BM261" i="2"/>
  <c r="Z261" i="2"/>
  <c r="Y261" i="2"/>
  <c r="BP261" i="2" s="1"/>
  <c r="P261" i="2"/>
  <c r="BO260" i="2"/>
  <c r="BM260" i="2"/>
  <c r="Z260" i="2"/>
  <c r="Y260" i="2"/>
  <c r="BN260" i="2" s="1"/>
  <c r="P260" i="2"/>
  <c r="BO259" i="2"/>
  <c r="BM259" i="2"/>
  <c r="Z259" i="2"/>
  <c r="Y259" i="2"/>
  <c r="P259" i="2"/>
  <c r="X257" i="2"/>
  <c r="X256" i="2"/>
  <c r="BO255" i="2"/>
  <c r="BM255" i="2"/>
  <c r="Z255" i="2"/>
  <c r="Z256" i="2" s="1"/>
  <c r="Y255" i="2"/>
  <c r="Y256" i="2" s="1"/>
  <c r="P255" i="2"/>
  <c r="X253" i="2"/>
  <c r="X252" i="2"/>
  <c r="BO251" i="2"/>
  <c r="BM251" i="2"/>
  <c r="Z251" i="2"/>
  <c r="Y251" i="2"/>
  <c r="BP251" i="2" s="1"/>
  <c r="P251" i="2"/>
  <c r="BO250" i="2"/>
  <c r="BM250" i="2"/>
  <c r="Z250" i="2"/>
  <c r="Y250" i="2"/>
  <c r="BP250" i="2" s="1"/>
  <c r="P250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5" i="2" s="1"/>
  <c r="P234" i="2"/>
  <c r="X230" i="2"/>
  <c r="X229" i="2"/>
  <c r="BO228" i="2"/>
  <c r="BM228" i="2"/>
  <c r="Z228" i="2"/>
  <c r="Z229" i="2" s="1"/>
  <c r="Y228" i="2"/>
  <c r="Y229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8" i="2" s="1"/>
  <c r="P217" i="2"/>
  <c r="X214" i="2"/>
  <c r="X213" i="2"/>
  <c r="BO212" i="2"/>
  <c r="BM212" i="2"/>
  <c r="Z212" i="2"/>
  <c r="Y212" i="2"/>
  <c r="BP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N206" i="2" s="1"/>
  <c r="P206" i="2"/>
  <c r="BO205" i="2"/>
  <c r="BM205" i="2"/>
  <c r="Z205" i="2"/>
  <c r="Y205" i="2"/>
  <c r="BN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BP200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P192" i="2"/>
  <c r="BO191" i="2"/>
  <c r="BM191" i="2"/>
  <c r="Z191" i="2"/>
  <c r="Y191" i="2"/>
  <c r="BP191" i="2" s="1"/>
  <c r="P191" i="2"/>
  <c r="X187" i="2"/>
  <c r="X186" i="2"/>
  <c r="BO185" i="2"/>
  <c r="BN185" i="2"/>
  <c r="BM185" i="2"/>
  <c r="Z185" i="2"/>
  <c r="Z186" i="2" s="1"/>
  <c r="Y185" i="2"/>
  <c r="Y187" i="2" s="1"/>
  <c r="P185" i="2"/>
  <c r="X182" i="2"/>
  <c r="X181" i="2"/>
  <c r="BO180" i="2"/>
  <c r="BM180" i="2"/>
  <c r="Z180" i="2"/>
  <c r="Y180" i="2"/>
  <c r="P180" i="2"/>
  <c r="BO179" i="2"/>
  <c r="BM179" i="2"/>
  <c r="Z179" i="2"/>
  <c r="Y179" i="2"/>
  <c r="BN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4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X128" i="2"/>
  <c r="X127" i="2"/>
  <c r="BO126" i="2"/>
  <c r="BM126" i="2"/>
  <c r="Z126" i="2"/>
  <c r="Z127" i="2" s="1"/>
  <c r="Y126" i="2"/>
  <c r="BP126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N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Y80" i="2" s="1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Y123" i="2" l="1"/>
  <c r="BP271" i="2"/>
  <c r="BN122" i="2"/>
  <c r="BN146" i="2"/>
  <c r="Y186" i="2"/>
  <c r="Y236" i="2"/>
  <c r="BN261" i="2"/>
  <c r="BN118" i="2"/>
  <c r="BN56" i="2"/>
  <c r="Y257" i="2"/>
  <c r="Y84" i="2"/>
  <c r="Z252" i="2"/>
  <c r="BP228" i="2"/>
  <c r="Y230" i="2"/>
  <c r="BN228" i="2"/>
  <c r="Y219" i="2"/>
  <c r="Z213" i="2"/>
  <c r="Y207" i="2"/>
  <c r="Z195" i="2"/>
  <c r="Y196" i="2"/>
  <c r="BP185" i="2"/>
  <c r="Y165" i="2"/>
  <c r="Z159" i="2"/>
  <c r="Z153" i="2"/>
  <c r="Z147" i="2"/>
  <c r="Y148" i="2"/>
  <c r="Y147" i="2"/>
  <c r="BP122" i="2"/>
  <c r="Z119" i="2"/>
  <c r="BP95" i="2"/>
  <c r="Y91" i="2"/>
  <c r="Y85" i="2"/>
  <c r="X281" i="2"/>
  <c r="Z67" i="2"/>
  <c r="Y49" i="2"/>
  <c r="Y44" i="2"/>
  <c r="Y37" i="2"/>
  <c r="Y101" i="2"/>
  <c r="Y128" i="2"/>
  <c r="BP179" i="2"/>
  <c r="Y202" i="2"/>
  <c r="BP244" i="2"/>
  <c r="Y253" i="2"/>
  <c r="X279" i="2"/>
  <c r="BP24" i="2"/>
  <c r="BP29" i="2"/>
  <c r="BN35" i="2"/>
  <c r="Y36" i="2"/>
  <c r="BP53" i="2"/>
  <c r="Y63" i="2"/>
  <c r="Y67" i="2"/>
  <c r="BN70" i="2"/>
  <c r="Z79" i="2"/>
  <c r="BP83" i="2"/>
  <c r="Z90" i="2"/>
  <c r="Z100" i="2"/>
  <c r="Z106" i="2"/>
  <c r="Y119" i="2"/>
  <c r="BP112" i="2"/>
  <c r="BP117" i="2"/>
  <c r="Z135" i="2"/>
  <c r="Z141" i="2"/>
  <c r="BN140" i="2"/>
  <c r="Y153" i="2"/>
  <c r="Y159" i="2"/>
  <c r="BP163" i="2"/>
  <c r="Z181" i="2"/>
  <c r="BP192" i="2"/>
  <c r="Y195" i="2"/>
  <c r="BN200" i="2"/>
  <c r="Z207" i="2"/>
  <c r="BP204" i="2"/>
  <c r="BN212" i="2"/>
  <c r="Y213" i="2"/>
  <c r="BN251" i="2"/>
  <c r="BP260" i="2"/>
  <c r="Z275" i="2"/>
  <c r="Y276" i="2"/>
  <c r="BP111" i="2"/>
  <c r="F10" i="2"/>
  <c r="Z30" i="2"/>
  <c r="X277" i="2"/>
  <c r="Z36" i="2"/>
  <c r="BP35" i="2"/>
  <c r="Z43" i="2"/>
  <c r="Z49" i="2"/>
  <c r="Z73" i="2"/>
  <c r="BN96" i="2"/>
  <c r="Y107" i="2"/>
  <c r="Y127" i="2"/>
  <c r="BN131" i="2"/>
  <c r="BP145" i="2"/>
  <c r="BN163" i="2"/>
  <c r="BN192" i="2"/>
  <c r="Y246" i="2"/>
  <c r="BP268" i="2"/>
  <c r="BP273" i="2"/>
  <c r="Y136" i="2"/>
  <c r="X278" i="2"/>
  <c r="BP26" i="2"/>
  <c r="Z57" i="2"/>
  <c r="Y68" i="2"/>
  <c r="BP77" i="2"/>
  <c r="Y90" i="2"/>
  <c r="Y100" i="2"/>
  <c r="BP114" i="2"/>
  <c r="Y142" i="2"/>
  <c r="Y182" i="2"/>
  <c r="Y201" i="2"/>
  <c r="BP206" i="2"/>
  <c r="Y245" i="2"/>
  <c r="Y263" i="2"/>
  <c r="Z262" i="2"/>
  <c r="BN152" i="2"/>
  <c r="BN266" i="2"/>
  <c r="BN133" i="2"/>
  <c r="BN158" i="2"/>
  <c r="BN173" i="2"/>
  <c r="Y252" i="2"/>
  <c r="BN27" i="2"/>
  <c r="Y30" i="2"/>
  <c r="BP42" i="2"/>
  <c r="BN54" i="2"/>
  <c r="Y57" i="2"/>
  <c r="BN78" i="2"/>
  <c r="BN104" i="2"/>
  <c r="BN115" i="2"/>
  <c r="BN138" i="2"/>
  <c r="Y141" i="2"/>
  <c r="BP152" i="2"/>
  <c r="BN180" i="2"/>
  <c r="Y208" i="2"/>
  <c r="BN222" i="2"/>
  <c r="BN238" i="2"/>
  <c r="BP266" i="2"/>
  <c r="BN274" i="2"/>
  <c r="BP48" i="2"/>
  <c r="BP98" i="2"/>
  <c r="BP158" i="2"/>
  <c r="BP173" i="2"/>
  <c r="Y214" i="2"/>
  <c r="BN259" i="2"/>
  <c r="Y262" i="2"/>
  <c r="BN269" i="2"/>
  <c r="BN42" i="2"/>
  <c r="BN48" i="2"/>
  <c r="BN110" i="2"/>
  <c r="Y43" i="2"/>
  <c r="BP138" i="2"/>
  <c r="BP22" i="2"/>
  <c r="Y154" i="2"/>
  <c r="BN168" i="2"/>
  <c r="BN211" i="2"/>
  <c r="BN267" i="2"/>
  <c r="BP78" i="2"/>
  <c r="Y58" i="2"/>
  <c r="Y174" i="2"/>
  <c r="BP25" i="2"/>
  <c r="Y50" i="2"/>
  <c r="Y74" i="2"/>
  <c r="BN88" i="2"/>
  <c r="BN99" i="2"/>
  <c r="BP113" i="2"/>
  <c r="BN134" i="2"/>
  <c r="Y160" i="2"/>
  <c r="BN191" i="2"/>
  <c r="BP205" i="2"/>
  <c r="BN217" i="2"/>
  <c r="BN234" i="2"/>
  <c r="BN250" i="2"/>
  <c r="BP272" i="2"/>
  <c r="BP217" i="2"/>
  <c r="BP234" i="2"/>
  <c r="BN270" i="2"/>
  <c r="BP94" i="2"/>
  <c r="BP105" i="2"/>
  <c r="BP116" i="2"/>
  <c r="BN126" i="2"/>
  <c r="BP139" i="2"/>
  <c r="BN151" i="2"/>
  <c r="Y169" i="2"/>
  <c r="BN194" i="2"/>
  <c r="BP255" i="2"/>
  <c r="BN265" i="2"/>
  <c r="BP72" i="2"/>
  <c r="BN65" i="2"/>
  <c r="BN193" i="2"/>
  <c r="BP222" i="2"/>
  <c r="Y31" i="2"/>
  <c r="BP238" i="2"/>
  <c r="Y73" i="2"/>
  <c r="BP259" i="2"/>
  <c r="Y181" i="2"/>
  <c r="Y223" i="2"/>
  <c r="Y239" i="2"/>
  <c r="Y275" i="2"/>
  <c r="BN28" i="2"/>
  <c r="BN255" i="2"/>
  <c r="BN34" i="2"/>
  <c r="H9" i="2"/>
  <c r="BP61" i="2"/>
  <c r="BN71" i="2"/>
  <c r="Y120" i="2"/>
  <c r="J9" i="2"/>
  <c r="BP41" i="2"/>
  <c r="BP66" i="2"/>
  <c r="Y106" i="2"/>
  <c r="BP180" i="2"/>
  <c r="BP110" i="2"/>
  <c r="Y79" i="2"/>
  <c r="BN55" i="2"/>
  <c r="BN94" i="2"/>
  <c r="BP168" i="2"/>
  <c r="BN23" i="2"/>
  <c r="BN61" i="2"/>
  <c r="F9" i="2"/>
  <c r="BN47" i="2"/>
  <c r="BN97" i="2"/>
  <c r="BN132" i="2"/>
  <c r="Y135" i="2"/>
  <c r="BN157" i="2"/>
  <c r="Z282" i="2" l="1"/>
  <c r="X280" i="2"/>
  <c r="Y278" i="2"/>
  <c r="Y281" i="2"/>
  <c r="Y277" i="2"/>
  <c r="Y279" i="2"/>
  <c r="Y280" i="2" l="1"/>
  <c r="C290" i="2"/>
  <c r="B290" i="2"/>
  <c r="A290" i="2"/>
</calcChain>
</file>

<file path=xl/sharedStrings.xml><?xml version="1.0" encoding="utf-8"?>
<sst xmlns="http://schemas.openxmlformats.org/spreadsheetml/2006/main" count="1730" uniqueCount="401">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</sst>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0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46262</v>
      </c>
      <c r="R5" s="468"/>
      <c r="T5" s="469" t="s">
        <v>3</v>
      </c>
      <c r="U5" s="470"/>
      <c r="V5" s="471" t="s">
        <v>387</v>
      </c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79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 t="s">
        <v>80</v>
      </c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0.375</v>
      </c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09" t="s">
        <v>82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48</v>
      </c>
      <c r="Y27" s="55">
        <f t="shared" si="0"/>
        <v>48</v>
      </c>
      <c r="Z27" s="41">
        <f t="shared" si="1"/>
        <v>0.74399999999999999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358.56</v>
      </c>
      <c r="BN27" s="81">
        <f t="shared" si="3"/>
        <v>358.56</v>
      </c>
      <c r="BO27" s="81">
        <f t="shared" si="4"/>
        <v>0.5714285714285714</v>
      </c>
      <c r="BP27" s="81">
        <f t="shared" si="5"/>
        <v>0.5714285714285714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67"/>
      <c r="AB30" s="67"/>
      <c r="AC30" s="67"/>
    </row>
    <row r="31" spans="1:68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422.40000000000003</v>
      </c>
      <c r="Y31" s="43">
        <f>IFERROR(SUMPRODUCT(Y22:Y29*H22:H29),"0")</f>
        <v>422.40000000000003</v>
      </c>
      <c r="Z31" s="42"/>
      <c r="AA31" s="67"/>
      <c r="AB31" s="67"/>
      <c r="AC31" s="67"/>
    </row>
    <row r="32" spans="1:68" ht="16.5" hidden="1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09" t="s">
        <v>82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09" t="s">
        <v>113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1.3173999999999999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09" t="s">
        <v>82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36</v>
      </c>
      <c r="Y48" s="55">
        <f>IFERROR(IF(X48="","",X48),"")</f>
        <v>36</v>
      </c>
      <c r="Z48" s="41">
        <f>IFERROR(IF(X48="","",X48*0.0155),"")</f>
        <v>0.55800000000000005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211.32</v>
      </c>
      <c r="BN48" s="81">
        <f>IFERROR(Y48*I48,"0")</f>
        <v>211.32</v>
      </c>
      <c r="BO48" s="81">
        <f>IFERROR(X48/J48,"0")</f>
        <v>0.42857142857142855</v>
      </c>
      <c r="BP48" s="81">
        <f>IFERROR(Y48/J48,"0")</f>
        <v>0.42857142857142855</v>
      </c>
    </row>
    <row r="49" spans="1:68" x14ac:dyDescent="0.2">
      <c r="A49" s="298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9"/>
      <c r="P49" s="295" t="s">
        <v>40</v>
      </c>
      <c r="Q49" s="296"/>
      <c r="R49" s="296"/>
      <c r="S49" s="296"/>
      <c r="T49" s="296"/>
      <c r="U49" s="296"/>
      <c r="V49" s="297"/>
      <c r="W49" s="42" t="s">
        <v>39</v>
      </c>
      <c r="X49" s="43">
        <f>IFERROR(SUM(X47:X48),"0")</f>
        <v>36</v>
      </c>
      <c r="Y49" s="43">
        <f>IFERROR(SUM(Y47:Y48),"0")</f>
        <v>36</v>
      </c>
      <c r="Z49" s="43">
        <f>IFERROR(IF(Z47="",0,Z47),"0")+IFERROR(IF(Z48="",0,Z48),"0")</f>
        <v>0.55800000000000005</v>
      </c>
      <c r="AA49" s="67"/>
      <c r="AB49" s="67"/>
      <c r="AC49" s="67"/>
    </row>
    <row r="50" spans="1:68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0</v>
      </c>
      <c r="X50" s="43">
        <f>IFERROR(SUMPRODUCT(X47:X48*H47:H48),"0")</f>
        <v>201.6</v>
      </c>
      <c r="Y50" s="43">
        <f>IFERROR(SUMPRODUCT(Y47:Y48*H47:H48),"0")</f>
        <v>201.6</v>
      </c>
      <c r="Z50" s="42"/>
      <c r="AA50" s="67"/>
      <c r="AB50" s="67"/>
      <c r="AC50" s="67"/>
    </row>
    <row r="51" spans="1:68" ht="16.5" hidden="1" customHeight="1" x14ac:dyDescent="0.25">
      <c r="A51" s="321" t="s">
        <v>130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65"/>
      <c r="AB51" s="65"/>
      <c r="AC51" s="82"/>
    </row>
    <row r="52" spans="1:68" ht="14.25" hidden="1" customHeight="1" x14ac:dyDescent="0.25">
      <c r="A52" s="309" t="s">
        <v>82</v>
      </c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1">
        <v>4607111039385</v>
      </c>
      <c r="E53" s="291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3"/>
      <c r="R53" s="293"/>
      <c r="S53" s="293"/>
      <c r="T53" s="294"/>
      <c r="U53" s="39" t="s">
        <v>46</v>
      </c>
      <c r="V53" s="39" t="s">
        <v>46</v>
      </c>
      <c r="W53" s="40" t="s">
        <v>39</v>
      </c>
      <c r="X53" s="58">
        <v>24</v>
      </c>
      <c r="Y53" s="55">
        <f>IFERROR(IF(X53="","",X53),"")</f>
        <v>24</v>
      </c>
      <c r="Z53" s="41">
        <f>IFERROR(IF(X53="","",X53*0.0155),"")</f>
        <v>0.372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175.2</v>
      </c>
      <c r="BN53" s="81">
        <f>IFERROR(Y53*I53,"0")</f>
        <v>175.2</v>
      </c>
      <c r="BO53" s="81">
        <f>IFERROR(X53/J53,"0")</f>
        <v>0.2857142857142857</v>
      </c>
      <c r="BP53" s="81">
        <f>IFERROR(Y53/J53,"0")</f>
        <v>0.2857142857142857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1">
        <v>4607111038982</v>
      </c>
      <c r="E54" s="291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349.72799999999995</v>
      </c>
      <c r="BN54" s="81">
        <f>IFERROR(Y54*I54,"0")</f>
        <v>349.72799999999995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1">
        <v>4607111039354</v>
      </c>
      <c r="E55" s="291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1">
        <v>4607111039330</v>
      </c>
      <c r="E56" s="291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144</v>
      </c>
      <c r="Y56" s="55">
        <f>IFERROR(IF(X56="","",X56),"")</f>
        <v>144</v>
      </c>
      <c r="Z56" s="41">
        <f>IFERROR(IF(X56="","",X56*0.0155),"")</f>
        <v>2.2320000000000002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1051.2</v>
      </c>
      <c r="BN56" s="81">
        <f>IFERROR(Y56*I56,"0")</f>
        <v>1051.2</v>
      </c>
      <c r="BO56" s="81">
        <f>IFERROR(X56/J56,"0")</f>
        <v>1.7142857142857142</v>
      </c>
      <c r="BP56" s="81">
        <f>IFERROR(Y56/J56,"0")</f>
        <v>1.7142857142857142</v>
      </c>
    </row>
    <row r="57" spans="1:68" x14ac:dyDescent="0.2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9"/>
      <c r="P57" s="295" t="s">
        <v>40</v>
      </c>
      <c r="Q57" s="296"/>
      <c r="R57" s="296"/>
      <c r="S57" s="296"/>
      <c r="T57" s="296"/>
      <c r="U57" s="296"/>
      <c r="V57" s="297"/>
      <c r="W57" s="42" t="s">
        <v>39</v>
      </c>
      <c r="X57" s="43">
        <f>IFERROR(SUM(X53:X56),"0")</f>
        <v>228</v>
      </c>
      <c r="Y57" s="43">
        <f>IFERROR(SUM(Y53:Y56),"0")</f>
        <v>228</v>
      </c>
      <c r="Z57" s="43">
        <f>IFERROR(IF(Z53="",0,Z53),"0")+IFERROR(IF(Z54="",0,Z54),"0")+IFERROR(IF(Z55="",0,Z55),"0")+IFERROR(IF(Z56="",0,Z56),"0")</f>
        <v>3.5340000000000003</v>
      </c>
      <c r="AA57" s="67"/>
      <c r="AB57" s="67"/>
      <c r="AC57" s="67"/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0</v>
      </c>
      <c r="X58" s="43">
        <f>IFERROR(SUMPRODUCT(X53:X56*H53:H56),"0")</f>
        <v>1588.8</v>
      </c>
      <c r="Y58" s="43">
        <f>IFERROR(SUMPRODUCT(Y53:Y56*H53:H56),"0")</f>
        <v>1588.8</v>
      </c>
      <c r="Z58" s="42"/>
      <c r="AA58" s="67"/>
      <c r="AB58" s="67"/>
      <c r="AC58" s="67"/>
    </row>
    <row r="59" spans="1:68" ht="16.5" hidden="1" customHeight="1" x14ac:dyDescent="0.25">
      <c r="A59" s="321" t="s">
        <v>141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65"/>
      <c r="AB59" s="65"/>
      <c r="AC59" s="82"/>
    </row>
    <row r="60" spans="1:68" ht="14.25" hidden="1" customHeight="1" x14ac:dyDescent="0.25">
      <c r="A60" s="309" t="s">
        <v>113</v>
      </c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1">
        <v>4607111039712</v>
      </c>
      <c r="E61" s="291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3"/>
      <c r="R61" s="293"/>
      <c r="S61" s="293"/>
      <c r="T61" s="294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9"/>
      <c r="P62" s="295" t="s">
        <v>40</v>
      </c>
      <c r="Q62" s="296"/>
      <c r="R62" s="296"/>
      <c r="S62" s="296"/>
      <c r="T62" s="296"/>
      <c r="U62" s="296"/>
      <c r="V62" s="29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09" t="s">
        <v>145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1">
        <v>4607111037008</v>
      </c>
      <c r="E65" s="291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3"/>
      <c r="R65" s="293"/>
      <c r="S65" s="293"/>
      <c r="T65" s="294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1">
        <v>4607111037398</v>
      </c>
      <c r="E66" s="291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09" t="s">
        <v>151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1">
        <v>4607111039705</v>
      </c>
      <c r="E70" s="291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1">
        <v>4607111039729</v>
      </c>
      <c r="E71" s="291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1">
        <v>4620207490228</v>
      </c>
      <c r="E72" s="291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3"/>
      <c r="R72" s="293"/>
      <c r="S72" s="293"/>
      <c r="T72" s="294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39</v>
      </c>
      <c r="X73" s="43">
        <f>IFERROR(SUM(X70:X72),"0")</f>
        <v>14</v>
      </c>
      <c r="Y73" s="43">
        <f>IFERROR(SUM(Y70:Y72),"0")</f>
        <v>14</v>
      </c>
      <c r="Z73" s="43">
        <f>IFERROR(IF(Z70="",0,Z70),"0")+IFERROR(IF(Z71="",0,Z71),"0")+IFERROR(IF(Z72="",0,Z72),"0")</f>
        <v>0.13174</v>
      </c>
      <c r="AA73" s="67"/>
      <c r="AB73" s="67"/>
      <c r="AC73" s="67"/>
    </row>
    <row r="74" spans="1:68" x14ac:dyDescent="0.2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9"/>
      <c r="P74" s="295" t="s">
        <v>40</v>
      </c>
      <c r="Q74" s="296"/>
      <c r="R74" s="296"/>
      <c r="S74" s="296"/>
      <c r="T74" s="296"/>
      <c r="U74" s="296"/>
      <c r="V74" s="297"/>
      <c r="W74" s="42" t="s">
        <v>0</v>
      </c>
      <c r="X74" s="43">
        <f>IFERROR(SUMPRODUCT(X70:X72*H70:H72),"0")</f>
        <v>16.8</v>
      </c>
      <c r="Y74" s="43">
        <f>IFERROR(SUMPRODUCT(Y70:Y72*H70:H72),"0")</f>
        <v>16.8</v>
      </c>
      <c r="Z74" s="42"/>
      <c r="AA74" s="67"/>
      <c r="AB74" s="67"/>
      <c r="AC74" s="67"/>
    </row>
    <row r="75" spans="1:68" ht="16.5" hidden="1" customHeight="1" x14ac:dyDescent="0.25">
      <c r="A75" s="321" t="s">
        <v>159</v>
      </c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65"/>
      <c r="AB75" s="65"/>
      <c r="AC75" s="82"/>
    </row>
    <row r="76" spans="1:68" ht="14.25" hidden="1" customHeight="1" x14ac:dyDescent="0.25">
      <c r="A76" s="309" t="s">
        <v>82</v>
      </c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1">
        <v>4607111037411</v>
      </c>
      <c r="E77" s="291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1">
        <v>4607111036728</v>
      </c>
      <c r="E78" s="291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3"/>
      <c r="R78" s="293"/>
      <c r="S78" s="293"/>
      <c r="T78" s="294"/>
      <c r="U78" s="39" t="s">
        <v>46</v>
      </c>
      <c r="V78" s="39" t="s">
        <v>46</v>
      </c>
      <c r="W78" s="40" t="s">
        <v>39</v>
      </c>
      <c r="X78" s="58">
        <v>444</v>
      </c>
      <c r="Y78" s="55">
        <f>IFERROR(IF(X78="","",X78),"")</f>
        <v>444</v>
      </c>
      <c r="Z78" s="41">
        <f>IFERROR(IF(X78="","",X78*0.00866),"")</f>
        <v>3.8450399999999996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2314.6607999999997</v>
      </c>
      <c r="BN78" s="81">
        <f>IFERROR(Y78*I78,"0")</f>
        <v>2314.6607999999997</v>
      </c>
      <c r="BO78" s="81">
        <f>IFERROR(X78/J78,"0")</f>
        <v>3.0833333333333335</v>
      </c>
      <c r="BP78" s="81">
        <f>IFERROR(Y78/J78,"0")</f>
        <v>3.0833333333333335</v>
      </c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39</v>
      </c>
      <c r="X79" s="43">
        <f>IFERROR(SUM(X77:X78),"0")</f>
        <v>444</v>
      </c>
      <c r="Y79" s="43">
        <f>IFERROR(SUM(Y77:Y78),"0")</f>
        <v>444</v>
      </c>
      <c r="Z79" s="43">
        <f>IFERROR(IF(Z77="",0,Z77),"0")+IFERROR(IF(Z78="",0,Z78),"0")</f>
        <v>3.8450399999999996</v>
      </c>
      <c r="AA79" s="67"/>
      <c r="AB79" s="67"/>
      <c r="AC79" s="67"/>
    </row>
    <row r="80" spans="1:68" x14ac:dyDescent="0.2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9"/>
      <c r="P80" s="295" t="s">
        <v>40</v>
      </c>
      <c r="Q80" s="296"/>
      <c r="R80" s="296"/>
      <c r="S80" s="296"/>
      <c r="T80" s="296"/>
      <c r="U80" s="296"/>
      <c r="V80" s="297"/>
      <c r="W80" s="42" t="s">
        <v>0</v>
      </c>
      <c r="X80" s="43">
        <f>IFERROR(SUMPRODUCT(X77:X78*H77:H78),"0")</f>
        <v>2220</v>
      </c>
      <c r="Y80" s="43">
        <f>IFERROR(SUMPRODUCT(Y77:Y78*H77:H78),"0")</f>
        <v>2220</v>
      </c>
      <c r="Z80" s="42"/>
      <c r="AA80" s="67"/>
      <c r="AB80" s="67"/>
      <c r="AC80" s="67"/>
    </row>
    <row r="81" spans="1:68" ht="16.5" hidden="1" customHeight="1" x14ac:dyDescent="0.25">
      <c r="A81" s="321" t="s">
        <v>166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65"/>
      <c r="AB81" s="65"/>
      <c r="AC81" s="82"/>
    </row>
    <row r="82" spans="1:68" ht="14.25" hidden="1" customHeight="1" x14ac:dyDescent="0.25">
      <c r="A82" s="309" t="s">
        <v>151</v>
      </c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1">
        <v>4607111033659</v>
      </c>
      <c r="E83" s="291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09" t="s">
        <v>171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1">
        <v>4607111034120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1">
        <v>4607111034137</v>
      </c>
      <c r="E89" s="291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3"/>
      <c r="R89" s="293"/>
      <c r="S89" s="293"/>
      <c r="T89" s="294"/>
      <c r="U89" s="39" t="s">
        <v>46</v>
      </c>
      <c r="V89" s="39" t="s">
        <v>46</v>
      </c>
      <c r="W89" s="40" t="s">
        <v>39</v>
      </c>
      <c r="X89" s="58">
        <v>14</v>
      </c>
      <c r="Y89" s="55">
        <f>IFERROR(IF(X89="","",X89),"")</f>
        <v>14</v>
      </c>
      <c r="Z89" s="41">
        <f>IFERROR(IF(X89="","",X89*0.01788),"")</f>
        <v>0.25031999999999999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60.250400000000006</v>
      </c>
      <c r="BN89" s="81">
        <f>IFERROR(Y89*I89,"0")</f>
        <v>60.250400000000006</v>
      </c>
      <c r="BO89" s="81">
        <f>IFERROR(X89/J89,"0")</f>
        <v>0.2</v>
      </c>
      <c r="BP89" s="81">
        <f>IFERROR(Y89/J89,"0")</f>
        <v>0.2</v>
      </c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39</v>
      </c>
      <c r="X90" s="43">
        <f>IFERROR(SUM(X88:X89),"0")</f>
        <v>28</v>
      </c>
      <c r="Y90" s="43">
        <f>IFERROR(SUM(Y88:Y89),"0")</f>
        <v>28</v>
      </c>
      <c r="Z90" s="43">
        <f>IFERROR(IF(Z88="",0,Z88),"0")+IFERROR(IF(Z89="",0,Z89),"0")</f>
        <v>0.50063999999999997</v>
      </c>
      <c r="AA90" s="67"/>
      <c r="AB90" s="67"/>
      <c r="AC90" s="67"/>
    </row>
    <row r="91" spans="1:68" x14ac:dyDescent="0.2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9"/>
      <c r="P91" s="295" t="s">
        <v>40</v>
      </c>
      <c r="Q91" s="296"/>
      <c r="R91" s="296"/>
      <c r="S91" s="296"/>
      <c r="T91" s="296"/>
      <c r="U91" s="296"/>
      <c r="V91" s="297"/>
      <c r="W91" s="42" t="s">
        <v>0</v>
      </c>
      <c r="X91" s="43">
        <f>IFERROR(SUMPRODUCT(X88:X89*H88:H89),"0")</f>
        <v>100.8</v>
      </c>
      <c r="Y91" s="43">
        <f>IFERROR(SUMPRODUCT(Y88:Y89*H88:H89),"0")</f>
        <v>100.8</v>
      </c>
      <c r="Z91" s="42"/>
      <c r="AA91" s="67"/>
      <c r="AB91" s="67"/>
      <c r="AC91" s="67"/>
    </row>
    <row r="92" spans="1:68" ht="16.5" hidden="1" customHeight="1" x14ac:dyDescent="0.25">
      <c r="A92" s="321" t="s">
        <v>178</v>
      </c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65"/>
      <c r="AB92" s="65"/>
      <c r="AC92" s="82"/>
    </row>
    <row r="93" spans="1:68" ht="14.25" hidden="1" customHeight="1" x14ac:dyDescent="0.25">
      <c r="A93" s="309" t="s">
        <v>151</v>
      </c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1">
        <v>4620207491027</v>
      </c>
      <c r="E94" s="291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28</v>
      </c>
      <c r="Y94" s="55">
        <f t="shared" ref="Y94:Y99" si="6">IFERROR(IF(X94="","",X94),"")</f>
        <v>28</v>
      </c>
      <c r="Z94" s="41">
        <f t="shared" ref="Z94:Z99" si="7">IFERROR(IF(X94="","",X94*0.01788),"")</f>
        <v>0.50063999999999997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100.3408</v>
      </c>
      <c r="BN94" s="81">
        <f t="shared" ref="BN94:BN99" si="9">IFERROR(Y94*I94,"0")</f>
        <v>100.3408</v>
      </c>
      <c r="BO94" s="81">
        <f t="shared" ref="BO94:BO99" si="10">IFERROR(X94/J94,"0")</f>
        <v>0.4</v>
      </c>
      <c r="BP94" s="81">
        <f t="shared" ref="BP94:BP99" si="11">IFERROR(Y94/J94,"0")</f>
        <v>0.4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291">
        <v>4620207491003</v>
      </c>
      <c r="E95" s="291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3"/>
      <c r="R95" s="293"/>
      <c r="S95" s="293"/>
      <c r="T95" s="294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4301135768</v>
      </c>
      <c r="D96" s="291">
        <v>4620207491034</v>
      </c>
      <c r="E96" s="291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3"/>
      <c r="R96" s="293"/>
      <c r="S96" s="293"/>
      <c r="T96" s="294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1">
        <v>4620207491010</v>
      </c>
      <c r="E97" s="291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3"/>
      <c r="R97" s="293"/>
      <c r="S97" s="293"/>
      <c r="T97" s="294"/>
      <c r="U97" s="39" t="s">
        <v>46</v>
      </c>
      <c r="V97" s="39" t="s">
        <v>46</v>
      </c>
      <c r="W97" s="40" t="s">
        <v>39</v>
      </c>
      <c r="X97" s="58">
        <v>84</v>
      </c>
      <c r="Y97" s="55">
        <f t="shared" si="6"/>
        <v>84</v>
      </c>
      <c r="Z97" s="41">
        <f t="shared" si="7"/>
        <v>1.5019199999999999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301.0224</v>
      </c>
      <c r="BN97" s="81">
        <f t="shared" si="9"/>
        <v>301.0224</v>
      </c>
      <c r="BO97" s="81">
        <f t="shared" si="10"/>
        <v>1.2</v>
      </c>
      <c r="BP97" s="81">
        <f t="shared" si="11"/>
        <v>1.2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4301135571</v>
      </c>
      <c r="D98" s="291">
        <v>4607111035028</v>
      </c>
      <c r="E98" s="291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3"/>
      <c r="R98" s="293"/>
      <c r="S98" s="293"/>
      <c r="T98" s="294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291">
        <v>4607111036407</v>
      </c>
      <c r="E99" s="291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9"/>
      <c r="P100" s="295" t="s">
        <v>40</v>
      </c>
      <c r="Q100" s="296"/>
      <c r="R100" s="296"/>
      <c r="S100" s="296"/>
      <c r="T100" s="296"/>
      <c r="U100" s="296"/>
      <c r="V100" s="297"/>
      <c r="W100" s="42" t="s">
        <v>39</v>
      </c>
      <c r="X100" s="43">
        <f>IFERROR(SUM(X94:X99),"0")</f>
        <v>112</v>
      </c>
      <c r="Y100" s="43">
        <f>IFERROR(SUM(Y94:Y99),"0")</f>
        <v>112</v>
      </c>
      <c r="Z100" s="43">
        <f>IFERROR(IF(Z94="",0,Z94),"0")+IFERROR(IF(Z95="",0,Z95),"0")+IFERROR(IF(Z96="",0,Z96),"0")+IFERROR(IF(Z97="",0,Z97),"0")+IFERROR(IF(Z98="",0,Z98),"0")+IFERROR(IF(Z99="",0,Z99),"0")</f>
        <v>2.0025599999999999</v>
      </c>
      <c r="AA100" s="67"/>
      <c r="AB100" s="67"/>
      <c r="AC100" s="67"/>
    </row>
    <row r="101" spans="1:68" x14ac:dyDescent="0.2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9"/>
      <c r="P101" s="295" t="s">
        <v>40</v>
      </c>
      <c r="Q101" s="296"/>
      <c r="R101" s="296"/>
      <c r="S101" s="296"/>
      <c r="T101" s="296"/>
      <c r="U101" s="296"/>
      <c r="V101" s="297"/>
      <c r="W101" s="42" t="s">
        <v>0</v>
      </c>
      <c r="X101" s="43">
        <f>IFERROR(SUMPRODUCT(X94:X99*H94:H99),"0")</f>
        <v>322.56</v>
      </c>
      <c r="Y101" s="43">
        <f>IFERROR(SUMPRODUCT(Y94:Y99*H94:H99),"0")</f>
        <v>322.56</v>
      </c>
      <c r="Z101" s="42"/>
      <c r="AA101" s="67"/>
      <c r="AB101" s="67"/>
      <c r="AC101" s="67"/>
    </row>
    <row r="102" spans="1:68" ht="16.5" hidden="1" customHeight="1" x14ac:dyDescent="0.25">
      <c r="A102" s="321" t="s">
        <v>193</v>
      </c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65"/>
      <c r="AB102" s="65"/>
      <c r="AC102" s="82"/>
    </row>
    <row r="103" spans="1:68" ht="14.25" hidden="1" customHeight="1" x14ac:dyDescent="0.25">
      <c r="A103" s="309" t="s">
        <v>145</v>
      </c>
      <c r="B103" s="309"/>
      <c r="C103" s="309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1">
        <v>4607025784012</v>
      </c>
      <c r="E104" s="291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4301136079</v>
      </c>
      <c r="D105" s="291">
        <v>4607025784319</v>
      </c>
      <c r="E105" s="291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3"/>
      <c r="R105" s="293"/>
      <c r="S105" s="293"/>
      <c r="T105" s="294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9"/>
      <c r="P107" s="295" t="s">
        <v>40</v>
      </c>
      <c r="Q107" s="296"/>
      <c r="R107" s="296"/>
      <c r="S107" s="296"/>
      <c r="T107" s="296"/>
      <c r="U107" s="296"/>
      <c r="V107" s="297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21" t="s">
        <v>199</v>
      </c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65"/>
      <c r="AB108" s="65"/>
      <c r="AC108" s="82"/>
    </row>
    <row r="109" spans="1:68" ht="14.25" hidden="1" customHeight="1" x14ac:dyDescent="0.25">
      <c r="A109" s="309" t="s">
        <v>82</v>
      </c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66"/>
      <c r="AB109" s="66"/>
      <c r="AC109" s="83"/>
    </row>
    <row r="110" spans="1:68" ht="27" customHeight="1" x14ac:dyDescent="0.25">
      <c r="A110" s="63" t="s">
        <v>200</v>
      </c>
      <c r="B110" s="63" t="s">
        <v>201</v>
      </c>
      <c r="C110" s="36">
        <v>4301071074</v>
      </c>
      <c r="D110" s="291">
        <v>4620207491157</v>
      </c>
      <c r="E110" s="291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24</v>
      </c>
      <c r="Y110" s="55">
        <f t="shared" ref="Y110:Y118" si="12">IFERROR(IF(X110="","",X110),"")</f>
        <v>24</v>
      </c>
      <c r="Z110" s="41">
        <f t="shared" ref="Z110:Z118" si="13">IFERROR(IF(X110="","",X110*0.0155),"")</f>
        <v>0.372</v>
      </c>
      <c r="AA110" s="68" t="s">
        <v>46</v>
      </c>
      <c r="AB110" s="69" t="s">
        <v>46</v>
      </c>
      <c r="AC110" s="163" t="s">
        <v>202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174.72</v>
      </c>
      <c r="BN110" s="81">
        <f t="shared" ref="BN110:BN118" si="15">IFERROR(Y110*I110,"0")</f>
        <v>174.72</v>
      </c>
      <c r="BO110" s="81">
        <f t="shared" ref="BO110:BO118" si="16">IFERROR(X110/J110,"0")</f>
        <v>0.2857142857142857</v>
      </c>
      <c r="BP110" s="81">
        <f t="shared" ref="BP110:BP118" si="17">IFERROR(Y110/J110,"0")</f>
        <v>0.2857142857142857</v>
      </c>
    </row>
    <row r="111" spans="1:68" ht="27" customHeight="1" x14ac:dyDescent="0.25">
      <c r="A111" s="63" t="s">
        <v>203</v>
      </c>
      <c r="B111" s="63" t="s">
        <v>204</v>
      </c>
      <c r="C111" s="36">
        <v>4301071121</v>
      </c>
      <c r="D111" s="291">
        <v>4620207491393</v>
      </c>
      <c r="E111" s="291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3"/>
      <c r="R111" s="293"/>
      <c r="S111" s="293"/>
      <c r="T111" s="294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205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hidden="1" customHeight="1" x14ac:dyDescent="0.25">
      <c r="A112" s="63" t="s">
        <v>206</v>
      </c>
      <c r="B112" s="63" t="s">
        <v>207</v>
      </c>
      <c r="C112" s="36">
        <v>4301071136</v>
      </c>
      <c r="D112" s="291">
        <v>4620207491829</v>
      </c>
      <c r="E112" s="291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3"/>
      <c r="R112" s="293"/>
      <c r="S112" s="293"/>
      <c r="T112" s="294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205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208</v>
      </c>
      <c r="B113" s="63" t="s">
        <v>209</v>
      </c>
      <c r="C113" s="36">
        <v>4301071051</v>
      </c>
      <c r="D113" s="291">
        <v>4607111039262</v>
      </c>
      <c r="E113" s="291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3"/>
      <c r="R113" s="293"/>
      <c r="S113" s="293"/>
      <c r="T113" s="294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customHeight="1" x14ac:dyDescent="0.25">
      <c r="A114" s="63" t="s">
        <v>210</v>
      </c>
      <c r="B114" s="63" t="s">
        <v>211</v>
      </c>
      <c r="C114" s="36">
        <v>4301071038</v>
      </c>
      <c r="D114" s="291">
        <v>4607111039248</v>
      </c>
      <c r="E114" s="291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3"/>
      <c r="R114" s="293"/>
      <c r="S114" s="293"/>
      <c r="T114" s="294"/>
      <c r="U114" s="39" t="s">
        <v>46</v>
      </c>
      <c r="V114" s="39" t="s">
        <v>46</v>
      </c>
      <c r="W114" s="40" t="s">
        <v>39</v>
      </c>
      <c r="X114" s="58">
        <v>396</v>
      </c>
      <c r="Y114" s="55">
        <f t="shared" si="12"/>
        <v>396</v>
      </c>
      <c r="Z114" s="41">
        <f t="shared" si="13"/>
        <v>6.1379999999999999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2890.7999999999997</v>
      </c>
      <c r="BN114" s="81">
        <f t="shared" si="15"/>
        <v>2890.7999999999997</v>
      </c>
      <c r="BO114" s="81">
        <f t="shared" si="16"/>
        <v>4.7142857142857144</v>
      </c>
      <c r="BP114" s="81">
        <f t="shared" si="17"/>
        <v>4.7142857142857144</v>
      </c>
    </row>
    <row r="115" spans="1:68" ht="27" hidden="1" customHeight="1" x14ac:dyDescent="0.25">
      <c r="A115" s="63" t="s">
        <v>212</v>
      </c>
      <c r="B115" s="63" t="s">
        <v>213</v>
      </c>
      <c r="C115" s="36">
        <v>4301070979</v>
      </c>
      <c r="D115" s="291">
        <v>4607111037145</v>
      </c>
      <c r="E115" s="291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4301071075</v>
      </c>
      <c r="D116" s="291">
        <v>4620207491102</v>
      </c>
      <c r="E116" s="291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96</v>
      </c>
      <c r="Y116" s="55">
        <f t="shared" si="12"/>
        <v>96</v>
      </c>
      <c r="Z116" s="41">
        <f t="shared" si="13"/>
        <v>1.488</v>
      </c>
      <c r="AA116" s="68" t="s">
        <v>46</v>
      </c>
      <c r="AB116" s="69" t="s">
        <v>46</v>
      </c>
      <c r="AC116" s="175" t="s">
        <v>217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694.08</v>
      </c>
      <c r="BN116" s="81">
        <f t="shared" si="15"/>
        <v>694.08</v>
      </c>
      <c r="BO116" s="81">
        <f t="shared" si="16"/>
        <v>1.1428571428571428</v>
      </c>
      <c r="BP116" s="81">
        <f t="shared" si="17"/>
        <v>1.1428571428571428</v>
      </c>
    </row>
    <row r="117" spans="1:68" ht="27" customHeight="1" x14ac:dyDescent="0.25">
      <c r="A117" s="63" t="s">
        <v>218</v>
      </c>
      <c r="B117" s="63" t="s">
        <v>219</v>
      </c>
      <c r="C117" s="36">
        <v>4301071049</v>
      </c>
      <c r="D117" s="291">
        <v>4607111039293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60</v>
      </c>
      <c r="Y117" s="55">
        <f t="shared" si="12"/>
        <v>60</v>
      </c>
      <c r="Z117" s="41">
        <f t="shared" si="13"/>
        <v>0.92999999999999994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403.17599999999999</v>
      </c>
      <c r="BN117" s="81">
        <f t="shared" si="15"/>
        <v>403.17599999999999</v>
      </c>
      <c r="BO117" s="81">
        <f t="shared" si="16"/>
        <v>0.7142857142857143</v>
      </c>
      <c r="BP117" s="81">
        <f t="shared" si="17"/>
        <v>0.7142857142857143</v>
      </c>
    </row>
    <row r="118" spans="1:68" ht="27" customHeight="1" x14ac:dyDescent="0.25">
      <c r="A118" s="63" t="s">
        <v>220</v>
      </c>
      <c r="B118" s="63" t="s">
        <v>221</v>
      </c>
      <c r="C118" s="36">
        <v>4301071039</v>
      </c>
      <c r="D118" s="291">
        <v>4607111039279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300</v>
      </c>
      <c r="Y118" s="55">
        <f t="shared" si="12"/>
        <v>300</v>
      </c>
      <c r="Z118" s="41">
        <f t="shared" si="13"/>
        <v>4.6500000000000004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2190</v>
      </c>
      <c r="BN118" s="81">
        <f t="shared" si="15"/>
        <v>2190</v>
      </c>
      <c r="BO118" s="81">
        <f t="shared" si="16"/>
        <v>3.5714285714285716</v>
      </c>
      <c r="BP118" s="81">
        <f t="shared" si="17"/>
        <v>3.5714285714285716</v>
      </c>
    </row>
    <row r="119" spans="1:68" x14ac:dyDescent="0.2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9"/>
      <c r="P119" s="295" t="s">
        <v>40</v>
      </c>
      <c r="Q119" s="296"/>
      <c r="R119" s="296"/>
      <c r="S119" s="296"/>
      <c r="T119" s="296"/>
      <c r="U119" s="296"/>
      <c r="V119" s="297"/>
      <c r="W119" s="42" t="s">
        <v>39</v>
      </c>
      <c r="X119" s="43">
        <f>IFERROR(SUM(X110:X118),"0")</f>
        <v>936</v>
      </c>
      <c r="Y119" s="43">
        <f>IFERROR(SUM(Y110:Y118),"0")</f>
        <v>936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14.507999999999999</v>
      </c>
      <c r="AA119" s="67"/>
      <c r="AB119" s="67"/>
      <c r="AC119" s="67"/>
    </row>
    <row r="120" spans="1:68" x14ac:dyDescent="0.2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9"/>
      <c r="P120" s="295" t="s">
        <v>40</v>
      </c>
      <c r="Q120" s="296"/>
      <c r="R120" s="296"/>
      <c r="S120" s="296"/>
      <c r="T120" s="296"/>
      <c r="U120" s="296"/>
      <c r="V120" s="297"/>
      <c r="W120" s="42" t="s">
        <v>0</v>
      </c>
      <c r="X120" s="43">
        <f>IFERROR(SUMPRODUCT(X110:X118*H110:H118),"0")</f>
        <v>6480</v>
      </c>
      <c r="Y120" s="43">
        <f>IFERROR(SUMPRODUCT(Y110:Y118*H110:H118),"0")</f>
        <v>6480</v>
      </c>
      <c r="Z120" s="42"/>
      <c r="AA120" s="67"/>
      <c r="AB120" s="67"/>
      <c r="AC120" s="67"/>
    </row>
    <row r="121" spans="1:68" ht="14.25" hidden="1" customHeight="1" x14ac:dyDescent="0.25">
      <c r="A121" s="309" t="s">
        <v>151</v>
      </c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66"/>
      <c r="AB121" s="66"/>
      <c r="AC121" s="83"/>
    </row>
    <row r="122" spans="1:68" ht="27" hidden="1" customHeight="1" x14ac:dyDescent="0.25">
      <c r="A122" s="63" t="s">
        <v>222</v>
      </c>
      <c r="B122" s="63" t="s">
        <v>223</v>
      </c>
      <c r="C122" s="36">
        <v>4301135826</v>
      </c>
      <c r="D122" s="291">
        <v>4620207490983</v>
      </c>
      <c r="E122" s="291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3"/>
      <c r="R122" s="293"/>
      <c r="S122" s="293"/>
      <c r="T122" s="294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224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9"/>
      <c r="P124" s="295" t="s">
        <v>40</v>
      </c>
      <c r="Q124" s="296"/>
      <c r="R124" s="296"/>
      <c r="S124" s="296"/>
      <c r="T124" s="296"/>
      <c r="U124" s="296"/>
      <c r="V124" s="297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09" t="s">
        <v>225</v>
      </c>
      <c r="B125" s="309"/>
      <c r="C125" s="309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4301071094</v>
      </c>
      <c r="D126" s="291">
        <v>4620207491140</v>
      </c>
      <c r="E126" s="291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3"/>
      <c r="R126" s="293"/>
      <c r="S126" s="293"/>
      <c r="T126" s="294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9"/>
      <c r="P128" s="295" t="s">
        <v>40</v>
      </c>
      <c r="Q128" s="296"/>
      <c r="R128" s="296"/>
      <c r="S128" s="296"/>
      <c r="T128" s="296"/>
      <c r="U128" s="296"/>
      <c r="V128" s="297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1" t="s">
        <v>229</v>
      </c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65"/>
      <c r="AB129" s="65"/>
      <c r="AC129" s="82"/>
    </row>
    <row r="130" spans="1:68" ht="14.25" hidden="1" customHeight="1" x14ac:dyDescent="0.25">
      <c r="A130" s="309" t="s">
        <v>151</v>
      </c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66"/>
      <c r="AB130" s="66"/>
      <c r="AC130" s="83"/>
    </row>
    <row r="131" spans="1:68" ht="27" hidden="1" customHeight="1" x14ac:dyDescent="0.25">
      <c r="A131" s="63" t="s">
        <v>230</v>
      </c>
      <c r="B131" s="63" t="s">
        <v>231</v>
      </c>
      <c r="C131" s="36">
        <v>4301135848</v>
      </c>
      <c r="D131" s="291">
        <v>4620207491799</v>
      </c>
      <c r="E131" s="291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3"/>
      <c r="R131" s="293"/>
      <c r="S131" s="293"/>
      <c r="T131" s="294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232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233</v>
      </c>
      <c r="B132" s="63" t="s">
        <v>234</v>
      </c>
      <c r="C132" s="36">
        <v>4301135850</v>
      </c>
      <c r="D132" s="291">
        <v>4620207491492</v>
      </c>
      <c r="E132" s="291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3"/>
      <c r="R132" s="293"/>
      <c r="S132" s="293"/>
      <c r="T132" s="294"/>
      <c r="U132" s="39" t="s">
        <v>46</v>
      </c>
      <c r="V132" s="39" t="s">
        <v>46</v>
      </c>
      <c r="W132" s="40" t="s">
        <v>39</v>
      </c>
      <c r="X132" s="58">
        <v>14</v>
      </c>
      <c r="Y132" s="55">
        <f>IFERROR(IF(X132="","",X132),"")</f>
        <v>14</v>
      </c>
      <c r="Z132" s="41">
        <f>IFERROR(IF(X132="","",X132*0.00941),"")</f>
        <v>0.13174</v>
      </c>
      <c r="AA132" s="68" t="s">
        <v>46</v>
      </c>
      <c r="AB132" s="69" t="s">
        <v>46</v>
      </c>
      <c r="AC132" s="187" t="s">
        <v>232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25.2</v>
      </c>
      <c r="BN132" s="81">
        <f>IFERROR(Y132*I132,"0")</f>
        <v>25.2</v>
      </c>
      <c r="BO132" s="81">
        <f>IFERROR(X132/J132,"0")</f>
        <v>0.1</v>
      </c>
      <c r="BP132" s="81">
        <f>IFERROR(Y132/J132,"0")</f>
        <v>0.1</v>
      </c>
    </row>
    <row r="133" spans="1:68" ht="27" customHeight="1" x14ac:dyDescent="0.25">
      <c r="A133" s="63" t="s">
        <v>235</v>
      </c>
      <c r="B133" s="63" t="s">
        <v>236</v>
      </c>
      <c r="C133" s="36">
        <v>4301190118</v>
      </c>
      <c r="D133" s="291">
        <v>4620207491461</v>
      </c>
      <c r="E133" s="291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3"/>
      <c r="R133" s="293"/>
      <c r="S133" s="293"/>
      <c r="T133" s="294"/>
      <c r="U133" s="39" t="s">
        <v>46</v>
      </c>
      <c r="V133" s="39" t="s">
        <v>46</v>
      </c>
      <c r="W133" s="40" t="s">
        <v>39</v>
      </c>
      <c r="X133" s="58">
        <v>14</v>
      </c>
      <c r="Y133" s="55">
        <f>IFERROR(IF(X133="","",X133),"")</f>
        <v>14</v>
      </c>
      <c r="Z133" s="41">
        <f>IFERROR(IF(X133="","",X133*0.00941),"")</f>
        <v>0.13174</v>
      </c>
      <c r="AA133" s="68" t="s">
        <v>46</v>
      </c>
      <c r="AB133" s="69" t="s">
        <v>46</v>
      </c>
      <c r="AC133" s="189" t="s">
        <v>232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24.36</v>
      </c>
      <c r="BN133" s="81">
        <f>IFERROR(Y133*I133,"0")</f>
        <v>24.36</v>
      </c>
      <c r="BO133" s="81">
        <f>IFERROR(X133/J133,"0")</f>
        <v>0.1</v>
      </c>
      <c r="BP133" s="81">
        <f>IFERROR(Y133/J133,"0")</f>
        <v>0.1</v>
      </c>
    </row>
    <row r="134" spans="1:68" ht="27" customHeight="1" x14ac:dyDescent="0.25">
      <c r="A134" s="63" t="s">
        <v>237</v>
      </c>
      <c r="B134" s="63" t="s">
        <v>238</v>
      </c>
      <c r="C134" s="36">
        <v>4301135865</v>
      </c>
      <c r="D134" s="291">
        <v>4620207491485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56</v>
      </c>
      <c r="Y134" s="55">
        <f>IFERROR(IF(X134="","",X134),"")</f>
        <v>56</v>
      </c>
      <c r="Z134" s="41">
        <f>IFERROR(IF(X134="","",X134*0.00941),"")</f>
        <v>0.52695999999999998</v>
      </c>
      <c r="AA134" s="68" t="s">
        <v>46</v>
      </c>
      <c r="AB134" s="69" t="s">
        <v>46</v>
      </c>
      <c r="AC134" s="191" t="s">
        <v>232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100.8</v>
      </c>
      <c r="BN134" s="81">
        <f>IFERROR(Y134*I134,"0")</f>
        <v>100.8</v>
      </c>
      <c r="BO134" s="81">
        <f>IFERROR(X134/J134,"0")</f>
        <v>0.4</v>
      </c>
      <c r="BP134" s="81">
        <f>IFERROR(Y134/J134,"0")</f>
        <v>0.4</v>
      </c>
    </row>
    <row r="135" spans="1:68" x14ac:dyDescent="0.2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9"/>
      <c r="P135" s="295" t="s">
        <v>40</v>
      </c>
      <c r="Q135" s="296"/>
      <c r="R135" s="296"/>
      <c r="S135" s="296"/>
      <c r="T135" s="296"/>
      <c r="U135" s="296"/>
      <c r="V135" s="297"/>
      <c r="W135" s="42" t="s">
        <v>39</v>
      </c>
      <c r="X135" s="43">
        <f>IFERROR(SUM(X131:X134),"0")</f>
        <v>84</v>
      </c>
      <c r="Y135" s="43">
        <f>IFERROR(SUM(Y131:Y134),"0")</f>
        <v>84</v>
      </c>
      <c r="Z135" s="43">
        <f>IFERROR(IF(Z131="",0,Z131),"0")+IFERROR(IF(Z132="",0,Z132),"0")+IFERROR(IF(Z133="",0,Z133),"0")+IFERROR(IF(Z134="",0,Z134),"0")</f>
        <v>0.79044000000000003</v>
      </c>
      <c r="AA135" s="67"/>
      <c r="AB135" s="67"/>
      <c r="AC135" s="67"/>
    </row>
    <row r="136" spans="1:68" x14ac:dyDescent="0.2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9"/>
      <c r="P136" s="295" t="s">
        <v>40</v>
      </c>
      <c r="Q136" s="296"/>
      <c r="R136" s="296"/>
      <c r="S136" s="296"/>
      <c r="T136" s="296"/>
      <c r="U136" s="296"/>
      <c r="V136" s="297"/>
      <c r="W136" s="42" t="s">
        <v>0</v>
      </c>
      <c r="X136" s="43">
        <f>IFERROR(SUMPRODUCT(X131:X134*H131:H134),"0")</f>
        <v>115.08</v>
      </c>
      <c r="Y136" s="43">
        <f>IFERROR(SUMPRODUCT(Y131:Y134*H131:H134),"0")</f>
        <v>115.08</v>
      </c>
      <c r="Z136" s="42"/>
      <c r="AA136" s="67"/>
      <c r="AB136" s="67"/>
      <c r="AC136" s="67"/>
    </row>
    <row r="137" spans="1:68" ht="14.25" hidden="1" customHeight="1" x14ac:dyDescent="0.25">
      <c r="A137" s="309" t="s">
        <v>239</v>
      </c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66"/>
      <c r="AB137" s="66"/>
      <c r="AC137" s="83"/>
    </row>
    <row r="138" spans="1:68" ht="27" hidden="1" customHeight="1" x14ac:dyDescent="0.25">
      <c r="A138" s="63" t="s">
        <v>240</v>
      </c>
      <c r="B138" s="63" t="s">
        <v>241</v>
      </c>
      <c r="C138" s="36">
        <v>4301190117</v>
      </c>
      <c r="D138" s="291">
        <v>4620207491386</v>
      </c>
      <c r="E138" s="291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3"/>
      <c r="R138" s="293"/>
      <c r="S138" s="293"/>
      <c r="T138" s="294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242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243</v>
      </c>
      <c r="B139" s="63" t="s">
        <v>244</v>
      </c>
      <c r="C139" s="36">
        <v>4301190115</v>
      </c>
      <c r="D139" s="291">
        <v>4620207491362</v>
      </c>
      <c r="E139" s="291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3"/>
      <c r="R139" s="293"/>
      <c r="S139" s="293"/>
      <c r="T139" s="294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242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245</v>
      </c>
      <c r="B140" s="63" t="s">
        <v>246</v>
      </c>
      <c r="C140" s="36">
        <v>4301190116</v>
      </c>
      <c r="D140" s="291">
        <v>4620207491379</v>
      </c>
      <c r="E140" s="291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3"/>
      <c r="R140" s="293"/>
      <c r="S140" s="293"/>
      <c r="T140" s="29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242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9"/>
      <c r="P141" s="295" t="s">
        <v>40</v>
      </c>
      <c r="Q141" s="296"/>
      <c r="R141" s="296"/>
      <c r="S141" s="296"/>
      <c r="T141" s="296"/>
      <c r="U141" s="296"/>
      <c r="V141" s="29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9"/>
      <c r="P142" s="295" t="s">
        <v>40</v>
      </c>
      <c r="Q142" s="296"/>
      <c r="R142" s="296"/>
      <c r="S142" s="296"/>
      <c r="T142" s="296"/>
      <c r="U142" s="296"/>
      <c r="V142" s="29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1" t="s">
        <v>247</v>
      </c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65"/>
      <c r="AB143" s="65"/>
      <c r="AC143" s="82"/>
    </row>
    <row r="144" spans="1:68" ht="14.25" hidden="1" customHeight="1" x14ac:dyDescent="0.25">
      <c r="A144" s="309" t="s">
        <v>151</v>
      </c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66"/>
      <c r="AB144" s="66"/>
      <c r="AC144" s="83"/>
    </row>
    <row r="145" spans="1:68" ht="27" customHeight="1" x14ac:dyDescent="0.25">
      <c r="A145" s="63" t="s">
        <v>248</v>
      </c>
      <c r="B145" s="63" t="s">
        <v>249</v>
      </c>
      <c r="C145" s="36">
        <v>4301135555</v>
      </c>
      <c r="D145" s="291">
        <v>4607111034014</v>
      </c>
      <c r="E145" s="291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3"/>
      <c r="R145" s="293"/>
      <c r="S145" s="293"/>
      <c r="T145" s="294"/>
      <c r="U145" s="39" t="s">
        <v>46</v>
      </c>
      <c r="V145" s="39" t="s">
        <v>46</v>
      </c>
      <c r="W145" s="40" t="s">
        <v>39</v>
      </c>
      <c r="X145" s="58">
        <v>140</v>
      </c>
      <c r="Y145" s="55">
        <f>IFERROR(IF(X145="","",X145),"")</f>
        <v>140</v>
      </c>
      <c r="Z145" s="41">
        <f>IFERROR(IF(X145="","",X145*0.01788),"")</f>
        <v>2.5032000000000001</v>
      </c>
      <c r="AA145" s="68" t="s">
        <v>46</v>
      </c>
      <c r="AB145" s="69" t="s">
        <v>46</v>
      </c>
      <c r="AC145" s="199" t="s">
        <v>250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518.50400000000002</v>
      </c>
      <c r="BN145" s="81">
        <f>IFERROR(Y145*I145,"0")</f>
        <v>518.50400000000002</v>
      </c>
      <c r="BO145" s="81">
        <f>IFERROR(X145/J145,"0")</f>
        <v>2</v>
      </c>
      <c r="BP145" s="81">
        <f>IFERROR(Y145/J145,"0")</f>
        <v>2</v>
      </c>
    </row>
    <row r="146" spans="1:68" ht="27" customHeight="1" x14ac:dyDescent="0.25">
      <c r="A146" s="63" t="s">
        <v>251</v>
      </c>
      <c r="B146" s="63" t="s">
        <v>252</v>
      </c>
      <c r="C146" s="36">
        <v>4301135532</v>
      </c>
      <c r="D146" s="291">
        <v>4607111033994</v>
      </c>
      <c r="E146" s="291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3"/>
      <c r="R146" s="293"/>
      <c r="S146" s="293"/>
      <c r="T146" s="294"/>
      <c r="U146" s="39" t="s">
        <v>46</v>
      </c>
      <c r="V146" s="39" t="s">
        <v>46</v>
      </c>
      <c r="W146" s="40" t="s">
        <v>39</v>
      </c>
      <c r="X146" s="58">
        <v>182</v>
      </c>
      <c r="Y146" s="55">
        <f>IFERROR(IF(X146="","",X146),"")</f>
        <v>182</v>
      </c>
      <c r="Z146" s="41">
        <f>IFERROR(IF(X146="","",X146*0.01788),"")</f>
        <v>3.2541600000000002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674.05520000000001</v>
      </c>
      <c r="BN146" s="81">
        <f>IFERROR(Y146*I146,"0")</f>
        <v>674.05520000000001</v>
      </c>
      <c r="BO146" s="81">
        <f>IFERROR(X146/J146,"0")</f>
        <v>2.6</v>
      </c>
      <c r="BP146" s="81">
        <f>IFERROR(Y146/J146,"0")</f>
        <v>2.6</v>
      </c>
    </row>
    <row r="147" spans="1:68" x14ac:dyDescent="0.2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9"/>
      <c r="P147" s="295" t="s">
        <v>40</v>
      </c>
      <c r="Q147" s="296"/>
      <c r="R147" s="296"/>
      <c r="S147" s="296"/>
      <c r="T147" s="296"/>
      <c r="U147" s="296"/>
      <c r="V147" s="297"/>
      <c r="W147" s="42" t="s">
        <v>39</v>
      </c>
      <c r="X147" s="43">
        <f>IFERROR(SUM(X145:X146),"0")</f>
        <v>322</v>
      </c>
      <c r="Y147" s="43">
        <f>IFERROR(SUM(Y145:Y146),"0")</f>
        <v>322</v>
      </c>
      <c r="Z147" s="43">
        <f>IFERROR(IF(Z145="",0,Z145),"0")+IFERROR(IF(Z146="",0,Z146),"0")</f>
        <v>5.7573600000000003</v>
      </c>
      <c r="AA147" s="67"/>
      <c r="AB147" s="67"/>
      <c r="AC147" s="67"/>
    </row>
    <row r="148" spans="1:68" x14ac:dyDescent="0.2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9"/>
      <c r="P148" s="295" t="s">
        <v>40</v>
      </c>
      <c r="Q148" s="296"/>
      <c r="R148" s="296"/>
      <c r="S148" s="296"/>
      <c r="T148" s="296"/>
      <c r="U148" s="296"/>
      <c r="V148" s="297"/>
      <c r="W148" s="42" t="s">
        <v>0</v>
      </c>
      <c r="X148" s="43">
        <f>IFERROR(SUMPRODUCT(X145:X146*H145:H146),"0")</f>
        <v>966</v>
      </c>
      <c r="Y148" s="43">
        <f>IFERROR(SUMPRODUCT(Y145:Y146*H145:H146),"0")</f>
        <v>966</v>
      </c>
      <c r="Z148" s="42"/>
      <c r="AA148" s="67"/>
      <c r="AB148" s="67"/>
      <c r="AC148" s="67"/>
    </row>
    <row r="149" spans="1:68" ht="16.5" hidden="1" customHeight="1" x14ac:dyDescent="0.25">
      <c r="A149" s="321" t="s">
        <v>253</v>
      </c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65"/>
      <c r="AB149" s="65"/>
      <c r="AC149" s="82"/>
    </row>
    <row r="150" spans="1:68" ht="14.25" hidden="1" customHeight="1" x14ac:dyDescent="0.25">
      <c r="A150" s="309" t="s">
        <v>151</v>
      </c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66"/>
      <c r="AB150" s="66"/>
      <c r="AC150" s="83"/>
    </row>
    <row r="151" spans="1:68" ht="27" customHeight="1" x14ac:dyDescent="0.25">
      <c r="A151" s="63" t="s">
        <v>254</v>
      </c>
      <c r="B151" s="63" t="s">
        <v>255</v>
      </c>
      <c r="C151" s="36">
        <v>4301135824</v>
      </c>
      <c r="D151" s="291">
        <v>4607111039095</v>
      </c>
      <c r="E151" s="291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3"/>
      <c r="R151" s="293"/>
      <c r="S151" s="293"/>
      <c r="T151" s="294"/>
      <c r="U151" s="39" t="s">
        <v>46</v>
      </c>
      <c r="V151" s="39" t="s">
        <v>46</v>
      </c>
      <c r="W151" s="40" t="s">
        <v>39</v>
      </c>
      <c r="X151" s="58">
        <v>14</v>
      </c>
      <c r="Y151" s="55">
        <f>IFERROR(IF(X151="","",X151),"")</f>
        <v>14</v>
      </c>
      <c r="Z151" s="41">
        <f>IFERROR(IF(X151="","",X151*0.01788),"")</f>
        <v>0.25031999999999999</v>
      </c>
      <c r="AA151" s="68" t="s">
        <v>46</v>
      </c>
      <c r="AB151" s="69" t="s">
        <v>46</v>
      </c>
      <c r="AC151" s="203" t="s">
        <v>256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52.472000000000001</v>
      </c>
      <c r="BN151" s="81">
        <f>IFERROR(Y151*I151,"0")</f>
        <v>52.472000000000001</v>
      </c>
      <c r="BO151" s="81">
        <f>IFERROR(X151/J151,"0")</f>
        <v>0.2</v>
      </c>
      <c r="BP151" s="81">
        <f>IFERROR(Y151/J151,"0")</f>
        <v>0.2</v>
      </c>
    </row>
    <row r="152" spans="1:68" ht="16.5" customHeight="1" x14ac:dyDescent="0.25">
      <c r="A152" s="63" t="s">
        <v>257</v>
      </c>
      <c r="B152" s="63" t="s">
        <v>258</v>
      </c>
      <c r="C152" s="36">
        <v>4301135946</v>
      </c>
      <c r="D152" s="291">
        <v>4620207491553</v>
      </c>
      <c r="E152" s="291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4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3"/>
      <c r="R152" s="293"/>
      <c r="S152" s="293"/>
      <c r="T152" s="294"/>
      <c r="U152" s="39" t="s">
        <v>46</v>
      </c>
      <c r="V152" s="39" t="s">
        <v>46</v>
      </c>
      <c r="W152" s="40" t="s">
        <v>39</v>
      </c>
      <c r="X152" s="58">
        <v>112</v>
      </c>
      <c r="Y152" s="55">
        <f>IFERROR(IF(X152="","",X152),"")</f>
        <v>112</v>
      </c>
      <c r="Z152" s="41">
        <f>IFERROR(IF(X152="","",X152*0.01788),"")</f>
        <v>2.0025599999999999</v>
      </c>
      <c r="AA152" s="68" t="s">
        <v>46</v>
      </c>
      <c r="AB152" s="69" t="s">
        <v>46</v>
      </c>
      <c r="AC152" s="205" t="s">
        <v>259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414.80319999999995</v>
      </c>
      <c r="BN152" s="81">
        <f>IFERROR(Y152*I152,"0")</f>
        <v>414.80319999999995</v>
      </c>
      <c r="BO152" s="81">
        <f>IFERROR(X152/J152,"0")</f>
        <v>1.6</v>
      </c>
      <c r="BP152" s="81">
        <f>IFERROR(Y152/J152,"0")</f>
        <v>1.6</v>
      </c>
    </row>
    <row r="153" spans="1:68" x14ac:dyDescent="0.2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9"/>
      <c r="P153" s="295" t="s">
        <v>40</v>
      </c>
      <c r="Q153" s="296"/>
      <c r="R153" s="296"/>
      <c r="S153" s="296"/>
      <c r="T153" s="296"/>
      <c r="U153" s="296"/>
      <c r="V153" s="297"/>
      <c r="W153" s="42" t="s">
        <v>39</v>
      </c>
      <c r="X153" s="43">
        <f>IFERROR(SUM(X151:X152),"0")</f>
        <v>126</v>
      </c>
      <c r="Y153" s="43">
        <f>IFERROR(SUM(Y151:Y152),"0")</f>
        <v>126</v>
      </c>
      <c r="Z153" s="43">
        <f>IFERROR(IF(Z151="",0,Z151),"0")+IFERROR(IF(Z152="",0,Z152),"0")</f>
        <v>2.2528799999999998</v>
      </c>
      <c r="AA153" s="67"/>
      <c r="AB153" s="67"/>
      <c r="AC153" s="67"/>
    </row>
    <row r="154" spans="1:68" x14ac:dyDescent="0.2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9"/>
      <c r="P154" s="295" t="s">
        <v>40</v>
      </c>
      <c r="Q154" s="296"/>
      <c r="R154" s="296"/>
      <c r="S154" s="296"/>
      <c r="T154" s="296"/>
      <c r="U154" s="296"/>
      <c r="V154" s="297"/>
      <c r="W154" s="42" t="s">
        <v>0</v>
      </c>
      <c r="X154" s="43">
        <f>IFERROR(SUMPRODUCT(X151:X152*H151:H152),"0")</f>
        <v>378</v>
      </c>
      <c r="Y154" s="43">
        <f>IFERROR(SUMPRODUCT(Y151:Y152*H151:H152),"0")</f>
        <v>378</v>
      </c>
      <c r="Z154" s="42"/>
      <c r="AA154" s="67"/>
      <c r="AB154" s="67"/>
      <c r="AC154" s="67"/>
    </row>
    <row r="155" spans="1:68" ht="16.5" hidden="1" customHeight="1" x14ac:dyDescent="0.25">
      <c r="A155" s="321" t="s">
        <v>260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65"/>
      <c r="AB155" s="65"/>
      <c r="AC155" s="82"/>
    </row>
    <row r="156" spans="1:68" ht="14.25" hidden="1" customHeight="1" x14ac:dyDescent="0.25">
      <c r="A156" s="309" t="s">
        <v>151</v>
      </c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66"/>
      <c r="AB156" s="66"/>
      <c r="AC156" s="83"/>
    </row>
    <row r="157" spans="1:68" ht="27" customHeight="1" x14ac:dyDescent="0.25">
      <c r="A157" s="63" t="s">
        <v>261</v>
      </c>
      <c r="B157" s="63" t="s">
        <v>262</v>
      </c>
      <c r="C157" s="36">
        <v>4301135753</v>
      </c>
      <c r="D157" s="291">
        <v>4620207490914</v>
      </c>
      <c r="E157" s="291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3"/>
      <c r="R157" s="293"/>
      <c r="S157" s="293"/>
      <c r="T157" s="294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250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263</v>
      </c>
      <c r="B158" s="63" t="s">
        <v>264</v>
      </c>
      <c r="C158" s="36">
        <v>4301135778</v>
      </c>
      <c r="D158" s="291">
        <v>4620207490853</v>
      </c>
      <c r="E158" s="291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3"/>
      <c r="R158" s="293"/>
      <c r="S158" s="293"/>
      <c r="T158" s="294"/>
      <c r="U158" s="39" t="s">
        <v>46</v>
      </c>
      <c r="V158" s="39" t="s">
        <v>46</v>
      </c>
      <c r="W158" s="40" t="s">
        <v>39</v>
      </c>
      <c r="X158" s="58">
        <v>42</v>
      </c>
      <c r="Y158" s="55">
        <f>IFERROR(IF(X158="","",X158),"")</f>
        <v>42</v>
      </c>
      <c r="Z158" s="41">
        <f>IFERROR(IF(X158="","",X158*0.01788),"")</f>
        <v>0.75095999999999996</v>
      </c>
      <c r="AA158" s="68" t="s">
        <v>46</v>
      </c>
      <c r="AB158" s="69" t="s">
        <v>46</v>
      </c>
      <c r="AC158" s="209" t="s">
        <v>250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112.56</v>
      </c>
      <c r="BN158" s="81">
        <f>IFERROR(Y158*I158,"0")</f>
        <v>112.56</v>
      </c>
      <c r="BO158" s="81">
        <f>IFERROR(X158/J158,"0")</f>
        <v>0.6</v>
      </c>
      <c r="BP158" s="81">
        <f>IFERROR(Y158/J158,"0")</f>
        <v>0.6</v>
      </c>
    </row>
    <row r="159" spans="1:68" x14ac:dyDescent="0.2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9"/>
      <c r="P159" s="295" t="s">
        <v>40</v>
      </c>
      <c r="Q159" s="296"/>
      <c r="R159" s="296"/>
      <c r="S159" s="296"/>
      <c r="T159" s="296"/>
      <c r="U159" s="296"/>
      <c r="V159" s="297"/>
      <c r="W159" s="42" t="s">
        <v>39</v>
      </c>
      <c r="X159" s="43">
        <f>IFERROR(SUM(X157:X158),"0")</f>
        <v>70</v>
      </c>
      <c r="Y159" s="43">
        <f>IFERROR(SUM(Y157:Y158),"0")</f>
        <v>70</v>
      </c>
      <c r="Z159" s="43">
        <f>IFERROR(IF(Z157="",0,Z157),"0")+IFERROR(IF(Z158="",0,Z158),"0")</f>
        <v>1.2515999999999998</v>
      </c>
      <c r="AA159" s="67"/>
      <c r="AB159" s="67"/>
      <c r="AC159" s="67"/>
    </row>
    <row r="160" spans="1:68" x14ac:dyDescent="0.2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9"/>
      <c r="P160" s="295" t="s">
        <v>40</v>
      </c>
      <c r="Q160" s="296"/>
      <c r="R160" s="296"/>
      <c r="S160" s="296"/>
      <c r="T160" s="296"/>
      <c r="U160" s="296"/>
      <c r="V160" s="297"/>
      <c r="W160" s="42" t="s">
        <v>0</v>
      </c>
      <c r="X160" s="43">
        <f>IFERROR(SUMPRODUCT(X157:X158*H157:H158),"0")</f>
        <v>168</v>
      </c>
      <c r="Y160" s="43">
        <f>IFERROR(SUMPRODUCT(Y157:Y158*H157:H158),"0")</f>
        <v>168</v>
      </c>
      <c r="Z160" s="42"/>
      <c r="AA160" s="67"/>
      <c r="AB160" s="67"/>
      <c r="AC160" s="67"/>
    </row>
    <row r="161" spans="1:68" ht="16.5" hidden="1" customHeight="1" x14ac:dyDescent="0.25">
      <c r="A161" s="321" t="s">
        <v>265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65"/>
      <c r="AB161" s="65"/>
      <c r="AC161" s="82"/>
    </row>
    <row r="162" spans="1:68" ht="14.25" hidden="1" customHeight="1" x14ac:dyDescent="0.25">
      <c r="A162" s="309" t="s">
        <v>151</v>
      </c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66"/>
      <c r="AB162" s="66"/>
      <c r="AC162" s="83"/>
    </row>
    <row r="163" spans="1:68" ht="27" customHeight="1" x14ac:dyDescent="0.25">
      <c r="A163" s="63" t="s">
        <v>266</v>
      </c>
      <c r="B163" s="63" t="s">
        <v>267</v>
      </c>
      <c r="C163" s="36">
        <v>4301135570</v>
      </c>
      <c r="D163" s="291">
        <v>4607111035806</v>
      </c>
      <c r="E163" s="291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93"/>
      <c r="R163" s="293"/>
      <c r="S163" s="293"/>
      <c r="T163" s="294"/>
      <c r="U163" s="39" t="s">
        <v>46</v>
      </c>
      <c r="V163" s="39" t="s">
        <v>46</v>
      </c>
      <c r="W163" s="40" t="s">
        <v>39</v>
      </c>
      <c r="X163" s="58">
        <v>14</v>
      </c>
      <c r="Y163" s="55">
        <f>IFERROR(IF(X163="","",X163),"")</f>
        <v>14</v>
      </c>
      <c r="Z163" s="41">
        <f>IFERROR(IF(X163="","",X163*0.01788),"")</f>
        <v>0.25031999999999999</v>
      </c>
      <c r="AA163" s="68" t="s">
        <v>46</v>
      </c>
      <c r="AB163" s="69" t="s">
        <v>46</v>
      </c>
      <c r="AC163" s="211" t="s">
        <v>268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51.850399999999993</v>
      </c>
      <c r="BN163" s="81">
        <f>IFERROR(Y163*I163,"0")</f>
        <v>51.850399999999993</v>
      </c>
      <c r="BO163" s="81">
        <f>IFERROR(X163/J163,"0")</f>
        <v>0.2</v>
      </c>
      <c r="BP163" s="81">
        <f>IFERROR(Y163/J163,"0")</f>
        <v>0.2</v>
      </c>
    </row>
    <row r="164" spans="1:68" x14ac:dyDescent="0.2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9"/>
      <c r="P164" s="295" t="s">
        <v>40</v>
      </c>
      <c r="Q164" s="296"/>
      <c r="R164" s="296"/>
      <c r="S164" s="296"/>
      <c r="T164" s="296"/>
      <c r="U164" s="296"/>
      <c r="V164" s="297"/>
      <c r="W164" s="42" t="s">
        <v>39</v>
      </c>
      <c r="X164" s="43">
        <f>IFERROR(SUM(X163:X163),"0")</f>
        <v>14</v>
      </c>
      <c r="Y164" s="43">
        <f>IFERROR(SUM(Y163:Y163),"0")</f>
        <v>14</v>
      </c>
      <c r="Z164" s="43">
        <f>IFERROR(IF(Z163="",0,Z163),"0")</f>
        <v>0.25031999999999999</v>
      </c>
      <c r="AA164" s="67"/>
      <c r="AB164" s="67"/>
      <c r="AC164" s="67"/>
    </row>
    <row r="165" spans="1:68" x14ac:dyDescent="0.2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9"/>
      <c r="P165" s="295" t="s">
        <v>40</v>
      </c>
      <c r="Q165" s="296"/>
      <c r="R165" s="296"/>
      <c r="S165" s="296"/>
      <c r="T165" s="296"/>
      <c r="U165" s="296"/>
      <c r="V165" s="297"/>
      <c r="W165" s="42" t="s">
        <v>0</v>
      </c>
      <c r="X165" s="43">
        <f>IFERROR(SUMPRODUCT(X163:X163*H163:H163),"0")</f>
        <v>42</v>
      </c>
      <c r="Y165" s="43">
        <f>IFERROR(SUMPRODUCT(Y163:Y163*H163:H163),"0")</f>
        <v>42</v>
      </c>
      <c r="Z165" s="42"/>
      <c r="AA165" s="67"/>
      <c r="AB165" s="67"/>
      <c r="AC165" s="67"/>
    </row>
    <row r="166" spans="1:68" ht="16.5" hidden="1" customHeight="1" x14ac:dyDescent="0.25">
      <c r="A166" s="321" t="s">
        <v>269</v>
      </c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65"/>
      <c r="AB166" s="65"/>
      <c r="AC166" s="82"/>
    </row>
    <row r="167" spans="1:68" ht="14.25" hidden="1" customHeight="1" x14ac:dyDescent="0.25">
      <c r="A167" s="309" t="s">
        <v>151</v>
      </c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66"/>
      <c r="AB167" s="66"/>
      <c r="AC167" s="83"/>
    </row>
    <row r="168" spans="1:68" ht="16.5" hidden="1" customHeight="1" x14ac:dyDescent="0.25">
      <c r="A168" s="63" t="s">
        <v>270</v>
      </c>
      <c r="B168" s="63" t="s">
        <v>271</v>
      </c>
      <c r="C168" s="36">
        <v>4301135607</v>
      </c>
      <c r="D168" s="291">
        <v>4607111039613</v>
      </c>
      <c r="E168" s="291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3"/>
      <c r="R168" s="293"/>
      <c r="S168" s="293"/>
      <c r="T168" s="294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256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9"/>
      <c r="P169" s="295" t="s">
        <v>40</v>
      </c>
      <c r="Q169" s="296"/>
      <c r="R169" s="296"/>
      <c r="S169" s="296"/>
      <c r="T169" s="296"/>
      <c r="U169" s="296"/>
      <c r="V169" s="29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9"/>
      <c r="P170" s="295" t="s">
        <v>40</v>
      </c>
      <c r="Q170" s="296"/>
      <c r="R170" s="296"/>
      <c r="S170" s="296"/>
      <c r="T170" s="296"/>
      <c r="U170" s="296"/>
      <c r="V170" s="29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1" t="s">
        <v>272</v>
      </c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65"/>
      <c r="AB171" s="65"/>
      <c r="AC171" s="82"/>
    </row>
    <row r="172" spans="1:68" ht="14.25" hidden="1" customHeight="1" x14ac:dyDescent="0.25">
      <c r="A172" s="309" t="s">
        <v>151</v>
      </c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66"/>
      <c r="AB172" s="66"/>
      <c r="AC172" s="83"/>
    </row>
    <row r="173" spans="1:68" ht="27" hidden="1" customHeight="1" x14ac:dyDescent="0.25">
      <c r="A173" s="63" t="s">
        <v>273</v>
      </c>
      <c r="B173" s="63" t="s">
        <v>274</v>
      </c>
      <c r="C173" s="36">
        <v>4301135591</v>
      </c>
      <c r="D173" s="291">
        <v>4607111036568</v>
      </c>
      <c r="E173" s="291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3"/>
      <c r="R173" s="293"/>
      <c r="S173" s="293"/>
      <c r="T173" s="294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275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9"/>
      <c r="P174" s="295" t="s">
        <v>40</v>
      </c>
      <c r="Q174" s="296"/>
      <c r="R174" s="296"/>
      <c r="S174" s="296"/>
      <c r="T174" s="296"/>
      <c r="U174" s="296"/>
      <c r="V174" s="29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9"/>
      <c r="P175" s="295" t="s">
        <v>40</v>
      </c>
      <c r="Q175" s="296"/>
      <c r="R175" s="296"/>
      <c r="S175" s="296"/>
      <c r="T175" s="296"/>
      <c r="U175" s="296"/>
      <c r="V175" s="29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0" t="s">
        <v>276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54"/>
      <c r="AB176" s="54"/>
      <c r="AC176" s="54"/>
    </row>
    <row r="177" spans="1:68" ht="16.5" hidden="1" customHeight="1" x14ac:dyDescent="0.25">
      <c r="A177" s="321" t="s">
        <v>277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65"/>
      <c r="AB177" s="65"/>
      <c r="AC177" s="82"/>
    </row>
    <row r="178" spans="1:68" ht="14.25" hidden="1" customHeight="1" x14ac:dyDescent="0.25">
      <c r="A178" s="309" t="s">
        <v>82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66"/>
      <c r="AB178" s="66"/>
      <c r="AC178" s="83"/>
    </row>
    <row r="179" spans="1:68" ht="16.5" hidden="1" customHeight="1" x14ac:dyDescent="0.25">
      <c r="A179" s="63" t="s">
        <v>278</v>
      </c>
      <c r="B179" s="63" t="s">
        <v>279</v>
      </c>
      <c r="C179" s="36">
        <v>4301071062</v>
      </c>
      <c r="D179" s="291">
        <v>4607111036384</v>
      </c>
      <c r="E179" s="291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3"/>
      <c r="R179" s="293"/>
      <c r="S179" s="293"/>
      <c r="T179" s="294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281</v>
      </c>
      <c r="B180" s="63" t="s">
        <v>282</v>
      </c>
      <c r="C180" s="36">
        <v>4301071050</v>
      </c>
      <c r="D180" s="291">
        <v>4607111036216</v>
      </c>
      <c r="E180" s="291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3"/>
      <c r="R180" s="293"/>
      <c r="S180" s="293"/>
      <c r="T180" s="294"/>
      <c r="U180" s="39" t="s">
        <v>46</v>
      </c>
      <c r="V180" s="39" t="s">
        <v>46</v>
      </c>
      <c r="W180" s="40" t="s">
        <v>39</v>
      </c>
      <c r="X180" s="58">
        <v>12</v>
      </c>
      <c r="Y180" s="55">
        <f>IFERROR(IF(X180="","",X180),"")</f>
        <v>12</v>
      </c>
      <c r="Z180" s="41">
        <f>IFERROR(IF(X180="","",X180*0.00866),"")</f>
        <v>0.10391999999999998</v>
      </c>
      <c r="AA180" s="68" t="s">
        <v>46</v>
      </c>
      <c r="AB180" s="69" t="s">
        <v>46</v>
      </c>
      <c r="AC180" s="219" t="s">
        <v>283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62.558399999999992</v>
      </c>
      <c r="BN180" s="81">
        <f>IFERROR(Y180*I180,"0")</f>
        <v>62.558399999999992</v>
      </c>
      <c r="BO180" s="81">
        <f>IFERROR(X180/J180,"0")</f>
        <v>8.3333333333333329E-2</v>
      </c>
      <c r="BP180" s="81">
        <f>IFERROR(Y180/J180,"0")</f>
        <v>8.3333333333333329E-2</v>
      </c>
    </row>
    <row r="181" spans="1:68" x14ac:dyDescent="0.2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9"/>
      <c r="P181" s="295" t="s">
        <v>40</v>
      </c>
      <c r="Q181" s="296"/>
      <c r="R181" s="296"/>
      <c r="S181" s="296"/>
      <c r="T181" s="296"/>
      <c r="U181" s="296"/>
      <c r="V181" s="297"/>
      <c r="W181" s="42" t="s">
        <v>39</v>
      </c>
      <c r="X181" s="43">
        <f>IFERROR(SUM(X179:X180),"0")</f>
        <v>12</v>
      </c>
      <c r="Y181" s="43">
        <f>IFERROR(SUM(Y179:Y180),"0")</f>
        <v>12</v>
      </c>
      <c r="Z181" s="43">
        <f>IFERROR(IF(Z179="",0,Z179),"0")+IFERROR(IF(Z180="",0,Z180),"0")</f>
        <v>0.10391999999999998</v>
      </c>
      <c r="AA181" s="67"/>
      <c r="AB181" s="67"/>
      <c r="AC181" s="67"/>
    </row>
    <row r="182" spans="1:68" x14ac:dyDescent="0.2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9"/>
      <c r="P182" s="295" t="s">
        <v>40</v>
      </c>
      <c r="Q182" s="296"/>
      <c r="R182" s="296"/>
      <c r="S182" s="296"/>
      <c r="T182" s="296"/>
      <c r="U182" s="296"/>
      <c r="V182" s="297"/>
      <c r="W182" s="42" t="s">
        <v>0</v>
      </c>
      <c r="X182" s="43">
        <f>IFERROR(SUMPRODUCT(X179:X180*H179:H180),"0")</f>
        <v>60</v>
      </c>
      <c r="Y182" s="43">
        <f>IFERROR(SUMPRODUCT(Y179:Y180*H179:H180),"0")</f>
        <v>60</v>
      </c>
      <c r="Z182" s="42"/>
      <c r="AA182" s="67"/>
      <c r="AB182" s="67"/>
      <c r="AC182" s="67"/>
    </row>
    <row r="183" spans="1:68" ht="16.5" hidden="1" customHeight="1" x14ac:dyDescent="0.25">
      <c r="A183" s="321" t="s">
        <v>284</v>
      </c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65"/>
      <c r="AB183" s="65"/>
      <c r="AC183" s="82"/>
    </row>
    <row r="184" spans="1:68" ht="14.25" hidden="1" customHeight="1" x14ac:dyDescent="0.25">
      <c r="A184" s="309" t="s">
        <v>82</v>
      </c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66"/>
      <c r="AB184" s="66"/>
      <c r="AC184" s="83"/>
    </row>
    <row r="185" spans="1:68" ht="27" customHeight="1" x14ac:dyDescent="0.25">
      <c r="A185" s="63" t="s">
        <v>285</v>
      </c>
      <c r="B185" s="63" t="s">
        <v>286</v>
      </c>
      <c r="C185" s="36">
        <v>4301071117</v>
      </c>
      <c r="D185" s="291">
        <v>4620207491737</v>
      </c>
      <c r="E185" s="291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3"/>
      <c r="R185" s="293"/>
      <c r="S185" s="293"/>
      <c r="T185" s="294"/>
      <c r="U185" s="39" t="s">
        <v>46</v>
      </c>
      <c r="V185" s="39" t="s">
        <v>46</v>
      </c>
      <c r="W185" s="40" t="s">
        <v>39</v>
      </c>
      <c r="X185" s="58">
        <v>156</v>
      </c>
      <c r="Y185" s="55">
        <f>IFERROR(IF(X185="","",X185),"")</f>
        <v>156</v>
      </c>
      <c r="Z185" s="41">
        <f>IFERROR(IF(X185="","",X185*0.0155),"")</f>
        <v>2.4180000000000001</v>
      </c>
      <c r="AA185" s="68" t="s">
        <v>46</v>
      </c>
      <c r="AB185" s="69" t="s">
        <v>46</v>
      </c>
      <c r="AC185" s="221" t="s">
        <v>283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820.87199999999996</v>
      </c>
      <c r="BN185" s="81">
        <f>IFERROR(Y185*I185,"0")</f>
        <v>820.87199999999996</v>
      </c>
      <c r="BO185" s="81">
        <f>IFERROR(X185/J185,"0")</f>
        <v>1.8571428571428572</v>
      </c>
      <c r="BP185" s="81">
        <f>IFERROR(Y185/J185,"0")</f>
        <v>1.8571428571428572</v>
      </c>
    </row>
    <row r="186" spans="1:68" x14ac:dyDescent="0.2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9"/>
      <c r="P186" s="295" t="s">
        <v>40</v>
      </c>
      <c r="Q186" s="296"/>
      <c r="R186" s="296"/>
      <c r="S186" s="296"/>
      <c r="T186" s="296"/>
      <c r="U186" s="296"/>
      <c r="V186" s="297"/>
      <c r="W186" s="42" t="s">
        <v>39</v>
      </c>
      <c r="X186" s="43">
        <f>IFERROR(SUM(X185:X185),"0")</f>
        <v>156</v>
      </c>
      <c r="Y186" s="43">
        <f>IFERROR(SUM(Y185:Y185),"0")</f>
        <v>156</v>
      </c>
      <c r="Z186" s="43">
        <f>IFERROR(IF(Z185="",0,Z185),"0")</f>
        <v>2.4180000000000001</v>
      </c>
      <c r="AA186" s="67"/>
      <c r="AB186" s="67"/>
      <c r="AC186" s="67"/>
    </row>
    <row r="187" spans="1:68" x14ac:dyDescent="0.2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9"/>
      <c r="P187" s="295" t="s">
        <v>40</v>
      </c>
      <c r="Q187" s="296"/>
      <c r="R187" s="296"/>
      <c r="S187" s="296"/>
      <c r="T187" s="296"/>
      <c r="U187" s="296"/>
      <c r="V187" s="297"/>
      <c r="W187" s="42" t="s">
        <v>0</v>
      </c>
      <c r="X187" s="43">
        <f>IFERROR(SUMPRODUCT(X185:X185*H185:H185),"0")</f>
        <v>780</v>
      </c>
      <c r="Y187" s="43">
        <f>IFERROR(SUMPRODUCT(Y185:Y185*H185:H185),"0")</f>
        <v>780</v>
      </c>
      <c r="Z187" s="42"/>
      <c r="AA187" s="67"/>
      <c r="AB187" s="67"/>
      <c r="AC187" s="67"/>
    </row>
    <row r="188" spans="1:68" ht="27.75" hidden="1" customHeight="1" x14ac:dyDescent="0.2">
      <c r="A188" s="320" t="s">
        <v>287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54"/>
      <c r="AB188" s="54"/>
      <c r="AC188" s="54"/>
    </row>
    <row r="189" spans="1:68" ht="16.5" hidden="1" customHeight="1" x14ac:dyDescent="0.25">
      <c r="A189" s="321" t="s">
        <v>288</v>
      </c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65"/>
      <c r="AB189" s="65"/>
      <c r="AC189" s="82"/>
    </row>
    <row r="190" spans="1:68" ht="14.25" hidden="1" customHeight="1" x14ac:dyDescent="0.25">
      <c r="A190" s="309" t="s">
        <v>113</v>
      </c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66"/>
      <c r="AB190" s="66"/>
      <c r="AC190" s="83"/>
    </row>
    <row r="191" spans="1:68" ht="16.5" customHeight="1" x14ac:dyDescent="0.25">
      <c r="A191" s="63" t="s">
        <v>289</v>
      </c>
      <c r="B191" s="63" t="s">
        <v>290</v>
      </c>
      <c r="C191" s="36">
        <v>4301132179</v>
      </c>
      <c r="D191" s="291">
        <v>4607111035691</v>
      </c>
      <c r="E191" s="291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3"/>
      <c r="R191" s="293"/>
      <c r="S191" s="293"/>
      <c r="T191" s="294"/>
      <c r="U191" s="39" t="s">
        <v>46</v>
      </c>
      <c r="V191" s="39" t="s">
        <v>46</v>
      </c>
      <c r="W191" s="40" t="s">
        <v>39</v>
      </c>
      <c r="X191" s="58">
        <v>42</v>
      </c>
      <c r="Y191" s="55">
        <f>IFERROR(IF(X191="","",X191),"")</f>
        <v>42</v>
      </c>
      <c r="Z191" s="41">
        <f>IFERROR(IF(X191="","",X191*0.01788),"")</f>
        <v>0.75095999999999996</v>
      </c>
      <c r="AA191" s="68" t="s">
        <v>46</v>
      </c>
      <c r="AB191" s="69" t="s">
        <v>46</v>
      </c>
      <c r="AC191" s="223" t="s">
        <v>291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142.29599999999999</v>
      </c>
      <c r="BN191" s="81">
        <f>IFERROR(Y191*I191,"0")</f>
        <v>142.29599999999999</v>
      </c>
      <c r="BO191" s="81">
        <f>IFERROR(X191/J191,"0")</f>
        <v>0.6</v>
      </c>
      <c r="BP191" s="81">
        <f>IFERROR(Y191/J191,"0")</f>
        <v>0.6</v>
      </c>
    </row>
    <row r="192" spans="1:68" ht="27" customHeight="1" x14ac:dyDescent="0.25">
      <c r="A192" s="63" t="s">
        <v>292</v>
      </c>
      <c r="B192" s="63" t="s">
        <v>293</v>
      </c>
      <c r="C192" s="36">
        <v>4301132182</v>
      </c>
      <c r="D192" s="291">
        <v>4607111035721</v>
      </c>
      <c r="E192" s="291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3"/>
      <c r="R192" s="293"/>
      <c r="S192" s="293"/>
      <c r="T192" s="294"/>
      <c r="U192" s="39" t="s">
        <v>46</v>
      </c>
      <c r="V192" s="39" t="s">
        <v>46</v>
      </c>
      <c r="W192" s="40" t="s">
        <v>39</v>
      </c>
      <c r="X192" s="58">
        <v>14</v>
      </c>
      <c r="Y192" s="55">
        <f>IFERROR(IF(X192="","",X192),"")</f>
        <v>14</v>
      </c>
      <c r="Z192" s="41">
        <f>IFERROR(IF(X192="","",X192*0.01788),"")</f>
        <v>0.25031999999999999</v>
      </c>
      <c r="AA192" s="68" t="s">
        <v>46</v>
      </c>
      <c r="AB192" s="69" t="s">
        <v>46</v>
      </c>
      <c r="AC192" s="225" t="s">
        <v>294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47.432000000000002</v>
      </c>
      <c r="BN192" s="81">
        <f>IFERROR(Y192*I192,"0")</f>
        <v>47.432000000000002</v>
      </c>
      <c r="BO192" s="81">
        <f>IFERROR(X192/J192,"0")</f>
        <v>0.2</v>
      </c>
      <c r="BP192" s="81">
        <f>IFERROR(Y192/J192,"0")</f>
        <v>0.2</v>
      </c>
    </row>
    <row r="193" spans="1:68" ht="27" customHeight="1" x14ac:dyDescent="0.25">
      <c r="A193" s="63" t="s">
        <v>295</v>
      </c>
      <c r="B193" s="63" t="s">
        <v>296</v>
      </c>
      <c r="C193" s="36">
        <v>4301132170</v>
      </c>
      <c r="D193" s="291">
        <v>4607111038487</v>
      </c>
      <c r="E193" s="291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3"/>
      <c r="R193" s="293"/>
      <c r="S193" s="293"/>
      <c r="T193" s="294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297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209.21600000000001</v>
      </c>
      <c r="BN193" s="81">
        <f>IFERROR(Y193*I193,"0")</f>
        <v>209.21600000000001</v>
      </c>
      <c r="BO193" s="81">
        <f>IFERROR(X193/J193,"0")</f>
        <v>0.8</v>
      </c>
      <c r="BP193" s="81">
        <f>IFERROR(Y193/J193,"0")</f>
        <v>0.8</v>
      </c>
    </row>
    <row r="194" spans="1:68" ht="27" customHeight="1" x14ac:dyDescent="0.25">
      <c r="A194" s="63" t="s">
        <v>298</v>
      </c>
      <c r="B194" s="63" t="s">
        <v>299</v>
      </c>
      <c r="C194" s="36">
        <v>4301132243</v>
      </c>
      <c r="D194" s="291">
        <v>4620207491195</v>
      </c>
      <c r="E194" s="291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14</v>
      </c>
      <c r="Y194" s="55">
        <f>IFERROR(IF(X194="","",X194),"")</f>
        <v>14</v>
      </c>
      <c r="Z194" s="41">
        <f>IFERROR(IF(X194="","",X194*0.01788),"")</f>
        <v>0.25031999999999999</v>
      </c>
      <c r="AA194" s="68" t="s">
        <v>46</v>
      </c>
      <c r="AB194" s="69" t="s">
        <v>46</v>
      </c>
      <c r="AC194" s="229" t="s">
        <v>300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44.072000000000003</v>
      </c>
      <c r="BN194" s="81">
        <f>IFERROR(Y194*I194,"0")</f>
        <v>44.072000000000003</v>
      </c>
      <c r="BO194" s="81">
        <f>IFERROR(X194/J194,"0")</f>
        <v>0.2</v>
      </c>
      <c r="BP194" s="81">
        <f>IFERROR(Y194/J194,"0")</f>
        <v>0.2</v>
      </c>
    </row>
    <row r="195" spans="1:68" x14ac:dyDescent="0.2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9"/>
      <c r="P195" s="295" t="s">
        <v>40</v>
      </c>
      <c r="Q195" s="296"/>
      <c r="R195" s="296"/>
      <c r="S195" s="296"/>
      <c r="T195" s="296"/>
      <c r="U195" s="296"/>
      <c r="V195" s="297"/>
      <c r="W195" s="42" t="s">
        <v>39</v>
      </c>
      <c r="X195" s="43">
        <f>IFERROR(SUM(X191:X194),"0")</f>
        <v>126</v>
      </c>
      <c r="Y195" s="43">
        <f>IFERROR(SUM(Y191:Y194),"0")</f>
        <v>126</v>
      </c>
      <c r="Z195" s="43">
        <f>IFERROR(IF(Z191="",0,Z191),"0")+IFERROR(IF(Z192="",0,Z192),"0")+IFERROR(IF(Z193="",0,Z193),"0")+IFERROR(IF(Z194="",0,Z194),"0")</f>
        <v>2.2528799999999998</v>
      </c>
      <c r="AA195" s="67"/>
      <c r="AB195" s="67"/>
      <c r="AC195" s="67"/>
    </row>
    <row r="196" spans="1:68" x14ac:dyDescent="0.2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9"/>
      <c r="P196" s="295" t="s">
        <v>40</v>
      </c>
      <c r="Q196" s="296"/>
      <c r="R196" s="296"/>
      <c r="S196" s="296"/>
      <c r="T196" s="296"/>
      <c r="U196" s="296"/>
      <c r="V196" s="297"/>
      <c r="W196" s="42" t="s">
        <v>0</v>
      </c>
      <c r="X196" s="43">
        <f>IFERROR(SUMPRODUCT(X191:X194*H191:H194),"0")</f>
        <v>374.64</v>
      </c>
      <c r="Y196" s="43">
        <f>IFERROR(SUMPRODUCT(Y191:Y194*H191:H194),"0")</f>
        <v>374.64</v>
      </c>
      <c r="Z196" s="42"/>
      <c r="AA196" s="67"/>
      <c r="AB196" s="67"/>
      <c r="AC196" s="67"/>
    </row>
    <row r="197" spans="1:68" ht="27.75" hidden="1" customHeight="1" x14ac:dyDescent="0.2">
      <c r="A197" s="320" t="s">
        <v>301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54"/>
      <c r="AB197" s="54"/>
      <c r="AC197" s="54"/>
    </row>
    <row r="198" spans="1:68" ht="16.5" hidden="1" customHeight="1" x14ac:dyDescent="0.25">
      <c r="A198" s="321" t="s">
        <v>302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65"/>
      <c r="AB198" s="65"/>
      <c r="AC198" s="82"/>
    </row>
    <row r="199" spans="1:68" ht="14.25" hidden="1" customHeight="1" x14ac:dyDescent="0.25">
      <c r="A199" s="309" t="s">
        <v>113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66"/>
      <c r="AB199" s="66"/>
      <c r="AC199" s="83"/>
    </row>
    <row r="200" spans="1:68" ht="27" hidden="1" customHeight="1" x14ac:dyDescent="0.25">
      <c r="A200" s="63" t="s">
        <v>303</v>
      </c>
      <c r="B200" s="63" t="s">
        <v>304</v>
      </c>
      <c r="C200" s="36">
        <v>4301132227</v>
      </c>
      <c r="D200" s="291">
        <v>4620207491133</v>
      </c>
      <c r="E200" s="291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3"/>
      <c r="R200" s="293"/>
      <c r="S200" s="293"/>
      <c r="T200" s="294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305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9"/>
      <c r="P201" s="295" t="s">
        <v>40</v>
      </c>
      <c r="Q201" s="296"/>
      <c r="R201" s="296"/>
      <c r="S201" s="296"/>
      <c r="T201" s="296"/>
      <c r="U201" s="296"/>
      <c r="V201" s="297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9"/>
      <c r="P202" s="295" t="s">
        <v>40</v>
      </c>
      <c r="Q202" s="296"/>
      <c r="R202" s="296"/>
      <c r="S202" s="296"/>
      <c r="T202" s="296"/>
      <c r="U202" s="296"/>
      <c r="V202" s="297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09" t="s">
        <v>151</v>
      </c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  <c r="AA203" s="66"/>
      <c r="AB203" s="66"/>
      <c r="AC203" s="83"/>
    </row>
    <row r="204" spans="1:68" ht="27" hidden="1" customHeight="1" x14ac:dyDescent="0.25">
      <c r="A204" s="63" t="s">
        <v>306</v>
      </c>
      <c r="B204" s="63" t="s">
        <v>307</v>
      </c>
      <c r="C204" s="36">
        <v>4301135834</v>
      </c>
      <c r="D204" s="291">
        <v>4620207491188</v>
      </c>
      <c r="E204" s="291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3"/>
      <c r="R204" s="293"/>
      <c r="S204" s="293"/>
      <c r="T204" s="294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4301135696</v>
      </c>
      <c r="D205" s="291">
        <v>4620207490235</v>
      </c>
      <c r="E205" s="291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3"/>
      <c r="R205" s="293"/>
      <c r="S205" s="293"/>
      <c r="T205" s="294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312</v>
      </c>
      <c r="B206" s="63" t="s">
        <v>313</v>
      </c>
      <c r="C206" s="36">
        <v>4301135697</v>
      </c>
      <c r="D206" s="291">
        <v>4620207490259</v>
      </c>
      <c r="E206" s="291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3"/>
      <c r="R206" s="293"/>
      <c r="S206" s="293"/>
      <c r="T206" s="294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314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9"/>
      <c r="P207" s="295" t="s">
        <v>40</v>
      </c>
      <c r="Q207" s="296"/>
      <c r="R207" s="296"/>
      <c r="S207" s="296"/>
      <c r="T207" s="296"/>
      <c r="U207" s="296"/>
      <c r="V207" s="29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9"/>
      <c r="P208" s="295" t="s">
        <v>40</v>
      </c>
      <c r="Q208" s="296"/>
      <c r="R208" s="296"/>
      <c r="S208" s="296"/>
      <c r="T208" s="296"/>
      <c r="U208" s="296"/>
      <c r="V208" s="29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1" t="s">
        <v>315</v>
      </c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65"/>
      <c r="AB209" s="65"/>
      <c r="AC209" s="82"/>
    </row>
    <row r="210" spans="1:68" ht="14.25" hidden="1" customHeight="1" x14ac:dyDescent="0.25">
      <c r="A210" s="309" t="s">
        <v>151</v>
      </c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66"/>
      <c r="AB210" s="66"/>
      <c r="AC210" s="83"/>
    </row>
    <row r="211" spans="1:68" ht="27" hidden="1" customHeight="1" x14ac:dyDescent="0.25">
      <c r="A211" s="63" t="s">
        <v>316</v>
      </c>
      <c r="B211" s="63" t="s">
        <v>317</v>
      </c>
      <c r="C211" s="36">
        <v>4301135854</v>
      </c>
      <c r="D211" s="291">
        <v>4620207491706</v>
      </c>
      <c r="E211" s="291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3"/>
      <c r="R211" s="293"/>
      <c r="S211" s="293"/>
      <c r="T211" s="294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319</v>
      </c>
      <c r="B212" s="63" t="s">
        <v>320</v>
      </c>
      <c r="C212" s="36">
        <v>4301135895</v>
      </c>
      <c r="D212" s="291">
        <v>4620207491522</v>
      </c>
      <c r="E212" s="291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3"/>
      <c r="R212" s="293"/>
      <c r="S212" s="293"/>
      <c r="T212" s="294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321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9"/>
      <c r="P213" s="295" t="s">
        <v>40</v>
      </c>
      <c r="Q213" s="296"/>
      <c r="R213" s="296"/>
      <c r="S213" s="296"/>
      <c r="T213" s="296"/>
      <c r="U213" s="296"/>
      <c r="V213" s="29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9"/>
      <c r="P214" s="295" t="s">
        <v>40</v>
      </c>
      <c r="Q214" s="296"/>
      <c r="R214" s="296"/>
      <c r="S214" s="296"/>
      <c r="T214" s="296"/>
      <c r="U214" s="296"/>
      <c r="V214" s="29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1" t="s">
        <v>322</v>
      </c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65"/>
      <c r="AB215" s="65"/>
      <c r="AC215" s="82"/>
    </row>
    <row r="216" spans="1:68" ht="14.25" hidden="1" customHeight="1" x14ac:dyDescent="0.25">
      <c r="A216" s="309" t="s">
        <v>82</v>
      </c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66"/>
      <c r="AB216" s="66"/>
      <c r="AC216" s="83"/>
    </row>
    <row r="217" spans="1:68" ht="27" customHeight="1" x14ac:dyDescent="0.25">
      <c r="A217" s="63" t="s">
        <v>323</v>
      </c>
      <c r="B217" s="63" t="s">
        <v>324</v>
      </c>
      <c r="C217" s="36">
        <v>4301071097</v>
      </c>
      <c r="D217" s="291">
        <v>4620207491096</v>
      </c>
      <c r="E217" s="291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3"/>
      <c r="R217" s="293"/>
      <c r="S217" s="293"/>
      <c r="T217" s="294"/>
      <c r="U217" s="39" t="s">
        <v>46</v>
      </c>
      <c r="V217" s="39" t="s">
        <v>46</v>
      </c>
      <c r="W217" s="40" t="s">
        <v>39</v>
      </c>
      <c r="X217" s="58">
        <v>120</v>
      </c>
      <c r="Y217" s="55">
        <f>IFERROR(IF(X217="","",X217),"")</f>
        <v>120</v>
      </c>
      <c r="Z217" s="41">
        <f>IFERROR(IF(X217="","",X217*0.0155),"")</f>
        <v>1.8599999999999999</v>
      </c>
      <c r="AA217" s="68" t="s">
        <v>46</v>
      </c>
      <c r="AB217" s="69" t="s">
        <v>46</v>
      </c>
      <c r="AC217" s="243" t="s">
        <v>325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627.6</v>
      </c>
      <c r="BN217" s="81">
        <f>IFERROR(Y217*I217,"0")</f>
        <v>627.6</v>
      </c>
      <c r="BO217" s="81">
        <f>IFERROR(X217/J217,"0")</f>
        <v>1.4285714285714286</v>
      </c>
      <c r="BP217" s="81">
        <f>IFERROR(Y217/J217,"0")</f>
        <v>1.4285714285714286</v>
      </c>
    </row>
    <row r="218" spans="1:68" x14ac:dyDescent="0.2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9"/>
      <c r="P218" s="295" t="s">
        <v>40</v>
      </c>
      <c r="Q218" s="296"/>
      <c r="R218" s="296"/>
      <c r="S218" s="296"/>
      <c r="T218" s="296"/>
      <c r="U218" s="296"/>
      <c r="V218" s="297"/>
      <c r="W218" s="42" t="s">
        <v>39</v>
      </c>
      <c r="X218" s="43">
        <f>IFERROR(SUM(X217:X217),"0")</f>
        <v>120</v>
      </c>
      <c r="Y218" s="43">
        <f>IFERROR(SUM(Y217:Y217),"0")</f>
        <v>120</v>
      </c>
      <c r="Z218" s="43">
        <f>IFERROR(IF(Z217="",0,Z217),"0")</f>
        <v>1.8599999999999999</v>
      </c>
      <c r="AA218" s="67"/>
      <c r="AB218" s="67"/>
      <c r="AC218" s="67"/>
    </row>
    <row r="219" spans="1:68" x14ac:dyDescent="0.2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9"/>
      <c r="P219" s="295" t="s">
        <v>40</v>
      </c>
      <c r="Q219" s="296"/>
      <c r="R219" s="296"/>
      <c r="S219" s="296"/>
      <c r="T219" s="296"/>
      <c r="U219" s="296"/>
      <c r="V219" s="297"/>
      <c r="W219" s="42" t="s">
        <v>0</v>
      </c>
      <c r="X219" s="43">
        <f>IFERROR(SUMPRODUCT(X217:X217*H217:H217),"0")</f>
        <v>600</v>
      </c>
      <c r="Y219" s="43">
        <f>IFERROR(SUMPRODUCT(Y217:Y217*H217:H217),"0")</f>
        <v>600</v>
      </c>
      <c r="Z219" s="42"/>
      <c r="AA219" s="67"/>
      <c r="AB219" s="67"/>
      <c r="AC219" s="67"/>
    </row>
    <row r="220" spans="1:68" ht="16.5" hidden="1" customHeight="1" x14ac:dyDescent="0.25">
      <c r="A220" s="321" t="s">
        <v>326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65"/>
      <c r="AB220" s="65"/>
      <c r="AC220" s="82"/>
    </row>
    <row r="221" spans="1:68" ht="14.25" hidden="1" customHeight="1" x14ac:dyDescent="0.25">
      <c r="A221" s="309" t="s">
        <v>151</v>
      </c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  <c r="AA221" s="66"/>
      <c r="AB221" s="66"/>
      <c r="AC221" s="83"/>
    </row>
    <row r="222" spans="1:68" ht="27" hidden="1" customHeight="1" x14ac:dyDescent="0.25">
      <c r="A222" s="63" t="s">
        <v>327</v>
      </c>
      <c r="B222" s="63" t="s">
        <v>328</v>
      </c>
      <c r="C222" s="36">
        <v>4301135694</v>
      </c>
      <c r="D222" s="291">
        <v>4620207490501</v>
      </c>
      <c r="E222" s="291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3"/>
      <c r="R222" s="293"/>
      <c r="S222" s="293"/>
      <c r="T222" s="294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329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9"/>
      <c r="P223" s="295" t="s">
        <v>40</v>
      </c>
      <c r="Q223" s="296"/>
      <c r="R223" s="296"/>
      <c r="S223" s="296"/>
      <c r="T223" s="296"/>
      <c r="U223" s="296"/>
      <c r="V223" s="29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9"/>
      <c r="P224" s="295" t="s">
        <v>40</v>
      </c>
      <c r="Q224" s="296"/>
      <c r="R224" s="296"/>
      <c r="S224" s="296"/>
      <c r="T224" s="296"/>
      <c r="U224" s="296"/>
      <c r="V224" s="29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0" t="s">
        <v>330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54"/>
      <c r="AB225" s="54"/>
      <c r="AC225" s="54"/>
    </row>
    <row r="226" spans="1:68" ht="16.5" hidden="1" customHeight="1" x14ac:dyDescent="0.25">
      <c r="A226" s="321" t="s">
        <v>331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65"/>
      <c r="AB226" s="65"/>
      <c r="AC226" s="82"/>
    </row>
    <row r="227" spans="1:68" ht="14.25" hidden="1" customHeight="1" x14ac:dyDescent="0.25">
      <c r="A227" s="309" t="s">
        <v>82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66"/>
      <c r="AB227" s="66"/>
      <c r="AC227" s="83"/>
    </row>
    <row r="228" spans="1:68" ht="27" hidden="1" customHeight="1" x14ac:dyDescent="0.25">
      <c r="A228" s="63" t="s">
        <v>332</v>
      </c>
      <c r="B228" s="63" t="s">
        <v>333</v>
      </c>
      <c r="C228" s="36">
        <v>4301071036</v>
      </c>
      <c r="D228" s="291">
        <v>4607111036162</v>
      </c>
      <c r="E228" s="291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3"/>
      <c r="R228" s="293"/>
      <c r="S228" s="293"/>
      <c r="T228" s="294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334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9"/>
      <c r="P229" s="295" t="s">
        <v>40</v>
      </c>
      <c r="Q229" s="296"/>
      <c r="R229" s="296"/>
      <c r="S229" s="296"/>
      <c r="T229" s="296"/>
      <c r="U229" s="296"/>
      <c r="V229" s="29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9"/>
      <c r="P230" s="295" t="s">
        <v>40</v>
      </c>
      <c r="Q230" s="296"/>
      <c r="R230" s="296"/>
      <c r="S230" s="296"/>
      <c r="T230" s="296"/>
      <c r="U230" s="296"/>
      <c r="V230" s="29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0" t="s">
        <v>335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54"/>
      <c r="AB231" s="54"/>
      <c r="AC231" s="54"/>
    </row>
    <row r="232" spans="1:68" ht="16.5" hidden="1" customHeight="1" x14ac:dyDescent="0.25">
      <c r="A232" s="321" t="s">
        <v>336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65"/>
      <c r="AB232" s="65"/>
      <c r="AC232" s="82"/>
    </row>
    <row r="233" spans="1:68" ht="14.25" hidden="1" customHeight="1" x14ac:dyDescent="0.25">
      <c r="A233" s="309" t="s">
        <v>337</v>
      </c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66"/>
      <c r="AB233" s="66"/>
      <c r="AC233" s="83"/>
    </row>
    <row r="234" spans="1:68" ht="27" hidden="1" customHeight="1" x14ac:dyDescent="0.25">
      <c r="A234" s="63" t="s">
        <v>338</v>
      </c>
      <c r="B234" s="63" t="s">
        <v>339</v>
      </c>
      <c r="C234" s="36">
        <v>4301133004</v>
      </c>
      <c r="D234" s="291">
        <v>4607111039774</v>
      </c>
      <c r="E234" s="291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3"/>
      <c r="R234" s="293"/>
      <c r="S234" s="293"/>
      <c r="T234" s="294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340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9"/>
      <c r="P235" s="295" t="s">
        <v>40</v>
      </c>
      <c r="Q235" s="296"/>
      <c r="R235" s="296"/>
      <c r="S235" s="296"/>
      <c r="T235" s="296"/>
      <c r="U235" s="296"/>
      <c r="V235" s="29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9"/>
      <c r="P236" s="295" t="s">
        <v>40</v>
      </c>
      <c r="Q236" s="296"/>
      <c r="R236" s="296"/>
      <c r="S236" s="296"/>
      <c r="T236" s="296"/>
      <c r="U236" s="296"/>
      <c r="V236" s="29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09" t="s">
        <v>151</v>
      </c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  <c r="AA237" s="66"/>
      <c r="AB237" s="66"/>
      <c r="AC237" s="83"/>
    </row>
    <row r="238" spans="1:68" ht="37.5" hidden="1" customHeight="1" x14ac:dyDescent="0.25">
      <c r="A238" s="63" t="s">
        <v>341</v>
      </c>
      <c r="B238" s="63" t="s">
        <v>342</v>
      </c>
      <c r="C238" s="36">
        <v>4301135400</v>
      </c>
      <c r="D238" s="291">
        <v>4607111039361</v>
      </c>
      <c r="E238" s="291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3"/>
      <c r="R238" s="293"/>
      <c r="S238" s="293"/>
      <c r="T238" s="294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340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9"/>
      <c r="P240" s="295" t="s">
        <v>40</v>
      </c>
      <c r="Q240" s="296"/>
      <c r="R240" s="296"/>
      <c r="S240" s="296"/>
      <c r="T240" s="296"/>
      <c r="U240" s="296"/>
      <c r="V240" s="297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0" t="s">
        <v>343</v>
      </c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54"/>
      <c r="AB241" s="54"/>
      <c r="AC241" s="54"/>
    </row>
    <row r="242" spans="1:68" ht="16.5" hidden="1" customHeight="1" x14ac:dyDescent="0.25">
      <c r="A242" s="321" t="s">
        <v>343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65"/>
      <c r="AB242" s="65"/>
      <c r="AC242" s="82"/>
    </row>
    <row r="243" spans="1:68" ht="14.25" hidden="1" customHeight="1" x14ac:dyDescent="0.25">
      <c r="A243" s="309" t="s">
        <v>113</v>
      </c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66"/>
      <c r="AB243" s="66"/>
      <c r="AC243" s="83"/>
    </row>
    <row r="244" spans="1:68" ht="27" hidden="1" customHeight="1" x14ac:dyDescent="0.25">
      <c r="A244" s="63" t="s">
        <v>344</v>
      </c>
      <c r="B244" s="63" t="s">
        <v>345</v>
      </c>
      <c r="C244" s="36">
        <v>4301132228</v>
      </c>
      <c r="D244" s="291">
        <v>4640242181950</v>
      </c>
      <c r="E244" s="291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1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3"/>
      <c r="R244" s="293"/>
      <c r="S244" s="293"/>
      <c r="T244" s="294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346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9"/>
      <c r="P245" s="295" t="s">
        <v>40</v>
      </c>
      <c r="Q245" s="296"/>
      <c r="R245" s="296"/>
      <c r="S245" s="296"/>
      <c r="T245" s="296"/>
      <c r="U245" s="296"/>
      <c r="V245" s="29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9"/>
      <c r="P246" s="295" t="s">
        <v>40</v>
      </c>
      <c r="Q246" s="296"/>
      <c r="R246" s="296"/>
      <c r="S246" s="296"/>
      <c r="T246" s="296"/>
      <c r="U246" s="296"/>
      <c r="V246" s="29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hidden="1" customHeight="1" x14ac:dyDescent="0.2">
      <c r="A247" s="320" t="s">
        <v>347</v>
      </c>
      <c r="B247" s="320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54"/>
      <c r="AB247" s="54"/>
      <c r="AC247" s="54"/>
    </row>
    <row r="248" spans="1:68" ht="16.5" hidden="1" customHeight="1" x14ac:dyDescent="0.25">
      <c r="A248" s="321" t="s">
        <v>347</v>
      </c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65"/>
      <c r="AB248" s="65"/>
      <c r="AC248" s="82"/>
    </row>
    <row r="249" spans="1:68" ht="14.25" hidden="1" customHeight="1" x14ac:dyDescent="0.25">
      <c r="A249" s="309" t="s">
        <v>82</v>
      </c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66"/>
      <c r="AB249" s="66"/>
      <c r="AC249" s="83"/>
    </row>
    <row r="250" spans="1:68" ht="27" hidden="1" customHeight="1" x14ac:dyDescent="0.25">
      <c r="A250" s="63" t="s">
        <v>348</v>
      </c>
      <c r="B250" s="63" t="s">
        <v>349</v>
      </c>
      <c r="C250" s="36">
        <v>4301071014</v>
      </c>
      <c r="D250" s="291">
        <v>4640242181264</v>
      </c>
      <c r="E250" s="291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87</v>
      </c>
      <c r="L250" s="37" t="s">
        <v>88</v>
      </c>
      <c r="M250" s="38" t="s">
        <v>86</v>
      </c>
      <c r="N250" s="38"/>
      <c r="O250" s="37">
        <v>180</v>
      </c>
      <c r="P250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93"/>
      <c r="R250" s="293"/>
      <c r="S250" s="293"/>
      <c r="T250" s="294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350</v>
      </c>
      <c r="AG250" s="81"/>
      <c r="AJ250" s="87" t="s">
        <v>89</v>
      </c>
      <c r="AK250" s="87">
        <v>1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hidden="1" customHeight="1" x14ac:dyDescent="0.25">
      <c r="A251" s="63" t="s">
        <v>351</v>
      </c>
      <c r="B251" s="63" t="s">
        <v>352</v>
      </c>
      <c r="C251" s="36">
        <v>4301071021</v>
      </c>
      <c r="D251" s="291">
        <v>4640242181325</v>
      </c>
      <c r="E251" s="291"/>
      <c r="F251" s="62">
        <v>0.7</v>
      </c>
      <c r="G251" s="37">
        <v>10</v>
      </c>
      <c r="H251" s="62">
        <v>7</v>
      </c>
      <c r="I251" s="62">
        <v>7.28</v>
      </c>
      <c r="J251" s="37">
        <v>84</v>
      </c>
      <c r="K251" s="37" t="s">
        <v>87</v>
      </c>
      <c r="L251" s="37" t="s">
        <v>88</v>
      </c>
      <c r="M251" s="38" t="s">
        <v>86</v>
      </c>
      <c r="N251" s="38"/>
      <c r="O251" s="37">
        <v>180</v>
      </c>
      <c r="P251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1" s="293"/>
      <c r="R251" s="293"/>
      <c r="S251" s="293"/>
      <c r="T251" s="294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57" t="s">
        <v>350</v>
      </c>
      <c r="AG251" s="81"/>
      <c r="AJ251" s="87" t="s">
        <v>89</v>
      </c>
      <c r="AK251" s="87">
        <v>1</v>
      </c>
      <c r="BB251" s="258" t="s">
        <v>70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9"/>
      <c r="P252" s="295" t="s">
        <v>40</v>
      </c>
      <c r="Q252" s="296"/>
      <c r="R252" s="296"/>
      <c r="S252" s="296"/>
      <c r="T252" s="296"/>
      <c r="U252" s="296"/>
      <c r="V252" s="297"/>
      <c r="W252" s="42" t="s">
        <v>39</v>
      </c>
      <c r="X252" s="43">
        <f>IFERROR(SUM(X250:X251),"0")</f>
        <v>0</v>
      </c>
      <c r="Y252" s="43">
        <f>IFERROR(SUM(Y250:Y251),"0")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9"/>
      <c r="P253" s="295" t="s">
        <v>40</v>
      </c>
      <c r="Q253" s="296"/>
      <c r="R253" s="296"/>
      <c r="S253" s="296"/>
      <c r="T253" s="296"/>
      <c r="U253" s="296"/>
      <c r="V253" s="297"/>
      <c r="W253" s="42" t="s">
        <v>0</v>
      </c>
      <c r="X253" s="43">
        <f>IFERROR(SUMPRODUCT(X250:X251*H250:H251),"0")</f>
        <v>0</v>
      </c>
      <c r="Y253" s="43">
        <f>IFERROR(SUMPRODUCT(Y250:Y251*H250:H251),"0")</f>
        <v>0</v>
      </c>
      <c r="Z253" s="42"/>
      <c r="AA253" s="67"/>
      <c r="AB253" s="67"/>
      <c r="AC253" s="67"/>
    </row>
    <row r="254" spans="1:68" ht="14.25" hidden="1" customHeight="1" x14ac:dyDescent="0.25">
      <c r="A254" s="309" t="s">
        <v>113</v>
      </c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  <c r="AA254" s="66"/>
      <c r="AB254" s="66"/>
      <c r="AC254" s="83"/>
    </row>
    <row r="255" spans="1:68" ht="27" customHeight="1" x14ac:dyDescent="0.25">
      <c r="A255" s="63" t="s">
        <v>353</v>
      </c>
      <c r="B255" s="63" t="s">
        <v>354</v>
      </c>
      <c r="C255" s="36">
        <v>4301132080</v>
      </c>
      <c r="D255" s="291">
        <v>4640242180397</v>
      </c>
      <c r="E255" s="291"/>
      <c r="F255" s="62">
        <v>1</v>
      </c>
      <c r="G255" s="37">
        <v>6</v>
      </c>
      <c r="H255" s="62">
        <v>6</v>
      </c>
      <c r="I255" s="62">
        <v>6.26</v>
      </c>
      <c r="J255" s="37">
        <v>84</v>
      </c>
      <c r="K255" s="37" t="s">
        <v>87</v>
      </c>
      <c r="L255" s="37" t="s">
        <v>119</v>
      </c>
      <c r="M255" s="38" t="s">
        <v>86</v>
      </c>
      <c r="N255" s="38"/>
      <c r="O255" s="37">
        <v>180</v>
      </c>
      <c r="P255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5" s="293"/>
      <c r="R255" s="293"/>
      <c r="S255" s="293"/>
      <c r="T255" s="294"/>
      <c r="U255" s="39" t="s">
        <v>46</v>
      </c>
      <c r="V255" s="39" t="s">
        <v>46</v>
      </c>
      <c r="W255" s="40" t="s">
        <v>39</v>
      </c>
      <c r="X255" s="58">
        <v>72</v>
      </c>
      <c r="Y255" s="55">
        <f>IFERROR(IF(X255="","",X255),"")</f>
        <v>72</v>
      </c>
      <c r="Z255" s="41">
        <f>IFERROR(IF(X255="","",X255*0.0155),"")</f>
        <v>1.1160000000000001</v>
      </c>
      <c r="AA255" s="68" t="s">
        <v>46</v>
      </c>
      <c r="AB255" s="69" t="s">
        <v>46</v>
      </c>
      <c r="AC255" s="259" t="s">
        <v>355</v>
      </c>
      <c r="AG255" s="81"/>
      <c r="AJ255" s="87" t="s">
        <v>120</v>
      </c>
      <c r="AK255" s="87">
        <v>12</v>
      </c>
      <c r="BB255" s="260" t="s">
        <v>117</v>
      </c>
      <c r="BM255" s="81">
        <f>IFERROR(X255*I255,"0")</f>
        <v>450.71999999999997</v>
      </c>
      <c r="BN255" s="81">
        <f>IFERROR(Y255*I255,"0")</f>
        <v>450.71999999999997</v>
      </c>
      <c r="BO255" s="81">
        <f>IFERROR(X255/J255,"0")</f>
        <v>0.8571428571428571</v>
      </c>
      <c r="BP255" s="81">
        <f>IFERROR(Y255/J255,"0")</f>
        <v>0.8571428571428571</v>
      </c>
    </row>
    <row r="256" spans="1:68" x14ac:dyDescent="0.2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39</v>
      </c>
      <c r="X256" s="43">
        <f>IFERROR(SUM(X255:X255),"0")</f>
        <v>72</v>
      </c>
      <c r="Y256" s="43">
        <f>IFERROR(SUM(Y255:Y255),"0")</f>
        <v>72</v>
      </c>
      <c r="Z256" s="43">
        <f>IFERROR(IF(Z255="",0,Z255),"0")</f>
        <v>1.1160000000000001</v>
      </c>
      <c r="AA256" s="67"/>
      <c r="AB256" s="67"/>
      <c r="AC256" s="67"/>
    </row>
    <row r="257" spans="1:68" x14ac:dyDescent="0.2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9"/>
      <c r="P257" s="295" t="s">
        <v>40</v>
      </c>
      <c r="Q257" s="296"/>
      <c r="R257" s="296"/>
      <c r="S257" s="296"/>
      <c r="T257" s="296"/>
      <c r="U257" s="296"/>
      <c r="V257" s="297"/>
      <c r="W257" s="42" t="s">
        <v>0</v>
      </c>
      <c r="X257" s="43">
        <f>IFERROR(SUMPRODUCT(X255:X255*H255:H255),"0")</f>
        <v>432</v>
      </c>
      <c r="Y257" s="43">
        <f>IFERROR(SUMPRODUCT(Y255:Y255*H255:H255),"0")</f>
        <v>432</v>
      </c>
      <c r="Z257" s="42"/>
      <c r="AA257" s="67"/>
      <c r="AB257" s="67"/>
      <c r="AC257" s="67"/>
    </row>
    <row r="258" spans="1:68" ht="14.25" hidden="1" customHeight="1" x14ac:dyDescent="0.25">
      <c r="A258" s="309" t="s">
        <v>145</v>
      </c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66"/>
      <c r="AB258" s="66"/>
      <c r="AC258" s="83"/>
    </row>
    <row r="259" spans="1:68" ht="27" hidden="1" customHeight="1" x14ac:dyDescent="0.25">
      <c r="A259" s="63" t="s">
        <v>356</v>
      </c>
      <c r="B259" s="63" t="s">
        <v>357</v>
      </c>
      <c r="C259" s="36">
        <v>4301136051</v>
      </c>
      <c r="D259" s="291">
        <v>4640242180304</v>
      </c>
      <c r="E259" s="291"/>
      <c r="F259" s="62">
        <v>2.7</v>
      </c>
      <c r="G259" s="37">
        <v>1</v>
      </c>
      <c r="H259" s="62">
        <v>2.7</v>
      </c>
      <c r="I259" s="62">
        <v>2.8906000000000001</v>
      </c>
      <c r="J259" s="37">
        <v>126</v>
      </c>
      <c r="K259" s="37" t="s">
        <v>118</v>
      </c>
      <c r="L259" s="37" t="s">
        <v>119</v>
      </c>
      <c r="M259" s="38" t="s">
        <v>86</v>
      </c>
      <c r="N259" s="38"/>
      <c r="O259" s="37">
        <v>180</v>
      </c>
      <c r="P259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9" s="293"/>
      <c r="R259" s="293"/>
      <c r="S259" s="293"/>
      <c r="T259" s="294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61" t="s">
        <v>358</v>
      </c>
      <c r="AG259" s="81"/>
      <c r="AJ259" s="87" t="s">
        <v>120</v>
      </c>
      <c r="AK259" s="87">
        <v>14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359</v>
      </c>
      <c r="B260" s="63" t="s">
        <v>360</v>
      </c>
      <c r="C260" s="36">
        <v>4301136053</v>
      </c>
      <c r="D260" s="291">
        <v>4640242180236</v>
      </c>
      <c r="E260" s="291"/>
      <c r="F260" s="62">
        <v>5</v>
      </c>
      <c r="G260" s="37">
        <v>1</v>
      </c>
      <c r="H260" s="62">
        <v>5</v>
      </c>
      <c r="I260" s="62">
        <v>5.2350000000000003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0" s="293"/>
      <c r="R260" s="293"/>
      <c r="S260" s="293"/>
      <c r="T260" s="294"/>
      <c r="U260" s="39" t="s">
        <v>46</v>
      </c>
      <c r="V260" s="39" t="s">
        <v>46</v>
      </c>
      <c r="W260" s="40" t="s">
        <v>39</v>
      </c>
      <c r="X260" s="58">
        <v>108</v>
      </c>
      <c r="Y260" s="55">
        <f>IFERROR(IF(X260="","",X260),"")</f>
        <v>108</v>
      </c>
      <c r="Z260" s="41">
        <f>IFERROR(IF(X260="","",X260*0.0155),"")</f>
        <v>1.6739999999999999</v>
      </c>
      <c r="AA260" s="68" t="s">
        <v>46</v>
      </c>
      <c r="AB260" s="69" t="s">
        <v>46</v>
      </c>
      <c r="AC260" s="263" t="s">
        <v>358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565.38</v>
      </c>
      <c r="BN260" s="81">
        <f>IFERROR(Y260*I260,"0")</f>
        <v>565.38</v>
      </c>
      <c r="BO260" s="81">
        <f>IFERROR(X260/J260,"0")</f>
        <v>1.2857142857142858</v>
      </c>
      <c r="BP260" s="81">
        <f>IFERROR(Y260/J260,"0")</f>
        <v>1.2857142857142858</v>
      </c>
    </row>
    <row r="261" spans="1:68" ht="27" hidden="1" customHeight="1" x14ac:dyDescent="0.25">
      <c r="A261" s="63" t="s">
        <v>361</v>
      </c>
      <c r="B261" s="63" t="s">
        <v>362</v>
      </c>
      <c r="C261" s="36">
        <v>4301136052</v>
      </c>
      <c r="D261" s="291">
        <v>4640242180410</v>
      </c>
      <c r="E261" s="291"/>
      <c r="F261" s="62">
        <v>2.2400000000000002</v>
      </c>
      <c r="G261" s="37">
        <v>1</v>
      </c>
      <c r="H261" s="62">
        <v>2.2400000000000002</v>
      </c>
      <c r="I261" s="62">
        <v>2.4319999999999999</v>
      </c>
      <c r="J261" s="37">
        <v>126</v>
      </c>
      <c r="K261" s="37" t="s">
        <v>118</v>
      </c>
      <c r="L261" s="37" t="s">
        <v>119</v>
      </c>
      <c r="M261" s="38" t="s">
        <v>86</v>
      </c>
      <c r="N261" s="38"/>
      <c r="O261" s="37">
        <v>180</v>
      </c>
      <c r="P261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1" s="293"/>
      <c r="R261" s="293"/>
      <c r="S261" s="293"/>
      <c r="T261" s="294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5" t="s">
        <v>358</v>
      </c>
      <c r="AG261" s="81"/>
      <c r="AJ261" s="87" t="s">
        <v>120</v>
      </c>
      <c r="AK261" s="87">
        <v>14</v>
      </c>
      <c r="BB261" s="266" t="s">
        <v>117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9"/>
      <c r="P262" s="295" t="s">
        <v>40</v>
      </c>
      <c r="Q262" s="296"/>
      <c r="R262" s="296"/>
      <c r="S262" s="296"/>
      <c r="T262" s="296"/>
      <c r="U262" s="296"/>
      <c r="V262" s="297"/>
      <c r="W262" s="42" t="s">
        <v>39</v>
      </c>
      <c r="X262" s="43">
        <f>IFERROR(SUM(X259:X261),"0")</f>
        <v>108</v>
      </c>
      <c r="Y262" s="43">
        <f>IFERROR(SUM(Y259:Y261),"0")</f>
        <v>108</v>
      </c>
      <c r="Z262" s="43">
        <f>IFERROR(IF(Z259="",0,Z259),"0")+IFERROR(IF(Z260="",0,Z260),"0")+IFERROR(IF(Z261="",0,Z261),"0")</f>
        <v>1.6739999999999999</v>
      </c>
      <c r="AA262" s="67"/>
      <c r="AB262" s="67"/>
      <c r="AC262" s="67"/>
    </row>
    <row r="263" spans="1:68" x14ac:dyDescent="0.2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9"/>
      <c r="P263" s="295" t="s">
        <v>40</v>
      </c>
      <c r="Q263" s="296"/>
      <c r="R263" s="296"/>
      <c r="S263" s="296"/>
      <c r="T263" s="296"/>
      <c r="U263" s="296"/>
      <c r="V263" s="297"/>
      <c r="W263" s="42" t="s">
        <v>0</v>
      </c>
      <c r="X263" s="43">
        <f>IFERROR(SUMPRODUCT(X259:X261*H259:H261),"0")</f>
        <v>540</v>
      </c>
      <c r="Y263" s="43">
        <f>IFERROR(SUMPRODUCT(Y259:Y261*H259:H261),"0")</f>
        <v>540</v>
      </c>
      <c r="Z263" s="42"/>
      <c r="AA263" s="67"/>
      <c r="AB263" s="67"/>
      <c r="AC263" s="67"/>
    </row>
    <row r="264" spans="1:68" ht="14.25" hidden="1" customHeight="1" x14ac:dyDescent="0.25">
      <c r="A264" s="309" t="s">
        <v>151</v>
      </c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66"/>
      <c r="AB264" s="66"/>
      <c r="AC264" s="83"/>
    </row>
    <row r="265" spans="1:68" ht="37.5" hidden="1" customHeight="1" x14ac:dyDescent="0.25">
      <c r="A265" s="63" t="s">
        <v>363</v>
      </c>
      <c r="B265" s="63" t="s">
        <v>364</v>
      </c>
      <c r="C265" s="36">
        <v>4301135504</v>
      </c>
      <c r="D265" s="291">
        <v>4640242181554</v>
      </c>
      <c r="E265" s="291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118</v>
      </c>
      <c r="L265" s="37" t="s">
        <v>88</v>
      </c>
      <c r="M265" s="38" t="s">
        <v>86</v>
      </c>
      <c r="N265" s="38"/>
      <c r="O265" s="37">
        <v>180</v>
      </c>
      <c r="P265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5" s="293"/>
      <c r="R265" s="293"/>
      <c r="S265" s="293"/>
      <c r="T265" s="29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ref="Y265:Y274" si="18"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365</v>
      </c>
      <c r="AG265" s="81"/>
      <c r="AJ265" s="87" t="s">
        <v>89</v>
      </c>
      <c r="AK265" s="87">
        <v>1</v>
      </c>
      <c r="BB265" s="268" t="s">
        <v>117</v>
      </c>
      <c r="BM265" s="81">
        <f t="shared" ref="BM265:BM274" si="19">IFERROR(X265*I265,"0")</f>
        <v>0</v>
      </c>
      <c r="BN265" s="81">
        <f t="shared" ref="BN265:BN274" si="20">IFERROR(Y265*I265,"0")</f>
        <v>0</v>
      </c>
      <c r="BO265" s="81">
        <f t="shared" ref="BO265:BO274" si="21">IFERROR(X265/J265,"0")</f>
        <v>0</v>
      </c>
      <c r="BP265" s="81">
        <f t="shared" ref="BP265:BP274" si="22">IFERROR(Y265/J265,"0")</f>
        <v>0</v>
      </c>
    </row>
    <row r="266" spans="1:68" ht="27" customHeight="1" x14ac:dyDescent="0.25">
      <c r="A266" s="63" t="s">
        <v>366</v>
      </c>
      <c r="B266" s="63" t="s">
        <v>367</v>
      </c>
      <c r="C266" s="36">
        <v>4301135518</v>
      </c>
      <c r="D266" s="291">
        <v>4640242181561</v>
      </c>
      <c r="E266" s="291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1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6" s="293"/>
      <c r="R266" s="293"/>
      <c r="S266" s="293"/>
      <c r="T266" s="294"/>
      <c r="U266" s="39" t="s">
        <v>46</v>
      </c>
      <c r="V266" s="39" t="s">
        <v>46</v>
      </c>
      <c r="W266" s="40" t="s">
        <v>39</v>
      </c>
      <c r="X266" s="58">
        <v>112</v>
      </c>
      <c r="Y266" s="55">
        <f t="shared" si="18"/>
        <v>112</v>
      </c>
      <c r="Z266" s="41">
        <f>IFERROR(IF(X266="","",X266*0.00936),"")</f>
        <v>1.0483199999999999</v>
      </c>
      <c r="AA266" s="68" t="s">
        <v>46</v>
      </c>
      <c r="AB266" s="69" t="s">
        <v>46</v>
      </c>
      <c r="AC266" s="269" t="s">
        <v>368</v>
      </c>
      <c r="AG266" s="81"/>
      <c r="AJ266" s="87" t="s">
        <v>120</v>
      </c>
      <c r="AK266" s="87">
        <v>14</v>
      </c>
      <c r="BB266" s="270" t="s">
        <v>117</v>
      </c>
      <c r="BM266" s="81">
        <f t="shared" si="19"/>
        <v>435.904</v>
      </c>
      <c r="BN266" s="81">
        <f t="shared" si="20"/>
        <v>435.904</v>
      </c>
      <c r="BO266" s="81">
        <f t="shared" si="21"/>
        <v>0.88888888888888884</v>
      </c>
      <c r="BP266" s="81">
        <f t="shared" si="22"/>
        <v>0.88888888888888884</v>
      </c>
    </row>
    <row r="267" spans="1:68" ht="27" hidden="1" customHeight="1" x14ac:dyDescent="0.25">
      <c r="A267" s="63" t="s">
        <v>369</v>
      </c>
      <c r="B267" s="63" t="s">
        <v>370</v>
      </c>
      <c r="C267" s="36">
        <v>4301135374</v>
      </c>
      <c r="D267" s="291">
        <v>4640242181424</v>
      </c>
      <c r="E267" s="291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87</v>
      </c>
      <c r="L267" s="37" t="s">
        <v>119</v>
      </c>
      <c r="M267" s="38" t="s">
        <v>86</v>
      </c>
      <c r="N267" s="38"/>
      <c r="O267" s="37">
        <v>180</v>
      </c>
      <c r="P267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7" s="293"/>
      <c r="R267" s="293"/>
      <c r="S267" s="293"/>
      <c r="T267" s="29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365</v>
      </c>
      <c r="AG267" s="81"/>
      <c r="AJ267" s="87" t="s">
        <v>120</v>
      </c>
      <c r="AK267" s="87">
        <v>12</v>
      </c>
      <c r="BB267" s="272" t="s">
        <v>117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371</v>
      </c>
      <c r="B268" s="63" t="s">
        <v>372</v>
      </c>
      <c r="C268" s="36">
        <v>4301135405</v>
      </c>
      <c r="D268" s="291">
        <v>4640242181523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118</v>
      </c>
      <c r="L268" s="37" t="s">
        <v>119</v>
      </c>
      <c r="M268" s="38" t="s">
        <v>86</v>
      </c>
      <c r="N268" s="38"/>
      <c r="O268" s="37">
        <v>180</v>
      </c>
      <c r="P268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126</v>
      </c>
      <c r="Y268" s="55">
        <f t="shared" si="18"/>
        <v>126</v>
      </c>
      <c r="Z268" s="41">
        <f t="shared" ref="Z268:Z273" si="23">IFERROR(IF(X268="","",X268*0.00936),"")</f>
        <v>1.17936</v>
      </c>
      <c r="AA268" s="68" t="s">
        <v>46</v>
      </c>
      <c r="AB268" s="69" t="s">
        <v>46</v>
      </c>
      <c r="AC268" s="273" t="s">
        <v>368</v>
      </c>
      <c r="AG268" s="81"/>
      <c r="AJ268" s="87" t="s">
        <v>120</v>
      </c>
      <c r="AK268" s="87">
        <v>14</v>
      </c>
      <c r="BB268" s="274" t="s">
        <v>117</v>
      </c>
      <c r="BM268" s="81">
        <f t="shared" si="19"/>
        <v>402.19200000000001</v>
      </c>
      <c r="BN268" s="81">
        <f t="shared" si="20"/>
        <v>402.19200000000001</v>
      </c>
      <c r="BO268" s="81">
        <f t="shared" si="21"/>
        <v>1</v>
      </c>
      <c r="BP268" s="81">
        <f t="shared" si="22"/>
        <v>1</v>
      </c>
    </row>
    <row r="269" spans="1:68" ht="27" hidden="1" customHeight="1" x14ac:dyDescent="0.25">
      <c r="A269" s="63" t="s">
        <v>373</v>
      </c>
      <c r="B269" s="63" t="s">
        <v>374</v>
      </c>
      <c r="C269" s="36">
        <v>4301135375</v>
      </c>
      <c r="D269" s="291">
        <v>4640242181486</v>
      </c>
      <c r="E269" s="291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118</v>
      </c>
      <c r="L269" s="37" t="s">
        <v>119</v>
      </c>
      <c r="M269" s="38" t="s">
        <v>86</v>
      </c>
      <c r="N269" s="38"/>
      <c r="O269" s="37">
        <v>180</v>
      </c>
      <c r="P269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365</v>
      </c>
      <c r="AG269" s="81"/>
      <c r="AJ269" s="87" t="s">
        <v>120</v>
      </c>
      <c r="AK269" s="87">
        <v>14</v>
      </c>
      <c r="BB269" s="276" t="s">
        <v>117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hidden="1" customHeight="1" x14ac:dyDescent="0.25">
      <c r="A270" s="63" t="s">
        <v>375</v>
      </c>
      <c r="B270" s="63" t="s">
        <v>376</v>
      </c>
      <c r="C270" s="36">
        <v>4301135402</v>
      </c>
      <c r="D270" s="291">
        <v>4640242181493</v>
      </c>
      <c r="E270" s="291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365</v>
      </c>
      <c r="AG270" s="81"/>
      <c r="AJ270" s="87" t="s">
        <v>89</v>
      </c>
      <c r="AK270" s="87">
        <v>1</v>
      </c>
      <c r="BB270" s="278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37.5" hidden="1" customHeight="1" x14ac:dyDescent="0.25">
      <c r="A271" s="63" t="s">
        <v>377</v>
      </c>
      <c r="B271" s="63" t="s">
        <v>378</v>
      </c>
      <c r="C271" s="36">
        <v>4301135403</v>
      </c>
      <c r="D271" s="291">
        <v>4640242181509</v>
      </c>
      <c r="E271" s="291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88</v>
      </c>
      <c r="M271" s="38" t="s">
        <v>86</v>
      </c>
      <c r="N271" s="38"/>
      <c r="O271" s="37">
        <v>180</v>
      </c>
      <c r="P271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365</v>
      </c>
      <c r="AG271" s="81"/>
      <c r="AJ271" s="87" t="s">
        <v>89</v>
      </c>
      <c r="AK271" s="87">
        <v>1</v>
      </c>
      <c r="BB271" s="280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379</v>
      </c>
      <c r="B272" s="63" t="s">
        <v>380</v>
      </c>
      <c r="C272" s="36">
        <v>4301135304</v>
      </c>
      <c r="D272" s="291">
        <v>4640242181240</v>
      </c>
      <c r="E272" s="291"/>
      <c r="F272" s="62">
        <v>0.3</v>
      </c>
      <c r="G272" s="37">
        <v>9</v>
      </c>
      <c r="H272" s="62">
        <v>2.7</v>
      </c>
      <c r="I272" s="62">
        <v>2.88</v>
      </c>
      <c r="J272" s="37">
        <v>126</v>
      </c>
      <c r="K272" s="37" t="s">
        <v>118</v>
      </c>
      <c r="L272" s="37" t="s">
        <v>88</v>
      </c>
      <c r="M272" s="38" t="s">
        <v>86</v>
      </c>
      <c r="N272" s="38"/>
      <c r="O272" s="37">
        <v>180</v>
      </c>
      <c r="P272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365</v>
      </c>
      <c r="AG272" s="81"/>
      <c r="AJ272" s="87" t="s">
        <v>89</v>
      </c>
      <c r="AK272" s="87">
        <v>1</v>
      </c>
      <c r="BB272" s="282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381</v>
      </c>
      <c r="B273" s="63" t="s">
        <v>382</v>
      </c>
      <c r="C273" s="36">
        <v>4301135610</v>
      </c>
      <c r="D273" s="291">
        <v>4640242181318</v>
      </c>
      <c r="E273" s="291"/>
      <c r="F273" s="62">
        <v>0.3</v>
      </c>
      <c r="G273" s="37">
        <v>9</v>
      </c>
      <c r="H273" s="62">
        <v>2.7</v>
      </c>
      <c r="I273" s="62">
        <v>2.988</v>
      </c>
      <c r="J273" s="37">
        <v>126</v>
      </c>
      <c r="K273" s="37" t="s">
        <v>118</v>
      </c>
      <c r="L273" s="37" t="s">
        <v>88</v>
      </c>
      <c r="M273" s="38" t="s">
        <v>86</v>
      </c>
      <c r="N273" s="38"/>
      <c r="O273" s="37">
        <v>180</v>
      </c>
      <c r="P273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3" t="s">
        <v>368</v>
      </c>
      <c r="AG273" s="81"/>
      <c r="AJ273" s="87" t="s">
        <v>89</v>
      </c>
      <c r="AK273" s="87">
        <v>1</v>
      </c>
      <c r="BB273" s="284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383</v>
      </c>
      <c r="B274" s="63" t="s">
        <v>384</v>
      </c>
      <c r="C274" s="36">
        <v>4301135306</v>
      </c>
      <c r="D274" s="291">
        <v>4640242181387</v>
      </c>
      <c r="E274" s="291"/>
      <c r="F274" s="62">
        <v>0.3</v>
      </c>
      <c r="G274" s="37">
        <v>9</v>
      </c>
      <c r="H274" s="62">
        <v>2.7</v>
      </c>
      <c r="I274" s="62">
        <v>2.8450000000000002</v>
      </c>
      <c r="J274" s="37">
        <v>234</v>
      </c>
      <c r="K274" s="37" t="s">
        <v>163</v>
      </c>
      <c r="L274" s="37" t="s">
        <v>88</v>
      </c>
      <c r="M274" s="38" t="s">
        <v>86</v>
      </c>
      <c r="N274" s="38"/>
      <c r="O274" s="37">
        <v>180</v>
      </c>
      <c r="P274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>IFERROR(IF(X274="","",X274*0.00502),"")</f>
        <v>0</v>
      </c>
      <c r="AA274" s="68" t="s">
        <v>46</v>
      </c>
      <c r="AB274" s="69" t="s">
        <v>46</v>
      </c>
      <c r="AC274" s="285" t="s">
        <v>365</v>
      </c>
      <c r="AG274" s="81"/>
      <c r="AJ274" s="87" t="s">
        <v>89</v>
      </c>
      <c r="AK274" s="87">
        <v>1</v>
      </c>
      <c r="BB274" s="286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x14ac:dyDescent="0.2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9"/>
      <c r="P275" s="295" t="s">
        <v>40</v>
      </c>
      <c r="Q275" s="296"/>
      <c r="R275" s="296"/>
      <c r="S275" s="296"/>
      <c r="T275" s="296"/>
      <c r="U275" s="296"/>
      <c r="V275" s="297"/>
      <c r="W275" s="42" t="s">
        <v>39</v>
      </c>
      <c r="X275" s="43">
        <f>IFERROR(SUM(X265:X274),"0")</f>
        <v>238</v>
      </c>
      <c r="Y275" s="43">
        <f>IFERROR(SUM(Y265:Y274),"0")</f>
        <v>238</v>
      </c>
      <c r="Z275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</f>
        <v>2.2276799999999999</v>
      </c>
      <c r="AA275" s="67"/>
      <c r="AB275" s="67"/>
      <c r="AC275" s="67"/>
    </row>
    <row r="276" spans="1:68" x14ac:dyDescent="0.2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9"/>
      <c r="P276" s="295" t="s">
        <v>40</v>
      </c>
      <c r="Q276" s="296"/>
      <c r="R276" s="296"/>
      <c r="S276" s="296"/>
      <c r="T276" s="296"/>
      <c r="U276" s="296"/>
      <c r="V276" s="297"/>
      <c r="W276" s="42" t="s">
        <v>0</v>
      </c>
      <c r="X276" s="43">
        <f>IFERROR(SUMPRODUCT(X265:X274*H265:H274),"0")</f>
        <v>792.40000000000009</v>
      </c>
      <c r="Y276" s="43">
        <f>IFERROR(SUMPRODUCT(Y265:Y274*H265:H274),"0")</f>
        <v>792.40000000000009</v>
      </c>
      <c r="Z276" s="42"/>
      <c r="AA276" s="67"/>
      <c r="AB276" s="67"/>
      <c r="AC276" s="67"/>
    </row>
    <row r="277" spans="1:68" ht="15" customHeight="1" x14ac:dyDescent="0.2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303"/>
      <c r="P277" s="300" t="s">
        <v>33</v>
      </c>
      <c r="Q277" s="301"/>
      <c r="R277" s="301"/>
      <c r="S277" s="301"/>
      <c r="T277" s="301"/>
      <c r="U277" s="301"/>
      <c r="V277" s="302"/>
      <c r="W277" s="42" t="s">
        <v>0</v>
      </c>
      <c r="X277" s="43">
        <f>IFERROR(X31+X37+X44+X50+X58+X63+X68+X74+X80+X85+X91+X101+X107+X120+X124+X128+X136+X142+X148+X154+X160+X165+X170+X175+X182+X187+X196+X202+X208+X214+X219+X224+X230+X236+X240+X246+X253+X257+X263+X276,"0")</f>
        <v>17018.919999999998</v>
      </c>
      <c r="Y277" s="43">
        <f>IFERROR(Y31+Y37+Y44+Y50+Y58+Y63+Y68+Y74+Y80+Y85+Y91+Y101+Y107+Y120+Y124+Y128+Y136+Y142+Y148+Y154+Y160+Y165+Y170+Y175+Y182+Y187+Y196+Y202+Y208+Y214+Y219+Y224+Y230+Y236+Y240+Y246+Y253+Y257+Y263+Y276,"0")</f>
        <v>17018.919999999998</v>
      </c>
      <c r="Z277" s="42"/>
      <c r="AA277" s="67"/>
      <c r="AB277" s="67"/>
      <c r="AC277" s="67"/>
    </row>
    <row r="278" spans="1:68" x14ac:dyDescent="0.2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303"/>
      <c r="P278" s="300" t="s">
        <v>34</v>
      </c>
      <c r="Q278" s="301"/>
      <c r="R278" s="301"/>
      <c r="S278" s="301"/>
      <c r="T278" s="301"/>
      <c r="U278" s="301"/>
      <c r="V278" s="302"/>
      <c r="W278" s="42" t="s">
        <v>0</v>
      </c>
      <c r="X278" s="43">
        <f>IFERROR(SUM(BM22:BM274),"0")</f>
        <v>18282.761600000002</v>
      </c>
      <c r="Y278" s="43">
        <f>IFERROR(SUM(BN22:BN274),"0")</f>
        <v>18282.761600000002</v>
      </c>
      <c r="Z278" s="42"/>
      <c r="AA278" s="67"/>
      <c r="AB278" s="67"/>
      <c r="AC278" s="67"/>
    </row>
    <row r="279" spans="1:68" x14ac:dyDescent="0.2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303"/>
      <c r="P279" s="300" t="s">
        <v>35</v>
      </c>
      <c r="Q279" s="301"/>
      <c r="R279" s="301"/>
      <c r="S279" s="301"/>
      <c r="T279" s="301"/>
      <c r="U279" s="301"/>
      <c r="V279" s="302"/>
      <c r="W279" s="42" t="s">
        <v>20</v>
      </c>
      <c r="X279" s="44">
        <f>ROUNDUP(SUM(BO22:BO274),0)</f>
        <v>40</v>
      </c>
      <c r="Y279" s="44">
        <f>ROUNDUP(SUM(BP22:BP274),0)</f>
        <v>40</v>
      </c>
      <c r="Z279" s="42"/>
      <c r="AA279" s="67"/>
      <c r="AB279" s="67"/>
      <c r="AC279" s="67"/>
    </row>
    <row r="280" spans="1:68" x14ac:dyDescent="0.2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36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GrossWeightTotal+PalletQtyTotal*25</f>
        <v>19282.761600000002</v>
      </c>
      <c r="Y280" s="43">
        <f>GrossWeightTotalR+PalletQtyTotalR*25</f>
        <v>19282.761600000002</v>
      </c>
      <c r="Z280" s="42"/>
      <c r="AA280" s="67"/>
      <c r="AB280" s="67"/>
      <c r="AC280" s="67"/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37</v>
      </c>
      <c r="Q281" s="301"/>
      <c r="R281" s="301"/>
      <c r="S281" s="301"/>
      <c r="T281" s="301"/>
      <c r="U281" s="301"/>
      <c r="V281" s="302"/>
      <c r="W281" s="42" t="s">
        <v>20</v>
      </c>
      <c r="X281" s="43">
        <f>IFERROR(X30+X36+X43+X49+X57+X62+X67+X73+X79+X84+X90+X100+X106+X119+X123+X127+X135+X141+X147+X153+X159+X164+X169+X174+X181+X186+X195+X201+X207+X213+X218+X223+X229+X235+X239+X245+X252+X256+X262+X275,"0")</f>
        <v>3500</v>
      </c>
      <c r="Y281" s="43">
        <f>IFERROR(Y30+Y36+Y43+Y49+Y57+Y62+Y67+Y73+Y79+Y84+Y90+Y100+Y106+Y119+Y123+Y127+Y135+Y141+Y147+Y153+Y159+Y164+Y169+Y174+Y181+Y186+Y195+Y201+Y207+Y213+Y218+Y223+Y229+Y235+Y239+Y245+Y252+Y256+Y262+Y275,"0")</f>
        <v>3500</v>
      </c>
      <c r="Z281" s="42"/>
      <c r="AA281" s="67"/>
      <c r="AB281" s="67"/>
      <c r="AC281" s="67"/>
    </row>
    <row r="282" spans="1:68" ht="14.25" hidden="1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38</v>
      </c>
      <c r="Q282" s="301"/>
      <c r="R282" s="301"/>
      <c r="S282" s="301"/>
      <c r="T282" s="301"/>
      <c r="U282" s="301"/>
      <c r="V282" s="302"/>
      <c r="W282" s="45" t="s">
        <v>52</v>
      </c>
      <c r="X282" s="42"/>
      <c r="Y282" s="42"/>
      <c r="Z282" s="42">
        <f>IFERROR(Z30+Z36+Z43+Z49+Z57+Z62+Z67+Z73+Z79+Z84+Z90+Z100+Z106+Z119+Z123+Z127+Z135+Z141+Z147+Z153+Z159+Z164+Z169+Z174+Z181+Z186+Z195+Z201+Z207+Z213+Z218+Z223+Z229+Z235+Z239+Z245+Z252+Z256+Z262+Z275,"0")</f>
        <v>50.100139999999996</v>
      </c>
      <c r="AA282" s="67"/>
      <c r="AB282" s="67"/>
      <c r="AC282" s="67"/>
    </row>
    <row r="283" spans="1:68" ht="13.5" thickBot="1" x14ac:dyDescent="0.25"/>
    <row r="284" spans="1:68" ht="27" thickTop="1" thickBot="1" x14ac:dyDescent="0.25">
      <c r="A284" s="46" t="s">
        <v>9</v>
      </c>
      <c r="B284" s="287" t="s">
        <v>81</v>
      </c>
      <c r="C284" s="287" t="s">
        <v>81</v>
      </c>
      <c r="D284" s="287" t="s">
        <v>45</v>
      </c>
      <c r="E284" s="287" t="s">
        <v>45</v>
      </c>
      <c r="F284" s="287" t="s">
        <v>45</v>
      </c>
      <c r="G284" s="287" t="s">
        <v>45</v>
      </c>
      <c r="H284" s="287" t="s">
        <v>45</v>
      </c>
      <c r="I284" s="287" t="s">
        <v>45</v>
      </c>
      <c r="J284" s="287" t="s">
        <v>45</v>
      </c>
      <c r="K284" s="287" t="s">
        <v>45</v>
      </c>
      <c r="L284" s="287" t="s">
        <v>45</v>
      </c>
      <c r="M284" s="287" t="s">
        <v>45</v>
      </c>
      <c r="N284" s="288"/>
      <c r="O284" s="287" t="s">
        <v>45</v>
      </c>
      <c r="P284" s="287" t="s">
        <v>45</v>
      </c>
      <c r="Q284" s="287" t="s">
        <v>45</v>
      </c>
      <c r="R284" s="287" t="s">
        <v>45</v>
      </c>
      <c r="S284" s="287" t="s">
        <v>45</v>
      </c>
      <c r="T284" s="287" t="s">
        <v>45</v>
      </c>
      <c r="U284" s="287" t="s">
        <v>45</v>
      </c>
      <c r="V284" s="287" t="s">
        <v>276</v>
      </c>
      <c r="W284" s="287" t="s">
        <v>276</v>
      </c>
      <c r="X284" s="88" t="s">
        <v>287</v>
      </c>
      <c r="Y284" s="287" t="s">
        <v>301</v>
      </c>
      <c r="Z284" s="287" t="s">
        <v>301</v>
      </c>
      <c r="AA284" s="287" t="s">
        <v>301</v>
      </c>
      <c r="AB284" s="287" t="s">
        <v>301</v>
      </c>
      <c r="AC284" s="88" t="s">
        <v>330</v>
      </c>
      <c r="AD284" s="88" t="s">
        <v>335</v>
      </c>
      <c r="AE284" s="88" t="s">
        <v>343</v>
      </c>
      <c r="AF284" s="88" t="s">
        <v>347</v>
      </c>
    </row>
    <row r="285" spans="1:68" ht="14.25" customHeight="1" thickTop="1" x14ac:dyDescent="0.2">
      <c r="A285" s="289" t="s">
        <v>10</v>
      </c>
      <c r="B285" s="287" t="s">
        <v>81</v>
      </c>
      <c r="C285" s="287" t="s">
        <v>106</v>
      </c>
      <c r="D285" s="287" t="s">
        <v>112</v>
      </c>
      <c r="E285" s="287" t="s">
        <v>123</v>
      </c>
      <c r="F285" s="287" t="s">
        <v>130</v>
      </c>
      <c r="G285" s="287" t="s">
        <v>141</v>
      </c>
      <c r="H285" s="287" t="s">
        <v>159</v>
      </c>
      <c r="I285" s="287" t="s">
        <v>166</v>
      </c>
      <c r="J285" s="287" t="s">
        <v>170</v>
      </c>
      <c r="K285" s="287" t="s">
        <v>178</v>
      </c>
      <c r="L285" s="287" t="s">
        <v>193</v>
      </c>
      <c r="M285" s="287" t="s">
        <v>199</v>
      </c>
      <c r="N285" s="1"/>
      <c r="O285" s="287" t="s">
        <v>229</v>
      </c>
      <c r="P285" s="287" t="s">
        <v>247</v>
      </c>
      <c r="Q285" s="287" t="s">
        <v>253</v>
      </c>
      <c r="R285" s="287" t="s">
        <v>260</v>
      </c>
      <c r="S285" s="287" t="s">
        <v>265</v>
      </c>
      <c r="T285" s="287" t="s">
        <v>269</v>
      </c>
      <c r="U285" s="287" t="s">
        <v>272</v>
      </c>
      <c r="V285" s="287" t="s">
        <v>277</v>
      </c>
      <c r="W285" s="287" t="s">
        <v>284</v>
      </c>
      <c r="X285" s="287" t="s">
        <v>288</v>
      </c>
      <c r="Y285" s="287" t="s">
        <v>302</v>
      </c>
      <c r="Z285" s="287" t="s">
        <v>315</v>
      </c>
      <c r="AA285" s="287" t="s">
        <v>322</v>
      </c>
      <c r="AB285" s="287" t="s">
        <v>326</v>
      </c>
      <c r="AC285" s="287" t="s">
        <v>331</v>
      </c>
      <c r="AD285" s="287" t="s">
        <v>336</v>
      </c>
      <c r="AE285" s="287" t="s">
        <v>343</v>
      </c>
      <c r="AF285" s="287" t="s">
        <v>347</v>
      </c>
    </row>
    <row r="286" spans="1:68" ht="13.5" thickBot="1" x14ac:dyDescent="0.25">
      <c r="A286" s="290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1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</row>
    <row r="287" spans="1:68" ht="18" thickTop="1" thickBot="1" x14ac:dyDescent="0.25">
      <c r="A287" s="46" t="s">
        <v>13</v>
      </c>
      <c r="B287" s="52">
        <f>IFERROR(X22*H22,"0")+IFERROR(X23*H23,"0")+IFERROR(X24*H24,"0")+IFERROR(X25*H25,"0")+IFERROR(X26*H26,"0")+IFERROR(X27*H27,"0")+IFERROR(X28*H28,"0")+IFERROR(X29*H29,"0")</f>
        <v>422.40000000000003</v>
      </c>
      <c r="C287" s="52">
        <f>IFERROR(X34*H34,"0")+IFERROR(X35*H35,"0")</f>
        <v>76.800000000000011</v>
      </c>
      <c r="D287" s="52">
        <f>IFERROR(X41*H41,"0")+IFERROR(X42*H42,"0")</f>
        <v>210</v>
      </c>
      <c r="E287" s="52">
        <f>IFERROR(X47*H47,"0")+IFERROR(X48*H48,"0")</f>
        <v>201.6</v>
      </c>
      <c r="F287" s="52">
        <f>IFERROR(X53*H53,"0")+IFERROR(X54*H54,"0")+IFERROR(X55*H55,"0")+IFERROR(X56*H56,"0")</f>
        <v>1588.8</v>
      </c>
      <c r="G287" s="52">
        <f>IFERROR(X61*H61,"0")+IFERROR(X65*H65,"0")+IFERROR(X66*H66,"0")+IFERROR(X70*H70,"0")+IFERROR(X71*H71,"0")+IFERROR(X72*H72,"0")</f>
        <v>16.8</v>
      </c>
      <c r="H287" s="52">
        <f>IFERROR(X77*H77,"0")+IFERROR(X78*H78,"0")</f>
        <v>2220</v>
      </c>
      <c r="I287" s="52">
        <f>IFERROR(X83*H83,"0")</f>
        <v>100.8</v>
      </c>
      <c r="J287" s="52">
        <f>IFERROR(X88*H88,"0")+IFERROR(X89*H89,"0")</f>
        <v>100.8</v>
      </c>
      <c r="K287" s="52">
        <f>IFERROR(X94*H94,"0")+IFERROR(X95*H95,"0")+IFERROR(X96*H96,"0")+IFERROR(X97*H97,"0")+IFERROR(X98*H98,"0")+IFERROR(X99*H99,"0")</f>
        <v>322.56</v>
      </c>
      <c r="L287" s="52">
        <f>IFERROR(X104*H104,"0")+IFERROR(X105*H105,"0")</f>
        <v>30.240000000000002</v>
      </c>
      <c r="M287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6480</v>
      </c>
      <c r="N287" s="1"/>
      <c r="O287" s="52">
        <f>IFERROR(X131*H131,"0")+IFERROR(X132*H132,"0")+IFERROR(X133*H133,"0")+IFERROR(X134*H134,"0")+IFERROR(X138*H138,"0")+IFERROR(X139*H139,"0")+IFERROR(X140*H140,"0")</f>
        <v>115.08</v>
      </c>
      <c r="P287" s="52">
        <f>IFERROR(X145*H145,"0")+IFERROR(X146*H146,"0")</f>
        <v>966</v>
      </c>
      <c r="Q287" s="52">
        <f>IFERROR(X151*H151,"0")+IFERROR(X152*H152,"0")</f>
        <v>378</v>
      </c>
      <c r="R287" s="52">
        <f>IFERROR(X157*H157,"0")+IFERROR(X158*H158,"0")</f>
        <v>168</v>
      </c>
      <c r="S287" s="52">
        <f>IFERROR(X163*H163,"0")</f>
        <v>42</v>
      </c>
      <c r="T287" s="52">
        <f>IFERROR(X168*H168,"0")</f>
        <v>0</v>
      </c>
      <c r="U287" s="52">
        <f>IFERROR(X173*H173,"0")</f>
        <v>0</v>
      </c>
      <c r="V287" s="52">
        <f>IFERROR(X179*H179,"0")+IFERROR(X180*H180,"0")</f>
        <v>60</v>
      </c>
      <c r="W287" s="52">
        <f>IFERROR(X185*H185,"0")</f>
        <v>780</v>
      </c>
      <c r="X287" s="52">
        <f>IFERROR(X191*H191,"0")+IFERROR(X192*H192,"0")+IFERROR(X193*H193,"0")+IFERROR(X194*H194,"0")</f>
        <v>374.64</v>
      </c>
      <c r="Y287" s="52">
        <f>IFERROR(X200*H200,"0")+IFERROR(X204*H204,"0")+IFERROR(X205*H205,"0")+IFERROR(X206*H206,"0")</f>
        <v>0</v>
      </c>
      <c r="Z287" s="52">
        <f>IFERROR(X211*H211,"0")+IFERROR(X212*H212,"0")</f>
        <v>0</v>
      </c>
      <c r="AA287" s="52">
        <f>IFERROR(X217*H217,"0")</f>
        <v>600</v>
      </c>
      <c r="AB287" s="52">
        <f>IFERROR(X222*H222,"0")</f>
        <v>0</v>
      </c>
      <c r="AC287" s="52">
        <f>IFERROR(X228*H228,"0")</f>
        <v>0</v>
      </c>
      <c r="AD287" s="52">
        <f>IFERROR(X234*H234,"0")+IFERROR(X238*H238,"0")</f>
        <v>0</v>
      </c>
      <c r="AE287" s="52">
        <f>IFERROR(X244*H244,"0")</f>
        <v>0</v>
      </c>
      <c r="AF287" s="52">
        <f>IFERROR(X250*H250,"0")+IFERROR(X251*H251,"0")+IFERROR(X255*H255,"0")+IFERROR(X259*H259,"0")+IFERROR(X260*H260,"0")+IFERROR(X261*H261,"0")+IFERROR(X265*H265,"0")+IFERROR(X266*H266,"0")+IFERROR(X267*H267,"0")+IFERROR(X268*H268,"0")+IFERROR(X269*H269,"0")+IFERROR(X270*H270,"0")+IFERROR(X271*H271,"0")+IFERROR(X272*H272,"0")+IFERROR(X273*H273,"0")+IFERROR(X274*H274,"0")</f>
        <v>1764.4</v>
      </c>
    </row>
    <row r="288" spans="1:68" ht="13.5" thickTop="1" x14ac:dyDescent="0.2">
      <c r="C288" s="1"/>
    </row>
    <row r="289" spans="1:3" ht="19.5" customHeight="1" x14ac:dyDescent="0.2">
      <c r="A289" s="70" t="s">
        <v>62</v>
      </c>
      <c r="B289" s="70" t="s">
        <v>63</v>
      </c>
      <c r="C289" s="70" t="s">
        <v>65</v>
      </c>
    </row>
    <row r="290" spans="1:3" x14ac:dyDescent="0.2">
      <c r="A290" s="71">
        <f>SUMPRODUCT(--(BB:BB="ЗПФ"),--(W:W="кор"),H:H,Y:Y)+SUMPRODUCT(--(BB:BB="ЗПФ"),--(W:W="кг"),Y:Y)</f>
        <v>12429.6</v>
      </c>
      <c r="B290" s="72">
        <f>SUMPRODUCT(--(BB:BB="ПГП"),--(W:W="кор"),H:H,Y:Y)+SUMPRODUCT(--(BB:BB="ПГП"),--(W:W="кг"),Y:Y)</f>
        <v>4589.32</v>
      </c>
      <c r="C290" s="72">
        <f>SUMPRODUCT(--(BB:BB="КИЗ"),--(W:W="кор"),H:H,Y:Y)+SUMPRODUCT(--(BB:BB="КИЗ"),--(W:W="кг"),Y:Y)</f>
        <v>0</v>
      </c>
    </row>
  </sheetData>
  <sheetProtection algorithmName="SHA-512" hashValue="EIzjRgqug9WXICZvoogvnIqP4OdPbQo82nDxOFIoZrCqH+ShK18GdjDyxYB2pS7WfqvOgeP8QxEXf3PaNIwRYg==" saltValue="0a9kBv9Qch3WpqsiZqovgQ==" spinCount="100000" sheet="1" objects="1" scenarios="1" sort="0" autoFilter="0" pivotTables="0"/>
  <autoFilter ref="A18:AF28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8,80"/>
        <filter val="100,80"/>
        <filter val="108,00"/>
        <filter val="112,00"/>
        <filter val="115,08"/>
        <filter val="12,00"/>
        <filter val="120,00"/>
        <filter val="126,00"/>
        <filter val="14,00"/>
        <filter val="140,00"/>
        <filter val="144,00"/>
        <filter val="156,00"/>
        <filter val="16,80"/>
        <filter val="168,00"/>
        <filter val="17 018,92"/>
        <filter val="18 282,76"/>
        <filter val="182,00"/>
        <filter val="19 282,76"/>
        <filter val="2 220,00"/>
        <filter val="201,60"/>
        <filter val="210,00"/>
        <filter val="228,00"/>
        <filter val="238,00"/>
        <filter val="24,00"/>
        <filter val="28,00"/>
        <filter val="3 500,00"/>
        <filter val="30,24"/>
        <filter val="300,00"/>
        <filter val="322,00"/>
        <filter val="322,56"/>
        <filter val="36,00"/>
        <filter val="374,64"/>
        <filter val="378,00"/>
        <filter val="396,00"/>
        <filter val="40"/>
        <filter val="42,00"/>
        <filter val="422,40"/>
        <filter val="432,00"/>
        <filter val="444,00"/>
        <filter val="48,00"/>
        <filter val="540,00"/>
        <filter val="56,00"/>
        <filter val="6 480,00"/>
        <filter val="60,00"/>
        <filter val="600,00"/>
        <filter val="70,00"/>
        <filter val="72,00"/>
        <filter val="76,80"/>
        <filter val="780,00"/>
        <filter val="792,40"/>
        <filter val="84,00"/>
        <filter val="936,00"/>
        <filter val="96,00"/>
        <filter val="966,00"/>
      </filters>
    </filterColumn>
    <filterColumn colId="29" showButton="0"/>
    <filterColumn colId="30" showButton="0"/>
  </autoFilter>
  <dataConsolidate/>
  <mergeCells count="5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P277:V277"/>
    <mergeCell ref="A277:O282"/>
    <mergeCell ref="P278:V278"/>
    <mergeCell ref="P279:V279"/>
    <mergeCell ref="P280:V280"/>
    <mergeCell ref="P281:V281"/>
    <mergeCell ref="P282:V282"/>
    <mergeCell ref="B284:C284"/>
    <mergeCell ref="D284:U284"/>
    <mergeCell ref="V284:W284"/>
    <mergeCell ref="Y284:AB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O285:O286"/>
    <mergeCell ref="P285:P286"/>
    <mergeCell ref="Q285:Q286"/>
    <mergeCell ref="R285:R286"/>
    <mergeCell ref="S285:S286"/>
    <mergeCell ref="T285:T286"/>
    <mergeCell ref="U285:U286"/>
    <mergeCell ref="AE285:AE286"/>
    <mergeCell ref="AF285:AF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:X274 X265 X250:X251 X244 X238 X234 X228 X222 X211:X212 X204 X194 X185 X173 X157 X151:X152 X138:X140 X131:X134 X126 X122 X115:X116 X111:X112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6:X269 X259:X261 X255 X217 X205:X206 X200 X191:X193 X179:X180 X168 X163 X158 X145:X146 X117:X118 X113:X114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80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3oj4Q7sb3FCR67xliMQgAOVYiG7WcWmYUqNGiUIpfrro7IDnaG9JHI8ooX6CMXf+8C06PSZD23XyXWkl2NYAWQ==" saltValue="rCsDlKy68M+sgKIkBnAi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