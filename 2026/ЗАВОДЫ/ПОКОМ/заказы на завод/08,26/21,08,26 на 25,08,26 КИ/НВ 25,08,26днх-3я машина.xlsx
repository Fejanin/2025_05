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218116-401F-4AC2-B3CC-D600D86C86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O471" i="1"/>
  <c r="BM471" i="1"/>
  <c r="Y471" i="1"/>
  <c r="BP471" i="1" s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O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BP390" i="1" s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X344" i="1"/>
  <c r="X343" i="1"/>
  <c r="BO342" i="1"/>
  <c r="BM342" i="1"/>
  <c r="Y342" i="1"/>
  <c r="BP342" i="1" s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Y312" i="1"/>
  <c r="X312" i="1"/>
  <c r="BO311" i="1"/>
  <c r="BM311" i="1"/>
  <c r="Y311" i="1"/>
  <c r="Y313" i="1" s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M245" i="1"/>
  <c r="Y245" i="1"/>
  <c r="Y247" i="1" s="1"/>
  <c r="P245" i="1"/>
  <c r="BO244" i="1"/>
  <c r="BM244" i="1"/>
  <c r="Y244" i="1"/>
  <c r="BP244" i="1" s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BN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Z183" i="1"/>
  <c r="Y183" i="1"/>
  <c r="BN183" i="1" s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N175" i="1" s="1"/>
  <c r="P175" i="1"/>
  <c r="BO174" i="1"/>
  <c r="BM174" i="1"/>
  <c r="Y174" i="1"/>
  <c r="Y186" i="1" s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X167" i="1"/>
  <c r="X166" i="1"/>
  <c r="BO165" i="1"/>
  <c r="BM165" i="1"/>
  <c r="Y165" i="1"/>
  <c r="BP165" i="1" s="1"/>
  <c r="P165" i="1"/>
  <c r="BO164" i="1"/>
  <c r="BM164" i="1"/>
  <c r="Y164" i="1"/>
  <c r="Z164" i="1" s="1"/>
  <c r="P164" i="1"/>
  <c r="BP163" i="1"/>
  <c r="BO163" i="1"/>
  <c r="BN163" i="1"/>
  <c r="BM163" i="1"/>
  <c r="Z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BN154" i="1" s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5" i="1"/>
  <c r="X144" i="1"/>
  <c r="BO143" i="1"/>
  <c r="BM143" i="1"/>
  <c r="Y143" i="1"/>
  <c r="P143" i="1"/>
  <c r="BO142" i="1"/>
  <c r="BM142" i="1"/>
  <c r="Y142" i="1"/>
  <c r="P142" i="1"/>
  <c r="BO141" i="1"/>
  <c r="BM141" i="1"/>
  <c r="Y141" i="1"/>
  <c r="P141" i="1"/>
  <c r="X139" i="1"/>
  <c r="X138" i="1"/>
  <c r="BO137" i="1"/>
  <c r="BM137" i="1"/>
  <c r="Y137" i="1"/>
  <c r="BN137" i="1" s="1"/>
  <c r="P137" i="1"/>
  <c r="BO136" i="1"/>
  <c r="BM136" i="1"/>
  <c r="Y136" i="1"/>
  <c r="BP136" i="1" s="1"/>
  <c r="P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BO128" i="1"/>
  <c r="BM128" i="1"/>
  <c r="Y128" i="1"/>
  <c r="H562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Z116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Y109" i="1"/>
  <c r="P109" i="1"/>
  <c r="BO108" i="1"/>
  <c r="BM108" i="1"/>
  <c r="Y108" i="1"/>
  <c r="Y114" i="1" s="1"/>
  <c r="P108" i="1"/>
  <c r="X106" i="1"/>
  <c r="X105" i="1"/>
  <c r="BO104" i="1"/>
  <c r="BM104" i="1"/>
  <c r="Z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BN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P98" i="1"/>
  <c r="BO98" i="1"/>
  <c r="BN98" i="1"/>
  <c r="BM98" i="1"/>
  <c r="Z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BP83" i="1"/>
  <c r="BO83" i="1"/>
  <c r="BN83" i="1"/>
  <c r="BM83" i="1"/>
  <c r="Z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P73" i="1"/>
  <c r="BO72" i="1"/>
  <c r="BM72" i="1"/>
  <c r="Y72" i="1"/>
  <c r="Y74" i="1" s="1"/>
  <c r="P72" i="1"/>
  <c r="X70" i="1"/>
  <c r="X69" i="1"/>
  <c r="BP68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BN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A10" i="1" s="1"/>
  <c r="D7" i="1"/>
  <c r="Q6" i="1"/>
  <c r="P2" i="1"/>
  <c r="BN31" i="1" l="1"/>
  <c r="BN39" i="1"/>
  <c r="BN56" i="1"/>
  <c r="BN78" i="1"/>
  <c r="BN85" i="1"/>
  <c r="BN93" i="1"/>
  <c r="BN100" i="1"/>
  <c r="BN150" i="1"/>
  <c r="BN165" i="1"/>
  <c r="BP177" i="1"/>
  <c r="BN177" i="1"/>
  <c r="Z177" i="1"/>
  <c r="BP228" i="1"/>
  <c r="BN228" i="1"/>
  <c r="Z228" i="1"/>
  <c r="BN232" i="1"/>
  <c r="Y252" i="1"/>
  <c r="Y251" i="1"/>
  <c r="BN250" i="1"/>
  <c r="BP303" i="1"/>
  <c r="BN303" i="1"/>
  <c r="Z303" i="1"/>
  <c r="BN322" i="1"/>
  <c r="BP333" i="1"/>
  <c r="BN333" i="1"/>
  <c r="Z333" i="1"/>
  <c r="BP372" i="1"/>
  <c r="BN372" i="1"/>
  <c r="Z372" i="1"/>
  <c r="BP411" i="1"/>
  <c r="BN411" i="1"/>
  <c r="Z411" i="1"/>
  <c r="BP416" i="1"/>
  <c r="BN416" i="1"/>
  <c r="BP23" i="1"/>
  <c r="BN23" i="1"/>
  <c r="Z23" i="1"/>
  <c r="BN49" i="1"/>
  <c r="BN68" i="1"/>
  <c r="Z68" i="1"/>
  <c r="BP135" i="1"/>
  <c r="BN135" i="1"/>
  <c r="Z135" i="1"/>
  <c r="BP141" i="1"/>
  <c r="BN141" i="1"/>
  <c r="Z141" i="1"/>
  <c r="BN207" i="1"/>
  <c r="BN222" i="1"/>
  <c r="BN238" i="1"/>
  <c r="BP255" i="1"/>
  <c r="BN255" i="1"/>
  <c r="Z255" i="1"/>
  <c r="BN267" i="1"/>
  <c r="BP278" i="1"/>
  <c r="BN278" i="1"/>
  <c r="Z278" i="1"/>
  <c r="BN282" i="1"/>
  <c r="BN297" i="1"/>
  <c r="BN342" i="1"/>
  <c r="BN360" i="1"/>
  <c r="BP386" i="1"/>
  <c r="BN386" i="1"/>
  <c r="Z386" i="1"/>
  <c r="BN398" i="1"/>
  <c r="X553" i="1"/>
  <c r="Y33" i="1"/>
  <c r="BN41" i="1"/>
  <c r="BN51" i="1"/>
  <c r="Y63" i="1"/>
  <c r="BN58" i="1"/>
  <c r="BP104" i="1"/>
  <c r="BP110" i="1"/>
  <c r="Y144" i="1"/>
  <c r="BN179" i="1"/>
  <c r="BN205" i="1"/>
  <c r="BN224" i="1"/>
  <c r="BN230" i="1"/>
  <c r="BN236" i="1"/>
  <c r="BN244" i="1"/>
  <c r="BN265" i="1"/>
  <c r="BN280" i="1"/>
  <c r="BN299" i="1"/>
  <c r="BN311" i="1"/>
  <c r="BN368" i="1"/>
  <c r="BN390" i="1"/>
  <c r="BN404" i="1"/>
  <c r="BN424" i="1"/>
  <c r="Z428" i="1"/>
  <c r="BN428" i="1"/>
  <c r="BN430" i="1"/>
  <c r="Z436" i="1"/>
  <c r="BN436" i="1"/>
  <c r="BN448" i="1"/>
  <c r="Z471" i="1"/>
  <c r="BN471" i="1"/>
  <c r="Z490" i="1"/>
  <c r="BN490" i="1"/>
  <c r="Z504" i="1"/>
  <c r="BN504" i="1"/>
  <c r="Z520" i="1"/>
  <c r="BN520" i="1"/>
  <c r="X554" i="1"/>
  <c r="X555" i="1" s="1"/>
  <c r="Z27" i="1"/>
  <c r="BP27" i="1"/>
  <c r="Z60" i="1"/>
  <c r="BP60" i="1"/>
  <c r="BP129" i="1"/>
  <c r="Z129" i="1"/>
  <c r="BP143" i="1"/>
  <c r="Z143" i="1"/>
  <c r="BP154" i="1"/>
  <c r="Y160" i="1"/>
  <c r="BP158" i="1"/>
  <c r="Z158" i="1"/>
  <c r="Z159" i="1" s="1"/>
  <c r="Z175" i="1"/>
  <c r="BN226" i="1"/>
  <c r="BP226" i="1"/>
  <c r="Z226" i="1"/>
  <c r="BN246" i="1"/>
  <c r="BP246" i="1"/>
  <c r="Z246" i="1"/>
  <c r="BN276" i="1"/>
  <c r="BP276" i="1"/>
  <c r="Z276" i="1"/>
  <c r="BN331" i="1"/>
  <c r="BP331" i="1"/>
  <c r="Z331" i="1"/>
  <c r="BN353" i="1"/>
  <c r="BP353" i="1"/>
  <c r="Z353" i="1"/>
  <c r="Y388" i="1"/>
  <c r="BN384" i="1"/>
  <c r="Y387" i="1"/>
  <c r="BP384" i="1"/>
  <c r="Z384" i="1"/>
  <c r="BN426" i="1"/>
  <c r="BP426" i="1"/>
  <c r="Z426" i="1"/>
  <c r="BN518" i="1"/>
  <c r="BP518" i="1"/>
  <c r="Z518" i="1"/>
  <c r="X552" i="1"/>
  <c r="Y44" i="1"/>
  <c r="Z41" i="1"/>
  <c r="D562" i="1"/>
  <c r="Z51" i="1"/>
  <c r="Z58" i="1"/>
  <c r="Z66" i="1"/>
  <c r="BP66" i="1"/>
  <c r="Z72" i="1"/>
  <c r="BP72" i="1"/>
  <c r="Y88" i="1"/>
  <c r="Y105" i="1"/>
  <c r="Z102" i="1"/>
  <c r="BP102" i="1"/>
  <c r="Z108" i="1"/>
  <c r="BP108" i="1"/>
  <c r="Z154" i="1"/>
  <c r="Y159" i="1"/>
  <c r="BP181" i="1"/>
  <c r="Z181" i="1"/>
  <c r="BN240" i="1"/>
  <c r="BP240" i="1"/>
  <c r="Z240" i="1"/>
  <c r="BN284" i="1"/>
  <c r="BP284" i="1"/>
  <c r="Z284" i="1"/>
  <c r="Y319" i="1"/>
  <c r="BN315" i="1"/>
  <c r="Y318" i="1"/>
  <c r="BP315" i="1"/>
  <c r="Z315" i="1"/>
  <c r="BN338" i="1"/>
  <c r="BP338" i="1"/>
  <c r="Z338" i="1"/>
  <c r="BN418" i="1"/>
  <c r="BP418" i="1"/>
  <c r="Z418" i="1"/>
  <c r="BN544" i="1"/>
  <c r="BP544" i="1"/>
  <c r="Z544" i="1"/>
  <c r="B562" i="1"/>
  <c r="BN27" i="1"/>
  <c r="Y32" i="1"/>
  <c r="Z31" i="1"/>
  <c r="Z39" i="1"/>
  <c r="Z49" i="1"/>
  <c r="Z56" i="1"/>
  <c r="Z78" i="1"/>
  <c r="Z85" i="1"/>
  <c r="Y94" i="1"/>
  <c r="Z93" i="1"/>
  <c r="Z100" i="1"/>
  <c r="BN129" i="1"/>
  <c r="BP137" i="1"/>
  <c r="Z137" i="1"/>
  <c r="BN143" i="1"/>
  <c r="BN158" i="1"/>
  <c r="BP183" i="1"/>
  <c r="BP189" i="1"/>
  <c r="Z189" i="1"/>
  <c r="BN292" i="1"/>
  <c r="BP292" i="1"/>
  <c r="Z292" i="1"/>
  <c r="BN301" i="1"/>
  <c r="BP301" i="1"/>
  <c r="Z301" i="1"/>
  <c r="BN370" i="1"/>
  <c r="BP370" i="1"/>
  <c r="Z370" i="1"/>
  <c r="BN392" i="1"/>
  <c r="BP392" i="1"/>
  <c r="Z392" i="1"/>
  <c r="BN502" i="1"/>
  <c r="BP502" i="1"/>
  <c r="Z502" i="1"/>
  <c r="BN72" i="1"/>
  <c r="Y75" i="1"/>
  <c r="BN108" i="1"/>
  <c r="Y113" i="1"/>
  <c r="Y120" i="1"/>
  <c r="BN116" i="1"/>
  <c r="BP116" i="1"/>
  <c r="BP152" i="1"/>
  <c r="Z152" i="1"/>
  <c r="BP175" i="1"/>
  <c r="BN209" i="1"/>
  <c r="BP209" i="1"/>
  <c r="Z209" i="1"/>
  <c r="BN261" i="1"/>
  <c r="BP261" i="1"/>
  <c r="Z261" i="1"/>
  <c r="BN269" i="1"/>
  <c r="BP269" i="1"/>
  <c r="Z269" i="1"/>
  <c r="Y309" i="1"/>
  <c r="Y308" i="1"/>
  <c r="BN307" i="1"/>
  <c r="BP307" i="1"/>
  <c r="Z307" i="1"/>
  <c r="Z308" i="1" s="1"/>
  <c r="BN324" i="1"/>
  <c r="BP324" i="1"/>
  <c r="Z324" i="1"/>
  <c r="BN362" i="1"/>
  <c r="BP362" i="1"/>
  <c r="Z362" i="1"/>
  <c r="BN378" i="1"/>
  <c r="BP378" i="1"/>
  <c r="Z378" i="1"/>
  <c r="BN442" i="1"/>
  <c r="BP442" i="1"/>
  <c r="Z442" i="1"/>
  <c r="BN510" i="1"/>
  <c r="BP510" i="1"/>
  <c r="Z510" i="1"/>
  <c r="BN463" i="1"/>
  <c r="BN473" i="1"/>
  <c r="BN479" i="1"/>
  <c r="BN498" i="1"/>
  <c r="BN549" i="1"/>
  <c r="Y550" i="1"/>
  <c r="Y155" i="1"/>
  <c r="Y212" i="1"/>
  <c r="Z207" i="1"/>
  <c r="Z224" i="1"/>
  <c r="Z232" i="1"/>
  <c r="Z238" i="1"/>
  <c r="Z244" i="1"/>
  <c r="Z250" i="1"/>
  <c r="Z251" i="1" s="1"/>
  <c r="BP250" i="1"/>
  <c r="Z267" i="1"/>
  <c r="Z282" i="1"/>
  <c r="Z299" i="1"/>
  <c r="Z322" i="1"/>
  <c r="Z360" i="1"/>
  <c r="Z368" i="1"/>
  <c r="Z390" i="1"/>
  <c r="Z398" i="1"/>
  <c r="Z416" i="1"/>
  <c r="Z419" i="1" s="1"/>
  <c r="Z424" i="1"/>
  <c r="Z448" i="1"/>
  <c r="Y121" i="1"/>
  <c r="Y138" i="1"/>
  <c r="Y145" i="1"/>
  <c r="Z150" i="1"/>
  <c r="Z165" i="1"/>
  <c r="Z179" i="1"/>
  <c r="Z205" i="1"/>
  <c r="Z222" i="1"/>
  <c r="Z230" i="1"/>
  <c r="Z236" i="1"/>
  <c r="Z265" i="1"/>
  <c r="Z280" i="1"/>
  <c r="Z297" i="1"/>
  <c r="Z311" i="1"/>
  <c r="Z312" i="1" s="1"/>
  <c r="BP311" i="1"/>
  <c r="Z342" i="1"/>
  <c r="Y348" i="1"/>
  <c r="Z404" i="1"/>
  <c r="Z430" i="1"/>
  <c r="Z463" i="1"/>
  <c r="Z473" i="1"/>
  <c r="Z479" i="1"/>
  <c r="Z498" i="1"/>
  <c r="Z549" i="1"/>
  <c r="Z550" i="1" s="1"/>
  <c r="BP549" i="1"/>
  <c r="F9" i="1"/>
  <c r="J9" i="1"/>
  <c r="F10" i="1"/>
  <c r="Z22" i="1"/>
  <c r="Z24" i="1" s="1"/>
  <c r="BN22" i="1"/>
  <c r="BP22" i="1"/>
  <c r="X556" i="1"/>
  <c r="Y25" i="1"/>
  <c r="Z28" i="1"/>
  <c r="BN28" i="1"/>
  <c r="BP28" i="1"/>
  <c r="Z30" i="1"/>
  <c r="BN30" i="1"/>
  <c r="C562" i="1"/>
  <c r="Z38" i="1"/>
  <c r="BN38" i="1"/>
  <c r="BP38" i="1"/>
  <c r="Z40" i="1"/>
  <c r="BN40" i="1"/>
  <c r="Z42" i="1"/>
  <c r="BN42" i="1"/>
  <c r="Y43" i="1"/>
  <c r="Z48" i="1"/>
  <c r="BN48" i="1"/>
  <c r="BP48" i="1"/>
  <c r="Z50" i="1"/>
  <c r="BN50" i="1"/>
  <c r="Y53" i="1"/>
  <c r="E562" i="1"/>
  <c r="Z57" i="1"/>
  <c r="BN57" i="1"/>
  <c r="BP57" i="1"/>
  <c r="Z59" i="1"/>
  <c r="BN59" i="1"/>
  <c r="Z61" i="1"/>
  <c r="BN61" i="1"/>
  <c r="Y62" i="1"/>
  <c r="Z65" i="1"/>
  <c r="BN65" i="1"/>
  <c r="BP65" i="1"/>
  <c r="Z67" i="1"/>
  <c r="BN67" i="1"/>
  <c r="Y70" i="1"/>
  <c r="Z73" i="1"/>
  <c r="BN73" i="1"/>
  <c r="BP73" i="1"/>
  <c r="Z77" i="1"/>
  <c r="Z79" i="1" s="1"/>
  <c r="BN77" i="1"/>
  <c r="BP77" i="1"/>
  <c r="Y80" i="1"/>
  <c r="F562" i="1"/>
  <c r="Z84" i="1"/>
  <c r="BN84" i="1"/>
  <c r="BP84" i="1"/>
  <c r="Z86" i="1"/>
  <c r="BN86" i="1"/>
  <c r="Y87" i="1"/>
  <c r="Z90" i="1"/>
  <c r="BN90" i="1"/>
  <c r="BP90" i="1"/>
  <c r="Z92" i="1"/>
  <c r="BN92" i="1"/>
  <c r="Y95" i="1"/>
  <c r="G562" i="1"/>
  <c r="Z99" i="1"/>
  <c r="BN99" i="1"/>
  <c r="BP99" i="1"/>
  <c r="Z101" i="1"/>
  <c r="BN101" i="1"/>
  <c r="Z103" i="1"/>
  <c r="BN103" i="1"/>
  <c r="Y106" i="1"/>
  <c r="Z109" i="1"/>
  <c r="BN109" i="1"/>
  <c r="BP109" i="1"/>
  <c r="Z111" i="1"/>
  <c r="BN111" i="1"/>
  <c r="Z117" i="1"/>
  <c r="BN117" i="1"/>
  <c r="BP117" i="1"/>
  <c r="Z119" i="1"/>
  <c r="BN119" i="1"/>
  <c r="Z123" i="1"/>
  <c r="Z124" i="1" s="1"/>
  <c r="BN123" i="1"/>
  <c r="BP123" i="1"/>
  <c r="Y124" i="1"/>
  <c r="Z128" i="1"/>
  <c r="BN128" i="1"/>
  <c r="BP128" i="1"/>
  <c r="Z130" i="1"/>
  <c r="BN130" i="1"/>
  <c r="Y131" i="1"/>
  <c r="Z134" i="1"/>
  <c r="BN134" i="1"/>
  <c r="BP134" i="1"/>
  <c r="Z136" i="1"/>
  <c r="BN136" i="1"/>
  <c r="Y139" i="1"/>
  <c r="Z142" i="1"/>
  <c r="Z144" i="1" s="1"/>
  <c r="BN142" i="1"/>
  <c r="BP142" i="1"/>
  <c r="I562" i="1"/>
  <c r="Z149" i="1"/>
  <c r="BN149" i="1"/>
  <c r="BP149" i="1"/>
  <c r="Z151" i="1"/>
  <c r="BN151" i="1"/>
  <c r="Z153" i="1"/>
  <c r="BN153" i="1"/>
  <c r="Y156" i="1"/>
  <c r="J562" i="1"/>
  <c r="Y167" i="1"/>
  <c r="Y171" i="1"/>
  <c r="BP176" i="1"/>
  <c r="BN176" i="1"/>
  <c r="Z176" i="1"/>
  <c r="BP180" i="1"/>
  <c r="BN180" i="1"/>
  <c r="Z180" i="1"/>
  <c r="BP184" i="1"/>
  <c r="BN184" i="1"/>
  <c r="Z184" i="1"/>
  <c r="Y191" i="1"/>
  <c r="BP188" i="1"/>
  <c r="BN188" i="1"/>
  <c r="Z188" i="1"/>
  <c r="BP206" i="1"/>
  <c r="BN206" i="1"/>
  <c r="Z206" i="1"/>
  <c r="BP210" i="1"/>
  <c r="BN210" i="1"/>
  <c r="Z210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Y419" i="1"/>
  <c r="H9" i="1"/>
  <c r="Y24" i="1"/>
  <c r="Y52" i="1"/>
  <c r="Y132" i="1"/>
  <c r="Z166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Z211" i="1" s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BP245" i="1"/>
  <c r="BN245" i="1"/>
  <c r="Z245" i="1"/>
  <c r="Z247" i="1" s="1"/>
  <c r="BP266" i="1"/>
  <c r="BN266" i="1"/>
  <c r="Z266" i="1"/>
  <c r="BP270" i="1"/>
  <c r="BN270" i="1"/>
  <c r="Z270" i="1"/>
  <c r="BP323" i="1"/>
  <c r="BN323" i="1"/>
  <c r="Z323" i="1"/>
  <c r="P562" i="1"/>
  <c r="Y327" i="1"/>
  <c r="BP332" i="1"/>
  <c r="BN332" i="1"/>
  <c r="Z332" i="1"/>
  <c r="Z334" i="1" s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Z381" i="1" s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364" i="1" l="1"/>
  <c r="Z355" i="1"/>
  <c r="Z304" i="1"/>
  <c r="Z155" i="1"/>
  <c r="Z120" i="1"/>
  <c r="Z113" i="1"/>
  <c r="Z94" i="1"/>
  <c r="Z87" i="1"/>
  <c r="Z74" i="1"/>
  <c r="Z69" i="1"/>
  <c r="Z62" i="1"/>
  <c r="Z43" i="1"/>
  <c r="Z432" i="1"/>
  <c r="Z288" i="1"/>
  <c r="Z105" i="1"/>
  <c r="Z32" i="1"/>
  <c r="Z273" i="1"/>
  <c r="Z492" i="1"/>
  <c r="Z476" i="1"/>
  <c r="Z343" i="1"/>
  <c r="Z327" i="1"/>
  <c r="Z406" i="1"/>
  <c r="Z506" i="1"/>
  <c r="Z374" i="1"/>
  <c r="Z233" i="1"/>
  <c r="Z191" i="1"/>
  <c r="Y552" i="1"/>
  <c r="Y554" i="1"/>
  <c r="Z512" i="1"/>
  <c r="Z522" i="1"/>
  <c r="Z465" i="1"/>
  <c r="Z444" i="1"/>
  <c r="Z185" i="1"/>
  <c r="Y556" i="1"/>
  <c r="Z138" i="1"/>
  <c r="Z131" i="1"/>
  <c r="Z557" i="1" s="1"/>
  <c r="Z52" i="1"/>
  <c r="Y553" i="1"/>
  <c r="Y555" i="1" s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<sst xmlns="http://schemas.openxmlformats.org/spreadsheetml/2006/main" count="2499" uniqueCount="906">
  <si>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</si>
  <si>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</si>
  <si>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</si>
  <si>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</si>
  <si>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</si>
  <si>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</si>
  <si>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</si>
  <si>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</si>
  <si>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</si>
  <si>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</si>
  <si>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</si>
  <si>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</si>
  <si>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</si>
  <si>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</si>
  <si>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</si>
  <si>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</si>
  <si>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</si>
  <si>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</si>
  <si>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</si>
  <si>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</si>
  <si>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</si>
  <si>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</si>
  <si>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</si>
  <si>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</si>
  <si>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</si>
  <si>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</si>
  <si>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</si>
  <si>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</si>
  <si>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</si>
  <si>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</si>
  <si>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</si>
  <si>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</si>
  <si>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</si>
  <si>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</si>
  <si>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</si>
  <si>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</si>
  <si>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</si>
  <si>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</si>
  <si>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</si>
  <si>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</si>
  <si>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</si>
  <si>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</si>
  <si>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</si>
  <si>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</si>
  <si>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</si>
  <si>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</si>
  <si>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</si>
  <si>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</si>
  <si>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</si>
  <si>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</si>
  <si>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</si>
  <si>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</si>
  <si>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</si>
  <si>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</si>
  <si>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</si>
  <si>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</si>
  <si>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</si>
  <si>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</si>
  <si>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</si>
  <si>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</si>
  <si>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</si>
  <si>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</si>
  <si>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</si>
  <si>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</si>
  <si>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</si>
  <si>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</si>
  <si>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</si>
  <si>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</si>
  <si>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</si>
  <si>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</si>
  <si>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</si>
  <si>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</si>
  <si>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</si>
  <si>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</si>
  <si>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</si>
  <si>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</si>
  <si>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</si>
  <si>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</si>
  <si>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</si>
  <si>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</si>
  <si>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</si>
  <si>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</si>
  <si>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</si>
  <si>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</si>
  <si>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</si>
  <si>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</si>
  <si>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</si>
  <si>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</si>
  <si>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</si>
  <si>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</si>
  <si>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</si>
  <si>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</si>
  <si>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</si>
  <si>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</si>
  <si>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</si>
  <si>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</si>
  <si>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</si>
  <si>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</si>
  <si>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</si>
  <si>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</si>
  <si>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</si>
  <si>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</si>
  <si>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</si>
  <si>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</si>
  <si>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</si>
  <si>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</si>
  <si>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</si>
  <si>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</si>
  <si>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</si>
  <si>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</si>
  <si>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</si>
  <si>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</si>
  <si>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</si>
  <si>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</si>
  <si>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</si>
  <si>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</si>
  <si>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</si>
  <si>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</si>
  <si>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</si>
  <si>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</si>
  <si>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</si>
  <si>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</si>
  <si>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</si>
  <si>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</si>
  <si>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</si>
  <si>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</si>
  <si>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</si>
  <si>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</si>
  <si>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</si>
  <si>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</si>
  <si>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</si>
  <si>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</si>
  <si>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</si>
  <si>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</si>
  <si>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</si>
  <si>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</si>
  <si>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</si>
  <si>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</si>
  <si>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</si>
  <si>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</si>
  <si>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</si>
  <si>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</si>
  <si>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</si>
  <si>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</si>
  <si>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</si>
  <si>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</si>
  <si>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</si>
  <si>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</si>
  <si>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</si>
  <si>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</si>
  <si>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</si>
  <si>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</si>
  <si>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</si>
  <si>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</si>
  <si>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</si>
  <si>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</si>
  <si>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</si>
  <si>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</si>
  <si>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</si>
  <si>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</si>
  <si>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</si>
  <si>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</si>
  <si>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</si>
  <si>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</si>
  <si>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</si>
  <si>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</si>
  <si>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</si>
  <si>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</si>
  <si>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</si>
  <si>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</si>
  <si>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</si>
  <si>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</si>
  <si>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</si>
  <si>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</si>
  <si>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</si>
  <si>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</si>
  <si>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</si>
  <si>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</si>
  <si>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</si>
  <si>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</si>
  <si>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</si>
  <si>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</si>
  <si>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</si>
  <si>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</si>
  <si>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</si>
  <si>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</si>
  <si>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</si>
  <si>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</si>
  <si>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</si>
  <si>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</si>
  <si>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</si>
  <si>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</si>
  <si>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</si>
  <si>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</si>
  <si>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</si>
  <si>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</si>
  <si>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</si>
  <si>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</si>
  <si>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</si>
  <si>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</si>
  <si>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</si>
  <si>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</si>
  <si>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</si>
  <si>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</si>
  <si>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</si>
  <si>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</si>
  <si>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</si>
  <si>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</si>
  <si>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</si>
  <si>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</si>
  <si>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</si>
  <si>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</si>
  <si>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</si>
  <si>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</si>
  <si>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</si>
  <si>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</si>
  <si>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</si>
  <si>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</si>
  <si>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</si>
  <si>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</si>
  <si>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</si>
  <si>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</si>
  <si>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</si>
  <si>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</si>
  <si>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</si>
  <si>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</si>
  <si>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</si>
  <si>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</si>
  <si>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</si>
  <si>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</si>
  <si>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</si>
  <si>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</si>
  <si>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</si>
  <si>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</si>
  <si>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</si>
  <si>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</si>
  <si>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</si>
  <si>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</si>
  <si>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</si>
  <si>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</si>
  <si>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</si>
  <si>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</si>
  <si>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</si>
  <si>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</si>
  <si>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</si>
  <si>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</si>
  <si>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</si>
  <si>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</si>
  <si>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</si>
  <si>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</si>
  <si>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</si>
  <si>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</si>
  <si>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</si>
  <si>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</si>
  <si>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</si>
  <si>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</si>
  <si>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</si>
  <si>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</si>
  <si>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</si>
  <si>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</si>
  <si>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</si>
  <si>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</si>
  <si>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</si>
  <si>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</si>
  <si>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</si>
  <si>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</si>
  <si>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</si>
  <si>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</si>
  <si>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</si>
  <si>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</si>
  <si>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</si>
  <si>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</si>
  <si>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</si>
  <si>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</si>
  <si>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</si>
  <si>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</si>
  <si>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</si>
  <si>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</si>
  <si>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</si>
  <si>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</si>
  <si>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</si>
  <si>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</si>
  <si>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</si>
  <si>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</si>
  <si>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</si>
  <si>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</si>
  <si>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</si>
  <si>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</si>
  <si>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</si>
  <si>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</si>
  <si>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</si>
  <si>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</si>
  <si>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</si>
  <si>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</si>
  <si>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</si>
  <si>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</si>
  <si>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</si>
  <si>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</si>
  <si>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</si>
  <si>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</si>
  <si>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</si>
  <si>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</si>
  <si>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</si>
  <si>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</si>
  <si>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</si>
  <si>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</si>
  <si>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</si>
  <si>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</si>
  <si>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</si>
  <si>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</si>
  <si>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</si>
  <si>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</si>
  <si>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</si>
  <si>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</si>
  <si>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</si>
  <si>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</si>
  <si>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</si>
  <si>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</si>
  <si>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</si>
  <si>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</si>
  <si>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</si>
  <si>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</si>
  <si>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</si>
  <si>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</si>
  <si>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</si>
  <si>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</si>
  <si>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</si>
  <si>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</si>
  <si>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</si>
  <si>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</si>
  <si>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</si>
  <si>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</si>
  <si>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</si>
  <si>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</si>
  <si>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</si>
  <si>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</si>
  <si>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</si>
  <si>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</si>
  <si>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</si>
  <si>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</si>
  <si>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</si>
  <si>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</si>
  <si>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</si>
  <si>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</si>
  <si>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</si>
  <si>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</si>
  <si>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</si>
  <si>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</si>
  <si>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</si>
  <si>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</si>
  <si>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</si>
  <si>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</si>
  <si>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</si>
  <si>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</si>
  <si>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</si>
  <si>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</si>
  <si>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</si>
  <si>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</si>
  <si>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</si>
  <si>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</si>
  <si>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</si>
  <si>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</si>
  <si>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</si>
  <si>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</si>
  <si>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</si>
  <si>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</si>
  <si>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</si>
  <si>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</si>
  <si>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</si>
  <si>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</si>
  <si>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</si>
  <si>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</si>
  <si>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</si>
  <si>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</si>
  <si>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</si>
  <si>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</si>
  <si>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</si>
  <si>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</si>
  <si>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</si>
  <si>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</si>
  <si>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</si>
  <si>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</si>
  <si>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</si>
  <si>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</si>
  <si>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</si>
  <si>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</si>
  <si>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</si>
  <si>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</si>
  <si>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</si>
  <si>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</si>
  <si>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</si>
  <si>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</si>
  <si>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</si>
  <si>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</si>
  <si>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</si>
  <si>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</si>
  <si>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</si>
  <si>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</si>
  <si>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</si>
  <si>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</si>
  <si>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</si>
  <si>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</si>
  <si>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</si>
  <si>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</si>
  <si>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</si>
  <si>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</si>
  <si>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</si>
  <si>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</si>
  <si>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</si>
  <si>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</si>
  <si>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</si>
  <si>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</si>
  <si>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</si>
  <si>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</si>
  <si>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</si>
  <si>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</si>
  <si>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</si>
  <si>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</si>
  <si>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</si>
  <si>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</si>
  <si>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</si>
  <si>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</si>
  <si>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</si>
  <si>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</si>
  <si>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</si>
  <si>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</si>
  <si>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</si>
  <si>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</si>
  <si>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</si>
  <si>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</si>
  <si>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</si>
  <si>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</si>
  <si>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</si>
  <si>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</si>
  <si>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</si>
  <si>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</si>
  <si>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</si>
  <si>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</si>
  <si>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</si>
  <si>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</si>
  <si>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</si>
  <si>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</si>
  <si>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</si>
  <si>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</si>
  <si>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</si>
  <si>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</si>
  <si>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</si>
  <si>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</si>
  <si>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</si>
  <si>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</si>
  <si>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</si>
  <si>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</si>
  <si>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</si>
  <si>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</si>
  <si>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</si>
  <si>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</si>
  <si>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</si>
  <si>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</si>
  <si>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</si>
  <si>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</si>
  <si>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</si>
  <si>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</si>
  <si>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</si>
  <si>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</si>
  <si>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</si>
  <si>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</si>
  <si>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</si>
  <si>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</si>
  <si>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</si>
  <si>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</si>
  <si>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</si>
  <si>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</si>
  <si>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</si>
  <si>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</si>
  <si>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</si>
  <si>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</si>
  <si>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</si>
  <si>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</si>
  <si>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</si>
  <si>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</si>
  <si>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</si>
  <si>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</si>
  <si>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</si>
  <si>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</si>
  <si>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</si>
  <si>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</si>
  <si>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</si>
  <si>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</si>
  <si>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</si>
  <si>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</si>
  <si>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</si>
  <si>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</si>
  <si>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</si>
  <si>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</si>
  <si>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</si>
  <si>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</si>
  <si>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</si>
  <si>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</si>
  <si>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</si>
  <si>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</si>
  <si>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</si>
  <si>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</si>
  <si>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</si>
  <si>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</si>
  <si>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</si>
  <si>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</si>
  <si>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</si>
  <si>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</si>
  <si>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</si>
  <si>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</si>
  <si>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</si>
  <si>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</si>
  <si>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</si>
  <si>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</si>
  <si>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</si>
  <si>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</si>
  <si>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</si>
  <si>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</si>
  <si>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</si>
  <si>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</si>
  <si>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</si>
  <si>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</si>
  <si>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</si>
  <si>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</si>
  <si>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</si>
  <si>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</si>
  <si>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</si>
  <si>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</si>
  <si>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</si>
  <si>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</si>
  <si>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</si>
  <si>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</si>
  <si>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</si>
  <si>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</si>
  <si>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</si>
  <si>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</si>
  <si>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</si>
  <si>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</si>
  <si>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</si>
  <si>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</si>
  <si>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</si>
  <si>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</si>
  <si>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</si>
  <si>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</si>
  <si>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</si>
  <si>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</si>
  <si>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</si>
  <si>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</si>
  <si>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</si>
  <si>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</si>
  <si>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</si>
  <si>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</si>
  <si>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</si>
  <si>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</si>
  <si>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</si>
  <si>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</si>
  <si>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</si>
  <si>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</si>
  <si>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</si>
  <si>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</si>
  <si>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</si>
  <si>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</si>
  <si>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</si>
  <si>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</si>
  <si>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</si>
  <si>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</si>
  <si>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</si>
  <si>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</si>
  <si>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</si>
  <si>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</si>
  <si>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</si>
  <si>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</si>
  <si>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</si>
  <si>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</si>
  <si>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</si>
  <si>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</si>
  <si>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</si>
  <si>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</si>
  <si>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</si>
  <si>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</si>
  <si>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</si>
  <si>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</si>
  <si>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</si>
  <si>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</si>
  <si>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</si>
  <si>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</si>
  <si>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</si>
  <si>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</si>
  <si>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</si>
  <si>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</si>
  <si>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</si>
  <si>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</si>
  <si>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</si>
  <si>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</si>
  <si>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</si>
  <si>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</si>
  <si>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</si>
  <si>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</si>
  <si>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</si>
  <si>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</si>
  <si>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</si>
  <si>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</si>
  <si>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</si>
  <si>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</si>
  <si>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</si>
  <si>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</si>
  <si>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</si>
  <si>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</si>
  <si>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</si>
  <si>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</si>
  <si>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</si>
  <si>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</si>
  <si>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</si>
  <si>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</si>
  <si>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</si>
  <si>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</si>
  <si>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</si>
  <si>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</si>
  <si>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</si>
  <si>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</si>
  <si>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</si>
  <si>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</si>
  <si>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</si>
  <si>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</si>
  <si>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</si>
  <si>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</si>
  <si>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</si>
  <si>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</si>
  <si>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</si>
  <si>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</si>
  <si>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</si>
  <si>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</si>
  <si>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</si>
  <si>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</si>
  <si>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</si>
  <si>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</si>
  <si>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</si>
  <si>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</si>
  <si>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</si>
  <si>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</si>
  <si>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</si>
  <si>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</si>
  <si>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</si>
  <si>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</si>
  <si>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</si>
  <si>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</si>
  <si>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</si>
  <si>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</si>
  <si>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</si>
  <si>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</si>
  <si>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</si>
  <si>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</si>
  <si>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</si>
  <si>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</si>
  <si>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</si>
  <si>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</si>
  <si>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</si>
  <si>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</si>
  <si>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</si>
  <si>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</si>
  <si>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</si>
  <si>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</si>
  <si>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</si>
  <si>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</si>
  <si>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</si>
  <si>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</si>
  <si>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</si>
  <si>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</si>
  <si>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</si>
  <si>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</si>
  <si>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</si>
  <si>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</si>
  <si>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</si>
  <si>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</si>
  <si>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</si>
  <si>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</si>
  <si>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</si>
  <si>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</si>
  <si>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</si>
  <si>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</si>
  <si>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</si>
  <si>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</si>
  <si>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</si>
  <si>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</si>
  <si>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</si>
  <si>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</si>
  <si>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</si>
  <si>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</si>
  <si>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</si>
  <si>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</si>
  <si>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</si>
  <si>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</si>
  <si>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</si>
  <si>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</si>
  <si>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</si>
  <si>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</si>
  <si>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</si>
  <si>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</si>
  <si>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</si>
  <si>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</si>
  <si>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</si>
  <si>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</si>
  <si>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</si>
  <si>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</si>
  <si>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</si>
  <si>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</si>
  <si>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</si>
  <si>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</si>
  <si>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</si>
  <si>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</si>
  <si>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</si>
  <si>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</si>
  <si>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</si>
  <si>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</si>
  <si>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</si>
  <si>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</si>
  <si>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</si>
  <si>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</si>
  <si>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</si>
  <si>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</si>
  <si>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</si>
  <si>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</si>
  <si>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</si>
  <si>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</si>
  <si>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</si>
  <si>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</si>
  <si>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</si>
  <si>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</si>
  <si>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</si>
  <si>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</si>
  <si>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</si>
  <si>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</si>
  <si>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</si>
  <si>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</si>
  <si>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</si>
  <si>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</si>
  <si>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</si>
  <si>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</si>
  <si>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</si>
  <si>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</si>
  <si>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</si>
  <si>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</si>
  <si>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</si>
  <si>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</si>
  <si>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</si>
  <si>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</si>
  <si>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</si>
  <si>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</si>
  <si>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</si>
  <si>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</si>
  <si>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</si>
  <si>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</si>
  <si>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</si>
  <si>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</si>
  <si>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</si>
  <si>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</si>
  <si>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</si>
  <si>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</si>
  <si>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</si>
  <si>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</si>
  <si>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</si>
  <si>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</si>
  <si>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</si>
  <si>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</si>
  <si>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</si>
  <si>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</si>
  <si>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</si>
  <si>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</si>
  <si>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</si>
  <si>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</si>
  <si>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</si>
  <si>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</si>
  <si>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</si>
  <si>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</si>
  <si>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</si>
  <si>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</si>
  <si>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</si>
  <si>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</si>
  <si>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</si>
  <si>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</si>
  <si>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</si>
  <si>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</si>
  <si>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</si>
  <si>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</si>
  <si>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</si>
  <si>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</si>
  <si>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</si>
  <si>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</si>
  <si>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</si>
  <si>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</si>
  <si>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</si>
  <si>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</si>
  <si>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</si>
  <si>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</si>
  <si>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</si>
  <si>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</si>
  <si>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</si>
  <si>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</si>
  <si>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</si>
  <si>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</si>
  <si>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</si>
  <si>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</si>
  <si>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</si>
  <si>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</si>
  <si>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</si>
  <si>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</si>
  <si>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</si>
  <si>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</si>
  <si>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</si>
  <si>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</si>
  <si>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</si>
  <si>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</si>
  <si>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</si>
  <si>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</si>
  <si>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</si>
  <si>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</si>
  <si>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</si>
  <si>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</si>
  <si>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</si>
  <si>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</si>
  <si>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</si>
  <si>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</si>
  <si>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</si>
  <si>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</si>
  <si>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</si>
  <si>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</si>
  <si>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</si>
  <si>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</si>
  <si>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</si>
  <si>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</si>
  <si>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</si>
  <si>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</si>
  <si>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</si>
  <si>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</si>
  <si>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</si>
  <si>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</si>
  <si>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</si>
  <si>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</si>
  <si>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</si>
  <si>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</si>
  <si>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</si>
  <si>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</si>
  <si>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</si>
  <si>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</si>
  <si>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</si>
  <si>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</si>
  <si>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</si>
  <si>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</si>
  <si>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</si>
  <si>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</si>
  <si>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</si>
  <si>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</si>
  <si>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</si>
  <si>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</si>
  <si>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</si>
  <si>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</si>
  <si>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</si>
  <si>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</si>
  <si>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</si>
  <si>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</si>
  <si>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</si>
  <si>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</si>
  <si>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</si>
  <si>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</si>
  <si>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</si>
  <si>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</si>
  <si>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</si>
  <si>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</si>
  <si>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</si>
  <si>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</si>
  <si>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</si>
  <si>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</si>
  <si>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</si>
  <si>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</si>
  <si>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</si>
  <si>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</si>
  <si>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</si>
  <si>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</si>
  <si>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</si>
  <si>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</si>
  <si>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</si>
  <si>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</si>
  <si>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</si>
  <si>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</si>
  <si>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</si>
  <si>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</si>
  <si>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</si>
  <si>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</si>
  <si>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</si>
  <si>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</si>
  <si>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</si>
  <si>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</si>
  <si>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</si>
  <si>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</si>
  <si>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</si>
  <si>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</si>
  <si>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</si>
  <si>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</si>
  <si>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</si>
  <si>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</si>
  <si>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</si>
  <si>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</si>
  <si>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</si>
  <si>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</si>
  <si>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</si>
  <si>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 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</si>
</sst>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7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1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913" t="s">
        <v>0</v>
      </c>
      <c r="E1" s="685"/>
      <c r="F1" s="685"/>
      <c r="G1" s="12" t="s">
        <v>1</v>
      </c>
      <c r="H1" s="913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969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870" t="s">
        <v>7</v>
      </c>
      <c r="B5" s="724"/>
      <c r="C5" s="648"/>
      <c r="D5" s="747"/>
      <c r="E5" s="749"/>
      <c r="F5" s="696" t="s">
        <v>8</v>
      </c>
      <c r="G5" s="648"/>
      <c r="H5" s="747" t="s">
        <v>905</v>
      </c>
      <c r="I5" s="748"/>
      <c r="J5" s="748"/>
      <c r="K5" s="748"/>
      <c r="L5" s="748"/>
      <c r="M5" s="749"/>
      <c r="N5" s="58"/>
      <c r="P5" s="24" t="s">
        <v>9</v>
      </c>
      <c r="Q5" s="679">
        <v>46259</v>
      </c>
      <c r="R5" s="680"/>
      <c r="T5" s="840" t="s">
        <v>10</v>
      </c>
      <c r="U5" s="841"/>
      <c r="V5" s="842" t="s">
        <v>11</v>
      </c>
      <c r="W5" s="680"/>
      <c r="AB5" s="51"/>
      <c r="AC5" s="51"/>
      <c r="AD5" s="51"/>
      <c r="AE5" s="51"/>
    </row>
    <row r="6" spans="1:32" s="623" customFormat="1" ht="24" customHeight="1" x14ac:dyDescent="0.2">
      <c r="A6" s="870" t="s">
        <v>12</v>
      </c>
      <c r="B6" s="724"/>
      <c r="C6" s="648"/>
      <c r="D6" s="752" t="s">
        <v>878</v>
      </c>
      <c r="E6" s="753"/>
      <c r="F6" s="753"/>
      <c r="G6" s="753"/>
      <c r="H6" s="753"/>
      <c r="I6" s="753"/>
      <c r="J6" s="753"/>
      <c r="K6" s="753"/>
      <c r="L6" s="753"/>
      <c r="M6" s="680"/>
      <c r="N6" s="59"/>
      <c r="P6" s="24" t="s">
        <v>13</v>
      </c>
      <c r="Q6" s="684" t="str">
        <f>IF(Q5=0," ",CHOOSE(WEEKDAY(Q5,2),"Понедельник","Вторник","Среда","Четверг","Пятница","Суббота","Воскресенье"))</f>
        <v>Вторник</v>
      </c>
      <c r="R6" s="634"/>
      <c r="T6" s="849" t="s">
        <v>14</v>
      </c>
      <c r="U6" s="841"/>
      <c r="V6" s="760" t="s">
        <v>15</v>
      </c>
      <c r="W6" s="761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946" t="str">
        <f>IFERROR(VLOOKUP(DeliveryAddress,Table,3,0),1)</f>
        <v>5</v>
      </c>
      <c r="E7" s="947"/>
      <c r="F7" s="947"/>
      <c r="G7" s="947"/>
      <c r="H7" s="947"/>
      <c r="I7" s="947"/>
      <c r="J7" s="947"/>
      <c r="K7" s="947"/>
      <c r="L7" s="947"/>
      <c r="M7" s="845"/>
      <c r="N7" s="60"/>
      <c r="P7" s="24"/>
      <c r="Q7" s="42"/>
      <c r="R7" s="42"/>
      <c r="T7" s="643"/>
      <c r="U7" s="841"/>
      <c r="V7" s="762"/>
      <c r="W7" s="763"/>
      <c r="AB7" s="51"/>
      <c r="AC7" s="51"/>
      <c r="AD7" s="51"/>
      <c r="AE7" s="51"/>
    </row>
    <row r="8" spans="1:32" s="623" customFormat="1" ht="25.5" customHeight="1" x14ac:dyDescent="0.2">
      <c r="A8" s="649" t="s">
        <v>16</v>
      </c>
      <c r="B8" s="639"/>
      <c r="C8" s="640"/>
      <c r="D8" s="952"/>
      <c r="E8" s="953"/>
      <c r="F8" s="953"/>
      <c r="G8" s="953"/>
      <c r="H8" s="953"/>
      <c r="I8" s="953"/>
      <c r="J8" s="953"/>
      <c r="K8" s="953"/>
      <c r="L8" s="953"/>
      <c r="M8" s="954"/>
      <c r="N8" s="61"/>
      <c r="P8" s="24" t="s">
        <v>17</v>
      </c>
      <c r="Q8" s="844">
        <v>0.45833333333333331</v>
      </c>
      <c r="R8" s="845"/>
      <c r="T8" s="643"/>
      <c r="U8" s="841"/>
      <c r="V8" s="762"/>
      <c r="W8" s="763"/>
      <c r="AB8" s="51"/>
      <c r="AC8" s="51"/>
      <c r="AD8" s="51"/>
      <c r="AE8" s="51"/>
    </row>
    <row r="9" spans="1:32" s="623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19"/>
      <c r="E9" s="720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809" t="str">
        <f>IF(AND($A$9="Тип доверенности/получателя при получении в адресе перегруза:",$D$9="Разовая доверенность"),"Введите ФИО","")</f>
        <v/>
      </c>
      <c r="I9" s="720"/>
      <c r="J9" s="8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20"/>
      <c r="L9" s="720"/>
      <c r="M9" s="720"/>
      <c r="N9" s="621"/>
      <c r="P9" s="26" t="s">
        <v>18</v>
      </c>
      <c r="Q9" s="889"/>
      <c r="R9" s="699"/>
      <c r="T9" s="643"/>
      <c r="U9" s="841"/>
      <c r="V9" s="764"/>
      <c r="W9" s="765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19"/>
      <c r="E10" s="720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784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33"/>
      <c r="R10" s="834"/>
      <c r="U10" s="24" t="s">
        <v>20</v>
      </c>
      <c r="V10" s="987" t="s">
        <v>21</v>
      </c>
      <c r="W10" s="761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891"/>
      <c r="R11" s="680"/>
      <c r="U11" s="24" t="s">
        <v>24</v>
      </c>
      <c r="V11" s="698" t="s">
        <v>25</v>
      </c>
      <c r="W11" s="699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8" t="s">
        <v>26</v>
      </c>
      <c r="B12" s="724"/>
      <c r="C12" s="724"/>
      <c r="D12" s="724"/>
      <c r="E12" s="724"/>
      <c r="F12" s="724"/>
      <c r="G12" s="724"/>
      <c r="H12" s="724"/>
      <c r="I12" s="724"/>
      <c r="J12" s="724"/>
      <c r="K12" s="724"/>
      <c r="L12" s="724"/>
      <c r="M12" s="648"/>
      <c r="N12" s="62"/>
      <c r="P12" s="24" t="s">
        <v>27</v>
      </c>
      <c r="Q12" s="844"/>
      <c r="R12" s="845"/>
      <c r="S12" s="23"/>
      <c r="U12" s="24"/>
      <c r="V12" s="685"/>
      <c r="W12" s="643"/>
      <c r="AB12" s="51"/>
      <c r="AC12" s="51"/>
      <c r="AD12" s="51"/>
      <c r="AE12" s="51"/>
    </row>
    <row r="13" spans="1:32" s="623" customFormat="1" ht="23.25" customHeight="1" x14ac:dyDescent="0.2">
      <c r="A13" s="818" t="s">
        <v>28</v>
      </c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648"/>
      <c r="N13" s="62"/>
      <c r="O13" s="26"/>
      <c r="P13" s="26" t="s">
        <v>29</v>
      </c>
      <c r="Q13" s="698"/>
      <c r="R13" s="6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8" t="s">
        <v>30</v>
      </c>
      <c r="B14" s="724"/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19" t="s">
        <v>31</v>
      </c>
      <c r="B15" s="724"/>
      <c r="C15" s="724"/>
      <c r="D15" s="724"/>
      <c r="E15" s="724"/>
      <c r="F15" s="724"/>
      <c r="G15" s="724"/>
      <c r="H15" s="724"/>
      <c r="I15" s="724"/>
      <c r="J15" s="724"/>
      <c r="K15" s="724"/>
      <c r="L15" s="724"/>
      <c r="M15" s="648"/>
      <c r="N15" s="63"/>
      <c r="P15" s="856" t="s">
        <v>32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7"/>
      <c r="Q16" s="857"/>
      <c r="R16" s="857"/>
      <c r="S16" s="857"/>
      <c r="T16" s="8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4" t="s">
        <v>33</v>
      </c>
      <c r="B17" s="654" t="s">
        <v>34</v>
      </c>
      <c r="C17" s="874" t="s">
        <v>35</v>
      </c>
      <c r="D17" s="654" t="s">
        <v>36</v>
      </c>
      <c r="E17" s="656"/>
      <c r="F17" s="654" t="s">
        <v>37</v>
      </c>
      <c r="G17" s="654" t="s">
        <v>38</v>
      </c>
      <c r="H17" s="654" t="s">
        <v>39</v>
      </c>
      <c r="I17" s="654" t="s">
        <v>40</v>
      </c>
      <c r="J17" s="654" t="s">
        <v>41</v>
      </c>
      <c r="K17" s="654" t="s">
        <v>42</v>
      </c>
      <c r="L17" s="654" t="s">
        <v>43</v>
      </c>
      <c r="M17" s="654" t="s">
        <v>44</v>
      </c>
      <c r="N17" s="654" t="s">
        <v>45</v>
      </c>
      <c r="O17" s="654" t="s">
        <v>46</v>
      </c>
      <c r="P17" s="654" t="s">
        <v>47</v>
      </c>
      <c r="Q17" s="916"/>
      <c r="R17" s="916"/>
      <c r="S17" s="916"/>
      <c r="T17" s="656"/>
      <c r="U17" s="647" t="s">
        <v>48</v>
      </c>
      <c r="V17" s="648"/>
      <c r="W17" s="654" t="s">
        <v>49</v>
      </c>
      <c r="X17" s="654" t="s">
        <v>50</v>
      </c>
      <c r="Y17" s="645" t="s">
        <v>51</v>
      </c>
      <c r="Z17" s="786" t="s">
        <v>52</v>
      </c>
      <c r="AA17" s="690" t="s">
        <v>53</v>
      </c>
      <c r="AB17" s="690" t="s">
        <v>54</v>
      </c>
      <c r="AC17" s="690" t="s">
        <v>55</v>
      </c>
      <c r="AD17" s="690" t="s">
        <v>56</v>
      </c>
      <c r="AE17" s="691"/>
      <c r="AF17" s="692"/>
      <c r="AG17" s="66"/>
      <c r="BD17" s="65" t="s">
        <v>57</v>
      </c>
    </row>
    <row r="18" spans="1:68" ht="14.25" customHeight="1" x14ac:dyDescent="0.2">
      <c r="A18" s="655"/>
      <c r="B18" s="655"/>
      <c r="C18" s="655"/>
      <c r="D18" s="657"/>
      <c r="E18" s="658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57"/>
      <c r="Q18" s="917"/>
      <c r="R18" s="917"/>
      <c r="S18" s="917"/>
      <c r="T18" s="658"/>
      <c r="U18" s="67" t="s">
        <v>58</v>
      </c>
      <c r="V18" s="67" t="s">
        <v>59</v>
      </c>
      <c r="W18" s="655"/>
      <c r="X18" s="655"/>
      <c r="Y18" s="646"/>
      <c r="Z18" s="787"/>
      <c r="AA18" s="783"/>
      <c r="AB18" s="783"/>
      <c r="AC18" s="783"/>
      <c r="AD18" s="693"/>
      <c r="AE18" s="694"/>
      <c r="AF18" s="695"/>
      <c r="AG18" s="66"/>
      <c r="BD18" s="65"/>
    </row>
    <row r="19" spans="1:68" ht="27.75" hidden="1" customHeight="1" x14ac:dyDescent="0.2">
      <c r="A19" s="705" t="s">
        <v>60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48"/>
      <c r="AB19" s="48"/>
      <c r="AC19" s="48"/>
    </row>
    <row r="20" spans="1:68" ht="16.5" hidden="1" customHeight="1" x14ac:dyDescent="0.25">
      <c r="A20" s="669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38" t="s">
        <v>71</v>
      </c>
      <c r="Q24" s="639"/>
      <c r="R24" s="639"/>
      <c r="S24" s="639"/>
      <c r="T24" s="639"/>
      <c r="U24" s="639"/>
      <c r="V24" s="640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38" t="s">
        <v>71</v>
      </c>
      <c r="Q25" s="639"/>
      <c r="R25" s="639"/>
      <c r="S25" s="639"/>
      <c r="T25" s="639"/>
      <c r="U25" s="639"/>
      <c r="V25" s="640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5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3</v>
      </c>
      <c r="Y29" s="630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5.3000000000000007</v>
      </c>
      <c r="BN29" s="64">
        <f>IFERROR(Y29*I29/H29,"0")</f>
        <v>6.36</v>
      </c>
      <c r="BO29" s="64">
        <f>IFERROR(1/J29*(X29/H29),"0")</f>
        <v>9.1575091575091579E-3</v>
      </c>
      <c r="BP29" s="64">
        <f>IFERROR(1/J29*(Y29/H29),"0")</f>
        <v>1.098901098901099E-2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5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38" t="s">
        <v>71</v>
      </c>
      <c r="Q32" s="639"/>
      <c r="R32" s="639"/>
      <c r="S32" s="639"/>
      <c r="T32" s="639"/>
      <c r="U32" s="639"/>
      <c r="V32" s="640"/>
      <c r="W32" s="37" t="s">
        <v>72</v>
      </c>
      <c r="X32" s="631">
        <f>IFERROR(X27/H27,"0")+IFERROR(X28/H28,"0")+IFERROR(X29/H29,"0")+IFERROR(X30/H30,"0")+IFERROR(X31/H31,"0")</f>
        <v>1.6666666666666665</v>
      </c>
      <c r="Y32" s="631">
        <f>IFERROR(Y27/H27,"0")+IFERROR(Y28/H28,"0")+IFERROR(Y29/H29,"0")+IFERROR(Y30/H30,"0")+IFERROR(Y31/H31,"0")</f>
        <v>2</v>
      </c>
      <c r="Z32" s="631">
        <f>IFERROR(IF(Z27="",0,Z27),"0")+IFERROR(IF(Z28="",0,Z28),"0")+IFERROR(IF(Z29="",0,Z29),"0")+IFERROR(IF(Z30="",0,Z30),"0")+IFERROR(IF(Z31="",0,Z31),"0")</f>
        <v>1.302E-2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38" t="s">
        <v>71</v>
      </c>
      <c r="Q33" s="639"/>
      <c r="R33" s="639"/>
      <c r="S33" s="639"/>
      <c r="T33" s="639"/>
      <c r="U33" s="639"/>
      <c r="V33" s="640"/>
      <c r="W33" s="37" t="s">
        <v>66</v>
      </c>
      <c r="X33" s="631">
        <f>IFERROR(SUM(X27:X31),"0")</f>
        <v>3</v>
      </c>
      <c r="Y33" s="631">
        <f>IFERROR(SUM(Y27:Y31),"0")</f>
        <v>3.6</v>
      </c>
      <c r="Z33" s="37"/>
      <c r="AA33" s="632"/>
      <c r="AB33" s="632"/>
      <c r="AC33" s="632"/>
    </row>
    <row r="34" spans="1:68" ht="27.75" hidden="1" customHeight="1" x14ac:dyDescent="0.2">
      <c r="A34" s="705" t="s">
        <v>91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48"/>
      <c r="AB34" s="48"/>
      <c r="AC34" s="48"/>
    </row>
    <row r="35" spans="1:68" ht="16.5" hidden="1" customHeight="1" x14ac:dyDescent="0.25">
      <c r="A35" s="669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6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8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7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38" t="s">
        <v>71</v>
      </c>
      <c r="Q43" s="639"/>
      <c r="R43" s="639"/>
      <c r="S43" s="639"/>
      <c r="T43" s="639"/>
      <c r="U43" s="639"/>
      <c r="V43" s="640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38" t="s">
        <v>71</v>
      </c>
      <c r="Q44" s="639"/>
      <c r="R44" s="639"/>
      <c r="S44" s="639"/>
      <c r="T44" s="639"/>
      <c r="U44" s="639"/>
      <c r="V44" s="640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705" t="s">
        <v>110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48"/>
      <c r="AB45" s="48"/>
      <c r="AC45" s="48"/>
    </row>
    <row r="46" spans="1:68" ht="16.5" hidden="1" customHeight="1" x14ac:dyDescent="0.25">
      <c r="A46" s="669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2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7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7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32</v>
      </c>
      <c r="Y51" s="630">
        <f>IFERROR(IF(X51="",0,CEILING((X51/$H51),1)*$H51),"")</f>
        <v>33.300000000000004</v>
      </c>
      <c r="Z51" s="36">
        <f>IFERROR(IF(Y51=0,"",ROUNDUP(Y51/H51,0)*0.00902),"")</f>
        <v>8.1180000000000002E-2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33.643243243243241</v>
      </c>
      <c r="BN51" s="64">
        <f>IFERROR(Y51*I51/H51,"0")</f>
        <v>35.010000000000005</v>
      </c>
      <c r="BO51" s="64">
        <f>IFERROR(1/J51*(X51/H51),"0")</f>
        <v>6.5520065520065507E-2</v>
      </c>
      <c r="BP51" s="64">
        <f>IFERROR(1/J51*(Y51/H51),"0")</f>
        <v>6.8181818181818177E-2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38" t="s">
        <v>71</v>
      </c>
      <c r="Q52" s="639"/>
      <c r="R52" s="639"/>
      <c r="S52" s="639"/>
      <c r="T52" s="639"/>
      <c r="U52" s="639"/>
      <c r="V52" s="640"/>
      <c r="W52" s="37" t="s">
        <v>72</v>
      </c>
      <c r="X52" s="631">
        <f>IFERROR(X48/H48,"0")+IFERROR(X49/H49,"0")+IFERROR(X50/H50,"0")+IFERROR(X51/H51,"0")</f>
        <v>8.6486486486486474</v>
      </c>
      <c r="Y52" s="631">
        <f>IFERROR(Y48/H48,"0")+IFERROR(Y49/H49,"0")+IFERROR(Y50/H50,"0")+IFERROR(Y51/H51,"0")</f>
        <v>9</v>
      </c>
      <c r="Z52" s="631">
        <f>IFERROR(IF(Z48="",0,Z48),"0")+IFERROR(IF(Z49="",0,Z49),"0")+IFERROR(IF(Z50="",0,Z50),"0")+IFERROR(IF(Z51="",0,Z51),"0")</f>
        <v>8.1180000000000002E-2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38" t="s">
        <v>71</v>
      </c>
      <c r="Q53" s="639"/>
      <c r="R53" s="639"/>
      <c r="S53" s="639"/>
      <c r="T53" s="639"/>
      <c r="U53" s="639"/>
      <c r="V53" s="640"/>
      <c r="W53" s="37" t="s">
        <v>66</v>
      </c>
      <c r="X53" s="631">
        <f>IFERROR(SUM(X48:X51),"0")</f>
        <v>32</v>
      </c>
      <c r="Y53" s="631">
        <f>IFERROR(SUM(Y48:Y51),"0")</f>
        <v>33.300000000000004</v>
      </c>
      <c r="Z53" s="37"/>
      <c r="AA53" s="632"/>
      <c r="AB53" s="632"/>
      <c r="AC53" s="632"/>
    </row>
    <row r="54" spans="1:68" ht="16.5" hidden="1" customHeight="1" x14ac:dyDescent="0.25">
      <c r="A54" s="669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95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15</v>
      </c>
      <c r="Y56" s="630">
        <f t="shared" ref="Y56:Y61" si="6">IFERROR(IF(X56="",0,CEILING((X56/$H56),1)*$H56),"")</f>
        <v>22.4</v>
      </c>
      <c r="Z56" s="36">
        <f>IFERROR(IF(Y56=0,"",ROUNDUP(Y56/H56,0)*0.01898),"")</f>
        <v>3.7960000000000001E-2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15.549107142857142</v>
      </c>
      <c r="BN56" s="64">
        <f t="shared" ref="BN56:BN61" si="8">IFERROR(Y56*I56/H56,"0")</f>
        <v>23.22</v>
      </c>
      <c r="BO56" s="64">
        <f t="shared" ref="BO56:BO61" si="9">IFERROR(1/J56*(X56/H56),"0")</f>
        <v>2.0926339285714288E-2</v>
      </c>
      <c r="BP56" s="64">
        <f t="shared" ref="BP56:BP61" si="10">IFERROR(1/J56*(Y56/H56),"0")</f>
        <v>3.125E-2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151</v>
      </c>
      <c r="Y57" s="630">
        <f t="shared" si="6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156.73240740740741</v>
      </c>
      <c r="BN57" s="64">
        <f t="shared" si="8"/>
        <v>156.94</v>
      </c>
      <c r="BO57" s="64">
        <f t="shared" si="9"/>
        <v>0.21846064814814814</v>
      </c>
      <c r="BP57" s="64">
        <f t="shared" si="10"/>
        <v>0.21875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66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7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68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38" t="s">
        <v>71</v>
      </c>
      <c r="Q62" s="639"/>
      <c r="R62" s="639"/>
      <c r="S62" s="639"/>
      <c r="T62" s="639"/>
      <c r="U62" s="639"/>
      <c r="V62" s="640"/>
      <c r="W62" s="37" t="s">
        <v>72</v>
      </c>
      <c r="X62" s="631">
        <f>IFERROR(X56/H56,"0")+IFERROR(X57/H57,"0")+IFERROR(X58/H58,"0")+IFERROR(X59/H59,"0")+IFERROR(X60/H60,"0")+IFERROR(X61/H61,"0")</f>
        <v>15.320767195767196</v>
      </c>
      <c r="Y62" s="631">
        <f>IFERROR(Y56/H56,"0")+IFERROR(Y57/H57,"0")+IFERROR(Y58/H58,"0")+IFERROR(Y59/H59,"0")+IFERROR(Y60/H60,"0")+IFERROR(Y61/H61,"0")</f>
        <v>16</v>
      </c>
      <c r="Z62" s="631">
        <f>IFERROR(IF(Z56="",0,Z56),"0")+IFERROR(IF(Z57="",0,Z57),"0")+IFERROR(IF(Z58="",0,Z58),"0")+IFERROR(IF(Z59="",0,Z59),"0")+IFERROR(IF(Z60="",0,Z60),"0")+IFERROR(IF(Z61="",0,Z61),"0")</f>
        <v>0.30368000000000001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38" t="s">
        <v>71</v>
      </c>
      <c r="Q63" s="639"/>
      <c r="R63" s="639"/>
      <c r="S63" s="639"/>
      <c r="T63" s="639"/>
      <c r="U63" s="639"/>
      <c r="V63" s="640"/>
      <c r="W63" s="37" t="s">
        <v>66</v>
      </c>
      <c r="X63" s="631">
        <f>IFERROR(SUM(X56:X61),"0")</f>
        <v>166</v>
      </c>
      <c r="Y63" s="631">
        <f>IFERROR(SUM(Y56:Y61),"0")</f>
        <v>173.60000000000002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60</v>
      </c>
      <c r="Y65" s="630">
        <f>IFERROR(IF(X65="",0,CEILING((X65/$H65),1)*$H65),"")</f>
        <v>64.800000000000011</v>
      </c>
      <c r="Z65" s="36">
        <f>IFERROR(IF(Y65=0,"",ROUNDUP(Y65/H65,0)*0.01898),"")</f>
        <v>0.11388000000000001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62.277777777777779</v>
      </c>
      <c r="BN65" s="64">
        <f>IFERROR(Y65*I65/H65,"0")</f>
        <v>67.260000000000005</v>
      </c>
      <c r="BO65" s="64">
        <f>IFERROR(1/J65*(X65/H65),"0")</f>
        <v>8.6805555555555552E-2</v>
      </c>
      <c r="BP65" s="64">
        <f>IFERROR(1/J65*(Y65/H65),"0")</f>
        <v>9.3750000000000014E-2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8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6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8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38" t="s">
        <v>71</v>
      </c>
      <c r="Q69" s="639"/>
      <c r="R69" s="639"/>
      <c r="S69" s="639"/>
      <c r="T69" s="639"/>
      <c r="U69" s="639"/>
      <c r="V69" s="640"/>
      <c r="W69" s="37" t="s">
        <v>72</v>
      </c>
      <c r="X69" s="631">
        <f>IFERROR(X65/H65,"0")+IFERROR(X66/H66,"0")+IFERROR(X67/H67,"0")+IFERROR(X68/H68,"0")</f>
        <v>5.5555555555555554</v>
      </c>
      <c r="Y69" s="631">
        <f>IFERROR(Y65/H65,"0")+IFERROR(Y66/H66,"0")+IFERROR(Y67/H67,"0")+IFERROR(Y68/H68,"0")</f>
        <v>6.0000000000000009</v>
      </c>
      <c r="Z69" s="631">
        <f>IFERROR(IF(Z65="",0,Z65),"0")+IFERROR(IF(Z66="",0,Z66),"0")+IFERROR(IF(Z67="",0,Z67),"0")+IFERROR(IF(Z68="",0,Z68),"0")</f>
        <v>0.11388000000000001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38" t="s">
        <v>71</v>
      </c>
      <c r="Q70" s="639"/>
      <c r="R70" s="639"/>
      <c r="S70" s="639"/>
      <c r="T70" s="639"/>
      <c r="U70" s="639"/>
      <c r="V70" s="640"/>
      <c r="W70" s="37" t="s">
        <v>66</v>
      </c>
      <c r="X70" s="631">
        <f>IFERROR(SUM(X65:X68),"0")</f>
        <v>60</v>
      </c>
      <c r="Y70" s="631">
        <f>IFERROR(SUM(Y65:Y68),"0")</f>
        <v>64.800000000000011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6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55</v>
      </c>
      <c r="Y72" s="630">
        <f>IFERROR(IF(X72="",0,CEILING((X72/$H72),1)*$H72),"")</f>
        <v>55.800000000000004</v>
      </c>
      <c r="Z72" s="36">
        <f>IFERROR(IF(Y72=0,"",ROUNDUP(Y72/H72,0)*0.00651),"")</f>
        <v>0.20181000000000002</v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62.516666666666659</v>
      </c>
      <c r="BN72" s="64">
        <f>IFERROR(Y72*I72/H72,"0")</f>
        <v>63.425999999999995</v>
      </c>
      <c r="BO72" s="64">
        <f>IFERROR(1/J72*(X72/H72),"0")</f>
        <v>0.1678876678876679</v>
      </c>
      <c r="BP72" s="64">
        <f>IFERROR(1/J72*(Y72/H72),"0")</f>
        <v>0.17032967032967034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9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38" t="s">
        <v>71</v>
      </c>
      <c r="Q74" s="639"/>
      <c r="R74" s="639"/>
      <c r="S74" s="639"/>
      <c r="T74" s="639"/>
      <c r="U74" s="639"/>
      <c r="V74" s="640"/>
      <c r="W74" s="37" t="s">
        <v>72</v>
      </c>
      <c r="X74" s="631">
        <f>IFERROR(X72/H72,"0")+IFERROR(X73/H73,"0")</f>
        <v>30.555555555555554</v>
      </c>
      <c r="Y74" s="631">
        <f>IFERROR(Y72/H72,"0")+IFERROR(Y73/H73,"0")</f>
        <v>31</v>
      </c>
      <c r="Z74" s="631">
        <f>IFERROR(IF(Z72="",0,Z72),"0")+IFERROR(IF(Z73="",0,Z73),"0")</f>
        <v>0.20181000000000002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38" t="s">
        <v>71</v>
      </c>
      <c r="Q75" s="639"/>
      <c r="R75" s="639"/>
      <c r="S75" s="639"/>
      <c r="T75" s="639"/>
      <c r="U75" s="639"/>
      <c r="V75" s="640"/>
      <c r="W75" s="37" t="s">
        <v>66</v>
      </c>
      <c r="X75" s="631">
        <f>IFERROR(SUM(X72:X73),"0")</f>
        <v>55</v>
      </c>
      <c r="Y75" s="631">
        <f>IFERROR(SUM(Y72:Y73),"0")</f>
        <v>55.800000000000004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69</v>
      </c>
      <c r="Y77" s="630">
        <f>IFERROR(IF(X77="",0,CEILING((X77/$H77),1)*$H77),"")</f>
        <v>70.2</v>
      </c>
      <c r="Z77" s="36">
        <f>IFERROR(IF(Y77=0,"",ROUNDUP(Y77/H77,0)*0.01898),"")</f>
        <v>0.17082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72.626923076923077</v>
      </c>
      <c r="BN77" s="64">
        <f>IFERROR(Y77*I77/H77,"0")</f>
        <v>73.890000000000015</v>
      </c>
      <c r="BO77" s="64">
        <f>IFERROR(1/J77*(X77/H77),"0")</f>
        <v>0.13822115384615385</v>
      </c>
      <c r="BP77" s="64">
        <f>IFERROR(1/J77*(Y77/H77),"0")</f>
        <v>0.140625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89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38" t="s">
        <v>71</v>
      </c>
      <c r="Q79" s="639"/>
      <c r="R79" s="639"/>
      <c r="S79" s="639"/>
      <c r="T79" s="639"/>
      <c r="U79" s="639"/>
      <c r="V79" s="640"/>
      <c r="W79" s="37" t="s">
        <v>72</v>
      </c>
      <c r="X79" s="631">
        <f>IFERROR(X77/H77,"0")+IFERROR(X78/H78,"0")</f>
        <v>8.8461538461538467</v>
      </c>
      <c r="Y79" s="631">
        <f>IFERROR(Y77/H77,"0")+IFERROR(Y78/H78,"0")</f>
        <v>9</v>
      </c>
      <c r="Z79" s="631">
        <f>IFERROR(IF(Z77="",0,Z77),"0")+IFERROR(IF(Z78="",0,Z78),"0")</f>
        <v>0.17082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38" t="s">
        <v>71</v>
      </c>
      <c r="Q80" s="639"/>
      <c r="R80" s="639"/>
      <c r="S80" s="639"/>
      <c r="T80" s="639"/>
      <c r="U80" s="639"/>
      <c r="V80" s="640"/>
      <c r="W80" s="37" t="s">
        <v>66</v>
      </c>
      <c r="X80" s="631">
        <f>IFERROR(SUM(X77:X78),"0")</f>
        <v>69</v>
      </c>
      <c r="Y80" s="631">
        <f>IFERROR(SUM(Y77:Y78),"0")</f>
        <v>70.2</v>
      </c>
      <c r="Z80" s="37"/>
      <c r="AA80" s="632"/>
      <c r="AB80" s="632"/>
      <c r="AC80" s="632"/>
    </row>
    <row r="81" spans="1:68" ht="16.5" hidden="1" customHeight="1" x14ac:dyDescent="0.25">
      <c r="A81" s="669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6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7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90</v>
      </c>
      <c r="Y84" s="630">
        <f>IFERROR(IF(X84="",0,CEILING((X84/$H84),1)*$H84),"")</f>
        <v>90.1</v>
      </c>
      <c r="Z84" s="36">
        <f>IFERROR(IF(Y84=0,"",ROUNDUP(Y84/H84,0)*0.00726),"")</f>
        <v>0.38478000000000001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95.294117647058826</v>
      </c>
      <c r="BN84" s="64">
        <f>IFERROR(Y84*I84/H84,"0")</f>
        <v>95.4</v>
      </c>
      <c r="BO84" s="64">
        <f>IFERROR(1/J84*(X84/H84),"0")</f>
        <v>0.27573529411764708</v>
      </c>
      <c r="BP84" s="64">
        <f>IFERROR(1/J84*(Y84/H84),"0")</f>
        <v>0.27604166666666663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6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9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127</v>
      </c>
      <c r="Y86" s="630">
        <f>IFERROR(IF(X86="",0,CEILING((X86/$H86),1)*$H86),"")</f>
        <v>130.5</v>
      </c>
      <c r="Z86" s="36">
        <f>IFERROR(IF(Y86=0,"",ROUNDUP(Y86/H86,0)*0.00902),"")</f>
        <v>0.26158000000000003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132.36222222222221</v>
      </c>
      <c r="BN86" s="64">
        <f>IFERROR(Y86*I86/H86,"0")</f>
        <v>136.01000000000002</v>
      </c>
      <c r="BO86" s="64">
        <f>IFERROR(1/J86*(X86/H86),"0")</f>
        <v>0.2138047138047138</v>
      </c>
      <c r="BP86" s="64">
        <f>IFERROR(1/J86*(Y86/H86),"0")</f>
        <v>0.2196969696969697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38" t="s">
        <v>71</v>
      </c>
      <c r="Q87" s="639"/>
      <c r="R87" s="639"/>
      <c r="S87" s="639"/>
      <c r="T87" s="639"/>
      <c r="U87" s="639"/>
      <c r="V87" s="640"/>
      <c r="W87" s="37" t="s">
        <v>72</v>
      </c>
      <c r="X87" s="631">
        <f>IFERROR(X83/H83,"0")+IFERROR(X84/H84,"0")+IFERROR(X85/H85,"0")+IFERROR(X86/H86,"0")</f>
        <v>81.16339869281046</v>
      </c>
      <c r="Y87" s="631">
        <f>IFERROR(Y83/H83,"0")+IFERROR(Y84/H84,"0")+IFERROR(Y85/H85,"0")+IFERROR(Y86/H86,"0")</f>
        <v>82</v>
      </c>
      <c r="Z87" s="631">
        <f>IFERROR(IF(Z83="",0,Z83),"0")+IFERROR(IF(Z84="",0,Z84),"0")+IFERROR(IF(Z85="",0,Z85),"0")+IFERROR(IF(Z86="",0,Z86),"0")</f>
        <v>0.64636000000000005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38" t="s">
        <v>71</v>
      </c>
      <c r="Q88" s="639"/>
      <c r="R88" s="639"/>
      <c r="S88" s="639"/>
      <c r="T88" s="639"/>
      <c r="U88" s="639"/>
      <c r="V88" s="640"/>
      <c r="W88" s="37" t="s">
        <v>66</v>
      </c>
      <c r="X88" s="631">
        <f>IFERROR(SUM(X83:X86),"0")</f>
        <v>217</v>
      </c>
      <c r="Y88" s="631">
        <f>IFERROR(SUM(Y83:Y86),"0")</f>
        <v>220.6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400</v>
      </c>
      <c r="Y90" s="630">
        <f>IFERROR(IF(X90="",0,CEILING((X90/$H90),1)*$H90),"")</f>
        <v>405</v>
      </c>
      <c r="Z90" s="36">
        <f>IFERROR(IF(Y90=0,"",ROUNDUP(Y90/H90,0)*0.01898),"")</f>
        <v>0.94900000000000007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424.39506172839509</v>
      </c>
      <c r="BN90" s="64">
        <f>IFERROR(Y90*I90/H90,"0")</f>
        <v>429.7</v>
      </c>
      <c r="BO90" s="64">
        <f>IFERROR(1/J90*(X90/H90),"0")</f>
        <v>0.77160493827160492</v>
      </c>
      <c r="BP90" s="64">
        <f>IFERROR(1/J90*(Y90/H90),"0")</f>
        <v>0.78125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9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315</v>
      </c>
      <c r="Y92" s="630">
        <f>IFERROR(IF(X92="",0,CEILING((X92/$H92),1)*$H92),"")</f>
        <v>315.90000000000003</v>
      </c>
      <c r="Z92" s="36">
        <f>IFERROR(IF(Y92=0,"",ROUNDUP(Y92/H92,0)*0.00651),"")</f>
        <v>0.76167000000000007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344.4</v>
      </c>
      <c r="BN92" s="64">
        <f>IFERROR(Y92*I92/H92,"0")</f>
        <v>345.38400000000001</v>
      </c>
      <c r="BO92" s="64">
        <f>IFERROR(1/J92*(X92/H92),"0")</f>
        <v>0.64102564102564097</v>
      </c>
      <c r="BP92" s="64">
        <f>IFERROR(1/J92*(Y92/H92),"0")</f>
        <v>0.6428571428571429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38" t="s">
        <v>71</v>
      </c>
      <c r="Q94" s="639"/>
      <c r="R94" s="639"/>
      <c r="S94" s="639"/>
      <c r="T94" s="639"/>
      <c r="U94" s="639"/>
      <c r="V94" s="640"/>
      <c r="W94" s="37" t="s">
        <v>72</v>
      </c>
      <c r="X94" s="631">
        <f>IFERROR(X90/H90,"0")+IFERROR(X91/H91,"0")+IFERROR(X92/H92,"0")+IFERROR(X93/H93,"0")</f>
        <v>166.04938271604937</v>
      </c>
      <c r="Y94" s="631">
        <f>IFERROR(Y90/H90,"0")+IFERROR(Y91/H91,"0")+IFERROR(Y92/H92,"0")+IFERROR(Y93/H93,"0")</f>
        <v>167</v>
      </c>
      <c r="Z94" s="631">
        <f>IFERROR(IF(Z90="",0,Z90),"0")+IFERROR(IF(Z91="",0,Z91),"0")+IFERROR(IF(Z92="",0,Z92),"0")+IFERROR(IF(Z93="",0,Z93),"0")</f>
        <v>1.7106700000000001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38" t="s">
        <v>71</v>
      </c>
      <c r="Q95" s="639"/>
      <c r="R95" s="639"/>
      <c r="S95" s="639"/>
      <c r="T95" s="639"/>
      <c r="U95" s="639"/>
      <c r="V95" s="640"/>
      <c r="W95" s="37" t="s">
        <v>66</v>
      </c>
      <c r="X95" s="631">
        <f>IFERROR(SUM(X90:X93),"0")</f>
        <v>715</v>
      </c>
      <c r="Y95" s="631">
        <f>IFERROR(SUM(Y90:Y93),"0")</f>
        <v>720.90000000000009</v>
      </c>
      <c r="Z95" s="37"/>
      <c r="AA95" s="632"/>
      <c r="AB95" s="632"/>
      <c r="AC95" s="632"/>
    </row>
    <row r="96" spans="1:68" ht="16.5" hidden="1" customHeight="1" x14ac:dyDescent="0.25">
      <c r="A96" s="669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7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316</v>
      </c>
      <c r="Y98" s="630">
        <f t="shared" ref="Y98:Y104" si="11">IFERROR(IF(X98="",0,CEILING((X98/$H98),1)*$H98),"")</f>
        <v>324</v>
      </c>
      <c r="Z98" s="36">
        <f>IFERROR(IF(Y98=0,"",ROUNDUP(Y98/H98,0)*0.01898),"")</f>
        <v>0.56940000000000002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327.99629629629629</v>
      </c>
      <c r="BN98" s="64">
        <f t="shared" ref="BN98:BN104" si="13">IFERROR(Y98*I98/H98,"0")</f>
        <v>336.3</v>
      </c>
      <c r="BO98" s="64">
        <f t="shared" ref="BO98:BO104" si="14">IFERROR(1/J98*(X98/H98),"0")</f>
        <v>0.45717592592592587</v>
      </c>
      <c r="BP98" s="64">
        <f t="shared" ref="BP98:BP104" si="15">IFERROR(1/J98*(Y98/H98),"0")</f>
        <v>0.46874999999999994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9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64</v>
      </c>
      <c r="Y99" s="630">
        <f t="shared" si="11"/>
        <v>64.900000000000006</v>
      </c>
      <c r="Z99" s="36">
        <f>IFERROR(IF(Y99=0,"",ROUNDUP(Y99/H99,0)*0.00726),"")</f>
        <v>0.42834</v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76.218181818181819</v>
      </c>
      <c r="BN99" s="64">
        <f t="shared" si="13"/>
        <v>77.289999999999992</v>
      </c>
      <c r="BO99" s="64">
        <f t="shared" si="14"/>
        <v>0.30303030303030298</v>
      </c>
      <c r="BP99" s="64">
        <f t="shared" si="15"/>
        <v>0.30729166666666663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9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79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72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9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322</v>
      </c>
      <c r="Y103" s="630">
        <f t="shared" si="11"/>
        <v>324</v>
      </c>
      <c r="Z103" s="36">
        <f>IFERROR(IF(Y103=0,"",ROUNDUP(Y103/H103,0)*0.00902),"")</f>
        <v>0.64944000000000002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335.59555555555556</v>
      </c>
      <c r="BN103" s="64">
        <f t="shared" si="13"/>
        <v>337.68000000000006</v>
      </c>
      <c r="BO103" s="64">
        <f t="shared" si="14"/>
        <v>0.54208754208754206</v>
      </c>
      <c r="BP103" s="64">
        <f t="shared" si="15"/>
        <v>0.54545454545454541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9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38" t="s">
        <v>71</v>
      </c>
      <c r="Q105" s="639"/>
      <c r="R105" s="639"/>
      <c r="S105" s="639"/>
      <c r="T105" s="639"/>
      <c r="U105" s="639"/>
      <c r="V105" s="640"/>
      <c r="W105" s="37" t="s">
        <v>72</v>
      </c>
      <c r="X105" s="631">
        <f>IFERROR(X98/H98,"0")+IFERROR(X99/H99,"0")+IFERROR(X100/H100,"0")+IFERROR(X101/H101,"0")+IFERROR(X102/H102,"0")+IFERROR(X103/H103,"0")+IFERROR(X104/H104,"0")</f>
        <v>158.996632996633</v>
      </c>
      <c r="Y105" s="631">
        <f>IFERROR(Y98/H98,"0")+IFERROR(Y99/H99,"0")+IFERROR(Y100/H100,"0")+IFERROR(Y101/H101,"0")+IFERROR(Y102/H102,"0")+IFERROR(Y103/H103,"0")+IFERROR(Y104/H104,"0")</f>
        <v>161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1.6471800000000001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38" t="s">
        <v>71</v>
      </c>
      <c r="Q106" s="639"/>
      <c r="R106" s="639"/>
      <c r="S106" s="639"/>
      <c r="T106" s="639"/>
      <c r="U106" s="639"/>
      <c r="V106" s="640"/>
      <c r="W106" s="37" t="s">
        <v>66</v>
      </c>
      <c r="X106" s="631">
        <f>IFERROR(SUM(X98:X104),"0")</f>
        <v>702</v>
      </c>
      <c r="Y106" s="631">
        <f>IFERROR(SUM(Y98:Y104),"0")</f>
        <v>712.9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77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71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72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10</v>
      </c>
      <c r="Y112" s="630">
        <f>IFERROR(IF(X112="",0,CEILING((X112/$H112),1)*$H112),"")</f>
        <v>12</v>
      </c>
      <c r="Z112" s="36">
        <f>IFERROR(IF(Y112=0,"",ROUNDUP(Y112/H112,0)*0.00651),"")</f>
        <v>3.2550000000000003E-2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10.75</v>
      </c>
      <c r="BN112" s="64">
        <f>IFERROR(Y112*I112/H112,"0")</f>
        <v>12.9</v>
      </c>
      <c r="BO112" s="64">
        <f>IFERROR(1/J112*(X112/H112),"0")</f>
        <v>2.2893772893772896E-2</v>
      </c>
      <c r="BP112" s="64">
        <f>IFERROR(1/J112*(Y112/H112),"0")</f>
        <v>2.7472527472527476E-2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38" t="s">
        <v>71</v>
      </c>
      <c r="Q113" s="639"/>
      <c r="R113" s="639"/>
      <c r="S113" s="639"/>
      <c r="T113" s="639"/>
      <c r="U113" s="639"/>
      <c r="V113" s="640"/>
      <c r="W113" s="37" t="s">
        <v>72</v>
      </c>
      <c r="X113" s="631">
        <f>IFERROR(X108/H108,"0")+IFERROR(X109/H109,"0")+IFERROR(X110/H110,"0")+IFERROR(X111/H111,"0")+IFERROR(X112/H112,"0")</f>
        <v>4.166666666666667</v>
      </c>
      <c r="Y113" s="631">
        <f>IFERROR(Y108/H108,"0")+IFERROR(Y109/H109,"0")+IFERROR(Y110/H110,"0")+IFERROR(Y111/H111,"0")+IFERROR(Y112/H112,"0")</f>
        <v>5</v>
      </c>
      <c r="Z113" s="631">
        <f>IFERROR(IF(Z108="",0,Z108),"0")+IFERROR(IF(Z109="",0,Z109),"0")+IFERROR(IF(Z110="",0,Z110),"0")+IFERROR(IF(Z111="",0,Z111),"0")+IFERROR(IF(Z112="",0,Z112),"0")</f>
        <v>3.2550000000000003E-2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38" t="s">
        <v>71</v>
      </c>
      <c r="Q114" s="639"/>
      <c r="R114" s="639"/>
      <c r="S114" s="639"/>
      <c r="T114" s="639"/>
      <c r="U114" s="639"/>
      <c r="V114" s="640"/>
      <c r="W114" s="37" t="s">
        <v>66</v>
      </c>
      <c r="X114" s="631">
        <f>IFERROR(SUM(X108:X112),"0")</f>
        <v>10</v>
      </c>
      <c r="Y114" s="631">
        <f>IFERROR(SUM(Y108:Y112),"0")</f>
        <v>12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92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858</v>
      </c>
      <c r="Y116" s="630">
        <f>IFERROR(IF(X116="",0,CEILING((X116/$H116),1)*$H116),"")</f>
        <v>858.59999999999991</v>
      </c>
      <c r="Z116" s="36">
        <f>IFERROR(IF(Y116=0,"",ROUNDUP(Y116/H116,0)*0.01898),"")</f>
        <v>2.0118800000000001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909.69185185185177</v>
      </c>
      <c r="BN116" s="64">
        <f>IFERROR(Y116*I116/H116,"0")</f>
        <v>910.32799999999986</v>
      </c>
      <c r="BO116" s="64">
        <f>IFERROR(1/J116*(X116/H116),"0")</f>
        <v>1.6550925925925926</v>
      </c>
      <c r="BP116" s="64">
        <f>IFERROR(1/J116*(Y116/H116),"0")</f>
        <v>1.65625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8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822</v>
      </c>
      <c r="Y118" s="630">
        <f>IFERROR(IF(X118="",0,CEILING((X118/$H118),1)*$H118),"")</f>
        <v>823.5</v>
      </c>
      <c r="Z118" s="36">
        <f>IFERROR(IF(Y118=0,"",ROUNDUP(Y118/H118,0)*0.00651),"")</f>
        <v>1.9855500000000001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898.71999999999991</v>
      </c>
      <c r="BN118" s="64">
        <f>IFERROR(Y118*I118/H118,"0")</f>
        <v>900.3599999999999</v>
      </c>
      <c r="BO118" s="64">
        <f>IFERROR(1/J118*(X118/H118),"0")</f>
        <v>1.6727716727716726</v>
      </c>
      <c r="BP118" s="64">
        <f>IFERROR(1/J118*(Y118/H118),"0")</f>
        <v>1.6758241758241759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8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38" t="s">
        <v>71</v>
      </c>
      <c r="Q120" s="639"/>
      <c r="R120" s="639"/>
      <c r="S120" s="639"/>
      <c r="T120" s="639"/>
      <c r="U120" s="639"/>
      <c r="V120" s="640"/>
      <c r="W120" s="37" t="s">
        <v>72</v>
      </c>
      <c r="X120" s="631">
        <f>IFERROR(X116/H116,"0")+IFERROR(X117/H117,"0")+IFERROR(X118/H118,"0")+IFERROR(X119/H119,"0")</f>
        <v>410.37037037037032</v>
      </c>
      <c r="Y120" s="631">
        <f>IFERROR(Y116/H116,"0")+IFERROR(Y117/H117,"0")+IFERROR(Y118/H118,"0")+IFERROR(Y119/H119,"0")</f>
        <v>411</v>
      </c>
      <c r="Z120" s="631">
        <f>IFERROR(IF(Z116="",0,Z116),"0")+IFERROR(IF(Z117="",0,Z117),"0")+IFERROR(IF(Z118="",0,Z118),"0")+IFERROR(IF(Z119="",0,Z119),"0")</f>
        <v>3.9974300000000005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38" t="s">
        <v>71</v>
      </c>
      <c r="Q121" s="639"/>
      <c r="R121" s="639"/>
      <c r="S121" s="639"/>
      <c r="T121" s="639"/>
      <c r="U121" s="639"/>
      <c r="V121" s="640"/>
      <c r="W121" s="37" t="s">
        <v>66</v>
      </c>
      <c r="X121" s="631">
        <f>IFERROR(SUM(X116:X119),"0")</f>
        <v>1680</v>
      </c>
      <c r="Y121" s="631">
        <f>IFERROR(SUM(Y116:Y119),"0")</f>
        <v>1682.1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7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46</v>
      </c>
      <c r="Y123" s="630">
        <f>IFERROR(IF(X123="",0,CEILING((X123/$H123),1)*$H123),"")</f>
        <v>47.519999999999996</v>
      </c>
      <c r="Z123" s="36">
        <f>IFERROR(IF(Y123=0,"",ROUNDUP(Y123/H123,0)*0.00651),"")</f>
        <v>0.15623999999999999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51.993939393939392</v>
      </c>
      <c r="BN123" s="64">
        <f>IFERROR(Y123*I123/H123,"0")</f>
        <v>53.711999999999996</v>
      </c>
      <c r="BO123" s="64">
        <f>IFERROR(1/J123*(X123/H123),"0")</f>
        <v>0.12765012765012765</v>
      </c>
      <c r="BP123" s="64">
        <f>IFERROR(1/J123*(Y123/H123),"0")</f>
        <v>0.13186813186813187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38" t="s">
        <v>71</v>
      </c>
      <c r="Q124" s="639"/>
      <c r="R124" s="639"/>
      <c r="S124" s="639"/>
      <c r="T124" s="639"/>
      <c r="U124" s="639"/>
      <c r="V124" s="640"/>
      <c r="W124" s="37" t="s">
        <v>72</v>
      </c>
      <c r="X124" s="631">
        <f>IFERROR(X123/H123,"0")</f>
        <v>23.232323232323232</v>
      </c>
      <c r="Y124" s="631">
        <f>IFERROR(Y123/H123,"0")</f>
        <v>23.999999999999996</v>
      </c>
      <c r="Z124" s="631">
        <f>IFERROR(IF(Z123="",0,Z123),"0")</f>
        <v>0.15623999999999999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38" t="s">
        <v>71</v>
      </c>
      <c r="Q125" s="639"/>
      <c r="R125" s="639"/>
      <c r="S125" s="639"/>
      <c r="T125" s="639"/>
      <c r="U125" s="639"/>
      <c r="V125" s="640"/>
      <c r="W125" s="37" t="s">
        <v>66</v>
      </c>
      <c r="X125" s="631">
        <f>IFERROR(SUM(X123:X123),"0")</f>
        <v>46</v>
      </c>
      <c r="Y125" s="631">
        <f>IFERROR(SUM(Y123:Y123),"0")</f>
        <v>47.519999999999996</v>
      </c>
      <c r="Z125" s="37"/>
      <c r="AA125" s="632"/>
      <c r="AB125" s="632"/>
      <c r="AC125" s="632"/>
    </row>
    <row r="126" spans="1:68" ht="16.5" hidden="1" customHeight="1" x14ac:dyDescent="0.25">
      <c r="A126" s="669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70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0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38" t="s">
        <v>71</v>
      </c>
      <c r="Q131" s="639"/>
      <c r="R131" s="639"/>
      <c r="S131" s="639"/>
      <c r="T131" s="639"/>
      <c r="U131" s="639"/>
      <c r="V131" s="640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38" t="s">
        <v>71</v>
      </c>
      <c r="Q132" s="639"/>
      <c r="R132" s="639"/>
      <c r="S132" s="639"/>
      <c r="T132" s="639"/>
      <c r="U132" s="639"/>
      <c r="V132" s="640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6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7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6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90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38" t="s">
        <v>71</v>
      </c>
      <c r="Q138" s="639"/>
      <c r="R138" s="639"/>
      <c r="S138" s="639"/>
      <c r="T138" s="639"/>
      <c r="U138" s="639"/>
      <c r="V138" s="640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38" t="s">
        <v>71</v>
      </c>
      <c r="Q139" s="639"/>
      <c r="R139" s="639"/>
      <c r="S139" s="639"/>
      <c r="T139" s="639"/>
      <c r="U139" s="639"/>
      <c r="V139" s="640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1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38" t="s">
        <v>71</v>
      </c>
      <c r="Q144" s="639"/>
      <c r="R144" s="639"/>
      <c r="S144" s="639"/>
      <c r="T144" s="639"/>
      <c r="U144" s="639"/>
      <c r="V144" s="640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38" t="s">
        <v>71</v>
      </c>
      <c r="Q145" s="639"/>
      <c r="R145" s="639"/>
      <c r="S145" s="639"/>
      <c r="T145" s="639"/>
      <c r="U145" s="639"/>
      <c r="V145" s="640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69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2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5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92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38" t="s">
        <v>71</v>
      </c>
      <c r="Q155" s="639"/>
      <c r="R155" s="639"/>
      <c r="S155" s="639"/>
      <c r="T155" s="639"/>
      <c r="U155" s="639"/>
      <c r="V155" s="640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38" t="s">
        <v>71</v>
      </c>
      <c r="Q156" s="639"/>
      <c r="R156" s="639"/>
      <c r="S156" s="639"/>
      <c r="T156" s="639"/>
      <c r="U156" s="639"/>
      <c r="V156" s="640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94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38" t="s">
        <v>71</v>
      </c>
      <c r="Q159" s="639"/>
      <c r="R159" s="639"/>
      <c r="S159" s="639"/>
      <c r="T159" s="639"/>
      <c r="U159" s="639"/>
      <c r="V159" s="640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38" t="s">
        <v>71</v>
      </c>
      <c r="Q160" s="639"/>
      <c r="R160" s="639"/>
      <c r="S160" s="639"/>
      <c r="T160" s="639"/>
      <c r="U160" s="639"/>
      <c r="V160" s="640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69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5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12</v>
      </c>
      <c r="Y163" s="630">
        <f>IFERROR(IF(X163="",0,CEILING((X163/$H163),1)*$H163),"")</f>
        <v>12</v>
      </c>
      <c r="Z163" s="36">
        <f>IFERROR(IF(Y163=0,"",ROUNDUP(Y163/H163,0)*0.01196),"")</f>
        <v>2.392E-2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12.699999999999998</v>
      </c>
      <c r="BN163" s="64">
        <f>IFERROR(Y163*I163/H163,"0")</f>
        <v>12.699999999999998</v>
      </c>
      <c r="BO163" s="64">
        <f>IFERROR(1/J163*(X163/H163),"0")</f>
        <v>1.9230769230769232E-2</v>
      </c>
      <c r="BP163" s="64">
        <f>IFERROR(1/J163*(Y163/H163),"0")</f>
        <v>1.9230769230769232E-2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7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96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38" t="s">
        <v>71</v>
      </c>
      <c r="Q166" s="639"/>
      <c r="R166" s="639"/>
      <c r="S166" s="639"/>
      <c r="T166" s="639"/>
      <c r="U166" s="639"/>
      <c r="V166" s="640"/>
      <c r="W166" s="37" t="s">
        <v>72</v>
      </c>
      <c r="X166" s="631">
        <f>IFERROR(X163/H163,"0")+IFERROR(X164/H164,"0")+IFERROR(X165/H165,"0")</f>
        <v>2</v>
      </c>
      <c r="Y166" s="631">
        <f>IFERROR(Y163/H163,"0")+IFERROR(Y164/H164,"0")+IFERROR(Y165/H165,"0")</f>
        <v>2</v>
      </c>
      <c r="Z166" s="631">
        <f>IFERROR(IF(Z163="",0,Z163),"0")+IFERROR(IF(Z164="",0,Z164),"0")+IFERROR(IF(Z165="",0,Z165),"0")</f>
        <v>2.392E-2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38" t="s">
        <v>71</v>
      </c>
      <c r="Q167" s="639"/>
      <c r="R167" s="639"/>
      <c r="S167" s="639"/>
      <c r="T167" s="639"/>
      <c r="U167" s="639"/>
      <c r="V167" s="640"/>
      <c r="W167" s="37" t="s">
        <v>66</v>
      </c>
      <c r="X167" s="631">
        <f>IFERROR(SUM(X163:X165),"0")</f>
        <v>12</v>
      </c>
      <c r="Y167" s="631">
        <f>IFERROR(SUM(Y163:Y165),"0")</f>
        <v>12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8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9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38" t="s">
        <v>71</v>
      </c>
      <c r="Q171" s="639"/>
      <c r="R171" s="639"/>
      <c r="S171" s="639"/>
      <c r="T171" s="639"/>
      <c r="U171" s="639"/>
      <c r="V171" s="640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38" t="s">
        <v>71</v>
      </c>
      <c r="Q172" s="639"/>
      <c r="R172" s="639"/>
      <c r="S172" s="639"/>
      <c r="T172" s="639"/>
      <c r="U172" s="639"/>
      <c r="V172" s="640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68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80</v>
      </c>
      <c r="Y174" s="630">
        <f t="shared" ref="Y174:Y184" si="22">IFERROR(IF(X174="",0,CEILING((X174/$H174),1)*$H174),"")</f>
        <v>80.5</v>
      </c>
      <c r="Z174" s="36">
        <f>IFERROR(IF(Y174=0,"",ROUNDUP(Y174/H174,0)*0.00902),"")</f>
        <v>0.20746000000000001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84.342857142857142</v>
      </c>
      <c r="BN174" s="64">
        <f t="shared" ref="BN174:BN184" si="24">IFERROR(Y174*I174/H174,"0")</f>
        <v>84.87</v>
      </c>
      <c r="BO174" s="64">
        <f t="shared" ref="BO174:BO184" si="25">IFERROR(1/J174*(X174/H174),"0")</f>
        <v>0.17316017316017318</v>
      </c>
      <c r="BP174" s="64">
        <f t="shared" ref="BP174:BP184" si="26">IFERROR(1/J174*(Y174/H174),"0")</f>
        <v>0.17424242424242425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7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7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51</v>
      </c>
      <c r="Y176" s="630">
        <f t="shared" si="22"/>
        <v>52.5</v>
      </c>
      <c r="Z176" s="36">
        <f>IFERROR(IF(Y176=0,"",ROUNDUP(Y176/H176,0)*0.00902),"")</f>
        <v>0.1353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53.768571428571427</v>
      </c>
      <c r="BN176" s="64">
        <f t="shared" si="24"/>
        <v>55.35</v>
      </c>
      <c r="BO176" s="64">
        <f t="shared" si="25"/>
        <v>0.11038961038961038</v>
      </c>
      <c r="BP176" s="64">
        <f t="shared" si="26"/>
        <v>0.11363636363636365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75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180</v>
      </c>
      <c r="Y177" s="630">
        <f t="shared" si="22"/>
        <v>182</v>
      </c>
      <c r="Z177" s="36">
        <f>IFERROR(IF(Y177=0,"",ROUNDUP(Y177/H177,0)*0.00902),"")</f>
        <v>0.46904000000000001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189.77142857142857</v>
      </c>
      <c r="BN177" s="64">
        <f t="shared" si="24"/>
        <v>191.88000000000002</v>
      </c>
      <c r="BO177" s="64">
        <f t="shared" si="25"/>
        <v>0.38961038961038963</v>
      </c>
      <c r="BP177" s="64">
        <f t="shared" si="26"/>
        <v>0.39393939393939392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74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36</v>
      </c>
      <c r="Y178" s="630">
        <f t="shared" si="22"/>
        <v>36</v>
      </c>
      <c r="Z178" s="36">
        <f>IFERROR(IF(Y178=0,"",ROUNDUP(Y178/H178,0)*0.00417),"")</f>
        <v>0.1668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44.4</v>
      </c>
      <c r="BN178" s="64">
        <f t="shared" si="24"/>
        <v>44.4</v>
      </c>
      <c r="BO178" s="64">
        <f t="shared" si="25"/>
        <v>0.11904761904761904</v>
      </c>
      <c r="BP178" s="64">
        <f t="shared" si="26"/>
        <v>0.11904761904761904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86</v>
      </c>
      <c r="Y179" s="630">
        <f t="shared" si="22"/>
        <v>87.36</v>
      </c>
      <c r="Z179" s="36">
        <f>IFERROR(IF(Y179=0,"",ROUNDUP(Y179/H179,0)*0.00502),"")</f>
        <v>0.26103999999999999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91.119047619047635</v>
      </c>
      <c r="BN179" s="64">
        <f t="shared" si="24"/>
        <v>92.56</v>
      </c>
      <c r="BO179" s="64">
        <f t="shared" si="25"/>
        <v>0.21876271876271877</v>
      </c>
      <c r="BP179" s="64">
        <f t="shared" si="26"/>
        <v>0.22222222222222224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8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71</v>
      </c>
      <c r="Y180" s="630">
        <f t="shared" si="22"/>
        <v>71.100000000000009</v>
      </c>
      <c r="Z180" s="36">
        <f>IFERROR(IF(Y180=0,"",ROUNDUP(Y180/H180,0)*0.00417),"")</f>
        <v>0.32943</v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87.566666666666663</v>
      </c>
      <c r="BN180" s="64">
        <f t="shared" si="24"/>
        <v>87.690000000000026</v>
      </c>
      <c r="BO180" s="64">
        <f t="shared" si="25"/>
        <v>0.23478835978835977</v>
      </c>
      <c r="BP180" s="64">
        <f t="shared" si="26"/>
        <v>0.23511904761904764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70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88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42</v>
      </c>
      <c r="Y182" s="630">
        <f t="shared" si="22"/>
        <v>42</v>
      </c>
      <c r="Z182" s="36">
        <f>IFERROR(IF(Y182=0,"",ROUNDUP(Y182/H182,0)*0.00502),"")</f>
        <v>0.1255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44.500000000000007</v>
      </c>
      <c r="BN182" s="64">
        <f t="shared" si="24"/>
        <v>44.500000000000007</v>
      </c>
      <c r="BO182" s="64">
        <f t="shared" si="25"/>
        <v>0.10683760683760685</v>
      </c>
      <c r="BP182" s="64">
        <f t="shared" si="26"/>
        <v>0.10683760683760685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7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45</v>
      </c>
      <c r="Y183" s="630">
        <f t="shared" si="22"/>
        <v>45</v>
      </c>
      <c r="Z183" s="36">
        <f>IFERROR(IF(Y183=0,"",ROUNDUP(Y183/H183,0)*0.00417),"")</f>
        <v>0.20850000000000002</v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50</v>
      </c>
      <c r="BN183" s="64">
        <f t="shared" si="24"/>
        <v>50</v>
      </c>
      <c r="BO183" s="64">
        <f t="shared" si="25"/>
        <v>0.14880952380952381</v>
      </c>
      <c r="BP183" s="64">
        <f t="shared" si="26"/>
        <v>0.14880952380952381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9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70</v>
      </c>
      <c r="Y184" s="630">
        <f t="shared" si="22"/>
        <v>70.56</v>
      </c>
      <c r="Z184" s="36">
        <f>IFERROR(IF(Y184=0,"",ROUNDUP(Y184/H184,0)*0.00502),"")</f>
        <v>0.21084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74.166666666666671</v>
      </c>
      <c r="BN184" s="64">
        <f t="shared" si="24"/>
        <v>74.760000000000005</v>
      </c>
      <c r="BO184" s="64">
        <f t="shared" si="25"/>
        <v>0.17806267806267811</v>
      </c>
      <c r="BP184" s="64">
        <f t="shared" si="26"/>
        <v>0.17948717948717952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38" t="s">
        <v>71</v>
      </c>
      <c r="Q185" s="639"/>
      <c r="R185" s="639"/>
      <c r="S185" s="639"/>
      <c r="T185" s="639"/>
      <c r="U185" s="639"/>
      <c r="V185" s="640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375.60317460317464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378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2.1139100000000002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38" t="s">
        <v>71</v>
      </c>
      <c r="Q186" s="639"/>
      <c r="R186" s="639"/>
      <c r="S186" s="639"/>
      <c r="T186" s="639"/>
      <c r="U186" s="639"/>
      <c r="V186" s="640"/>
      <c r="W186" s="37" t="s">
        <v>66</v>
      </c>
      <c r="X186" s="631">
        <f>IFERROR(SUM(X174:X184),"0")</f>
        <v>661</v>
      </c>
      <c r="Y186" s="631">
        <f>IFERROR(SUM(Y174:Y184),"0")</f>
        <v>667.02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74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4</v>
      </c>
      <c r="Y190" s="630">
        <f>IFERROR(IF(X190="",0,CEILING((X190/$H190),1)*$H190),"")</f>
        <v>5.4</v>
      </c>
      <c r="Z190" s="36">
        <f>IFERROR(IF(Y190=0,"",ROUNDUP(Y190/H190,0)*0.00651),"")</f>
        <v>1.9529999999999999E-2</v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4.5733333333333333</v>
      </c>
      <c r="BN190" s="64">
        <f>IFERROR(Y190*I190/H190,"0")</f>
        <v>6.1739999999999995</v>
      </c>
      <c r="BO190" s="64">
        <f>IFERROR(1/J190*(X190/H190),"0")</f>
        <v>1.2210012210012212E-2</v>
      </c>
      <c r="BP190" s="64">
        <f>IFERROR(1/J190*(Y190/H190),"0")</f>
        <v>1.6483516483516484E-2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38" t="s">
        <v>71</v>
      </c>
      <c r="Q191" s="639"/>
      <c r="R191" s="639"/>
      <c r="S191" s="639"/>
      <c r="T191" s="639"/>
      <c r="U191" s="639"/>
      <c r="V191" s="640"/>
      <c r="W191" s="37" t="s">
        <v>72</v>
      </c>
      <c r="X191" s="631">
        <f>IFERROR(X188/H188,"0")+IFERROR(X189/H189,"0")+IFERROR(X190/H190,"0")</f>
        <v>2.2222222222222223</v>
      </c>
      <c r="Y191" s="631">
        <f>IFERROR(Y188/H188,"0")+IFERROR(Y189/H189,"0")+IFERROR(Y190/H190,"0")</f>
        <v>3</v>
      </c>
      <c r="Z191" s="631">
        <f>IFERROR(IF(Z188="",0,Z188),"0")+IFERROR(IF(Z189="",0,Z189),"0")+IFERROR(IF(Z190="",0,Z190),"0")</f>
        <v>1.9529999999999999E-2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38" t="s">
        <v>71</v>
      </c>
      <c r="Q192" s="639"/>
      <c r="R192" s="639"/>
      <c r="S192" s="639"/>
      <c r="T192" s="639"/>
      <c r="U192" s="639"/>
      <c r="V192" s="640"/>
      <c r="W192" s="37" t="s">
        <v>66</v>
      </c>
      <c r="X192" s="631">
        <f>IFERROR(SUM(X188:X190),"0")</f>
        <v>4</v>
      </c>
      <c r="Y192" s="631">
        <f>IFERROR(SUM(Y188:Y190),"0")</f>
        <v>5.4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9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38" t="s">
        <v>71</v>
      </c>
      <c r="Q195" s="639"/>
      <c r="R195" s="639"/>
      <c r="S195" s="639"/>
      <c r="T195" s="639"/>
      <c r="U195" s="639"/>
      <c r="V195" s="640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38" t="s">
        <v>71</v>
      </c>
      <c r="Q196" s="639"/>
      <c r="R196" s="639"/>
      <c r="S196" s="639"/>
      <c r="T196" s="639"/>
      <c r="U196" s="639"/>
      <c r="V196" s="640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38" t="s">
        <v>71</v>
      </c>
      <c r="Q199" s="639"/>
      <c r="R199" s="639"/>
      <c r="S199" s="639"/>
      <c r="T199" s="639"/>
      <c r="U199" s="639"/>
      <c r="V199" s="640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38" t="s">
        <v>71</v>
      </c>
      <c r="Q200" s="639"/>
      <c r="R200" s="639"/>
      <c r="S200" s="639"/>
      <c r="T200" s="639"/>
      <c r="U200" s="639"/>
      <c r="V200" s="640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705" t="s">
        <v>338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48"/>
      <c r="AB201" s="48"/>
      <c r="AC201" s="48"/>
    </row>
    <row r="202" spans="1:68" ht="16.5" hidden="1" customHeight="1" x14ac:dyDescent="0.25">
      <c r="A202" s="669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89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1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90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9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38" t="s">
        <v>71</v>
      </c>
      <c r="Q211" s="639"/>
      <c r="R211" s="639"/>
      <c r="S211" s="639"/>
      <c r="T211" s="639"/>
      <c r="U211" s="639"/>
      <c r="V211" s="640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38" t="s">
        <v>71</v>
      </c>
      <c r="Q212" s="639"/>
      <c r="R212" s="639"/>
      <c r="S212" s="639"/>
      <c r="T212" s="639"/>
      <c r="U212" s="639"/>
      <c r="V212" s="640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69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97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38" t="s">
        <v>71</v>
      </c>
      <c r="Q216" s="639"/>
      <c r="R216" s="639"/>
      <c r="S216" s="639"/>
      <c r="T216" s="639"/>
      <c r="U216" s="639"/>
      <c r="V216" s="640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38" t="s">
        <v>71</v>
      </c>
      <c r="Q217" s="639"/>
      <c r="R217" s="639"/>
      <c r="S217" s="639"/>
      <c r="T217" s="639"/>
      <c r="U217" s="639"/>
      <c r="V217" s="640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5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8</v>
      </c>
      <c r="Y219" s="630">
        <f t="shared" ref="Y219:Y232" si="33">IFERROR(IF(X219="",0,CEILING((X219/$H219),1)*$H219),"")</f>
        <v>8.4</v>
      </c>
      <c r="Z219" s="36">
        <f>IFERROR(IF(Y219=0,"",ROUNDUP(Y219/H219,0)*0.00902),"")</f>
        <v>1.804E-2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8.4761904761904763</v>
      </c>
      <c r="BN219" s="64">
        <f t="shared" ref="BN219:BN232" si="35">IFERROR(Y219*I219/H219,"0")</f>
        <v>8.9</v>
      </c>
      <c r="BO219" s="64">
        <f t="shared" ref="BO219:BO232" si="36">IFERROR(1/J219*(X219/H219),"0")</f>
        <v>1.443001443001443E-2</v>
      </c>
      <c r="BP219" s="64">
        <f t="shared" ref="BP219:BP232" si="37">IFERROR(1/J219*(Y219/H219),"0")</f>
        <v>1.5151515151515152E-2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9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9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11</v>
      </c>
      <c r="Y221" s="630">
        <f t="shared" si="33"/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11.497619047619047</v>
      </c>
      <c r="BN221" s="64">
        <f t="shared" si="35"/>
        <v>13.17</v>
      </c>
      <c r="BO221" s="64">
        <f t="shared" si="36"/>
        <v>1.9841269841269844E-2</v>
      </c>
      <c r="BP221" s="64">
        <f t="shared" si="37"/>
        <v>2.2727272727272728E-2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76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24</v>
      </c>
      <c r="Y222" s="630">
        <f t="shared" si="33"/>
        <v>24</v>
      </c>
      <c r="Z222" s="36">
        <f>IFERROR(IF(Y222=0,"",ROUNDUP(Y222/H222,0)*0.00556),"")</f>
        <v>0.1668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27.9</v>
      </c>
      <c r="BN222" s="64">
        <f t="shared" si="35"/>
        <v>27.9</v>
      </c>
      <c r="BO222" s="64">
        <f t="shared" si="36"/>
        <v>0.11904761904761904</v>
      </c>
      <c r="BP222" s="64">
        <f t="shared" si="37"/>
        <v>0.11904761904761904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9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18</v>
      </c>
      <c r="Y223" s="630">
        <f t="shared" si="33"/>
        <v>18.900000000000002</v>
      </c>
      <c r="Z223" s="36">
        <f t="shared" ref="Z223:Z228" si="38">IFERROR(IF(Y223=0,"",ROUNDUP(Y223/H223,0)*0.00502),"")</f>
        <v>4.5179999999999998E-2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19.114285714285714</v>
      </c>
      <c r="BN223" s="64">
        <f t="shared" si="35"/>
        <v>20.07</v>
      </c>
      <c r="BO223" s="64">
        <f t="shared" si="36"/>
        <v>3.6630036630036632E-2</v>
      </c>
      <c r="BP223" s="64">
        <f t="shared" si="37"/>
        <v>3.8461538461538464E-2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5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5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75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6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9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9.65</v>
      </c>
      <c r="BN228" s="64">
        <f t="shared" si="35"/>
        <v>9.65</v>
      </c>
      <c r="BO228" s="64">
        <f t="shared" si="36"/>
        <v>2.1367521367521368E-2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64</v>
      </c>
      <c r="Y229" s="630">
        <f t="shared" si="33"/>
        <v>64</v>
      </c>
      <c r="Z229" s="36">
        <f>IFERROR(IF(Y229=0,"",ROUNDUP(Y229/H229,0)*0.00417),"")</f>
        <v>0.33360000000000001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80.8</v>
      </c>
      <c r="BN229" s="64">
        <f t="shared" si="35"/>
        <v>80.8</v>
      </c>
      <c r="BO229" s="64">
        <f t="shared" si="36"/>
        <v>0.23809523809523808</v>
      </c>
      <c r="BP229" s="64">
        <f t="shared" si="37"/>
        <v>0.23809523809523808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9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315</v>
      </c>
      <c r="Y230" s="630">
        <f t="shared" si="33"/>
        <v>315</v>
      </c>
      <c r="Z230" s="36">
        <f>IFERROR(IF(Y230=0,"",ROUNDUP(Y230/H230,0)*0.00502),"")</f>
        <v>0.753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330</v>
      </c>
      <c r="BN230" s="64">
        <f t="shared" si="35"/>
        <v>330</v>
      </c>
      <c r="BO230" s="64">
        <f t="shared" si="36"/>
        <v>0.64102564102564108</v>
      </c>
      <c r="BP230" s="64">
        <f t="shared" si="37"/>
        <v>0.64102564102564108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9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38" t="s">
        <v>71</v>
      </c>
      <c r="Q233" s="639"/>
      <c r="R233" s="639"/>
      <c r="S233" s="639"/>
      <c r="T233" s="639"/>
      <c r="U233" s="639"/>
      <c r="V233" s="640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278.09523809523807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279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1.3687800000000001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38" t="s">
        <v>71</v>
      </c>
      <c r="Q234" s="639"/>
      <c r="R234" s="639"/>
      <c r="S234" s="639"/>
      <c r="T234" s="639"/>
      <c r="U234" s="639"/>
      <c r="V234" s="640"/>
      <c r="W234" s="37" t="s">
        <v>66</v>
      </c>
      <c r="X234" s="631">
        <f>IFERROR(SUM(X219:X232),"0")</f>
        <v>449</v>
      </c>
      <c r="Y234" s="631">
        <f>IFERROR(SUM(Y219:Y232),"0")</f>
        <v>451.9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2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86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97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38" t="s">
        <v>71</v>
      </c>
      <c r="Q241" s="639"/>
      <c r="R241" s="639"/>
      <c r="S241" s="639"/>
      <c r="T241" s="639"/>
      <c r="U241" s="639"/>
      <c r="V241" s="640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38" t="s">
        <v>71</v>
      </c>
      <c r="Q242" s="639"/>
      <c r="R242" s="639"/>
      <c r="S242" s="639"/>
      <c r="T242" s="639"/>
      <c r="U242" s="639"/>
      <c r="V242" s="640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9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28</v>
      </c>
      <c r="Y245" s="630">
        <f>IFERROR(IF(X245="",0,CEILING((X245/$H245),1)*$H245),"")</f>
        <v>28.98</v>
      </c>
      <c r="Z245" s="36">
        <f>IFERROR(IF(Y245=0,"",ROUNDUP(Y245/H245,0)*0.0059),"")</f>
        <v>0.13569999999999999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32.222222222222221</v>
      </c>
      <c r="BN245" s="64">
        <f>IFERROR(Y245*I245/H245,"0")</f>
        <v>33.35</v>
      </c>
      <c r="BO245" s="64">
        <f>IFERROR(1/J245*(X245/H245),"0")</f>
        <v>0.10288065843621398</v>
      </c>
      <c r="BP245" s="64">
        <f>IFERROR(1/J245*(Y245/H245),"0")</f>
        <v>0.10648148148148148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8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41</v>
      </c>
      <c r="Y246" s="630">
        <f>IFERROR(IF(X246="",0,CEILING((X246/$H246),1)*$H246),"")</f>
        <v>41.58</v>
      </c>
      <c r="Z246" s="36">
        <f>IFERROR(IF(Y246=0,"",ROUNDUP(Y246/H246,0)*0.0059),"")</f>
        <v>0.19469999999999998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47.182539682539677</v>
      </c>
      <c r="BN246" s="64">
        <f>IFERROR(Y246*I246/H246,"0")</f>
        <v>47.849999999999994</v>
      </c>
      <c r="BO246" s="64">
        <f>IFERROR(1/J246*(X246/H246),"0")</f>
        <v>0.1506466784244562</v>
      </c>
      <c r="BP246" s="64">
        <f>IFERROR(1/J246*(Y246/H246),"0")</f>
        <v>0.15277777777777776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38" t="s">
        <v>71</v>
      </c>
      <c r="Q247" s="639"/>
      <c r="R247" s="639"/>
      <c r="S247" s="639"/>
      <c r="T247" s="639"/>
      <c r="U247" s="639"/>
      <c r="V247" s="640"/>
      <c r="W247" s="37" t="s">
        <v>72</v>
      </c>
      <c r="X247" s="631">
        <f>IFERROR(X244/H244,"0")+IFERROR(X245/H245,"0")+IFERROR(X246/H246,"0")</f>
        <v>54.761904761904759</v>
      </c>
      <c r="Y247" s="631">
        <f>IFERROR(Y244/H244,"0")+IFERROR(Y245/H245,"0")+IFERROR(Y246/H246,"0")</f>
        <v>56</v>
      </c>
      <c r="Z247" s="631">
        <f>IFERROR(IF(Z244="",0,Z244),"0")+IFERROR(IF(Z245="",0,Z245),"0")+IFERROR(IF(Z246="",0,Z246),"0")</f>
        <v>0.33039999999999997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38" t="s">
        <v>71</v>
      </c>
      <c r="Q248" s="639"/>
      <c r="R248" s="639"/>
      <c r="S248" s="639"/>
      <c r="T248" s="639"/>
      <c r="U248" s="639"/>
      <c r="V248" s="640"/>
      <c r="W248" s="37" t="s">
        <v>66</v>
      </c>
      <c r="X248" s="631">
        <f>IFERROR(SUM(X244:X246),"0")</f>
        <v>69</v>
      </c>
      <c r="Y248" s="631">
        <f>IFERROR(SUM(Y244:Y246),"0")</f>
        <v>70.56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9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28</v>
      </c>
      <c r="Y250" s="630">
        <f>IFERROR(IF(X250="",0,CEILING((X250/$H250),1)*$H250),"")</f>
        <v>28.98</v>
      </c>
      <c r="Z250" s="36">
        <f>IFERROR(IF(Y250=0,"",ROUNDUP(Y250/H250,0)*0.0059),"")</f>
        <v>0.13569999999999999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32.222222222222221</v>
      </c>
      <c r="BN250" s="64">
        <f>IFERROR(Y250*I250/H250,"0")</f>
        <v>33.35</v>
      </c>
      <c r="BO250" s="64">
        <f>IFERROR(1/J250*(X250/H250),"0")</f>
        <v>0.10288065843621398</v>
      </c>
      <c r="BP250" s="64">
        <f>IFERROR(1/J250*(Y250/H250),"0")</f>
        <v>0.10648148148148148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38" t="s">
        <v>71</v>
      </c>
      <c r="Q251" s="639"/>
      <c r="R251" s="639"/>
      <c r="S251" s="639"/>
      <c r="T251" s="639"/>
      <c r="U251" s="639"/>
      <c r="V251" s="640"/>
      <c r="W251" s="37" t="s">
        <v>72</v>
      </c>
      <c r="X251" s="631">
        <f>IFERROR(X250/H250,"0")</f>
        <v>22.222222222222221</v>
      </c>
      <c r="Y251" s="631">
        <f>IFERROR(Y250/H250,"0")</f>
        <v>23</v>
      </c>
      <c r="Z251" s="631">
        <f>IFERROR(IF(Z250="",0,Z250),"0")</f>
        <v>0.13569999999999999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38" t="s">
        <v>71</v>
      </c>
      <c r="Q252" s="639"/>
      <c r="R252" s="639"/>
      <c r="S252" s="639"/>
      <c r="T252" s="639"/>
      <c r="U252" s="639"/>
      <c r="V252" s="640"/>
      <c r="W252" s="37" t="s">
        <v>66</v>
      </c>
      <c r="X252" s="631">
        <f>IFERROR(SUM(X250:X250),"0")</f>
        <v>28</v>
      </c>
      <c r="Y252" s="631">
        <f>IFERROR(SUM(Y250:Y250),"0")</f>
        <v>28.98</v>
      </c>
      <c r="Z252" s="37"/>
      <c r="AA252" s="632"/>
      <c r="AB252" s="632"/>
      <c r="AC252" s="632"/>
    </row>
    <row r="253" spans="1:68" ht="16.5" hidden="1" customHeight="1" x14ac:dyDescent="0.25">
      <c r="A253" s="669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9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38" t="s">
        <v>71</v>
      </c>
      <c r="Q257" s="639"/>
      <c r="R257" s="639"/>
      <c r="S257" s="639"/>
      <c r="T257" s="639"/>
      <c r="U257" s="639"/>
      <c r="V257" s="640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38" t="s">
        <v>71</v>
      </c>
      <c r="Q258" s="639"/>
      <c r="R258" s="639"/>
      <c r="S258" s="639"/>
      <c r="T258" s="639"/>
      <c r="U258" s="639"/>
      <c r="V258" s="640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38" t="s">
        <v>71</v>
      </c>
      <c r="Q262" s="639"/>
      <c r="R262" s="639"/>
      <c r="S262" s="639"/>
      <c r="T262" s="639"/>
      <c r="U262" s="639"/>
      <c r="V262" s="640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38" t="s">
        <v>71</v>
      </c>
      <c r="Q263" s="639"/>
      <c r="R263" s="639"/>
      <c r="S263" s="639"/>
      <c r="T263" s="639"/>
      <c r="U263" s="639"/>
      <c r="V263" s="640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9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43</v>
      </c>
      <c r="Y265" s="630">
        <f t="shared" ref="Y265:Y272" si="39">IFERROR(IF(X265="",0,CEILING((X265/$H265),1)*$H265),"")</f>
        <v>43.2</v>
      </c>
      <c r="Z265" s="36">
        <f>IFERROR(IF(Y265=0,"",ROUNDUP(Y265/H265,0)*0.00902),"")</f>
        <v>7.2160000000000002E-2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44.512962962962959</v>
      </c>
      <c r="BN265" s="64">
        <f t="shared" ref="BN265:BN272" si="41">IFERROR(Y265*I265/H265,"0")</f>
        <v>44.72</v>
      </c>
      <c r="BO265" s="64">
        <f t="shared" ref="BO265:BO272" si="42">IFERROR(1/J265*(X265/H265),"0")</f>
        <v>6.0325476992143662E-2</v>
      </c>
      <c r="BP265" s="64">
        <f t="shared" ref="BP265:BP272" si="43">IFERROR(1/J265*(Y265/H265),"0")</f>
        <v>6.0606060606060608E-2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9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4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268</v>
      </c>
      <c r="Y267" s="630">
        <f t="shared" si="39"/>
        <v>270</v>
      </c>
      <c r="Z267" s="36">
        <f>IFERROR(IF(Y267=0,"",ROUNDUP(Y267/H267,0)*0.00902),"")</f>
        <v>0.45100000000000001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277.42962962962957</v>
      </c>
      <c r="BN267" s="64">
        <f t="shared" si="41"/>
        <v>279.5</v>
      </c>
      <c r="BO267" s="64">
        <f t="shared" si="42"/>
        <v>0.37598204264870932</v>
      </c>
      <c r="BP267" s="64">
        <f t="shared" si="43"/>
        <v>0.37878787878787878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9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47</v>
      </c>
      <c r="Y268" s="630">
        <f t="shared" si="39"/>
        <v>48.6</v>
      </c>
      <c r="Z268" s="36">
        <f>IFERROR(IF(Y268=0,"",ROUNDUP(Y268/H268,0)*0.00902),"")</f>
        <v>8.1180000000000002E-2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48.653703703703705</v>
      </c>
      <c r="BN268" s="64">
        <f t="shared" si="41"/>
        <v>50.309999999999995</v>
      </c>
      <c r="BO268" s="64">
        <f t="shared" si="42"/>
        <v>6.5937149270482595E-2</v>
      </c>
      <c r="BP268" s="64">
        <f t="shared" si="43"/>
        <v>6.8181818181818177E-2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77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15</v>
      </c>
      <c r="Y269" s="630">
        <f t="shared" si="39"/>
        <v>16.2</v>
      </c>
      <c r="Z269" s="36">
        <f>IFERROR(IF(Y269=0,"",ROUNDUP(Y269/H269,0)*0.00502),"")</f>
        <v>4.5179999999999998E-2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16.083333333333332</v>
      </c>
      <c r="BN269" s="64">
        <f t="shared" si="41"/>
        <v>17.369999999999997</v>
      </c>
      <c r="BO269" s="64">
        <f t="shared" si="42"/>
        <v>3.561253561253562E-2</v>
      </c>
      <c r="BP269" s="64">
        <f t="shared" si="43"/>
        <v>3.8461538461538464E-2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38" t="s">
        <v>71</v>
      </c>
      <c r="Q273" s="639"/>
      <c r="R273" s="639"/>
      <c r="S273" s="639"/>
      <c r="T273" s="639"/>
      <c r="U273" s="639"/>
      <c r="V273" s="640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91.296296296296276</v>
      </c>
      <c r="Y273" s="631">
        <f>IFERROR(Y265/H265,"0")+IFERROR(Y266/H266,"0")+IFERROR(Y267/H267,"0")+IFERROR(Y268/H268,"0")+IFERROR(Y269/H269,"0")+IFERROR(Y270/H270,"0")+IFERROR(Y271/H271,"0")+IFERROR(Y272/H272,"0")</f>
        <v>94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0.73988000000000009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38" t="s">
        <v>71</v>
      </c>
      <c r="Q274" s="639"/>
      <c r="R274" s="639"/>
      <c r="S274" s="639"/>
      <c r="T274" s="639"/>
      <c r="U274" s="639"/>
      <c r="V274" s="640"/>
      <c r="W274" s="37" t="s">
        <v>66</v>
      </c>
      <c r="X274" s="631">
        <f>IFERROR(SUM(X265:X272),"0")</f>
        <v>403</v>
      </c>
      <c r="Y274" s="631">
        <f>IFERROR(SUM(Y265:Y272),"0")</f>
        <v>410.4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50</v>
      </c>
      <c r="Y276" s="630">
        <f t="shared" ref="Y276:Y287" si="44">IFERROR(IF(X276="",0,CEILING((X276/$H276),1)*$H276),"")</f>
        <v>56.699999999999996</v>
      </c>
      <c r="Z276" s="36">
        <f>IFERROR(IF(Y276=0,"",ROUNDUP(Y276/H276,0)*0.01898),"")</f>
        <v>0.13286000000000001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53.049382716049386</v>
      </c>
      <c r="BN276" s="64">
        <f t="shared" ref="BN276:BN287" si="46">IFERROR(Y276*I276/H276,"0")</f>
        <v>60.157999999999994</v>
      </c>
      <c r="BO276" s="64">
        <f t="shared" ref="BO276:BO287" si="47">IFERROR(1/J276*(X276/H276),"0")</f>
        <v>9.6450617283950615E-2</v>
      </c>
      <c r="BP276" s="64">
        <f t="shared" ref="BP276:BP287" si="48">IFERROR(1/J276*(Y276/H276),"0")</f>
        <v>0.109375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60</v>
      </c>
      <c r="Y277" s="630">
        <f t="shared" si="44"/>
        <v>64.8</v>
      </c>
      <c r="Z277" s="36">
        <f>IFERROR(IF(Y277=0,"",ROUNDUP(Y277/H277,0)*0.01898),"")</f>
        <v>0.15184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63.525925925925939</v>
      </c>
      <c r="BN277" s="64">
        <f t="shared" si="46"/>
        <v>68.608000000000004</v>
      </c>
      <c r="BO277" s="64">
        <f t="shared" si="47"/>
        <v>0.11574074074074074</v>
      </c>
      <c r="BP277" s="64">
        <f t="shared" si="48"/>
        <v>0.125</v>
      </c>
    </row>
    <row r="278" spans="1:68" ht="27" hidden="1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308</v>
      </c>
      <c r="Y279" s="630">
        <f t="shared" si="44"/>
        <v>309.59999999999997</v>
      </c>
      <c r="Z279" s="36">
        <f>IFERROR(IF(Y279=0,"",ROUNDUP(Y279/H279,0)*0.00651),"")</f>
        <v>0.83979000000000004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342.65000000000003</v>
      </c>
      <c r="BN279" s="64">
        <f t="shared" si="46"/>
        <v>344.42999999999995</v>
      </c>
      <c r="BO279" s="64">
        <f t="shared" si="47"/>
        <v>0.70512820512820529</v>
      </c>
      <c r="BP279" s="64">
        <f t="shared" si="48"/>
        <v>0.70879120879120883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89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1200</v>
      </c>
      <c r="Y282" s="630">
        <f t="shared" si="44"/>
        <v>1200</v>
      </c>
      <c r="Z282" s="36">
        <f>IFERROR(IF(Y282=0,"",ROUNDUP(Y282/H282,0)*0.00651),"")</f>
        <v>3.2549999999999999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1326</v>
      </c>
      <c r="BN282" s="64">
        <f t="shared" si="46"/>
        <v>1326</v>
      </c>
      <c r="BO282" s="64">
        <f t="shared" si="47"/>
        <v>2.7472527472527473</v>
      </c>
      <c r="BP282" s="64">
        <f t="shared" si="48"/>
        <v>2.7472527472527473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200</v>
      </c>
      <c r="Y284" s="630">
        <f t="shared" si="44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221</v>
      </c>
      <c r="BN284" s="64">
        <f t="shared" si="46"/>
        <v>222.768</v>
      </c>
      <c r="BO284" s="64">
        <f t="shared" si="47"/>
        <v>0.45787545787545797</v>
      </c>
      <c r="BP284" s="64">
        <f t="shared" si="48"/>
        <v>0.46153846153846156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10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20</v>
      </c>
      <c r="Y285" s="630">
        <f t="shared" si="44"/>
        <v>21.599999999999998</v>
      </c>
      <c r="Z285" s="36">
        <f>IFERROR(IF(Y285=0,"",ROUNDUP(Y285/H285,0)*0.00651),"")</f>
        <v>5.8590000000000003E-2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22.100000000000005</v>
      </c>
      <c r="BN285" s="64">
        <f t="shared" si="46"/>
        <v>23.868000000000002</v>
      </c>
      <c r="BO285" s="64">
        <f t="shared" si="47"/>
        <v>4.5787545787545791E-2</v>
      </c>
      <c r="BP285" s="64">
        <f t="shared" si="48"/>
        <v>4.9450549450549455E-2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80</v>
      </c>
      <c r="Y286" s="630">
        <f t="shared" si="44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88.6</v>
      </c>
      <c r="BN286" s="64">
        <f t="shared" si="46"/>
        <v>90.371999999999986</v>
      </c>
      <c r="BO286" s="64">
        <f t="shared" si="47"/>
        <v>0.18315018315018317</v>
      </c>
      <c r="BP286" s="64">
        <f t="shared" si="48"/>
        <v>0.18681318681318682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8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38" t="s">
        <v>71</v>
      </c>
      <c r="Q288" s="639"/>
      <c r="R288" s="639"/>
      <c r="S288" s="639"/>
      <c r="T288" s="639"/>
      <c r="U288" s="639"/>
      <c r="V288" s="640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766.91358024691374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771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5.2062599999999994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38" t="s">
        <v>71</v>
      </c>
      <c r="Q289" s="639"/>
      <c r="R289" s="639"/>
      <c r="S289" s="639"/>
      <c r="T289" s="639"/>
      <c r="U289" s="639"/>
      <c r="V289" s="640"/>
      <c r="W289" s="37" t="s">
        <v>66</v>
      </c>
      <c r="X289" s="631">
        <f>IFERROR(SUM(X276:X287),"0")</f>
        <v>1918</v>
      </c>
      <c r="Y289" s="631">
        <f>IFERROR(SUM(Y276:Y287),"0")</f>
        <v>1935.8999999999996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6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4</v>
      </c>
      <c r="Y291" s="630">
        <f>IFERROR(IF(X291="",0,CEILING((X291/$H291),1)*$H291),"")</f>
        <v>4.8</v>
      </c>
      <c r="Z291" s="36">
        <f>IFERROR(IF(Y291=0,"",ROUNDUP(Y291/H291,0)*0.00651),"")</f>
        <v>1.302E-2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4.4200000000000008</v>
      </c>
      <c r="BN291" s="64">
        <f>IFERROR(Y291*I291/H291,"0")</f>
        <v>5.3040000000000003</v>
      </c>
      <c r="BO291" s="64">
        <f>IFERROR(1/J291*(X291/H291),"0")</f>
        <v>9.1575091575091579E-3</v>
      </c>
      <c r="BP291" s="64">
        <f>IFERROR(1/J291*(Y291/H291),"0")</f>
        <v>1.098901098901099E-2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38" t="s">
        <v>71</v>
      </c>
      <c r="Q293" s="639"/>
      <c r="R293" s="639"/>
      <c r="S293" s="639"/>
      <c r="T293" s="639"/>
      <c r="U293" s="639"/>
      <c r="V293" s="640"/>
      <c r="W293" s="37" t="s">
        <v>72</v>
      </c>
      <c r="X293" s="631">
        <f>IFERROR(X291/H291,"0")+IFERROR(X292/H292,"0")</f>
        <v>1.6666666666666667</v>
      </c>
      <c r="Y293" s="631">
        <f>IFERROR(Y291/H291,"0")+IFERROR(Y292/H292,"0")</f>
        <v>2</v>
      </c>
      <c r="Z293" s="631">
        <f>IFERROR(IF(Z291="",0,Z291),"0")+IFERROR(IF(Z292="",0,Z292),"0")</f>
        <v>1.302E-2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38" t="s">
        <v>71</v>
      </c>
      <c r="Q294" s="639"/>
      <c r="R294" s="639"/>
      <c r="S294" s="639"/>
      <c r="T294" s="639"/>
      <c r="U294" s="639"/>
      <c r="V294" s="640"/>
      <c r="W294" s="37" t="s">
        <v>66</v>
      </c>
      <c r="X294" s="631">
        <f>IFERROR(SUM(X291:X292),"0")</f>
        <v>4</v>
      </c>
      <c r="Y294" s="631">
        <f>IFERROR(SUM(Y291:Y292),"0")</f>
        <v>4.8</v>
      </c>
      <c r="Z294" s="37"/>
      <c r="AA294" s="632"/>
      <c r="AB294" s="632"/>
      <c r="AC294" s="632"/>
    </row>
    <row r="295" spans="1:68" ht="16.5" hidden="1" customHeight="1" x14ac:dyDescent="0.25">
      <c r="A295" s="669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6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7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99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38" t="s">
        <v>71</v>
      </c>
      <c r="Q304" s="639"/>
      <c r="R304" s="639"/>
      <c r="S304" s="639"/>
      <c r="T304" s="639"/>
      <c r="U304" s="639"/>
      <c r="V304" s="640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38" t="s">
        <v>71</v>
      </c>
      <c r="Q305" s="639"/>
      <c r="R305" s="639"/>
      <c r="S305" s="639"/>
      <c r="T305" s="639"/>
      <c r="U305" s="639"/>
      <c r="V305" s="640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6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38" t="s">
        <v>71</v>
      </c>
      <c r="Q308" s="639"/>
      <c r="R308" s="639"/>
      <c r="S308" s="639"/>
      <c r="T308" s="639"/>
      <c r="U308" s="639"/>
      <c r="V308" s="640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38" t="s">
        <v>71</v>
      </c>
      <c r="Q309" s="639"/>
      <c r="R309" s="639"/>
      <c r="S309" s="639"/>
      <c r="T309" s="639"/>
      <c r="U309" s="639"/>
      <c r="V309" s="640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38" t="s">
        <v>71</v>
      </c>
      <c r="Q312" s="639"/>
      <c r="R312" s="639"/>
      <c r="S312" s="639"/>
      <c r="T312" s="639"/>
      <c r="U312" s="639"/>
      <c r="V312" s="640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38" t="s">
        <v>71</v>
      </c>
      <c r="Q313" s="639"/>
      <c r="R313" s="639"/>
      <c r="S313" s="639"/>
      <c r="T313" s="639"/>
      <c r="U313" s="639"/>
      <c r="V313" s="640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9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96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7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38" t="s">
        <v>71</v>
      </c>
      <c r="Q318" s="639"/>
      <c r="R318" s="639"/>
      <c r="S318" s="639"/>
      <c r="T318" s="639"/>
      <c r="U318" s="639"/>
      <c r="V318" s="640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38" t="s">
        <v>71</v>
      </c>
      <c r="Q319" s="639"/>
      <c r="R319" s="639"/>
      <c r="S319" s="639"/>
      <c r="T319" s="639"/>
      <c r="U319" s="639"/>
      <c r="V319" s="640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69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73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9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38" t="s">
        <v>71</v>
      </c>
      <c r="Q327" s="639"/>
      <c r="R327" s="639"/>
      <c r="S327" s="639"/>
      <c r="T327" s="639"/>
      <c r="U327" s="639"/>
      <c r="V327" s="640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38" t="s">
        <v>71</v>
      </c>
      <c r="Q328" s="639"/>
      <c r="R328" s="639"/>
      <c r="S328" s="639"/>
      <c r="T328" s="639"/>
      <c r="U328" s="639"/>
      <c r="V328" s="640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69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9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40</v>
      </c>
      <c r="Y332" s="630">
        <f>IFERROR(IF(X332="",0,CEILING((X332/$H332),1)*$H332),"")</f>
        <v>40.799999999999997</v>
      </c>
      <c r="Z332" s="36">
        <f>IFERROR(IF(Y332=0,"",ROUNDUP(Y332/H332,0)*0.00651),"")</f>
        <v>0.11067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44.20000000000001</v>
      </c>
      <c r="BN332" s="64">
        <f>IFERROR(Y332*I332/H332,"0")</f>
        <v>45.084000000000003</v>
      </c>
      <c r="BO332" s="64">
        <f>IFERROR(1/J332*(X332/H332),"0")</f>
        <v>9.1575091575091583E-2</v>
      </c>
      <c r="BP332" s="64">
        <f>IFERROR(1/J332*(Y332/H332),"0")</f>
        <v>9.3406593406593408E-2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40</v>
      </c>
      <c r="Y333" s="63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38" t="s">
        <v>71</v>
      </c>
      <c r="Q334" s="639"/>
      <c r="R334" s="639"/>
      <c r="S334" s="639"/>
      <c r="T334" s="639"/>
      <c r="U334" s="639"/>
      <c r="V334" s="640"/>
      <c r="W334" s="37" t="s">
        <v>72</v>
      </c>
      <c r="X334" s="631">
        <f>IFERROR(X331/H331,"0")+IFERROR(X332/H332,"0")+IFERROR(X333/H333,"0")</f>
        <v>33.333333333333336</v>
      </c>
      <c r="Y334" s="631">
        <f>IFERROR(Y331/H331,"0")+IFERROR(Y332/H332,"0")+IFERROR(Y333/H333,"0")</f>
        <v>34</v>
      </c>
      <c r="Z334" s="631">
        <f>IFERROR(IF(Z331="",0,Z331),"0")+IFERROR(IF(Z332="",0,Z332),"0")+IFERROR(IF(Z333="",0,Z333),"0")</f>
        <v>0.22134000000000001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38" t="s">
        <v>71</v>
      </c>
      <c r="Q335" s="639"/>
      <c r="R335" s="639"/>
      <c r="S335" s="639"/>
      <c r="T335" s="639"/>
      <c r="U335" s="639"/>
      <c r="V335" s="640"/>
      <c r="W335" s="37" t="s">
        <v>66</v>
      </c>
      <c r="X335" s="631">
        <f>IFERROR(SUM(X331:X333),"0")</f>
        <v>80</v>
      </c>
      <c r="Y335" s="631">
        <f>IFERROR(SUM(Y331:Y333),"0")</f>
        <v>81.599999999999994</v>
      </c>
      <c r="Z335" s="37"/>
      <c r="AA335" s="632"/>
      <c r="AB335" s="632"/>
      <c r="AC335" s="632"/>
    </row>
    <row r="336" spans="1:68" ht="16.5" hidden="1" customHeight="1" x14ac:dyDescent="0.25">
      <c r="A336" s="669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79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9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8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7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38" t="s">
        <v>71</v>
      </c>
      <c r="Q343" s="639"/>
      <c r="R343" s="639"/>
      <c r="S343" s="639"/>
      <c r="T343" s="639"/>
      <c r="U343" s="639"/>
      <c r="V343" s="640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38" t="s">
        <v>71</v>
      </c>
      <c r="Q344" s="639"/>
      <c r="R344" s="639"/>
      <c r="S344" s="639"/>
      <c r="T344" s="639"/>
      <c r="U344" s="639"/>
      <c r="V344" s="640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38" t="s">
        <v>71</v>
      </c>
      <c r="Q348" s="639"/>
      <c r="R348" s="639"/>
      <c r="S348" s="639"/>
      <c r="T348" s="639"/>
      <c r="U348" s="639"/>
      <c r="V348" s="640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38" t="s">
        <v>71</v>
      </c>
      <c r="Q349" s="639"/>
      <c r="R349" s="639"/>
      <c r="S349" s="639"/>
      <c r="T349" s="639"/>
      <c r="U349" s="639"/>
      <c r="V349" s="640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69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9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7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38" t="s">
        <v>71</v>
      </c>
      <c r="Q355" s="639"/>
      <c r="R355" s="639"/>
      <c r="S355" s="639"/>
      <c r="T355" s="639"/>
      <c r="U355" s="639"/>
      <c r="V355" s="640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38" t="s">
        <v>71</v>
      </c>
      <c r="Q356" s="639"/>
      <c r="R356" s="639"/>
      <c r="S356" s="639"/>
      <c r="T356" s="639"/>
      <c r="U356" s="639"/>
      <c r="V356" s="640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69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7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6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16</v>
      </c>
      <c r="Y361" s="630">
        <f>IFERROR(IF(X361="",0,CEILING((X361/$H361),1)*$H361),"")</f>
        <v>21.6</v>
      </c>
      <c r="Z361" s="36">
        <f>IFERROR(IF(Y361=0,"",ROUNDUP(Y361/H361,0)*0.01898),"")</f>
        <v>3.7960000000000001E-2</v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16.607407407407408</v>
      </c>
      <c r="BN361" s="64">
        <f>IFERROR(Y361*I361/H361,"0")</f>
        <v>22.42</v>
      </c>
      <c r="BO361" s="64">
        <f>IFERROR(1/J361*(X361/H361),"0")</f>
        <v>2.3148148148148147E-2</v>
      </c>
      <c r="BP361" s="64">
        <f>IFERROR(1/J361*(Y361/H361),"0")</f>
        <v>3.125E-2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72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38" t="s">
        <v>71</v>
      </c>
      <c r="Q364" s="639"/>
      <c r="R364" s="639"/>
      <c r="S364" s="639"/>
      <c r="T364" s="639"/>
      <c r="U364" s="639"/>
      <c r="V364" s="640"/>
      <c r="W364" s="37" t="s">
        <v>72</v>
      </c>
      <c r="X364" s="631">
        <f>IFERROR(X359/H359,"0")+IFERROR(X360/H360,"0")+IFERROR(X361/H361,"0")+IFERROR(X362/H362,"0")+IFERROR(X363/H363,"0")</f>
        <v>1.4814814814814814</v>
      </c>
      <c r="Y364" s="631">
        <f>IFERROR(Y359/H359,"0")+IFERROR(Y360/H360,"0")+IFERROR(Y361/H361,"0")+IFERROR(Y362/H362,"0")+IFERROR(Y363/H363,"0")</f>
        <v>2</v>
      </c>
      <c r="Z364" s="631">
        <f>IFERROR(IF(Z359="",0,Z359),"0")+IFERROR(IF(Z360="",0,Z360),"0")+IFERROR(IF(Z361="",0,Z361),"0")+IFERROR(IF(Z362="",0,Z362),"0")+IFERROR(IF(Z363="",0,Z363),"0")</f>
        <v>3.7960000000000001E-2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38" t="s">
        <v>71</v>
      </c>
      <c r="Q365" s="639"/>
      <c r="R365" s="639"/>
      <c r="S365" s="639"/>
      <c r="T365" s="639"/>
      <c r="U365" s="639"/>
      <c r="V365" s="640"/>
      <c r="W365" s="37" t="s">
        <v>66</v>
      </c>
      <c r="X365" s="631">
        <f>IFERROR(SUM(X359:X363),"0")</f>
        <v>16</v>
      </c>
      <c r="Y365" s="631">
        <f>IFERROR(SUM(Y359:Y363),"0")</f>
        <v>21.6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7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68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7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6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87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6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38" t="s">
        <v>71</v>
      </c>
      <c r="Q374" s="639"/>
      <c r="R374" s="639"/>
      <c r="S374" s="639"/>
      <c r="T374" s="639"/>
      <c r="U374" s="639"/>
      <c r="V374" s="640"/>
      <c r="W374" s="37" t="s">
        <v>72</v>
      </c>
      <c r="X374" s="631">
        <f>IFERROR(X367/H367,"0")+IFERROR(X368/H368,"0")+IFERROR(X369/H369,"0")+IFERROR(X370/H370,"0")+IFERROR(X371/H371,"0")+IFERROR(X372/H372,"0")+IFERROR(X373/H373,"0")</f>
        <v>8.3333333333333339</v>
      </c>
      <c r="Y374" s="631">
        <f>IFERROR(Y367/H367,"0")+IFERROR(Y368/H368,"0")+IFERROR(Y369/H369,"0")+IFERROR(Y370/H370,"0")+IFERROR(Y371/H371,"0")+IFERROR(Y372/H372,"0")+IFERROR(Y373/H373,"0")</f>
        <v>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5.8590000000000003E-2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38" t="s">
        <v>71</v>
      </c>
      <c r="Q375" s="639"/>
      <c r="R375" s="639"/>
      <c r="S375" s="639"/>
      <c r="T375" s="639"/>
      <c r="U375" s="639"/>
      <c r="V375" s="640"/>
      <c r="W375" s="37" t="s">
        <v>66</v>
      </c>
      <c r="X375" s="631">
        <f>IFERROR(SUM(X367:X373),"0")</f>
        <v>15</v>
      </c>
      <c r="Y375" s="631">
        <f>IFERROR(SUM(Y367:Y373),"0")</f>
        <v>16.2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8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2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38" t="s">
        <v>71</v>
      </c>
      <c r="Q381" s="639"/>
      <c r="R381" s="639"/>
      <c r="S381" s="639"/>
      <c r="T381" s="639"/>
      <c r="U381" s="639"/>
      <c r="V381" s="640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38" t="s">
        <v>71</v>
      </c>
      <c r="Q382" s="639"/>
      <c r="R382" s="639"/>
      <c r="S382" s="639"/>
      <c r="T382" s="639"/>
      <c r="U382" s="639"/>
      <c r="V382" s="640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9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7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2610</v>
      </c>
      <c r="Y385" s="630">
        <f>IFERROR(IF(X385="",0,CEILING((X385/$H385),1)*$H385),"")</f>
        <v>2613</v>
      </c>
      <c r="Z385" s="36">
        <f>IFERROR(IF(Y385=0,"",ROUNDUP(Y385/H385,0)*0.01898),"")</f>
        <v>6.3582999999999998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2775.3</v>
      </c>
      <c r="BN385" s="64">
        <f>IFERROR(Y385*I385/H385,"0")</f>
        <v>2778.4900000000002</v>
      </c>
      <c r="BO385" s="64">
        <f>IFERROR(1/J385*(X385/H385),"0")</f>
        <v>5.228365384615385</v>
      </c>
      <c r="BP385" s="64">
        <f>IFERROR(1/J385*(Y385/H385),"0")</f>
        <v>5.234375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9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38" t="s">
        <v>71</v>
      </c>
      <c r="Q387" s="639"/>
      <c r="R387" s="639"/>
      <c r="S387" s="639"/>
      <c r="T387" s="639"/>
      <c r="U387" s="639"/>
      <c r="V387" s="640"/>
      <c r="W387" s="37" t="s">
        <v>72</v>
      </c>
      <c r="X387" s="631">
        <f>IFERROR(X384/H384,"0")+IFERROR(X385/H385,"0")+IFERROR(X386/H386,"0")</f>
        <v>334.61538461538464</v>
      </c>
      <c r="Y387" s="631">
        <f>IFERROR(Y384/H384,"0")+IFERROR(Y385/H385,"0")+IFERROR(Y386/H386,"0")</f>
        <v>335</v>
      </c>
      <c r="Z387" s="631">
        <f>IFERROR(IF(Z384="",0,Z384),"0")+IFERROR(IF(Z385="",0,Z385),"0")+IFERROR(IF(Z386="",0,Z386),"0")</f>
        <v>6.3582999999999998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38" t="s">
        <v>71</v>
      </c>
      <c r="Q388" s="639"/>
      <c r="R388" s="639"/>
      <c r="S388" s="639"/>
      <c r="T388" s="639"/>
      <c r="U388" s="639"/>
      <c r="V388" s="640"/>
      <c r="W388" s="37" t="s">
        <v>66</v>
      </c>
      <c r="X388" s="631">
        <f>IFERROR(SUM(X384:X386),"0")</f>
        <v>2610</v>
      </c>
      <c r="Y388" s="631">
        <f>IFERROR(SUM(Y384:Y386),"0")</f>
        <v>2613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97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9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15</v>
      </c>
      <c r="Y392" s="630">
        <f>IFERROR(IF(X392="",0,CEILING((X392/$H392),1)*$H392),"")</f>
        <v>15.299999999999999</v>
      </c>
      <c r="Z392" s="36">
        <f>IFERROR(IF(Y392=0,"",ROUNDUP(Y392/H392,0)*0.00651),"")</f>
        <v>3.9059999999999997E-2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17.382352941176475</v>
      </c>
      <c r="BN392" s="64">
        <f>IFERROR(Y392*I392/H392,"0")</f>
        <v>17.73</v>
      </c>
      <c r="BO392" s="64">
        <f>IFERROR(1/J392*(X392/H392),"0")</f>
        <v>3.2320620555914677E-2</v>
      </c>
      <c r="BP392" s="64">
        <f>IFERROR(1/J392*(Y392/H392),"0")</f>
        <v>3.2967032967032968E-2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9</v>
      </c>
      <c r="Y393" s="630">
        <f>IFERROR(IF(X393="",0,CEILING((X393/$H393),1)*$H393),"")</f>
        <v>10.199999999999999</v>
      </c>
      <c r="Z393" s="36">
        <f>IFERROR(IF(Y393=0,"",ROUNDUP(Y393/H393,0)*0.00651),"")</f>
        <v>2.6040000000000001E-2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10.164705882352941</v>
      </c>
      <c r="BN393" s="64">
        <f>IFERROR(Y393*I393/H393,"0")</f>
        <v>11.52</v>
      </c>
      <c r="BO393" s="64">
        <f>IFERROR(1/J393*(X393/H393),"0")</f>
        <v>1.9392372333548808E-2</v>
      </c>
      <c r="BP393" s="64">
        <f>IFERROR(1/J393*(Y393/H393),"0")</f>
        <v>2.197802197802198E-2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38" t="s">
        <v>71</v>
      </c>
      <c r="Q394" s="639"/>
      <c r="R394" s="639"/>
      <c r="S394" s="639"/>
      <c r="T394" s="639"/>
      <c r="U394" s="639"/>
      <c r="V394" s="640"/>
      <c r="W394" s="37" t="s">
        <v>72</v>
      </c>
      <c r="X394" s="631">
        <f>IFERROR(X390/H390,"0")+IFERROR(X391/H391,"0")+IFERROR(X392/H392,"0")+IFERROR(X393/H393,"0")</f>
        <v>9.4117647058823533</v>
      </c>
      <c r="Y394" s="631">
        <f>IFERROR(Y390/H390,"0")+IFERROR(Y391/H391,"0")+IFERROR(Y392/H392,"0")+IFERROR(Y393/H393,"0")</f>
        <v>10</v>
      </c>
      <c r="Z394" s="631">
        <f>IFERROR(IF(Z390="",0,Z390),"0")+IFERROR(IF(Z391="",0,Z391),"0")+IFERROR(IF(Z392="",0,Z392),"0")+IFERROR(IF(Z393="",0,Z393),"0")</f>
        <v>6.5099999999999991E-2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38" t="s">
        <v>71</v>
      </c>
      <c r="Q395" s="639"/>
      <c r="R395" s="639"/>
      <c r="S395" s="639"/>
      <c r="T395" s="639"/>
      <c r="U395" s="639"/>
      <c r="V395" s="640"/>
      <c r="W395" s="37" t="s">
        <v>66</v>
      </c>
      <c r="X395" s="631">
        <f>IFERROR(SUM(X390:X393),"0")</f>
        <v>24</v>
      </c>
      <c r="Y395" s="631">
        <f>IFERROR(SUM(Y390:Y393),"0")</f>
        <v>25.5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5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9</v>
      </c>
      <c r="Y397" s="630">
        <f>IFERROR(IF(X397="",0,CEILING((X397/$H397),1)*$H397),"")</f>
        <v>10</v>
      </c>
      <c r="Z397" s="36">
        <f>IFERROR(IF(Y397=0,"",ROUNDUP(Y397/H397,0)*0.00474),"")</f>
        <v>2.3700000000000002E-2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10.080000000000002</v>
      </c>
      <c r="BN397" s="64">
        <f>IFERROR(Y397*I397/H397,"0")</f>
        <v>11.200000000000001</v>
      </c>
      <c r="BO397" s="64">
        <f>IFERROR(1/J397*(X397/H397),"0")</f>
        <v>1.8907563025210083E-2</v>
      </c>
      <c r="BP397" s="64">
        <f>IFERROR(1/J397*(Y397/H397),"0")</f>
        <v>2.1008403361344536E-2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7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6</v>
      </c>
      <c r="Y398" s="630">
        <f>IFERROR(IF(X398="",0,CEILING((X398/$H398),1)*$H398),"")</f>
        <v>6</v>
      </c>
      <c r="Z398" s="36">
        <f>IFERROR(IF(Y398=0,"",ROUNDUP(Y398/H398,0)*0.00474),"")</f>
        <v>1.422E-2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6.7200000000000006</v>
      </c>
      <c r="BN398" s="64">
        <f>IFERROR(Y398*I398/H398,"0")</f>
        <v>6.7200000000000006</v>
      </c>
      <c r="BO398" s="64">
        <f>IFERROR(1/J398*(X398/H398),"0")</f>
        <v>1.2605042016806723E-2</v>
      </c>
      <c r="BP398" s="64">
        <f>IFERROR(1/J398*(Y398/H398),"0")</f>
        <v>1.2605042016806723E-2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7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13</v>
      </c>
      <c r="Y399" s="630">
        <f>IFERROR(IF(X399="",0,CEILING((X399/$H399),1)*$H399),"")</f>
        <v>14</v>
      </c>
      <c r="Z399" s="36">
        <f>IFERROR(IF(Y399=0,"",ROUNDUP(Y399/H399,0)*0.00474),"")</f>
        <v>3.3180000000000001E-2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14.560000000000002</v>
      </c>
      <c r="BN399" s="64">
        <f>IFERROR(Y399*I399/H399,"0")</f>
        <v>15.680000000000001</v>
      </c>
      <c r="BO399" s="64">
        <f>IFERROR(1/J399*(X399/H399),"0")</f>
        <v>2.7310924369747899E-2</v>
      </c>
      <c r="BP399" s="64">
        <f>IFERROR(1/J399*(Y399/H399),"0")</f>
        <v>2.9411764705882353E-2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38" t="s">
        <v>71</v>
      </c>
      <c r="Q400" s="639"/>
      <c r="R400" s="639"/>
      <c r="S400" s="639"/>
      <c r="T400" s="639"/>
      <c r="U400" s="639"/>
      <c r="V400" s="640"/>
      <c r="W400" s="37" t="s">
        <v>72</v>
      </c>
      <c r="X400" s="631">
        <f>IFERROR(X397/H397,"0")+IFERROR(X398/H398,"0")+IFERROR(X399/H399,"0")</f>
        <v>14</v>
      </c>
      <c r="Y400" s="631">
        <f>IFERROR(Y397/H397,"0")+IFERROR(Y398/H398,"0")+IFERROR(Y399/H399,"0")</f>
        <v>15</v>
      </c>
      <c r="Z400" s="631">
        <f>IFERROR(IF(Z397="",0,Z397),"0")+IFERROR(IF(Z398="",0,Z398),"0")+IFERROR(IF(Z399="",0,Z399),"0")</f>
        <v>7.1099999999999997E-2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38" t="s">
        <v>71</v>
      </c>
      <c r="Q401" s="639"/>
      <c r="R401" s="639"/>
      <c r="S401" s="639"/>
      <c r="T401" s="639"/>
      <c r="U401" s="639"/>
      <c r="V401" s="640"/>
      <c r="W401" s="37" t="s">
        <v>66</v>
      </c>
      <c r="X401" s="631">
        <f>IFERROR(SUM(X397:X399),"0")</f>
        <v>28</v>
      </c>
      <c r="Y401" s="631">
        <f>IFERROR(SUM(Y397:Y399),"0")</f>
        <v>30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5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5.3666666666666671</v>
      </c>
      <c r="BN403" s="64">
        <f>IFERROR(Y403*I403/H403,"0")</f>
        <v>6.44</v>
      </c>
      <c r="BO403" s="64">
        <f>IFERROR(1/J403*(X403/H403),"0")</f>
        <v>7.4404761904761901E-3</v>
      </c>
      <c r="BP403" s="64">
        <f>IFERROR(1/J403*(Y403/H403),"0")</f>
        <v>8.9285714285714281E-3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95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9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38" t="s">
        <v>71</v>
      </c>
      <c r="Q406" s="639"/>
      <c r="R406" s="639"/>
      <c r="S406" s="639"/>
      <c r="T406" s="639"/>
      <c r="U406" s="639"/>
      <c r="V406" s="640"/>
      <c r="W406" s="37" t="s">
        <v>72</v>
      </c>
      <c r="X406" s="631">
        <f>IFERROR(X403/H403,"0")+IFERROR(X404/H404,"0")+IFERROR(X405/H405,"0")</f>
        <v>1.6666666666666667</v>
      </c>
      <c r="Y406" s="631">
        <f>IFERROR(Y403/H403,"0")+IFERROR(Y404/H404,"0")+IFERROR(Y405/H405,"0")</f>
        <v>2</v>
      </c>
      <c r="Z406" s="631">
        <f>IFERROR(IF(Z403="",0,Z403),"0")+IFERROR(IF(Z404="",0,Z404),"0")+IFERROR(IF(Z405="",0,Z405),"0")</f>
        <v>8.9999999999999993E-3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38" t="s">
        <v>71</v>
      </c>
      <c r="Q407" s="639"/>
      <c r="R407" s="639"/>
      <c r="S407" s="639"/>
      <c r="T407" s="639"/>
      <c r="U407" s="639"/>
      <c r="V407" s="640"/>
      <c r="W407" s="37" t="s">
        <v>66</v>
      </c>
      <c r="X407" s="631">
        <f>IFERROR(SUM(X403:X405),"0")</f>
        <v>5</v>
      </c>
      <c r="Y407" s="631">
        <f>IFERROR(SUM(Y403:Y405),"0")</f>
        <v>6</v>
      </c>
      <c r="Z407" s="37"/>
      <c r="AA407" s="632"/>
      <c r="AB407" s="632"/>
      <c r="AC407" s="632"/>
    </row>
    <row r="408" spans="1:68" ht="16.5" hidden="1" customHeight="1" x14ac:dyDescent="0.25">
      <c r="A408" s="669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66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8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38" t="s">
        <v>71</v>
      </c>
      <c r="Q412" s="639"/>
      <c r="R412" s="639"/>
      <c r="S412" s="639"/>
      <c r="T412" s="639"/>
      <c r="U412" s="639"/>
      <c r="V412" s="640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38" t="s">
        <v>71</v>
      </c>
      <c r="Q413" s="639"/>
      <c r="R413" s="639"/>
      <c r="S413" s="639"/>
      <c r="T413" s="639"/>
      <c r="U413" s="639"/>
      <c r="V413" s="640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69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8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7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35</v>
      </c>
      <c r="Y417" s="630">
        <f>IFERROR(IF(X417="",0,CEILING((X417/$H417),1)*$H417),"")</f>
        <v>35.700000000000003</v>
      </c>
      <c r="Z417" s="36">
        <f>IFERROR(IF(Y417=0,"",ROUNDUP(Y417/H417,0)*0.00651),"")</f>
        <v>0.11067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39.199999999999996</v>
      </c>
      <c r="BN417" s="64">
        <f>IFERROR(Y417*I417/H417,"0")</f>
        <v>39.984000000000002</v>
      </c>
      <c r="BO417" s="64">
        <f>IFERROR(1/J417*(X417/H417),"0")</f>
        <v>9.1575091575091569E-2</v>
      </c>
      <c r="BP417" s="64">
        <f>IFERROR(1/J417*(Y417/H417),"0")</f>
        <v>9.3406593406593408E-2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18</v>
      </c>
      <c r="Y418" s="630">
        <f>IFERROR(IF(X418="",0,CEILING((X418/$H418),1)*$H418),"")</f>
        <v>18.900000000000002</v>
      </c>
      <c r="Z418" s="36">
        <f>IFERROR(IF(Y418=0,"",ROUNDUP(Y418/H418,0)*0.00651),"")</f>
        <v>5.8590000000000003E-2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20.057142857142853</v>
      </c>
      <c r="BN418" s="64">
        <f>IFERROR(Y418*I418/H418,"0")</f>
        <v>21.06</v>
      </c>
      <c r="BO418" s="64">
        <f>IFERROR(1/J418*(X418/H418),"0")</f>
        <v>4.709576138147567E-2</v>
      </c>
      <c r="BP418" s="64">
        <f>IFERROR(1/J418*(Y418/H418),"0")</f>
        <v>4.9450549450549455E-2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38" t="s">
        <v>71</v>
      </c>
      <c r="Q419" s="639"/>
      <c r="R419" s="639"/>
      <c r="S419" s="639"/>
      <c r="T419" s="639"/>
      <c r="U419" s="639"/>
      <c r="V419" s="640"/>
      <c r="W419" s="37" t="s">
        <v>72</v>
      </c>
      <c r="X419" s="631">
        <f>IFERROR(X416/H416,"0")+IFERROR(X417/H417,"0")+IFERROR(X418/H418,"0")</f>
        <v>25.238095238095234</v>
      </c>
      <c r="Y419" s="631">
        <f>IFERROR(Y416/H416,"0")+IFERROR(Y417/H417,"0")+IFERROR(Y418/H418,"0")</f>
        <v>26</v>
      </c>
      <c r="Z419" s="631">
        <f>IFERROR(IF(Z416="",0,Z416),"0")+IFERROR(IF(Z417="",0,Z417),"0")+IFERROR(IF(Z418="",0,Z418),"0")</f>
        <v>0.16926000000000002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38" t="s">
        <v>71</v>
      </c>
      <c r="Q420" s="639"/>
      <c r="R420" s="639"/>
      <c r="S420" s="639"/>
      <c r="T420" s="639"/>
      <c r="U420" s="639"/>
      <c r="V420" s="640"/>
      <c r="W420" s="37" t="s">
        <v>66</v>
      </c>
      <c r="X420" s="631">
        <f>IFERROR(SUM(X416:X418),"0")</f>
        <v>53</v>
      </c>
      <c r="Y420" s="631">
        <f>IFERROR(SUM(Y416:Y418),"0")</f>
        <v>54.600000000000009</v>
      </c>
      <c r="Z420" s="37"/>
      <c r="AA420" s="632"/>
      <c r="AB420" s="632"/>
      <c r="AC420" s="632"/>
    </row>
    <row r="421" spans="1:68" ht="27.75" hidden="1" customHeight="1" x14ac:dyDescent="0.2">
      <c r="A421" s="705" t="s">
        <v>681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48"/>
      <c r="AB421" s="48"/>
      <c r="AC421" s="48"/>
    </row>
    <row r="422" spans="1:68" ht="16.5" hidden="1" customHeight="1" x14ac:dyDescent="0.25">
      <c r="A422" s="669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5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9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630</v>
      </c>
      <c r="Y428" s="630">
        <f t="shared" si="59"/>
        <v>630</v>
      </c>
      <c r="Z428" s="36">
        <f>IFERROR(IF(Y428=0,"",ROUNDUP(Y428/H428,0)*0.02175),"")</f>
        <v>0.91349999999999998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649.74</v>
      </c>
      <c r="BN428" s="64">
        <f t="shared" si="61"/>
        <v>649.74</v>
      </c>
      <c r="BO428" s="64">
        <f t="shared" si="62"/>
        <v>0.875</v>
      </c>
      <c r="BP428" s="64">
        <f t="shared" si="63"/>
        <v>0.875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9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8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38" t="s">
        <v>71</v>
      </c>
      <c r="Q432" s="639"/>
      <c r="R432" s="639"/>
      <c r="S432" s="639"/>
      <c r="T432" s="639"/>
      <c r="U432" s="639"/>
      <c r="V432" s="640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42</v>
      </c>
      <c r="Y432" s="631">
        <f>IFERROR(Y424/H424,"0")+IFERROR(Y425/H425,"0")+IFERROR(Y426/H426,"0")+IFERROR(Y427/H427,"0")+IFERROR(Y428/H428,"0")+IFERROR(Y429/H429,"0")+IFERROR(Y430/H430,"0")+IFERROR(Y431/H431,"0")</f>
        <v>42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0.91349999999999998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38" t="s">
        <v>71</v>
      </c>
      <c r="Q433" s="639"/>
      <c r="R433" s="639"/>
      <c r="S433" s="639"/>
      <c r="T433" s="639"/>
      <c r="U433" s="639"/>
      <c r="V433" s="640"/>
      <c r="W433" s="37" t="s">
        <v>66</v>
      </c>
      <c r="X433" s="631">
        <f>IFERROR(SUM(X424:X431),"0")</f>
        <v>630</v>
      </c>
      <c r="Y433" s="631">
        <f>IFERROR(SUM(Y424:Y431),"0")</f>
        <v>630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hidden="1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70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9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38" t="s">
        <v>71</v>
      </c>
      <c r="Q438" s="639"/>
      <c r="R438" s="639"/>
      <c r="S438" s="639"/>
      <c r="T438" s="639"/>
      <c r="U438" s="639"/>
      <c r="V438" s="640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hidden="1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38" t="s">
        <v>71</v>
      </c>
      <c r="Q439" s="639"/>
      <c r="R439" s="639"/>
      <c r="S439" s="639"/>
      <c r="T439" s="639"/>
      <c r="U439" s="639"/>
      <c r="V439" s="640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8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38" t="s">
        <v>71</v>
      </c>
      <c r="Q444" s="639"/>
      <c r="R444" s="639"/>
      <c r="S444" s="639"/>
      <c r="T444" s="639"/>
      <c r="U444" s="639"/>
      <c r="V444" s="640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38" t="s">
        <v>71</v>
      </c>
      <c r="Q445" s="639"/>
      <c r="R445" s="639"/>
      <c r="S445" s="639"/>
      <c r="T445" s="639"/>
      <c r="U445" s="639"/>
      <c r="V445" s="640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6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38" t="s">
        <v>71</v>
      </c>
      <c r="Q449" s="639"/>
      <c r="R449" s="639"/>
      <c r="S449" s="639"/>
      <c r="T449" s="639"/>
      <c r="U449" s="639"/>
      <c r="V449" s="640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38" t="s">
        <v>71</v>
      </c>
      <c r="Q450" s="639"/>
      <c r="R450" s="639"/>
      <c r="S450" s="639"/>
      <c r="T450" s="639"/>
      <c r="U450" s="639"/>
      <c r="V450" s="640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69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38" t="s">
        <v>71</v>
      </c>
      <c r="Q455" s="639"/>
      <c r="R455" s="639"/>
      <c r="S455" s="639"/>
      <c r="T455" s="639"/>
      <c r="U455" s="639"/>
      <c r="V455" s="640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38" t="s">
        <v>71</v>
      </c>
      <c r="Q456" s="639"/>
      <c r="R456" s="639"/>
      <c r="S456" s="639"/>
      <c r="T456" s="639"/>
      <c r="U456" s="639"/>
      <c r="V456" s="640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9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38" t="s">
        <v>71</v>
      </c>
      <c r="Q459" s="639"/>
      <c r="R459" s="639"/>
      <c r="S459" s="639"/>
      <c r="T459" s="639"/>
      <c r="U459" s="639"/>
      <c r="V459" s="640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38" t="s">
        <v>71</v>
      </c>
      <c r="Q460" s="639"/>
      <c r="R460" s="639"/>
      <c r="S460" s="639"/>
      <c r="T460" s="639"/>
      <c r="U460" s="639"/>
      <c r="V460" s="640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7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2200</v>
      </c>
      <c r="Y462" s="630">
        <f>IFERROR(IF(X462="",0,CEILING((X462/$H462),1)*$H462),"")</f>
        <v>2205</v>
      </c>
      <c r="Z462" s="36">
        <f>IFERROR(IF(Y462=0,"",ROUNDUP(Y462/H462,0)*0.01898),"")</f>
        <v>4.6501000000000001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2320.7555555555555</v>
      </c>
      <c r="BN462" s="64">
        <f>IFERROR(Y462*I462/H462,"0")</f>
        <v>2326.0300000000002</v>
      </c>
      <c r="BO462" s="64">
        <f>IFERROR(1/J462*(X462/H462),"0")</f>
        <v>3.8194444444444446</v>
      </c>
      <c r="BP462" s="64">
        <f>IFERROR(1/J462*(Y462/H462),"0")</f>
        <v>3.828125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7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80</v>
      </c>
      <c r="Y463" s="630">
        <f>IFERROR(IF(X463="",0,CEILING((X463/$H463),1)*$H463),"")</f>
        <v>81.599999999999994</v>
      </c>
      <c r="Z463" s="36">
        <f>IFERROR(IF(Y463=0,"",ROUNDUP(Y463/H463,0)*0.00651),"")</f>
        <v>0.22134000000000001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88.800000000000011</v>
      </c>
      <c r="BN463" s="64">
        <f>IFERROR(Y463*I463/H463,"0")</f>
        <v>90.575999999999993</v>
      </c>
      <c r="BO463" s="64">
        <f>IFERROR(1/J463*(X463/H463),"0")</f>
        <v>0.18315018315018317</v>
      </c>
      <c r="BP463" s="64">
        <f>IFERROR(1/J463*(Y463/H463),"0")</f>
        <v>0.18681318681318682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38" t="s">
        <v>71</v>
      </c>
      <c r="Q465" s="639"/>
      <c r="R465" s="639"/>
      <c r="S465" s="639"/>
      <c r="T465" s="639"/>
      <c r="U465" s="639"/>
      <c r="V465" s="640"/>
      <c r="W465" s="37" t="s">
        <v>72</v>
      </c>
      <c r="X465" s="631">
        <f>IFERROR(X462/H462,"0")+IFERROR(X463/H463,"0")+IFERROR(X464/H464,"0")</f>
        <v>277.77777777777777</v>
      </c>
      <c r="Y465" s="631">
        <f>IFERROR(Y462/H462,"0")+IFERROR(Y463/H463,"0")+IFERROR(Y464/H464,"0")</f>
        <v>279</v>
      </c>
      <c r="Z465" s="631">
        <f>IFERROR(IF(Z462="",0,Z462),"0")+IFERROR(IF(Z463="",0,Z463),"0")+IFERROR(IF(Z464="",0,Z464),"0")</f>
        <v>4.8714399999999998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38" t="s">
        <v>71</v>
      </c>
      <c r="Q466" s="639"/>
      <c r="R466" s="639"/>
      <c r="S466" s="639"/>
      <c r="T466" s="639"/>
      <c r="U466" s="639"/>
      <c r="V466" s="640"/>
      <c r="W466" s="37" t="s">
        <v>66</v>
      </c>
      <c r="X466" s="631">
        <f>IFERROR(SUM(X462:X464),"0")</f>
        <v>2280</v>
      </c>
      <c r="Y466" s="631">
        <f>IFERROR(SUM(Y462:Y464),"0")</f>
        <v>2286.6</v>
      </c>
      <c r="Z466" s="37"/>
      <c r="AA466" s="632"/>
      <c r="AB466" s="632"/>
      <c r="AC466" s="632"/>
    </row>
    <row r="467" spans="1:68" ht="27.75" hidden="1" customHeight="1" x14ac:dyDescent="0.2">
      <c r="A467" s="705" t="s">
        <v>747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48"/>
      <c r="AB467" s="48"/>
      <c r="AC467" s="48"/>
    </row>
    <row r="468" spans="1:68" ht="16.5" hidden="1" customHeight="1" x14ac:dyDescent="0.25">
      <c r="A468" s="669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73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7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9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5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38" t="s">
        <v>71</v>
      </c>
      <c r="Q476" s="639"/>
      <c r="R476" s="639"/>
      <c r="S476" s="639"/>
      <c r="T476" s="639"/>
      <c r="U476" s="639"/>
      <c r="V476" s="640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38" t="s">
        <v>71</v>
      </c>
      <c r="Q477" s="639"/>
      <c r="R477" s="639"/>
      <c r="S477" s="639"/>
      <c r="T477" s="639"/>
      <c r="U477" s="639"/>
      <c r="V477" s="640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9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8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38" t="s">
        <v>71</v>
      </c>
      <c r="Q481" s="639"/>
      <c r="R481" s="639"/>
      <c r="S481" s="639"/>
      <c r="T481" s="639"/>
      <c r="U481" s="639"/>
      <c r="V481" s="640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38" t="s">
        <v>71</v>
      </c>
      <c r="Q482" s="639"/>
      <c r="R482" s="639"/>
      <c r="S482" s="639"/>
      <c r="T482" s="639"/>
      <c r="U482" s="639"/>
      <c r="V482" s="640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69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7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38" t="s">
        <v>71</v>
      </c>
      <c r="Q486" s="639"/>
      <c r="R486" s="639"/>
      <c r="S486" s="639"/>
      <c r="T486" s="639"/>
      <c r="U486" s="639"/>
      <c r="V486" s="640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38" t="s">
        <v>71</v>
      </c>
      <c r="Q487" s="639"/>
      <c r="R487" s="639"/>
      <c r="S487" s="639"/>
      <c r="T487" s="639"/>
      <c r="U487" s="639"/>
      <c r="V487" s="640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7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38" t="s">
        <v>71</v>
      </c>
      <c r="Q492" s="639"/>
      <c r="R492" s="639"/>
      <c r="S492" s="639"/>
      <c r="T492" s="639"/>
      <c r="U492" s="639"/>
      <c r="V492" s="640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38" t="s">
        <v>71</v>
      </c>
      <c r="Q493" s="639"/>
      <c r="R493" s="639"/>
      <c r="S493" s="639"/>
      <c r="T493" s="639"/>
      <c r="U493" s="639"/>
      <c r="V493" s="640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705" t="s">
        <v>783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48"/>
      <c r="AB494" s="48"/>
      <c r="AC494" s="48"/>
    </row>
    <row r="495" spans="1:68" ht="16.5" hidden="1" customHeight="1" x14ac:dyDescent="0.25">
      <c r="A495" s="669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150</v>
      </c>
      <c r="Y497" s="630">
        <f t="shared" ref="Y497:Y505" si="69">IFERROR(IF(X497="",0,CEILING((X497/$H497),1)*$H497),"")</f>
        <v>153.12</v>
      </c>
      <c r="Z497" s="36">
        <f t="shared" ref="Z497:Z502" si="70">IFERROR(IF(Y497=0,"",ROUNDUP(Y497/H497,0)*0.01196),"")</f>
        <v>0.34683999999999998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159.94318181818181</v>
      </c>
      <c r="BN497" s="64">
        <f t="shared" ref="BN497:BN505" si="72">IFERROR(Y497*I497/H497,"0")</f>
        <v>163.26999999999998</v>
      </c>
      <c r="BO497" s="64">
        <f t="shared" ref="BO497:BO505" si="73">IFERROR(1/J497*(X497/H497),"0")</f>
        <v>0.27316433566433568</v>
      </c>
      <c r="BP497" s="64">
        <f t="shared" ref="BP497:BP505" si="74">IFERROR(1/J497*(Y497/H497),"0")</f>
        <v>0.27884615384615385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9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9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1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280</v>
      </c>
      <c r="Y504" s="630">
        <f t="shared" si="69"/>
        <v>283.2</v>
      </c>
      <c r="Z504" s="36">
        <f>IFERROR(IF(Y504=0,"",ROUNDUP(Y504/H504,0)*0.00902),"")</f>
        <v>0.53217999999999999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403.08333333333331</v>
      </c>
      <c r="BN504" s="64">
        <f t="shared" si="72"/>
        <v>407.69</v>
      </c>
      <c r="BO504" s="64">
        <f t="shared" si="73"/>
        <v>0.44191919191919193</v>
      </c>
      <c r="BP504" s="64">
        <f t="shared" si="74"/>
        <v>0.44696969696969696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283</v>
      </c>
      <c r="Y505" s="630">
        <f t="shared" si="69"/>
        <v>283.2</v>
      </c>
      <c r="Z505" s="36">
        <f>IFERROR(IF(Y505=0,"",ROUNDUP(Y505/H505,0)*0.00902),"")</f>
        <v>0.53217999999999999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407.40208333333334</v>
      </c>
      <c r="BN505" s="64">
        <f t="shared" si="72"/>
        <v>407.69</v>
      </c>
      <c r="BO505" s="64">
        <f t="shared" si="73"/>
        <v>0.44665404040404044</v>
      </c>
      <c r="BP505" s="64">
        <f t="shared" si="74"/>
        <v>0.44696969696969696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38" t="s">
        <v>71</v>
      </c>
      <c r="Q506" s="639"/>
      <c r="R506" s="639"/>
      <c r="S506" s="639"/>
      <c r="T506" s="639"/>
      <c r="U506" s="639"/>
      <c r="V506" s="640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145.70075757575759</v>
      </c>
      <c r="Y506" s="631">
        <f>IFERROR(Y497/H497,"0")+IFERROR(Y498/H498,"0")+IFERROR(Y499/H499,"0")+IFERROR(Y500/H500,"0")+IFERROR(Y501/H501,"0")+IFERROR(Y502/H502,"0")+IFERROR(Y503/H503,"0")+IFERROR(Y504/H504,"0")+IFERROR(Y505/H505,"0")</f>
        <v>147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1.4112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38" t="s">
        <v>71</v>
      </c>
      <c r="Q507" s="639"/>
      <c r="R507" s="639"/>
      <c r="S507" s="639"/>
      <c r="T507" s="639"/>
      <c r="U507" s="639"/>
      <c r="V507" s="640"/>
      <c r="W507" s="37" t="s">
        <v>66</v>
      </c>
      <c r="X507" s="631">
        <f>IFERROR(SUM(X497:X505),"0")</f>
        <v>713</v>
      </c>
      <c r="Y507" s="631">
        <f>IFERROR(SUM(Y497:Y505),"0")</f>
        <v>719.52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7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1403</v>
      </c>
      <c r="Y509" s="630">
        <f>IFERROR(IF(X509="",0,CEILING((X509/$H509),1)*$H509),"")</f>
        <v>1404.48</v>
      </c>
      <c r="Z509" s="36">
        <f>IFERROR(IF(Y509=0,"",ROUNDUP(Y509/H509,0)*0.01196),"")</f>
        <v>3.1813600000000002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1496.0018939393938</v>
      </c>
      <c r="BN509" s="64">
        <f>IFERROR(Y509*I509/H509,"0")</f>
        <v>1497.58</v>
      </c>
      <c r="BO509" s="64">
        <f>IFERROR(1/J509*(X509/H509),"0")</f>
        <v>2.5549970862470861</v>
      </c>
      <c r="BP509" s="64">
        <f>IFERROR(1/J509*(Y509/H509),"0")</f>
        <v>2.5576923076923079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6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2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98</v>
      </c>
      <c r="Y511" s="630">
        <f>IFERROR(IF(X511="",0,CEILING((X511/$H511),1)*$H511),"")</f>
        <v>100.8</v>
      </c>
      <c r="Z511" s="36">
        <f>IFERROR(IF(Y511=0,"",ROUNDUP(Y511/H511,0)*0.00902),"")</f>
        <v>0.18942000000000001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141.07916666666668</v>
      </c>
      <c r="BN511" s="64">
        <f>IFERROR(Y511*I511/H511,"0")</f>
        <v>145.11000000000001</v>
      </c>
      <c r="BO511" s="64">
        <f>IFERROR(1/J511*(X511/H511),"0")</f>
        <v>0.15467171717171718</v>
      </c>
      <c r="BP511" s="64">
        <f>IFERROR(1/J511*(Y511/H511),"0")</f>
        <v>0.15909090909090909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38" t="s">
        <v>71</v>
      </c>
      <c r="Q512" s="639"/>
      <c r="R512" s="639"/>
      <c r="S512" s="639"/>
      <c r="T512" s="639"/>
      <c r="U512" s="639"/>
      <c r="V512" s="640"/>
      <c r="W512" s="37" t="s">
        <v>72</v>
      </c>
      <c r="X512" s="631">
        <f>IFERROR(X509/H509,"0")+IFERROR(X510/H510,"0")+IFERROR(X511/H511,"0")</f>
        <v>286.13636363636363</v>
      </c>
      <c r="Y512" s="631">
        <f>IFERROR(Y509/H509,"0")+IFERROR(Y510/H510,"0")+IFERROR(Y511/H511,"0")</f>
        <v>287</v>
      </c>
      <c r="Z512" s="631">
        <f>IFERROR(IF(Z509="",0,Z509),"0")+IFERROR(IF(Z510="",0,Z510),"0")+IFERROR(IF(Z511="",0,Z511),"0")</f>
        <v>3.3707800000000003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38" t="s">
        <v>71</v>
      </c>
      <c r="Q513" s="639"/>
      <c r="R513" s="639"/>
      <c r="S513" s="639"/>
      <c r="T513" s="639"/>
      <c r="U513" s="639"/>
      <c r="V513" s="640"/>
      <c r="W513" s="37" t="s">
        <v>66</v>
      </c>
      <c r="X513" s="631">
        <f>IFERROR(SUM(X509:X511),"0")</f>
        <v>1501</v>
      </c>
      <c r="Y513" s="631">
        <f>IFERROR(SUM(Y509:Y511),"0")</f>
        <v>1505.28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7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589</v>
      </c>
      <c r="Y516" s="630">
        <f t="shared" si="75"/>
        <v>591.36</v>
      </c>
      <c r="Z516" s="36">
        <f>IFERROR(IF(Y516=0,"",ROUNDUP(Y516/H516,0)*0.01196),"")</f>
        <v>1.33952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628.04356060606062</v>
      </c>
      <c r="BN516" s="64">
        <f t="shared" si="77"/>
        <v>630.55999999999995</v>
      </c>
      <c r="BO516" s="64">
        <f t="shared" si="78"/>
        <v>1.0726252913752914</v>
      </c>
      <c r="BP516" s="64">
        <f t="shared" si="79"/>
        <v>1.0769230769230771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1146</v>
      </c>
      <c r="Y517" s="630">
        <f t="shared" si="75"/>
        <v>1151.04</v>
      </c>
      <c r="Z517" s="36">
        <f>IFERROR(IF(Y517=0,"",ROUNDUP(Y517/H517,0)*0.01196),"")</f>
        <v>2.6072799999999998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1221.965909090909</v>
      </c>
      <c r="BN517" s="64">
        <f t="shared" si="77"/>
        <v>1227.3399999999999</v>
      </c>
      <c r="BO517" s="64">
        <f t="shared" si="78"/>
        <v>2.0869755244755246</v>
      </c>
      <c r="BP517" s="64">
        <f t="shared" si="79"/>
        <v>2.0961538461538458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9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9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38" t="s">
        <v>71</v>
      </c>
      <c r="Q522" s="639"/>
      <c r="R522" s="639"/>
      <c r="S522" s="639"/>
      <c r="T522" s="639"/>
      <c r="U522" s="639"/>
      <c r="V522" s="640"/>
      <c r="W522" s="37" t="s">
        <v>72</v>
      </c>
      <c r="X522" s="631">
        <f>IFERROR(X515/H515,"0")+IFERROR(X516/H516,"0")+IFERROR(X517/H517,"0")+IFERROR(X518/H518,"0")+IFERROR(X519/H519,"0")+IFERROR(X520/H520,"0")+IFERROR(X521/H521,"0")</f>
        <v>328.59848484848482</v>
      </c>
      <c r="Y522" s="631">
        <f>IFERROR(Y515/H515,"0")+IFERROR(Y516/H516,"0")+IFERROR(Y517/H517,"0")+IFERROR(Y518/H518,"0")+IFERROR(Y519/H519,"0")+IFERROR(Y520/H520,"0")+IFERROR(Y521/H521,"0")</f>
        <v>330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3.9467999999999996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38" t="s">
        <v>71</v>
      </c>
      <c r="Q523" s="639"/>
      <c r="R523" s="639"/>
      <c r="S523" s="639"/>
      <c r="T523" s="639"/>
      <c r="U523" s="639"/>
      <c r="V523" s="640"/>
      <c r="W523" s="37" t="s">
        <v>66</v>
      </c>
      <c r="X523" s="631">
        <f>IFERROR(SUM(X515:X521),"0")</f>
        <v>1735</v>
      </c>
      <c r="Y523" s="631">
        <f>IFERROR(SUM(Y515:Y521),"0")</f>
        <v>1742.4</v>
      </c>
      <c r="Z523" s="37"/>
      <c r="AA523" s="632"/>
      <c r="AB523" s="632"/>
      <c r="AC523" s="632"/>
    </row>
    <row r="524" spans="1:68" ht="27.75" hidden="1" customHeight="1" x14ac:dyDescent="0.2">
      <c r="A524" s="705" t="s">
        <v>830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48"/>
      <c r="AB524" s="48"/>
      <c r="AC524" s="48"/>
    </row>
    <row r="525" spans="1:68" ht="16.5" hidden="1" customHeight="1" x14ac:dyDescent="0.25">
      <c r="A525" s="669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38" t="s">
        <v>71</v>
      </c>
      <c r="Q528" s="639"/>
      <c r="R528" s="639"/>
      <c r="S528" s="639"/>
      <c r="T528" s="639"/>
      <c r="U528" s="639"/>
      <c r="V528" s="640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38" t="s">
        <v>71</v>
      </c>
      <c r="Q529" s="639"/>
      <c r="R529" s="639"/>
      <c r="S529" s="639"/>
      <c r="T529" s="639"/>
      <c r="U529" s="639"/>
      <c r="V529" s="640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9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38" t="s">
        <v>71</v>
      </c>
      <c r="Q532" s="639"/>
      <c r="R532" s="639"/>
      <c r="S532" s="639"/>
      <c r="T532" s="639"/>
      <c r="U532" s="639"/>
      <c r="V532" s="640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38" t="s">
        <v>71</v>
      </c>
      <c r="Q533" s="639"/>
      <c r="R533" s="639"/>
      <c r="S533" s="639"/>
      <c r="T533" s="639"/>
      <c r="U533" s="639"/>
      <c r="V533" s="640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78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38" t="s">
        <v>71</v>
      </c>
      <c r="Q536" s="639"/>
      <c r="R536" s="639"/>
      <c r="S536" s="639"/>
      <c r="T536" s="639"/>
      <c r="U536" s="639"/>
      <c r="V536" s="640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38" t="s">
        <v>71</v>
      </c>
      <c r="Q537" s="639"/>
      <c r="R537" s="639"/>
      <c r="S537" s="639"/>
      <c r="T537" s="639"/>
      <c r="U537" s="639"/>
      <c r="V537" s="640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98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38" t="s">
        <v>71</v>
      </c>
      <c r="Q540" s="639"/>
      <c r="R540" s="639"/>
      <c r="S540" s="639"/>
      <c r="T540" s="639"/>
      <c r="U540" s="639"/>
      <c r="V540" s="640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38" t="s">
        <v>71</v>
      </c>
      <c r="Q541" s="639"/>
      <c r="R541" s="639"/>
      <c r="S541" s="639"/>
      <c r="T541" s="639"/>
      <c r="U541" s="639"/>
      <c r="V541" s="640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90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38" t="s">
        <v>71</v>
      </c>
      <c r="Q545" s="639"/>
      <c r="R545" s="639"/>
      <c r="S545" s="639"/>
      <c r="T545" s="639"/>
      <c r="U545" s="639"/>
      <c r="V545" s="640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38" t="s">
        <v>71</v>
      </c>
      <c r="Q546" s="639"/>
      <c r="R546" s="639"/>
      <c r="S546" s="639"/>
      <c r="T546" s="639"/>
      <c r="U546" s="639"/>
      <c r="V546" s="640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69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9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38" t="s">
        <v>71</v>
      </c>
      <c r="Q550" s="639"/>
      <c r="R550" s="639"/>
      <c r="S550" s="639"/>
      <c r="T550" s="639"/>
      <c r="U550" s="639"/>
      <c r="V550" s="640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38" t="s">
        <v>71</v>
      </c>
      <c r="Q551" s="639"/>
      <c r="R551" s="639"/>
      <c r="S551" s="639"/>
      <c r="T551" s="639"/>
      <c r="U551" s="639"/>
      <c r="V551" s="640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876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841"/>
      <c r="P552" s="723" t="s">
        <v>853</v>
      </c>
      <c r="Q552" s="724"/>
      <c r="R552" s="724"/>
      <c r="S552" s="724"/>
      <c r="T552" s="724"/>
      <c r="U552" s="724"/>
      <c r="V552" s="64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16997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17121.98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841"/>
      <c r="P553" s="723" t="s">
        <v>854</v>
      </c>
      <c r="Q553" s="724"/>
      <c r="R553" s="724"/>
      <c r="S553" s="724"/>
      <c r="T553" s="724"/>
      <c r="U553" s="724"/>
      <c r="V553" s="648"/>
      <c r="W553" s="37" t="s">
        <v>66</v>
      </c>
      <c r="X553" s="631">
        <f>IFERROR(SUM(BM22:BM549),"0")</f>
        <v>18432.470456547362</v>
      </c>
      <c r="Y553" s="631">
        <f>IFERROR(SUM(BN22:BN549),"0")</f>
        <v>18568.653000000006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841"/>
      <c r="P554" s="723" t="s">
        <v>855</v>
      </c>
      <c r="Q554" s="724"/>
      <c r="R554" s="724"/>
      <c r="S554" s="724"/>
      <c r="T554" s="724"/>
      <c r="U554" s="724"/>
      <c r="V554" s="648"/>
      <c r="W554" s="37" t="s">
        <v>856</v>
      </c>
      <c r="X554" s="38">
        <f>ROUNDUP(SUM(BO22:BO549),0)</f>
        <v>34</v>
      </c>
      <c r="Y554" s="38">
        <f>ROUNDUP(SUM(BP22:BP549),0)</f>
        <v>34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841"/>
      <c r="P555" s="723" t="s">
        <v>857</v>
      </c>
      <c r="Q555" s="724"/>
      <c r="R555" s="724"/>
      <c r="S555" s="724"/>
      <c r="T555" s="724"/>
      <c r="U555" s="724"/>
      <c r="V555" s="648"/>
      <c r="W555" s="37" t="s">
        <v>66</v>
      </c>
      <c r="X555" s="631">
        <f>GrossWeightTotal+PalletQtyTotal*25</f>
        <v>19282.470456547362</v>
      </c>
      <c r="Y555" s="631">
        <f>GrossWeightTotalR+PalletQtyTotalR*25</f>
        <v>19418.653000000006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841"/>
      <c r="P556" s="723" t="s">
        <v>858</v>
      </c>
      <c r="Q556" s="724"/>
      <c r="R556" s="724"/>
      <c r="S556" s="724"/>
      <c r="T556" s="724"/>
      <c r="U556" s="724"/>
      <c r="V556" s="64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4019.8690926926224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4052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841"/>
      <c r="P557" s="723" t="s">
        <v>859</v>
      </c>
      <c r="Q557" s="724"/>
      <c r="R557" s="724"/>
      <c r="S557" s="724"/>
      <c r="T557" s="724"/>
      <c r="U557" s="724"/>
      <c r="V557" s="64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40.548290000000009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64" t="s">
        <v>110</v>
      </c>
      <c r="E559" s="777"/>
      <c r="F559" s="777"/>
      <c r="G559" s="777"/>
      <c r="H559" s="777"/>
      <c r="I559" s="777"/>
      <c r="J559" s="743"/>
      <c r="K559" s="664" t="s">
        <v>338</v>
      </c>
      <c r="L559" s="777"/>
      <c r="M559" s="777"/>
      <c r="N559" s="777"/>
      <c r="O559" s="777"/>
      <c r="P559" s="777"/>
      <c r="Q559" s="777"/>
      <c r="R559" s="777"/>
      <c r="S559" s="777"/>
      <c r="T559" s="777"/>
      <c r="U559" s="777"/>
      <c r="V559" s="743"/>
      <c r="W559" s="664" t="s">
        <v>681</v>
      </c>
      <c r="X559" s="743"/>
      <c r="Y559" s="664" t="s">
        <v>747</v>
      </c>
      <c r="Z559" s="743"/>
      <c r="AA559" s="626" t="s">
        <v>783</v>
      </c>
      <c r="AB559" s="664" t="s">
        <v>830</v>
      </c>
      <c r="AC559" s="743"/>
      <c r="AF559" s="627"/>
    </row>
    <row r="560" spans="1:68" ht="14.25" customHeight="1" thickTop="1" x14ac:dyDescent="0.2">
      <c r="A560" s="933" t="s">
        <v>862</v>
      </c>
      <c r="B560" s="664" t="s">
        <v>60</v>
      </c>
      <c r="C560" s="664" t="s">
        <v>92</v>
      </c>
      <c r="D560" s="664" t="s">
        <v>111</v>
      </c>
      <c r="E560" s="664" t="s">
        <v>127</v>
      </c>
      <c r="F560" s="664" t="s">
        <v>169</v>
      </c>
      <c r="G560" s="664" t="s">
        <v>190</v>
      </c>
      <c r="H560" s="664" t="s">
        <v>230</v>
      </c>
      <c r="I560" s="664" t="s">
        <v>254</v>
      </c>
      <c r="J560" s="664" t="s">
        <v>110</v>
      </c>
      <c r="K560" s="664" t="s">
        <v>339</v>
      </c>
      <c r="L560" s="664" t="s">
        <v>360</v>
      </c>
      <c r="M560" s="664" t="s">
        <v>427</v>
      </c>
      <c r="N560" s="627"/>
      <c r="O560" s="664" t="s">
        <v>495</v>
      </c>
      <c r="P560" s="664" t="s">
        <v>528</v>
      </c>
      <c r="Q560" s="664" t="s">
        <v>544</v>
      </c>
      <c r="R560" s="664" t="s">
        <v>553</v>
      </c>
      <c r="S560" s="664" t="s">
        <v>574</v>
      </c>
      <c r="T560" s="664" t="s">
        <v>583</v>
      </c>
      <c r="U560" s="664" t="s">
        <v>664</v>
      </c>
      <c r="V560" s="664" t="s">
        <v>671</v>
      </c>
      <c r="W560" s="664" t="s">
        <v>682</v>
      </c>
      <c r="X560" s="664" t="s">
        <v>731</v>
      </c>
      <c r="Y560" s="664" t="s">
        <v>748</v>
      </c>
      <c r="Z560" s="664" t="s">
        <v>771</v>
      </c>
      <c r="AA560" s="664" t="s">
        <v>783</v>
      </c>
      <c r="AB560" s="664" t="s">
        <v>830</v>
      </c>
      <c r="AC560" s="664" t="s">
        <v>849</v>
      </c>
      <c r="AF560" s="627"/>
    </row>
    <row r="561" spans="1:32" ht="13.5" customHeight="1" thickBot="1" x14ac:dyDescent="0.25">
      <c r="A561" s="93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27"/>
      <c r="O561" s="665"/>
      <c r="P561" s="665"/>
      <c r="Q561" s="665"/>
      <c r="R561" s="665"/>
      <c r="S561" s="665"/>
      <c r="T561" s="665"/>
      <c r="U561" s="665"/>
      <c r="V561" s="665"/>
      <c r="W561" s="665"/>
      <c r="X561" s="665"/>
      <c r="Y561" s="665"/>
      <c r="Z561" s="665"/>
      <c r="AA561" s="665"/>
      <c r="AB561" s="665"/>
      <c r="AC561" s="66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3.6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33.300000000000004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364.40000000000003</v>
      </c>
      <c r="F562" s="46">
        <f>IFERROR(Y83*1,"0")+IFERROR(Y84*1,"0")+IFERROR(Y85*1,"0")+IFERROR(Y86*1,"0")+IFERROR(Y90*1,"0")+IFERROR(Y91*1,"0")+IFERROR(Y92*1,"0")+IFERROR(Y93*1,"0")</f>
        <v>941.5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2454.52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684.42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551.44000000000005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2351.1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5.4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81.599999999999994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2712.3</v>
      </c>
      <c r="U562" s="46">
        <f>IFERROR(Y410*1,"0")+IFERROR(Y411*1,"0")</f>
        <v>0</v>
      </c>
      <c r="V562" s="46">
        <f>IFERROR(Y416*1,"0")+IFERROR(Y417*1,"0")+IFERROR(Y418*1,"0")</f>
        <v>54.600000000000009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630</v>
      </c>
      <c r="X562" s="46">
        <f>IFERROR(Y453*1,"0")+IFERROR(Y454*1,"0")+IFERROR(Y458*1,"0")+IFERROR(Y462*1,"0")+IFERROR(Y463*1,"0")+IFERROR(Y464*1,"0")</f>
        <v>2286.6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3967.2000000000003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6,00"/>
        <filter val="1 200,00"/>
        <filter val="1 403,00"/>
        <filter val="1 501,00"/>
        <filter val="1 680,00"/>
        <filter val="1 735,00"/>
        <filter val="1 918,00"/>
        <filter val="1,48"/>
        <filter val="1,67"/>
        <filter val="10,00"/>
        <filter val="11,00"/>
        <filter val="12,00"/>
        <filter val="127,00"/>
        <filter val="13,00"/>
        <filter val="14,00"/>
        <filter val="145,70"/>
        <filter val="15,00"/>
        <filter val="15,32"/>
        <filter val="150,00"/>
        <filter val="151,00"/>
        <filter val="159,00"/>
        <filter val="16 997,00"/>
        <filter val="16,00"/>
        <filter val="166,00"/>
        <filter val="166,05"/>
        <filter val="18 432,47"/>
        <filter val="18,00"/>
        <filter val="180,00"/>
        <filter val="19 282,47"/>
        <filter val="2 200,00"/>
        <filter val="2 280,00"/>
        <filter val="2 610,00"/>
        <filter val="2,00"/>
        <filter val="2,22"/>
        <filter val="20,00"/>
        <filter val="200,00"/>
        <filter val="217,00"/>
        <filter val="22,22"/>
        <filter val="23,23"/>
        <filter val="24,00"/>
        <filter val="25,24"/>
        <filter val="268,00"/>
        <filter val="277,78"/>
        <filter val="278,10"/>
        <filter val="28,00"/>
        <filter val="280,00"/>
        <filter val="283,00"/>
        <filter val="286,14"/>
        <filter val="3,00"/>
        <filter val="30,56"/>
        <filter val="308,00"/>
        <filter val="315,00"/>
        <filter val="316,00"/>
        <filter val="32,00"/>
        <filter val="322,00"/>
        <filter val="328,60"/>
        <filter val="33,33"/>
        <filter val="334,62"/>
        <filter val="34"/>
        <filter val="35,00"/>
        <filter val="36,00"/>
        <filter val="375,60"/>
        <filter val="4 019,87"/>
        <filter val="4,00"/>
        <filter val="4,17"/>
        <filter val="40,00"/>
        <filter val="400,00"/>
        <filter val="403,00"/>
        <filter val="41,00"/>
        <filter val="410,37"/>
        <filter val="42,00"/>
        <filter val="43,00"/>
        <filter val="449,00"/>
        <filter val="45,00"/>
        <filter val="46,00"/>
        <filter val="47,00"/>
        <filter val="5,00"/>
        <filter val="5,56"/>
        <filter val="50,00"/>
        <filter val="51,00"/>
        <filter val="53,00"/>
        <filter val="54,76"/>
        <filter val="55,00"/>
        <filter val="589,00"/>
        <filter val="6,00"/>
        <filter val="60,00"/>
        <filter val="630,00"/>
        <filter val="64,00"/>
        <filter val="661,00"/>
        <filter val="69,00"/>
        <filter val="70,00"/>
        <filter val="702,00"/>
        <filter val="71,00"/>
        <filter val="713,00"/>
        <filter val="715,00"/>
        <filter val="766,91"/>
        <filter val="8,00"/>
        <filter val="8,33"/>
        <filter val="8,65"/>
        <filter val="8,85"/>
        <filter val="80,00"/>
        <filter val="81,16"/>
        <filter val="822,00"/>
        <filter val="858,00"/>
        <filter val="86,00"/>
        <filter val="9,00"/>
        <filter val="9,41"/>
        <filter val="90,00"/>
        <filter val="91,30"/>
        <filter val="98,00"/>
      </filters>
    </filterColumn>
    <filterColumn colId="29" showButton="0"/>
    <filterColumn colId="30" showButton="0"/>
  </autoFilter>
  <mergeCells count="989"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P88:V88"/>
    <mergeCell ref="A79:O80"/>
    <mergeCell ref="P391:T391"/>
    <mergeCell ref="P220:T220"/>
    <mergeCell ref="D505:E505"/>
    <mergeCell ref="P518:T518"/>
    <mergeCell ref="D499:E499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P545:V545"/>
    <mergeCell ref="D238:E238"/>
    <mergeCell ref="D426:E426"/>
    <mergeCell ref="A216:O217"/>
    <mergeCell ref="A343:O344"/>
    <mergeCell ref="P384:T384"/>
    <mergeCell ref="D134:E134"/>
    <mergeCell ref="D205:E205"/>
    <mergeCell ref="P520:T520"/>
    <mergeCell ref="D363:E363"/>
    <mergeCell ref="A434:Z434"/>
    <mergeCell ref="P532:V532"/>
    <mergeCell ref="P459:V459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86:T86"/>
    <mergeCell ref="A87:O88"/>
    <mergeCell ref="P339:T339"/>
    <mergeCell ref="P230:T230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325:E325"/>
    <mergeCell ref="P208:T208"/>
    <mergeCell ref="A138:O139"/>
    <mergeCell ref="P544:T544"/>
    <mergeCell ref="P199:V199"/>
    <mergeCell ref="A492:O493"/>
    <mergeCell ref="D380:E380"/>
    <mergeCell ref="D209:E209"/>
    <mergeCell ref="A89:Z89"/>
    <mergeCell ref="P464:T464"/>
    <mergeCell ref="D245:E245"/>
    <mergeCell ref="D516:E516"/>
    <mergeCell ref="D301:E301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527:E527"/>
    <mergeCell ref="P335:V335"/>
    <mergeCell ref="A452:Z452"/>
    <mergeCell ref="D141:E141"/>
    <mergeCell ref="D135:E135"/>
    <mergeCell ref="P189:T189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26:Z26"/>
    <mergeCell ref="A45:Z45"/>
    <mergeCell ref="I17:I18"/>
    <mergeCell ref="D377:E377"/>
    <mergeCell ref="P114:V114"/>
    <mergeCell ref="P287:T287"/>
    <mergeCell ref="D27:E27"/>
    <mergeCell ref="A46:Z46"/>
    <mergeCell ref="P116:T116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P245:T245"/>
    <mergeCell ref="P516:T516"/>
    <mergeCell ref="D188:E188"/>
    <mergeCell ref="P543:T543"/>
    <mergeCell ref="D424:E424"/>
    <mergeCell ref="P224:T224"/>
    <mergeCell ref="P293:V293"/>
    <mergeCell ref="P397:T397"/>
    <mergeCell ref="A538:Z538"/>
    <mergeCell ref="P200:V200"/>
    <mergeCell ref="P372:T372"/>
    <mergeCell ref="D182:E182"/>
    <mergeCell ref="D480:E480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D41:E41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A273:O274"/>
    <mergeCell ref="A514:Z514"/>
    <mergeCell ref="P143:T143"/>
    <mergeCell ref="P441:T441"/>
    <mergeCell ref="D362:E362"/>
    <mergeCell ref="P328:V328"/>
    <mergeCell ref="A486:O487"/>
    <mergeCell ref="P318:V318"/>
    <mergeCell ref="D277:E277"/>
    <mergeCell ref="D68:E68"/>
    <mergeCell ref="D280:E280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D283:E283"/>
    <mergeCell ref="D112:E112"/>
    <mergeCell ref="P37:T37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P261:T261"/>
    <mergeCell ref="A146:Z146"/>
    <mergeCell ref="P148:T148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D428:E428"/>
    <mergeCell ref="P334:V334"/>
    <mergeCell ref="A455:O456"/>
    <mergeCell ref="P394:V394"/>
    <mergeCell ref="D194:E194"/>
    <mergeCell ref="P94:V94"/>
    <mergeCell ref="D367:E367"/>
    <mergeCell ref="A461:Z461"/>
    <mergeCell ref="D384:E384"/>
    <mergeCell ref="A457:Z457"/>
    <mergeCell ref="A387:O388"/>
    <mergeCell ref="P341:T341"/>
    <mergeCell ref="A191:O192"/>
    <mergeCell ref="P260:T260"/>
    <mergeCell ref="D399:E399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D373:E373"/>
    <mergeCell ref="D58:E58"/>
    <mergeCell ref="D500:E500"/>
    <mergeCell ref="P112:T112"/>
    <mergeCell ref="P273:V273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492:V492"/>
    <mergeCell ref="M17:M18"/>
    <mergeCell ref="A409:Z409"/>
    <mergeCell ref="A469:Z469"/>
    <mergeCell ref="O17:O1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A465:O466"/>
    <mergeCell ref="P323:T323"/>
    <mergeCell ref="A113:O114"/>
    <mergeCell ref="A414:Z414"/>
    <mergeCell ref="D231:E231"/>
    <mergeCell ref="P70:V70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A389:Z389"/>
    <mergeCell ref="P32:V32"/>
    <mergeCell ref="P401:V401"/>
    <mergeCell ref="A318:O319"/>
    <mergeCell ref="P176:T176"/>
    <mergeCell ref="D84:E84"/>
    <mergeCell ref="P41:T41"/>
    <mergeCell ref="A157:Z157"/>
    <mergeCell ref="A62:O63"/>
    <mergeCell ref="D149:E149"/>
    <mergeCell ref="P38:T38"/>
    <mergeCell ref="P40:T40"/>
    <mergeCell ref="A54:Z54"/>
    <mergeCell ref="P44:V44"/>
    <mergeCell ref="P59:T59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Q13:R13"/>
    <mergeCell ref="D22:E22"/>
    <mergeCell ref="P22:T22"/>
    <mergeCell ref="P51:T51"/>
    <mergeCell ref="D59:E59"/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A9:C9"/>
    <mergeCell ref="V6:W9"/>
    <mergeCell ref="D178:E178"/>
    <mergeCell ref="A218:Z218"/>
    <mergeCell ref="H17:H18"/>
    <mergeCell ref="J9:M9"/>
    <mergeCell ref="D51:E51"/>
    <mergeCell ref="A13:M13"/>
    <mergeCell ref="Q10:R10"/>
    <mergeCell ref="P25:V25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