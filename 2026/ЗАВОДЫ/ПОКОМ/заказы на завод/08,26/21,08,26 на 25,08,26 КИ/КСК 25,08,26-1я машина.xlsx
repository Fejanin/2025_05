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FD24E49-ED2D-47AB-A033-04E91439CA1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Z517" i="2" s="1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P512" i="2"/>
  <c r="BO511" i="2"/>
  <c r="BN511" i="2"/>
  <c r="BM511" i="2"/>
  <c r="Z511" i="2"/>
  <c r="Y511" i="2"/>
  <c r="BP511" i="2" s="1"/>
  <c r="P511" i="2"/>
  <c r="BO510" i="2"/>
  <c r="BM510" i="2"/>
  <c r="Y510" i="2"/>
  <c r="P510" i="2"/>
  <c r="X508" i="2"/>
  <c r="X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Z504" i="2"/>
  <c r="Y504" i="2"/>
  <c r="BP504" i="2" s="1"/>
  <c r="P504" i="2"/>
  <c r="BO503" i="2"/>
  <c r="BM503" i="2"/>
  <c r="Y503" i="2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P498" i="2" s="1"/>
  <c r="P498" i="2"/>
  <c r="X494" i="2"/>
  <c r="X493" i="2"/>
  <c r="BO492" i="2"/>
  <c r="BM492" i="2"/>
  <c r="Y492" i="2"/>
  <c r="P492" i="2"/>
  <c r="BO491" i="2"/>
  <c r="BM491" i="2"/>
  <c r="Y491" i="2"/>
  <c r="BN491" i="2" s="1"/>
  <c r="P491" i="2"/>
  <c r="BO490" i="2"/>
  <c r="BM490" i="2"/>
  <c r="Y490" i="2"/>
  <c r="Z490" i="2" s="1"/>
  <c r="P490" i="2"/>
  <c r="X488" i="2"/>
  <c r="X487" i="2"/>
  <c r="BO486" i="2"/>
  <c r="BM486" i="2"/>
  <c r="Y486" i="2"/>
  <c r="BN486" i="2" s="1"/>
  <c r="P486" i="2"/>
  <c r="X483" i="2"/>
  <c r="X482" i="2"/>
  <c r="BO481" i="2"/>
  <c r="BM481" i="2"/>
  <c r="Y481" i="2"/>
  <c r="P481" i="2"/>
  <c r="BO480" i="2"/>
  <c r="BM480" i="2"/>
  <c r="Y480" i="2"/>
  <c r="Z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BP473" i="2" s="1"/>
  <c r="P473" i="2"/>
  <c r="BO472" i="2"/>
  <c r="BM472" i="2"/>
  <c r="Y472" i="2"/>
  <c r="P472" i="2"/>
  <c r="BP471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N454" i="2" s="1"/>
  <c r="P454" i="2"/>
  <c r="X451" i="2"/>
  <c r="X450" i="2"/>
  <c r="BO449" i="2"/>
  <c r="BM449" i="2"/>
  <c r="Y449" i="2"/>
  <c r="BN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Z417" i="2" s="1"/>
  <c r="P417" i="2"/>
  <c r="X414" i="2"/>
  <c r="X413" i="2"/>
  <c r="BO412" i="2"/>
  <c r="BM412" i="2"/>
  <c r="Y412" i="2"/>
  <c r="P412" i="2"/>
  <c r="BO411" i="2"/>
  <c r="BM411" i="2"/>
  <c r="Y411" i="2"/>
  <c r="BN411" i="2" s="1"/>
  <c r="P411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BN378" i="2" s="1"/>
  <c r="P378" i="2"/>
  <c r="X376" i="2"/>
  <c r="X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P371" i="2"/>
  <c r="BO371" i="2"/>
  <c r="BM371" i="2"/>
  <c r="Y371" i="2"/>
  <c r="BN371" i="2" s="1"/>
  <c r="P371" i="2"/>
  <c r="BO370" i="2"/>
  <c r="BM370" i="2"/>
  <c r="Y370" i="2"/>
  <c r="BP370" i="2" s="1"/>
  <c r="P370" i="2"/>
  <c r="BO369" i="2"/>
  <c r="BM369" i="2"/>
  <c r="Z369" i="2"/>
  <c r="Y369" i="2"/>
  <c r="BN369" i="2" s="1"/>
  <c r="P369" i="2"/>
  <c r="BO368" i="2"/>
  <c r="BM368" i="2"/>
  <c r="Y368" i="2"/>
  <c r="BN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BN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P333" i="2"/>
  <c r="BO333" i="2"/>
  <c r="BM333" i="2"/>
  <c r="Y333" i="2"/>
  <c r="BN333" i="2" s="1"/>
  <c r="P333" i="2"/>
  <c r="BO332" i="2"/>
  <c r="BM332" i="2"/>
  <c r="Y332" i="2"/>
  <c r="BP332" i="2" s="1"/>
  <c r="P332" i="2"/>
  <c r="BO331" i="2"/>
  <c r="BM331" i="2"/>
  <c r="Y331" i="2"/>
  <c r="P331" i="2"/>
  <c r="X328" i="2"/>
  <c r="X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N323" i="2"/>
  <c r="BM323" i="2"/>
  <c r="Z323" i="2"/>
  <c r="Y323" i="2"/>
  <c r="BP323" i="2" s="1"/>
  <c r="P323" i="2"/>
  <c r="BO322" i="2"/>
  <c r="BM322" i="2"/>
  <c r="Y322" i="2"/>
  <c r="BN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Z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N255" i="2" s="1"/>
  <c r="P255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N246" i="2" s="1"/>
  <c r="P246" i="2"/>
  <c r="BO245" i="2"/>
  <c r="BM245" i="2"/>
  <c r="Y245" i="2"/>
  <c r="Z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P228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Y216" i="2" s="1"/>
  <c r="P215" i="2"/>
  <c r="X212" i="2"/>
  <c r="X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Z205" i="2"/>
  <c r="Y205" i="2"/>
  <c r="BN205" i="2" s="1"/>
  <c r="P205" i="2"/>
  <c r="BO204" i="2"/>
  <c r="BM204" i="2"/>
  <c r="Y204" i="2"/>
  <c r="BN204" i="2" s="1"/>
  <c r="P204" i="2"/>
  <c r="X200" i="2"/>
  <c r="X199" i="2"/>
  <c r="BO198" i="2"/>
  <c r="BM198" i="2"/>
  <c r="Y198" i="2"/>
  <c r="Z198" i="2" s="1"/>
  <c r="Z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Z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Z170" i="2" s="1"/>
  <c r="P170" i="2"/>
  <c r="BO169" i="2"/>
  <c r="BM169" i="2"/>
  <c r="Y169" i="2"/>
  <c r="P169" i="2"/>
  <c r="X167" i="2"/>
  <c r="X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P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Z150" i="2" s="1"/>
  <c r="P150" i="2"/>
  <c r="BO149" i="2"/>
  <c r="BM149" i="2"/>
  <c r="Y149" i="2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BO141" i="2"/>
  <c r="BM141" i="2"/>
  <c r="Y141" i="2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BP130" i="2" s="1"/>
  <c r="P130" i="2"/>
  <c r="BO129" i="2"/>
  <c r="BM129" i="2"/>
  <c r="Y129" i="2"/>
  <c r="BN129" i="2" s="1"/>
  <c r="P129" i="2"/>
  <c r="BO128" i="2"/>
  <c r="BM128" i="2"/>
  <c r="Y128" i="2"/>
  <c r="P128" i="2"/>
  <c r="X125" i="2"/>
  <c r="X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P118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N90" i="2" s="1"/>
  <c r="P90" i="2"/>
  <c r="X88" i="2"/>
  <c r="X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BN84" i="2" s="1"/>
  <c r="P84" i="2"/>
  <c r="BO83" i="2"/>
  <c r="BM83" i="2"/>
  <c r="Z83" i="2"/>
  <c r="Y83" i="2"/>
  <c r="BN83" i="2" s="1"/>
  <c r="P83" i="2"/>
  <c r="X80" i="2"/>
  <c r="X79" i="2"/>
  <c r="BO78" i="2"/>
  <c r="BM78" i="2"/>
  <c r="Y78" i="2"/>
  <c r="BN78" i="2" s="1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X53" i="2"/>
  <c r="X52" i="2"/>
  <c r="BO51" i="2"/>
  <c r="BM51" i="2"/>
  <c r="Y51" i="2"/>
  <c r="BN51" i="2" s="1"/>
  <c r="P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N48" i="2" s="1"/>
  <c r="P48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P31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N60" i="2" l="1"/>
  <c r="BN104" i="2"/>
  <c r="BN206" i="2"/>
  <c r="BN269" i="2"/>
  <c r="BN284" i="2"/>
  <c r="BN301" i="2"/>
  <c r="BN316" i="2"/>
  <c r="BP360" i="2"/>
  <c r="BN363" i="2"/>
  <c r="BN380" i="2"/>
  <c r="BN444" i="2"/>
  <c r="BN473" i="2"/>
  <c r="BN490" i="2"/>
  <c r="BN506" i="2"/>
  <c r="BP85" i="2"/>
  <c r="BN93" i="2"/>
  <c r="BN209" i="2"/>
  <c r="Z220" i="2"/>
  <c r="BP232" i="2"/>
  <c r="BN245" i="2"/>
  <c r="Z256" i="2"/>
  <c r="BN279" i="2"/>
  <c r="BN311" i="2"/>
  <c r="Z360" i="2"/>
  <c r="BP369" i="2"/>
  <c r="BN436" i="2"/>
  <c r="BN476" i="2"/>
  <c r="Z41" i="2"/>
  <c r="BN501" i="2"/>
  <c r="Z135" i="2"/>
  <c r="BN286" i="2"/>
  <c r="Y70" i="2"/>
  <c r="BP83" i="2"/>
  <c r="Z230" i="2"/>
  <c r="BN518" i="2"/>
  <c r="Z506" i="2"/>
  <c r="BN504" i="2"/>
  <c r="Z501" i="2"/>
  <c r="BN498" i="2"/>
  <c r="Z498" i="2"/>
  <c r="BP491" i="2"/>
  <c r="Z476" i="2"/>
  <c r="Z473" i="2"/>
  <c r="Y461" i="2"/>
  <c r="BP449" i="2"/>
  <c r="Z444" i="2"/>
  <c r="Z436" i="2"/>
  <c r="Z432" i="2"/>
  <c r="BN428" i="2"/>
  <c r="BP411" i="2"/>
  <c r="Z400" i="2"/>
  <c r="BP400" i="2"/>
  <c r="Z398" i="2"/>
  <c r="Y401" i="2"/>
  <c r="BN398" i="2"/>
  <c r="Y402" i="2"/>
  <c r="Z393" i="2"/>
  <c r="Z380" i="2"/>
  <c r="BP378" i="2"/>
  <c r="Z363" i="2"/>
  <c r="BN352" i="2"/>
  <c r="Y356" i="2"/>
  <c r="Z352" i="2"/>
  <c r="Z339" i="2"/>
  <c r="BN338" i="2"/>
  <c r="BP325" i="2"/>
  <c r="BN324" i="2"/>
  <c r="BN317" i="2"/>
  <c r="Y319" i="2"/>
  <c r="Y312" i="2"/>
  <c r="Z301" i="2"/>
  <c r="Z297" i="2"/>
  <c r="BN283" i="2"/>
  <c r="BN280" i="2"/>
  <c r="Z279" i="2"/>
  <c r="Z267" i="2"/>
  <c r="BP246" i="2"/>
  <c r="Z246" i="2"/>
  <c r="BN236" i="2"/>
  <c r="BN230" i="2"/>
  <c r="Z227" i="2"/>
  <c r="BP227" i="2"/>
  <c r="BP226" i="2"/>
  <c r="Z226" i="2"/>
  <c r="Z223" i="2"/>
  <c r="Z209" i="2"/>
  <c r="BP207" i="2"/>
  <c r="BP206" i="2"/>
  <c r="BP205" i="2"/>
  <c r="BP204" i="2"/>
  <c r="BN198" i="2"/>
  <c r="BN181" i="2"/>
  <c r="Z179" i="2"/>
  <c r="Z175" i="2"/>
  <c r="BN170" i="2"/>
  <c r="Z165" i="2"/>
  <c r="BN154" i="2"/>
  <c r="Z152" i="2"/>
  <c r="Y156" i="2"/>
  <c r="Y145" i="2"/>
  <c r="BN143" i="2"/>
  <c r="Z141" i="2"/>
  <c r="BP137" i="2"/>
  <c r="Z137" i="2"/>
  <c r="H563" i="2"/>
  <c r="BP129" i="2"/>
  <c r="Y124" i="2"/>
  <c r="BN110" i="2"/>
  <c r="Z104" i="2"/>
  <c r="G563" i="2"/>
  <c r="Z93" i="2"/>
  <c r="BP78" i="2"/>
  <c r="Z68" i="2"/>
  <c r="Z67" i="2"/>
  <c r="Z60" i="2"/>
  <c r="Z50" i="2"/>
  <c r="BP50" i="2"/>
  <c r="BN41" i="2"/>
  <c r="X555" i="2"/>
  <c r="Z38" i="2"/>
  <c r="BP38" i="2"/>
  <c r="BN30" i="2"/>
  <c r="Z136" i="2"/>
  <c r="BN136" i="2"/>
  <c r="Y289" i="2"/>
  <c r="Z277" i="2"/>
  <c r="Y334" i="2"/>
  <c r="Z331" i="2"/>
  <c r="BP438" i="2"/>
  <c r="BN438" i="2"/>
  <c r="Z22" i="2"/>
  <c r="X557" i="2"/>
  <c r="Z29" i="2"/>
  <c r="BN42" i="2"/>
  <c r="Z49" i="2"/>
  <c r="BP49" i="2"/>
  <c r="BP51" i="2"/>
  <c r="E563" i="2"/>
  <c r="Z58" i="2"/>
  <c r="Y63" i="2"/>
  <c r="BP59" i="2"/>
  <c r="BN61" i="2"/>
  <c r="Y62" i="2"/>
  <c r="BP67" i="2"/>
  <c r="F563" i="2"/>
  <c r="Z84" i="2"/>
  <c r="BP84" i="2"/>
  <c r="Z91" i="2"/>
  <c r="BP92" i="2"/>
  <c r="Z102" i="2"/>
  <c r="BP103" i="2"/>
  <c r="Y114" i="2"/>
  <c r="Z112" i="2"/>
  <c r="BN123" i="2"/>
  <c r="Z128" i="2"/>
  <c r="BP128" i="2"/>
  <c r="BP141" i="2"/>
  <c r="BP189" i="2"/>
  <c r="Z189" i="2"/>
  <c r="Z191" i="2" s="1"/>
  <c r="Z210" i="2"/>
  <c r="BN210" i="2"/>
  <c r="Y248" i="2"/>
  <c r="Z244" i="2"/>
  <c r="BN261" i="2"/>
  <c r="BP261" i="2"/>
  <c r="BN300" i="2"/>
  <c r="BP300" i="2"/>
  <c r="Z300" i="2"/>
  <c r="BN379" i="2"/>
  <c r="BP379" i="2"/>
  <c r="Z379" i="2"/>
  <c r="BP392" i="2"/>
  <c r="BN392" i="2"/>
  <c r="Z406" i="2"/>
  <c r="BN406" i="2"/>
  <c r="BN499" i="2"/>
  <c r="BP499" i="2"/>
  <c r="Y507" i="2"/>
  <c r="Y529" i="2"/>
  <c r="BP528" i="2"/>
  <c r="BN412" i="2"/>
  <c r="BP412" i="2"/>
  <c r="Z412" i="2"/>
  <c r="BP492" i="2"/>
  <c r="BN492" i="2"/>
  <c r="Z492" i="2"/>
  <c r="X554" i="2"/>
  <c r="X553" i="2"/>
  <c r="C563" i="2"/>
  <c r="D563" i="2"/>
  <c r="BP48" i="2"/>
  <c r="BP57" i="2"/>
  <c r="BN66" i="2"/>
  <c r="BN77" i="2"/>
  <c r="BP90" i="2"/>
  <c r="BP101" i="2"/>
  <c r="BP111" i="2"/>
  <c r="Y125" i="2"/>
  <c r="BN134" i="2"/>
  <c r="BP134" i="2"/>
  <c r="BN149" i="2"/>
  <c r="BP149" i="2"/>
  <c r="Z149" i="2"/>
  <c r="BN182" i="2"/>
  <c r="BP182" i="2"/>
  <c r="Z182" i="2"/>
  <c r="BN250" i="2"/>
  <c r="Y251" i="2"/>
  <c r="Z250" i="2"/>
  <c r="Z251" i="2" s="1"/>
  <c r="BN270" i="2"/>
  <c r="BP270" i="2"/>
  <c r="Z270" i="2"/>
  <c r="BN285" i="2"/>
  <c r="BP285" i="2"/>
  <c r="BN307" i="2"/>
  <c r="Y308" i="2"/>
  <c r="Z307" i="2"/>
  <c r="Z308" i="2" s="1"/>
  <c r="BN361" i="2"/>
  <c r="BP361" i="2"/>
  <c r="Z374" i="2"/>
  <c r="BN374" i="2"/>
  <c r="BP431" i="2"/>
  <c r="BN431" i="2"/>
  <c r="BN443" i="2"/>
  <c r="BP443" i="2"/>
  <c r="BN472" i="2"/>
  <c r="BP472" i="2"/>
  <c r="Z472" i="2"/>
  <c r="BN481" i="2"/>
  <c r="BP481" i="2"/>
  <c r="BN22" i="2"/>
  <c r="BN29" i="2"/>
  <c r="Z37" i="2"/>
  <c r="BP37" i="2"/>
  <c r="BP39" i="2"/>
  <c r="BN56" i="2"/>
  <c r="Z57" i="2"/>
  <c r="BN59" i="2"/>
  <c r="Z61" i="2"/>
  <c r="Y80" i="2"/>
  <c r="Z90" i="2"/>
  <c r="BN92" i="2"/>
  <c r="BP98" i="2"/>
  <c r="BN100" i="2"/>
  <c r="Z101" i="2"/>
  <c r="BN103" i="2"/>
  <c r="BP108" i="2"/>
  <c r="Z111" i="2"/>
  <c r="Z123" i="2"/>
  <c r="Z124" i="2" s="1"/>
  <c r="BN128" i="2"/>
  <c r="Z134" i="2"/>
  <c r="BP136" i="2"/>
  <c r="Y171" i="2"/>
  <c r="Z169" i="2"/>
  <c r="Z171" i="2" s="1"/>
  <c r="BN178" i="2"/>
  <c r="Z178" i="2"/>
  <c r="BP224" i="2"/>
  <c r="Z224" i="2"/>
  <c r="Z231" i="2"/>
  <c r="BN231" i="2"/>
  <c r="BN237" i="2"/>
  <c r="BP237" i="2"/>
  <c r="Z237" i="2"/>
  <c r="BP240" i="2"/>
  <c r="BN240" i="2"/>
  <c r="Z240" i="2"/>
  <c r="BN266" i="2"/>
  <c r="Z266" i="2"/>
  <c r="BP331" i="2"/>
  <c r="BP387" i="2"/>
  <c r="Z387" i="2"/>
  <c r="Z465" i="2"/>
  <c r="BN465" i="2"/>
  <c r="BN503" i="2"/>
  <c r="BP503" i="2"/>
  <c r="BP521" i="2"/>
  <c r="BN521" i="2"/>
  <c r="Z521" i="2"/>
  <c r="BP170" i="2"/>
  <c r="Y186" i="2"/>
  <c r="BP175" i="2"/>
  <c r="BN177" i="2"/>
  <c r="BN180" i="2"/>
  <c r="BP190" i="2"/>
  <c r="BN215" i="2"/>
  <c r="BP225" i="2"/>
  <c r="BP245" i="2"/>
  <c r="BP255" i="2"/>
  <c r="Y257" i="2"/>
  <c r="Y263" i="2"/>
  <c r="BN268" i="2"/>
  <c r="BP278" i="2"/>
  <c r="Y304" i="2"/>
  <c r="BP322" i="2"/>
  <c r="BN346" i="2"/>
  <c r="BP354" i="2"/>
  <c r="BN364" i="2"/>
  <c r="BP368" i="2"/>
  <c r="BN370" i="2"/>
  <c r="BN373" i="2"/>
  <c r="BP381" i="2"/>
  <c r="Y389" i="2"/>
  <c r="Y388" i="2"/>
  <c r="BP393" i="2"/>
  <c r="BN405" i="2"/>
  <c r="Y421" i="2"/>
  <c r="BP417" i="2"/>
  <c r="BN419" i="2"/>
  <c r="BN426" i="2"/>
  <c r="BP432" i="2"/>
  <c r="BN442" i="2"/>
  <c r="BN448" i="2"/>
  <c r="X563" i="2"/>
  <c r="BN459" i="2"/>
  <c r="Y460" i="2"/>
  <c r="BN464" i="2"/>
  <c r="BP474" i="2"/>
  <c r="AA563" i="2"/>
  <c r="BN502" i="2"/>
  <c r="Y514" i="2"/>
  <c r="BN512" i="2"/>
  <c r="BP516" i="2"/>
  <c r="BN517" i="2"/>
  <c r="BP518" i="2"/>
  <c r="BN519" i="2"/>
  <c r="J563" i="2"/>
  <c r="BN165" i="2"/>
  <c r="Y167" i="2"/>
  <c r="Z181" i="2"/>
  <c r="BP183" i="2"/>
  <c r="Y191" i="2"/>
  <c r="BP188" i="2"/>
  <c r="BP223" i="2"/>
  <c r="Z236" i="2"/>
  <c r="BN256" i="2"/>
  <c r="Z260" i="2"/>
  <c r="Z262" i="2" s="1"/>
  <c r="BP260" i="2"/>
  <c r="Z269" i="2"/>
  <c r="BP271" i="2"/>
  <c r="BP276" i="2"/>
  <c r="Z283" i="2"/>
  <c r="Z286" i="2"/>
  <c r="Z298" i="2"/>
  <c r="Y305" i="2"/>
  <c r="BP299" i="2"/>
  <c r="Z311" i="2"/>
  <c r="Z312" i="2" s="1"/>
  <c r="BP311" i="2"/>
  <c r="Z316" i="2"/>
  <c r="BP342" i="2"/>
  <c r="T563" i="2"/>
  <c r="BP386" i="2"/>
  <c r="Y408" i="2"/>
  <c r="W563" i="2"/>
  <c r="BP429" i="2"/>
  <c r="Y450" i="2"/>
  <c r="BP455" i="2"/>
  <c r="Y467" i="2"/>
  <c r="Y493" i="2"/>
  <c r="BP152" i="2"/>
  <c r="BP180" i="2"/>
  <c r="BN190" i="2"/>
  <c r="BP215" i="2"/>
  <c r="Y233" i="2"/>
  <c r="BP220" i="2"/>
  <c r="BN222" i="2"/>
  <c r="BN225" i="2"/>
  <c r="Y234" i="2"/>
  <c r="Y241" i="2"/>
  <c r="Y258" i="2"/>
  <c r="Y274" i="2"/>
  <c r="BP268" i="2"/>
  <c r="Z276" i="2"/>
  <c r="BN278" i="2"/>
  <c r="Z280" i="2"/>
  <c r="BP297" i="2"/>
  <c r="Z324" i="2"/>
  <c r="Z332" i="2"/>
  <c r="BP339" i="2"/>
  <c r="BN341" i="2"/>
  <c r="Z342" i="2"/>
  <c r="Z346" i="2"/>
  <c r="BN353" i="2"/>
  <c r="Z359" i="2"/>
  <c r="BP359" i="2"/>
  <c r="Z370" i="2"/>
  <c r="Z373" i="2"/>
  <c r="Z386" i="2"/>
  <c r="Z405" i="2"/>
  <c r="Z426" i="2"/>
  <c r="Z429" i="2"/>
  <c r="Y445" i="2"/>
  <c r="Z448" i="2"/>
  <c r="Z455" i="2"/>
  <c r="Z459" i="2"/>
  <c r="Z460" i="2" s="1"/>
  <c r="Z464" i="2"/>
  <c r="Y477" i="2"/>
  <c r="Y482" i="2"/>
  <c r="Z563" i="2"/>
  <c r="BP517" i="2"/>
  <c r="Z138" i="2"/>
  <c r="Z348" i="2"/>
  <c r="Z247" i="2"/>
  <c r="BN116" i="2"/>
  <c r="BP281" i="2"/>
  <c r="BP291" i="2"/>
  <c r="BP302" i="2"/>
  <c r="BN347" i="2"/>
  <c r="BN391" i="2"/>
  <c r="BN427" i="2"/>
  <c r="BN437" i="2"/>
  <c r="Y508" i="2"/>
  <c r="BP519" i="2"/>
  <c r="Y546" i="2"/>
  <c r="K563" i="2"/>
  <c r="BP27" i="2"/>
  <c r="BN72" i="2"/>
  <c r="BN150" i="2"/>
  <c r="Z176" i="2"/>
  <c r="Z221" i="2"/>
  <c r="Y242" i="2"/>
  <c r="Z340" i="2"/>
  <c r="Z394" i="2"/>
  <c r="Z418" i="2"/>
  <c r="Z430" i="2"/>
  <c r="Y478" i="2"/>
  <c r="BN522" i="2"/>
  <c r="BN536" i="2"/>
  <c r="L563" i="2"/>
  <c r="Z153" i="2"/>
  <c r="Z148" i="2"/>
  <c r="BP150" i="2"/>
  <c r="Z158" i="2"/>
  <c r="Z159" i="2" s="1"/>
  <c r="Y172" i="2"/>
  <c r="Y192" i="2"/>
  <c r="Y217" i="2"/>
  <c r="Y262" i="2"/>
  <c r="Z287" i="2"/>
  <c r="Y335" i="2"/>
  <c r="BP347" i="2"/>
  <c r="Y382" i="2"/>
  <c r="BP391" i="2"/>
  <c r="Z399" i="2"/>
  <c r="Z401" i="2" s="1"/>
  <c r="Z425" i="2"/>
  <c r="BP427" i="2"/>
  <c r="BP437" i="2"/>
  <c r="Y483" i="2"/>
  <c r="Z505" i="2"/>
  <c r="Y530" i="2"/>
  <c r="Y542" i="2"/>
  <c r="M563" i="2"/>
  <c r="Z28" i="2"/>
  <c r="BP30" i="2"/>
  <c r="Z40" i="2"/>
  <c r="BP42" i="2"/>
  <c r="BN65" i="2"/>
  <c r="BP77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P210" i="2"/>
  <c r="BN221" i="2"/>
  <c r="Z229" i="2"/>
  <c r="BP231" i="2"/>
  <c r="Z239" i="2"/>
  <c r="Y252" i="2"/>
  <c r="Z272" i="2"/>
  <c r="Z282" i="2"/>
  <c r="BP284" i="2"/>
  <c r="Z292" i="2"/>
  <c r="Z303" i="2"/>
  <c r="Z315" i="2"/>
  <c r="BP317" i="2"/>
  <c r="Z326" i="2"/>
  <c r="BN340" i="2"/>
  <c r="Y343" i="2"/>
  <c r="BP353" i="2"/>
  <c r="Z362" i="2"/>
  <c r="BP364" i="2"/>
  <c r="Z372" i="2"/>
  <c r="BP374" i="2"/>
  <c r="BN394" i="2"/>
  <c r="Z404" i="2"/>
  <c r="BP406" i="2"/>
  <c r="BN418" i="2"/>
  <c r="BN430" i="2"/>
  <c r="Y433" i="2"/>
  <c r="BP442" i="2"/>
  <c r="Y456" i="2"/>
  <c r="Z463" i="2"/>
  <c r="BP465" i="2"/>
  <c r="Z475" i="2"/>
  <c r="BP490" i="2"/>
  <c r="Z500" i="2"/>
  <c r="BP502" i="2"/>
  <c r="Z510" i="2"/>
  <c r="Z513" i="2" s="1"/>
  <c r="BP512" i="2"/>
  <c r="Z520" i="2"/>
  <c r="BP522" i="2"/>
  <c r="BP536" i="2"/>
  <c r="Y547" i="2"/>
  <c r="O563" i="2"/>
  <c r="Z119" i="2"/>
  <c r="Z23" i="2"/>
  <c r="Z24" i="2" s="1"/>
  <c r="BP116" i="2"/>
  <c r="BN148" i="2"/>
  <c r="BN287" i="2"/>
  <c r="Y348" i="2"/>
  <c r="BN399" i="2"/>
  <c r="BN425" i="2"/>
  <c r="Y446" i="2"/>
  <c r="Y494" i="2"/>
  <c r="BN505" i="2"/>
  <c r="P563" i="2"/>
  <c r="Z65" i="2"/>
  <c r="BN158" i="2"/>
  <c r="F9" i="2"/>
  <c r="BN28" i="2"/>
  <c r="BN40" i="2"/>
  <c r="Y53" i="2"/>
  <c r="BP65" i="2"/>
  <c r="Z73" i="2"/>
  <c r="Z74" i="2" s="1"/>
  <c r="BN86" i="2"/>
  <c r="BP99" i="2"/>
  <c r="BP109" i="2"/>
  <c r="Z117" i="2"/>
  <c r="BN130" i="2"/>
  <c r="BP142" i="2"/>
  <c r="Z151" i="2"/>
  <c r="BN164" i="2"/>
  <c r="Z174" i="2"/>
  <c r="BN184" i="2"/>
  <c r="Z194" i="2"/>
  <c r="Z195" i="2" s="1"/>
  <c r="Y199" i="2"/>
  <c r="BN208" i="2"/>
  <c r="Y211" i="2"/>
  <c r="Z219" i="2"/>
  <c r="BN229" i="2"/>
  <c r="BN239" i="2"/>
  <c r="BN272" i="2"/>
  <c r="BN282" i="2"/>
  <c r="BN292" i="2"/>
  <c r="BN303" i="2"/>
  <c r="BN315" i="2"/>
  <c r="Y318" i="2"/>
  <c r="BN326" i="2"/>
  <c r="Z338" i="2"/>
  <c r="BN362" i="2"/>
  <c r="Y365" i="2"/>
  <c r="BN372" i="2"/>
  <c r="Y375" i="2"/>
  <c r="Y383" i="2"/>
  <c r="Z392" i="2"/>
  <c r="BN404" i="2"/>
  <c r="Y407" i="2"/>
  <c r="Z428" i="2"/>
  <c r="Z438" i="2"/>
  <c r="Z439" i="2" s="1"/>
  <c r="Y451" i="2"/>
  <c r="BN463" i="2"/>
  <c r="Y466" i="2"/>
  <c r="BN475" i="2"/>
  <c r="Z486" i="2"/>
  <c r="Z487" i="2" s="1"/>
  <c r="BN500" i="2"/>
  <c r="BN510" i="2"/>
  <c r="Y513" i="2"/>
  <c r="BN520" i="2"/>
  <c r="Y523" i="2"/>
  <c r="Z532" i="2"/>
  <c r="Z533" i="2" s="1"/>
  <c r="Y537" i="2"/>
  <c r="Z544" i="2"/>
  <c r="Q563" i="2"/>
  <c r="Y43" i="2"/>
  <c r="H9" i="2"/>
  <c r="BP23" i="2"/>
  <c r="Z31" i="2"/>
  <c r="BN58" i="2"/>
  <c r="BN68" i="2"/>
  <c r="Z78" i="2"/>
  <c r="Z79" i="2" s="1"/>
  <c r="BN91" i="2"/>
  <c r="Y94" i="2"/>
  <c r="BN102" i="2"/>
  <c r="Y105" i="2"/>
  <c r="BN112" i="2"/>
  <c r="BN135" i="2"/>
  <c r="Y138" i="2"/>
  <c r="BP148" i="2"/>
  <c r="BP158" i="2"/>
  <c r="BN169" i="2"/>
  <c r="BN179" i="2"/>
  <c r="BN189" i="2"/>
  <c r="BN224" i="2"/>
  <c r="Z232" i="2"/>
  <c r="BN244" i="2"/>
  <c r="Y247" i="2"/>
  <c r="Z255" i="2"/>
  <c r="Z257" i="2" s="1"/>
  <c r="BN267" i="2"/>
  <c r="BN277" i="2"/>
  <c r="Z285" i="2"/>
  <c r="BN298" i="2"/>
  <c r="Y309" i="2"/>
  <c r="BN332" i="2"/>
  <c r="Y344" i="2"/>
  <c r="Z354" i="2"/>
  <c r="Z355" i="2" s="1"/>
  <c r="BN387" i="2"/>
  <c r="Y413" i="2"/>
  <c r="BP425" i="2"/>
  <c r="Y434" i="2"/>
  <c r="Z443" i="2"/>
  <c r="Z445" i="2" s="1"/>
  <c r="Y457" i="2"/>
  <c r="BN480" i="2"/>
  <c r="Z491" i="2"/>
  <c r="Z503" i="2"/>
  <c r="Z550" i="2"/>
  <c r="Z551" i="2" s="1"/>
  <c r="R563" i="2"/>
  <c r="BN73" i="2"/>
  <c r="BN117" i="2"/>
  <c r="Y120" i="2"/>
  <c r="BN151" i="2"/>
  <c r="BN194" i="2"/>
  <c r="BN219" i="2"/>
  <c r="Y349" i="2"/>
  <c r="Y395" i="2"/>
  <c r="BP404" i="2"/>
  <c r="BP463" i="2"/>
  <c r="BP510" i="2"/>
  <c r="BN532" i="2"/>
  <c r="BN544" i="2"/>
  <c r="S563" i="2"/>
  <c r="J9" i="2"/>
  <c r="BN174" i="2"/>
  <c r="BP315" i="2"/>
  <c r="A10" i="2"/>
  <c r="Y24" i="2"/>
  <c r="Y44" i="2"/>
  <c r="Z56" i="2"/>
  <c r="Z66" i="2"/>
  <c r="Z100" i="2"/>
  <c r="Z110" i="2"/>
  <c r="Z143" i="2"/>
  <c r="Z154" i="2"/>
  <c r="Y159" i="2"/>
  <c r="BP169" i="2"/>
  <c r="Z177" i="2"/>
  <c r="Y200" i="2"/>
  <c r="Y212" i="2"/>
  <c r="Z222" i="2"/>
  <c r="BP244" i="2"/>
  <c r="Z265" i="2"/>
  <c r="BP277" i="2"/>
  <c r="Y288" i="2"/>
  <c r="BP298" i="2"/>
  <c r="Z341" i="2"/>
  <c r="Y366" i="2"/>
  <c r="Y376" i="2"/>
  <c r="Z385" i="2"/>
  <c r="Z419" i="2"/>
  <c r="Z431" i="2"/>
  <c r="Z454" i="2"/>
  <c r="Z456" i="2" s="1"/>
  <c r="BP480" i="2"/>
  <c r="Y524" i="2"/>
  <c r="Y538" i="2"/>
  <c r="BN550" i="2"/>
  <c r="Z109" i="2"/>
  <c r="Y52" i="2"/>
  <c r="BP72" i="2"/>
  <c r="Y87" i="2"/>
  <c r="Y95" i="2"/>
  <c r="Y106" i="2"/>
  <c r="Y131" i="2"/>
  <c r="Y139" i="2"/>
  <c r="BP174" i="2"/>
  <c r="Y185" i="2"/>
  <c r="BP194" i="2"/>
  <c r="BP219" i="2"/>
  <c r="Y273" i="2"/>
  <c r="Y293" i="2"/>
  <c r="Y327" i="2"/>
  <c r="Y414" i="2"/>
  <c r="BP486" i="2"/>
  <c r="BP532" i="2"/>
  <c r="B563" i="2"/>
  <c r="U563" i="2"/>
  <c r="Y113" i="2"/>
  <c r="Y396" i="2"/>
  <c r="BP550" i="2"/>
  <c r="V563" i="2"/>
  <c r="Y69" i="2"/>
  <c r="Y121" i="2"/>
  <c r="Y25" i="2"/>
  <c r="Z48" i="2"/>
  <c r="Z59" i="2"/>
  <c r="Y74" i="2"/>
  <c r="Y195" i="2"/>
  <c r="Z204" i="2"/>
  <c r="Z215" i="2"/>
  <c r="Z216" i="2" s="1"/>
  <c r="Z299" i="2"/>
  <c r="Z322" i="2"/>
  <c r="Z333" i="2"/>
  <c r="Z368" i="2"/>
  <c r="Z378" i="2"/>
  <c r="Z411" i="2"/>
  <c r="Y439" i="2"/>
  <c r="Z471" i="2"/>
  <c r="Z481" i="2"/>
  <c r="Z482" i="2" s="1"/>
  <c r="Y487" i="2"/>
  <c r="Z516" i="2"/>
  <c r="Z528" i="2"/>
  <c r="Z529" i="2" s="1"/>
  <c r="Y533" i="2"/>
  <c r="Z540" i="2"/>
  <c r="Z541" i="2" s="1"/>
  <c r="Y32" i="2"/>
  <c r="BP56" i="2"/>
  <c r="Y79" i="2"/>
  <c r="Y88" i="2"/>
  <c r="Z98" i="2"/>
  <c r="Z108" i="2"/>
  <c r="Z118" i="2"/>
  <c r="Y132" i="2"/>
  <c r="BP265" i="2"/>
  <c r="Y294" i="2"/>
  <c r="Y328" i="2"/>
  <c r="Y355" i="2"/>
  <c r="BP385" i="2"/>
  <c r="BP454" i="2"/>
  <c r="Z545" i="2"/>
  <c r="Y551" i="2"/>
  <c r="BN471" i="2"/>
  <c r="BN528" i="2"/>
  <c r="BN540" i="2"/>
  <c r="Y563" i="2"/>
  <c r="Z27" i="2"/>
  <c r="Z39" i="2"/>
  <c r="Z51" i="2"/>
  <c r="Y75" i="2"/>
  <c r="Z85" i="2"/>
  <c r="BN98" i="2"/>
  <c r="Z129" i="2"/>
  <c r="BN141" i="2"/>
  <c r="Y144" i="2"/>
  <c r="Y155" i="2"/>
  <c r="Z163" i="2"/>
  <c r="Z183" i="2"/>
  <c r="Z207" i="2"/>
  <c r="Z228" i="2"/>
  <c r="Z238" i="2"/>
  <c r="Z261" i="2"/>
  <c r="Z271" i="2"/>
  <c r="Z281" i="2"/>
  <c r="Z291" i="2"/>
  <c r="Z302" i="2"/>
  <c r="Z325" i="2"/>
  <c r="Z361" i="2"/>
  <c r="Z371" i="2"/>
  <c r="Z381" i="2"/>
  <c r="BN417" i="2"/>
  <c r="Y420" i="2"/>
  <c r="Y440" i="2"/>
  <c r="Z449" i="2"/>
  <c r="Z474" i="2"/>
  <c r="Y488" i="2"/>
  <c r="Z499" i="2"/>
  <c r="BN545" i="2"/>
  <c r="Y33" i="2"/>
  <c r="BP540" i="2"/>
  <c r="Y552" i="2"/>
  <c r="BN163" i="2"/>
  <c r="Y166" i="2"/>
  <c r="BN238" i="2"/>
  <c r="I563" i="2"/>
  <c r="AB563" i="2"/>
  <c r="BN188" i="2"/>
  <c r="BN331" i="2"/>
  <c r="Z144" i="2" l="1"/>
  <c r="Z94" i="2"/>
  <c r="Z507" i="2"/>
  <c r="Z450" i="2"/>
  <c r="Z413" i="2"/>
  <c r="Z395" i="2"/>
  <c r="Z365" i="2"/>
  <c r="Z334" i="2"/>
  <c r="Z318" i="2"/>
  <c r="Z273" i="2"/>
  <c r="X556" i="2"/>
  <c r="Z241" i="2"/>
  <c r="Z304" i="2"/>
  <c r="Z288" i="2"/>
  <c r="Z382" i="2"/>
  <c r="Z43" i="2"/>
  <c r="Z388" i="2"/>
  <c r="Z62" i="2"/>
  <c r="Z493" i="2"/>
  <c r="Z407" i="2"/>
  <c r="Z433" i="2"/>
  <c r="Z420" i="2"/>
  <c r="Y555" i="2"/>
  <c r="Z87" i="2"/>
  <c r="Z105" i="2"/>
  <c r="Z523" i="2"/>
  <c r="Z52" i="2"/>
  <c r="Z120" i="2"/>
  <c r="Y554" i="2"/>
  <c r="Z466" i="2"/>
  <c r="Y553" i="2"/>
  <c r="Z233" i="2"/>
  <c r="Z166" i="2"/>
  <c r="Z375" i="2"/>
  <c r="Z327" i="2"/>
  <c r="Y557" i="2"/>
  <c r="Z69" i="2"/>
  <c r="Z477" i="2"/>
  <c r="Z113" i="2"/>
  <c r="Z546" i="2"/>
  <c r="Z131" i="2"/>
  <c r="Z293" i="2"/>
  <c r="Z211" i="2"/>
  <c r="Z185" i="2"/>
  <c r="Z155" i="2"/>
  <c r="Z32" i="2"/>
  <c r="Z343" i="2"/>
  <c r="Y556" i="2" l="1"/>
  <c r="Z558" i="2"/>
</calcChain>
</file>

<file path=xl/sharedStrings.xml><?xml version="1.0" encoding="utf-8"?>
<sst xmlns="http://schemas.openxmlformats.org/spreadsheetml/2006/main" count="4209" uniqueCount="889">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</sst>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topLeftCell="A467" zoomScaleNormal="100" zoomScaleSheetLayoutView="100" workbookViewId="0">
      <selection activeCell="Z559" sqref="Z55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888</v>
      </c>
      <c r="I5" s="645"/>
      <c r="J5" s="645"/>
      <c r="K5" s="645"/>
      <c r="L5" s="645"/>
      <c r="M5" s="645"/>
      <c r="N5" s="72"/>
      <c r="P5" s="27" t="s">
        <v>4</v>
      </c>
      <c r="Q5" s="647">
        <v>46259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870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Вторник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1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0.375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16</v>
      </c>
      <c r="Y41" s="55">
        <f t="shared" si="0"/>
        <v>17.28</v>
      </c>
      <c r="Z41" s="41">
        <f t="shared" si="1"/>
        <v>5.8590000000000003E-2</v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17.5</v>
      </c>
      <c r="BN41" s="78">
        <f t="shared" si="3"/>
        <v>18.900000000000002</v>
      </c>
      <c r="BO41" s="78">
        <f t="shared" si="4"/>
        <v>4.5787545787545791E-2</v>
      </c>
      <c r="BP41" s="78">
        <f t="shared" si="5"/>
        <v>4.9450549450549462E-2</v>
      </c>
    </row>
    <row r="42" spans="1:68" ht="27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19.2</v>
      </c>
      <c r="Y42" s="55">
        <f t="shared" si="0"/>
        <v>19.2</v>
      </c>
      <c r="Z42" s="41">
        <f t="shared" si="1"/>
        <v>6.5100000000000005E-2</v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21</v>
      </c>
      <c r="BN42" s="78">
        <f t="shared" si="3"/>
        <v>21</v>
      </c>
      <c r="BO42" s="78">
        <f t="shared" si="4"/>
        <v>5.4945054945054951E-2</v>
      </c>
      <c r="BP42" s="78">
        <f t="shared" si="5"/>
        <v>5.4945054945054951E-2</v>
      </c>
    </row>
    <row r="43" spans="1:68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18.333333333333336</v>
      </c>
      <c r="Y43" s="43">
        <f>IFERROR(Y37/H37,"0")+IFERROR(Y38/H38,"0")+IFERROR(Y39/H39,"0")+IFERROR(Y40/H40,"0")+IFERROR(Y41/H41,"0")+IFERROR(Y42/H42,"0")</f>
        <v>19</v>
      </c>
      <c r="Z43" s="43">
        <f>IFERROR(IF(Z37="",0,Z37),"0")+IFERROR(IF(Z38="",0,Z38),"0")+IFERROR(IF(Z39="",0,Z39),"0")+IFERROR(IF(Z40="",0,Z40),"0")+IFERROR(IF(Z41="",0,Z41),"0")+IFERROR(IF(Z42="",0,Z42),"0")</f>
        <v>0.12369000000000001</v>
      </c>
      <c r="AA43" s="67"/>
      <c r="AB43" s="67"/>
      <c r="AC43" s="67"/>
    </row>
    <row r="44" spans="1:68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35.200000000000003</v>
      </c>
      <c r="Y44" s="43">
        <f>IFERROR(SUM(Y37:Y42),"0")</f>
        <v>36.480000000000004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140</v>
      </c>
      <c r="Y48" s="55">
        <f>IFERROR(IF(X48="",0,CEILING((X48/$H48),1)*$H48),"")</f>
        <v>140.4</v>
      </c>
      <c r="Z48" s="41">
        <f>IFERROR(IF(Y48=0,"",ROUNDUP(Y48/H48,0)*0.01898),"")</f>
        <v>0.24674000000000001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145.31481481481481</v>
      </c>
      <c r="BN48" s="78">
        <f>IFERROR(Y48*I48/H48,"0")</f>
        <v>145.73000000000002</v>
      </c>
      <c r="BO48" s="78">
        <f>IFERROR(1/J48*(X48/H48),"0")</f>
        <v>0.20254629629629628</v>
      </c>
      <c r="BP48" s="78">
        <f>IFERROR(1/J48*(Y48/H48),"0")</f>
        <v>0.203125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240</v>
      </c>
      <c r="Y50" s="55">
        <f>IFERROR(IF(X50="",0,CEILING((X50/$H50),1)*$H50),"")</f>
        <v>240</v>
      </c>
      <c r="Z50" s="41">
        <f>IFERROR(IF(Y50=0,"",ROUNDUP(Y50/H50,0)*0.00902),"")</f>
        <v>0.54120000000000001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251.40000000000003</v>
      </c>
      <c r="BN50" s="78">
        <f>IFERROR(Y50*I50/H50,"0")</f>
        <v>251.40000000000003</v>
      </c>
      <c r="BO50" s="78">
        <f>IFERROR(1/J50*(X50/H50),"0")</f>
        <v>0.45454545454545459</v>
      </c>
      <c r="BP50" s="78">
        <f>IFERROR(1/J50*(Y50/H50),"0")</f>
        <v>0.45454545454545459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72.962962962962962</v>
      </c>
      <c r="Y52" s="43">
        <f>IFERROR(Y48/H48,"0")+IFERROR(Y49/H49,"0")+IFERROR(Y50/H50,"0")+IFERROR(Y51/H51,"0")</f>
        <v>73</v>
      </c>
      <c r="Z52" s="43">
        <f>IFERROR(IF(Z48="",0,Z48),"0")+IFERROR(IF(Z49="",0,Z49),"0")+IFERROR(IF(Z50="",0,Z50),"0")+IFERROR(IF(Z51="",0,Z51),"0")</f>
        <v>0.78794000000000008</v>
      </c>
      <c r="AA52" s="67"/>
      <c r="AB52" s="67"/>
      <c r="AC52" s="67"/>
    </row>
    <row r="53" spans="1:68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380</v>
      </c>
      <c r="Y53" s="43">
        <f>IFERROR(SUM(Y48:Y51),"0")</f>
        <v>380.4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200</v>
      </c>
      <c r="Y57" s="55">
        <f t="shared" si="6"/>
        <v>205.20000000000002</v>
      </c>
      <c r="Z57" s="41">
        <f>IFERROR(IF(Y57=0,"",ROUNDUP(Y57/H57,0)*0.01898),"")</f>
        <v>0.36062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207.59259259259258</v>
      </c>
      <c r="BN57" s="78">
        <f t="shared" si="8"/>
        <v>212.99</v>
      </c>
      <c r="BO57" s="78">
        <f t="shared" si="9"/>
        <v>0.28935185185185186</v>
      </c>
      <c r="BP57" s="78">
        <f t="shared" si="10"/>
        <v>0.296875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450</v>
      </c>
      <c r="Y61" s="55">
        <f t="shared" si="6"/>
        <v>450</v>
      </c>
      <c r="Z61" s="41">
        <f>IFERROR(IF(Y61=0,"",ROUNDUP(Y61/H61,0)*0.00902),"")</f>
        <v>0.90200000000000002</v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469</v>
      </c>
      <c r="BN61" s="78">
        <f t="shared" si="8"/>
        <v>469</v>
      </c>
      <c r="BO61" s="78">
        <f t="shared" si="9"/>
        <v>0.75757575757575757</v>
      </c>
      <c r="BP61" s="78">
        <f t="shared" si="10"/>
        <v>0.75757575757575757</v>
      </c>
    </row>
    <row r="62" spans="1:68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118.51851851851852</v>
      </c>
      <c r="Y62" s="43">
        <f>IFERROR(Y56/H56,"0")+IFERROR(Y57/H57,"0")+IFERROR(Y58/H58,"0")+IFERROR(Y59/H59,"0")+IFERROR(Y60/H60,"0")+IFERROR(Y61/H61,"0")</f>
        <v>119</v>
      </c>
      <c r="Z62" s="43">
        <f>IFERROR(IF(Z56="",0,Z56),"0")+IFERROR(IF(Z57="",0,Z57),"0")+IFERROR(IF(Z58="",0,Z58),"0")+IFERROR(IF(Z59="",0,Z59),"0")+IFERROR(IF(Z60="",0,Z60),"0")+IFERROR(IF(Z61="",0,Z61),"0")</f>
        <v>1.2626200000000001</v>
      </c>
      <c r="AA62" s="67"/>
      <c r="AB62" s="67"/>
      <c r="AC62" s="67"/>
    </row>
    <row r="63" spans="1:68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650</v>
      </c>
      <c r="Y63" s="43">
        <f>IFERROR(SUM(Y56:Y61),"0")</f>
        <v>655.20000000000005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50</v>
      </c>
      <c r="Y65" s="55">
        <f>IFERROR(IF(X65="",0,CEILING((X65/$H65),1)*$H65),"")</f>
        <v>54</v>
      </c>
      <c r="Z65" s="41">
        <f>IFERROR(IF(Y65=0,"",ROUNDUP(Y65/H65,0)*0.01898),"")</f>
        <v>9.4899999999999998E-2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51.898148148148145</v>
      </c>
      <c r="BN65" s="78">
        <f>IFERROR(Y65*I65/H65,"0")</f>
        <v>56.05</v>
      </c>
      <c r="BO65" s="78">
        <f>IFERROR(1/J65*(X65/H65),"0")</f>
        <v>7.2337962962962965E-2</v>
      </c>
      <c r="BP65" s="78">
        <f>IFERROR(1/J65*(Y65/H65),"0")</f>
        <v>7.8125E-2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90</v>
      </c>
      <c r="Y68" s="55">
        <f>IFERROR(IF(X68="",0,CEILING((X68/$H68),1)*$H68),"")</f>
        <v>91.800000000000011</v>
      </c>
      <c r="Z68" s="41">
        <f>IFERROR(IF(Y68=0,"",ROUNDUP(Y68/H68,0)*0.00651),"")</f>
        <v>0.22134000000000001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95.999999999999986</v>
      </c>
      <c r="BN68" s="78">
        <f>IFERROR(Y68*I68/H68,"0")</f>
        <v>97.92</v>
      </c>
      <c r="BO68" s="78">
        <f>IFERROR(1/J68*(X68/H68),"0")</f>
        <v>0.18315018315018314</v>
      </c>
      <c r="BP68" s="78">
        <f>IFERROR(1/J68*(Y68/H68),"0")</f>
        <v>0.18681318681318682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37.962962962962962</v>
      </c>
      <c r="Y69" s="43">
        <f>IFERROR(Y65/H65,"0")+IFERROR(Y66/H66,"0")+IFERROR(Y67/H67,"0")+IFERROR(Y68/H68,"0")</f>
        <v>39</v>
      </c>
      <c r="Z69" s="43">
        <f>IFERROR(IF(Z65="",0,Z65),"0")+IFERROR(IF(Z66="",0,Z66),"0")+IFERROR(IF(Z67="",0,Z67),"0")+IFERROR(IF(Z68="",0,Z68),"0")</f>
        <v>0.31624000000000002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140</v>
      </c>
      <c r="Y70" s="43">
        <f>IFERROR(SUM(Y65:Y68),"0")</f>
        <v>145.80000000000001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40</v>
      </c>
      <c r="Y77" s="55">
        <f>IFERROR(IF(X77="",0,CEILING((X77/$H77),1)*$H77),"")</f>
        <v>46.8</v>
      </c>
      <c r="Z77" s="41">
        <f>IFERROR(IF(Y77=0,"",ROUNDUP(Y77/H77,0)*0.01898),"")</f>
        <v>0.11388000000000001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42.102564102564109</v>
      </c>
      <c r="BN77" s="78">
        <f>IFERROR(Y77*I77/H77,"0")</f>
        <v>49.260000000000005</v>
      </c>
      <c r="BO77" s="78">
        <f>IFERROR(1/J77*(X77/H77),"0")</f>
        <v>8.0128205128205135E-2</v>
      </c>
      <c r="BP77" s="78">
        <f>IFERROR(1/J77*(Y77/H77),"0")</f>
        <v>9.375E-2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5.1282051282051286</v>
      </c>
      <c r="Y79" s="43">
        <f>IFERROR(Y77/H77,"0")+IFERROR(Y78/H78,"0")</f>
        <v>6</v>
      </c>
      <c r="Z79" s="43">
        <f>IFERROR(IF(Z77="",0,Z77),"0")+IFERROR(IF(Z78="",0,Z78),"0")</f>
        <v>0.11388000000000001</v>
      </c>
      <c r="AA79" s="67"/>
      <c r="AB79" s="67"/>
      <c r="AC79" s="67"/>
    </row>
    <row r="80" spans="1:68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40</v>
      </c>
      <c r="Y80" s="43">
        <f>IFERROR(SUM(Y77:Y78),"0")</f>
        <v>46.8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160</v>
      </c>
      <c r="Y83" s="55">
        <f>IFERROR(IF(X83="",0,CEILING((X83/$H83),1)*$H83),"")</f>
        <v>162</v>
      </c>
      <c r="Z83" s="41">
        <f>IFERROR(IF(Y83=0,"",ROUNDUP(Y83/H83,0)*0.01898),"")</f>
        <v>0.28470000000000001</v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166.07407407407408</v>
      </c>
      <c r="BN83" s="78">
        <f>IFERROR(Y83*I83/H83,"0")</f>
        <v>168.15</v>
      </c>
      <c r="BO83" s="78">
        <f>IFERROR(1/J83*(X83/H83),"0")</f>
        <v>0.23148148148148145</v>
      </c>
      <c r="BP83" s="78">
        <f>IFERROR(1/J83*(Y83/H83),"0")</f>
        <v>0.23437499999999997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450</v>
      </c>
      <c r="Y86" s="55">
        <f>IFERROR(IF(X86="",0,CEILING((X86/$H86),1)*$H86),"")</f>
        <v>450</v>
      </c>
      <c r="Z86" s="41">
        <f>IFERROR(IF(Y86=0,"",ROUNDUP(Y86/H86,0)*0.00902),"")</f>
        <v>0.90200000000000002</v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469</v>
      </c>
      <c r="BN86" s="78">
        <f>IFERROR(Y86*I86/H86,"0")</f>
        <v>469</v>
      </c>
      <c r="BO86" s="78">
        <f>IFERROR(1/J86*(X86/H86),"0")</f>
        <v>0.75757575757575757</v>
      </c>
      <c r="BP86" s="78">
        <f>IFERROR(1/J86*(Y86/H86),"0")</f>
        <v>0.75757575757575757</v>
      </c>
    </row>
    <row r="87" spans="1:68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114.81481481481481</v>
      </c>
      <c r="Y87" s="43">
        <f>IFERROR(Y83/H83,"0")+IFERROR(Y84/H84,"0")+IFERROR(Y85/H85,"0")+IFERROR(Y86/H86,"0")</f>
        <v>115</v>
      </c>
      <c r="Z87" s="43">
        <f>IFERROR(IF(Z83="",0,Z83),"0")+IFERROR(IF(Z84="",0,Z84),"0")+IFERROR(IF(Z85="",0,Z85),"0")+IFERROR(IF(Z86="",0,Z86),"0")</f>
        <v>1.1867000000000001</v>
      </c>
      <c r="AA87" s="67"/>
      <c r="AB87" s="67"/>
      <c r="AC87" s="67"/>
    </row>
    <row r="88" spans="1:68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610</v>
      </c>
      <c r="Y88" s="43">
        <f>IFERROR(SUM(Y83:Y86),"0")</f>
        <v>612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400</v>
      </c>
      <c r="Y90" s="55">
        <f>IFERROR(IF(X90="",0,CEILING((X90/$H90),1)*$H90),"")</f>
        <v>405</v>
      </c>
      <c r="Z90" s="41">
        <f>IFERROR(IF(Y90=0,"",ROUNDUP(Y90/H90,0)*0.01898),"")</f>
        <v>0.94900000000000007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424.39506172839509</v>
      </c>
      <c r="BN90" s="78">
        <f>IFERROR(Y90*I90/H90,"0")</f>
        <v>429.7</v>
      </c>
      <c r="BO90" s="78">
        <f>IFERROR(1/J90*(X90/H90),"0")</f>
        <v>0.77160493827160492</v>
      </c>
      <c r="BP90" s="78">
        <f>IFERROR(1/J90*(Y90/H90),"0")</f>
        <v>0.78125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540</v>
      </c>
      <c r="Y92" s="55">
        <f>IFERROR(IF(X92="",0,CEILING((X92/$H92),1)*$H92),"")</f>
        <v>540</v>
      </c>
      <c r="Z92" s="41">
        <f>IFERROR(IF(Y92=0,"",ROUNDUP(Y92/H92,0)*0.00651),"")</f>
        <v>1.302</v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590.4</v>
      </c>
      <c r="BN92" s="78">
        <f>IFERROR(Y92*I92/H92,"0")</f>
        <v>590.4</v>
      </c>
      <c r="BO92" s="78">
        <f>IFERROR(1/J92*(X92/H92),"0")</f>
        <v>1.098901098901099</v>
      </c>
      <c r="BP92" s="78">
        <f>IFERROR(1/J92*(Y92/H92),"0")</f>
        <v>1.098901098901099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249.38271604938271</v>
      </c>
      <c r="Y94" s="43">
        <f>IFERROR(Y90/H90,"0")+IFERROR(Y91/H91,"0")+IFERROR(Y92/H92,"0")+IFERROR(Y93/H93,"0")</f>
        <v>250</v>
      </c>
      <c r="Z94" s="43">
        <f>IFERROR(IF(Z90="",0,Z90),"0")+IFERROR(IF(Z91="",0,Z91),"0")+IFERROR(IF(Z92="",0,Z92),"0")+IFERROR(IF(Z93="",0,Z93),"0")</f>
        <v>2.2510000000000003</v>
      </c>
      <c r="AA94" s="67"/>
      <c r="AB94" s="67"/>
      <c r="AC94" s="67"/>
    </row>
    <row r="95" spans="1:68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940</v>
      </c>
      <c r="Y95" s="43">
        <f>IFERROR(SUM(Y90:Y93),"0")</f>
        <v>945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495</v>
      </c>
      <c r="Y103" s="55">
        <f t="shared" si="11"/>
        <v>495</v>
      </c>
      <c r="Z103" s="41">
        <f>IFERROR(IF(Y103=0,"",ROUNDUP(Y103/H103,0)*0.00902),"")</f>
        <v>0.99219999999999997</v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515.90000000000009</v>
      </c>
      <c r="BN103" s="78">
        <f t="shared" si="13"/>
        <v>515.90000000000009</v>
      </c>
      <c r="BO103" s="78">
        <f t="shared" si="14"/>
        <v>0.83333333333333337</v>
      </c>
      <c r="BP103" s="78">
        <f t="shared" si="15"/>
        <v>0.83333333333333337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110</v>
      </c>
      <c r="Y105" s="43">
        <f>IFERROR(Y98/H98,"0")+IFERROR(Y99/H99,"0")+IFERROR(Y100/H100,"0")+IFERROR(Y101/H101,"0")+IFERROR(Y102/H102,"0")+IFERROR(Y103/H103,"0")+IFERROR(Y104/H104,"0")</f>
        <v>110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0.99219999999999997</v>
      </c>
      <c r="AA105" s="67"/>
      <c r="AB105" s="67"/>
      <c r="AC105" s="67"/>
    </row>
    <row r="106" spans="1:68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495</v>
      </c>
      <c r="Y106" s="43">
        <f>IFERROR(SUM(Y98:Y104),"0")</f>
        <v>495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500</v>
      </c>
      <c r="Y116" s="55">
        <f>IFERROR(IF(X116="",0,CEILING((X116/$H116),1)*$H116),"")</f>
        <v>502.2</v>
      </c>
      <c r="Z116" s="41">
        <f>IFERROR(IF(Y116=0,"",ROUNDUP(Y116/H116,0)*0.01898),"")</f>
        <v>1.17676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530.12345679012344</v>
      </c>
      <c r="BN116" s="78">
        <f>IFERROR(Y116*I116/H116,"0")</f>
        <v>532.4559999999999</v>
      </c>
      <c r="BO116" s="78">
        <f>IFERROR(1/J116*(X116/H116),"0")</f>
        <v>0.96450617283950624</v>
      </c>
      <c r="BP116" s="78">
        <f>IFERROR(1/J116*(Y116/H116),"0")</f>
        <v>0.96875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675</v>
      </c>
      <c r="Y118" s="55">
        <f>IFERROR(IF(X118="",0,CEILING((X118/$H118),1)*$H118),"")</f>
        <v>675</v>
      </c>
      <c r="Z118" s="41">
        <f>IFERROR(IF(Y118=0,"",ROUNDUP(Y118/H118,0)*0.00651),"")</f>
        <v>1.6274999999999999</v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737.99999999999989</v>
      </c>
      <c r="BN118" s="78">
        <f>IFERROR(Y118*I118/H118,"0")</f>
        <v>737.99999999999989</v>
      </c>
      <c r="BO118" s="78">
        <f>IFERROR(1/J118*(X118/H118),"0")</f>
        <v>1.3736263736263736</v>
      </c>
      <c r="BP118" s="78">
        <f>IFERROR(1/J118*(Y118/H118),"0")</f>
        <v>1.3736263736263736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180</v>
      </c>
      <c r="Y119" s="55">
        <f>IFERROR(IF(X119="",0,CEILING((X119/$H119),1)*$H119),"")</f>
        <v>180</v>
      </c>
      <c r="Z119" s="41">
        <f>IFERROR(IF(Y119=0,"",ROUNDUP(Y119/H119,0)*0.00651),"")</f>
        <v>0.65100000000000002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197.99999999999997</v>
      </c>
      <c r="BN119" s="78">
        <f>IFERROR(Y119*I119/H119,"0")</f>
        <v>197.99999999999997</v>
      </c>
      <c r="BO119" s="78">
        <f>IFERROR(1/J119*(X119/H119),"0")</f>
        <v>0.5494505494505495</v>
      </c>
      <c r="BP119" s="78">
        <f>IFERROR(1/J119*(Y119/H119),"0")</f>
        <v>0.5494505494505495</v>
      </c>
    </row>
    <row r="120" spans="1:68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411.72839506172835</v>
      </c>
      <c r="Y120" s="43">
        <f>IFERROR(Y116/H116,"0")+IFERROR(Y117/H117,"0")+IFERROR(Y118/H118,"0")+IFERROR(Y119/H119,"0")</f>
        <v>412</v>
      </c>
      <c r="Z120" s="43">
        <f>IFERROR(IF(Z116="",0,Z116),"0")+IFERROR(IF(Z117="",0,Z117),"0")+IFERROR(IF(Z118="",0,Z118),"0")+IFERROR(IF(Z119="",0,Z119),"0")</f>
        <v>3.45526</v>
      </c>
      <c r="AA120" s="67"/>
      <c r="AB120" s="67"/>
      <c r="AC120" s="67"/>
    </row>
    <row r="121" spans="1:68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1355</v>
      </c>
      <c r="Y121" s="43">
        <f>IFERROR(SUM(Y116:Y119),"0")</f>
        <v>1357.2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75.900000000000006</v>
      </c>
      <c r="Y123" s="55">
        <f>IFERROR(IF(X123="",0,CEILING((X123/$H123),1)*$H123),"")</f>
        <v>77.22</v>
      </c>
      <c r="Z123" s="41">
        <f>IFERROR(IF(Y123=0,"",ROUNDUP(Y123/H123,0)*0.00651),"")</f>
        <v>0.25389</v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85.79</v>
      </c>
      <c r="BN123" s="78">
        <f>IFERROR(Y123*I123/H123,"0")</f>
        <v>87.281999999999996</v>
      </c>
      <c r="BO123" s="78">
        <f>IFERROR(1/J123*(X123/H123),"0")</f>
        <v>0.21062271062271065</v>
      </c>
      <c r="BP123" s="78">
        <f>IFERROR(1/J123*(Y123/H123),"0")</f>
        <v>0.2142857142857143</v>
      </c>
    </row>
    <row r="124" spans="1:68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38.333333333333336</v>
      </c>
      <c r="Y124" s="43">
        <f>IFERROR(Y123/H123,"0")</f>
        <v>39</v>
      </c>
      <c r="Z124" s="43">
        <f>IFERROR(IF(Z123="",0,Z123),"0")</f>
        <v>0.25389</v>
      </c>
      <c r="AA124" s="67"/>
      <c r="AB124" s="67"/>
      <c r="AC124" s="67"/>
    </row>
    <row r="125" spans="1:68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75.900000000000006</v>
      </c>
      <c r="Y125" s="43">
        <f>IFERROR(SUM(Y123:Y123),"0")</f>
        <v>77.22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100</v>
      </c>
      <c r="Y130" s="55">
        <f>IFERROR(IF(X130="",0,CEILING((X130/$H130),1)*$H130),"")</f>
        <v>102.4</v>
      </c>
      <c r="Z130" s="41">
        <f>IFERROR(IF(Y130=0,"",ROUNDUP(Y130/H130,0)*0.00651),"")</f>
        <v>0.20832000000000001</v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105.625</v>
      </c>
      <c r="BN130" s="78">
        <f>IFERROR(Y130*I130/H130,"0")</f>
        <v>108.16</v>
      </c>
      <c r="BO130" s="78">
        <f>IFERROR(1/J130*(X130/H130),"0")</f>
        <v>0.1717032967032967</v>
      </c>
      <c r="BP130" s="78">
        <f>IFERROR(1/J130*(Y130/H130),"0")</f>
        <v>0.17582417582417584</v>
      </c>
    </row>
    <row r="131" spans="1:68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31.25</v>
      </c>
      <c r="Y131" s="43">
        <f>IFERROR(Y128/H128,"0")+IFERROR(Y129/H129,"0")+IFERROR(Y130/H130,"0")</f>
        <v>32</v>
      </c>
      <c r="Z131" s="43">
        <f>IFERROR(IF(Z128="",0,Z128),"0")+IFERROR(IF(Z129="",0,Z129),"0")+IFERROR(IF(Z130="",0,Z130),"0")</f>
        <v>0.20832000000000001</v>
      </c>
      <c r="AA131" s="67"/>
      <c r="AB131" s="67"/>
      <c r="AC131" s="67"/>
    </row>
    <row r="132" spans="1:68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100</v>
      </c>
      <c r="Y132" s="43">
        <f>IFERROR(SUM(Y128:Y130),"0")</f>
        <v>102.4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87.5</v>
      </c>
      <c r="Y135" s="55">
        <f>IFERROR(IF(X135="",0,CEILING((X135/$H135),1)*$H135),"")</f>
        <v>89.6</v>
      </c>
      <c r="Z135" s="41">
        <f>IFERROR(IF(Y135=0,"",ROUNDUP(Y135/H135,0)*0.00651),"")</f>
        <v>0.20832000000000001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95.875</v>
      </c>
      <c r="BN135" s="78">
        <f>IFERROR(Y135*I135/H135,"0")</f>
        <v>98.175999999999988</v>
      </c>
      <c r="BO135" s="78">
        <f>IFERROR(1/J135*(X135/H135),"0")</f>
        <v>0.17170329670329673</v>
      </c>
      <c r="BP135" s="78">
        <f>IFERROR(1/J135*(Y135/H135),"0")</f>
        <v>0.17582417582417584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31.250000000000004</v>
      </c>
      <c r="Y138" s="43">
        <f>IFERROR(Y134/H134,"0")+IFERROR(Y135/H135,"0")+IFERROR(Y136/H136,"0")+IFERROR(Y137/H137,"0")</f>
        <v>32</v>
      </c>
      <c r="Z138" s="43">
        <f>IFERROR(IF(Z134="",0,Z134),"0")+IFERROR(IF(Z135="",0,Z135),"0")+IFERROR(IF(Z136="",0,Z136),"0")+IFERROR(IF(Z137="",0,Z137),"0")</f>
        <v>0.20832000000000001</v>
      </c>
      <c r="AA138" s="67"/>
      <c r="AB138" s="67"/>
      <c r="AC138" s="67"/>
    </row>
    <row r="139" spans="1:68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87.5</v>
      </c>
      <c r="Y139" s="43">
        <f>IFERROR(SUM(Y134:Y137),"0")</f>
        <v>89.6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115.5</v>
      </c>
      <c r="Y142" s="55">
        <f>IFERROR(IF(X142="",0,CEILING((X142/$H142),1)*$H142),"")</f>
        <v>116.16000000000001</v>
      </c>
      <c r="Z142" s="41">
        <f>IFERROR(IF(Y142=0,"",ROUNDUP(Y142/H142,0)*0.00651),"")</f>
        <v>0.28644000000000003</v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127.22499999999998</v>
      </c>
      <c r="BN142" s="78">
        <f>IFERROR(Y142*I142/H142,"0")</f>
        <v>127.95200000000001</v>
      </c>
      <c r="BO142" s="78">
        <f>IFERROR(1/J142*(X142/H142),"0")</f>
        <v>0.24038461538461539</v>
      </c>
      <c r="BP142" s="78">
        <f>IFERROR(1/J142*(Y142/H142),"0")</f>
        <v>0.24175824175824179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43.75</v>
      </c>
      <c r="Y144" s="43">
        <f>IFERROR(Y141/H141,"0")+IFERROR(Y142/H142,"0")+IFERROR(Y143/H143,"0")</f>
        <v>44</v>
      </c>
      <c r="Z144" s="43">
        <f>IFERROR(IF(Z141="",0,Z141),"0")+IFERROR(IF(Z142="",0,Z142),"0")+IFERROR(IF(Z143="",0,Z143),"0")</f>
        <v>0.28644000000000003</v>
      </c>
      <c r="AA144" s="67"/>
      <c r="AB144" s="67"/>
      <c r="AC144" s="67"/>
    </row>
    <row r="145" spans="1:68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115.5</v>
      </c>
      <c r="Y145" s="43">
        <f>IFERROR(SUM(Y141:Y143),"0")</f>
        <v>116.16000000000001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500</v>
      </c>
      <c r="Y174" s="55">
        <f t="shared" ref="Y174:Y184" si="22">IFERROR(IF(X174="",0,CEILING((X174/$H174),1)*$H174),"")</f>
        <v>500.5</v>
      </c>
      <c r="Z174" s="41">
        <f>IFERROR(IF(Y174=0,"",ROUNDUP(Y174/H174,0)*0.00902),"")</f>
        <v>1.28986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527.14285714285711</v>
      </c>
      <c r="BN174" s="78">
        <f t="shared" ref="BN174:BN184" si="24">IFERROR(Y174*I174/H174,"0")</f>
        <v>527.66999999999996</v>
      </c>
      <c r="BO174" s="78">
        <f t="shared" ref="BO174:BO184" si="25">IFERROR(1/J174*(X174/H174),"0")</f>
        <v>1.0822510822510822</v>
      </c>
      <c r="BP174" s="78">
        <f t="shared" ref="BP174:BP184" si="26">IFERROR(1/J174*(Y174/H174),"0")</f>
        <v>1.0833333333333333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600</v>
      </c>
      <c r="Y176" s="55">
        <f t="shared" si="22"/>
        <v>602</v>
      </c>
      <c r="Z176" s="41">
        <f>IFERROR(IF(Y176=0,"",ROUNDUP(Y176/H176,0)*0.00902),"")</f>
        <v>1.5514399999999999</v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632.57142857142856</v>
      </c>
      <c r="BN176" s="78">
        <f t="shared" si="24"/>
        <v>634.68000000000006</v>
      </c>
      <c r="BO176" s="78">
        <f t="shared" si="25"/>
        <v>1.2987012987012987</v>
      </c>
      <c r="BP176" s="78">
        <f t="shared" si="26"/>
        <v>1.303030303030303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100</v>
      </c>
      <c r="Y177" s="55">
        <f t="shared" si="22"/>
        <v>101.5</v>
      </c>
      <c r="Z177" s="41">
        <f>IFERROR(IF(Y177=0,"",ROUNDUP(Y177/H177,0)*0.00902),"")</f>
        <v>0.26158000000000003</v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105.42857142857143</v>
      </c>
      <c r="BN177" s="78">
        <f t="shared" si="24"/>
        <v>107.00999999999999</v>
      </c>
      <c r="BO177" s="78">
        <f t="shared" si="25"/>
        <v>0.21645021645021648</v>
      </c>
      <c r="BP177" s="78">
        <f t="shared" si="26"/>
        <v>0.2196969696969697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168.00000000000003</v>
      </c>
      <c r="Y179" s="55">
        <f t="shared" si="22"/>
        <v>168</v>
      </c>
      <c r="Z179" s="41">
        <f>IFERROR(IF(Y179=0,"",ROUNDUP(Y179/H179,0)*0.00502),"")</f>
        <v>0.502</v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178.00000000000006</v>
      </c>
      <c r="BN179" s="78">
        <f t="shared" si="24"/>
        <v>178.00000000000003</v>
      </c>
      <c r="BO179" s="78">
        <f t="shared" si="25"/>
        <v>0.42735042735042744</v>
      </c>
      <c r="BP179" s="78">
        <f t="shared" si="26"/>
        <v>0.42735042735042739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168.00000000000003</v>
      </c>
      <c r="Y182" s="55">
        <f t="shared" si="22"/>
        <v>168</v>
      </c>
      <c r="Z182" s="41">
        <f>IFERROR(IF(Y182=0,"",ROUNDUP(Y182/H182,0)*0.00502),"")</f>
        <v>0.502</v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178.00000000000006</v>
      </c>
      <c r="BN182" s="78">
        <f t="shared" si="24"/>
        <v>178.00000000000003</v>
      </c>
      <c r="BO182" s="78">
        <f t="shared" si="25"/>
        <v>0.42735042735042744</v>
      </c>
      <c r="BP182" s="78">
        <f t="shared" si="26"/>
        <v>0.42735042735042739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168.00000000000003</v>
      </c>
      <c r="Y184" s="55">
        <f t="shared" si="22"/>
        <v>168</v>
      </c>
      <c r="Z184" s="41">
        <f>IFERROR(IF(Y184=0,"",ROUNDUP(Y184/H184,0)*0.00502),"")</f>
        <v>0.502</v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178.00000000000006</v>
      </c>
      <c r="BN184" s="78">
        <f t="shared" si="24"/>
        <v>178.00000000000003</v>
      </c>
      <c r="BO184" s="78">
        <f t="shared" si="25"/>
        <v>0.42735042735042744</v>
      </c>
      <c r="BP184" s="78">
        <f t="shared" si="26"/>
        <v>0.42735042735042739</v>
      </c>
    </row>
    <row r="185" spans="1:68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642.85714285714289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644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4.6088799999999992</v>
      </c>
      <c r="AA185" s="67"/>
      <c r="AB185" s="67"/>
      <c r="AC185" s="67"/>
    </row>
    <row r="186" spans="1:68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1704</v>
      </c>
      <c r="Y186" s="43">
        <f>IFERROR(SUM(Y174:Y184),"0")</f>
        <v>1708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50</v>
      </c>
      <c r="Y209" s="55">
        <f t="shared" si="27"/>
        <v>54</v>
      </c>
      <c r="Z209" s="41">
        <f t="shared" si="28"/>
        <v>9.4899999999999998E-2</v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51.898148148148145</v>
      </c>
      <c r="BN209" s="78">
        <f t="shared" si="30"/>
        <v>56.05</v>
      </c>
      <c r="BO209" s="78">
        <f t="shared" si="31"/>
        <v>7.2337962962962965E-2</v>
      </c>
      <c r="BP209" s="78">
        <f t="shared" si="32"/>
        <v>7.8125E-2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4.6296296296296298</v>
      </c>
      <c r="Y211" s="43">
        <f>IFERROR(Y204/H204,"0")+IFERROR(Y205/H205,"0")+IFERROR(Y206/H206,"0")+IFERROR(Y207/H207,"0")+IFERROR(Y208/H208,"0")+IFERROR(Y209/H209,"0")+IFERROR(Y210/H210,"0")</f>
        <v>5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9.4899999999999998E-2</v>
      </c>
      <c r="AA211" s="67"/>
      <c r="AB211" s="67"/>
      <c r="AC211" s="67"/>
    </row>
    <row r="212" spans="1:68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50</v>
      </c>
      <c r="Y212" s="43">
        <f>IFERROR(SUM(Y204:Y210),"0")</f>
        <v>54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8</v>
      </c>
      <c r="Y222" s="55">
        <f t="shared" si="33"/>
        <v>8</v>
      </c>
      <c r="Z222" s="41">
        <f>IFERROR(IF(Y222=0,"",ROUNDUP(Y222/H222,0)*0.00556),"")</f>
        <v>5.5599999999999997E-2</v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9.3000000000000007</v>
      </c>
      <c r="BN222" s="78">
        <f t="shared" si="35"/>
        <v>9.3000000000000007</v>
      </c>
      <c r="BO222" s="78">
        <f t="shared" si="36"/>
        <v>3.968253968253968E-2</v>
      </c>
      <c r="BP222" s="78">
        <f t="shared" si="37"/>
        <v>3.968253968253968E-2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70</v>
      </c>
      <c r="Y223" s="55">
        <f t="shared" si="33"/>
        <v>71.400000000000006</v>
      </c>
      <c r="Z223" s="41">
        <f t="shared" ref="Z223:Z228" si="38">IFERROR(IF(Y223=0,"",ROUNDUP(Y223/H223,0)*0.00502),"")</f>
        <v>0.17068</v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74.333333333333329</v>
      </c>
      <c r="BN223" s="78">
        <f t="shared" si="35"/>
        <v>75.820000000000007</v>
      </c>
      <c r="BO223" s="78">
        <f t="shared" si="36"/>
        <v>0.14245014245014245</v>
      </c>
      <c r="BP223" s="78">
        <f t="shared" si="37"/>
        <v>0.14529914529914531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175</v>
      </c>
      <c r="Y225" s="55">
        <f t="shared" si="33"/>
        <v>176.4</v>
      </c>
      <c r="Z225" s="41">
        <f t="shared" si="38"/>
        <v>0.42168</v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185.83333333333331</v>
      </c>
      <c r="BN225" s="78">
        <f t="shared" si="35"/>
        <v>187.32</v>
      </c>
      <c r="BO225" s="78">
        <f t="shared" si="36"/>
        <v>0.35612535612535612</v>
      </c>
      <c r="BP225" s="78">
        <f t="shared" si="37"/>
        <v>0.35897435897435903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420</v>
      </c>
      <c r="Y230" s="55">
        <f t="shared" si="33"/>
        <v>420</v>
      </c>
      <c r="Z230" s="41">
        <f>IFERROR(IF(Y230=0,"",ROUNDUP(Y230/H230,0)*0.00502),"")</f>
        <v>1.004</v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440.00000000000006</v>
      </c>
      <c r="BN230" s="78">
        <f t="shared" si="35"/>
        <v>440.00000000000006</v>
      </c>
      <c r="BO230" s="78">
        <f t="shared" si="36"/>
        <v>0.85470085470085477</v>
      </c>
      <c r="BP230" s="78">
        <f t="shared" si="37"/>
        <v>0.85470085470085477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326.66666666666663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328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1.6519599999999999</v>
      </c>
      <c r="AA233" s="67"/>
      <c r="AB233" s="67"/>
      <c r="AC233" s="67"/>
    </row>
    <row r="234" spans="1:68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673</v>
      </c>
      <c r="Y234" s="43">
        <f>IFERROR(SUM(Y219:Y232),"0")</f>
        <v>675.8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7.0000000000000009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2.5720164609053499E-2</v>
      </c>
      <c r="BP244" s="78">
        <f>IFERROR(1/J244*(Y244/H244),"0")</f>
        <v>2.7777777777777776E-2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7.0000000000000009</v>
      </c>
      <c r="Y246" s="55">
        <f>IFERROR(IF(X246="",0,CEILING((X246/$H246),1)*$H246),"")</f>
        <v>7.5600000000000005</v>
      </c>
      <c r="Z246" s="41">
        <f>IFERROR(IF(Y246=0,"",ROUNDUP(Y246/H246,0)*0.0059),"")</f>
        <v>3.5400000000000001E-2</v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8.0555555555555554</v>
      </c>
      <c r="BN246" s="78">
        <f>IFERROR(Y246*I246/H246,"0")</f>
        <v>8.6999999999999993</v>
      </c>
      <c r="BO246" s="78">
        <f>IFERROR(1/J246*(X246/H246),"0")</f>
        <v>2.5720164609053499E-2</v>
      </c>
      <c r="BP246" s="78">
        <f>IFERROR(1/J246*(Y246/H246),"0")</f>
        <v>2.7777777777777776E-2</v>
      </c>
    </row>
    <row r="247" spans="1:68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11.111111111111112</v>
      </c>
      <c r="Y247" s="43">
        <f>IFERROR(Y244/H244,"0")+IFERROR(Y245/H245,"0")+IFERROR(Y246/H246,"0")</f>
        <v>12</v>
      </c>
      <c r="Z247" s="43">
        <f>IFERROR(IF(Z244="",0,Z244),"0")+IFERROR(IF(Z245="",0,Z245),"0")+IFERROR(IF(Z246="",0,Z246),"0")</f>
        <v>7.0800000000000002E-2</v>
      </c>
      <c r="AA247" s="67"/>
      <c r="AB247" s="67"/>
      <c r="AC247" s="67"/>
    </row>
    <row r="248" spans="1:68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14.000000000000002</v>
      </c>
      <c r="Y248" s="43">
        <f>IFERROR(SUM(Y244:Y246),"0")</f>
        <v>15.120000000000001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600</v>
      </c>
      <c r="Y265" s="55">
        <f t="shared" ref="Y265:Y272" si="39">IFERROR(IF(X265="",0,CEILING((X265/$H265),1)*$H265),"")</f>
        <v>604.80000000000007</v>
      </c>
      <c r="Z265" s="41">
        <f>IFERROR(IF(Y265=0,"",ROUNDUP(Y265/H265,0)*0.00902),"")</f>
        <v>1.01024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621.11111111111109</v>
      </c>
      <c r="BN265" s="78">
        <f t="shared" ref="BN265:BN272" si="41">IFERROR(Y265*I265/H265,"0")</f>
        <v>626.08000000000004</v>
      </c>
      <c r="BO265" s="78">
        <f t="shared" ref="BO265:BO272" si="42">IFERROR(1/J265*(X265/H265),"0")</f>
        <v>0.84175084175084169</v>
      </c>
      <c r="BP265" s="78">
        <f t="shared" ref="BP265:BP272" si="43">IFERROR(1/J265*(Y265/H265),"0")</f>
        <v>0.84848484848484851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100</v>
      </c>
      <c r="Y267" s="55">
        <f t="shared" si="39"/>
        <v>102.60000000000001</v>
      </c>
      <c r="Z267" s="41">
        <f>IFERROR(IF(Y267=0,"",ROUNDUP(Y267/H267,0)*0.00902),"")</f>
        <v>0.17138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103.5185185185185</v>
      </c>
      <c r="BN267" s="78">
        <f t="shared" si="41"/>
        <v>106.21</v>
      </c>
      <c r="BO267" s="78">
        <f t="shared" si="42"/>
        <v>0.14029180695847362</v>
      </c>
      <c r="BP267" s="78">
        <f t="shared" si="43"/>
        <v>0.14393939393939395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180</v>
      </c>
      <c r="Y269" s="55">
        <f t="shared" si="39"/>
        <v>180</v>
      </c>
      <c r="Z269" s="41">
        <f>IFERROR(IF(Y269=0,"",ROUNDUP(Y269/H269,0)*0.00502),"")</f>
        <v>0.502</v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192.99999999999997</v>
      </c>
      <c r="BN269" s="78">
        <f t="shared" si="41"/>
        <v>192.99999999999997</v>
      </c>
      <c r="BO269" s="78">
        <f t="shared" si="42"/>
        <v>0.42735042735042739</v>
      </c>
      <c r="BP269" s="78">
        <f t="shared" si="43"/>
        <v>0.42735042735042739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120</v>
      </c>
      <c r="Y270" s="55">
        <f t="shared" si="39"/>
        <v>120.60000000000001</v>
      </c>
      <c r="Z270" s="41">
        <f>IFERROR(IF(Y270=0,"",ROUNDUP(Y270/H270,0)*0.00502),"")</f>
        <v>0.33634000000000003</v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126.66666666666666</v>
      </c>
      <c r="BN270" s="78">
        <f t="shared" si="41"/>
        <v>127.30000000000001</v>
      </c>
      <c r="BO270" s="78">
        <f t="shared" si="42"/>
        <v>0.28490028490028496</v>
      </c>
      <c r="BP270" s="78">
        <f t="shared" si="43"/>
        <v>0.28632478632478636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180</v>
      </c>
      <c r="Y271" s="55">
        <f t="shared" si="39"/>
        <v>180</v>
      </c>
      <c r="Z271" s="41">
        <f>IFERROR(IF(Y271=0,"",ROUNDUP(Y271/H271,0)*0.00502),"")</f>
        <v>0.502</v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190</v>
      </c>
      <c r="BN271" s="78">
        <f t="shared" si="41"/>
        <v>190</v>
      </c>
      <c r="BO271" s="78">
        <f t="shared" si="42"/>
        <v>0.42735042735042739</v>
      </c>
      <c r="BP271" s="78">
        <f t="shared" si="43"/>
        <v>0.42735042735042739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90</v>
      </c>
      <c r="Y272" s="55">
        <f t="shared" si="39"/>
        <v>90</v>
      </c>
      <c r="Z272" s="41">
        <f>IFERROR(IF(Y272=0,"",ROUNDUP(Y272/H272,0)*0.00502),"")</f>
        <v>0.251</v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95</v>
      </c>
      <c r="BN272" s="78">
        <f t="shared" si="41"/>
        <v>95</v>
      </c>
      <c r="BO272" s="78">
        <f t="shared" si="42"/>
        <v>0.21367521367521369</v>
      </c>
      <c r="BP272" s="78">
        <f t="shared" si="43"/>
        <v>0.21367521367521369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446.2962962962963</v>
      </c>
      <c r="Y273" s="43">
        <f>IFERROR(Y265/H265,"0")+IFERROR(Y266/H266,"0")+IFERROR(Y267/H267,"0")+IFERROR(Y268/H268,"0")+IFERROR(Y269/H269,"0")+IFERROR(Y270/H270,"0")+IFERROR(Y271/H271,"0")+IFERROR(Y272/H272,"0")</f>
        <v>448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2.7729599999999999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1270</v>
      </c>
      <c r="Y274" s="43">
        <f>IFERROR(SUM(Y265:Y272),"0")</f>
        <v>1278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250</v>
      </c>
      <c r="Y276" s="55">
        <f t="shared" ref="Y276:Y287" si="44">IFERROR(IF(X276="",0,CEILING((X276/$H276),1)*$H276),"")</f>
        <v>251.1</v>
      </c>
      <c r="Z276" s="41">
        <f>IFERROR(IF(Y276=0,"",ROUNDUP(Y276/H276,0)*0.01898),"")</f>
        <v>0.58838000000000001</v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265.24691358024694</v>
      </c>
      <c r="BN276" s="78">
        <f t="shared" ref="BN276:BN287" si="46">IFERROR(Y276*I276/H276,"0")</f>
        <v>266.41399999999999</v>
      </c>
      <c r="BO276" s="78">
        <f t="shared" ref="BO276:BO287" si="47">IFERROR(1/J276*(X276/H276),"0")</f>
        <v>0.48225308641975312</v>
      </c>
      <c r="BP276" s="78">
        <f t="shared" ref="BP276:BP287" si="48">IFERROR(1/J276*(Y276/H276),"0")</f>
        <v>0.484375</v>
      </c>
    </row>
    <row r="277" spans="1:68" ht="27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250</v>
      </c>
      <c r="Y277" s="55">
        <f t="shared" si="44"/>
        <v>251.1</v>
      </c>
      <c r="Z277" s="41">
        <f>IFERROR(IF(Y277=0,"",ROUNDUP(Y277/H277,0)*0.01898),"")</f>
        <v>0.58838000000000001</v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264.6913580246914</v>
      </c>
      <c r="BN277" s="78">
        <f t="shared" si="46"/>
        <v>265.85600000000005</v>
      </c>
      <c r="BO277" s="78">
        <f t="shared" si="47"/>
        <v>0.48225308641975312</v>
      </c>
      <c r="BP277" s="78">
        <f t="shared" si="48"/>
        <v>0.484375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300</v>
      </c>
      <c r="Y278" s="55">
        <f t="shared" si="44"/>
        <v>304.5</v>
      </c>
      <c r="Z278" s="41">
        <f>IFERROR(IF(Y278=0,"",ROUNDUP(Y278/H278,0)*0.01898),"")</f>
        <v>0.6643</v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317.03448275862075</v>
      </c>
      <c r="BN278" s="78">
        <f t="shared" si="46"/>
        <v>321.79000000000008</v>
      </c>
      <c r="BO278" s="78">
        <f t="shared" si="47"/>
        <v>0.53879310344827591</v>
      </c>
      <c r="BP278" s="78">
        <f t="shared" si="48"/>
        <v>0.546875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520</v>
      </c>
      <c r="Y279" s="55">
        <f t="shared" si="44"/>
        <v>520.79999999999995</v>
      </c>
      <c r="Z279" s="41">
        <f>IFERROR(IF(Y279=0,"",ROUNDUP(Y279/H279,0)*0.00651),"")</f>
        <v>1.4126700000000001</v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578.5</v>
      </c>
      <c r="BN279" s="78">
        <f t="shared" si="46"/>
        <v>579.39</v>
      </c>
      <c r="BO279" s="78">
        <f t="shared" si="47"/>
        <v>1.1904761904761907</v>
      </c>
      <c r="BP279" s="78">
        <f t="shared" si="48"/>
        <v>1.1923076923076923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200</v>
      </c>
      <c r="Y282" s="55">
        <f t="shared" si="44"/>
        <v>201.6</v>
      </c>
      <c r="Z282" s="41">
        <f>IFERROR(IF(Y282=0,"",ROUNDUP(Y282/H282,0)*0.00651),"")</f>
        <v>0.54683999999999999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221</v>
      </c>
      <c r="BN282" s="78">
        <f t="shared" si="46"/>
        <v>222.768</v>
      </c>
      <c r="BO282" s="78">
        <f t="shared" si="47"/>
        <v>0.45787545787545797</v>
      </c>
      <c r="BP282" s="78">
        <f t="shared" si="48"/>
        <v>0.46153846153846156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88</v>
      </c>
      <c r="Y285" s="55">
        <f t="shared" si="44"/>
        <v>88.8</v>
      </c>
      <c r="Z285" s="41">
        <f>IFERROR(IF(Y285=0,"",ROUNDUP(Y285/H285,0)*0.00651),"")</f>
        <v>0.24087</v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97.240000000000009</v>
      </c>
      <c r="BN285" s="78">
        <f t="shared" si="46"/>
        <v>98.124000000000009</v>
      </c>
      <c r="BO285" s="78">
        <f t="shared" si="47"/>
        <v>0.2014652014652015</v>
      </c>
      <c r="BP285" s="78">
        <f t="shared" si="48"/>
        <v>0.20329670329670332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360</v>
      </c>
      <c r="Y286" s="55">
        <f t="shared" si="44"/>
        <v>360</v>
      </c>
      <c r="Z286" s="41">
        <f>IFERROR(IF(Y286=0,"",ROUNDUP(Y286/H286,0)*0.00651),"")</f>
        <v>0.97650000000000003</v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398.7</v>
      </c>
      <c r="BN286" s="78">
        <f t="shared" si="46"/>
        <v>398.7</v>
      </c>
      <c r="BO286" s="78">
        <f t="shared" si="47"/>
        <v>0.82417582417582425</v>
      </c>
      <c r="BP286" s="78">
        <f t="shared" si="48"/>
        <v>0.82417582417582425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582.87782034908469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585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5.0179399999999994</v>
      </c>
      <c r="AA288" s="67"/>
      <c r="AB288" s="67"/>
      <c r="AC288" s="67"/>
    </row>
    <row r="289" spans="1:68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1968</v>
      </c>
      <c r="Y289" s="43">
        <f>IFERROR(SUM(Y276:Y287),"0")</f>
        <v>1977.8999999999999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40</v>
      </c>
      <c r="Y291" s="55">
        <f>IFERROR(IF(X291="",0,CEILING((X291/$H291),1)*$H291),"")</f>
        <v>40.799999999999997</v>
      </c>
      <c r="Z291" s="41">
        <f>IFERROR(IF(Y291=0,"",ROUNDUP(Y291/H291,0)*0.00651),"")</f>
        <v>0.11067</v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44.20000000000001</v>
      </c>
      <c r="BN291" s="78">
        <f>IFERROR(Y291*I291/H291,"0")</f>
        <v>45.084000000000003</v>
      </c>
      <c r="BO291" s="78">
        <f>IFERROR(1/J291*(X291/H291),"0")</f>
        <v>9.1575091575091583E-2</v>
      </c>
      <c r="BP291" s="78">
        <f>IFERROR(1/J291*(Y291/H291),"0")</f>
        <v>9.3406593406593408E-2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16.666666666666668</v>
      </c>
      <c r="Y293" s="43">
        <f>IFERROR(Y291/H291,"0")+IFERROR(Y292/H292,"0")</f>
        <v>17</v>
      </c>
      <c r="Z293" s="43">
        <f>IFERROR(IF(Z291="",0,Z291),"0")+IFERROR(IF(Z292="",0,Z292),"0")</f>
        <v>0.11067</v>
      </c>
      <c r="AA293" s="67"/>
      <c r="AB293" s="67"/>
      <c r="AC293" s="67"/>
    </row>
    <row r="294" spans="1:68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40</v>
      </c>
      <c r="Y294" s="43">
        <f>IFERROR(SUM(Y291:Y292),"0")</f>
        <v>40.799999999999997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20</v>
      </c>
      <c r="Y299" s="55">
        <f t="shared" si="49"/>
        <v>23.2</v>
      </c>
      <c r="Z299" s="41">
        <f>IFERROR(IF(Y299=0,"",ROUNDUP(Y299/H299,0)*0.01898),"")</f>
        <v>3.7960000000000001E-2</v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20.706896551724139</v>
      </c>
      <c r="BN299" s="78">
        <f t="shared" si="51"/>
        <v>24.02</v>
      </c>
      <c r="BO299" s="78">
        <f t="shared" si="52"/>
        <v>2.6939655172413795E-2</v>
      </c>
      <c r="BP299" s="78">
        <f t="shared" si="53"/>
        <v>3.125E-2</v>
      </c>
    </row>
    <row r="300" spans="1:68" ht="27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16</v>
      </c>
      <c r="Y300" s="55">
        <f t="shared" si="49"/>
        <v>16</v>
      </c>
      <c r="Z300" s="41">
        <f>IFERROR(IF(Y300=0,"",ROUNDUP(Y300/H300,0)*0.00902),"")</f>
        <v>3.6080000000000001E-2</v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16.760000000000002</v>
      </c>
      <c r="BN300" s="78">
        <f t="shared" si="51"/>
        <v>16.760000000000002</v>
      </c>
      <c r="BO300" s="78">
        <f t="shared" si="52"/>
        <v>3.0303030303030304E-2</v>
      </c>
      <c r="BP300" s="78">
        <f t="shared" si="53"/>
        <v>3.0303030303030304E-2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44</v>
      </c>
      <c r="Y303" s="55">
        <f t="shared" si="49"/>
        <v>44</v>
      </c>
      <c r="Z303" s="41">
        <f>IFERROR(IF(Y303=0,"",ROUNDUP(Y303/H303,0)*0.00902),"")</f>
        <v>9.9220000000000003E-2</v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46.09</v>
      </c>
      <c r="BN303" s="78">
        <f t="shared" si="51"/>
        <v>46.09</v>
      </c>
      <c r="BO303" s="78">
        <f t="shared" si="52"/>
        <v>8.3333333333333343E-2</v>
      </c>
      <c r="BP303" s="78">
        <f t="shared" si="53"/>
        <v>8.3333333333333343E-2</v>
      </c>
    </row>
    <row r="304" spans="1:68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16.724137931034484</v>
      </c>
      <c r="Y304" s="43">
        <f>IFERROR(Y297/H297,"0")+IFERROR(Y298/H298,"0")+IFERROR(Y299/H299,"0")+IFERROR(Y300/H300,"0")+IFERROR(Y301/H301,"0")+IFERROR(Y302/H302,"0")+IFERROR(Y303/H303,"0")</f>
        <v>17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0.17326</v>
      </c>
      <c r="AA304" s="67"/>
      <c r="AB304" s="67"/>
      <c r="AC304" s="67"/>
    </row>
    <row r="305" spans="1:68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80</v>
      </c>
      <c r="Y305" s="43">
        <f>IFERROR(SUM(Y297:Y303),"0")</f>
        <v>83.2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12</v>
      </c>
      <c r="Y311" s="55">
        <f>IFERROR(IF(X311="",0,CEILING((X311/$H311),1)*$H311),"")</f>
        <v>12.6</v>
      </c>
      <c r="Z311" s="41">
        <f>IFERROR(IF(Y311=0,"",ROUNDUP(Y311/H311,0)*0.0059),"")</f>
        <v>4.1299999999999996E-2</v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13.166666666666668</v>
      </c>
      <c r="BN311" s="78">
        <f>IFERROR(Y311*I311/H311,"0")</f>
        <v>13.825000000000001</v>
      </c>
      <c r="BO311" s="78">
        <f>IFERROR(1/J311*(X311/H311),"0")</f>
        <v>3.0864197530864192E-2</v>
      </c>
      <c r="BP311" s="78">
        <f>IFERROR(1/J311*(Y311/H311),"0")</f>
        <v>3.2407407407407406E-2</v>
      </c>
    </row>
    <row r="312" spans="1:68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6.6666666666666661</v>
      </c>
      <c r="Y312" s="43">
        <f>IFERROR(Y311/H311,"0")</f>
        <v>7</v>
      </c>
      <c r="Z312" s="43">
        <f>IFERROR(IF(Z311="",0,Z311),"0")</f>
        <v>4.1299999999999996E-2</v>
      </c>
      <c r="AA312" s="67"/>
      <c r="AB312" s="67"/>
      <c r="AC312" s="67"/>
    </row>
    <row r="313" spans="1:68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12</v>
      </c>
      <c r="Y313" s="43">
        <f>IFERROR(SUM(Y311:Y311),"0")</f>
        <v>12.6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120</v>
      </c>
      <c r="Y332" s="55">
        <f>IFERROR(IF(X332="",0,CEILING((X332/$H332),1)*$H332),"")</f>
        <v>120</v>
      </c>
      <c r="Z332" s="41">
        <f>IFERROR(IF(Y332=0,"",ROUNDUP(Y332/H332,0)*0.00651),"")</f>
        <v>0.32550000000000001</v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132.60000000000002</v>
      </c>
      <c r="BN332" s="78">
        <f>IFERROR(Y332*I332/H332,"0")</f>
        <v>132.60000000000002</v>
      </c>
      <c r="BO332" s="78">
        <f>IFERROR(1/J332*(X332/H332),"0")</f>
        <v>0.27472527472527475</v>
      </c>
      <c r="BP332" s="78">
        <f>IFERROR(1/J332*(Y332/H332),"0")</f>
        <v>0.27472527472527475</v>
      </c>
    </row>
    <row r="333" spans="1:68" ht="27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600</v>
      </c>
      <c r="Y333" s="55">
        <f>IFERROR(IF(X333="",0,CEILING((X333/$H333),1)*$H333),"")</f>
        <v>600</v>
      </c>
      <c r="Z333" s="41">
        <f>IFERROR(IF(Y333=0,"",ROUNDUP(Y333/H333,0)*0.00651),"")</f>
        <v>1.6274999999999999</v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645</v>
      </c>
      <c r="BN333" s="78">
        <f>IFERROR(Y333*I333/H333,"0")</f>
        <v>645</v>
      </c>
      <c r="BO333" s="78">
        <f>IFERROR(1/J333*(X333/H333),"0")</f>
        <v>1.3736263736263736</v>
      </c>
      <c r="BP333" s="78">
        <f>IFERROR(1/J333*(Y333/H333),"0")</f>
        <v>1.3736263736263736</v>
      </c>
    </row>
    <row r="334" spans="1:68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300</v>
      </c>
      <c r="Y334" s="43">
        <f>IFERROR(Y331/H331,"0")+IFERROR(Y332/H332,"0")+IFERROR(Y333/H333,"0")</f>
        <v>300</v>
      </c>
      <c r="Z334" s="43">
        <f>IFERROR(IF(Z331="",0,Z331),"0")+IFERROR(IF(Z332="",0,Z332),"0")+IFERROR(IF(Z333="",0,Z333),"0")</f>
        <v>1.9529999999999998</v>
      </c>
      <c r="AA334" s="67"/>
      <c r="AB334" s="67"/>
      <c r="AC334" s="67"/>
    </row>
    <row r="335" spans="1:68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720</v>
      </c>
      <c r="Y335" s="43">
        <f>IFERROR(SUM(Y331:Y333),"0")</f>
        <v>720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150</v>
      </c>
      <c r="Y352" s="55">
        <f>IFERROR(IF(X352="",0,CEILING((X352/$H352),1)*$H352),"")</f>
        <v>156</v>
      </c>
      <c r="Z352" s="41">
        <f>IFERROR(IF(Y352=0,"",ROUNDUP(Y352/H352,0)*0.01898),"")</f>
        <v>0.37959999999999999</v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157.88461538461542</v>
      </c>
      <c r="BN352" s="78">
        <f>IFERROR(Y352*I352/H352,"0")</f>
        <v>164.20000000000005</v>
      </c>
      <c r="BO352" s="78">
        <f>IFERROR(1/J352*(X352/H352),"0")</f>
        <v>0.30048076923076922</v>
      </c>
      <c r="BP352" s="78">
        <f>IFERROR(1/J352*(Y352/H352),"0")</f>
        <v>0.3125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250</v>
      </c>
      <c r="Y353" s="55">
        <f>IFERROR(IF(X353="",0,CEILING((X353/$H353),1)*$H353),"")</f>
        <v>257.39999999999998</v>
      </c>
      <c r="Z353" s="41">
        <f>IFERROR(IF(Y353=0,"",ROUNDUP(Y353/H353,0)*0.01898),"")</f>
        <v>0.62634000000000001</v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263.14102564102564</v>
      </c>
      <c r="BN353" s="78">
        <f>IFERROR(Y353*I353/H353,"0")</f>
        <v>270.93</v>
      </c>
      <c r="BO353" s="78">
        <f>IFERROR(1/J353*(X353/H353),"0")</f>
        <v>0.50080128205128205</v>
      </c>
      <c r="BP353" s="78">
        <f>IFERROR(1/J353*(Y353/H353),"0")</f>
        <v>0.515625</v>
      </c>
    </row>
    <row r="354" spans="1:68" ht="27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90</v>
      </c>
      <c r="Y354" s="55">
        <f>IFERROR(IF(X354="",0,CEILING((X354/$H354),1)*$H354),"")</f>
        <v>93.6</v>
      </c>
      <c r="Z354" s="41">
        <f>IFERROR(IF(Y354=0,"",ROUNDUP(Y354/H354,0)*0.01898),"")</f>
        <v>0.22776000000000002</v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94.730769230769241</v>
      </c>
      <c r="BN354" s="78">
        <f>IFERROR(Y354*I354/H354,"0")</f>
        <v>98.52000000000001</v>
      </c>
      <c r="BO354" s="78">
        <f>IFERROR(1/J354*(X354/H354),"0")</f>
        <v>0.18028846153846154</v>
      </c>
      <c r="BP354" s="78">
        <f>IFERROR(1/J354*(Y354/H354),"0")</f>
        <v>0.1875</v>
      </c>
    </row>
    <row r="355" spans="1:68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62.820512820512825</v>
      </c>
      <c r="Y355" s="43">
        <f>IFERROR(Y352/H352,"0")+IFERROR(Y353/H353,"0")+IFERROR(Y354/H354,"0")</f>
        <v>65</v>
      </c>
      <c r="Z355" s="43">
        <f>IFERROR(IF(Z352="",0,Z352),"0")+IFERROR(IF(Z353="",0,Z353),"0")+IFERROR(IF(Z354="",0,Z354),"0")</f>
        <v>1.2337</v>
      </c>
      <c r="AA355" s="67"/>
      <c r="AB355" s="67"/>
      <c r="AC355" s="67"/>
    </row>
    <row r="356" spans="1:68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490</v>
      </c>
      <c r="Y356" s="43">
        <f>IFERROR(SUM(Y352:Y354),"0")</f>
        <v>507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350</v>
      </c>
      <c r="Y372" s="55">
        <f t="shared" si="59"/>
        <v>350.7</v>
      </c>
      <c r="Z372" s="41">
        <f>IFERROR(IF(Y372=0,"",ROUNDUP(Y372/H372,0)*0.00502),"")</f>
        <v>0.83833999999999997</v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366.66666666666669</v>
      </c>
      <c r="BN372" s="78">
        <f t="shared" si="61"/>
        <v>367.40000000000003</v>
      </c>
      <c r="BO372" s="78">
        <f t="shared" si="62"/>
        <v>0.71225071225071224</v>
      </c>
      <c r="BP372" s="78">
        <f t="shared" si="63"/>
        <v>0.71367521367521369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48</v>
      </c>
      <c r="Y374" s="55">
        <f t="shared" si="59"/>
        <v>48.6</v>
      </c>
      <c r="Z374" s="41">
        <f>IFERROR(IF(Y374=0,"",ROUNDUP(Y374/H374,0)*0.00651),"")</f>
        <v>0.17577000000000001</v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54.08</v>
      </c>
      <c r="BN374" s="78">
        <f t="shared" si="61"/>
        <v>54.756</v>
      </c>
      <c r="BO374" s="78">
        <f t="shared" si="62"/>
        <v>0.14652014652014653</v>
      </c>
      <c r="BP374" s="78">
        <f t="shared" si="63"/>
        <v>0.14835164835164835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193.33333333333331</v>
      </c>
      <c r="Y375" s="43">
        <f>IFERROR(Y368/H368,"0")+IFERROR(Y369/H369,"0")+IFERROR(Y370/H370,"0")+IFERROR(Y371/H371,"0")+IFERROR(Y372/H372,"0")+IFERROR(Y373/H373,"0")+IFERROR(Y374/H374,"0")</f>
        <v>194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1.0141100000000001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398</v>
      </c>
      <c r="Y376" s="43">
        <f>IFERROR(SUM(Y368:Y374),"0")</f>
        <v>399.3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600</v>
      </c>
      <c r="Y385" s="55">
        <f>IFERROR(IF(X385="",0,CEILING((X385/$H385),1)*$H385),"")</f>
        <v>604.80000000000007</v>
      </c>
      <c r="Z385" s="41">
        <f>IFERROR(IF(Y385=0,"",ROUNDUP(Y385/H385,0)*0.01898),"")</f>
        <v>1.36656</v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635.28571428571422</v>
      </c>
      <c r="BN385" s="78">
        <f>IFERROR(Y385*I385/H385,"0")</f>
        <v>640.36800000000005</v>
      </c>
      <c r="BO385" s="78">
        <f>IFERROR(1/J385*(X385/H385),"0")</f>
        <v>1.1160714285714286</v>
      </c>
      <c r="BP385" s="78">
        <f>IFERROR(1/J385*(Y385/H385),"0")</f>
        <v>1.125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700</v>
      </c>
      <c r="Y386" s="55">
        <f>IFERROR(IF(X386="",0,CEILING((X386/$H386),1)*$H386),"")</f>
        <v>702</v>
      </c>
      <c r="Z386" s="41">
        <f>IFERROR(IF(Y386=0,"",ROUNDUP(Y386/H386,0)*0.01898),"")</f>
        <v>1.7081999999999999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744.33333333333337</v>
      </c>
      <c r="BN386" s="78">
        <f>IFERROR(Y386*I386/H386,"0")</f>
        <v>746.46</v>
      </c>
      <c r="BO386" s="78">
        <f>IFERROR(1/J386*(X386/H386),"0")</f>
        <v>1.4022435897435899</v>
      </c>
      <c r="BP386" s="78">
        <f>IFERROR(1/J386*(Y386/H386),"0")</f>
        <v>1.40625</v>
      </c>
    </row>
    <row r="387" spans="1:68" ht="27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100</v>
      </c>
      <c r="Y387" s="55">
        <f>IFERROR(IF(X387="",0,CEILING((X387/$H387),1)*$H387),"")</f>
        <v>100.80000000000001</v>
      </c>
      <c r="Z387" s="41">
        <f>IFERROR(IF(Y387=0,"",ROUNDUP(Y387/H387,0)*0.01898),"")</f>
        <v>0.22776000000000002</v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105.88095238095238</v>
      </c>
      <c r="BN387" s="78">
        <f>IFERROR(Y387*I387/H387,"0")</f>
        <v>106.72800000000001</v>
      </c>
      <c r="BO387" s="78">
        <f>IFERROR(1/J387*(X387/H387),"0")</f>
        <v>0.18601190476190477</v>
      </c>
      <c r="BP387" s="78">
        <f>IFERROR(1/J387*(Y387/H387),"0")</f>
        <v>0.1875</v>
      </c>
    </row>
    <row r="388" spans="1:68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173.07692307692307</v>
      </c>
      <c r="Y388" s="43">
        <f>IFERROR(Y385/H385,"0")+IFERROR(Y386/H386,"0")+IFERROR(Y387/H387,"0")</f>
        <v>174</v>
      </c>
      <c r="Z388" s="43">
        <f>IFERROR(IF(Z385="",0,Z385),"0")+IFERROR(IF(Z386="",0,Z386),"0")+IFERROR(IF(Z387="",0,Z387),"0")</f>
        <v>3.3025199999999999</v>
      </c>
      <c r="AA388" s="67"/>
      <c r="AB388" s="67"/>
      <c r="AC388" s="67"/>
    </row>
    <row r="389" spans="1:68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1400</v>
      </c>
      <c r="Y389" s="43">
        <f>IFERROR(SUM(Y385:Y387),"0")</f>
        <v>1407.6000000000001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100</v>
      </c>
      <c r="Y398" s="55">
        <f>IFERROR(IF(X398="",0,CEILING((X398/$H398),1)*$H398),"")</f>
        <v>100</v>
      </c>
      <c r="Z398" s="41">
        <f>IFERROR(IF(Y398=0,"",ROUNDUP(Y398/H398,0)*0.00474),"")</f>
        <v>0.23700000000000002</v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112.00000000000001</v>
      </c>
      <c r="BN398" s="78">
        <f>IFERROR(Y398*I398/H398,"0")</f>
        <v>112.00000000000001</v>
      </c>
      <c r="BO398" s="78">
        <f>IFERROR(1/J398*(X398/H398),"0")</f>
        <v>0.21008403361344538</v>
      </c>
      <c r="BP398" s="78">
        <f>IFERROR(1/J398*(Y398/H398),"0")</f>
        <v>0.21008403361344538</v>
      </c>
    </row>
    <row r="399" spans="1:68" ht="27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50</v>
      </c>
      <c r="Y399" s="55">
        <f>IFERROR(IF(X399="",0,CEILING((X399/$H399),1)*$H399),"")</f>
        <v>50</v>
      </c>
      <c r="Z399" s="41">
        <f>IFERROR(IF(Y399=0,"",ROUNDUP(Y399/H399,0)*0.00474),"")</f>
        <v>0.11850000000000001</v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56.000000000000007</v>
      </c>
      <c r="BN399" s="78">
        <f>IFERROR(Y399*I399/H399,"0")</f>
        <v>56.000000000000007</v>
      </c>
      <c r="BO399" s="78">
        <f>IFERROR(1/J399*(X399/H399),"0")</f>
        <v>0.10504201680672269</v>
      </c>
      <c r="BP399" s="78">
        <f>IFERROR(1/J399*(Y399/H399),"0")</f>
        <v>0.10504201680672269</v>
      </c>
    </row>
    <row r="400" spans="1:68" ht="27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100</v>
      </c>
      <c r="Y400" s="55">
        <f>IFERROR(IF(X400="",0,CEILING((X400/$H400),1)*$H400),"")</f>
        <v>100</v>
      </c>
      <c r="Z400" s="41">
        <f>IFERROR(IF(Y400=0,"",ROUNDUP(Y400/H400,0)*0.00474),"")</f>
        <v>0.23700000000000002</v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112.00000000000001</v>
      </c>
      <c r="BN400" s="78">
        <f>IFERROR(Y400*I400/H400,"0")</f>
        <v>112.00000000000001</v>
      </c>
      <c r="BO400" s="78">
        <f>IFERROR(1/J400*(X400/H400),"0")</f>
        <v>0.21008403361344538</v>
      </c>
      <c r="BP400" s="78">
        <f>IFERROR(1/J400*(Y400/H400),"0")</f>
        <v>0.21008403361344538</v>
      </c>
    </row>
    <row r="401" spans="1:68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125</v>
      </c>
      <c r="Y401" s="43">
        <f>IFERROR(Y398/H398,"0")+IFERROR(Y399/H399,"0")+IFERROR(Y400/H400,"0")</f>
        <v>125</v>
      </c>
      <c r="Z401" s="43">
        <f>IFERROR(IF(Z398="",0,Z398),"0")+IFERROR(IF(Z399="",0,Z399),"0")+IFERROR(IF(Z400="",0,Z400),"0")</f>
        <v>0.59250000000000003</v>
      </c>
      <c r="AA401" s="67"/>
      <c r="AB401" s="67"/>
      <c r="AC401" s="67"/>
    </row>
    <row r="402" spans="1:68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250</v>
      </c>
      <c r="Y402" s="43">
        <f>IFERROR(SUM(Y398:Y400),"0")</f>
        <v>250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175</v>
      </c>
      <c r="Y418" s="55">
        <f>IFERROR(IF(X418="",0,CEILING((X418/$H418),1)*$H418),"")</f>
        <v>176.4</v>
      </c>
      <c r="Z418" s="41">
        <f>IFERROR(IF(Y418=0,"",ROUNDUP(Y418/H418,0)*0.00651),"")</f>
        <v>0.54683999999999999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195.99999999999997</v>
      </c>
      <c r="BN418" s="78">
        <f>IFERROR(Y418*I418/H418,"0")</f>
        <v>197.56799999999998</v>
      </c>
      <c r="BO418" s="78">
        <f>IFERROR(1/J418*(X418/H418),"0")</f>
        <v>0.45787545787545786</v>
      </c>
      <c r="BP418" s="78">
        <f>IFERROR(1/J418*(Y418/H418),"0")</f>
        <v>0.46153846153846156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83.333333333333329</v>
      </c>
      <c r="Y420" s="43">
        <f>IFERROR(Y417/H417,"0")+IFERROR(Y418/H418,"0")+IFERROR(Y419/H419,"0")</f>
        <v>84</v>
      </c>
      <c r="Z420" s="43">
        <f>IFERROR(IF(Z417="",0,Z417),"0")+IFERROR(IF(Z418="",0,Z418),"0")+IFERROR(IF(Z419="",0,Z419),"0")</f>
        <v>0.54683999999999999</v>
      </c>
      <c r="AA420" s="67"/>
      <c r="AB420" s="67"/>
      <c r="AC420" s="67"/>
    </row>
    <row r="421" spans="1:68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175</v>
      </c>
      <c r="Y421" s="43">
        <f>IFERROR(SUM(Y417:Y419),"0")</f>
        <v>176.4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120</v>
      </c>
      <c r="Y425" s="55">
        <f t="shared" ref="Y425:Y432" si="64">IFERROR(IF(X425="",0,CEILING((X425/$H425),1)*$H425),"")</f>
        <v>120</v>
      </c>
      <c r="Z425" s="41">
        <f>IFERROR(IF(Y425=0,"",ROUNDUP(Y425/H425,0)*0.02175),"")</f>
        <v>0.17399999999999999</v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123.76</v>
      </c>
      <c r="BN425" s="78">
        <f t="shared" ref="BN425:BN432" si="66">IFERROR(Y425*I425/H425,"0")</f>
        <v>123.76</v>
      </c>
      <c r="BO425" s="78">
        <f t="shared" ref="BO425:BO432" si="67">IFERROR(1/J425*(X425/H425),"0")</f>
        <v>0.16666666666666666</v>
      </c>
      <c r="BP425" s="78">
        <f t="shared" ref="BP425:BP432" si="68">IFERROR(1/J425*(Y425/H425),"0")</f>
        <v>0.16666666666666666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8</v>
      </c>
      <c r="Y433" s="43">
        <f>IFERROR(Y425/H425,"0")+IFERROR(Y426/H426,"0")+IFERROR(Y427/H427,"0")+IFERROR(Y428/H428,"0")+IFERROR(Y429/H429,"0")+IFERROR(Y430/H430,"0")+IFERROR(Y431/H431,"0")+IFERROR(Y432/H432,"0")</f>
        <v>8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0.17399999999999999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120</v>
      </c>
      <c r="Y434" s="43">
        <f>IFERROR(SUM(Y425:Y432),"0")</f>
        <v>120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100</v>
      </c>
      <c r="Y443" s="55">
        <f>IFERROR(IF(X443="",0,CEILING((X443/$H443),1)*$H443),"")</f>
        <v>108</v>
      </c>
      <c r="Z443" s="41">
        <f>IFERROR(IF(Y443=0,"",ROUNDUP(Y443/H443,0)*0.01898),"")</f>
        <v>0.22776000000000002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105.48888888888888</v>
      </c>
      <c r="BN443" s="78">
        <f>IFERROR(Y443*I443/H443,"0")</f>
        <v>113.92799999999998</v>
      </c>
      <c r="BO443" s="78">
        <f>IFERROR(1/J443*(X443/H443),"0")</f>
        <v>0.1736111111111111</v>
      </c>
      <c r="BP443" s="78">
        <f>IFERROR(1/J443*(Y443/H443),"0")</f>
        <v>0.1875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11.111111111111111</v>
      </c>
      <c r="Y445" s="43">
        <f>IFERROR(Y442/H442,"0")+IFERROR(Y443/H443,"0")+IFERROR(Y444/H444,"0")</f>
        <v>12</v>
      </c>
      <c r="Z445" s="43">
        <f>IFERROR(IF(Z442="",0,Z442),"0")+IFERROR(IF(Z443="",0,Z443),"0")+IFERROR(IF(Z444="",0,Z444),"0")</f>
        <v>0.22776000000000002</v>
      </c>
      <c r="AA445" s="67"/>
      <c r="AB445" s="67"/>
      <c r="AC445" s="67"/>
    </row>
    <row r="446" spans="1:68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100</v>
      </c>
      <c r="Y446" s="43">
        <f>IFERROR(SUM(Y442:Y444),"0")</f>
        <v>108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60</v>
      </c>
      <c r="Y449" s="55">
        <f>IFERROR(IF(X449="",0,CEILING((X449/$H449),1)*$H449),"")</f>
        <v>63</v>
      </c>
      <c r="Z449" s="41">
        <f>IFERROR(IF(Y449=0,"",ROUNDUP(Y449/H449,0)*0.01898),"")</f>
        <v>0.13286000000000001</v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63.293333333333329</v>
      </c>
      <c r="BN449" s="78">
        <f>IFERROR(Y449*I449/H449,"0")</f>
        <v>66.457999999999998</v>
      </c>
      <c r="BO449" s="78">
        <f>IFERROR(1/J449*(X449/H449),"0")</f>
        <v>0.10416666666666667</v>
      </c>
      <c r="BP449" s="78">
        <f>IFERROR(1/J449*(Y449/H449),"0")</f>
        <v>0.109375</v>
      </c>
    </row>
    <row r="450" spans="1:68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6.666666666666667</v>
      </c>
      <c r="Y450" s="43">
        <f>IFERROR(Y448/H448,"0")+IFERROR(Y449/H449,"0")</f>
        <v>7</v>
      </c>
      <c r="Z450" s="43">
        <f>IFERROR(IF(Z448="",0,Z448),"0")+IFERROR(IF(Z449="",0,Z449),"0")</f>
        <v>0.13286000000000001</v>
      </c>
      <c r="AA450" s="67"/>
      <c r="AB450" s="67"/>
      <c r="AC450" s="67"/>
    </row>
    <row r="451" spans="1:68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60</v>
      </c>
      <c r="Y451" s="43">
        <f>IFERROR(SUM(Y448:Y449),"0")</f>
        <v>63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30</v>
      </c>
      <c r="Y454" s="55">
        <f>IFERROR(IF(X454="",0,CEILING((X454/$H454),1)*$H454),"")</f>
        <v>36</v>
      </c>
      <c r="Z454" s="41">
        <f>IFERROR(IF(Y454=0,"",ROUNDUP(Y454/H454,0)*0.01898),"")</f>
        <v>5.6940000000000004E-2</v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31.025000000000002</v>
      </c>
      <c r="BN454" s="78">
        <f>IFERROR(Y454*I454/H454,"0")</f>
        <v>37.229999999999997</v>
      </c>
      <c r="BO454" s="78">
        <f>IFERROR(1/J454*(X454/H454),"0")</f>
        <v>3.90625E-2</v>
      </c>
      <c r="BP454" s="78">
        <f>IFERROR(1/J454*(Y454/H454),"0")</f>
        <v>4.6875E-2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2.5</v>
      </c>
      <c r="Y456" s="43">
        <f>IFERROR(Y454/H454,"0")+IFERROR(Y455/H455,"0")</f>
        <v>3</v>
      </c>
      <c r="Z456" s="43">
        <f>IFERROR(IF(Z454="",0,Z454),"0")+IFERROR(IF(Z455="",0,Z455),"0")</f>
        <v>5.6940000000000004E-2</v>
      </c>
      <c r="AA456" s="67"/>
      <c r="AB456" s="67"/>
      <c r="AC456" s="67"/>
    </row>
    <row r="457" spans="1:68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30</v>
      </c>
      <c r="Y457" s="43">
        <f>IFERROR(SUM(Y454:Y455),"0")</f>
        <v>36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60</v>
      </c>
      <c r="Y463" s="55">
        <f>IFERROR(IF(X463="",0,CEILING((X463/$H463),1)*$H463),"")</f>
        <v>63</v>
      </c>
      <c r="Z463" s="41">
        <f>IFERROR(IF(Y463=0,"",ROUNDUP(Y463/H463,0)*0.01898),"")</f>
        <v>0.13286000000000001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63.293333333333329</v>
      </c>
      <c r="BN463" s="78">
        <f>IFERROR(Y463*I463/H463,"0")</f>
        <v>66.457999999999998</v>
      </c>
      <c r="BO463" s="78">
        <f>IFERROR(1/J463*(X463/H463),"0")</f>
        <v>0.10416666666666667</v>
      </c>
      <c r="BP463" s="78">
        <f>IFERROR(1/J463*(Y463/H463),"0")</f>
        <v>0.109375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6.666666666666667</v>
      </c>
      <c r="Y466" s="43">
        <f>IFERROR(Y463/H463,"0")+IFERROR(Y464/H464,"0")+IFERROR(Y465/H465,"0")</f>
        <v>7</v>
      </c>
      <c r="Z466" s="43">
        <f>IFERROR(IF(Z463="",0,Z463),"0")+IFERROR(IF(Z464="",0,Z464),"0")+IFERROR(IF(Z465="",0,Z465),"0")</f>
        <v>0.13286000000000001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60</v>
      </c>
      <c r="Y467" s="43">
        <f>IFERROR(SUM(Y463:Y465),"0")</f>
        <v>63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50</v>
      </c>
      <c r="Y498" s="55">
        <f t="shared" ref="Y498:Y506" si="74">IFERROR(IF(X498="",0,CEILING((X498/$H498),1)*$H498),"")</f>
        <v>52.800000000000004</v>
      </c>
      <c r="Z498" s="41">
        <f t="shared" ref="Z498:Z503" si="75">IFERROR(IF(Y498=0,"",ROUNDUP(Y498/H498,0)*0.01196),"")</f>
        <v>0.1196</v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53.314393939393938</v>
      </c>
      <c r="BN498" s="78">
        <f t="shared" ref="BN498:BN506" si="77">IFERROR(Y498*I498/H498,"0")</f>
        <v>56.3</v>
      </c>
      <c r="BO498" s="78">
        <f t="shared" ref="BO498:BO506" si="78">IFERROR(1/J498*(X498/H498),"0")</f>
        <v>9.1054778554778545E-2</v>
      </c>
      <c r="BP498" s="78">
        <f t="shared" ref="BP498:BP506" si="79">IFERROR(1/J498*(Y498/H498),"0")</f>
        <v>9.6153846153846159E-2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90</v>
      </c>
      <c r="Y501" s="55">
        <f t="shared" si="74"/>
        <v>95.04</v>
      </c>
      <c r="Z501" s="41">
        <f t="shared" si="75"/>
        <v>0.21528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95.965909090909079</v>
      </c>
      <c r="BN501" s="78">
        <f t="shared" si="77"/>
        <v>101.33999999999999</v>
      </c>
      <c r="BO501" s="78">
        <f t="shared" si="78"/>
        <v>0.16389860139860138</v>
      </c>
      <c r="BP501" s="78">
        <f t="shared" si="79"/>
        <v>0.17307692307692307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400</v>
      </c>
      <c r="Y503" s="55">
        <f t="shared" si="74"/>
        <v>401.28000000000003</v>
      </c>
      <c r="Z503" s="41">
        <f t="shared" si="75"/>
        <v>0.90895999999999999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426.5151515151515</v>
      </c>
      <c r="BN503" s="78">
        <f t="shared" si="77"/>
        <v>427.88</v>
      </c>
      <c r="BO503" s="78">
        <f t="shared" si="78"/>
        <v>0.72843822843822836</v>
      </c>
      <c r="BP503" s="78">
        <f t="shared" si="79"/>
        <v>0.73076923076923084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108</v>
      </c>
      <c r="Y505" s="55">
        <f t="shared" si="74"/>
        <v>110.39999999999999</v>
      </c>
      <c r="Z505" s="41">
        <f>IFERROR(IF(Y505=0,"",ROUNDUP(Y505/H505,0)*0.00902),"")</f>
        <v>0.20746000000000001</v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155.47499999999999</v>
      </c>
      <c r="BN505" s="78">
        <f t="shared" si="77"/>
        <v>158.92999999999998</v>
      </c>
      <c r="BO505" s="78">
        <f t="shared" si="78"/>
        <v>0.17045454545454547</v>
      </c>
      <c r="BP505" s="78">
        <f t="shared" si="79"/>
        <v>0.17424242424242425</v>
      </c>
    </row>
    <row r="506" spans="1:68" ht="27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390</v>
      </c>
      <c r="Y506" s="55">
        <f t="shared" si="74"/>
        <v>393.59999999999997</v>
      </c>
      <c r="Z506" s="41">
        <f>IFERROR(IF(Y506=0,"",ROUNDUP(Y506/H506,0)*0.00902),"")</f>
        <v>0.73964000000000008</v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561.4375</v>
      </c>
      <c r="BN506" s="78">
        <f t="shared" si="77"/>
        <v>566.62</v>
      </c>
      <c r="BO506" s="78">
        <f t="shared" si="78"/>
        <v>0.61553030303030309</v>
      </c>
      <c r="BP506" s="78">
        <f t="shared" si="79"/>
        <v>0.62121212121212122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206.02272727272725</v>
      </c>
      <c r="Y507" s="43">
        <f>IFERROR(Y498/H498,"0")+IFERROR(Y499/H499,"0")+IFERROR(Y500/H500,"0")+IFERROR(Y501/H501,"0")+IFERROR(Y502/H502,"0")+IFERROR(Y503/H503,"0")+IFERROR(Y504/H504,"0")+IFERROR(Y505/H505,"0")+IFERROR(Y506/H506,"0")</f>
        <v>209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2.1909400000000003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1038</v>
      </c>
      <c r="Y508" s="43">
        <f>IFERROR(SUM(Y498:Y506),"0")</f>
        <v>1053.1199999999999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320</v>
      </c>
      <c r="Y510" s="55">
        <f>IFERROR(IF(X510="",0,CEILING((X510/$H510),1)*$H510),"")</f>
        <v>322.08000000000004</v>
      </c>
      <c r="Z510" s="41">
        <f>IFERROR(IF(Y510=0,"",ROUNDUP(Y510/H510,0)*0.01196),"")</f>
        <v>0.72955999999999999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341.21212121212119</v>
      </c>
      <c r="BN510" s="78">
        <f>IFERROR(Y510*I510/H510,"0")</f>
        <v>343.43000000000006</v>
      </c>
      <c r="BO510" s="78">
        <f>IFERROR(1/J510*(X510/H510),"0")</f>
        <v>0.58275058275058278</v>
      </c>
      <c r="BP510" s="78">
        <f>IFERROR(1/J510*(Y510/H510),"0")</f>
        <v>0.58653846153846168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150</v>
      </c>
      <c r="Y512" s="55">
        <f>IFERROR(IF(X512="",0,CEILING((X512/$H512),1)*$H512),"")</f>
        <v>153.6</v>
      </c>
      <c r="Z512" s="41">
        <f>IFERROR(IF(Y512=0,"",ROUNDUP(Y512/H512,0)*0.00902),"")</f>
        <v>0.28864000000000001</v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215.9375</v>
      </c>
      <c r="BN512" s="78">
        <f>IFERROR(Y512*I512/H512,"0")</f>
        <v>221.12</v>
      </c>
      <c r="BO512" s="78">
        <f>IFERROR(1/J512*(X512/H512),"0")</f>
        <v>0.23674242424242425</v>
      </c>
      <c r="BP512" s="78">
        <f>IFERROR(1/J512*(Y512/H512),"0")</f>
        <v>0.24242424242424243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91.856060606060595</v>
      </c>
      <c r="Y513" s="43">
        <f>IFERROR(Y510/H510,"0")+IFERROR(Y511/H511,"0")+IFERROR(Y512/H512,"0")</f>
        <v>93</v>
      </c>
      <c r="Z513" s="43">
        <f>IFERROR(IF(Z510="",0,Z510),"0")+IFERROR(IF(Z511="",0,Z511),"0")+IFERROR(IF(Z512="",0,Z512),"0")</f>
        <v>1.0182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470</v>
      </c>
      <c r="Y514" s="43">
        <f>IFERROR(SUM(Y510:Y512),"0")</f>
        <v>475.68000000000006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100</v>
      </c>
      <c r="Y518" s="55">
        <f t="shared" si="80"/>
        <v>100.32000000000001</v>
      </c>
      <c r="Z518" s="41">
        <f>IFERROR(IF(Y518=0,"",ROUNDUP(Y518/H518,0)*0.01196),"")</f>
        <v>0.22724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106.62878787878788</v>
      </c>
      <c r="BN518" s="78">
        <f t="shared" si="82"/>
        <v>106.97</v>
      </c>
      <c r="BO518" s="78">
        <f t="shared" si="83"/>
        <v>0.18210955710955709</v>
      </c>
      <c r="BP518" s="78">
        <f t="shared" si="84"/>
        <v>0.18269230769230771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78</v>
      </c>
      <c r="Y522" s="55">
        <f t="shared" si="80"/>
        <v>81.599999999999994</v>
      </c>
      <c r="Z522" s="41">
        <f>IFERROR(IF(Y522=0,"",ROUNDUP(Y522/H522,0)*0.00902),"")</f>
        <v>0.15334</v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108.3875</v>
      </c>
      <c r="BN522" s="78">
        <f t="shared" si="82"/>
        <v>113.38999999999999</v>
      </c>
      <c r="BO522" s="78">
        <f t="shared" si="83"/>
        <v>0.12310606060606061</v>
      </c>
      <c r="BP522" s="78">
        <f t="shared" si="84"/>
        <v>0.12878787878787878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35.189393939393938</v>
      </c>
      <c r="Y523" s="43">
        <f>IFERROR(Y516/H516,"0")+IFERROR(Y517/H517,"0")+IFERROR(Y518/H518,"0")+IFERROR(Y519/H519,"0")+IFERROR(Y520/H520,"0")+IFERROR(Y521/H521,"0")+IFERROR(Y522/H522,"0")</f>
        <v>36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0.38058000000000003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178</v>
      </c>
      <c r="Y524" s="43">
        <f>IFERROR(SUM(Y516:Y522),"0")</f>
        <v>181.92000000000002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160</v>
      </c>
      <c r="Y528" s="55">
        <f>IFERROR(IF(X528="",0,CEILING((X528/$H528),1)*$H528),"")</f>
        <v>168</v>
      </c>
      <c r="Z528" s="41">
        <f>IFERROR(IF(Y528=0,"",ROUNDUP(Y528/H528,0)*0.01898),"")</f>
        <v>0.26572000000000001</v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165.46666666666667</v>
      </c>
      <c r="BN528" s="78">
        <f>IFERROR(Y528*I528/H528,"0")</f>
        <v>173.74</v>
      </c>
      <c r="BO528" s="78">
        <f>IFERROR(1/J528*(X528/H528),"0")</f>
        <v>0.20833333333333334</v>
      </c>
      <c r="BP528" s="78">
        <f>IFERROR(1/J528*(Y528/H528),"0")</f>
        <v>0.21875</v>
      </c>
    </row>
    <row r="529" spans="1:68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13.333333333333334</v>
      </c>
      <c r="Y529" s="43">
        <f>IFERROR(Y528/H528,"0")</f>
        <v>14</v>
      </c>
      <c r="Z529" s="43">
        <f>IFERROR(IF(Z528="",0,Z528),"0")</f>
        <v>0.26572000000000001</v>
      </c>
      <c r="AA529" s="67"/>
      <c r="AB529" s="67"/>
      <c r="AC529" s="67"/>
    </row>
    <row r="530" spans="1:68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160</v>
      </c>
      <c r="Y530" s="43">
        <f>IFERROR(SUM(Y528:Y528),"0")</f>
        <v>168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900</v>
      </c>
      <c r="Y540" s="55">
        <f>IFERROR(IF(X540="",0,CEILING((X540/$H540),1)*$H540),"")</f>
        <v>900</v>
      </c>
      <c r="Z540" s="41">
        <f>IFERROR(IF(Y540=0,"",ROUNDUP(Y540/H540,0)*0.01898),"")</f>
        <v>1.8980000000000001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949.40000000000009</v>
      </c>
      <c r="BN540" s="78">
        <f>IFERROR(Y540*I540/H540,"0")</f>
        <v>949.40000000000009</v>
      </c>
      <c r="BO540" s="78">
        <f>IFERROR(1/J540*(X540/H540),"0")</f>
        <v>1.5625</v>
      </c>
      <c r="BP540" s="78">
        <f>IFERROR(1/J540*(Y540/H540),"0")</f>
        <v>1.5625</v>
      </c>
    </row>
    <row r="541" spans="1:68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100</v>
      </c>
      <c r="Y541" s="43">
        <f>IFERROR(Y540/H540,"0")</f>
        <v>100</v>
      </c>
      <c r="Z541" s="43">
        <f>IFERROR(IF(Z540="",0,Z540),"0")</f>
        <v>1.8980000000000001</v>
      </c>
      <c r="AA541" s="67"/>
      <c r="AB541" s="67"/>
      <c r="AC541" s="67"/>
    </row>
    <row r="542" spans="1:68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900</v>
      </c>
      <c r="Y542" s="43">
        <f>IFERROR(SUM(Y540:Y540),"0")</f>
        <v>900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17384.099999999999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17533.699999999997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18779.671271979409</v>
      </c>
      <c r="Y554" s="43">
        <f>IFERROR(SUM(BN22:BN550),"0")</f>
        <v>18942.571000000004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35</v>
      </c>
      <c r="Y555" s="44">
        <f>ROUNDUP(SUM(BP22:BP550),0)</f>
        <v>35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19654.671271979409</v>
      </c>
      <c r="Y556" s="43">
        <f>GrossWeightTotalR+PalletQtyTotalR*25</f>
        <v>19817.571000000004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4756.821442499604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4784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41.109700000000004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36.480000000000004</v>
      </c>
      <c r="D563" s="52">
        <f>IFERROR(Y48*1,"0")+IFERROR(Y49*1,"0")+IFERROR(Y50*1,"0")+IFERROR(Y51*1,"0")</f>
        <v>380.4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847.8</v>
      </c>
      <c r="F563" s="52">
        <f>IFERROR(Y83*1,"0")+IFERROR(Y84*1,"0")+IFERROR(Y85*1,"0")+IFERROR(Y86*1,"0")+IFERROR(Y90*1,"0")+IFERROR(Y91*1,"0")+IFERROR(Y92*1,"0")+IFERROR(Y93*1,"0")</f>
        <v>1557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1929.42</v>
      </c>
      <c r="H563" s="52">
        <f>IFERROR(Y128*1,"0")+IFERROR(Y129*1,"0")+IFERROR(Y130*1,"0")+IFERROR(Y134*1,"0")+IFERROR(Y135*1,"0")+IFERROR(Y136*1,"0")+IFERROR(Y137*1,"0")+IFERROR(Y141*1,"0")+IFERROR(Y142*1,"0")+IFERROR(Y143*1,"0")</f>
        <v>308.16000000000003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1708</v>
      </c>
      <c r="K563" s="52">
        <f>IFERROR(Y204*1,"0")+IFERROR(Y205*1,"0")+IFERROR(Y206*1,"0")+IFERROR(Y207*1,"0")+IFERROR(Y208*1,"0")+IFERROR(Y209*1,"0")+IFERROR(Y210*1,"0")</f>
        <v>54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690.91999999999985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3296.7000000000003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95.8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720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507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2056.9</v>
      </c>
      <c r="U563" s="52">
        <f>IFERROR(Y411*1,"0")+IFERROR(Y412*1,"0")</f>
        <v>0</v>
      </c>
      <c r="V563" s="52">
        <f>IFERROR(Y417*1,"0")+IFERROR(Y418*1,"0")+IFERROR(Y419*1,"0")</f>
        <v>176.4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291</v>
      </c>
      <c r="X563" s="52">
        <f>IFERROR(Y454*1,"0")+IFERROR(Y455*1,"0")+IFERROR(Y459*1,"0")+IFERROR(Y463*1,"0")+IFERROR(Y464*1,"0")+IFERROR(Y465*1,"0")</f>
        <v>99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1710.7199999999996</v>
      </c>
      <c r="AB563" s="52">
        <f>IFERROR(Y528*1,"0")+IFERROR(Y532*1,"0")+IFERROR(Y536*1,"0")+IFERROR(Y540*1,"0")+IFERROR(Y544*1,"0")+IFERROR(Y545*1,"0")</f>
        <v>1068</v>
      </c>
      <c r="AC563" s="52">
        <f>IFERROR(Y550*1,"0")</f>
        <v>0</v>
      </c>
      <c r="AF563" s="1"/>
    </row>
  </sheetData>
  <sheetProtection algorithmName="SHA-512" hashValue="625E/Ox0Dh7cPCzFN23NAzM4g1uK2PI9MIxWnwT518AEwGRlfhk4Yh22ZsP7ZrKejmxYezTDGnJ82vPV1pVeMg==" saltValue="BKxHuhJMrmwBZzduNz5YU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8,00"/>
        <filter val="1 270,00"/>
        <filter val="1 355,00"/>
        <filter val="1 400,00"/>
        <filter val="1 704,00"/>
        <filter val="1 968,00"/>
        <filter val="100,00"/>
        <filter val="108,00"/>
        <filter val="11,11"/>
        <filter val="110,00"/>
        <filter val="114,81"/>
        <filter val="115,50"/>
        <filter val="118,52"/>
        <filter val="12,00"/>
        <filter val="120,00"/>
        <filter val="125,00"/>
        <filter val="13,33"/>
        <filter val="14,00"/>
        <filter val="140,00"/>
        <filter val="150,00"/>
        <filter val="16,00"/>
        <filter val="16,67"/>
        <filter val="16,72"/>
        <filter val="160,00"/>
        <filter val="168,00"/>
        <filter val="17 384,10"/>
        <filter val="173,08"/>
        <filter val="175,00"/>
        <filter val="178,00"/>
        <filter val="18 779,67"/>
        <filter val="18,33"/>
        <filter val="180,00"/>
        <filter val="19 654,67"/>
        <filter val="19,20"/>
        <filter val="193,33"/>
        <filter val="2,50"/>
        <filter val="20,00"/>
        <filter val="200,00"/>
        <filter val="206,02"/>
        <filter val="240,00"/>
        <filter val="249,38"/>
        <filter val="250,00"/>
        <filter val="30,00"/>
        <filter val="300,00"/>
        <filter val="31,25"/>
        <filter val="320,00"/>
        <filter val="326,67"/>
        <filter val="35"/>
        <filter val="35,19"/>
        <filter val="35,20"/>
        <filter val="350,00"/>
        <filter val="360,00"/>
        <filter val="37,96"/>
        <filter val="38,33"/>
        <filter val="380,00"/>
        <filter val="390,00"/>
        <filter val="398,00"/>
        <filter val="4 756,82"/>
        <filter val="4,63"/>
        <filter val="40,00"/>
        <filter val="400,00"/>
        <filter val="411,73"/>
        <filter val="420,00"/>
        <filter val="43,75"/>
        <filter val="44,00"/>
        <filter val="446,30"/>
        <filter val="450,00"/>
        <filter val="470,00"/>
        <filter val="48,00"/>
        <filter val="490,00"/>
        <filter val="495,00"/>
        <filter val="5,13"/>
        <filter val="50,00"/>
        <filter val="500,00"/>
        <filter val="520,00"/>
        <filter val="540,00"/>
        <filter val="582,88"/>
        <filter val="6,67"/>
        <filter val="60,00"/>
        <filter val="600,00"/>
        <filter val="610,00"/>
        <filter val="62,82"/>
        <filter val="642,86"/>
        <filter val="650,00"/>
        <filter val="673,00"/>
        <filter val="675,00"/>
        <filter val="7,00"/>
        <filter val="70,00"/>
        <filter val="700,00"/>
        <filter val="72,96"/>
        <filter val="720,00"/>
        <filter val="75,90"/>
        <filter val="78,00"/>
        <filter val="8,00"/>
        <filter val="80,00"/>
        <filter val="83,33"/>
        <filter val="87,50"/>
        <filter val="88,00"/>
        <filter val="90,00"/>
        <filter val="900,00"/>
        <filter val="91,86"/>
        <filter val="940,00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9" spans="2:8" x14ac:dyDescent="0.2">
      <c r="B9" s="53" t="s">
        <v>876</v>
      </c>
      <c r="C9" s="53" t="s">
        <v>871</v>
      </c>
      <c r="D9" s="53" t="s">
        <v>46</v>
      </c>
      <c r="E9" s="53" t="s">
        <v>46</v>
      </c>
    </row>
    <row r="11" spans="2:8" x14ac:dyDescent="0.2">
      <c r="B11" s="53" t="s">
        <v>876</v>
      </c>
      <c r="C11" s="53" t="s">
        <v>874</v>
      </c>
      <c r="D11" s="53" t="s">
        <v>46</v>
      </c>
      <c r="E11" s="53" t="s">
        <v>46</v>
      </c>
    </row>
    <row r="13" spans="2:8" x14ac:dyDescent="0.2">
      <c r="B13" s="53" t="s">
        <v>877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879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887</v>
      </c>
      <c r="C23" s="53" t="s">
        <v>46</v>
      </c>
      <c r="D23" s="53" t="s">
        <v>46</v>
      </c>
      <c r="E23" s="53" t="s">
        <v>46</v>
      </c>
    </row>
  </sheetData>
  <sheetProtection algorithmName="SHA-512" hashValue="G3MpW7zquKIvn8CaE1NzFi5nDw0blno9SfuJRHkCgfDwqeOCMImVZUOLgxXUiYYGiLsE2W1Lm4WTR7SLXY/akA==" saltValue="wtUMqr6XvqIx/tXEdnwG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2026-08-21T12:06:12Z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