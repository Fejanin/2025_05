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90595B-D6F8-44AC-95DB-805202725F4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55" i="2"/>
  <c r="BN472" i="2"/>
  <c r="Y41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386" i="2"/>
  <c r="Z245" i="2"/>
  <c r="Z251" i="2"/>
  <c r="Z32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<sst xmlns="http://schemas.openxmlformats.org/spreadsheetml/2006/main" count="4194" uniqueCount="891">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</sst>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46259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200</v>
      </c>
      <c r="Y61" s="53">
        <f t="shared" si="0"/>
        <v>205.20000000000002</v>
      </c>
      <c r="Z61" s="39">
        <f>IFERROR(IF(Y61=0,"",ROUNDUP(Y61/H61,0)*0.01898),"")</f>
        <v>0.36062</v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207.59259259259258</v>
      </c>
      <c r="BN61" s="75">
        <f t="shared" si="2"/>
        <v>212.99</v>
      </c>
      <c r="BO61" s="75">
        <f t="shared" si="3"/>
        <v>0.28935185185185186</v>
      </c>
      <c r="BP61" s="75">
        <f t="shared" si="4"/>
        <v>0.296875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18.518518518518519</v>
      </c>
      <c r="Y67" s="41">
        <f>IFERROR(Y59/H59,"0")+IFERROR(Y60/H60,"0")+IFERROR(Y61/H61,"0")+IFERROR(Y62/H62,"0")+IFERROR(Y63/H63,"0")+IFERROR(Y64/H64,"0")+IFERROR(Y65/H65,"0")+IFERROR(Y66/H66,"0")</f>
        <v>19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0.36062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200</v>
      </c>
      <c r="Y68" s="41">
        <f>IFERROR(SUM(Y59:Y66),"0")</f>
        <v>205.20000000000002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200</v>
      </c>
      <c r="Y88" s="53">
        <f>IFERROR(IF(X88="",0,CEILING((X88/$H88),1)*$H88),"")</f>
        <v>205.20000000000002</v>
      </c>
      <c r="Z88" s="39">
        <f>IFERROR(IF(Y88=0,"",ROUNDUP(Y88/H88,0)*0.01898),"")</f>
        <v>0.36062</v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207.59259259259258</v>
      </c>
      <c r="BN88" s="75">
        <f>IFERROR(Y88*I88/H88,"0")</f>
        <v>212.99</v>
      </c>
      <c r="BO88" s="75">
        <f>IFERROR(1/J88*(X88/H88),"0")</f>
        <v>0.28935185185185186</v>
      </c>
      <c r="BP88" s="75">
        <f>IFERROR(1/J88*(Y88/H88),"0")</f>
        <v>0.296875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18.518518518518519</v>
      </c>
      <c r="Y92" s="41">
        <f>IFERROR(Y88/H88,"0")+IFERROR(Y89/H89,"0")+IFERROR(Y90/H90,"0")+IFERROR(Y91/H91,"0")</f>
        <v>19</v>
      </c>
      <c r="Z92" s="41">
        <f>IFERROR(IF(Z88="",0,Z88),"0")+IFERROR(IF(Z89="",0,Z89),"0")+IFERROR(IF(Z90="",0,Z90),"0")+IFERROR(IF(Z91="",0,Z91),"0")</f>
        <v>0.36062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200</v>
      </c>
      <c r="Y93" s="41">
        <f>IFERROR(SUM(Y88:Y91),"0")</f>
        <v>205.20000000000002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1500</v>
      </c>
      <c r="Y424" s="53">
        <f t="shared" si="52"/>
        <v>1500</v>
      </c>
      <c r="Z424" s="39">
        <f>IFERROR(IF(Y424=0,"",ROUNDUP(Y424/H424,0)*0.02175),"")</f>
        <v>2.1749999999999998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1547</v>
      </c>
      <c r="BN424" s="75">
        <f t="shared" si="54"/>
        <v>1547</v>
      </c>
      <c r="BO424" s="75">
        <f t="shared" si="55"/>
        <v>2.083333333333333</v>
      </c>
      <c r="BP424" s="75">
        <f t="shared" si="56"/>
        <v>2.083333333333333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450</v>
      </c>
      <c r="Y425" s="53">
        <f t="shared" si="52"/>
        <v>450</v>
      </c>
      <c r="Z425" s="39">
        <f>IFERROR(IF(Y425=0,"",ROUNDUP(Y425/H425,0)*0.02175),"")</f>
        <v>0.65249999999999997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464.1</v>
      </c>
      <c r="BN425" s="75">
        <f t="shared" si="54"/>
        <v>464.1</v>
      </c>
      <c r="BO425" s="75">
        <f t="shared" si="55"/>
        <v>0.625</v>
      </c>
      <c r="BP425" s="75">
        <f t="shared" si="56"/>
        <v>0.625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1200</v>
      </c>
      <c r="Y426" s="53">
        <f t="shared" si="52"/>
        <v>1200</v>
      </c>
      <c r="Z426" s="39">
        <f>IFERROR(IF(Y426=0,"",ROUNDUP(Y426/H426,0)*0.02175),"")</f>
        <v>1.7399999999999998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1237.5999999999999</v>
      </c>
      <c r="BN426" s="75">
        <f t="shared" si="54"/>
        <v>1237.5999999999999</v>
      </c>
      <c r="BO426" s="75">
        <f t="shared" si="55"/>
        <v>1.6666666666666665</v>
      </c>
      <c r="BP426" s="75">
        <f t="shared" si="56"/>
        <v>1.6666666666666665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210</v>
      </c>
      <c r="Y431" s="41">
        <f>IFERROR(Y423/H423,"0")+IFERROR(Y424/H424,"0")+IFERROR(Y425/H425,"0")+IFERROR(Y426/H426,"0")+IFERROR(Y427/H427,"0")+IFERROR(Y428/H428,"0")+IFERROR(Y429/H429,"0")+IFERROR(Y430/H430,"0")</f>
        <v>210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4.567499999999999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3150</v>
      </c>
      <c r="Y432" s="41">
        <f>IFERROR(SUM(Y423:Y430),"0")</f>
        <v>3150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400</v>
      </c>
      <c r="Y501" s="53">
        <f t="shared" si="62"/>
        <v>401.28000000000003</v>
      </c>
      <c r="Z501" s="39">
        <f t="shared" si="63"/>
        <v>0.90895999999999999</v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426.5151515151515</v>
      </c>
      <c r="BN501" s="75">
        <f t="shared" si="65"/>
        <v>427.88</v>
      </c>
      <c r="BO501" s="75">
        <f t="shared" si="66"/>
        <v>0.72843822843822836</v>
      </c>
      <c r="BP501" s="75">
        <f t="shared" si="67"/>
        <v>0.73076923076923084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75.757575757575751</v>
      </c>
      <c r="Y505" s="41">
        <f>IFERROR(Y496/H496,"0")+IFERROR(Y497/H497,"0")+IFERROR(Y498/H498,"0")+IFERROR(Y499/H499,"0")+IFERROR(Y500/H500,"0")+IFERROR(Y501/H501,"0")+IFERROR(Y502/H502,"0")+IFERROR(Y503/H503,"0")+IFERROR(Y504/H504,"0")</f>
        <v>76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0.90895999999999999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400</v>
      </c>
      <c r="Y506" s="41">
        <f>IFERROR(SUM(Y496:Y504),"0")</f>
        <v>401.28000000000003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400</v>
      </c>
      <c r="Y508" s="53">
        <f>IFERROR(IF(X508="",0,CEILING((X508/$H508),1)*$H508),"")</f>
        <v>401.28000000000003</v>
      </c>
      <c r="Z508" s="39">
        <f>IFERROR(IF(Y508=0,"",ROUNDUP(Y508/H508,0)*0.01196),"")</f>
        <v>0.90895999999999999</v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426.5151515151515</v>
      </c>
      <c r="BN508" s="75">
        <f>IFERROR(Y508*I508/H508,"0")</f>
        <v>427.88</v>
      </c>
      <c r="BO508" s="75">
        <f>IFERROR(1/J508*(X508/H508),"0")</f>
        <v>0.72843822843822836</v>
      </c>
      <c r="BP508" s="75">
        <f>IFERROR(1/J508*(Y508/H508),"0")</f>
        <v>0.73076923076923084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75.757575757575751</v>
      </c>
      <c r="Y511" s="41">
        <f>IFERROR(Y508/H508,"0")+IFERROR(Y509/H509,"0")+IFERROR(Y510/H510,"0")</f>
        <v>76</v>
      </c>
      <c r="Z511" s="41">
        <f>IFERROR(IF(Z508="",0,Z508),"0")+IFERROR(IF(Z509="",0,Z509),"0")+IFERROR(IF(Z510="",0,Z510),"0")</f>
        <v>0.90895999999999999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400</v>
      </c>
      <c r="Y512" s="41">
        <f>IFERROR(SUM(Y508:Y510),"0")</f>
        <v>401.28000000000003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4350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4362.96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4516.915488215488</v>
      </c>
      <c r="Y552" s="41">
        <f>IFERROR(SUM(BN22:BN548),"0")</f>
        <v>4530.4399999999996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7</v>
      </c>
      <c r="Y553" s="42">
        <f>ROUNDUP(SUM(BP22:BP548),0)</f>
        <v>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4691.915488215488</v>
      </c>
      <c r="Y554" s="41">
        <f>GrossWeightTotalR+PalletQtyTotalR*25</f>
        <v>4705.4399999999996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398.55218855218857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400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7.1066599999999998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205.20000000000002</v>
      </c>
      <c r="F561" s="50">
        <f>IFERROR(Y88*1,"0")+IFERROR(Y89*1,"0")+IFERROR(Y90*1,"0")+IFERROR(Y91*1,"0")+IFERROR(Y95*1,"0")+IFERROR(Y96*1,"0")+IFERROR(Y97*1,"0")+IFERROR(Y98*1,"0")</f>
        <v>205.20000000000002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3150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802.56000000000006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8,52"/>
        <filter val="200,00"/>
        <filter val="210,00"/>
        <filter val="3 150,00"/>
        <filter val="398,55"/>
        <filter val="4 350,00"/>
        <filter val="4 516,92"/>
        <filter val="4 691,92"/>
        <filter val="400,00"/>
        <filter val="450,00"/>
        <filter val="7"/>
        <filter val="75,7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2026-08-24T14:52:48Z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