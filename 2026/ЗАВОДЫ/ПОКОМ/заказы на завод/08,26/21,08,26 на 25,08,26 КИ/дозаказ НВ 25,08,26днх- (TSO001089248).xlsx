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AEA76C-99B3-42F0-96A1-CA13BF11D7B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P454" i="2"/>
  <c r="BO453" i="2"/>
  <c r="BM453" i="2"/>
  <c r="Y453" i="2"/>
  <c r="Y455" i="2" s="1"/>
  <c r="P453" i="2"/>
  <c r="X450" i="2"/>
  <c r="X449" i="2"/>
  <c r="BO448" i="2"/>
  <c r="BM448" i="2"/>
  <c r="Y448" i="2"/>
  <c r="BN448" i="2" s="1"/>
  <c r="P448" i="2"/>
  <c r="BO447" i="2"/>
  <c r="BM447" i="2"/>
  <c r="Y447" i="2"/>
  <c r="Y450" i="2" s="1"/>
  <c r="P447" i="2"/>
  <c r="Y445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P393" i="2"/>
  <c r="BO392" i="2"/>
  <c r="BM392" i="2"/>
  <c r="Z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M369" i="2"/>
  <c r="Y369" i="2"/>
  <c r="P369" i="2"/>
  <c r="BP368" i="2"/>
  <c r="BO368" i="2"/>
  <c r="BN368" i="2"/>
  <c r="BM368" i="2"/>
  <c r="Z368" i="2"/>
  <c r="Y368" i="2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BO339" i="2"/>
  <c r="BM339" i="2"/>
  <c r="Y339" i="2"/>
  <c r="P339" i="2"/>
  <c r="BO338" i="2"/>
  <c r="BM338" i="2"/>
  <c r="Z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N323" i="2"/>
  <c r="BM323" i="2"/>
  <c r="Z323" i="2"/>
  <c r="Y323" i="2"/>
  <c r="BP323" i="2" s="1"/>
  <c r="P323" i="2"/>
  <c r="BO322" i="2"/>
  <c r="BM322" i="2"/>
  <c r="Y322" i="2"/>
  <c r="Y327" i="2" s="1"/>
  <c r="P322" i="2"/>
  <c r="X319" i="2"/>
  <c r="X318" i="2"/>
  <c r="BO317" i="2"/>
  <c r="BM317" i="2"/>
  <c r="Y317" i="2"/>
  <c r="Z317" i="2" s="1"/>
  <c r="P317" i="2"/>
  <c r="BO316" i="2"/>
  <c r="BM316" i="2"/>
  <c r="Y316" i="2"/>
  <c r="BN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N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P298" i="2"/>
  <c r="BP297" i="2"/>
  <c r="BO297" i="2"/>
  <c r="BM297" i="2"/>
  <c r="Y297" i="2"/>
  <c r="P297" i="2"/>
  <c r="X294" i="2"/>
  <c r="X293" i="2"/>
  <c r="BO292" i="2"/>
  <c r="BM292" i="2"/>
  <c r="Y292" i="2"/>
  <c r="Z292" i="2" s="1"/>
  <c r="P292" i="2"/>
  <c r="BO291" i="2"/>
  <c r="BM291" i="2"/>
  <c r="Y291" i="2"/>
  <c r="BP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N279" i="2"/>
  <c r="BM279" i="2"/>
  <c r="Z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Y263" i="2" s="1"/>
  <c r="P261" i="2"/>
  <c r="BP260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Z206" i="2" s="1"/>
  <c r="P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P175" i="2"/>
  <c r="BO175" i="2"/>
  <c r="BN175" i="2"/>
  <c r="BM175" i="2"/>
  <c r="Z175" i="2"/>
  <c r="Y175" i="2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Z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BP142" i="2" s="1"/>
  <c r="P142" i="2"/>
  <c r="BO141" i="2"/>
  <c r="BM141" i="2"/>
  <c r="Y141" i="2"/>
  <c r="Y145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4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BP83" i="2"/>
  <c r="BO83" i="2"/>
  <c r="BN83" i="2"/>
  <c r="BM83" i="2"/>
  <c r="Z83" i="2"/>
  <c r="Y83" i="2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Y72" i="2"/>
  <c r="Z72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D562" i="2" s="1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Y43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Y23" i="2"/>
  <c r="BP23" i="2" s="1"/>
  <c r="P23" i="2"/>
  <c r="BO22" i="2"/>
  <c r="BM22" i="2"/>
  <c r="X553" i="2" s="1"/>
  <c r="Y22" i="2"/>
  <c r="BP22" i="2" s="1"/>
  <c r="P22" i="2"/>
  <c r="H10" i="2"/>
  <c r="A9" i="2"/>
  <c r="F10" i="2" s="1"/>
  <c r="D7" i="2"/>
  <c r="Q6" i="2"/>
  <c r="P2" i="2"/>
  <c r="BP41" i="2" l="1"/>
  <c r="Z65" i="2"/>
  <c r="BN65" i="2"/>
  <c r="Z91" i="2"/>
  <c r="Z165" i="2"/>
  <c r="BN165" i="2"/>
  <c r="Z181" i="2"/>
  <c r="BN181" i="2"/>
  <c r="BP237" i="2"/>
  <c r="Z269" i="2"/>
  <c r="BN269" i="2"/>
  <c r="Z286" i="2"/>
  <c r="Z302" i="2"/>
  <c r="BN302" i="2"/>
  <c r="BP360" i="2"/>
  <c r="Z378" i="2"/>
  <c r="BN378" i="2"/>
  <c r="BP448" i="2"/>
  <c r="BN472" i="2"/>
  <c r="Y493" i="2"/>
  <c r="Z509" i="2"/>
  <c r="BN516" i="2"/>
  <c r="X554" i="2"/>
  <c r="BN37" i="2"/>
  <c r="Z49" i="2"/>
  <c r="BP49" i="2"/>
  <c r="Z60" i="2"/>
  <c r="BP60" i="2"/>
  <c r="Z90" i="2"/>
  <c r="Z100" i="2"/>
  <c r="BP100" i="2"/>
  <c r="BN110" i="2"/>
  <c r="Z142" i="2"/>
  <c r="BN154" i="2"/>
  <c r="BP190" i="2"/>
  <c r="Z209" i="2"/>
  <c r="BP209" i="2"/>
  <c r="Y242" i="2"/>
  <c r="Z283" i="2"/>
  <c r="BP283" i="2"/>
  <c r="BN291" i="2"/>
  <c r="Z300" i="2"/>
  <c r="BP300" i="2"/>
  <c r="Z316" i="2"/>
  <c r="BP316" i="2"/>
  <c r="Z341" i="2"/>
  <c r="BP341" i="2"/>
  <c r="BN363" i="2"/>
  <c r="BP370" i="2"/>
  <c r="Y460" i="2"/>
  <c r="Y477" i="2"/>
  <c r="Z544" i="2"/>
  <c r="Z472" i="2"/>
  <c r="Z37" i="2"/>
  <c r="BP37" i="2"/>
  <c r="Z110" i="2"/>
  <c r="BN142" i="2"/>
  <c r="Z143" i="2"/>
  <c r="Z154" i="2"/>
  <c r="Z291" i="2"/>
  <c r="Y305" i="2"/>
  <c r="Z363" i="2"/>
  <c r="BP380" i="2"/>
  <c r="Z431" i="2"/>
  <c r="Y444" i="2"/>
  <c r="BP474" i="2"/>
  <c r="Y492" i="2"/>
  <c r="Z516" i="2"/>
  <c r="BN22" i="2"/>
  <c r="Z23" i="2"/>
  <c r="Z28" i="2"/>
  <c r="Z32" i="2" s="1"/>
  <c r="BN30" i="2"/>
  <c r="BP30" i="2"/>
  <c r="Z40" i="2"/>
  <c r="Z51" i="2"/>
  <c r="BN51" i="2"/>
  <c r="E562" i="2"/>
  <c r="Y69" i="2"/>
  <c r="Z66" i="2"/>
  <c r="BN66" i="2"/>
  <c r="Y74" i="2"/>
  <c r="Y80" i="2"/>
  <c r="Z85" i="2"/>
  <c r="BN85" i="2"/>
  <c r="Z93" i="2"/>
  <c r="BN93" i="2"/>
  <c r="Z99" i="2"/>
  <c r="BN99" i="2"/>
  <c r="Z104" i="2"/>
  <c r="BN104" i="2"/>
  <c r="Y113" i="2"/>
  <c r="BN108" i="2"/>
  <c r="Z109" i="2"/>
  <c r="BN109" i="2"/>
  <c r="Y114" i="2"/>
  <c r="BP116" i="2"/>
  <c r="BN116" i="2"/>
  <c r="BN38" i="2"/>
  <c r="BP38" i="2"/>
  <c r="BN50" i="2"/>
  <c r="BP50" i="2"/>
  <c r="BN59" i="2"/>
  <c r="BN61" i="2"/>
  <c r="BP61" i="2"/>
  <c r="Y62" i="2"/>
  <c r="BN84" i="2"/>
  <c r="BP84" i="2"/>
  <c r="Z119" i="2"/>
  <c r="BN123" i="2"/>
  <c r="BN128" i="2"/>
  <c r="Z137" i="2"/>
  <c r="BN137" i="2"/>
  <c r="BN141" i="2"/>
  <c r="BN143" i="2"/>
  <c r="BN153" i="2"/>
  <c r="Y166" i="2"/>
  <c r="BN170" i="2"/>
  <c r="Y172" i="2"/>
  <c r="BN182" i="2"/>
  <c r="BP182" i="2"/>
  <c r="BN183" i="2"/>
  <c r="BP183" i="2"/>
  <c r="Y186" i="2"/>
  <c r="Y196" i="2"/>
  <c r="BN210" i="2"/>
  <c r="Z220" i="2"/>
  <c r="BN221" i="2"/>
  <c r="Z222" i="2"/>
  <c r="BN222" i="2"/>
  <c r="Z225" i="2"/>
  <c r="BN225" i="2"/>
  <c r="BP227" i="2"/>
  <c r="BP231" i="2"/>
  <c r="BN232" i="2"/>
  <c r="BP232" i="2"/>
  <c r="Z245" i="2"/>
  <c r="BN245" i="2"/>
  <c r="Z265" i="2"/>
  <c r="BN265" i="2"/>
  <c r="Z268" i="2"/>
  <c r="BN268" i="2"/>
  <c r="BP270" i="2"/>
  <c r="BN271" i="2"/>
  <c r="BP271" i="2"/>
  <c r="Z278" i="2"/>
  <c r="BN278" i="2"/>
  <c r="BP280" i="2"/>
  <c r="BN285" i="2"/>
  <c r="BP285" i="2"/>
  <c r="Z299" i="2"/>
  <c r="BN299" i="2"/>
  <c r="BP301" i="2"/>
  <c r="Y313" i="2"/>
  <c r="Z322" i="2"/>
  <c r="BN322" i="2"/>
  <c r="BP322" i="2"/>
  <c r="BP324" i="2"/>
  <c r="Y328" i="2"/>
  <c r="BP333" i="2"/>
  <c r="BN333" i="2"/>
  <c r="BP339" i="2"/>
  <c r="BN339" i="2"/>
  <c r="Z339" i="2"/>
  <c r="BP340" i="2"/>
  <c r="Z340" i="2"/>
  <c r="BP369" i="2"/>
  <c r="BN369" i="2"/>
  <c r="Z369" i="2"/>
  <c r="BP379" i="2"/>
  <c r="BN379" i="2"/>
  <c r="Z379" i="2"/>
  <c r="BN386" i="2"/>
  <c r="BP386" i="2"/>
  <c r="BN405" i="2"/>
  <c r="BP405" i="2"/>
  <c r="BP411" i="2"/>
  <c r="BN411" i="2"/>
  <c r="Z411" i="2"/>
  <c r="Y449" i="2"/>
  <c r="BP454" i="2"/>
  <c r="BN454" i="2"/>
  <c r="Z454" i="2"/>
  <c r="BN473" i="2"/>
  <c r="BP473" i="2"/>
  <c r="BP517" i="2"/>
  <c r="BN517" i="2"/>
  <c r="Z517" i="2"/>
  <c r="BN518" i="2"/>
  <c r="BP518" i="2"/>
  <c r="BN535" i="2"/>
  <c r="BP535" i="2"/>
  <c r="Y536" i="2"/>
  <c r="Y537" i="2"/>
  <c r="Y540" i="2"/>
  <c r="Y541" i="2"/>
  <c r="Z117" i="2"/>
  <c r="BN118" i="2"/>
  <c r="BP118" i="2"/>
  <c r="Z136" i="2"/>
  <c r="Z151" i="2"/>
  <c r="Z176" i="2"/>
  <c r="BN176" i="2"/>
  <c r="Z177" i="2"/>
  <c r="BN177" i="2"/>
  <c r="Z180" i="2"/>
  <c r="Z194" i="2"/>
  <c r="Z195" i="2" s="1"/>
  <c r="Y195" i="2"/>
  <c r="Z205" i="2"/>
  <c r="BN205" i="2"/>
  <c r="BN206" i="2"/>
  <c r="BP206" i="2"/>
  <c r="Y212" i="2"/>
  <c r="BN207" i="2"/>
  <c r="Z219" i="2"/>
  <c r="Z226" i="2"/>
  <c r="BN226" i="2"/>
  <c r="BP228" i="2"/>
  <c r="Z230" i="2"/>
  <c r="BN230" i="2"/>
  <c r="Z236" i="2"/>
  <c r="BN236" i="2"/>
  <c r="BP236" i="2"/>
  <c r="Z238" i="2"/>
  <c r="BN238" i="2"/>
  <c r="Z240" i="2"/>
  <c r="BN240" i="2"/>
  <c r="Y241" i="2"/>
  <c r="Z246" i="2"/>
  <c r="BN246" i="2"/>
  <c r="BN255" i="2"/>
  <c r="BP255" i="2"/>
  <c r="Y257" i="2"/>
  <c r="BN284" i="2"/>
  <c r="Z293" i="2"/>
  <c r="BN311" i="2"/>
  <c r="BP311" i="2"/>
  <c r="Y312" i="2"/>
  <c r="Z333" i="2"/>
  <c r="BN342" i="2"/>
  <c r="BP342" i="2"/>
  <c r="BN346" i="2"/>
  <c r="BP346" i="2"/>
  <c r="S562" i="2"/>
  <c r="Y355" i="2"/>
  <c r="BP352" i="2"/>
  <c r="BN352" i="2"/>
  <c r="Z352" i="2"/>
  <c r="Z355" i="2" s="1"/>
  <c r="Y356" i="2"/>
  <c r="Y365" i="2"/>
  <c r="BP359" i="2"/>
  <c r="BN359" i="2"/>
  <c r="Z359" i="2"/>
  <c r="BN385" i="2"/>
  <c r="Z385" i="2"/>
  <c r="BP393" i="2"/>
  <c r="Z393" i="2"/>
  <c r="BN418" i="2"/>
  <c r="BN426" i="2"/>
  <c r="BP426" i="2"/>
  <c r="BN427" i="2"/>
  <c r="BP427" i="2"/>
  <c r="BP428" i="2"/>
  <c r="Z428" i="2"/>
  <c r="BN430" i="2"/>
  <c r="BP447" i="2"/>
  <c r="BN447" i="2"/>
  <c r="Z447" i="2"/>
  <c r="BN464" i="2"/>
  <c r="BP464" i="2"/>
  <c r="BP471" i="2"/>
  <c r="BN471" i="2"/>
  <c r="Z471" i="2"/>
  <c r="BP497" i="2"/>
  <c r="BN497" i="2"/>
  <c r="Z497" i="2"/>
  <c r="BN501" i="2"/>
  <c r="BP501" i="2"/>
  <c r="BN502" i="2"/>
  <c r="BP502" i="2"/>
  <c r="BN503" i="2"/>
  <c r="Y523" i="2"/>
  <c r="Y528" i="2"/>
  <c r="Y529" i="2"/>
  <c r="BN549" i="2"/>
  <c r="BP549" i="2"/>
  <c r="Y343" i="2"/>
  <c r="BN353" i="2"/>
  <c r="BP353" i="2"/>
  <c r="BN354" i="2"/>
  <c r="BP354" i="2"/>
  <c r="BN373" i="2"/>
  <c r="BP373" i="2"/>
  <c r="Y381" i="2"/>
  <c r="BN390" i="2"/>
  <c r="BP390" i="2"/>
  <c r="Z394" i="2"/>
  <c r="BN397" i="2"/>
  <c r="BN429" i="2"/>
  <c r="BP431" i="2"/>
  <c r="BN436" i="2"/>
  <c r="BP436" i="2"/>
  <c r="BN441" i="2"/>
  <c r="BP441" i="2"/>
  <c r="BN442" i="2"/>
  <c r="BP442" i="2"/>
  <c r="BN443" i="2"/>
  <c r="BN489" i="2"/>
  <c r="BP489" i="2"/>
  <c r="BN490" i="2"/>
  <c r="BP490" i="2"/>
  <c r="BN491" i="2"/>
  <c r="BN511" i="2"/>
  <c r="BP511" i="2"/>
  <c r="BN521" i="2"/>
  <c r="BP521" i="2"/>
  <c r="Z545" i="2"/>
  <c r="X555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Z343" i="2" s="1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73" i="2"/>
  <c r="Z498" i="2"/>
  <c r="Z518" i="2"/>
  <c r="BN544" i="2"/>
  <c r="BP527" i="2"/>
  <c r="BP539" i="2"/>
  <c r="Y551" i="2"/>
  <c r="BP174" i="2"/>
  <c r="BP416" i="2"/>
  <c r="AB562" i="2"/>
  <c r="Z364" i="2" l="1"/>
  <c r="Z241" i="2"/>
  <c r="Z131" i="2"/>
  <c r="Z247" i="2"/>
  <c r="Z211" i="2"/>
  <c r="Z144" i="2"/>
  <c r="Z455" i="2"/>
  <c r="Z43" i="2"/>
  <c r="Z233" i="2"/>
  <c r="Z273" i="2"/>
  <c r="Z185" i="2"/>
  <c r="Z449" i="2"/>
  <c r="Z327" i="2"/>
  <c r="Z506" i="2"/>
  <c r="Z304" i="2"/>
  <c r="Y554" i="2"/>
  <c r="Z94" i="2"/>
  <c r="Z481" i="2"/>
  <c r="Z334" i="2"/>
  <c r="Z155" i="2"/>
  <c r="Y553" i="2"/>
  <c r="Z87" i="2"/>
  <c r="Z69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<sst xmlns="http://schemas.openxmlformats.org/spreadsheetml/2006/main" count="4236" uniqueCount="907">
  <si>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</si>
  <si>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</si>
  <si>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</si>
  <si>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</si>
  <si>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</si>
  <si>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</si>
  <si>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</si>
  <si>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</si>
  <si>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</si>
  <si>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</si>
  <si>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</si>
  <si>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</si>
  <si>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</si>
  <si>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</si>
  <si>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</si>
  <si>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</si>
  <si>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</si>
  <si>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</si>
  <si>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</si>
  <si>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</si>
  <si>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</si>
  <si>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</si>
  <si>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</si>
  <si>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</si>
  <si>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</si>
  <si>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</si>
  <si>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</si>
  <si>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</si>
  <si>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</si>
  <si>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</si>
  <si>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</si>
  <si>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</si>
  <si>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</si>
  <si>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</si>
  <si>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</si>
  <si>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</si>
  <si>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</si>
  <si>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</si>
  <si>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</si>
  <si>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</si>
  <si>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</si>
  <si>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</si>
  <si>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</si>
  <si>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</si>
  <si>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</si>
  <si>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</si>
  <si>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</si>
  <si>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</si>
  <si>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</si>
  <si>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</si>
  <si>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</si>
  <si>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</si>
  <si>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</si>
  <si>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</si>
  <si>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</si>
  <si>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</si>
  <si>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</si>
  <si>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</si>
  <si>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</si>
  <si>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</si>
  <si>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</si>
  <si>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</si>
  <si>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</si>
  <si>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</si>
  <si>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</si>
  <si>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</si>
  <si>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</si>
  <si>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</si>
  <si>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</si>
  <si>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</si>
  <si>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</si>
  <si>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</si>
  <si>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</si>
  <si>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</si>
  <si>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</si>
  <si>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</si>
  <si>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</si>
  <si>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</si>
  <si>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</si>
  <si>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</si>
  <si>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</si>
  <si>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</si>
  <si>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</si>
  <si>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</si>
  <si>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</si>
  <si>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</si>
  <si>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</si>
  <si>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</si>
  <si>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</si>
  <si>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</si>
  <si>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</si>
  <si>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</si>
  <si>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</si>
  <si>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</si>
  <si>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</si>
  <si>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</si>
  <si>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</si>
  <si>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</si>
  <si>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</si>
  <si>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</si>
  <si>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</si>
  <si>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</si>
  <si>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</si>
  <si>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</si>
  <si>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</si>
  <si>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</si>
  <si>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</si>
  <si>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</si>
  <si>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</si>
  <si>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</si>
  <si>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</si>
  <si>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</si>
  <si>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</si>
  <si>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</si>
  <si>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</si>
  <si>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</si>
  <si>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</si>
  <si>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</si>
  <si>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</si>
  <si>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</si>
  <si>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</si>
  <si>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</si>
  <si>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</si>
  <si>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</si>
  <si>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</si>
  <si>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</si>
  <si>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</si>
  <si>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</si>
  <si>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</si>
  <si>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</si>
  <si>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</si>
  <si>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</si>
  <si>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</si>
  <si>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</si>
  <si>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</si>
  <si>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</si>
  <si>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</si>
  <si>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</si>
  <si>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</si>
  <si>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</si>
  <si>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</si>
  <si>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</si>
  <si>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</si>
  <si>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</si>
  <si>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</si>
  <si>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</si>
  <si>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</si>
  <si>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</si>
  <si>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</si>
  <si>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</si>
  <si>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</si>
  <si>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</si>
  <si>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</si>
  <si>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</si>
  <si>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</si>
  <si>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</si>
  <si>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</si>
  <si>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</si>
  <si>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</si>
  <si>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</si>
  <si>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</si>
  <si>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</si>
  <si>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</si>
  <si>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</si>
  <si>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</si>
  <si>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</si>
  <si>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</si>
  <si>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</si>
  <si>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</si>
  <si>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</si>
  <si>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</si>
  <si>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</si>
  <si>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</si>
  <si>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</si>
  <si>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</si>
  <si>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</si>
  <si>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</si>
  <si>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</si>
  <si>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</si>
  <si>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</si>
  <si>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</si>
  <si>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</si>
  <si>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</si>
  <si>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</si>
  <si>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</si>
  <si>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</si>
  <si>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</si>
  <si>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</si>
  <si>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</si>
  <si>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</si>
  <si>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</si>
  <si>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</si>
  <si>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</si>
  <si>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</si>
  <si>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</si>
  <si>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</si>
  <si>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</si>
  <si>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</si>
  <si>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</si>
  <si>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</si>
  <si>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</si>
  <si>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</si>
  <si>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</si>
  <si>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</si>
  <si>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</si>
  <si>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</si>
  <si>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</si>
  <si>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</si>
  <si>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</si>
  <si>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</si>
  <si>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</si>
  <si>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</si>
  <si>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</si>
  <si>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</si>
  <si>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</si>
  <si>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</si>
  <si>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</si>
  <si>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</si>
  <si>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</si>
  <si>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</si>
  <si>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</si>
  <si>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</si>
  <si>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</si>
  <si>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</si>
  <si>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</si>
  <si>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</si>
  <si>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</si>
  <si>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</si>
  <si>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</si>
  <si>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</si>
  <si>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</si>
  <si>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</si>
  <si>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</si>
  <si>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</si>
  <si>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</si>
  <si>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</si>
  <si>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</si>
  <si>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</si>
  <si>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</si>
  <si>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</si>
  <si>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</si>
  <si>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</si>
  <si>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</si>
  <si>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</si>
  <si>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</si>
  <si>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</si>
  <si>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</si>
  <si>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</si>
  <si>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</si>
  <si>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</si>
  <si>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</si>
  <si>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</si>
  <si>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</si>
  <si>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</si>
  <si>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</si>
  <si>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</si>
  <si>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</si>
  <si>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</si>
  <si>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</si>
  <si>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</si>
  <si>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</si>
  <si>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</si>
  <si>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</si>
  <si>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</si>
  <si>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</si>
  <si>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</si>
  <si>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</si>
  <si>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</si>
  <si>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</si>
  <si>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</si>
  <si>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</si>
  <si>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</si>
  <si>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</si>
  <si>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</si>
  <si>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</si>
  <si>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</si>
  <si>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</si>
  <si>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</si>
  <si>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</si>
  <si>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</si>
  <si>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</si>
  <si>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</si>
  <si>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</si>
  <si>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</si>
  <si>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</si>
  <si>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</si>
  <si>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</si>
  <si>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</si>
  <si>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</si>
  <si>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</si>
  <si>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</si>
  <si>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</si>
  <si>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</si>
  <si>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</si>
  <si>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</si>
  <si>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</si>
  <si>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</si>
  <si>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</si>
  <si>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</si>
  <si>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</si>
  <si>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</si>
  <si>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</si>
  <si>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</si>
  <si>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</si>
  <si>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</si>
  <si>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</si>
  <si>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</si>
  <si>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</si>
  <si>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</si>
  <si>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</si>
  <si>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</si>
  <si>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</si>
  <si>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</si>
  <si>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</si>
  <si>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</si>
  <si>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</si>
  <si>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</si>
  <si>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</si>
  <si>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</si>
  <si>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</si>
  <si>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</si>
  <si>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</si>
  <si>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</si>
  <si>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</si>
  <si>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</si>
  <si>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</si>
  <si>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</si>
  <si>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</si>
  <si>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</si>
  <si>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</si>
  <si>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</si>
  <si>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</si>
  <si>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</si>
  <si>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</si>
  <si>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</si>
  <si>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</si>
  <si>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</si>
  <si>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</si>
  <si>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</si>
  <si>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</si>
  <si>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</si>
  <si>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</si>
  <si>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</si>
  <si>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</si>
  <si>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</si>
  <si>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</si>
  <si>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</si>
  <si>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</si>
  <si>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</si>
  <si>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</si>
  <si>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</si>
  <si>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</si>
  <si>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</si>
  <si>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</si>
  <si>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</si>
  <si>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</si>
  <si>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</si>
  <si>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</si>
  <si>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</si>
  <si>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</si>
  <si>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</si>
  <si>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</si>
  <si>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</si>
  <si>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</si>
  <si>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</si>
  <si>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</si>
  <si>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</si>
  <si>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</si>
  <si>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</si>
  <si>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</si>
  <si>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</si>
  <si>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</si>
  <si>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</si>
  <si>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</si>
  <si>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</si>
  <si>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</si>
  <si>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</si>
  <si>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</si>
  <si>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</si>
  <si>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</si>
  <si>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</si>
  <si>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</si>
  <si>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</si>
  <si>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</si>
  <si>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</si>
  <si>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</si>
  <si>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</si>
  <si>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</si>
  <si>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</si>
  <si>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</si>
  <si>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</si>
  <si>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</si>
  <si>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</si>
  <si>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</si>
  <si>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</si>
  <si>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</si>
  <si>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</si>
  <si>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</si>
  <si>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</si>
  <si>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</si>
  <si>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</si>
  <si>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</si>
  <si>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</si>
  <si>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</si>
  <si>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</si>
  <si>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</si>
  <si>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</si>
  <si>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</si>
  <si>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</si>
  <si>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</si>
  <si>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</si>
  <si>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</si>
  <si>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</si>
  <si>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</si>
  <si>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</si>
  <si>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</si>
  <si>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</si>
  <si>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</si>
  <si>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</si>
  <si>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</si>
  <si>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</si>
  <si>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</si>
  <si>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</si>
  <si>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</si>
  <si>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</si>
  <si>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</si>
  <si>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</si>
  <si>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</si>
  <si>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</si>
  <si>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</si>
  <si>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</si>
  <si>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</si>
  <si>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</si>
  <si>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</si>
  <si>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</si>
  <si>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</si>
  <si>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</si>
  <si>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</si>
  <si>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</si>
  <si>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</si>
  <si>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</si>
  <si>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</si>
  <si>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</si>
  <si>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</si>
  <si>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</si>
  <si>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</si>
  <si>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</si>
  <si>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</si>
  <si>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</si>
  <si>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</si>
  <si>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</si>
  <si>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</si>
  <si>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</si>
  <si>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</si>
  <si>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</si>
  <si>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</si>
  <si>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</si>
  <si>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</si>
  <si>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</si>
  <si>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</si>
  <si>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</si>
  <si>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</si>
  <si>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</si>
  <si>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</si>
  <si>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</si>
  <si>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</si>
  <si>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</si>
  <si>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</si>
  <si>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</si>
  <si>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</si>
  <si>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</si>
  <si>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</si>
  <si>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</si>
  <si>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</si>
  <si>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</si>
  <si>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</si>
  <si>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</si>
  <si>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</si>
  <si>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</si>
  <si>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</si>
  <si>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</si>
  <si>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</si>
  <si>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</si>
  <si>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</si>
  <si>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</si>
  <si>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</si>
  <si>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</si>
  <si>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</si>
  <si>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</si>
  <si>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</si>
  <si>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</si>
  <si>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</si>
  <si>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</si>
  <si>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</si>
  <si>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</si>
  <si>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</si>
  <si>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</si>
  <si>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</si>
  <si>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</si>
  <si>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</si>
  <si>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</si>
  <si>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</si>
  <si>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</si>
  <si>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</si>
  <si>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</si>
  <si>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</si>
  <si>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</si>
  <si>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</si>
  <si>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</si>
  <si>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</si>
  <si>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</si>
  <si>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</si>
  <si>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</si>
  <si>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</si>
  <si>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</si>
  <si>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</si>
  <si>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</si>
  <si>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</si>
  <si>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</si>
  <si>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</si>
  <si>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</si>
  <si>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</si>
  <si>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</si>
  <si>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</si>
  <si>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</si>
  <si>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</si>
  <si>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</si>
  <si>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</si>
  <si>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</si>
  <si>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</si>
  <si>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</si>
  <si>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</si>
  <si>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</si>
  <si>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</si>
  <si>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</si>
  <si>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</si>
  <si>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</si>
  <si>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</si>
  <si>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</si>
  <si>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</si>
  <si>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</si>
  <si>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</si>
  <si>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</si>
  <si>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</si>
  <si>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</si>
  <si>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</si>
  <si>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</si>
  <si>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</si>
  <si>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</si>
  <si>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</si>
  <si>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</si>
  <si>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</si>
  <si>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</si>
  <si>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</si>
  <si>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</si>
  <si>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</si>
  <si>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</si>
  <si>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</si>
  <si>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</si>
  <si>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</si>
  <si>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</si>
  <si>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</si>
  <si>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</si>
  <si>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</si>
  <si>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</si>
  <si>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</si>
  <si>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</si>
  <si>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</si>
  <si>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</si>
  <si>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</si>
  <si>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</si>
  <si>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</si>
  <si>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</si>
  <si>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</si>
  <si>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</si>
  <si>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</si>
  <si>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</si>
  <si>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</si>
  <si>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</si>
  <si>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</si>
  <si>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</si>
  <si>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</si>
  <si>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</si>
  <si>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</si>
  <si>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</si>
  <si>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</si>
  <si>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</si>
  <si>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</si>
  <si>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</si>
  <si>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</si>
  <si>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</si>
  <si>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</si>
  <si>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</si>
  <si>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</si>
  <si>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</si>
  <si>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</si>
  <si>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</si>
  <si>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</si>
  <si>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</si>
  <si>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</si>
  <si>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</si>
  <si>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</si>
  <si>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</si>
  <si>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</si>
  <si>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</si>
  <si>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</si>
  <si>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</si>
  <si>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</si>
  <si>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</si>
  <si>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</si>
  <si>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</si>
  <si>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</si>
  <si>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</si>
  <si>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</si>
  <si>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</si>
  <si>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</si>
  <si>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</si>
  <si>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</si>
  <si>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</si>
  <si>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</si>
  <si>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</si>
  <si>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</si>
  <si>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</si>
  <si>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</si>
  <si>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</si>
  <si>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</si>
  <si>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</si>
  <si>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</si>
  <si>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</si>
  <si>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</si>
  <si>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</si>
  <si>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</si>
  <si>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</si>
  <si>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</si>
  <si>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</si>
  <si>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</si>
  <si>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</si>
  <si>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</si>
  <si>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</si>
  <si>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</si>
  <si>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</si>
  <si>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</si>
  <si>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</si>
  <si>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</si>
  <si>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</si>
  <si>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</si>
  <si>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</si>
  <si>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</si>
  <si>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</si>
  <si>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</si>
  <si>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</si>
  <si>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</si>
  <si>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</si>
  <si>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</si>
  <si>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</si>
  <si>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</si>
  <si>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</si>
  <si>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</si>
  <si>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</si>
  <si>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</si>
  <si>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</si>
  <si>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</si>
  <si>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</si>
  <si>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</si>
  <si>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</si>
  <si>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</si>
  <si>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</si>
  <si>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</si>
  <si>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</si>
  <si>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</si>
  <si>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</si>
  <si>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</si>
  <si>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</si>
  <si>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</si>
  <si>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</si>
  <si>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</si>
  <si>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</si>
  <si>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</si>
  <si>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</si>
  <si>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</si>
  <si>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</si>
  <si>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</si>
  <si>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</si>
  <si>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</si>
  <si>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</si>
  <si>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</si>
  <si>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</si>
  <si>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</si>
  <si>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</si>
  <si>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</si>
  <si>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</si>
  <si>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</si>
  <si>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</si>
  <si>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</si>
  <si>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</si>
  <si>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</si>
  <si>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</si>
  <si>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</si>
  <si>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</si>
  <si>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</si>
  <si>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</si>
  <si>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</si>
  <si>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</si>
  <si>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</si>
  <si>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</si>
  <si>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</si>
  <si>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</si>
  <si>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</si>
  <si>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</si>
  <si>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</si>
  <si>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</si>
  <si>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</si>
  <si>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</si>
  <si>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</si>
  <si>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</si>
  <si>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</si>
  <si>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</si>
  <si>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</si>
  <si>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</si>
  <si>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</si>
  <si>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</si>
  <si>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</si>
  <si>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</si>
  <si>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</si>
  <si>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</si>
  <si>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</si>
  <si>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</si>
  <si>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</si>
  <si>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</si>
  <si>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</si>
  <si>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</si>
  <si>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</si>
  <si>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</si>
  <si>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</si>
  <si>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</si>
  <si>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</si>
  <si>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</si>
  <si>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</si>
  <si>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</si>
  <si>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</si>
  <si>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</si>
  <si>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</si>
  <si>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</si>
  <si>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</si>
  <si>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</si>
  <si>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</si>
  <si>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</si>
  <si>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</si>
  <si>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</si>
  <si>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</si>
  <si>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</si>
  <si>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</si>
  <si>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</si>
  <si>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</si>
  <si>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</si>
  <si>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</si>
  <si>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</si>
  <si>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</si>
  <si>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</si>
  <si>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</si>
  <si>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</si>
  <si>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</si>
  <si>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</si>
  <si>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</si>
  <si>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</si>
  <si>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</si>
  <si>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</si>
  <si>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</si>
  <si>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</si>
  <si>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</si>
  <si>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</si>
  <si>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</si>
  <si>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</si>
  <si>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</si>
  <si>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</si>
  <si>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</si>
  <si>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</si>
  <si>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</si>
  <si>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</si>
  <si>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</si>
  <si>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</si>
  <si>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</si>
  <si>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</si>
  <si>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</si>
  <si>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</si>
  <si>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</si>
  <si>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</si>
  <si>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</si>
  <si>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</si>
  <si>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</si>
  <si>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</si>
  <si>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</si>
  <si>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</si>
  <si>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</si>
  <si>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</si>
  <si>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</si>
  <si>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</si>
  <si>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</si>
  <si>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</si>
  <si>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</si>
  <si>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</si>
  <si>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</si>
  <si>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</si>
  <si>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</si>
  <si>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</si>
  <si>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</si>
  <si>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</si>
  <si>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</si>
  <si>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</si>
  <si>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</si>
  <si>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</si>
  <si>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</si>
  <si>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</si>
  <si>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</si>
  <si>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</si>
  <si>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</si>
  <si>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</si>
  <si>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</si>
  <si>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</si>
  <si>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</si>
  <si>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</si>
  <si>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</si>
  <si>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</si>
  <si>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</si>
  <si>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</si>
  <si>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</si>
  <si>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</si>
  <si>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</si>
  <si>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</si>
  <si>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</si>
  <si>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</si>
  <si>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</si>
  <si>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</si>
  <si>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</si>
  <si>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</si>
  <si>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</si>
  <si>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</si>
  <si>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</si>
  <si>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</si>
  <si>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</si>
  <si>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</si>
  <si>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</si>
  <si>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</si>
  <si>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</si>
  <si>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</si>
  <si>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</si>
  <si>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</si>
  <si>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</si>
  <si>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</si>
  <si>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</si>
  <si>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</si>
  <si>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</si>
  <si>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</si>
  <si>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</si>
  <si>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</si>
  <si>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</si>
  <si>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</si>
  <si>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</si>
  <si>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</si>
  <si>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</si>
  <si>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</si>
  <si>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</si>
  <si>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</si>
  <si>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</si>
  <si>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</si>
  <si>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</si>
  <si>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</si>
  <si>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</si>
  <si>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</si>
  <si>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</si>
  <si>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</si>
  <si>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</si>
  <si>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</si>
  <si>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</si>
  <si>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</si>
  <si>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</si>
  <si>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</si>
  <si>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</si>
  <si>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</si>
  <si>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</si>
  <si>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</si>
  <si>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</si>
  <si>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</si>
  <si>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</si>
  <si>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</si>
  <si>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</si>
  <si>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</si>
  <si>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</si>
  <si>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</si>
  <si>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</si>
  <si>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</si>
  <si>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</si>
  <si>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</si>
  <si>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</si>
  <si>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</si>
  <si>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</si>
  <si>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</si>
  <si>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</si>
  <si>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</si>
  <si>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</si>
  <si>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</si>
  <si>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</si>
  <si>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</si>
  <si>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</si>
  <si>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</si>
  <si>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TSO001089248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</si>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</sst>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905</v>
      </c>
      <c r="I5" s="643"/>
      <c r="J5" s="643"/>
      <c r="K5" s="643"/>
      <c r="L5" s="643"/>
      <c r="M5" s="643"/>
      <c r="N5" s="72"/>
      <c r="P5" s="27" t="s">
        <v>4</v>
      </c>
      <c r="Q5" s="645">
        <v>46259</v>
      </c>
      <c r="R5" s="645"/>
      <c r="T5" s="646" t="s">
        <v>3</v>
      </c>
      <c r="U5" s="647"/>
      <c r="V5" s="648" t="s">
        <v>865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68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5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0.70833333333333337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69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906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70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71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72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73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74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74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75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84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6" t="s">
        <v>45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54"/>
      <c r="AB34" s="54"/>
      <c r="AC34" s="54"/>
    </row>
    <row r="35" spans="1:68" ht="16.5" hidden="1" customHeight="1" x14ac:dyDescent="0.25">
      <c r="A35" s="707" t="s">
        <v>102</v>
      </c>
      <c r="B35" s="707"/>
      <c r="C35" s="707"/>
      <c r="D35" s="707"/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07"/>
      <c r="W35" s="707"/>
      <c r="X35" s="707"/>
      <c r="Y35" s="707"/>
      <c r="Z35" s="707"/>
      <c r="AA35" s="65"/>
      <c r="AB35" s="65"/>
      <c r="AC35" s="79"/>
    </row>
    <row r="36" spans="1:68" ht="14.25" hidden="1" customHeight="1" x14ac:dyDescent="0.25">
      <c r="A36" s="708" t="s">
        <v>84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708"/>
      <c r="O36" s="708"/>
      <c r="P36" s="708"/>
      <c r="Q36" s="708"/>
      <c r="R36" s="708"/>
      <c r="S36" s="708"/>
      <c r="T36" s="708"/>
      <c r="U36" s="708"/>
      <c r="V36" s="708"/>
      <c r="W36" s="708"/>
      <c r="X36" s="708"/>
      <c r="Y36" s="708"/>
      <c r="Z36" s="708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09">
        <v>4680115889354</v>
      </c>
      <c r="E37" s="70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1"/>
      <c r="R37" s="711"/>
      <c r="S37" s="711"/>
      <c r="T37" s="712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09">
        <v>4680115888463</v>
      </c>
      <c r="E38" s="70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1"/>
      <c r="R38" s="711"/>
      <c r="S38" s="711"/>
      <c r="T38" s="712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09">
        <v>4680115889590</v>
      </c>
      <c r="E39" s="70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1"/>
      <c r="R39" s="711"/>
      <c r="S39" s="711"/>
      <c r="T39" s="712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4301052202</v>
      </c>
      <c r="D40" s="709">
        <v>4680115888494</v>
      </c>
      <c r="E40" s="70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1"/>
      <c r="R40" s="711"/>
      <c r="S40" s="711"/>
      <c r="T40" s="712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111</v>
      </c>
      <c r="AG40" s="78"/>
      <c r="AJ40" s="84" t="s">
        <v>46</v>
      </c>
      <c r="AK40" s="84">
        <v>0</v>
      </c>
      <c r="BB40" s="107" t="s">
        <v>66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114</v>
      </c>
      <c r="B41" s="63" t="s">
        <v>115</v>
      </c>
      <c r="C41" s="36">
        <v>4301052184</v>
      </c>
      <c r="D41" s="709">
        <v>4680115888272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116</v>
      </c>
      <c r="AG41" s="78"/>
      <c r="AJ41" s="84" t="s">
        <v>46</v>
      </c>
      <c r="AK41" s="84">
        <v>0</v>
      </c>
      <c r="BB41" s="109" t="s">
        <v>66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117</v>
      </c>
      <c r="B42" s="63" t="s">
        <v>118</v>
      </c>
      <c r="C42" s="36">
        <v>4301052188</v>
      </c>
      <c r="D42" s="709">
        <v>4680115888364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89</v>
      </c>
      <c r="L42" s="37" t="s">
        <v>46</v>
      </c>
      <c r="M42" s="38" t="s">
        <v>88</v>
      </c>
      <c r="N42" s="38"/>
      <c r="O42" s="37">
        <v>40</v>
      </c>
      <c r="P42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119</v>
      </c>
      <c r="AG42" s="78"/>
      <c r="AJ42" s="84" t="s">
        <v>46</v>
      </c>
      <c r="AK42" s="84">
        <v>0</v>
      </c>
      <c r="BB42" s="111" t="s">
        <v>66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7"/>
      <c r="B43" s="717"/>
      <c r="C43" s="717"/>
      <c r="D43" s="717"/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8"/>
      <c r="P43" s="714" t="s">
        <v>40</v>
      </c>
      <c r="Q43" s="715"/>
      <c r="R43" s="715"/>
      <c r="S43" s="715"/>
      <c r="T43" s="715"/>
      <c r="U43" s="715"/>
      <c r="V43" s="71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7"/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8"/>
      <c r="P44" s="714" t="s">
        <v>40</v>
      </c>
      <c r="Q44" s="715"/>
      <c r="R44" s="715"/>
      <c r="S44" s="715"/>
      <c r="T44" s="715"/>
      <c r="U44" s="715"/>
      <c r="V44" s="71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6" t="s">
        <v>120</v>
      </c>
      <c r="B45" s="706"/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  <c r="AA45" s="54"/>
      <c r="AB45" s="54"/>
      <c r="AC45" s="54"/>
    </row>
    <row r="46" spans="1:68" ht="16.5" hidden="1" customHeight="1" x14ac:dyDescent="0.25">
      <c r="A46" s="707" t="s">
        <v>121</v>
      </c>
      <c r="B46" s="707"/>
      <c r="C46" s="707"/>
      <c r="D46" s="707"/>
      <c r="E46" s="707"/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07"/>
      <c r="W46" s="707"/>
      <c r="X46" s="707"/>
      <c r="Y46" s="707"/>
      <c r="Z46" s="707"/>
      <c r="AA46" s="65"/>
      <c r="AB46" s="65"/>
      <c r="AC46" s="79"/>
    </row>
    <row r="47" spans="1:68" ht="14.25" hidden="1" customHeight="1" x14ac:dyDescent="0.25">
      <c r="A47" s="708" t="s">
        <v>122</v>
      </c>
      <c r="B47" s="708"/>
      <c r="C47" s="708"/>
      <c r="D47" s="708"/>
      <c r="E47" s="708"/>
      <c r="F47" s="708"/>
      <c r="G47" s="708"/>
      <c r="H47" s="70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Y47" s="708"/>
      <c r="Z47" s="708"/>
      <c r="AA47" s="66"/>
      <c r="AB47" s="66"/>
      <c r="AC47" s="80"/>
    </row>
    <row r="48" spans="1:68" ht="16.5" hidden="1" customHeight="1" x14ac:dyDescent="0.25">
      <c r="A48" s="63" t="s">
        <v>123</v>
      </c>
      <c r="B48" s="63" t="s">
        <v>124</v>
      </c>
      <c r="C48" s="36">
        <v>4301011380</v>
      </c>
      <c r="D48" s="709">
        <v>4607091385670</v>
      </c>
      <c r="E48" s="709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127</v>
      </c>
      <c r="L48" s="37" t="s">
        <v>46</v>
      </c>
      <c r="M48" s="38" t="s">
        <v>126</v>
      </c>
      <c r="N48" s="38"/>
      <c r="O48" s="37">
        <v>50</v>
      </c>
      <c r="P48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1"/>
      <c r="R48" s="711"/>
      <c r="S48" s="711"/>
      <c r="T48" s="71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125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128</v>
      </c>
      <c r="B49" s="63" t="s">
        <v>129</v>
      </c>
      <c r="C49" s="36">
        <v>4301012053</v>
      </c>
      <c r="D49" s="709">
        <v>4680115887725</v>
      </c>
      <c r="E49" s="709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131</v>
      </c>
      <c r="L49" s="37" t="s">
        <v>46</v>
      </c>
      <c r="M49" s="38" t="s">
        <v>79</v>
      </c>
      <c r="N49" s="38"/>
      <c r="O49" s="37">
        <v>30</v>
      </c>
      <c r="P49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1"/>
      <c r="R49" s="711"/>
      <c r="S49" s="711"/>
      <c r="T49" s="71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130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132</v>
      </c>
      <c r="B50" s="63" t="s">
        <v>133</v>
      </c>
      <c r="C50" s="36">
        <v>4301011382</v>
      </c>
      <c r="D50" s="709">
        <v>4607091385687</v>
      </c>
      <c r="E50" s="709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134</v>
      </c>
      <c r="L50" s="37" t="s">
        <v>46</v>
      </c>
      <c r="M50" s="38" t="s">
        <v>88</v>
      </c>
      <c r="N50" s="38"/>
      <c r="O50" s="37">
        <v>50</v>
      </c>
      <c r="P50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1"/>
      <c r="R50" s="711"/>
      <c r="S50" s="711"/>
      <c r="T50" s="71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135</v>
      </c>
      <c r="B51" s="63" t="s">
        <v>136</v>
      </c>
      <c r="C51" s="36">
        <v>4301011565</v>
      </c>
      <c r="D51" s="709">
        <v>4680115882539</v>
      </c>
      <c r="E51" s="709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134</v>
      </c>
      <c r="L51" s="37" t="s">
        <v>46</v>
      </c>
      <c r="M51" s="38" t="s">
        <v>88</v>
      </c>
      <c r="N51" s="38"/>
      <c r="O51" s="37">
        <v>50</v>
      </c>
      <c r="P51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125</v>
      </c>
      <c r="AG51" s="78"/>
      <c r="AJ51" s="84" t="s">
        <v>46</v>
      </c>
      <c r="AK51" s="84">
        <v>0</v>
      </c>
      <c r="BB51" s="119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7"/>
      <c r="B52" s="717"/>
      <c r="C52" s="717"/>
      <c r="D52" s="717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8"/>
      <c r="P52" s="714" t="s">
        <v>40</v>
      </c>
      <c r="Q52" s="715"/>
      <c r="R52" s="715"/>
      <c r="S52" s="715"/>
      <c r="T52" s="715"/>
      <c r="U52" s="715"/>
      <c r="V52" s="71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7"/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8"/>
      <c r="P53" s="714" t="s">
        <v>40</v>
      </c>
      <c r="Q53" s="715"/>
      <c r="R53" s="715"/>
      <c r="S53" s="715"/>
      <c r="T53" s="715"/>
      <c r="U53" s="715"/>
      <c r="V53" s="71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7" t="s">
        <v>137</v>
      </c>
      <c r="B54" s="707"/>
      <c r="C54" s="707"/>
      <c r="D54" s="707"/>
      <c r="E54" s="707"/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707"/>
      <c r="AA54" s="65"/>
      <c r="AB54" s="65"/>
      <c r="AC54" s="79"/>
    </row>
    <row r="55" spans="1:68" ht="14.25" hidden="1" customHeight="1" x14ac:dyDescent="0.25">
      <c r="A55" s="708" t="s">
        <v>122</v>
      </c>
      <c r="B55" s="708"/>
      <c r="C55" s="708"/>
      <c r="D55" s="708"/>
      <c r="E55" s="708"/>
      <c r="F55" s="708"/>
      <c r="G55" s="708"/>
      <c r="H55" s="708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Y55" s="708"/>
      <c r="Z55" s="708"/>
      <c r="AA55" s="66"/>
      <c r="AB55" s="66"/>
      <c r="AC55" s="80"/>
    </row>
    <row r="56" spans="1:68" ht="27" hidden="1" customHeight="1" x14ac:dyDescent="0.25">
      <c r="A56" s="63" t="s">
        <v>138</v>
      </c>
      <c r="B56" s="63" t="s">
        <v>139</v>
      </c>
      <c r="C56" s="36">
        <v>4301012161</v>
      </c>
      <c r="D56" s="709">
        <v>4680115885882</v>
      </c>
      <c r="E56" s="709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3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1"/>
      <c r="R56" s="711"/>
      <c r="S56" s="711"/>
      <c r="T56" s="71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140</v>
      </c>
      <c r="AG56" s="78"/>
      <c r="AJ56" s="84" t="s">
        <v>46</v>
      </c>
      <c r="AK56" s="84">
        <v>0</v>
      </c>
      <c r="BB56" s="121" t="s">
        <v>66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4301011816</v>
      </c>
      <c r="D57" s="709">
        <v>4680115881426</v>
      </c>
      <c r="E57" s="70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3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1"/>
      <c r="R57" s="711"/>
      <c r="S57" s="711"/>
      <c r="T57" s="71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09">
        <v>4680115880283</v>
      </c>
      <c r="E58" s="70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1"/>
      <c r="R58" s="711"/>
      <c r="S58" s="711"/>
      <c r="T58" s="71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09">
        <v>4680115881525</v>
      </c>
      <c r="E59" s="70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709">
        <v>4680115885899</v>
      </c>
      <c r="E60" s="70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89</v>
      </c>
      <c r="L60" s="37" t="s">
        <v>46</v>
      </c>
      <c r="M60" s="38" t="s">
        <v>126</v>
      </c>
      <c r="N60" s="38"/>
      <c r="O60" s="37">
        <v>50</v>
      </c>
      <c r="P60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66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152</v>
      </c>
      <c r="B61" s="63" t="s">
        <v>153</v>
      </c>
      <c r="C61" s="36">
        <v>4301011801</v>
      </c>
      <c r="D61" s="709">
        <v>4680115881419</v>
      </c>
      <c r="E61" s="70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154</v>
      </c>
      <c r="AG61" s="78"/>
      <c r="AJ61" s="84" t="s">
        <v>46</v>
      </c>
      <c r="AK61" s="84">
        <v>0</v>
      </c>
      <c r="BB61" s="131" t="s">
        <v>66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717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8"/>
      <c r="P62" s="714" t="s">
        <v>40</v>
      </c>
      <c r="Q62" s="715"/>
      <c r="R62" s="715"/>
      <c r="S62" s="715"/>
      <c r="T62" s="715"/>
      <c r="U62" s="715"/>
      <c r="V62" s="71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17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8"/>
      <c r="P63" s="714" t="s">
        <v>40</v>
      </c>
      <c r="Q63" s="715"/>
      <c r="R63" s="715"/>
      <c r="S63" s="715"/>
      <c r="T63" s="715"/>
      <c r="U63" s="715"/>
      <c r="V63" s="71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708" t="s">
        <v>155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708"/>
      <c r="O64" s="708"/>
      <c r="P64" s="708"/>
      <c r="Q64" s="708"/>
      <c r="R64" s="708"/>
      <c r="S64" s="708"/>
      <c r="T64" s="708"/>
      <c r="U64" s="708"/>
      <c r="V64" s="708"/>
      <c r="W64" s="708"/>
      <c r="X64" s="708"/>
      <c r="Y64" s="708"/>
      <c r="Z64" s="708"/>
      <c r="AA64" s="66"/>
      <c r="AB64" s="66"/>
      <c r="AC64" s="80"/>
    </row>
    <row r="65" spans="1:68" ht="16.5" hidden="1" customHeight="1" x14ac:dyDescent="0.25">
      <c r="A65" s="63" t="s">
        <v>156</v>
      </c>
      <c r="B65" s="63" t="s">
        <v>157</v>
      </c>
      <c r="C65" s="36">
        <v>4301020298</v>
      </c>
      <c r="D65" s="709">
        <v>4680115881440</v>
      </c>
      <c r="E65" s="70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159</v>
      </c>
      <c r="B66" s="63" t="s">
        <v>160</v>
      </c>
      <c r="C66" s="36">
        <v>4301020358</v>
      </c>
      <c r="D66" s="709">
        <v>4680115885950</v>
      </c>
      <c r="E66" s="70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89</v>
      </c>
      <c r="L66" s="37" t="s">
        <v>46</v>
      </c>
      <c r="M66" s="38" t="s">
        <v>88</v>
      </c>
      <c r="N66" s="38"/>
      <c r="O66" s="37">
        <v>50</v>
      </c>
      <c r="P66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158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709">
        <v>4680115887688</v>
      </c>
      <c r="E67" s="70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79</v>
      </c>
      <c r="N67" s="38"/>
      <c r="O67" s="37">
        <v>30</v>
      </c>
      <c r="P67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1"/>
      <c r="R67" s="711"/>
      <c r="S67" s="711"/>
      <c r="T67" s="71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4301020296</v>
      </c>
      <c r="D68" s="709">
        <v>4680115881433</v>
      </c>
      <c r="E68" s="70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89</v>
      </c>
      <c r="L68" s="37" t="s">
        <v>46</v>
      </c>
      <c r="M68" s="38" t="s">
        <v>126</v>
      </c>
      <c r="N68" s="38"/>
      <c r="O68" s="37">
        <v>50</v>
      </c>
      <c r="P68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1"/>
      <c r="R68" s="711"/>
      <c r="S68" s="711"/>
      <c r="T68" s="71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158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17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8"/>
      <c r="P69" s="714" t="s">
        <v>40</v>
      </c>
      <c r="Q69" s="715"/>
      <c r="R69" s="715"/>
      <c r="S69" s="715"/>
      <c r="T69" s="715"/>
      <c r="U69" s="715"/>
      <c r="V69" s="71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17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8"/>
      <c r="P70" s="714" t="s">
        <v>40</v>
      </c>
      <c r="Q70" s="715"/>
      <c r="R70" s="715"/>
      <c r="S70" s="715"/>
      <c r="T70" s="715"/>
      <c r="U70" s="715"/>
      <c r="V70" s="71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08" t="s">
        <v>84</v>
      </c>
      <c r="B71" s="708"/>
      <c r="C71" s="708"/>
      <c r="D71" s="708"/>
      <c r="E71" s="708"/>
      <c r="F71" s="708"/>
      <c r="G71" s="708"/>
      <c r="H71" s="708"/>
      <c r="I71" s="708"/>
      <c r="J71" s="708"/>
      <c r="K71" s="708"/>
      <c r="L71" s="708"/>
      <c r="M71" s="708"/>
      <c r="N71" s="708"/>
      <c r="O71" s="708"/>
      <c r="P71" s="708"/>
      <c r="Q71" s="708"/>
      <c r="R71" s="708"/>
      <c r="S71" s="708"/>
      <c r="T71" s="708"/>
      <c r="U71" s="708"/>
      <c r="V71" s="708"/>
      <c r="W71" s="708"/>
      <c r="X71" s="708"/>
      <c r="Y71" s="708"/>
      <c r="Z71" s="708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709">
        <v>4680115884311</v>
      </c>
      <c r="E72" s="70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89</v>
      </c>
      <c r="L72" s="37" t="s">
        <v>46</v>
      </c>
      <c r="M72" s="38" t="s">
        <v>88</v>
      </c>
      <c r="N72" s="38"/>
      <c r="O72" s="37">
        <v>40</v>
      </c>
      <c r="P72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4301051929</v>
      </c>
      <c r="D73" s="709">
        <v>4680115884403</v>
      </c>
      <c r="E73" s="70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89</v>
      </c>
      <c r="L73" s="37" t="s">
        <v>46</v>
      </c>
      <c r="M73" s="38" t="s">
        <v>88</v>
      </c>
      <c r="N73" s="38"/>
      <c r="O73" s="37">
        <v>40</v>
      </c>
      <c r="P73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172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09">
        <v>4680115881532</v>
      </c>
      <c r="E77" s="70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95</v>
      </c>
      <c r="N77" s="38"/>
      <c r="O77" s="37">
        <v>30</v>
      </c>
      <c r="P77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176</v>
      </c>
      <c r="B78" s="63" t="s">
        <v>177</v>
      </c>
      <c r="C78" s="36">
        <v>4301060351</v>
      </c>
      <c r="D78" s="709">
        <v>4680115881464</v>
      </c>
      <c r="E78" s="709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134</v>
      </c>
      <c r="L78" s="37" t="s">
        <v>46</v>
      </c>
      <c r="M78" s="38" t="s">
        <v>88</v>
      </c>
      <c r="N78" s="38"/>
      <c r="O78" s="37">
        <v>30</v>
      </c>
      <c r="P78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7" t="s">
        <v>179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5"/>
      <c r="AB81" s="65"/>
      <c r="AC81" s="79"/>
    </row>
    <row r="82" spans="1:68" ht="14.25" hidden="1" customHeight="1" x14ac:dyDescent="0.25">
      <c r="A82" s="708" t="s">
        <v>122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6"/>
      <c r="AB82" s="66"/>
      <c r="AC82" s="80"/>
    </row>
    <row r="83" spans="1:68" ht="27" hidden="1" customHeight="1" x14ac:dyDescent="0.25">
      <c r="A83" s="63" t="s">
        <v>180</v>
      </c>
      <c r="B83" s="63" t="s">
        <v>181</v>
      </c>
      <c r="C83" s="36">
        <v>4301011468</v>
      </c>
      <c r="D83" s="709">
        <v>4680115881327</v>
      </c>
      <c r="E83" s="709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127</v>
      </c>
      <c r="L83" s="37" t="s">
        <v>46</v>
      </c>
      <c r="M83" s="38" t="s">
        <v>95</v>
      </c>
      <c r="N83" s="38"/>
      <c r="O83" s="37">
        <v>50</v>
      </c>
      <c r="P83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182</v>
      </c>
      <c r="AG83" s="78"/>
      <c r="AJ83" s="84" t="s">
        <v>46</v>
      </c>
      <c r="AK83" s="84">
        <v>0</v>
      </c>
      <c r="BB83" s="149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183</v>
      </c>
      <c r="B84" s="63" t="s">
        <v>184</v>
      </c>
      <c r="C84" s="36">
        <v>4301011261</v>
      </c>
      <c r="D84" s="709">
        <v>4680115887732</v>
      </c>
      <c r="E84" s="709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131</v>
      </c>
      <c r="L84" s="37" t="s">
        <v>46</v>
      </c>
      <c r="M84" s="38" t="s">
        <v>79</v>
      </c>
      <c r="N84" s="38"/>
      <c r="O84" s="37">
        <v>30</v>
      </c>
      <c r="P84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1"/>
      <c r="R84" s="711"/>
      <c r="S84" s="711"/>
      <c r="T84" s="712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4301011476</v>
      </c>
      <c r="D85" s="709">
        <v>4680115881518</v>
      </c>
      <c r="E85" s="709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134</v>
      </c>
      <c r="L85" s="37" t="s">
        <v>46</v>
      </c>
      <c r="M85" s="38" t="s">
        <v>88</v>
      </c>
      <c r="N85" s="38"/>
      <c r="O85" s="37">
        <v>50</v>
      </c>
      <c r="P85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1"/>
      <c r="R85" s="711"/>
      <c r="S85" s="711"/>
      <c r="T85" s="71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182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4301011443</v>
      </c>
      <c r="D86" s="709">
        <v>4680115881303</v>
      </c>
      <c r="E86" s="709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134</v>
      </c>
      <c r="L86" s="37" t="s">
        <v>46</v>
      </c>
      <c r="M86" s="38" t="s">
        <v>95</v>
      </c>
      <c r="N86" s="38"/>
      <c r="O86" s="37">
        <v>50</v>
      </c>
      <c r="P86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1"/>
      <c r="R86" s="711"/>
      <c r="S86" s="711"/>
      <c r="T86" s="71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182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717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8"/>
      <c r="P87" s="714" t="s">
        <v>40</v>
      </c>
      <c r="Q87" s="715"/>
      <c r="R87" s="715"/>
      <c r="S87" s="715"/>
      <c r="T87" s="715"/>
      <c r="U87" s="715"/>
      <c r="V87" s="71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717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8"/>
      <c r="P88" s="714" t="s">
        <v>40</v>
      </c>
      <c r="Q88" s="715"/>
      <c r="R88" s="715"/>
      <c r="S88" s="715"/>
      <c r="T88" s="715"/>
      <c r="U88" s="715"/>
      <c r="V88" s="71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708" t="s">
        <v>84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  <c r="AA89" s="66"/>
      <c r="AB89" s="66"/>
      <c r="AC89" s="80"/>
    </row>
    <row r="90" spans="1:68" ht="27" hidden="1" customHeight="1" x14ac:dyDescent="0.25">
      <c r="A90" s="63" t="s">
        <v>190</v>
      </c>
      <c r="B90" s="63" t="s">
        <v>191</v>
      </c>
      <c r="C90" s="36">
        <v>4301051712</v>
      </c>
      <c r="D90" s="709">
        <v>4607091386967</v>
      </c>
      <c r="E90" s="709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127</v>
      </c>
      <c r="L90" s="37" t="s">
        <v>46</v>
      </c>
      <c r="M90" s="38" t="s">
        <v>95</v>
      </c>
      <c r="N90" s="38"/>
      <c r="O90" s="37">
        <v>45</v>
      </c>
      <c r="P90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192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193</v>
      </c>
      <c r="B91" s="63" t="s">
        <v>194</v>
      </c>
      <c r="C91" s="36">
        <v>4301051788</v>
      </c>
      <c r="D91" s="709">
        <v>4680115884953</v>
      </c>
      <c r="E91" s="709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89</v>
      </c>
      <c r="L91" s="37" t="s">
        <v>46</v>
      </c>
      <c r="M91" s="38" t="s">
        <v>88</v>
      </c>
      <c r="N91" s="38"/>
      <c r="O91" s="37">
        <v>45</v>
      </c>
      <c r="P91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192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4301051718</v>
      </c>
      <c r="D92" s="709">
        <v>4607091385731</v>
      </c>
      <c r="E92" s="709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89</v>
      </c>
      <c r="L92" s="37" t="s">
        <v>46</v>
      </c>
      <c r="M92" s="38" t="s">
        <v>95</v>
      </c>
      <c r="N92" s="38"/>
      <c r="O92" s="37">
        <v>45</v>
      </c>
      <c r="P92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1"/>
      <c r="R92" s="711"/>
      <c r="S92" s="711"/>
      <c r="T92" s="71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192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197</v>
      </c>
      <c r="B93" s="63" t="s">
        <v>198</v>
      </c>
      <c r="C93" s="36">
        <v>4301052092</v>
      </c>
      <c r="D93" s="709">
        <v>4680115880894</v>
      </c>
      <c r="E93" s="709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89</v>
      </c>
      <c r="L93" s="37" t="s">
        <v>46</v>
      </c>
      <c r="M93" s="38" t="s">
        <v>88</v>
      </c>
      <c r="N93" s="38"/>
      <c r="O93" s="37">
        <v>45</v>
      </c>
      <c r="P93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1"/>
      <c r="R93" s="711"/>
      <c r="S93" s="711"/>
      <c r="T93" s="71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199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717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8"/>
      <c r="P94" s="714" t="s">
        <v>40</v>
      </c>
      <c r="Q94" s="715"/>
      <c r="R94" s="715"/>
      <c r="S94" s="715"/>
      <c r="T94" s="715"/>
      <c r="U94" s="715"/>
      <c r="V94" s="71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717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8"/>
      <c r="P95" s="714" t="s">
        <v>40</v>
      </c>
      <c r="Q95" s="715"/>
      <c r="R95" s="715"/>
      <c r="S95" s="715"/>
      <c r="T95" s="715"/>
      <c r="U95" s="715"/>
      <c r="V95" s="71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707" t="s">
        <v>200</v>
      </c>
      <c r="B96" s="707"/>
      <c r="C96" s="707"/>
      <c r="D96" s="707"/>
      <c r="E96" s="707"/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07"/>
      <c r="W96" s="707"/>
      <c r="X96" s="707"/>
      <c r="Y96" s="707"/>
      <c r="Z96" s="707"/>
      <c r="AA96" s="65"/>
      <c r="AB96" s="65"/>
      <c r="AC96" s="79"/>
    </row>
    <row r="97" spans="1:68" ht="14.25" hidden="1" customHeight="1" x14ac:dyDescent="0.25">
      <c r="A97" s="708" t="s">
        <v>122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6"/>
      <c r="AB97" s="66"/>
      <c r="AC97" s="80"/>
    </row>
    <row r="98" spans="1:68" ht="37.5" hidden="1" customHeight="1" x14ac:dyDescent="0.25">
      <c r="A98" s="63" t="s">
        <v>201</v>
      </c>
      <c r="B98" s="63" t="s">
        <v>202</v>
      </c>
      <c r="C98" s="36">
        <v>4301011514</v>
      </c>
      <c r="D98" s="709">
        <v>4680115882133</v>
      </c>
      <c r="E98" s="709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127</v>
      </c>
      <c r="L98" s="37" t="s">
        <v>46</v>
      </c>
      <c r="M98" s="38" t="s">
        <v>126</v>
      </c>
      <c r="N98" s="38"/>
      <c r="O98" s="37">
        <v>50</v>
      </c>
      <c r="P98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203</v>
      </c>
      <c r="AG98" s="78"/>
      <c r="AJ98" s="84" t="s">
        <v>46</v>
      </c>
      <c r="AK98" s="84">
        <v>0</v>
      </c>
      <c r="BB98" s="165" t="s">
        <v>66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204</v>
      </c>
      <c r="B99" s="63" t="s">
        <v>205</v>
      </c>
      <c r="C99" s="36">
        <v>4301012051</v>
      </c>
      <c r="D99" s="709">
        <v>4680115887718</v>
      </c>
      <c r="E99" s="709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131</v>
      </c>
      <c r="L99" s="37" t="s">
        <v>46</v>
      </c>
      <c r="M99" s="38" t="s">
        <v>79</v>
      </c>
      <c r="N99" s="38"/>
      <c r="O99" s="37">
        <v>30</v>
      </c>
      <c r="P99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1"/>
      <c r="R99" s="711"/>
      <c r="S99" s="711"/>
      <c r="T99" s="712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66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204</v>
      </c>
      <c r="B100" s="63" t="s">
        <v>207</v>
      </c>
      <c r="C100" s="36">
        <v>4301012334</v>
      </c>
      <c r="D100" s="709">
        <v>4680115887718</v>
      </c>
      <c r="E100" s="709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131</v>
      </c>
      <c r="L100" s="37" t="s">
        <v>46</v>
      </c>
      <c r="M100" s="38" t="s">
        <v>79</v>
      </c>
      <c r="N100" s="38"/>
      <c r="O100" s="37">
        <v>30</v>
      </c>
      <c r="P100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1"/>
      <c r="R100" s="711"/>
      <c r="S100" s="711"/>
      <c r="T100" s="712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206</v>
      </c>
      <c r="AG100" s="78"/>
      <c r="AJ100" s="84" t="s">
        <v>46</v>
      </c>
      <c r="AK100" s="84">
        <v>0</v>
      </c>
      <c r="BB100" s="169" t="s">
        <v>66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204</v>
      </c>
      <c r="B101" s="63" t="s">
        <v>208</v>
      </c>
      <c r="C101" s="36">
        <v>4301012379</v>
      </c>
      <c r="D101" s="709">
        <v>4680115887718</v>
      </c>
      <c r="E101" s="709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131</v>
      </c>
      <c r="L101" s="37" t="s">
        <v>46</v>
      </c>
      <c r="M101" s="38" t="s">
        <v>79</v>
      </c>
      <c r="N101" s="38"/>
      <c r="O101" s="37">
        <v>30</v>
      </c>
      <c r="P101" s="75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1"/>
      <c r="R101" s="711"/>
      <c r="S101" s="711"/>
      <c r="T101" s="71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206</v>
      </c>
      <c r="AG101" s="78"/>
      <c r="AJ101" s="84" t="s">
        <v>46</v>
      </c>
      <c r="AK101" s="84">
        <v>0</v>
      </c>
      <c r="BB101" s="171" t="s">
        <v>66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209</v>
      </c>
      <c r="B102" s="63" t="s">
        <v>210</v>
      </c>
      <c r="C102" s="36">
        <v>4301011417</v>
      </c>
      <c r="D102" s="709">
        <v>4680115880269</v>
      </c>
      <c r="E102" s="70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134</v>
      </c>
      <c r="L102" s="37" t="s">
        <v>46</v>
      </c>
      <c r="M102" s="38" t="s">
        <v>88</v>
      </c>
      <c r="N102" s="38"/>
      <c r="O102" s="37">
        <v>50</v>
      </c>
      <c r="P102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1"/>
      <c r="R102" s="711"/>
      <c r="S102" s="711"/>
      <c r="T102" s="71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203</v>
      </c>
      <c r="AG102" s="78"/>
      <c r="AJ102" s="84" t="s">
        <v>46</v>
      </c>
      <c r="AK102" s="84">
        <v>0</v>
      </c>
      <c r="BB102" s="173" t="s">
        <v>66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4301011415</v>
      </c>
      <c r="D103" s="709">
        <v>4680115880429</v>
      </c>
      <c r="E103" s="70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134</v>
      </c>
      <c r="L103" s="37" t="s">
        <v>46</v>
      </c>
      <c r="M103" s="38" t="s">
        <v>88</v>
      </c>
      <c r="N103" s="38"/>
      <c r="O103" s="37">
        <v>50</v>
      </c>
      <c r="P103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203</v>
      </c>
      <c r="AG103" s="78"/>
      <c r="AJ103" s="84" t="s">
        <v>46</v>
      </c>
      <c r="AK103" s="84">
        <v>0</v>
      </c>
      <c r="BB103" s="175" t="s">
        <v>66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4301011462</v>
      </c>
      <c r="D104" s="709">
        <v>4680115881457</v>
      </c>
      <c r="E104" s="70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88</v>
      </c>
      <c r="N104" s="38"/>
      <c r="O104" s="37">
        <v>50</v>
      </c>
      <c r="P104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203</v>
      </c>
      <c r="AG104" s="78"/>
      <c r="AJ104" s="84" t="s">
        <v>46</v>
      </c>
      <c r="AK104" s="84">
        <v>0</v>
      </c>
      <c r="BB104" s="177" t="s">
        <v>66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7"/>
      <c r="B105" s="717"/>
      <c r="C105" s="717"/>
      <c r="D105" s="717"/>
      <c r="E105" s="717"/>
      <c r="F105" s="717"/>
      <c r="G105" s="717"/>
      <c r="H105" s="717"/>
      <c r="I105" s="717"/>
      <c r="J105" s="717"/>
      <c r="K105" s="717"/>
      <c r="L105" s="717"/>
      <c r="M105" s="717"/>
      <c r="N105" s="717"/>
      <c r="O105" s="718"/>
      <c r="P105" s="714" t="s">
        <v>40</v>
      </c>
      <c r="Q105" s="715"/>
      <c r="R105" s="715"/>
      <c r="S105" s="715"/>
      <c r="T105" s="715"/>
      <c r="U105" s="715"/>
      <c r="V105" s="71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7"/>
      <c r="B106" s="717"/>
      <c r="C106" s="717"/>
      <c r="D106" s="717"/>
      <c r="E106" s="717"/>
      <c r="F106" s="717"/>
      <c r="G106" s="717"/>
      <c r="H106" s="717"/>
      <c r="I106" s="717"/>
      <c r="J106" s="717"/>
      <c r="K106" s="717"/>
      <c r="L106" s="717"/>
      <c r="M106" s="717"/>
      <c r="N106" s="717"/>
      <c r="O106" s="718"/>
      <c r="P106" s="714" t="s">
        <v>40</v>
      </c>
      <c r="Q106" s="715"/>
      <c r="R106" s="715"/>
      <c r="S106" s="715"/>
      <c r="T106" s="715"/>
      <c r="U106" s="715"/>
      <c r="V106" s="71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08" t="s">
        <v>155</v>
      </c>
      <c r="B107" s="708"/>
      <c r="C107" s="708"/>
      <c r="D107" s="708"/>
      <c r="E107" s="708"/>
      <c r="F107" s="708"/>
      <c r="G107" s="708"/>
      <c r="H107" s="708"/>
      <c r="I107" s="708"/>
      <c r="J107" s="708"/>
      <c r="K107" s="708"/>
      <c r="L107" s="708"/>
      <c r="M107" s="708"/>
      <c r="N107" s="708"/>
      <c r="O107" s="708"/>
      <c r="P107" s="708"/>
      <c r="Q107" s="708"/>
      <c r="R107" s="708"/>
      <c r="S107" s="708"/>
      <c r="T107" s="708"/>
      <c r="U107" s="708"/>
      <c r="V107" s="708"/>
      <c r="W107" s="708"/>
      <c r="X107" s="708"/>
      <c r="Y107" s="708"/>
      <c r="Z107" s="708"/>
      <c r="AA107" s="66"/>
      <c r="AB107" s="66"/>
      <c r="AC107" s="80"/>
    </row>
    <row r="108" spans="1:68" ht="27" hidden="1" customHeight="1" x14ac:dyDescent="0.25">
      <c r="A108" s="63" t="s">
        <v>215</v>
      </c>
      <c r="B108" s="63" t="s">
        <v>216</v>
      </c>
      <c r="C108" s="36">
        <v>4301020391</v>
      </c>
      <c r="D108" s="709">
        <v>4680115881488</v>
      </c>
      <c r="E108" s="70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127</v>
      </c>
      <c r="L108" s="37" t="s">
        <v>46</v>
      </c>
      <c r="M108" s="38" t="s">
        <v>126</v>
      </c>
      <c r="N108" s="38"/>
      <c r="O108" s="37">
        <v>55</v>
      </c>
      <c r="P108" s="7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217</v>
      </c>
      <c r="AG108" s="78"/>
      <c r="AJ108" s="84" t="s">
        <v>46</v>
      </c>
      <c r="AK108" s="84">
        <v>0</v>
      </c>
      <c r="BB108" s="179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218</v>
      </c>
      <c r="B109" s="63" t="s">
        <v>219</v>
      </c>
      <c r="C109" s="36">
        <v>4301020186</v>
      </c>
      <c r="D109" s="709">
        <v>4680115887664</v>
      </c>
      <c r="E109" s="70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46</v>
      </c>
      <c r="M109" s="38" t="s">
        <v>79</v>
      </c>
      <c r="N109" s="38"/>
      <c r="O109" s="37">
        <v>30</v>
      </c>
      <c r="P109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1"/>
      <c r="R109" s="711"/>
      <c r="S109" s="711"/>
      <c r="T109" s="712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218</v>
      </c>
      <c r="B110" s="63" t="s">
        <v>222</v>
      </c>
      <c r="C110" s="36">
        <v>4301020430</v>
      </c>
      <c r="D110" s="709">
        <v>4680115887664</v>
      </c>
      <c r="E110" s="709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221</v>
      </c>
      <c r="L110" s="37" t="s">
        <v>46</v>
      </c>
      <c r="M110" s="38" t="s">
        <v>79</v>
      </c>
      <c r="N110" s="38"/>
      <c r="O110" s="37">
        <v>30</v>
      </c>
      <c r="P110" s="76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1"/>
      <c r="R110" s="711"/>
      <c r="S110" s="711"/>
      <c r="T110" s="712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223</v>
      </c>
      <c r="B111" s="63" t="s">
        <v>224</v>
      </c>
      <c r="C111" s="36">
        <v>4301020393</v>
      </c>
      <c r="D111" s="709">
        <v>4680115882775</v>
      </c>
      <c r="E111" s="709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80</v>
      </c>
      <c r="L111" s="37" t="s">
        <v>46</v>
      </c>
      <c r="M111" s="38" t="s">
        <v>126</v>
      </c>
      <c r="N111" s="38"/>
      <c r="O111" s="37">
        <v>55</v>
      </c>
      <c r="P111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1"/>
      <c r="R111" s="711"/>
      <c r="S111" s="711"/>
      <c r="T111" s="71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217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4301020392</v>
      </c>
      <c r="D112" s="709">
        <v>4680115880658</v>
      </c>
      <c r="E112" s="709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89</v>
      </c>
      <c r="L112" s="37" t="s">
        <v>46</v>
      </c>
      <c r="M112" s="38" t="s">
        <v>126</v>
      </c>
      <c r="N112" s="38"/>
      <c r="O112" s="37">
        <v>55</v>
      </c>
      <c r="P112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217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7"/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8"/>
      <c r="P113" s="714" t="s">
        <v>40</v>
      </c>
      <c r="Q113" s="715"/>
      <c r="R113" s="715"/>
      <c r="S113" s="715"/>
      <c r="T113" s="715"/>
      <c r="U113" s="715"/>
      <c r="V113" s="71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7"/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8"/>
      <c r="P114" s="714" t="s">
        <v>40</v>
      </c>
      <c r="Q114" s="715"/>
      <c r="R114" s="715"/>
      <c r="S114" s="715"/>
      <c r="T114" s="715"/>
      <c r="U114" s="715"/>
      <c r="V114" s="71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08" t="s">
        <v>84</v>
      </c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708"/>
      <c r="R115" s="708"/>
      <c r="S115" s="708"/>
      <c r="T115" s="708"/>
      <c r="U115" s="708"/>
      <c r="V115" s="708"/>
      <c r="W115" s="708"/>
      <c r="X115" s="708"/>
      <c r="Y115" s="708"/>
      <c r="Z115" s="708"/>
      <c r="AA115" s="66"/>
      <c r="AB115" s="66"/>
      <c r="AC115" s="80"/>
    </row>
    <row r="116" spans="1:68" ht="27" hidden="1" customHeight="1" x14ac:dyDescent="0.25">
      <c r="A116" s="63" t="s">
        <v>227</v>
      </c>
      <c r="B116" s="63" t="s">
        <v>228</v>
      </c>
      <c r="C116" s="36">
        <v>4301051724</v>
      </c>
      <c r="D116" s="709">
        <v>4607091385168</v>
      </c>
      <c r="E116" s="709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127</v>
      </c>
      <c r="L116" s="37" t="s">
        <v>46</v>
      </c>
      <c r="M116" s="38" t="s">
        <v>95</v>
      </c>
      <c r="N116" s="38"/>
      <c r="O116" s="37">
        <v>45</v>
      </c>
      <c r="P116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230</v>
      </c>
      <c r="B117" s="63" t="s">
        <v>231</v>
      </c>
      <c r="C117" s="36">
        <v>4301051730</v>
      </c>
      <c r="D117" s="709">
        <v>4607091383256</v>
      </c>
      <c r="E117" s="709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89</v>
      </c>
      <c r="L117" s="37" t="s">
        <v>46</v>
      </c>
      <c r="M117" s="38" t="s">
        <v>95</v>
      </c>
      <c r="N117" s="38"/>
      <c r="O117" s="37">
        <v>45</v>
      </c>
      <c r="P117" s="7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1"/>
      <c r="R117" s="711"/>
      <c r="S117" s="711"/>
      <c r="T117" s="71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229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4301051721</v>
      </c>
      <c r="D118" s="709">
        <v>4607091385748</v>
      </c>
      <c r="E118" s="709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89</v>
      </c>
      <c r="L118" s="37" t="s">
        <v>46</v>
      </c>
      <c r="M118" s="38" t="s">
        <v>95</v>
      </c>
      <c r="N118" s="38"/>
      <c r="O118" s="37">
        <v>45</v>
      </c>
      <c r="P118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1"/>
      <c r="R118" s="711"/>
      <c r="S118" s="711"/>
      <c r="T118" s="71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234</v>
      </c>
      <c r="B119" s="63" t="s">
        <v>235</v>
      </c>
      <c r="C119" s="36">
        <v>4301051740</v>
      </c>
      <c r="D119" s="709">
        <v>4680115884533</v>
      </c>
      <c r="E119" s="709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89</v>
      </c>
      <c r="L119" s="37" t="s">
        <v>46</v>
      </c>
      <c r="M119" s="38" t="s">
        <v>88</v>
      </c>
      <c r="N119" s="38"/>
      <c r="O119" s="37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1"/>
      <c r="R119" s="711"/>
      <c r="S119" s="711"/>
      <c r="T119" s="71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17"/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8"/>
      <c r="P120" s="714" t="s">
        <v>40</v>
      </c>
      <c r="Q120" s="715"/>
      <c r="R120" s="715"/>
      <c r="S120" s="715"/>
      <c r="T120" s="715"/>
      <c r="U120" s="715"/>
      <c r="V120" s="71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17"/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8"/>
      <c r="P121" s="714" t="s">
        <v>40</v>
      </c>
      <c r="Q121" s="715"/>
      <c r="R121" s="715"/>
      <c r="S121" s="715"/>
      <c r="T121" s="715"/>
      <c r="U121" s="715"/>
      <c r="V121" s="71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08" t="s">
        <v>172</v>
      </c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708"/>
      <c r="R122" s="708"/>
      <c r="S122" s="708"/>
      <c r="T122" s="708"/>
      <c r="U122" s="708"/>
      <c r="V122" s="708"/>
      <c r="W122" s="708"/>
      <c r="X122" s="708"/>
      <c r="Y122" s="708"/>
      <c r="Z122" s="708"/>
      <c r="AA122" s="66"/>
      <c r="AB122" s="66"/>
      <c r="AC122" s="80"/>
    </row>
    <row r="123" spans="1:68" ht="16.5" hidden="1" customHeight="1" x14ac:dyDescent="0.25">
      <c r="A123" s="63" t="s">
        <v>237</v>
      </c>
      <c r="B123" s="63" t="s">
        <v>238</v>
      </c>
      <c r="C123" s="36">
        <v>4301060317</v>
      </c>
      <c r="D123" s="709">
        <v>4680115880238</v>
      </c>
      <c r="E123" s="709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89</v>
      </c>
      <c r="L123" s="37" t="s">
        <v>46</v>
      </c>
      <c r="M123" s="38" t="s">
        <v>88</v>
      </c>
      <c r="N123" s="38"/>
      <c r="O123" s="37">
        <v>40</v>
      </c>
      <c r="P123" s="7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239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7" t="s">
        <v>240</v>
      </c>
      <c r="B126" s="707"/>
      <c r="C126" s="707"/>
      <c r="D126" s="707"/>
      <c r="E126" s="707"/>
      <c r="F126" s="707"/>
      <c r="G126" s="707"/>
      <c r="H126" s="707"/>
      <c r="I126" s="707"/>
      <c r="J126" s="707"/>
      <c r="K126" s="707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07"/>
      <c r="W126" s="707"/>
      <c r="X126" s="707"/>
      <c r="Y126" s="707"/>
      <c r="Z126" s="707"/>
      <c r="AA126" s="65"/>
      <c r="AB126" s="65"/>
      <c r="AC126" s="79"/>
    </row>
    <row r="127" spans="1:68" ht="14.25" hidden="1" customHeight="1" x14ac:dyDescent="0.25">
      <c r="A127" s="708" t="s">
        <v>122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6"/>
      <c r="AB127" s="66"/>
      <c r="AC127" s="80"/>
    </row>
    <row r="128" spans="1:68" ht="27" hidden="1" customHeight="1" x14ac:dyDescent="0.25">
      <c r="A128" s="63" t="s">
        <v>241</v>
      </c>
      <c r="B128" s="63" t="s">
        <v>242</v>
      </c>
      <c r="C128" s="36">
        <v>4301012347</v>
      </c>
      <c r="D128" s="709">
        <v>4680115888784</v>
      </c>
      <c r="E128" s="709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127</v>
      </c>
      <c r="L128" s="37" t="s">
        <v>46</v>
      </c>
      <c r="M128" s="38" t="s">
        <v>244</v>
      </c>
      <c r="N128" s="38"/>
      <c r="O128" s="37">
        <v>90</v>
      </c>
      <c r="P128" s="773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1"/>
      <c r="R128" s="711"/>
      <c r="S128" s="711"/>
      <c r="T128" s="712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243</v>
      </c>
      <c r="AG128" s="78"/>
      <c r="AJ128" s="84" t="s">
        <v>46</v>
      </c>
      <c r="AK128" s="84">
        <v>0</v>
      </c>
      <c r="BB128" s="199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245</v>
      </c>
      <c r="B129" s="63" t="s">
        <v>246</v>
      </c>
      <c r="C129" s="36">
        <v>4301011562</v>
      </c>
      <c r="D129" s="709">
        <v>4680115882577</v>
      </c>
      <c r="E129" s="709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89</v>
      </c>
      <c r="L129" s="37" t="s">
        <v>46</v>
      </c>
      <c r="M129" s="38" t="s">
        <v>248</v>
      </c>
      <c r="N129" s="38"/>
      <c r="O129" s="37">
        <v>90</v>
      </c>
      <c r="P129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1"/>
      <c r="R129" s="711"/>
      <c r="S129" s="711"/>
      <c r="T129" s="71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247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245</v>
      </c>
      <c r="B130" s="63" t="s">
        <v>249</v>
      </c>
      <c r="C130" s="36">
        <v>4301011564</v>
      </c>
      <c r="D130" s="709">
        <v>4680115882577</v>
      </c>
      <c r="E130" s="70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89</v>
      </c>
      <c r="L130" s="37" t="s">
        <v>46</v>
      </c>
      <c r="M130" s="38" t="s">
        <v>248</v>
      </c>
      <c r="N130" s="38"/>
      <c r="O130" s="37">
        <v>90</v>
      </c>
      <c r="P130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1"/>
      <c r="R130" s="711"/>
      <c r="S130" s="711"/>
      <c r="T130" s="71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247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7"/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8"/>
      <c r="P131" s="714" t="s">
        <v>40</v>
      </c>
      <c r="Q131" s="715"/>
      <c r="R131" s="715"/>
      <c r="S131" s="715"/>
      <c r="T131" s="715"/>
      <c r="U131" s="715"/>
      <c r="V131" s="71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7"/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8"/>
      <c r="P132" s="714" t="s">
        <v>40</v>
      </c>
      <c r="Q132" s="715"/>
      <c r="R132" s="715"/>
      <c r="S132" s="715"/>
      <c r="T132" s="715"/>
      <c r="U132" s="715"/>
      <c r="V132" s="71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08" t="s">
        <v>75</v>
      </c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708"/>
      <c r="R133" s="708"/>
      <c r="S133" s="708"/>
      <c r="T133" s="708"/>
      <c r="U133" s="708"/>
      <c r="V133" s="708"/>
      <c r="W133" s="708"/>
      <c r="X133" s="708"/>
      <c r="Y133" s="708"/>
      <c r="Z133" s="708"/>
      <c r="AA133" s="66"/>
      <c r="AB133" s="66"/>
      <c r="AC133" s="80"/>
    </row>
    <row r="134" spans="1:68" ht="16.5" hidden="1" customHeight="1" x14ac:dyDescent="0.25">
      <c r="A134" s="63" t="s">
        <v>250</v>
      </c>
      <c r="B134" s="63" t="s">
        <v>251</v>
      </c>
      <c r="C134" s="36">
        <v>4301031506</v>
      </c>
      <c r="D134" s="709">
        <v>4680115888913</v>
      </c>
      <c r="E134" s="709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127</v>
      </c>
      <c r="L134" s="37" t="s">
        <v>46</v>
      </c>
      <c r="M134" s="38" t="s">
        <v>244</v>
      </c>
      <c r="N134" s="38"/>
      <c r="O134" s="37">
        <v>90</v>
      </c>
      <c r="P134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252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253</v>
      </c>
      <c r="B135" s="63" t="s">
        <v>254</v>
      </c>
      <c r="C135" s="36">
        <v>4301031234</v>
      </c>
      <c r="D135" s="709">
        <v>4680115883444</v>
      </c>
      <c r="E135" s="70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89</v>
      </c>
      <c r="L135" s="37" t="s">
        <v>46</v>
      </c>
      <c r="M135" s="38" t="s">
        <v>248</v>
      </c>
      <c r="N135" s="38"/>
      <c r="O135" s="37">
        <v>90</v>
      </c>
      <c r="P135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253</v>
      </c>
      <c r="B136" s="63" t="s">
        <v>256</v>
      </c>
      <c r="C136" s="36">
        <v>4301031235</v>
      </c>
      <c r="D136" s="709">
        <v>4680115883444</v>
      </c>
      <c r="E136" s="70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89</v>
      </c>
      <c r="L136" s="37" t="s">
        <v>46</v>
      </c>
      <c r="M136" s="38" t="s">
        <v>248</v>
      </c>
      <c r="N136" s="38"/>
      <c r="O136" s="37">
        <v>90</v>
      </c>
      <c r="P136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1"/>
      <c r="R136" s="711"/>
      <c r="S136" s="711"/>
      <c r="T136" s="71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257</v>
      </c>
      <c r="B137" s="63" t="s">
        <v>258</v>
      </c>
      <c r="C137" s="36">
        <v>4301031504</v>
      </c>
      <c r="D137" s="709">
        <v>4680115888920</v>
      </c>
      <c r="E137" s="709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80</v>
      </c>
      <c r="L137" s="37" t="s">
        <v>46</v>
      </c>
      <c r="M137" s="38" t="s">
        <v>244</v>
      </c>
      <c r="N137" s="38"/>
      <c r="O137" s="37">
        <v>90</v>
      </c>
      <c r="P137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1"/>
      <c r="R137" s="711"/>
      <c r="S137" s="711"/>
      <c r="T137" s="71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252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7"/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717"/>
      <c r="M138" s="717"/>
      <c r="N138" s="717"/>
      <c r="O138" s="718"/>
      <c r="P138" s="714" t="s">
        <v>40</v>
      </c>
      <c r="Q138" s="715"/>
      <c r="R138" s="715"/>
      <c r="S138" s="715"/>
      <c r="T138" s="715"/>
      <c r="U138" s="715"/>
      <c r="V138" s="71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7"/>
      <c r="B139" s="717"/>
      <c r="C139" s="717"/>
      <c r="D139" s="717"/>
      <c r="E139" s="717"/>
      <c r="F139" s="717"/>
      <c r="G139" s="717"/>
      <c r="H139" s="717"/>
      <c r="I139" s="717"/>
      <c r="J139" s="717"/>
      <c r="K139" s="717"/>
      <c r="L139" s="717"/>
      <c r="M139" s="717"/>
      <c r="N139" s="717"/>
      <c r="O139" s="718"/>
      <c r="P139" s="714" t="s">
        <v>40</v>
      </c>
      <c r="Q139" s="715"/>
      <c r="R139" s="715"/>
      <c r="S139" s="715"/>
      <c r="T139" s="715"/>
      <c r="U139" s="715"/>
      <c r="V139" s="71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08" t="s">
        <v>84</v>
      </c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708"/>
      <c r="R140" s="708"/>
      <c r="S140" s="708"/>
      <c r="T140" s="708"/>
      <c r="U140" s="708"/>
      <c r="V140" s="708"/>
      <c r="W140" s="708"/>
      <c r="X140" s="708"/>
      <c r="Y140" s="708"/>
      <c r="Z140" s="708"/>
      <c r="AA140" s="66"/>
      <c r="AB140" s="66"/>
      <c r="AC140" s="80"/>
    </row>
    <row r="141" spans="1:68" ht="16.5" hidden="1" customHeight="1" x14ac:dyDescent="0.25">
      <c r="A141" s="63" t="s">
        <v>259</v>
      </c>
      <c r="B141" s="63" t="s">
        <v>260</v>
      </c>
      <c r="C141" s="36">
        <v>4301052219</v>
      </c>
      <c r="D141" s="709">
        <v>4680115888944</v>
      </c>
      <c r="E141" s="709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89</v>
      </c>
      <c r="L141" s="37" t="s">
        <v>46</v>
      </c>
      <c r="M141" s="38" t="s">
        <v>244</v>
      </c>
      <c r="N141" s="38"/>
      <c r="O141" s="37">
        <v>90</v>
      </c>
      <c r="P141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243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261</v>
      </c>
      <c r="B142" s="63" t="s">
        <v>262</v>
      </c>
      <c r="C142" s="36">
        <v>4301051476</v>
      </c>
      <c r="D142" s="709">
        <v>4680115882584</v>
      </c>
      <c r="E142" s="70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89</v>
      </c>
      <c r="L142" s="37" t="s">
        <v>46</v>
      </c>
      <c r="M142" s="38" t="s">
        <v>248</v>
      </c>
      <c r="N142" s="38"/>
      <c r="O142" s="37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247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261</v>
      </c>
      <c r="B143" s="63" t="s">
        <v>263</v>
      </c>
      <c r="C143" s="36">
        <v>4301051477</v>
      </c>
      <c r="D143" s="709">
        <v>4680115882584</v>
      </c>
      <c r="E143" s="70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89</v>
      </c>
      <c r="L143" s="37" t="s">
        <v>46</v>
      </c>
      <c r="M143" s="38" t="s">
        <v>248</v>
      </c>
      <c r="N143" s="38"/>
      <c r="O143" s="37">
        <v>60</v>
      </c>
      <c r="P143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1"/>
      <c r="R143" s="711"/>
      <c r="S143" s="711"/>
      <c r="T143" s="71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247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7"/>
      <c r="B145" s="717"/>
      <c r="C145" s="717"/>
      <c r="D145" s="717"/>
      <c r="E145" s="717"/>
      <c r="F145" s="717"/>
      <c r="G145" s="717"/>
      <c r="H145" s="717"/>
      <c r="I145" s="717"/>
      <c r="J145" s="717"/>
      <c r="K145" s="717"/>
      <c r="L145" s="717"/>
      <c r="M145" s="717"/>
      <c r="N145" s="717"/>
      <c r="O145" s="718"/>
      <c r="P145" s="714" t="s">
        <v>40</v>
      </c>
      <c r="Q145" s="715"/>
      <c r="R145" s="715"/>
      <c r="S145" s="715"/>
      <c r="T145" s="715"/>
      <c r="U145" s="715"/>
      <c r="V145" s="71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7" t="s">
        <v>264</v>
      </c>
      <c r="B146" s="707"/>
      <c r="C146" s="707"/>
      <c r="D146" s="707"/>
      <c r="E146" s="707"/>
      <c r="F146" s="707"/>
      <c r="G146" s="707"/>
      <c r="H146" s="707"/>
      <c r="I146" s="707"/>
      <c r="J146" s="707"/>
      <c r="K146" s="707"/>
      <c r="L146" s="707"/>
      <c r="M146" s="707"/>
      <c r="N146" s="707"/>
      <c r="O146" s="707"/>
      <c r="P146" s="707"/>
      <c r="Q146" s="707"/>
      <c r="R146" s="707"/>
      <c r="S146" s="707"/>
      <c r="T146" s="707"/>
      <c r="U146" s="707"/>
      <c r="V146" s="707"/>
      <c r="W146" s="707"/>
      <c r="X146" s="707"/>
      <c r="Y146" s="707"/>
      <c r="Z146" s="707"/>
      <c r="AA146" s="65"/>
      <c r="AB146" s="65"/>
      <c r="AC146" s="79"/>
    </row>
    <row r="147" spans="1:68" ht="14.25" hidden="1" customHeight="1" x14ac:dyDescent="0.25">
      <c r="A147" s="708" t="s">
        <v>84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6"/>
      <c r="AB147" s="66"/>
      <c r="AC147" s="80"/>
    </row>
    <row r="148" spans="1:68" ht="27" hidden="1" customHeight="1" x14ac:dyDescent="0.25">
      <c r="A148" s="63" t="s">
        <v>265</v>
      </c>
      <c r="B148" s="63" t="s">
        <v>266</v>
      </c>
      <c r="C148" s="36">
        <v>4301052254</v>
      </c>
      <c r="D148" s="709">
        <v>4680115888203</v>
      </c>
      <c r="E148" s="70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89</v>
      </c>
      <c r="L148" s="37" t="s">
        <v>46</v>
      </c>
      <c r="M148" s="38" t="s">
        <v>95</v>
      </c>
      <c r="N148" s="38"/>
      <c r="O148" s="37">
        <v>40</v>
      </c>
      <c r="P148" s="7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66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4301052172</v>
      </c>
      <c r="D149" s="709">
        <v>4680115888180</v>
      </c>
      <c r="E149" s="70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89</v>
      </c>
      <c r="L149" s="37" t="s">
        <v>46</v>
      </c>
      <c r="M149" s="38" t="s">
        <v>95</v>
      </c>
      <c r="N149" s="38"/>
      <c r="O149" s="37">
        <v>40</v>
      </c>
      <c r="P149" s="7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66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268</v>
      </c>
      <c r="B150" s="63" t="s">
        <v>271</v>
      </c>
      <c r="C150" s="36">
        <v>4301052252</v>
      </c>
      <c r="D150" s="709">
        <v>4680115888180</v>
      </c>
      <c r="E150" s="70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89</v>
      </c>
      <c r="L150" s="37" t="s">
        <v>46</v>
      </c>
      <c r="M150" s="38" t="s">
        <v>95</v>
      </c>
      <c r="N150" s="38"/>
      <c r="O150" s="37">
        <v>40</v>
      </c>
      <c r="P150" s="7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1"/>
      <c r="R150" s="711"/>
      <c r="S150" s="711"/>
      <c r="T150" s="71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66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272</v>
      </c>
      <c r="B151" s="63" t="s">
        <v>273</v>
      </c>
      <c r="C151" s="36">
        <v>4301052173</v>
      </c>
      <c r="D151" s="709">
        <v>4680115888197</v>
      </c>
      <c r="E151" s="70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1"/>
      <c r="R151" s="711"/>
      <c r="S151" s="711"/>
      <c r="T151" s="71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274</v>
      </c>
      <c r="AG151" s="78"/>
      <c r="AJ151" s="84" t="s">
        <v>46</v>
      </c>
      <c r="AK151" s="84">
        <v>0</v>
      </c>
      <c r="BB151" s="225" t="s">
        <v>66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272</v>
      </c>
      <c r="B152" s="63" t="s">
        <v>275</v>
      </c>
      <c r="C152" s="36">
        <v>4301052253</v>
      </c>
      <c r="D152" s="709">
        <v>4680115888197</v>
      </c>
      <c r="E152" s="709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7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1"/>
      <c r="R152" s="711"/>
      <c r="S152" s="711"/>
      <c r="T152" s="71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274</v>
      </c>
      <c r="AG152" s="78"/>
      <c r="AJ152" s="84" t="s">
        <v>46</v>
      </c>
      <c r="AK152" s="84">
        <v>0</v>
      </c>
      <c r="BB152" s="227" t="s">
        <v>66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4301052175</v>
      </c>
      <c r="D153" s="709">
        <v>4680115888210</v>
      </c>
      <c r="E153" s="70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78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1"/>
      <c r="R153" s="711"/>
      <c r="S153" s="711"/>
      <c r="T153" s="71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278</v>
      </c>
      <c r="AG153" s="78"/>
      <c r="AJ153" s="84" t="s">
        <v>46</v>
      </c>
      <c r="AK153" s="84">
        <v>0</v>
      </c>
      <c r="BB153" s="229" t="s">
        <v>66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276</v>
      </c>
      <c r="B154" s="63" t="s">
        <v>279</v>
      </c>
      <c r="C154" s="36">
        <v>4301052255</v>
      </c>
      <c r="D154" s="709">
        <v>4680115888210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78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278</v>
      </c>
      <c r="AG154" s="78"/>
      <c r="AJ154" s="84" t="s">
        <v>46</v>
      </c>
      <c r="AK154" s="84">
        <v>0</v>
      </c>
      <c r="BB154" s="231" t="s">
        <v>66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7"/>
      <c r="B155" s="717"/>
      <c r="C155" s="717"/>
      <c r="D155" s="717"/>
      <c r="E155" s="717"/>
      <c r="F155" s="717"/>
      <c r="G155" s="717"/>
      <c r="H155" s="717"/>
      <c r="I155" s="717"/>
      <c r="J155" s="717"/>
      <c r="K155" s="717"/>
      <c r="L155" s="717"/>
      <c r="M155" s="717"/>
      <c r="N155" s="717"/>
      <c r="O155" s="718"/>
      <c r="P155" s="714" t="s">
        <v>40</v>
      </c>
      <c r="Q155" s="715"/>
      <c r="R155" s="715"/>
      <c r="S155" s="715"/>
      <c r="T155" s="715"/>
      <c r="U155" s="715"/>
      <c r="V155" s="71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7"/>
      <c r="B156" s="717"/>
      <c r="C156" s="717"/>
      <c r="D156" s="717"/>
      <c r="E156" s="717"/>
      <c r="F156" s="717"/>
      <c r="G156" s="717"/>
      <c r="H156" s="717"/>
      <c r="I156" s="717"/>
      <c r="J156" s="717"/>
      <c r="K156" s="717"/>
      <c r="L156" s="717"/>
      <c r="M156" s="717"/>
      <c r="N156" s="717"/>
      <c r="O156" s="718"/>
      <c r="P156" s="714" t="s">
        <v>40</v>
      </c>
      <c r="Q156" s="715"/>
      <c r="R156" s="715"/>
      <c r="S156" s="715"/>
      <c r="T156" s="715"/>
      <c r="U156" s="715"/>
      <c r="V156" s="71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08" t="s">
        <v>280</v>
      </c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708"/>
      <c r="R157" s="708"/>
      <c r="S157" s="708"/>
      <c r="T157" s="708"/>
      <c r="U157" s="708"/>
      <c r="V157" s="708"/>
      <c r="W157" s="708"/>
      <c r="X157" s="708"/>
      <c r="Y157" s="708"/>
      <c r="Z157" s="708"/>
      <c r="AA157" s="66"/>
      <c r="AB157" s="66"/>
      <c r="AC157" s="80"/>
    </row>
    <row r="158" spans="1:68" ht="27" hidden="1" customHeight="1" x14ac:dyDescent="0.25">
      <c r="A158" s="63" t="s">
        <v>281</v>
      </c>
      <c r="B158" s="63" t="s">
        <v>282</v>
      </c>
      <c r="C158" s="36">
        <v>4301032067</v>
      </c>
      <c r="D158" s="709">
        <v>4680115889132</v>
      </c>
      <c r="E158" s="709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286</v>
      </c>
      <c r="L158" s="37" t="s">
        <v>46</v>
      </c>
      <c r="M158" s="38" t="s">
        <v>285</v>
      </c>
      <c r="N158" s="38"/>
      <c r="O158" s="37">
        <v>120</v>
      </c>
      <c r="P158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1"/>
      <c r="R158" s="711"/>
      <c r="S158" s="711"/>
      <c r="T158" s="71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283</v>
      </c>
      <c r="AG158" s="78"/>
      <c r="AJ158" s="84" t="s">
        <v>46</v>
      </c>
      <c r="AK158" s="84">
        <v>0</v>
      </c>
      <c r="BB158" s="233" t="s">
        <v>284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7"/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8"/>
      <c r="P160" s="714" t="s">
        <v>40</v>
      </c>
      <c r="Q160" s="715"/>
      <c r="R160" s="715"/>
      <c r="S160" s="715"/>
      <c r="T160" s="715"/>
      <c r="U160" s="715"/>
      <c r="V160" s="71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7" t="s">
        <v>120</v>
      </c>
      <c r="B161" s="707"/>
      <c r="C161" s="707"/>
      <c r="D161" s="707"/>
      <c r="E161" s="707"/>
      <c r="F161" s="707"/>
      <c r="G161" s="707"/>
      <c r="H161" s="707"/>
      <c r="I161" s="707"/>
      <c r="J161" s="707"/>
      <c r="K161" s="707"/>
      <c r="L161" s="707"/>
      <c r="M161" s="707"/>
      <c r="N161" s="707"/>
      <c r="O161" s="707"/>
      <c r="P161" s="707"/>
      <c r="Q161" s="707"/>
      <c r="R161" s="707"/>
      <c r="S161" s="707"/>
      <c r="T161" s="707"/>
      <c r="U161" s="707"/>
      <c r="V161" s="707"/>
      <c r="W161" s="707"/>
      <c r="X161" s="707"/>
      <c r="Y161" s="707"/>
      <c r="Z161" s="707"/>
      <c r="AA161" s="65"/>
      <c r="AB161" s="65"/>
      <c r="AC161" s="79"/>
    </row>
    <row r="162" spans="1:68" ht="14.25" hidden="1" customHeight="1" x14ac:dyDescent="0.25">
      <c r="A162" s="708" t="s">
        <v>122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6"/>
      <c r="AB162" s="66"/>
      <c r="AC162" s="80"/>
    </row>
    <row r="163" spans="1:68" ht="27" hidden="1" customHeight="1" x14ac:dyDescent="0.25">
      <c r="A163" s="63" t="s">
        <v>287</v>
      </c>
      <c r="B163" s="63" t="s">
        <v>288</v>
      </c>
      <c r="C163" s="36">
        <v>4301012338</v>
      </c>
      <c r="D163" s="709">
        <v>4680115887374</v>
      </c>
      <c r="E163" s="709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7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1"/>
      <c r="R163" s="711"/>
      <c r="S163" s="711"/>
      <c r="T163" s="71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289</v>
      </c>
      <c r="AG163" s="78"/>
      <c r="AJ163" s="84" t="s">
        <v>46</v>
      </c>
      <c r="AK163" s="84">
        <v>0</v>
      </c>
      <c r="BB163" s="235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290</v>
      </c>
      <c r="B164" s="63" t="s">
        <v>291</v>
      </c>
      <c r="C164" s="36">
        <v>4301011705</v>
      </c>
      <c r="D164" s="709">
        <v>4607091384604</v>
      </c>
      <c r="E164" s="709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7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1"/>
      <c r="R164" s="711"/>
      <c r="S164" s="711"/>
      <c r="T164" s="71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293</v>
      </c>
      <c r="B165" s="63" t="s">
        <v>294</v>
      </c>
      <c r="C165" s="36">
        <v>4301012344</v>
      </c>
      <c r="D165" s="709">
        <v>4680115888876</v>
      </c>
      <c r="E165" s="709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89</v>
      </c>
      <c r="L165" s="37" t="s">
        <v>46</v>
      </c>
      <c r="M165" s="38" t="s">
        <v>88</v>
      </c>
      <c r="N165" s="38"/>
      <c r="O165" s="37">
        <v>55</v>
      </c>
      <c r="P165" s="79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1"/>
      <c r="R165" s="711"/>
      <c r="S165" s="711"/>
      <c r="T165" s="71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7"/>
      <c r="B166" s="717"/>
      <c r="C166" s="717"/>
      <c r="D166" s="717"/>
      <c r="E166" s="717"/>
      <c r="F166" s="717"/>
      <c r="G166" s="717"/>
      <c r="H166" s="717"/>
      <c r="I166" s="717"/>
      <c r="J166" s="717"/>
      <c r="K166" s="717"/>
      <c r="L166" s="717"/>
      <c r="M166" s="717"/>
      <c r="N166" s="717"/>
      <c r="O166" s="718"/>
      <c r="P166" s="714" t="s">
        <v>40</v>
      </c>
      <c r="Q166" s="715"/>
      <c r="R166" s="715"/>
      <c r="S166" s="715"/>
      <c r="T166" s="715"/>
      <c r="U166" s="715"/>
      <c r="V166" s="71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7"/>
      <c r="B167" s="717"/>
      <c r="C167" s="717"/>
      <c r="D167" s="717"/>
      <c r="E167" s="717"/>
      <c r="F167" s="717"/>
      <c r="G167" s="717"/>
      <c r="H167" s="717"/>
      <c r="I167" s="717"/>
      <c r="J167" s="717"/>
      <c r="K167" s="717"/>
      <c r="L167" s="717"/>
      <c r="M167" s="717"/>
      <c r="N167" s="717"/>
      <c r="O167" s="718"/>
      <c r="P167" s="714" t="s">
        <v>40</v>
      </c>
      <c r="Q167" s="715"/>
      <c r="R167" s="715"/>
      <c r="S167" s="715"/>
      <c r="T167" s="715"/>
      <c r="U167" s="715"/>
      <c r="V167" s="71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08" t="s">
        <v>155</v>
      </c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708"/>
      <c r="T168" s="708"/>
      <c r="U168" s="708"/>
      <c r="V168" s="708"/>
      <c r="W168" s="708"/>
      <c r="X168" s="708"/>
      <c r="Y168" s="708"/>
      <c r="Z168" s="708"/>
      <c r="AA168" s="66"/>
      <c r="AB168" s="66"/>
      <c r="AC168" s="80"/>
    </row>
    <row r="169" spans="1:68" ht="16.5" hidden="1" customHeight="1" x14ac:dyDescent="0.25">
      <c r="A169" s="63" t="s">
        <v>296</v>
      </c>
      <c r="B169" s="63" t="s">
        <v>297</v>
      </c>
      <c r="C169" s="36">
        <v>4301020410</v>
      </c>
      <c r="D169" s="709">
        <v>4680115887695</v>
      </c>
      <c r="E169" s="709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80</v>
      </c>
      <c r="L169" s="37" t="s">
        <v>46</v>
      </c>
      <c r="M169" s="38" t="s">
        <v>79</v>
      </c>
      <c r="N169" s="38"/>
      <c r="O169" s="37">
        <v>30</v>
      </c>
      <c r="P169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1"/>
      <c r="R169" s="711"/>
      <c r="S169" s="711"/>
      <c r="T169" s="71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298</v>
      </c>
      <c r="AG169" s="78"/>
      <c r="AJ169" s="84" t="s">
        <v>46</v>
      </c>
      <c r="AK169" s="84">
        <v>0</v>
      </c>
      <c r="BB169" s="241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299</v>
      </c>
      <c r="B170" s="63" t="s">
        <v>300</v>
      </c>
      <c r="C170" s="36">
        <v>4301020439</v>
      </c>
      <c r="D170" s="709">
        <v>4680115889491</v>
      </c>
      <c r="E170" s="709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80</v>
      </c>
      <c r="L170" s="37" t="s">
        <v>46</v>
      </c>
      <c r="M170" s="38" t="s">
        <v>126</v>
      </c>
      <c r="N170" s="38"/>
      <c r="O170" s="37">
        <v>55</v>
      </c>
      <c r="P170" s="7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1"/>
      <c r="R170" s="711"/>
      <c r="S170" s="711"/>
      <c r="T170" s="712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7"/>
      <c r="B171" s="717"/>
      <c r="C171" s="717"/>
      <c r="D171" s="717"/>
      <c r="E171" s="717"/>
      <c r="F171" s="717"/>
      <c r="G171" s="717"/>
      <c r="H171" s="717"/>
      <c r="I171" s="717"/>
      <c r="J171" s="717"/>
      <c r="K171" s="717"/>
      <c r="L171" s="717"/>
      <c r="M171" s="717"/>
      <c r="N171" s="717"/>
      <c r="O171" s="718"/>
      <c r="P171" s="714" t="s">
        <v>40</v>
      </c>
      <c r="Q171" s="715"/>
      <c r="R171" s="715"/>
      <c r="S171" s="715"/>
      <c r="T171" s="715"/>
      <c r="U171" s="715"/>
      <c r="V171" s="71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7"/>
      <c r="B172" s="717"/>
      <c r="C172" s="717"/>
      <c r="D172" s="717"/>
      <c r="E172" s="717"/>
      <c r="F172" s="717"/>
      <c r="G172" s="717"/>
      <c r="H172" s="717"/>
      <c r="I172" s="717"/>
      <c r="J172" s="717"/>
      <c r="K172" s="717"/>
      <c r="L172" s="717"/>
      <c r="M172" s="717"/>
      <c r="N172" s="717"/>
      <c r="O172" s="718"/>
      <c r="P172" s="714" t="s">
        <v>40</v>
      </c>
      <c r="Q172" s="715"/>
      <c r="R172" s="715"/>
      <c r="S172" s="715"/>
      <c r="T172" s="715"/>
      <c r="U172" s="715"/>
      <c r="V172" s="71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08" t="s">
        <v>75</v>
      </c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  <c r="W173" s="708"/>
      <c r="X173" s="708"/>
      <c r="Y173" s="708"/>
      <c r="Z173" s="708"/>
      <c r="AA173" s="66"/>
      <c r="AB173" s="66"/>
      <c r="AC173" s="80"/>
    </row>
    <row r="174" spans="1:68" ht="27" hidden="1" customHeight="1" x14ac:dyDescent="0.25">
      <c r="A174" s="63" t="s">
        <v>302</v>
      </c>
      <c r="B174" s="63" t="s">
        <v>303</v>
      </c>
      <c r="C174" s="36">
        <v>4301031496</v>
      </c>
      <c r="D174" s="709">
        <v>4680115887428</v>
      </c>
      <c r="E174" s="70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79</v>
      </c>
      <c r="N174" s="38"/>
      <c r="O174" s="37">
        <v>40</v>
      </c>
      <c r="P174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1"/>
      <c r="R174" s="711"/>
      <c r="S174" s="711"/>
      <c r="T174" s="71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304</v>
      </c>
      <c r="AG174" s="78"/>
      <c r="AJ174" s="84" t="s">
        <v>46</v>
      </c>
      <c r="AK174" s="84">
        <v>0</v>
      </c>
      <c r="BB174" s="245" t="s">
        <v>66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305</v>
      </c>
      <c r="B175" s="63" t="s">
        <v>306</v>
      </c>
      <c r="C175" s="36">
        <v>4301031509</v>
      </c>
      <c r="D175" s="709">
        <v>4680115889170</v>
      </c>
      <c r="E175" s="709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134</v>
      </c>
      <c r="L175" s="37" t="s">
        <v>46</v>
      </c>
      <c r="M175" s="38" t="s">
        <v>79</v>
      </c>
      <c r="N175" s="38"/>
      <c r="O175" s="37">
        <v>45</v>
      </c>
      <c r="P175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1"/>
      <c r="R175" s="711"/>
      <c r="S175" s="711"/>
      <c r="T175" s="71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66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4301031498</v>
      </c>
      <c r="D176" s="709">
        <v>4680115887398</v>
      </c>
      <c r="E176" s="70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79</v>
      </c>
      <c r="N176" s="38"/>
      <c r="O176" s="37">
        <v>40</v>
      </c>
      <c r="P176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1"/>
      <c r="R176" s="711"/>
      <c r="S176" s="711"/>
      <c r="T176" s="71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66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4301031497</v>
      </c>
      <c r="D177" s="709">
        <v>4680115887336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79</v>
      </c>
      <c r="N177" s="38"/>
      <c r="O177" s="37">
        <v>40</v>
      </c>
      <c r="P177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66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09">
        <v>4680115887787</v>
      </c>
      <c r="E178" s="70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79</v>
      </c>
      <c r="N178" s="38"/>
      <c r="O178" s="37">
        <v>45</v>
      </c>
      <c r="P178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66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317</v>
      </c>
      <c r="B179" s="63" t="s">
        <v>318</v>
      </c>
      <c r="C179" s="36">
        <v>4301031448</v>
      </c>
      <c r="D179" s="709">
        <v>4680115887503</v>
      </c>
      <c r="E179" s="709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80</v>
      </c>
      <c r="L179" s="37" t="s">
        <v>46</v>
      </c>
      <c r="M179" s="38" t="s">
        <v>79</v>
      </c>
      <c r="N179" s="38"/>
      <c r="O179" s="37">
        <v>40</v>
      </c>
      <c r="P179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304</v>
      </c>
      <c r="AG179" s="78"/>
      <c r="AJ179" s="84" t="s">
        <v>46</v>
      </c>
      <c r="AK179" s="84">
        <v>0</v>
      </c>
      <c r="BB179" s="255" t="s">
        <v>66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4301031389</v>
      </c>
      <c r="D180" s="709">
        <v>4680115887763</v>
      </c>
      <c r="E180" s="709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79</v>
      </c>
      <c r="N180" s="38"/>
      <c r="O180" s="37">
        <v>45</v>
      </c>
      <c r="P180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321</v>
      </c>
      <c r="AG180" s="78"/>
      <c r="AJ180" s="84" t="s">
        <v>46</v>
      </c>
      <c r="AK180" s="84">
        <v>0</v>
      </c>
      <c r="BB180" s="257" t="s">
        <v>66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319</v>
      </c>
      <c r="B181" s="63" t="s">
        <v>322</v>
      </c>
      <c r="C181" s="36">
        <v>4301031510</v>
      </c>
      <c r="D181" s="709">
        <v>4680115887763</v>
      </c>
      <c r="E181" s="709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131</v>
      </c>
      <c r="L181" s="37" t="s">
        <v>46</v>
      </c>
      <c r="M181" s="38" t="s">
        <v>79</v>
      </c>
      <c r="N181" s="38"/>
      <c r="O181" s="37">
        <v>45</v>
      </c>
      <c r="P181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321</v>
      </c>
      <c r="AG181" s="78"/>
      <c r="AJ181" s="84" t="s">
        <v>46</v>
      </c>
      <c r="AK181" s="84">
        <v>0</v>
      </c>
      <c r="BB181" s="259" t="s">
        <v>66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4301031454</v>
      </c>
      <c r="D182" s="709">
        <v>4680115887480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80</v>
      </c>
      <c r="L182" s="37" t="s">
        <v>46</v>
      </c>
      <c r="M182" s="38" t="s">
        <v>79</v>
      </c>
      <c r="N182" s="38"/>
      <c r="O182" s="37">
        <v>40</v>
      </c>
      <c r="P182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66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09">
        <v>4680115888067</v>
      </c>
      <c r="E183" s="70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79</v>
      </c>
      <c r="N183" s="38"/>
      <c r="O183" s="37">
        <v>45</v>
      </c>
      <c r="P183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66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09">
        <v>4680115887435</v>
      </c>
      <c r="E184" s="70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80</v>
      </c>
      <c r="L184" s="37" t="s">
        <v>46</v>
      </c>
      <c r="M184" s="38" t="s">
        <v>79</v>
      </c>
      <c r="N184" s="38"/>
      <c r="O184" s="37">
        <v>45</v>
      </c>
      <c r="P184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66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7"/>
      <c r="B185" s="717"/>
      <c r="C185" s="717"/>
      <c r="D185" s="717"/>
      <c r="E185" s="717"/>
      <c r="F185" s="717"/>
      <c r="G185" s="717"/>
      <c r="H185" s="717"/>
      <c r="I185" s="717"/>
      <c r="J185" s="717"/>
      <c r="K185" s="717"/>
      <c r="L185" s="717"/>
      <c r="M185" s="717"/>
      <c r="N185" s="717"/>
      <c r="O185" s="718"/>
      <c r="P185" s="714" t="s">
        <v>40</v>
      </c>
      <c r="Q185" s="715"/>
      <c r="R185" s="715"/>
      <c r="S185" s="715"/>
      <c r="T185" s="715"/>
      <c r="U185" s="715"/>
      <c r="V185" s="71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7"/>
      <c r="B186" s="717"/>
      <c r="C186" s="717"/>
      <c r="D186" s="717"/>
      <c r="E186" s="717"/>
      <c r="F186" s="717"/>
      <c r="G186" s="717"/>
      <c r="H186" s="717"/>
      <c r="I186" s="717"/>
      <c r="J186" s="717"/>
      <c r="K186" s="717"/>
      <c r="L186" s="717"/>
      <c r="M186" s="717"/>
      <c r="N186" s="717"/>
      <c r="O186" s="718"/>
      <c r="P186" s="714" t="s">
        <v>40</v>
      </c>
      <c r="Q186" s="715"/>
      <c r="R186" s="715"/>
      <c r="S186" s="715"/>
      <c r="T186" s="715"/>
      <c r="U186" s="715"/>
      <c r="V186" s="71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08" t="s">
        <v>84</v>
      </c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708"/>
      <c r="R187" s="708"/>
      <c r="S187" s="708"/>
      <c r="T187" s="708"/>
      <c r="U187" s="708"/>
      <c r="V187" s="708"/>
      <c r="W187" s="708"/>
      <c r="X187" s="708"/>
      <c r="Y187" s="708"/>
      <c r="Z187" s="708"/>
      <c r="AA187" s="66"/>
      <c r="AB187" s="66"/>
      <c r="AC187" s="80"/>
    </row>
    <row r="188" spans="1:68" ht="16.5" hidden="1" customHeight="1" x14ac:dyDescent="0.25">
      <c r="A188" s="63" t="s">
        <v>331</v>
      </c>
      <c r="B188" s="63" t="s">
        <v>332</v>
      </c>
      <c r="C188" s="36">
        <v>4301052193</v>
      </c>
      <c r="D188" s="709">
        <v>4680115888395</v>
      </c>
      <c r="E188" s="70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89</v>
      </c>
      <c r="L188" s="37" t="s">
        <v>46</v>
      </c>
      <c r="M188" s="38" t="s">
        <v>95</v>
      </c>
      <c r="N188" s="38"/>
      <c r="O188" s="37">
        <v>40</v>
      </c>
      <c r="P188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1"/>
      <c r="R188" s="711"/>
      <c r="S188" s="711"/>
      <c r="T188" s="71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333</v>
      </c>
      <c r="AG188" s="78"/>
      <c r="AJ188" s="84" t="s">
        <v>46</v>
      </c>
      <c r="AK188" s="84">
        <v>0</v>
      </c>
      <c r="BB188" s="267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334</v>
      </c>
      <c r="B189" s="63" t="s">
        <v>335</v>
      </c>
      <c r="C189" s="36">
        <v>4301052191</v>
      </c>
      <c r="D189" s="709">
        <v>4680115888371</v>
      </c>
      <c r="E189" s="70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89</v>
      </c>
      <c r="L189" s="37" t="s">
        <v>46</v>
      </c>
      <c r="M189" s="38" t="s">
        <v>95</v>
      </c>
      <c r="N189" s="38"/>
      <c r="O189" s="37">
        <v>40</v>
      </c>
      <c r="P189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1"/>
      <c r="R189" s="711"/>
      <c r="S189" s="711"/>
      <c r="T189" s="71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336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4301052064</v>
      </c>
      <c r="D190" s="709">
        <v>4680115887459</v>
      </c>
      <c r="E190" s="70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89</v>
      </c>
      <c r="L190" s="37" t="s">
        <v>46</v>
      </c>
      <c r="M190" s="38" t="s">
        <v>88</v>
      </c>
      <c r="N190" s="38"/>
      <c r="O190" s="37">
        <v>45</v>
      </c>
      <c r="P190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1"/>
      <c r="R190" s="711"/>
      <c r="S190" s="711"/>
      <c r="T190" s="71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339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7"/>
      <c r="B191" s="717"/>
      <c r="C191" s="717"/>
      <c r="D191" s="717"/>
      <c r="E191" s="717"/>
      <c r="F191" s="717"/>
      <c r="G191" s="717"/>
      <c r="H191" s="717"/>
      <c r="I191" s="717"/>
      <c r="J191" s="717"/>
      <c r="K191" s="717"/>
      <c r="L191" s="717"/>
      <c r="M191" s="717"/>
      <c r="N191" s="717"/>
      <c r="O191" s="718"/>
      <c r="P191" s="714" t="s">
        <v>40</v>
      </c>
      <c r="Q191" s="715"/>
      <c r="R191" s="715"/>
      <c r="S191" s="715"/>
      <c r="T191" s="715"/>
      <c r="U191" s="715"/>
      <c r="V191" s="71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7"/>
      <c r="B192" s="717"/>
      <c r="C192" s="717"/>
      <c r="D192" s="717"/>
      <c r="E192" s="717"/>
      <c r="F192" s="717"/>
      <c r="G192" s="717"/>
      <c r="H192" s="717"/>
      <c r="I192" s="717"/>
      <c r="J192" s="717"/>
      <c r="K192" s="717"/>
      <c r="L192" s="717"/>
      <c r="M192" s="717"/>
      <c r="N192" s="717"/>
      <c r="O192" s="718"/>
      <c r="P192" s="714" t="s">
        <v>40</v>
      </c>
      <c r="Q192" s="715"/>
      <c r="R192" s="715"/>
      <c r="S192" s="715"/>
      <c r="T192" s="715"/>
      <c r="U192" s="715"/>
      <c r="V192" s="71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08" t="s">
        <v>280</v>
      </c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708"/>
      <c r="R193" s="708"/>
      <c r="S193" s="708"/>
      <c r="T193" s="708"/>
      <c r="U193" s="708"/>
      <c r="V193" s="708"/>
      <c r="W193" s="708"/>
      <c r="X193" s="708"/>
      <c r="Y193" s="708"/>
      <c r="Z193" s="708"/>
      <c r="AA193" s="66"/>
      <c r="AB193" s="66"/>
      <c r="AC193" s="80"/>
    </row>
    <row r="194" spans="1:68" ht="16.5" hidden="1" customHeight="1" x14ac:dyDescent="0.25">
      <c r="A194" s="63" t="s">
        <v>340</v>
      </c>
      <c r="B194" s="63" t="s">
        <v>341</v>
      </c>
      <c r="C194" s="36">
        <v>4301032058</v>
      </c>
      <c r="D194" s="709">
        <v>4680115889026</v>
      </c>
      <c r="E194" s="709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343</v>
      </c>
      <c r="L194" s="37" t="s">
        <v>46</v>
      </c>
      <c r="M194" s="38" t="s">
        <v>285</v>
      </c>
      <c r="N194" s="38"/>
      <c r="O194" s="37">
        <v>60</v>
      </c>
      <c r="P194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1"/>
      <c r="R194" s="711"/>
      <c r="S194" s="711"/>
      <c r="T194" s="71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7"/>
      <c r="B196" s="717"/>
      <c r="C196" s="717"/>
      <c r="D196" s="717"/>
      <c r="E196" s="717"/>
      <c r="F196" s="717"/>
      <c r="G196" s="717"/>
      <c r="H196" s="717"/>
      <c r="I196" s="717"/>
      <c r="J196" s="717"/>
      <c r="K196" s="717"/>
      <c r="L196" s="717"/>
      <c r="M196" s="717"/>
      <c r="N196" s="717"/>
      <c r="O196" s="718"/>
      <c r="P196" s="714" t="s">
        <v>40</v>
      </c>
      <c r="Q196" s="715"/>
      <c r="R196" s="715"/>
      <c r="S196" s="715"/>
      <c r="T196" s="715"/>
      <c r="U196" s="715"/>
      <c r="V196" s="71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08" t="s">
        <v>344</v>
      </c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708"/>
      <c r="R197" s="708"/>
      <c r="S197" s="708"/>
      <c r="T197" s="708"/>
      <c r="U197" s="708"/>
      <c r="V197" s="708"/>
      <c r="W197" s="708"/>
      <c r="X197" s="708"/>
      <c r="Y197" s="708"/>
      <c r="Z197" s="708"/>
      <c r="AA197" s="66"/>
      <c r="AB197" s="66"/>
      <c r="AC197" s="80"/>
    </row>
    <row r="198" spans="1:68" ht="27" hidden="1" customHeight="1" x14ac:dyDescent="0.25">
      <c r="A198" s="63" t="s">
        <v>345</v>
      </c>
      <c r="B198" s="63" t="s">
        <v>346</v>
      </c>
      <c r="C198" s="36">
        <v>4301041009</v>
      </c>
      <c r="D198" s="709">
        <v>4680115889033</v>
      </c>
      <c r="E198" s="709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343</v>
      </c>
      <c r="L198" s="37" t="s">
        <v>46</v>
      </c>
      <c r="M198" s="38" t="s">
        <v>285</v>
      </c>
      <c r="N198" s="38"/>
      <c r="O198" s="37">
        <v>60</v>
      </c>
      <c r="P198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347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6" t="s">
        <v>348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54"/>
      <c r="AB201" s="54"/>
      <c r="AC201" s="54"/>
    </row>
    <row r="202" spans="1:68" ht="16.5" hidden="1" customHeight="1" x14ac:dyDescent="0.25">
      <c r="A202" s="707" t="s">
        <v>349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5"/>
      <c r="AB202" s="65"/>
      <c r="AC202" s="79"/>
    </row>
    <row r="203" spans="1:68" ht="14.25" hidden="1" customHeight="1" x14ac:dyDescent="0.25">
      <c r="A203" s="708" t="s">
        <v>122</v>
      </c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708"/>
      <c r="R203" s="708"/>
      <c r="S203" s="708"/>
      <c r="T203" s="708"/>
      <c r="U203" s="708"/>
      <c r="V203" s="708"/>
      <c r="W203" s="708"/>
      <c r="X203" s="708"/>
      <c r="Y203" s="708"/>
      <c r="Z203" s="708"/>
      <c r="AA203" s="66"/>
      <c r="AB203" s="66"/>
      <c r="AC203" s="80"/>
    </row>
    <row r="204" spans="1:68" ht="27" hidden="1" customHeight="1" x14ac:dyDescent="0.25">
      <c r="A204" s="63" t="s">
        <v>350</v>
      </c>
      <c r="B204" s="63" t="s">
        <v>351</v>
      </c>
      <c r="C204" s="36">
        <v>4301011223</v>
      </c>
      <c r="D204" s="709">
        <v>4607091383423</v>
      </c>
      <c r="E204" s="709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127</v>
      </c>
      <c r="L204" s="37" t="s">
        <v>46</v>
      </c>
      <c r="M204" s="38" t="s">
        <v>88</v>
      </c>
      <c r="N204" s="38"/>
      <c r="O204" s="37">
        <v>35</v>
      </c>
      <c r="P204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1"/>
      <c r="R204" s="711"/>
      <c r="S204" s="711"/>
      <c r="T204" s="71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125</v>
      </c>
      <c r="AG204" s="78"/>
      <c r="AJ204" s="84" t="s">
        <v>46</v>
      </c>
      <c r="AK204" s="84">
        <v>0</v>
      </c>
      <c r="BB204" s="277" t="s">
        <v>66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352</v>
      </c>
      <c r="B205" s="63" t="s">
        <v>353</v>
      </c>
      <c r="C205" s="36">
        <v>4301012340</v>
      </c>
      <c r="D205" s="709">
        <v>4680115888760</v>
      </c>
      <c r="E205" s="709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88</v>
      </c>
      <c r="N205" s="38"/>
      <c r="O205" s="37">
        <v>35</v>
      </c>
      <c r="P205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1"/>
      <c r="R205" s="711"/>
      <c r="S205" s="711"/>
      <c r="T205" s="71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354</v>
      </c>
      <c r="AG205" s="78"/>
      <c r="AJ205" s="84" t="s">
        <v>46</v>
      </c>
      <c r="AK205" s="84">
        <v>0</v>
      </c>
      <c r="BB205" s="279" t="s">
        <v>66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355</v>
      </c>
      <c r="B206" s="63" t="s">
        <v>356</v>
      </c>
      <c r="C206" s="36">
        <v>4301012341</v>
      </c>
      <c r="D206" s="709">
        <v>4680115888807</v>
      </c>
      <c r="E206" s="709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88</v>
      </c>
      <c r="N206" s="38"/>
      <c r="O206" s="37">
        <v>35</v>
      </c>
      <c r="P206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1"/>
      <c r="R206" s="711"/>
      <c r="S206" s="711"/>
      <c r="T206" s="71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357</v>
      </c>
      <c r="AG206" s="78"/>
      <c r="AJ206" s="84" t="s">
        <v>46</v>
      </c>
      <c r="AK206" s="84">
        <v>0</v>
      </c>
      <c r="BB206" s="281" t="s">
        <v>66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358</v>
      </c>
      <c r="B207" s="63" t="s">
        <v>359</v>
      </c>
      <c r="C207" s="36">
        <v>4301012342</v>
      </c>
      <c r="D207" s="709">
        <v>4680115888852</v>
      </c>
      <c r="E207" s="709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127</v>
      </c>
      <c r="L207" s="37" t="s">
        <v>46</v>
      </c>
      <c r="M207" s="38" t="s">
        <v>88</v>
      </c>
      <c r="N207" s="38"/>
      <c r="O207" s="37">
        <v>35</v>
      </c>
      <c r="P207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1"/>
      <c r="R207" s="711"/>
      <c r="S207" s="711"/>
      <c r="T207" s="712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360</v>
      </c>
      <c r="AG207" s="78"/>
      <c r="AJ207" s="84" t="s">
        <v>46</v>
      </c>
      <c r="AK207" s="84">
        <v>0</v>
      </c>
      <c r="BB207" s="283" t="s">
        <v>66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361</v>
      </c>
      <c r="B208" s="63" t="s">
        <v>362</v>
      </c>
      <c r="C208" s="36">
        <v>4301012370</v>
      </c>
      <c r="D208" s="709">
        <v>4680115886957</v>
      </c>
      <c r="E208" s="709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127</v>
      </c>
      <c r="L208" s="37" t="s">
        <v>46</v>
      </c>
      <c r="M208" s="38" t="s">
        <v>88</v>
      </c>
      <c r="N208" s="38"/>
      <c r="O208" s="37">
        <v>35</v>
      </c>
      <c r="P208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363</v>
      </c>
      <c r="AG208" s="78"/>
      <c r="AJ208" s="84" t="s">
        <v>46</v>
      </c>
      <c r="AK208" s="84">
        <v>0</v>
      </c>
      <c r="BB208" s="285" t="s">
        <v>66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364</v>
      </c>
      <c r="B209" s="63" t="s">
        <v>365</v>
      </c>
      <c r="C209" s="36">
        <v>4301012098</v>
      </c>
      <c r="D209" s="709">
        <v>4680115885660</v>
      </c>
      <c r="E209" s="709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127</v>
      </c>
      <c r="L209" s="37" t="s">
        <v>46</v>
      </c>
      <c r="M209" s="38" t="s">
        <v>88</v>
      </c>
      <c r="N209" s="38"/>
      <c r="O209" s="37">
        <v>35</v>
      </c>
      <c r="P209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366</v>
      </c>
      <c r="AG209" s="78"/>
      <c r="AJ209" s="84" t="s">
        <v>46</v>
      </c>
      <c r="AK209" s="84">
        <v>0</v>
      </c>
      <c r="BB209" s="287" t="s">
        <v>66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367</v>
      </c>
      <c r="B210" s="63" t="s">
        <v>368</v>
      </c>
      <c r="C210" s="36">
        <v>4301012369</v>
      </c>
      <c r="D210" s="709">
        <v>4680115886773</v>
      </c>
      <c r="E210" s="709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127</v>
      </c>
      <c r="L210" s="37" t="s">
        <v>46</v>
      </c>
      <c r="M210" s="38" t="s">
        <v>88</v>
      </c>
      <c r="N210" s="38"/>
      <c r="O210" s="37">
        <v>35</v>
      </c>
      <c r="P210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369</v>
      </c>
      <c r="AG210" s="78"/>
      <c r="AJ210" s="84" t="s">
        <v>46</v>
      </c>
      <c r="AK210" s="84">
        <v>0</v>
      </c>
      <c r="BB210" s="289" t="s">
        <v>66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7"/>
      <c r="B211" s="717"/>
      <c r="C211" s="717"/>
      <c r="D211" s="717"/>
      <c r="E211" s="717"/>
      <c r="F211" s="717"/>
      <c r="G211" s="717"/>
      <c r="H211" s="717"/>
      <c r="I211" s="717"/>
      <c r="J211" s="717"/>
      <c r="K211" s="717"/>
      <c r="L211" s="717"/>
      <c r="M211" s="717"/>
      <c r="N211" s="717"/>
      <c r="O211" s="718"/>
      <c r="P211" s="714" t="s">
        <v>40</v>
      </c>
      <c r="Q211" s="715"/>
      <c r="R211" s="715"/>
      <c r="S211" s="715"/>
      <c r="T211" s="715"/>
      <c r="U211" s="715"/>
      <c r="V211" s="71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7"/>
      <c r="B212" s="717"/>
      <c r="C212" s="717"/>
      <c r="D212" s="717"/>
      <c r="E212" s="717"/>
      <c r="F212" s="717"/>
      <c r="G212" s="717"/>
      <c r="H212" s="717"/>
      <c r="I212" s="717"/>
      <c r="J212" s="717"/>
      <c r="K212" s="717"/>
      <c r="L212" s="717"/>
      <c r="M212" s="717"/>
      <c r="N212" s="717"/>
      <c r="O212" s="718"/>
      <c r="P212" s="714" t="s">
        <v>40</v>
      </c>
      <c r="Q212" s="715"/>
      <c r="R212" s="715"/>
      <c r="S212" s="715"/>
      <c r="T212" s="715"/>
      <c r="U212" s="715"/>
      <c r="V212" s="71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7" t="s">
        <v>370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5"/>
      <c r="AB213" s="65"/>
      <c r="AC213" s="79"/>
    </row>
    <row r="214" spans="1:68" ht="14.25" hidden="1" customHeight="1" x14ac:dyDescent="0.25">
      <c r="A214" s="708" t="s">
        <v>155</v>
      </c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708"/>
      <c r="R214" s="708"/>
      <c r="S214" s="708"/>
      <c r="T214" s="708"/>
      <c r="U214" s="708"/>
      <c r="V214" s="708"/>
      <c r="W214" s="708"/>
      <c r="X214" s="708"/>
      <c r="Y214" s="708"/>
      <c r="Z214" s="708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4301020323</v>
      </c>
      <c r="D215" s="709">
        <v>4680115886223</v>
      </c>
      <c r="E215" s="709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80</v>
      </c>
      <c r="L215" s="37" t="s">
        <v>46</v>
      </c>
      <c r="M215" s="38" t="s">
        <v>79</v>
      </c>
      <c r="N215" s="38"/>
      <c r="O215" s="37">
        <v>40</v>
      </c>
      <c r="P215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1"/>
      <c r="R215" s="711"/>
      <c r="S215" s="711"/>
      <c r="T215" s="712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373</v>
      </c>
      <c r="AG215" s="78"/>
      <c r="AJ215" s="84" t="s">
        <v>46</v>
      </c>
      <c r="AK215" s="84">
        <v>0</v>
      </c>
      <c r="BB215" s="291" t="s">
        <v>66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7"/>
      <c r="B217" s="717"/>
      <c r="C217" s="717"/>
      <c r="D217" s="717"/>
      <c r="E217" s="717"/>
      <c r="F217" s="717"/>
      <c r="G217" s="717"/>
      <c r="H217" s="717"/>
      <c r="I217" s="717"/>
      <c r="J217" s="717"/>
      <c r="K217" s="717"/>
      <c r="L217" s="717"/>
      <c r="M217" s="717"/>
      <c r="N217" s="717"/>
      <c r="O217" s="718"/>
      <c r="P217" s="714" t="s">
        <v>40</v>
      </c>
      <c r="Q217" s="715"/>
      <c r="R217" s="715"/>
      <c r="S217" s="715"/>
      <c r="T217" s="715"/>
      <c r="U217" s="715"/>
      <c r="V217" s="71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08" t="s">
        <v>75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374</v>
      </c>
      <c r="B219" s="63" t="s">
        <v>375</v>
      </c>
      <c r="C219" s="36">
        <v>4301031191</v>
      </c>
      <c r="D219" s="709">
        <v>4680115880993</v>
      </c>
      <c r="E219" s="709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79</v>
      </c>
      <c r="N219" s="38"/>
      <c r="O219" s="37">
        <v>40</v>
      </c>
      <c r="P219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376</v>
      </c>
      <c r="AG219" s="78"/>
      <c r="AJ219" s="84" t="s">
        <v>46</v>
      </c>
      <c r="AK219" s="84">
        <v>0</v>
      </c>
      <c r="BB219" s="293" t="s">
        <v>66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377</v>
      </c>
      <c r="B220" s="63" t="s">
        <v>378</v>
      </c>
      <c r="C220" s="36">
        <v>4301031204</v>
      </c>
      <c r="D220" s="709">
        <v>4680115881761</v>
      </c>
      <c r="E220" s="709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79</v>
      </c>
      <c r="N220" s="38"/>
      <c r="O220" s="37">
        <v>40</v>
      </c>
      <c r="P220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1"/>
      <c r="R220" s="711"/>
      <c r="S220" s="711"/>
      <c r="T220" s="71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379</v>
      </c>
      <c r="AG220" s="78"/>
      <c r="AJ220" s="84" t="s">
        <v>46</v>
      </c>
      <c r="AK220" s="84">
        <v>0</v>
      </c>
      <c r="BB220" s="295" t="s">
        <v>66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380</v>
      </c>
      <c r="B221" s="63" t="s">
        <v>381</v>
      </c>
      <c r="C221" s="36">
        <v>4301031201</v>
      </c>
      <c r="D221" s="709">
        <v>4680115881563</v>
      </c>
      <c r="E221" s="709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134</v>
      </c>
      <c r="L221" s="37" t="s">
        <v>46</v>
      </c>
      <c r="M221" s="38" t="s">
        <v>79</v>
      </c>
      <c r="N221" s="38"/>
      <c r="O221" s="37">
        <v>40</v>
      </c>
      <c r="P221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1"/>
      <c r="R221" s="711"/>
      <c r="S221" s="711"/>
      <c r="T221" s="71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382</v>
      </c>
      <c r="AG221" s="78"/>
      <c r="AJ221" s="84" t="s">
        <v>46</v>
      </c>
      <c r="AK221" s="84">
        <v>0</v>
      </c>
      <c r="BB221" s="297" t="s">
        <v>66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383</v>
      </c>
      <c r="B222" s="63" t="s">
        <v>384</v>
      </c>
      <c r="C222" s="36">
        <v>4301031447</v>
      </c>
      <c r="D222" s="709">
        <v>4680115887565</v>
      </c>
      <c r="E222" s="709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80</v>
      </c>
      <c r="L222" s="37" t="s">
        <v>46</v>
      </c>
      <c r="M222" s="38" t="s">
        <v>79</v>
      </c>
      <c r="N222" s="38"/>
      <c r="O222" s="37">
        <v>45</v>
      </c>
      <c r="P222" s="82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1"/>
      <c r="R222" s="711"/>
      <c r="S222" s="711"/>
      <c r="T222" s="71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385</v>
      </c>
      <c r="AG222" s="78"/>
      <c r="AJ222" s="84" t="s">
        <v>46</v>
      </c>
      <c r="AK222" s="84">
        <v>0</v>
      </c>
      <c r="BB222" s="299" t="s">
        <v>66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386</v>
      </c>
      <c r="B223" s="63" t="s">
        <v>387</v>
      </c>
      <c r="C223" s="36">
        <v>4301031199</v>
      </c>
      <c r="D223" s="709">
        <v>4680115880986</v>
      </c>
      <c r="E223" s="709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80</v>
      </c>
      <c r="L223" s="37" t="s">
        <v>46</v>
      </c>
      <c r="M223" s="38" t="s">
        <v>79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376</v>
      </c>
      <c r="AG223" s="78"/>
      <c r="AJ223" s="84" t="s">
        <v>46</v>
      </c>
      <c r="AK223" s="84">
        <v>0</v>
      </c>
      <c r="BB223" s="301" t="s">
        <v>66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388</v>
      </c>
      <c r="B224" s="63" t="s">
        <v>389</v>
      </c>
      <c r="C224" s="36">
        <v>4301031443</v>
      </c>
      <c r="D224" s="709">
        <v>4680115887213</v>
      </c>
      <c r="E224" s="709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80</v>
      </c>
      <c r="L224" s="37" t="s">
        <v>46</v>
      </c>
      <c r="M224" s="38" t="s">
        <v>79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66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4301031205</v>
      </c>
      <c r="D225" s="709">
        <v>4680115881785</v>
      </c>
      <c r="E225" s="709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80</v>
      </c>
      <c r="L225" s="37" t="s">
        <v>46</v>
      </c>
      <c r="M225" s="38" t="s">
        <v>79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379</v>
      </c>
      <c r="AG225" s="78"/>
      <c r="AJ225" s="84" t="s">
        <v>46</v>
      </c>
      <c r="AK225" s="84">
        <v>0</v>
      </c>
      <c r="BB225" s="305" t="s">
        <v>66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4301031499</v>
      </c>
      <c r="D226" s="709">
        <v>4680115888432</v>
      </c>
      <c r="E226" s="709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66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4301031427</v>
      </c>
      <c r="D227" s="709">
        <v>4680115888104</v>
      </c>
      <c r="E227" s="709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398</v>
      </c>
      <c r="AG227" s="78"/>
      <c r="AJ227" s="84" t="s">
        <v>46</v>
      </c>
      <c r="AK227" s="84">
        <v>0</v>
      </c>
      <c r="BB227" s="309" t="s">
        <v>66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399</v>
      </c>
      <c r="B228" s="63" t="s">
        <v>400</v>
      </c>
      <c r="C228" s="36">
        <v>4301031399</v>
      </c>
      <c r="D228" s="709">
        <v>4680115886537</v>
      </c>
      <c r="E228" s="709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401</v>
      </c>
      <c r="AG228" s="78"/>
      <c r="AJ228" s="84" t="s">
        <v>46</v>
      </c>
      <c r="AK228" s="84">
        <v>0</v>
      </c>
      <c r="BB228" s="311" t="s">
        <v>66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402</v>
      </c>
      <c r="B229" s="63" t="s">
        <v>403</v>
      </c>
      <c r="C229" s="36">
        <v>4301031279</v>
      </c>
      <c r="D229" s="709">
        <v>4680115887596</v>
      </c>
      <c r="E229" s="709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131</v>
      </c>
      <c r="L229" s="37" t="s">
        <v>46</v>
      </c>
      <c r="M229" s="38" t="s">
        <v>79</v>
      </c>
      <c r="N229" s="38"/>
      <c r="O229" s="37">
        <v>45</v>
      </c>
      <c r="P229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404</v>
      </c>
      <c r="AG229" s="78"/>
      <c r="AJ229" s="84" t="s">
        <v>46</v>
      </c>
      <c r="AK229" s="84">
        <v>0</v>
      </c>
      <c r="BB229" s="313" t="s">
        <v>66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405</v>
      </c>
      <c r="B230" s="63" t="s">
        <v>406</v>
      </c>
      <c r="C230" s="36">
        <v>4301031202</v>
      </c>
      <c r="D230" s="709">
        <v>4680115881679</v>
      </c>
      <c r="E230" s="709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40</v>
      </c>
      <c r="P23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382</v>
      </c>
      <c r="AG230" s="78"/>
      <c r="AJ230" s="84" t="s">
        <v>46</v>
      </c>
      <c r="AK230" s="84">
        <v>0</v>
      </c>
      <c r="BB230" s="315" t="s">
        <v>66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4301031158</v>
      </c>
      <c r="D231" s="709">
        <v>4680115880191</v>
      </c>
      <c r="E231" s="70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46</v>
      </c>
      <c r="M231" s="38" t="s">
        <v>79</v>
      </c>
      <c r="N231" s="38"/>
      <c r="O231" s="37">
        <v>40</v>
      </c>
      <c r="P23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382</v>
      </c>
      <c r="AG231" s="78"/>
      <c r="AJ231" s="84" t="s">
        <v>46</v>
      </c>
      <c r="AK231" s="84">
        <v>0</v>
      </c>
      <c r="BB231" s="317" t="s">
        <v>66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4301031245</v>
      </c>
      <c r="D232" s="709">
        <v>4680115883963</v>
      </c>
      <c r="E232" s="709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80</v>
      </c>
      <c r="L232" s="37" t="s">
        <v>46</v>
      </c>
      <c r="M232" s="38" t="s">
        <v>79</v>
      </c>
      <c r="N232" s="38"/>
      <c r="O232" s="37">
        <v>40</v>
      </c>
      <c r="P23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411</v>
      </c>
      <c r="AG232" s="78"/>
      <c r="AJ232" s="84" t="s">
        <v>46</v>
      </c>
      <c r="AK232" s="84">
        <v>0</v>
      </c>
      <c r="BB232" s="319" t="s">
        <v>66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7"/>
      <c r="B233" s="717"/>
      <c r="C233" s="717"/>
      <c r="D233" s="717"/>
      <c r="E233" s="717"/>
      <c r="F233" s="717"/>
      <c r="G233" s="717"/>
      <c r="H233" s="717"/>
      <c r="I233" s="717"/>
      <c r="J233" s="717"/>
      <c r="K233" s="717"/>
      <c r="L233" s="717"/>
      <c r="M233" s="717"/>
      <c r="N233" s="717"/>
      <c r="O233" s="718"/>
      <c r="P233" s="714" t="s">
        <v>40</v>
      </c>
      <c r="Q233" s="715"/>
      <c r="R233" s="715"/>
      <c r="S233" s="715"/>
      <c r="T233" s="715"/>
      <c r="U233" s="715"/>
      <c r="V233" s="71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7"/>
      <c r="B234" s="717"/>
      <c r="C234" s="717"/>
      <c r="D234" s="717"/>
      <c r="E234" s="717"/>
      <c r="F234" s="717"/>
      <c r="G234" s="717"/>
      <c r="H234" s="717"/>
      <c r="I234" s="717"/>
      <c r="J234" s="717"/>
      <c r="K234" s="717"/>
      <c r="L234" s="717"/>
      <c r="M234" s="717"/>
      <c r="N234" s="717"/>
      <c r="O234" s="718"/>
      <c r="P234" s="714" t="s">
        <v>40</v>
      </c>
      <c r="Q234" s="715"/>
      <c r="R234" s="715"/>
      <c r="S234" s="715"/>
      <c r="T234" s="715"/>
      <c r="U234" s="715"/>
      <c r="V234" s="71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08" t="s">
        <v>84</v>
      </c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708"/>
      <c r="R235" s="708"/>
      <c r="S235" s="708"/>
      <c r="T235" s="708"/>
      <c r="U235" s="708"/>
      <c r="V235" s="708"/>
      <c r="W235" s="708"/>
      <c r="X235" s="708"/>
      <c r="Y235" s="708"/>
      <c r="Z235" s="708"/>
      <c r="AA235" s="66"/>
      <c r="AB235" s="66"/>
      <c r="AC235" s="80"/>
    </row>
    <row r="236" spans="1:68" ht="16.5" hidden="1" customHeight="1" x14ac:dyDescent="0.25">
      <c r="A236" s="63" t="s">
        <v>412</v>
      </c>
      <c r="B236" s="63" t="s">
        <v>413</v>
      </c>
      <c r="C236" s="36">
        <v>4301052209</v>
      </c>
      <c r="D236" s="709">
        <v>4680115888692</v>
      </c>
      <c r="E236" s="70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95</v>
      </c>
      <c r="N236" s="38"/>
      <c r="O236" s="37">
        <v>35</v>
      </c>
      <c r="P236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414</v>
      </c>
      <c r="AG236" s="78"/>
      <c r="AJ236" s="84" t="s">
        <v>46</v>
      </c>
      <c r="AK236" s="84">
        <v>0</v>
      </c>
      <c r="BB236" s="321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4301052213</v>
      </c>
      <c r="D237" s="709">
        <v>4680115888722</v>
      </c>
      <c r="E237" s="709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95</v>
      </c>
      <c r="N237" s="38"/>
      <c r="O237" s="37">
        <v>35</v>
      </c>
      <c r="P237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1"/>
      <c r="R237" s="711"/>
      <c r="S237" s="711"/>
      <c r="T237" s="712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417</v>
      </c>
      <c r="AG237" s="78"/>
      <c r="AJ237" s="84" t="s">
        <v>46</v>
      </c>
      <c r="AK237" s="84">
        <v>0</v>
      </c>
      <c r="BB237" s="32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4301052177</v>
      </c>
      <c r="D238" s="709">
        <v>4680115888951</v>
      </c>
      <c r="E238" s="70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95</v>
      </c>
      <c r="N238" s="38"/>
      <c r="O238" s="37">
        <v>35</v>
      </c>
      <c r="P238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1"/>
      <c r="R238" s="711"/>
      <c r="S238" s="711"/>
      <c r="T238" s="71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420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4301052178</v>
      </c>
      <c r="D239" s="709">
        <v>4680115888975</v>
      </c>
      <c r="E239" s="70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95</v>
      </c>
      <c r="N239" s="38"/>
      <c r="O239" s="37">
        <v>35</v>
      </c>
      <c r="P239" s="83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1"/>
      <c r="R239" s="711"/>
      <c r="S239" s="711"/>
      <c r="T239" s="71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423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4301052176</v>
      </c>
      <c r="D240" s="709">
        <v>4680115888982</v>
      </c>
      <c r="E240" s="70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95</v>
      </c>
      <c r="N240" s="38"/>
      <c r="O240" s="37">
        <v>35</v>
      </c>
      <c r="P240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7"/>
      <c r="B241" s="717"/>
      <c r="C241" s="717"/>
      <c r="D241" s="717"/>
      <c r="E241" s="717"/>
      <c r="F241" s="717"/>
      <c r="G241" s="717"/>
      <c r="H241" s="717"/>
      <c r="I241" s="717"/>
      <c r="J241" s="717"/>
      <c r="K241" s="717"/>
      <c r="L241" s="717"/>
      <c r="M241" s="717"/>
      <c r="N241" s="717"/>
      <c r="O241" s="718"/>
      <c r="P241" s="714" t="s">
        <v>40</v>
      </c>
      <c r="Q241" s="715"/>
      <c r="R241" s="715"/>
      <c r="S241" s="715"/>
      <c r="T241" s="715"/>
      <c r="U241" s="715"/>
      <c r="V241" s="71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7"/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8"/>
      <c r="P242" s="714" t="s">
        <v>40</v>
      </c>
      <c r="Q242" s="715"/>
      <c r="R242" s="715"/>
      <c r="S242" s="715"/>
      <c r="T242" s="715"/>
      <c r="U242" s="715"/>
      <c r="V242" s="71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08" t="s">
        <v>280</v>
      </c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708"/>
      <c r="R243" s="708"/>
      <c r="S243" s="708"/>
      <c r="T243" s="708"/>
      <c r="U243" s="708"/>
      <c r="V243" s="708"/>
      <c r="W243" s="708"/>
      <c r="X243" s="708"/>
      <c r="Y243" s="708"/>
      <c r="Z243" s="708"/>
      <c r="AA243" s="66"/>
      <c r="AB243" s="66"/>
      <c r="AC243" s="80"/>
    </row>
    <row r="244" spans="1:68" ht="27" hidden="1" customHeight="1" x14ac:dyDescent="0.25">
      <c r="A244" s="63" t="s">
        <v>426</v>
      </c>
      <c r="B244" s="63" t="s">
        <v>427</v>
      </c>
      <c r="C244" s="36">
        <v>4301032053</v>
      </c>
      <c r="D244" s="709">
        <v>4680115886780</v>
      </c>
      <c r="E244" s="70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285</v>
      </c>
      <c r="N244" s="38"/>
      <c r="O244" s="37">
        <v>60</v>
      </c>
      <c r="P244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428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4301032051</v>
      </c>
      <c r="D245" s="709">
        <v>4680115886742</v>
      </c>
      <c r="E245" s="70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285</v>
      </c>
      <c r="N245" s="38"/>
      <c r="O245" s="37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1"/>
      <c r="R245" s="711"/>
      <c r="S245" s="711"/>
      <c r="T245" s="71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431</v>
      </c>
      <c r="AG245" s="78"/>
      <c r="AJ245" s="84" t="s">
        <v>46</v>
      </c>
      <c r="AK245" s="84">
        <v>0</v>
      </c>
      <c r="BB245" s="333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4301032052</v>
      </c>
      <c r="D246" s="709">
        <v>4680115886766</v>
      </c>
      <c r="E246" s="70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285</v>
      </c>
      <c r="N246" s="38"/>
      <c r="O246" s="37">
        <v>90</v>
      </c>
      <c r="P246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1"/>
      <c r="R246" s="711"/>
      <c r="S246" s="711"/>
      <c r="T246" s="71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431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7"/>
      <c r="B247" s="717"/>
      <c r="C247" s="717"/>
      <c r="D247" s="717"/>
      <c r="E247" s="717"/>
      <c r="F247" s="717"/>
      <c r="G247" s="717"/>
      <c r="H247" s="717"/>
      <c r="I247" s="717"/>
      <c r="J247" s="717"/>
      <c r="K247" s="717"/>
      <c r="L247" s="717"/>
      <c r="M247" s="717"/>
      <c r="N247" s="717"/>
      <c r="O247" s="718"/>
      <c r="P247" s="714" t="s">
        <v>40</v>
      </c>
      <c r="Q247" s="715"/>
      <c r="R247" s="715"/>
      <c r="S247" s="715"/>
      <c r="T247" s="715"/>
      <c r="U247" s="715"/>
      <c r="V247" s="71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7"/>
      <c r="B248" s="717"/>
      <c r="C248" s="717"/>
      <c r="D248" s="717"/>
      <c r="E248" s="717"/>
      <c r="F248" s="717"/>
      <c r="G248" s="717"/>
      <c r="H248" s="717"/>
      <c r="I248" s="717"/>
      <c r="J248" s="717"/>
      <c r="K248" s="717"/>
      <c r="L248" s="717"/>
      <c r="M248" s="717"/>
      <c r="N248" s="717"/>
      <c r="O248" s="718"/>
      <c r="P248" s="714" t="s">
        <v>40</v>
      </c>
      <c r="Q248" s="715"/>
      <c r="R248" s="715"/>
      <c r="S248" s="715"/>
      <c r="T248" s="715"/>
      <c r="U248" s="715"/>
      <c r="V248" s="71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08" t="s">
        <v>434</v>
      </c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708"/>
      <c r="R249" s="708"/>
      <c r="S249" s="708"/>
      <c r="T249" s="708"/>
      <c r="U249" s="708"/>
      <c r="V249" s="708"/>
      <c r="W249" s="708"/>
      <c r="X249" s="708"/>
      <c r="Y249" s="708"/>
      <c r="Z249" s="708"/>
      <c r="AA249" s="66"/>
      <c r="AB249" s="66"/>
      <c r="AC249" s="80"/>
    </row>
    <row r="250" spans="1:68" ht="27" hidden="1" customHeight="1" x14ac:dyDescent="0.25">
      <c r="A250" s="63" t="s">
        <v>435</v>
      </c>
      <c r="B250" s="63" t="s">
        <v>436</v>
      </c>
      <c r="C250" s="36">
        <v>4301170013</v>
      </c>
      <c r="D250" s="709">
        <v>4680115886797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285</v>
      </c>
      <c r="N250" s="38"/>
      <c r="O250" s="37">
        <v>90</v>
      </c>
      <c r="P250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431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7" t="s">
        <v>437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5"/>
      <c r="AB253" s="65"/>
      <c r="AC253" s="79"/>
    </row>
    <row r="254" spans="1:68" ht="14.25" hidden="1" customHeight="1" x14ac:dyDescent="0.25">
      <c r="A254" s="708" t="s">
        <v>122</v>
      </c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708"/>
      <c r="R254" s="708"/>
      <c r="S254" s="708"/>
      <c r="T254" s="708"/>
      <c r="U254" s="708"/>
      <c r="V254" s="708"/>
      <c r="W254" s="708"/>
      <c r="X254" s="708"/>
      <c r="Y254" s="708"/>
      <c r="Z254" s="708"/>
      <c r="AA254" s="66"/>
      <c r="AB254" s="66"/>
      <c r="AC254" s="80"/>
    </row>
    <row r="255" spans="1:68" ht="27" hidden="1" customHeight="1" x14ac:dyDescent="0.25">
      <c r="A255" s="63" t="s">
        <v>438</v>
      </c>
      <c r="B255" s="63" t="s">
        <v>439</v>
      </c>
      <c r="C255" s="36">
        <v>4301011450</v>
      </c>
      <c r="D255" s="709">
        <v>4680115881402</v>
      </c>
      <c r="E255" s="70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127</v>
      </c>
      <c r="L255" s="37" t="s">
        <v>46</v>
      </c>
      <c r="M255" s="38" t="s">
        <v>126</v>
      </c>
      <c r="N255" s="38"/>
      <c r="O255" s="37">
        <v>55</v>
      </c>
      <c r="P255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1"/>
      <c r="R255" s="711"/>
      <c r="S255" s="711"/>
      <c r="T255" s="71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440</v>
      </c>
      <c r="AG255" s="78"/>
      <c r="AJ255" s="84" t="s">
        <v>46</v>
      </c>
      <c r="AK255" s="84">
        <v>0</v>
      </c>
      <c r="BB255" s="33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441</v>
      </c>
      <c r="B256" s="63" t="s">
        <v>442</v>
      </c>
      <c r="C256" s="36">
        <v>4301011768</v>
      </c>
      <c r="D256" s="709">
        <v>4680115881396</v>
      </c>
      <c r="E256" s="709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89</v>
      </c>
      <c r="L256" s="37" t="s">
        <v>46</v>
      </c>
      <c r="M256" s="38" t="s">
        <v>126</v>
      </c>
      <c r="N256" s="38"/>
      <c r="O256" s="37">
        <v>55</v>
      </c>
      <c r="P256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1"/>
      <c r="R256" s="711"/>
      <c r="S256" s="711"/>
      <c r="T256" s="71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440</v>
      </c>
      <c r="AG256" s="78"/>
      <c r="AJ256" s="84" t="s">
        <v>46</v>
      </c>
      <c r="AK256" s="84">
        <v>0</v>
      </c>
      <c r="BB256" s="34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7"/>
      <c r="B257" s="717"/>
      <c r="C257" s="717"/>
      <c r="D257" s="717"/>
      <c r="E257" s="717"/>
      <c r="F257" s="717"/>
      <c r="G257" s="717"/>
      <c r="H257" s="717"/>
      <c r="I257" s="717"/>
      <c r="J257" s="717"/>
      <c r="K257" s="717"/>
      <c r="L257" s="717"/>
      <c r="M257" s="717"/>
      <c r="N257" s="717"/>
      <c r="O257" s="718"/>
      <c r="P257" s="714" t="s">
        <v>40</v>
      </c>
      <c r="Q257" s="715"/>
      <c r="R257" s="715"/>
      <c r="S257" s="715"/>
      <c r="T257" s="715"/>
      <c r="U257" s="715"/>
      <c r="V257" s="71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7"/>
      <c r="B258" s="717"/>
      <c r="C258" s="717"/>
      <c r="D258" s="717"/>
      <c r="E258" s="717"/>
      <c r="F258" s="717"/>
      <c r="G258" s="717"/>
      <c r="H258" s="717"/>
      <c r="I258" s="717"/>
      <c r="J258" s="717"/>
      <c r="K258" s="717"/>
      <c r="L258" s="717"/>
      <c r="M258" s="717"/>
      <c r="N258" s="717"/>
      <c r="O258" s="718"/>
      <c r="P258" s="714" t="s">
        <v>40</v>
      </c>
      <c r="Q258" s="715"/>
      <c r="R258" s="715"/>
      <c r="S258" s="715"/>
      <c r="T258" s="715"/>
      <c r="U258" s="715"/>
      <c r="V258" s="71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08" t="s">
        <v>155</v>
      </c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708"/>
      <c r="R259" s="708"/>
      <c r="S259" s="708"/>
      <c r="T259" s="708"/>
      <c r="U259" s="708"/>
      <c r="V259" s="708"/>
      <c r="W259" s="708"/>
      <c r="X259" s="708"/>
      <c r="Y259" s="708"/>
      <c r="Z259" s="708"/>
      <c r="AA259" s="66"/>
      <c r="AB259" s="66"/>
      <c r="AC259" s="80"/>
    </row>
    <row r="260" spans="1:68" ht="16.5" hidden="1" customHeight="1" x14ac:dyDescent="0.25">
      <c r="A260" s="63" t="s">
        <v>443</v>
      </c>
      <c r="B260" s="63" t="s">
        <v>444</v>
      </c>
      <c r="C260" s="36">
        <v>4301020261</v>
      </c>
      <c r="D260" s="709">
        <v>4680115882935</v>
      </c>
      <c r="E260" s="709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127</v>
      </c>
      <c r="L260" s="37" t="s">
        <v>46</v>
      </c>
      <c r="M260" s="38" t="s">
        <v>126</v>
      </c>
      <c r="N260" s="38"/>
      <c r="O260" s="37">
        <v>50</v>
      </c>
      <c r="P260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445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446</v>
      </c>
      <c r="B261" s="63" t="s">
        <v>447</v>
      </c>
      <c r="C261" s="36">
        <v>4301020220</v>
      </c>
      <c r="D261" s="709">
        <v>4680115880764</v>
      </c>
      <c r="E261" s="709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89</v>
      </c>
      <c r="L261" s="37" t="s">
        <v>46</v>
      </c>
      <c r="M261" s="38" t="s">
        <v>126</v>
      </c>
      <c r="N261" s="38"/>
      <c r="O261" s="37">
        <v>50</v>
      </c>
      <c r="P261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1"/>
      <c r="R261" s="711"/>
      <c r="S261" s="711"/>
      <c r="T261" s="71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445</v>
      </c>
      <c r="AG261" s="78"/>
      <c r="AJ261" s="84" t="s">
        <v>46</v>
      </c>
      <c r="AK261" s="84">
        <v>0</v>
      </c>
      <c r="BB261" s="345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7"/>
      <c r="B263" s="717"/>
      <c r="C263" s="717"/>
      <c r="D263" s="717"/>
      <c r="E263" s="717"/>
      <c r="F263" s="717"/>
      <c r="G263" s="717"/>
      <c r="H263" s="717"/>
      <c r="I263" s="717"/>
      <c r="J263" s="717"/>
      <c r="K263" s="717"/>
      <c r="L263" s="717"/>
      <c r="M263" s="717"/>
      <c r="N263" s="717"/>
      <c r="O263" s="718"/>
      <c r="P263" s="714" t="s">
        <v>40</v>
      </c>
      <c r="Q263" s="715"/>
      <c r="R263" s="715"/>
      <c r="S263" s="715"/>
      <c r="T263" s="715"/>
      <c r="U263" s="715"/>
      <c r="V263" s="71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08" t="s">
        <v>75</v>
      </c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708"/>
      <c r="R264" s="708"/>
      <c r="S264" s="708"/>
      <c r="T264" s="708"/>
      <c r="U264" s="708"/>
      <c r="V264" s="708"/>
      <c r="W264" s="708"/>
      <c r="X264" s="708"/>
      <c r="Y264" s="708"/>
      <c r="Z264" s="708"/>
      <c r="AA264" s="66"/>
      <c r="AB264" s="66"/>
      <c r="AC264" s="80"/>
    </row>
    <row r="265" spans="1:68" ht="27" hidden="1" customHeight="1" x14ac:dyDescent="0.25">
      <c r="A265" s="63" t="s">
        <v>448</v>
      </c>
      <c r="B265" s="63" t="s">
        <v>449</v>
      </c>
      <c r="C265" s="36">
        <v>4301031224</v>
      </c>
      <c r="D265" s="709">
        <v>4680115882683</v>
      </c>
      <c r="E265" s="709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134</v>
      </c>
      <c r="L265" s="37" t="s">
        <v>46</v>
      </c>
      <c r="M265" s="38" t="s">
        <v>79</v>
      </c>
      <c r="N265" s="38"/>
      <c r="O265" s="37">
        <v>40</v>
      </c>
      <c r="P265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450</v>
      </c>
      <c r="AG265" s="78"/>
      <c r="AJ265" s="84" t="s">
        <v>46</v>
      </c>
      <c r="AK265" s="84">
        <v>0</v>
      </c>
      <c r="BB265" s="347" t="s">
        <v>66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451</v>
      </c>
      <c r="B266" s="63" t="s">
        <v>452</v>
      </c>
      <c r="C266" s="36">
        <v>4301031230</v>
      </c>
      <c r="D266" s="709">
        <v>4680115882690</v>
      </c>
      <c r="E266" s="70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79</v>
      </c>
      <c r="N266" s="38"/>
      <c r="O266" s="37">
        <v>40</v>
      </c>
      <c r="P26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1"/>
      <c r="R266" s="711"/>
      <c r="S266" s="711"/>
      <c r="T266" s="71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453</v>
      </c>
      <c r="AG266" s="78"/>
      <c r="AJ266" s="84" t="s">
        <v>46</v>
      </c>
      <c r="AK266" s="84">
        <v>0</v>
      </c>
      <c r="BB266" s="349" t="s">
        <v>66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4301031220</v>
      </c>
      <c r="D267" s="709">
        <v>4680115882669</v>
      </c>
      <c r="E267" s="70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79</v>
      </c>
      <c r="N267" s="38"/>
      <c r="O267" s="37">
        <v>40</v>
      </c>
      <c r="P267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1"/>
      <c r="R267" s="711"/>
      <c r="S267" s="711"/>
      <c r="T267" s="71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456</v>
      </c>
      <c r="AG267" s="78"/>
      <c r="AJ267" s="84" t="s">
        <v>46</v>
      </c>
      <c r="AK267" s="84">
        <v>0</v>
      </c>
      <c r="BB267" s="351" t="s">
        <v>66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4301031221</v>
      </c>
      <c r="D268" s="709">
        <v>4680115882676</v>
      </c>
      <c r="E268" s="70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79</v>
      </c>
      <c r="N268" s="38"/>
      <c r="O268" s="37">
        <v>40</v>
      </c>
      <c r="P268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1"/>
      <c r="R268" s="711"/>
      <c r="S268" s="711"/>
      <c r="T268" s="71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459</v>
      </c>
      <c r="AG268" s="78"/>
      <c r="AJ268" s="84" t="s">
        <v>46</v>
      </c>
      <c r="AK268" s="84">
        <v>0</v>
      </c>
      <c r="BB268" s="353" t="s">
        <v>66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4301031223</v>
      </c>
      <c r="D269" s="709">
        <v>4680115884014</v>
      </c>
      <c r="E269" s="709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80</v>
      </c>
      <c r="L269" s="37" t="s">
        <v>46</v>
      </c>
      <c r="M269" s="38" t="s">
        <v>79</v>
      </c>
      <c r="N269" s="38"/>
      <c r="O269" s="37">
        <v>40</v>
      </c>
      <c r="P269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450</v>
      </c>
      <c r="AG269" s="78"/>
      <c r="AJ269" s="84" t="s">
        <v>46</v>
      </c>
      <c r="AK269" s="84">
        <v>0</v>
      </c>
      <c r="BB269" s="355" t="s">
        <v>66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4301031222</v>
      </c>
      <c r="D270" s="709">
        <v>4680115884007</v>
      </c>
      <c r="E270" s="709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80</v>
      </c>
      <c r="L270" s="37" t="s">
        <v>46</v>
      </c>
      <c r="M270" s="38" t="s">
        <v>79</v>
      </c>
      <c r="N270" s="38"/>
      <c r="O270" s="37">
        <v>40</v>
      </c>
      <c r="P270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453</v>
      </c>
      <c r="AG270" s="78"/>
      <c r="AJ270" s="84" t="s">
        <v>46</v>
      </c>
      <c r="AK270" s="84">
        <v>0</v>
      </c>
      <c r="BB270" s="357" t="s">
        <v>66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4301031229</v>
      </c>
      <c r="D271" s="709">
        <v>4680115884038</v>
      </c>
      <c r="E271" s="70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80</v>
      </c>
      <c r="L271" s="37" t="s">
        <v>46</v>
      </c>
      <c r="M271" s="38" t="s">
        <v>79</v>
      </c>
      <c r="N271" s="38"/>
      <c r="O271" s="37">
        <v>40</v>
      </c>
      <c r="P271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456</v>
      </c>
      <c r="AG271" s="78"/>
      <c r="AJ271" s="84" t="s">
        <v>46</v>
      </c>
      <c r="AK271" s="84">
        <v>0</v>
      </c>
      <c r="BB271" s="359" t="s">
        <v>66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4301031225</v>
      </c>
      <c r="D272" s="709">
        <v>4680115884021</v>
      </c>
      <c r="E272" s="70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80</v>
      </c>
      <c r="L272" s="37" t="s">
        <v>46</v>
      </c>
      <c r="M272" s="38" t="s">
        <v>79</v>
      </c>
      <c r="N272" s="38"/>
      <c r="O272" s="37">
        <v>40</v>
      </c>
      <c r="P272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459</v>
      </c>
      <c r="AG272" s="78"/>
      <c r="AJ272" s="84" t="s">
        <v>46</v>
      </c>
      <c r="AK272" s="84">
        <v>0</v>
      </c>
      <c r="BB272" s="361" t="s">
        <v>66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717"/>
      <c r="B273" s="717"/>
      <c r="C273" s="717"/>
      <c r="D273" s="717"/>
      <c r="E273" s="717"/>
      <c r="F273" s="717"/>
      <c r="G273" s="717"/>
      <c r="H273" s="717"/>
      <c r="I273" s="717"/>
      <c r="J273" s="717"/>
      <c r="K273" s="717"/>
      <c r="L273" s="717"/>
      <c r="M273" s="717"/>
      <c r="N273" s="717"/>
      <c r="O273" s="718"/>
      <c r="P273" s="714" t="s">
        <v>40</v>
      </c>
      <c r="Q273" s="715"/>
      <c r="R273" s="715"/>
      <c r="S273" s="715"/>
      <c r="T273" s="715"/>
      <c r="U273" s="715"/>
      <c r="V273" s="71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17"/>
      <c r="B274" s="717"/>
      <c r="C274" s="717"/>
      <c r="D274" s="717"/>
      <c r="E274" s="717"/>
      <c r="F274" s="717"/>
      <c r="G274" s="717"/>
      <c r="H274" s="717"/>
      <c r="I274" s="717"/>
      <c r="J274" s="717"/>
      <c r="K274" s="717"/>
      <c r="L274" s="717"/>
      <c r="M274" s="717"/>
      <c r="N274" s="717"/>
      <c r="O274" s="718"/>
      <c r="P274" s="714" t="s">
        <v>40</v>
      </c>
      <c r="Q274" s="715"/>
      <c r="R274" s="715"/>
      <c r="S274" s="715"/>
      <c r="T274" s="715"/>
      <c r="U274" s="715"/>
      <c r="V274" s="71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08" t="s">
        <v>84</v>
      </c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708"/>
      <c r="R275" s="708"/>
      <c r="S275" s="708"/>
      <c r="T275" s="708"/>
      <c r="U275" s="708"/>
      <c r="V275" s="708"/>
      <c r="W275" s="708"/>
      <c r="X275" s="708"/>
      <c r="Y275" s="708"/>
      <c r="Z275" s="708"/>
      <c r="AA275" s="66"/>
      <c r="AB275" s="66"/>
      <c r="AC275" s="80"/>
    </row>
    <row r="276" spans="1:68" ht="27" hidden="1" customHeight="1" x14ac:dyDescent="0.25">
      <c r="A276" s="63" t="s">
        <v>468</v>
      </c>
      <c r="B276" s="63" t="s">
        <v>469</v>
      </c>
      <c r="C276" s="36">
        <v>4301051408</v>
      </c>
      <c r="D276" s="709">
        <v>4680115881594</v>
      </c>
      <c r="E276" s="709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127</v>
      </c>
      <c r="L276" s="37" t="s">
        <v>46</v>
      </c>
      <c r="M276" s="38" t="s">
        <v>88</v>
      </c>
      <c r="N276" s="38"/>
      <c r="O276" s="37">
        <v>40</v>
      </c>
      <c r="P276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470</v>
      </c>
      <c r="AG276" s="78"/>
      <c r="AJ276" s="84" t="s">
        <v>46</v>
      </c>
      <c r="AK276" s="84">
        <v>0</v>
      </c>
      <c r="BB276" s="363" t="s">
        <v>66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471</v>
      </c>
      <c r="B277" s="63" t="s">
        <v>472</v>
      </c>
      <c r="C277" s="36">
        <v>4301051411</v>
      </c>
      <c r="D277" s="709">
        <v>4680115881617</v>
      </c>
      <c r="E277" s="709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127</v>
      </c>
      <c r="L277" s="37" t="s">
        <v>46</v>
      </c>
      <c r="M277" s="38" t="s">
        <v>88</v>
      </c>
      <c r="N277" s="38"/>
      <c r="O277" s="37">
        <v>40</v>
      </c>
      <c r="P277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1"/>
      <c r="R277" s="711"/>
      <c r="S277" s="711"/>
      <c r="T277" s="71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66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4301051656</v>
      </c>
      <c r="D278" s="709">
        <v>4680115880573</v>
      </c>
      <c r="E278" s="709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127</v>
      </c>
      <c r="L278" s="37" t="s">
        <v>46</v>
      </c>
      <c r="M278" s="38" t="s">
        <v>88</v>
      </c>
      <c r="N278" s="38"/>
      <c r="O278" s="37">
        <v>45</v>
      </c>
      <c r="P278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1"/>
      <c r="R278" s="711"/>
      <c r="S278" s="711"/>
      <c r="T278" s="71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476</v>
      </c>
      <c r="AG278" s="78"/>
      <c r="AJ278" s="84" t="s">
        <v>46</v>
      </c>
      <c r="AK278" s="84">
        <v>0</v>
      </c>
      <c r="BB278" s="367" t="s">
        <v>66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4301051407</v>
      </c>
      <c r="D279" s="709">
        <v>4680115882195</v>
      </c>
      <c r="E279" s="709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89</v>
      </c>
      <c r="L279" s="37" t="s">
        <v>46</v>
      </c>
      <c r="M279" s="38" t="s">
        <v>88</v>
      </c>
      <c r="N279" s="38"/>
      <c r="O279" s="37">
        <v>40</v>
      </c>
      <c r="P279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1"/>
      <c r="R279" s="711"/>
      <c r="S279" s="711"/>
      <c r="T279" s="71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470</v>
      </c>
      <c r="AG279" s="78"/>
      <c r="AJ279" s="84" t="s">
        <v>46</v>
      </c>
      <c r="AK279" s="84">
        <v>0</v>
      </c>
      <c r="BB279" s="369" t="s">
        <v>66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4301051752</v>
      </c>
      <c r="D280" s="709">
        <v>4680115882607</v>
      </c>
      <c r="E280" s="709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89</v>
      </c>
      <c r="L280" s="37" t="s">
        <v>46</v>
      </c>
      <c r="M280" s="38" t="s">
        <v>95</v>
      </c>
      <c r="N280" s="38"/>
      <c r="O280" s="37">
        <v>45</v>
      </c>
      <c r="P280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476</v>
      </c>
      <c r="AG280" s="78"/>
      <c r="AJ280" s="84" t="s">
        <v>46</v>
      </c>
      <c r="AK280" s="84">
        <v>0</v>
      </c>
      <c r="BB280" s="371" t="s">
        <v>66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4301052143</v>
      </c>
      <c r="D281" s="709">
        <v>4680115882607</v>
      </c>
      <c r="E281" s="709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134</v>
      </c>
      <c r="L281" s="37" t="s">
        <v>46</v>
      </c>
      <c r="M281" s="38" t="s">
        <v>88</v>
      </c>
      <c r="N281" s="38"/>
      <c r="O281" s="37">
        <v>45</v>
      </c>
      <c r="P281" s="8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483</v>
      </c>
      <c r="AG281" s="78"/>
      <c r="AJ281" s="84" t="s">
        <v>46</v>
      </c>
      <c r="AK281" s="84">
        <v>0</v>
      </c>
      <c r="BB281" s="373" t="s">
        <v>66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4301051666</v>
      </c>
      <c r="D282" s="709">
        <v>4680115880092</v>
      </c>
      <c r="E282" s="70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89</v>
      </c>
      <c r="L282" s="37" t="s">
        <v>46</v>
      </c>
      <c r="M282" s="38" t="s">
        <v>88</v>
      </c>
      <c r="N282" s="38"/>
      <c r="O282" s="37">
        <v>45</v>
      </c>
      <c r="P282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476</v>
      </c>
      <c r="AG282" s="78"/>
      <c r="AJ282" s="84" t="s">
        <v>46</v>
      </c>
      <c r="AK282" s="84">
        <v>0</v>
      </c>
      <c r="BB282" s="375" t="s">
        <v>66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4301052214</v>
      </c>
      <c r="D283" s="709">
        <v>4680115889064</v>
      </c>
      <c r="E283" s="709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127</v>
      </c>
      <c r="L283" s="37" t="s">
        <v>46</v>
      </c>
      <c r="M283" s="38" t="s">
        <v>88</v>
      </c>
      <c r="N283" s="38"/>
      <c r="O283" s="37">
        <v>45</v>
      </c>
      <c r="P283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483</v>
      </c>
      <c r="AG283" s="78"/>
      <c r="AJ283" s="84" t="s">
        <v>46</v>
      </c>
      <c r="AK283" s="84">
        <v>0</v>
      </c>
      <c r="BB283" s="377" t="s">
        <v>66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4301051668</v>
      </c>
      <c r="D284" s="709">
        <v>4680115880221</v>
      </c>
      <c r="E284" s="709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89</v>
      </c>
      <c r="L284" s="37" t="s">
        <v>46</v>
      </c>
      <c r="M284" s="38" t="s">
        <v>88</v>
      </c>
      <c r="N284" s="38"/>
      <c r="O284" s="37">
        <v>45</v>
      </c>
      <c r="P284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476</v>
      </c>
      <c r="AG284" s="78"/>
      <c r="AJ284" s="84" t="s">
        <v>46</v>
      </c>
      <c r="AK284" s="84">
        <v>0</v>
      </c>
      <c r="BB284" s="379" t="s">
        <v>66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4301051945</v>
      </c>
      <c r="D285" s="709">
        <v>4680115880504</v>
      </c>
      <c r="E285" s="70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89</v>
      </c>
      <c r="L285" s="37" t="s">
        <v>46</v>
      </c>
      <c r="M285" s="38" t="s">
        <v>95</v>
      </c>
      <c r="N285" s="38"/>
      <c r="O285" s="37">
        <v>40</v>
      </c>
      <c r="P285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492</v>
      </c>
      <c r="AG285" s="78"/>
      <c r="AJ285" s="84" t="s">
        <v>46</v>
      </c>
      <c r="AK285" s="84">
        <v>0</v>
      </c>
      <c r="BB285" s="381" t="s">
        <v>66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4301051410</v>
      </c>
      <c r="D286" s="709">
        <v>4680115882164</v>
      </c>
      <c r="E286" s="709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89</v>
      </c>
      <c r="L286" s="37" t="s">
        <v>46</v>
      </c>
      <c r="M286" s="38" t="s">
        <v>88</v>
      </c>
      <c r="N286" s="38"/>
      <c r="O286" s="37">
        <v>40</v>
      </c>
      <c r="P286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495</v>
      </c>
      <c r="AG286" s="78"/>
      <c r="AJ286" s="84" t="s">
        <v>46</v>
      </c>
      <c r="AK286" s="84">
        <v>0</v>
      </c>
      <c r="BB286" s="383" t="s">
        <v>66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4301052180</v>
      </c>
      <c r="D287" s="709">
        <v>4680115888340</v>
      </c>
      <c r="E287" s="70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45</v>
      </c>
      <c r="P287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498</v>
      </c>
      <c r="AG287" s="78"/>
      <c r="AJ287" s="84" t="s">
        <v>46</v>
      </c>
      <c r="AK287" s="84">
        <v>0</v>
      </c>
      <c r="BB287" s="385" t="s">
        <v>66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717"/>
      <c r="B288" s="717"/>
      <c r="C288" s="717"/>
      <c r="D288" s="717"/>
      <c r="E288" s="717"/>
      <c r="F288" s="717"/>
      <c r="G288" s="717"/>
      <c r="H288" s="717"/>
      <c r="I288" s="717"/>
      <c r="J288" s="717"/>
      <c r="K288" s="717"/>
      <c r="L288" s="717"/>
      <c r="M288" s="717"/>
      <c r="N288" s="717"/>
      <c r="O288" s="718"/>
      <c r="P288" s="714" t="s">
        <v>40</v>
      </c>
      <c r="Q288" s="715"/>
      <c r="R288" s="715"/>
      <c r="S288" s="715"/>
      <c r="T288" s="715"/>
      <c r="U288" s="715"/>
      <c r="V288" s="71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17"/>
      <c r="B289" s="717"/>
      <c r="C289" s="717"/>
      <c r="D289" s="717"/>
      <c r="E289" s="717"/>
      <c r="F289" s="717"/>
      <c r="G289" s="717"/>
      <c r="H289" s="717"/>
      <c r="I289" s="717"/>
      <c r="J289" s="717"/>
      <c r="K289" s="717"/>
      <c r="L289" s="717"/>
      <c r="M289" s="717"/>
      <c r="N289" s="717"/>
      <c r="O289" s="718"/>
      <c r="P289" s="714" t="s">
        <v>40</v>
      </c>
      <c r="Q289" s="715"/>
      <c r="R289" s="715"/>
      <c r="S289" s="715"/>
      <c r="T289" s="715"/>
      <c r="U289" s="715"/>
      <c r="V289" s="71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08" t="s">
        <v>172</v>
      </c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708"/>
      <c r="R290" s="708"/>
      <c r="S290" s="708"/>
      <c r="T290" s="708"/>
      <c r="U290" s="708"/>
      <c r="V290" s="708"/>
      <c r="W290" s="708"/>
      <c r="X290" s="708"/>
      <c r="Y290" s="708"/>
      <c r="Z290" s="708"/>
      <c r="AA290" s="66"/>
      <c r="AB290" s="66"/>
      <c r="AC290" s="80"/>
    </row>
    <row r="291" spans="1:68" ht="27" hidden="1" customHeight="1" x14ac:dyDescent="0.25">
      <c r="A291" s="63" t="s">
        <v>499</v>
      </c>
      <c r="B291" s="63" t="s">
        <v>500</v>
      </c>
      <c r="C291" s="36">
        <v>4301060463</v>
      </c>
      <c r="D291" s="709">
        <v>4680115880818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89</v>
      </c>
      <c r="L291" s="37" t="s">
        <v>46</v>
      </c>
      <c r="M291" s="38" t="s">
        <v>95</v>
      </c>
      <c r="N291" s="38"/>
      <c r="O291" s="37">
        <v>40</v>
      </c>
      <c r="P291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501</v>
      </c>
      <c r="AG291" s="78"/>
      <c r="AJ291" s="84" t="s">
        <v>46</v>
      </c>
      <c r="AK291" s="84">
        <v>0</v>
      </c>
      <c r="BB291" s="387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4301060389</v>
      </c>
      <c r="D292" s="709">
        <v>4680115880801</v>
      </c>
      <c r="E292" s="70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40</v>
      </c>
      <c r="P292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1"/>
      <c r="R292" s="711"/>
      <c r="S292" s="711"/>
      <c r="T292" s="71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504</v>
      </c>
      <c r="AG292" s="78"/>
      <c r="AJ292" s="84" t="s">
        <v>46</v>
      </c>
      <c r="AK292" s="84">
        <v>0</v>
      </c>
      <c r="BB292" s="389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7"/>
      <c r="B294" s="717"/>
      <c r="C294" s="717"/>
      <c r="D294" s="717"/>
      <c r="E294" s="717"/>
      <c r="F294" s="717"/>
      <c r="G294" s="717"/>
      <c r="H294" s="717"/>
      <c r="I294" s="717"/>
      <c r="J294" s="717"/>
      <c r="K294" s="717"/>
      <c r="L294" s="717"/>
      <c r="M294" s="717"/>
      <c r="N294" s="717"/>
      <c r="O294" s="718"/>
      <c r="P294" s="714" t="s">
        <v>40</v>
      </c>
      <c r="Q294" s="715"/>
      <c r="R294" s="715"/>
      <c r="S294" s="715"/>
      <c r="T294" s="715"/>
      <c r="U294" s="715"/>
      <c r="V294" s="71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7" t="s">
        <v>505</v>
      </c>
      <c r="B295" s="707"/>
      <c r="C295" s="707"/>
      <c r="D295" s="707"/>
      <c r="E295" s="707"/>
      <c r="F295" s="707"/>
      <c r="G295" s="707"/>
      <c r="H295" s="707"/>
      <c r="I295" s="707"/>
      <c r="J295" s="707"/>
      <c r="K295" s="707"/>
      <c r="L295" s="707"/>
      <c r="M295" s="707"/>
      <c r="N295" s="707"/>
      <c r="O295" s="707"/>
      <c r="P295" s="707"/>
      <c r="Q295" s="707"/>
      <c r="R295" s="707"/>
      <c r="S295" s="707"/>
      <c r="T295" s="707"/>
      <c r="U295" s="707"/>
      <c r="V295" s="707"/>
      <c r="W295" s="707"/>
      <c r="X295" s="707"/>
      <c r="Y295" s="707"/>
      <c r="Z295" s="707"/>
      <c r="AA295" s="65"/>
      <c r="AB295" s="65"/>
      <c r="AC295" s="79"/>
    </row>
    <row r="296" spans="1:68" ht="14.25" hidden="1" customHeight="1" x14ac:dyDescent="0.25">
      <c r="A296" s="708" t="s">
        <v>122</v>
      </c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708"/>
      <c r="R296" s="708"/>
      <c r="S296" s="708"/>
      <c r="T296" s="708"/>
      <c r="U296" s="708"/>
      <c r="V296" s="708"/>
      <c r="W296" s="708"/>
      <c r="X296" s="708"/>
      <c r="Y296" s="708"/>
      <c r="Z296" s="708"/>
      <c r="AA296" s="66"/>
      <c r="AB296" s="66"/>
      <c r="AC296" s="80"/>
    </row>
    <row r="297" spans="1:68" ht="27" hidden="1" customHeight="1" x14ac:dyDescent="0.25">
      <c r="A297" s="63" t="s">
        <v>506</v>
      </c>
      <c r="B297" s="63" t="s">
        <v>507</v>
      </c>
      <c r="C297" s="36">
        <v>4301011826</v>
      </c>
      <c r="D297" s="709">
        <v>4680115884137</v>
      </c>
      <c r="E297" s="709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127</v>
      </c>
      <c r="L297" s="37" t="s">
        <v>46</v>
      </c>
      <c r="M297" s="38" t="s">
        <v>126</v>
      </c>
      <c r="N297" s="38"/>
      <c r="O297" s="37">
        <v>55</v>
      </c>
      <c r="P297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1"/>
      <c r="R297" s="711"/>
      <c r="S297" s="711"/>
      <c r="T297" s="71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508</v>
      </c>
      <c r="AG297" s="78"/>
      <c r="AJ297" s="84" t="s">
        <v>46</v>
      </c>
      <c r="AK297" s="84">
        <v>0</v>
      </c>
      <c r="BB297" s="391" t="s">
        <v>66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509</v>
      </c>
      <c r="B298" s="63" t="s">
        <v>510</v>
      </c>
      <c r="C298" s="36">
        <v>4301011724</v>
      </c>
      <c r="D298" s="709">
        <v>4680115884236</v>
      </c>
      <c r="E298" s="70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1"/>
      <c r="R298" s="711"/>
      <c r="S298" s="711"/>
      <c r="T298" s="71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511</v>
      </c>
      <c r="AG298" s="78"/>
      <c r="AJ298" s="84" t="s">
        <v>46</v>
      </c>
      <c r="AK298" s="84">
        <v>0</v>
      </c>
      <c r="BB298" s="393" t="s">
        <v>66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4301011721</v>
      </c>
      <c r="D299" s="709">
        <v>4680115884175</v>
      </c>
      <c r="E299" s="70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1"/>
      <c r="R299" s="711"/>
      <c r="S299" s="711"/>
      <c r="T299" s="71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366</v>
      </c>
      <c r="AG299" s="78"/>
      <c r="AJ299" s="84" t="s">
        <v>46</v>
      </c>
      <c r="AK299" s="84">
        <v>0</v>
      </c>
      <c r="BB299" s="395" t="s">
        <v>66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4301011824</v>
      </c>
      <c r="D300" s="709">
        <v>4680115884144</v>
      </c>
      <c r="E300" s="70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134</v>
      </c>
      <c r="L300" s="37" t="s">
        <v>46</v>
      </c>
      <c r="M300" s="38" t="s">
        <v>126</v>
      </c>
      <c r="N300" s="38"/>
      <c r="O300" s="37">
        <v>55</v>
      </c>
      <c r="P300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1"/>
      <c r="R300" s="711"/>
      <c r="S300" s="711"/>
      <c r="T300" s="71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508</v>
      </c>
      <c r="AG300" s="78"/>
      <c r="AJ300" s="84" t="s">
        <v>46</v>
      </c>
      <c r="AK300" s="84">
        <v>0</v>
      </c>
      <c r="BB300" s="397" t="s">
        <v>66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4301012149</v>
      </c>
      <c r="D301" s="709">
        <v>4680115886551</v>
      </c>
      <c r="E301" s="70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518</v>
      </c>
      <c r="AG301" s="78"/>
      <c r="AJ301" s="84" t="s">
        <v>46</v>
      </c>
      <c r="AK301" s="84">
        <v>0</v>
      </c>
      <c r="BB301" s="399" t="s">
        <v>66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4301012228</v>
      </c>
      <c r="D302" s="709">
        <v>4680115887282</v>
      </c>
      <c r="E302" s="709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89</v>
      </c>
      <c r="L302" s="37" t="s">
        <v>46</v>
      </c>
      <c r="M302" s="38" t="s">
        <v>126</v>
      </c>
      <c r="N302" s="38"/>
      <c r="O302" s="37">
        <v>55</v>
      </c>
      <c r="P302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521</v>
      </c>
      <c r="AG302" s="78"/>
      <c r="AJ302" s="84" t="s">
        <v>46</v>
      </c>
      <c r="AK302" s="84">
        <v>0</v>
      </c>
      <c r="BB302" s="401" t="s">
        <v>66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4301011722</v>
      </c>
      <c r="D303" s="709">
        <v>4680115884205</v>
      </c>
      <c r="E303" s="709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366</v>
      </c>
      <c r="AG303" s="78"/>
      <c r="AJ303" s="84" t="s">
        <v>46</v>
      </c>
      <c r="AK303" s="84">
        <v>0</v>
      </c>
      <c r="BB303" s="403" t="s">
        <v>66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7"/>
      <c r="B304" s="717"/>
      <c r="C304" s="717"/>
      <c r="D304" s="717"/>
      <c r="E304" s="717"/>
      <c r="F304" s="717"/>
      <c r="G304" s="717"/>
      <c r="H304" s="717"/>
      <c r="I304" s="717"/>
      <c r="J304" s="717"/>
      <c r="K304" s="717"/>
      <c r="L304" s="717"/>
      <c r="M304" s="717"/>
      <c r="N304" s="717"/>
      <c r="O304" s="718"/>
      <c r="P304" s="714" t="s">
        <v>40</v>
      </c>
      <c r="Q304" s="715"/>
      <c r="R304" s="715"/>
      <c r="S304" s="715"/>
      <c r="T304" s="715"/>
      <c r="U304" s="715"/>
      <c r="V304" s="71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7"/>
      <c r="B305" s="717"/>
      <c r="C305" s="717"/>
      <c r="D305" s="717"/>
      <c r="E305" s="717"/>
      <c r="F305" s="717"/>
      <c r="G305" s="717"/>
      <c r="H305" s="717"/>
      <c r="I305" s="717"/>
      <c r="J305" s="717"/>
      <c r="K305" s="717"/>
      <c r="L305" s="717"/>
      <c r="M305" s="717"/>
      <c r="N305" s="717"/>
      <c r="O305" s="718"/>
      <c r="P305" s="714" t="s">
        <v>40</v>
      </c>
      <c r="Q305" s="715"/>
      <c r="R305" s="715"/>
      <c r="S305" s="715"/>
      <c r="T305" s="715"/>
      <c r="U305" s="715"/>
      <c r="V305" s="71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08" t="s">
        <v>155</v>
      </c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708"/>
      <c r="R306" s="708"/>
      <c r="S306" s="708"/>
      <c r="T306" s="708"/>
      <c r="U306" s="708"/>
      <c r="V306" s="708"/>
      <c r="W306" s="708"/>
      <c r="X306" s="708"/>
      <c r="Y306" s="708"/>
      <c r="Z306" s="708"/>
      <c r="AA306" s="66"/>
      <c r="AB306" s="66"/>
      <c r="AC306" s="80"/>
    </row>
    <row r="307" spans="1:68" ht="27" hidden="1" customHeight="1" x14ac:dyDescent="0.25">
      <c r="A307" s="63" t="s">
        <v>524</v>
      </c>
      <c r="B307" s="63" t="s">
        <v>525</v>
      </c>
      <c r="C307" s="36">
        <v>4301020377</v>
      </c>
      <c r="D307" s="709">
        <v>4680115885981</v>
      </c>
      <c r="E307" s="709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80</v>
      </c>
      <c r="L307" s="37" t="s">
        <v>46</v>
      </c>
      <c r="M307" s="38" t="s">
        <v>88</v>
      </c>
      <c r="N307" s="38"/>
      <c r="O307" s="37">
        <v>50</v>
      </c>
      <c r="P307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526</v>
      </c>
      <c r="AG307" s="78"/>
      <c r="AJ307" s="84" t="s">
        <v>46</v>
      </c>
      <c r="AK307" s="84">
        <v>0</v>
      </c>
      <c r="BB307" s="405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527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528</v>
      </c>
      <c r="B311" s="63" t="s">
        <v>529</v>
      </c>
      <c r="C311" s="36">
        <v>4301040362</v>
      </c>
      <c r="D311" s="709">
        <v>4680115886803</v>
      </c>
      <c r="E311" s="709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285</v>
      </c>
      <c r="N311" s="38"/>
      <c r="O311" s="37">
        <v>45</v>
      </c>
      <c r="P31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530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344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4301041004</v>
      </c>
      <c r="D315" s="709">
        <v>4680115886704</v>
      </c>
      <c r="E315" s="709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343</v>
      </c>
      <c r="L315" s="37" t="s">
        <v>46</v>
      </c>
      <c r="M315" s="38" t="s">
        <v>285</v>
      </c>
      <c r="N315" s="38"/>
      <c r="O315" s="37">
        <v>90</v>
      </c>
      <c r="P315" s="8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533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09">
        <v>4680115886681</v>
      </c>
      <c r="E316" s="70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285</v>
      </c>
      <c r="N316" s="38"/>
      <c r="O316" s="37">
        <v>90</v>
      </c>
      <c r="P316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1"/>
      <c r="R316" s="711"/>
      <c r="S316" s="711"/>
      <c r="T316" s="71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533</v>
      </c>
      <c r="AG316" s="78"/>
      <c r="AJ316" s="84" t="s">
        <v>46</v>
      </c>
      <c r="AK316" s="84">
        <v>0</v>
      </c>
      <c r="BB316" s="41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536</v>
      </c>
      <c r="B317" s="63" t="s">
        <v>537</v>
      </c>
      <c r="C317" s="36">
        <v>4301041007</v>
      </c>
      <c r="D317" s="709">
        <v>4680115886735</v>
      </c>
      <c r="E317" s="709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343</v>
      </c>
      <c r="L317" s="37" t="s">
        <v>46</v>
      </c>
      <c r="M317" s="38" t="s">
        <v>285</v>
      </c>
      <c r="N317" s="38"/>
      <c r="O317" s="37">
        <v>90</v>
      </c>
      <c r="P317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1"/>
      <c r="R317" s="711"/>
      <c r="S317" s="711"/>
      <c r="T317" s="71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533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7"/>
      <c r="B318" s="717"/>
      <c r="C318" s="717"/>
      <c r="D318" s="717"/>
      <c r="E318" s="717"/>
      <c r="F318" s="717"/>
      <c r="G318" s="717"/>
      <c r="H318" s="717"/>
      <c r="I318" s="717"/>
      <c r="J318" s="717"/>
      <c r="K318" s="717"/>
      <c r="L318" s="717"/>
      <c r="M318" s="717"/>
      <c r="N318" s="717"/>
      <c r="O318" s="718"/>
      <c r="P318" s="714" t="s">
        <v>40</v>
      </c>
      <c r="Q318" s="715"/>
      <c r="R318" s="715"/>
      <c r="S318" s="715"/>
      <c r="T318" s="715"/>
      <c r="U318" s="715"/>
      <c r="V318" s="71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7"/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8"/>
      <c r="P319" s="714" t="s">
        <v>40</v>
      </c>
      <c r="Q319" s="715"/>
      <c r="R319" s="715"/>
      <c r="S319" s="715"/>
      <c r="T319" s="715"/>
      <c r="U319" s="715"/>
      <c r="V319" s="71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7" t="s">
        <v>538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5"/>
      <c r="AB320" s="65"/>
      <c r="AC320" s="79"/>
    </row>
    <row r="321" spans="1:68" ht="14.25" hidden="1" customHeight="1" x14ac:dyDescent="0.25">
      <c r="A321" s="708" t="s">
        <v>122</v>
      </c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708"/>
      <c r="R321" s="708"/>
      <c r="S321" s="708"/>
      <c r="T321" s="708"/>
      <c r="U321" s="708"/>
      <c r="V321" s="708"/>
      <c r="W321" s="708"/>
      <c r="X321" s="708"/>
      <c r="Y321" s="708"/>
      <c r="Z321" s="708"/>
      <c r="AA321" s="66"/>
      <c r="AB321" s="66"/>
      <c r="AC321" s="80"/>
    </row>
    <row r="322" spans="1:68" ht="27" hidden="1" customHeight="1" x14ac:dyDescent="0.25">
      <c r="A322" s="63" t="s">
        <v>539</v>
      </c>
      <c r="B322" s="63" t="s">
        <v>540</v>
      </c>
      <c r="C322" s="36">
        <v>4301011855</v>
      </c>
      <c r="D322" s="709">
        <v>4680115885837</v>
      </c>
      <c r="E322" s="70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1"/>
      <c r="R322" s="711"/>
      <c r="S322" s="711"/>
      <c r="T322" s="71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541</v>
      </c>
      <c r="AG322" s="78"/>
      <c r="AJ322" s="84" t="s">
        <v>46</v>
      </c>
      <c r="AK322" s="84">
        <v>0</v>
      </c>
      <c r="BB322" s="415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542</v>
      </c>
      <c r="B323" s="63" t="s">
        <v>543</v>
      </c>
      <c r="C323" s="36">
        <v>4301012234</v>
      </c>
      <c r="D323" s="709">
        <v>4680115887237</v>
      </c>
      <c r="E323" s="70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1"/>
      <c r="R323" s="711"/>
      <c r="S323" s="711"/>
      <c r="T323" s="71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544</v>
      </c>
      <c r="AG323" s="78"/>
      <c r="AJ323" s="84" t="s">
        <v>46</v>
      </c>
      <c r="AK323" s="84">
        <v>0</v>
      </c>
      <c r="BB323" s="417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545</v>
      </c>
      <c r="B324" s="63" t="s">
        <v>546</v>
      </c>
      <c r="C324" s="36">
        <v>4301011850</v>
      </c>
      <c r="D324" s="709">
        <v>4680115885806</v>
      </c>
      <c r="E324" s="70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1"/>
      <c r="R324" s="711"/>
      <c r="S324" s="711"/>
      <c r="T324" s="71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547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548</v>
      </c>
      <c r="B325" s="63" t="s">
        <v>549</v>
      </c>
      <c r="C325" s="36">
        <v>4301011852</v>
      </c>
      <c r="D325" s="709">
        <v>4680115885844</v>
      </c>
      <c r="E325" s="70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1"/>
      <c r="R325" s="711"/>
      <c r="S325" s="711"/>
      <c r="T325" s="71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550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551</v>
      </c>
      <c r="B326" s="63" t="s">
        <v>552</v>
      </c>
      <c r="C326" s="36">
        <v>4301011851</v>
      </c>
      <c r="D326" s="709">
        <v>4680115885820</v>
      </c>
      <c r="E326" s="70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553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7"/>
      <c r="B327" s="717"/>
      <c r="C327" s="717"/>
      <c r="D327" s="717"/>
      <c r="E327" s="717"/>
      <c r="F327" s="717"/>
      <c r="G327" s="717"/>
      <c r="H327" s="717"/>
      <c r="I327" s="717"/>
      <c r="J327" s="717"/>
      <c r="K327" s="717"/>
      <c r="L327" s="717"/>
      <c r="M327" s="717"/>
      <c r="N327" s="717"/>
      <c r="O327" s="718"/>
      <c r="P327" s="714" t="s">
        <v>40</v>
      </c>
      <c r="Q327" s="715"/>
      <c r="R327" s="715"/>
      <c r="S327" s="715"/>
      <c r="T327" s="715"/>
      <c r="U327" s="715"/>
      <c r="V327" s="71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7"/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8"/>
      <c r="P328" s="714" t="s">
        <v>40</v>
      </c>
      <c r="Q328" s="715"/>
      <c r="R328" s="715"/>
      <c r="S328" s="715"/>
      <c r="T328" s="715"/>
      <c r="U328" s="715"/>
      <c r="V328" s="71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7" t="s">
        <v>554</v>
      </c>
      <c r="B329" s="707"/>
      <c r="C329" s="707"/>
      <c r="D329" s="707"/>
      <c r="E329" s="707"/>
      <c r="F329" s="707"/>
      <c r="G329" s="707"/>
      <c r="H329" s="707"/>
      <c r="I329" s="707"/>
      <c r="J329" s="707"/>
      <c r="K329" s="707"/>
      <c r="L329" s="707"/>
      <c r="M329" s="707"/>
      <c r="N329" s="707"/>
      <c r="O329" s="707"/>
      <c r="P329" s="707"/>
      <c r="Q329" s="707"/>
      <c r="R329" s="707"/>
      <c r="S329" s="707"/>
      <c r="T329" s="707"/>
      <c r="U329" s="707"/>
      <c r="V329" s="707"/>
      <c r="W329" s="707"/>
      <c r="X329" s="707"/>
      <c r="Y329" s="707"/>
      <c r="Z329" s="707"/>
      <c r="AA329" s="65"/>
      <c r="AB329" s="65"/>
      <c r="AC329" s="79"/>
    </row>
    <row r="330" spans="1:68" ht="14.25" hidden="1" customHeight="1" x14ac:dyDescent="0.25">
      <c r="A330" s="708" t="s">
        <v>84</v>
      </c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708"/>
      <c r="R330" s="708"/>
      <c r="S330" s="708"/>
      <c r="T330" s="708"/>
      <c r="U330" s="708"/>
      <c r="V330" s="708"/>
      <c r="W330" s="708"/>
      <c r="X330" s="708"/>
      <c r="Y330" s="708"/>
      <c r="Z330" s="708"/>
      <c r="AA330" s="66"/>
      <c r="AB330" s="66"/>
      <c r="AC330" s="80"/>
    </row>
    <row r="331" spans="1:68" ht="27" hidden="1" customHeight="1" x14ac:dyDescent="0.25">
      <c r="A331" s="63" t="s">
        <v>555</v>
      </c>
      <c r="B331" s="63" t="s">
        <v>556</v>
      </c>
      <c r="C331" s="36">
        <v>4301051893</v>
      </c>
      <c r="D331" s="709">
        <v>4680115886186</v>
      </c>
      <c r="E331" s="70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89</v>
      </c>
      <c r="L331" s="37" t="s">
        <v>46</v>
      </c>
      <c r="M331" s="38" t="s">
        <v>88</v>
      </c>
      <c r="N331" s="38"/>
      <c r="O331" s="37">
        <v>45</v>
      </c>
      <c r="P331" s="8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1"/>
      <c r="R331" s="711"/>
      <c r="S331" s="711"/>
      <c r="T331" s="71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557</v>
      </c>
      <c r="AG331" s="78"/>
      <c r="AJ331" s="84" t="s">
        <v>46</v>
      </c>
      <c r="AK331" s="84">
        <v>0</v>
      </c>
      <c r="BB331" s="425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4301051795</v>
      </c>
      <c r="D332" s="709">
        <v>4680115881228</v>
      </c>
      <c r="E332" s="70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89</v>
      </c>
      <c r="L332" s="37" t="s">
        <v>46</v>
      </c>
      <c r="M332" s="38" t="s">
        <v>95</v>
      </c>
      <c r="N332" s="38"/>
      <c r="O332" s="37">
        <v>40</v>
      </c>
      <c r="P332" s="8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1"/>
      <c r="R332" s="711"/>
      <c r="S332" s="711"/>
      <c r="T332" s="71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560</v>
      </c>
      <c r="AG332" s="78"/>
      <c r="AJ332" s="84" t="s">
        <v>46</v>
      </c>
      <c r="AK332" s="84">
        <v>0</v>
      </c>
      <c r="BB332" s="427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561</v>
      </c>
      <c r="B333" s="63" t="s">
        <v>562</v>
      </c>
      <c r="C333" s="36">
        <v>4301051388</v>
      </c>
      <c r="D333" s="709">
        <v>4680115881211</v>
      </c>
      <c r="E333" s="70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89</v>
      </c>
      <c r="L333" s="37" t="s">
        <v>46</v>
      </c>
      <c r="M333" s="38" t="s">
        <v>88</v>
      </c>
      <c r="N333" s="38"/>
      <c r="O333" s="37">
        <v>45</v>
      </c>
      <c r="P333" s="8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1"/>
      <c r="R333" s="711"/>
      <c r="S333" s="711"/>
      <c r="T333" s="71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557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7"/>
      <c r="B334" s="717"/>
      <c r="C334" s="717"/>
      <c r="D334" s="717"/>
      <c r="E334" s="717"/>
      <c r="F334" s="717"/>
      <c r="G334" s="717"/>
      <c r="H334" s="717"/>
      <c r="I334" s="717"/>
      <c r="J334" s="717"/>
      <c r="K334" s="717"/>
      <c r="L334" s="717"/>
      <c r="M334" s="717"/>
      <c r="N334" s="717"/>
      <c r="O334" s="718"/>
      <c r="P334" s="714" t="s">
        <v>40</v>
      </c>
      <c r="Q334" s="715"/>
      <c r="R334" s="715"/>
      <c r="S334" s="715"/>
      <c r="T334" s="715"/>
      <c r="U334" s="715"/>
      <c r="V334" s="71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7"/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8"/>
      <c r="P335" s="714" t="s">
        <v>40</v>
      </c>
      <c r="Q335" s="715"/>
      <c r="R335" s="715"/>
      <c r="S335" s="715"/>
      <c r="T335" s="715"/>
      <c r="U335" s="715"/>
      <c r="V335" s="71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7" t="s">
        <v>563</v>
      </c>
      <c r="B336" s="707"/>
      <c r="C336" s="707"/>
      <c r="D336" s="707"/>
      <c r="E336" s="707"/>
      <c r="F336" s="707"/>
      <c r="G336" s="707"/>
      <c r="H336" s="707"/>
      <c r="I336" s="707"/>
      <c r="J336" s="707"/>
      <c r="K336" s="707"/>
      <c r="L336" s="707"/>
      <c r="M336" s="707"/>
      <c r="N336" s="707"/>
      <c r="O336" s="707"/>
      <c r="P336" s="707"/>
      <c r="Q336" s="707"/>
      <c r="R336" s="707"/>
      <c r="S336" s="707"/>
      <c r="T336" s="707"/>
      <c r="U336" s="707"/>
      <c r="V336" s="707"/>
      <c r="W336" s="707"/>
      <c r="X336" s="707"/>
      <c r="Y336" s="707"/>
      <c r="Z336" s="707"/>
      <c r="AA336" s="65"/>
      <c r="AB336" s="65"/>
      <c r="AC336" s="79"/>
    </row>
    <row r="337" spans="1:68" ht="14.25" hidden="1" customHeight="1" x14ac:dyDescent="0.25">
      <c r="A337" s="708" t="s">
        <v>75</v>
      </c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708"/>
      <c r="R337" s="708"/>
      <c r="S337" s="708"/>
      <c r="T337" s="708"/>
      <c r="U337" s="708"/>
      <c r="V337" s="708"/>
      <c r="W337" s="708"/>
      <c r="X337" s="708"/>
      <c r="Y337" s="708"/>
      <c r="Z337" s="708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4301031445</v>
      </c>
      <c r="D338" s="709">
        <v>4680115888319</v>
      </c>
      <c r="E338" s="70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80</v>
      </c>
      <c r="L338" s="37" t="s">
        <v>46</v>
      </c>
      <c r="M338" s="38" t="s">
        <v>79</v>
      </c>
      <c r="N338" s="38"/>
      <c r="O338" s="37">
        <v>45</v>
      </c>
      <c r="P338" s="8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1"/>
      <c r="R338" s="711"/>
      <c r="S338" s="711"/>
      <c r="T338" s="71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398</v>
      </c>
      <c r="AG338" s="78"/>
      <c r="AJ338" s="84" t="s">
        <v>46</v>
      </c>
      <c r="AK338" s="84">
        <v>0</v>
      </c>
      <c r="BB338" s="431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4301031502</v>
      </c>
      <c r="D339" s="709">
        <v>4680115884700</v>
      </c>
      <c r="E339" s="70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80</v>
      </c>
      <c r="L339" s="37" t="s">
        <v>46</v>
      </c>
      <c r="M339" s="38" t="s">
        <v>79</v>
      </c>
      <c r="N339" s="38"/>
      <c r="O339" s="37">
        <v>40</v>
      </c>
      <c r="P339" s="89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1"/>
      <c r="R339" s="711"/>
      <c r="S339" s="711"/>
      <c r="T339" s="71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568</v>
      </c>
      <c r="AG339" s="78"/>
      <c r="AJ339" s="84" t="s">
        <v>46</v>
      </c>
      <c r="AK339" s="84">
        <v>0</v>
      </c>
      <c r="BB339" s="433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4301031307</v>
      </c>
      <c r="D340" s="709">
        <v>4680115880344</v>
      </c>
      <c r="E340" s="70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80</v>
      </c>
      <c r="L340" s="37" t="s">
        <v>46</v>
      </c>
      <c r="M340" s="38" t="s">
        <v>79</v>
      </c>
      <c r="N340" s="38"/>
      <c r="O340" s="37">
        <v>40</v>
      </c>
      <c r="P340" s="8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1"/>
      <c r="R340" s="711"/>
      <c r="S340" s="711"/>
      <c r="T340" s="71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571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572</v>
      </c>
      <c r="B341" s="63" t="s">
        <v>573</v>
      </c>
      <c r="C341" s="36">
        <v>4301031501</v>
      </c>
      <c r="D341" s="709">
        <v>4680115886919</v>
      </c>
      <c r="E341" s="70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89</v>
      </c>
      <c r="L341" s="37" t="s">
        <v>46</v>
      </c>
      <c r="M341" s="38" t="s">
        <v>79</v>
      </c>
      <c r="N341" s="38"/>
      <c r="O341" s="37">
        <v>40</v>
      </c>
      <c r="P341" s="8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1"/>
      <c r="R341" s="711"/>
      <c r="S341" s="711"/>
      <c r="T341" s="71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574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575</v>
      </c>
      <c r="B342" s="63" t="s">
        <v>576</v>
      </c>
      <c r="C342" s="36">
        <v>4301031246</v>
      </c>
      <c r="D342" s="709">
        <v>4680115883970</v>
      </c>
      <c r="E342" s="70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80</v>
      </c>
      <c r="L342" s="37" t="s">
        <v>46</v>
      </c>
      <c r="M342" s="38" t="s">
        <v>79</v>
      </c>
      <c r="N342" s="38"/>
      <c r="O342" s="37">
        <v>40</v>
      </c>
      <c r="P342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577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7"/>
      <c r="B343" s="717"/>
      <c r="C343" s="717"/>
      <c r="D343" s="717"/>
      <c r="E343" s="717"/>
      <c r="F343" s="717"/>
      <c r="G343" s="717"/>
      <c r="H343" s="717"/>
      <c r="I343" s="717"/>
      <c r="J343" s="717"/>
      <c r="K343" s="717"/>
      <c r="L343" s="717"/>
      <c r="M343" s="717"/>
      <c r="N343" s="717"/>
      <c r="O343" s="718"/>
      <c r="P343" s="714" t="s">
        <v>40</v>
      </c>
      <c r="Q343" s="715"/>
      <c r="R343" s="715"/>
      <c r="S343" s="715"/>
      <c r="T343" s="715"/>
      <c r="U343" s="715"/>
      <c r="V343" s="71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7"/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8"/>
      <c r="P344" s="714" t="s">
        <v>40</v>
      </c>
      <c r="Q344" s="715"/>
      <c r="R344" s="715"/>
      <c r="S344" s="715"/>
      <c r="T344" s="715"/>
      <c r="U344" s="715"/>
      <c r="V344" s="71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08" t="s">
        <v>84</v>
      </c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708"/>
      <c r="R345" s="708"/>
      <c r="S345" s="708"/>
      <c r="T345" s="708"/>
      <c r="U345" s="708"/>
      <c r="V345" s="708"/>
      <c r="W345" s="708"/>
      <c r="X345" s="708"/>
      <c r="Y345" s="708"/>
      <c r="Z345" s="708"/>
      <c r="AA345" s="66"/>
      <c r="AB345" s="66"/>
      <c r="AC345" s="80"/>
    </row>
    <row r="346" spans="1:68" ht="27" hidden="1" customHeight="1" x14ac:dyDescent="0.25">
      <c r="A346" s="63" t="s">
        <v>578</v>
      </c>
      <c r="B346" s="63" t="s">
        <v>579</v>
      </c>
      <c r="C346" s="36">
        <v>4301051782</v>
      </c>
      <c r="D346" s="709">
        <v>4680115884618</v>
      </c>
      <c r="E346" s="70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88</v>
      </c>
      <c r="N346" s="38"/>
      <c r="O346" s="37">
        <v>45</v>
      </c>
      <c r="P346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580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4301052057</v>
      </c>
      <c r="D347" s="709">
        <v>4680115887114</v>
      </c>
      <c r="E347" s="70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88</v>
      </c>
      <c r="N347" s="38"/>
      <c r="O347" s="37">
        <v>45</v>
      </c>
      <c r="P347" s="8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1"/>
      <c r="R347" s="711"/>
      <c r="S347" s="711"/>
      <c r="T347" s="71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583</v>
      </c>
      <c r="AG347" s="78"/>
      <c r="AJ347" s="84" t="s">
        <v>46</v>
      </c>
      <c r="AK347" s="84">
        <v>0</v>
      </c>
      <c r="BB347" s="443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7"/>
      <c r="B349" s="717"/>
      <c r="C349" s="717"/>
      <c r="D349" s="717"/>
      <c r="E349" s="717"/>
      <c r="F349" s="717"/>
      <c r="G349" s="717"/>
      <c r="H349" s="717"/>
      <c r="I349" s="717"/>
      <c r="J349" s="717"/>
      <c r="K349" s="717"/>
      <c r="L349" s="717"/>
      <c r="M349" s="717"/>
      <c r="N349" s="717"/>
      <c r="O349" s="718"/>
      <c r="P349" s="714" t="s">
        <v>40</v>
      </c>
      <c r="Q349" s="715"/>
      <c r="R349" s="715"/>
      <c r="S349" s="715"/>
      <c r="T349" s="715"/>
      <c r="U349" s="715"/>
      <c r="V349" s="71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7" t="s">
        <v>584</v>
      </c>
      <c r="B350" s="707"/>
      <c r="C350" s="707"/>
      <c r="D350" s="707"/>
      <c r="E350" s="707"/>
      <c r="F350" s="707"/>
      <c r="G350" s="707"/>
      <c r="H350" s="707"/>
      <c r="I350" s="707"/>
      <c r="J350" s="707"/>
      <c r="K350" s="707"/>
      <c r="L350" s="707"/>
      <c r="M350" s="707"/>
      <c r="N350" s="707"/>
      <c r="O350" s="707"/>
      <c r="P350" s="707"/>
      <c r="Q350" s="707"/>
      <c r="R350" s="707"/>
      <c r="S350" s="707"/>
      <c r="T350" s="707"/>
      <c r="U350" s="707"/>
      <c r="V350" s="707"/>
      <c r="W350" s="707"/>
      <c r="X350" s="707"/>
      <c r="Y350" s="707"/>
      <c r="Z350" s="707"/>
      <c r="AA350" s="65"/>
      <c r="AB350" s="65"/>
      <c r="AC350" s="79"/>
    </row>
    <row r="351" spans="1:68" ht="14.25" hidden="1" customHeight="1" x14ac:dyDescent="0.25">
      <c r="A351" s="708" t="s">
        <v>122</v>
      </c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708"/>
      <c r="R351" s="708"/>
      <c r="S351" s="708"/>
      <c r="T351" s="708"/>
      <c r="U351" s="708"/>
      <c r="V351" s="708"/>
      <c r="W351" s="708"/>
      <c r="X351" s="708"/>
      <c r="Y351" s="708"/>
      <c r="Z351" s="708"/>
      <c r="AA351" s="66"/>
      <c r="AB351" s="66"/>
      <c r="AC351" s="80"/>
    </row>
    <row r="352" spans="1:68" ht="27" hidden="1" customHeight="1" x14ac:dyDescent="0.25">
      <c r="A352" s="63" t="s">
        <v>585</v>
      </c>
      <c r="B352" s="63" t="s">
        <v>586</v>
      </c>
      <c r="C352" s="36">
        <v>4301012324</v>
      </c>
      <c r="D352" s="709">
        <v>4680115887947</v>
      </c>
      <c r="E352" s="70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88</v>
      </c>
      <c r="N352" s="38"/>
      <c r="O352" s="37">
        <v>60</v>
      </c>
      <c r="P352" s="89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1"/>
      <c r="R352" s="711"/>
      <c r="S352" s="711"/>
      <c r="T352" s="71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357</v>
      </c>
      <c r="AG352" s="78"/>
      <c r="AJ352" s="84" t="s">
        <v>46</v>
      </c>
      <c r="AK352" s="84">
        <v>0</v>
      </c>
      <c r="BB352" s="445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587</v>
      </c>
      <c r="B353" s="63" t="s">
        <v>588</v>
      </c>
      <c r="C353" s="36">
        <v>4301012325</v>
      </c>
      <c r="D353" s="709">
        <v>4680115887978</v>
      </c>
      <c r="E353" s="70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88</v>
      </c>
      <c r="N353" s="38"/>
      <c r="O353" s="37">
        <v>60</v>
      </c>
      <c r="P353" s="8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1"/>
      <c r="R353" s="711"/>
      <c r="S353" s="711"/>
      <c r="T353" s="71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589</v>
      </c>
      <c r="AG353" s="78"/>
      <c r="AJ353" s="84" t="s">
        <v>46</v>
      </c>
      <c r="AK353" s="84">
        <v>0</v>
      </c>
      <c r="BB353" s="447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4301012327</v>
      </c>
      <c r="D354" s="709">
        <v>4680115887992</v>
      </c>
      <c r="E354" s="70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88</v>
      </c>
      <c r="N354" s="38"/>
      <c r="O354" s="37">
        <v>60</v>
      </c>
      <c r="P354" s="89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1"/>
      <c r="R354" s="711"/>
      <c r="S354" s="711"/>
      <c r="T354" s="71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592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7"/>
      <c r="B355" s="717"/>
      <c r="C355" s="717"/>
      <c r="D355" s="717"/>
      <c r="E355" s="717"/>
      <c r="F355" s="717"/>
      <c r="G355" s="717"/>
      <c r="H355" s="717"/>
      <c r="I355" s="717"/>
      <c r="J355" s="717"/>
      <c r="K355" s="717"/>
      <c r="L355" s="717"/>
      <c r="M355" s="717"/>
      <c r="N355" s="717"/>
      <c r="O355" s="718"/>
      <c r="P355" s="714" t="s">
        <v>40</v>
      </c>
      <c r="Q355" s="715"/>
      <c r="R355" s="715"/>
      <c r="S355" s="715"/>
      <c r="T355" s="715"/>
      <c r="U355" s="715"/>
      <c r="V355" s="71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7"/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8"/>
      <c r="P356" s="714" t="s">
        <v>40</v>
      </c>
      <c r="Q356" s="715"/>
      <c r="R356" s="715"/>
      <c r="S356" s="715"/>
      <c r="T356" s="715"/>
      <c r="U356" s="715"/>
      <c r="V356" s="71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7" t="s">
        <v>593</v>
      </c>
      <c r="B357" s="707"/>
      <c r="C357" s="707"/>
      <c r="D357" s="707"/>
      <c r="E357" s="707"/>
      <c r="F357" s="707"/>
      <c r="G357" s="707"/>
      <c r="H357" s="707"/>
      <c r="I357" s="707"/>
      <c r="J357" s="707"/>
      <c r="K357" s="707"/>
      <c r="L357" s="707"/>
      <c r="M357" s="707"/>
      <c r="N357" s="707"/>
      <c r="O357" s="707"/>
      <c r="P357" s="707"/>
      <c r="Q357" s="707"/>
      <c r="R357" s="707"/>
      <c r="S357" s="707"/>
      <c r="T357" s="707"/>
      <c r="U357" s="707"/>
      <c r="V357" s="707"/>
      <c r="W357" s="707"/>
      <c r="X357" s="707"/>
      <c r="Y357" s="707"/>
      <c r="Z357" s="707"/>
      <c r="AA357" s="65"/>
      <c r="AB357" s="65"/>
      <c r="AC357" s="79"/>
    </row>
    <row r="358" spans="1:68" ht="14.25" hidden="1" customHeight="1" x14ac:dyDescent="0.25">
      <c r="A358" s="708" t="s">
        <v>122</v>
      </c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708"/>
      <c r="R358" s="708"/>
      <c r="S358" s="708"/>
      <c r="T358" s="708"/>
      <c r="U358" s="708"/>
      <c r="V358" s="708"/>
      <c r="W358" s="708"/>
      <c r="X358" s="708"/>
      <c r="Y358" s="708"/>
      <c r="Z358" s="708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4301012235</v>
      </c>
      <c r="D359" s="709">
        <v>4680115887190</v>
      </c>
      <c r="E359" s="70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11"/>
      <c r="R359" s="711"/>
      <c r="S359" s="711"/>
      <c r="T359" s="712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596</v>
      </c>
      <c r="AG359" s="78"/>
      <c r="AJ359" s="84" t="s">
        <v>46</v>
      </c>
      <c r="AK359" s="84">
        <v>0</v>
      </c>
      <c r="BB359" s="451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hidden="1" customHeight="1" x14ac:dyDescent="0.25">
      <c r="A360" s="63" t="s">
        <v>597</v>
      </c>
      <c r="B360" s="63" t="s">
        <v>598</v>
      </c>
      <c r="C360" s="36">
        <v>4301012233</v>
      </c>
      <c r="D360" s="709">
        <v>4680115887138</v>
      </c>
      <c r="E360" s="70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11"/>
      <c r="R360" s="711"/>
      <c r="S360" s="711"/>
      <c r="T360" s="71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599</v>
      </c>
      <c r="AG360" s="78"/>
      <c r="AJ360" s="84" t="s">
        <v>46</v>
      </c>
      <c r="AK360" s="84">
        <v>0</v>
      </c>
      <c r="BB360" s="453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4301012016</v>
      </c>
      <c r="D361" s="709">
        <v>4680115885554</v>
      </c>
      <c r="E361" s="70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88</v>
      </c>
      <c r="N361" s="38"/>
      <c r="O361" s="37">
        <v>55</v>
      </c>
      <c r="P361" s="9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11"/>
      <c r="R361" s="711"/>
      <c r="S361" s="711"/>
      <c r="T361" s="71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602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603</v>
      </c>
      <c r="B362" s="63" t="s">
        <v>604</v>
      </c>
      <c r="C362" s="36">
        <v>4301012236</v>
      </c>
      <c r="D362" s="709">
        <v>4680115887220</v>
      </c>
      <c r="E362" s="709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134</v>
      </c>
      <c r="L362" s="37" t="s">
        <v>46</v>
      </c>
      <c r="M362" s="38" t="s">
        <v>126</v>
      </c>
      <c r="N362" s="38"/>
      <c r="O362" s="37">
        <v>55</v>
      </c>
      <c r="P362" s="9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11"/>
      <c r="R362" s="711"/>
      <c r="S362" s="711"/>
      <c r="T362" s="71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596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4301011859</v>
      </c>
      <c r="D363" s="709">
        <v>4680115885608</v>
      </c>
      <c r="E363" s="709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134</v>
      </c>
      <c r="L363" s="37" t="s">
        <v>46</v>
      </c>
      <c r="M363" s="38" t="s">
        <v>126</v>
      </c>
      <c r="N363" s="38"/>
      <c r="O363" s="37">
        <v>55</v>
      </c>
      <c r="P363" s="9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717"/>
      <c r="B364" s="717"/>
      <c r="C364" s="717"/>
      <c r="D364" s="717"/>
      <c r="E364" s="717"/>
      <c r="F364" s="717"/>
      <c r="G364" s="717"/>
      <c r="H364" s="717"/>
      <c r="I364" s="717"/>
      <c r="J364" s="717"/>
      <c r="K364" s="717"/>
      <c r="L364" s="717"/>
      <c r="M364" s="717"/>
      <c r="N364" s="717"/>
      <c r="O364" s="718"/>
      <c r="P364" s="714" t="s">
        <v>40</v>
      </c>
      <c r="Q364" s="715"/>
      <c r="R364" s="715"/>
      <c r="S364" s="715"/>
      <c r="T364" s="715"/>
      <c r="U364" s="715"/>
      <c r="V364" s="716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hidden="1" x14ac:dyDescent="0.2">
      <c r="A365" s="717"/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8"/>
      <c r="P365" s="714" t="s">
        <v>40</v>
      </c>
      <c r="Q365" s="715"/>
      <c r="R365" s="715"/>
      <c r="S365" s="715"/>
      <c r="T365" s="715"/>
      <c r="U365" s="715"/>
      <c r="V365" s="716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hidden="1" customHeight="1" x14ac:dyDescent="0.25">
      <c r="A366" s="708" t="s">
        <v>75</v>
      </c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708"/>
      <c r="R366" s="708"/>
      <c r="S366" s="708"/>
      <c r="T366" s="708"/>
      <c r="U366" s="708"/>
      <c r="V366" s="708"/>
      <c r="W366" s="708"/>
      <c r="X366" s="708"/>
      <c r="Y366" s="708"/>
      <c r="Z366" s="708"/>
      <c r="AA366" s="66"/>
      <c r="AB366" s="66"/>
      <c r="AC366" s="80"/>
    </row>
    <row r="367" spans="1:68" ht="27" hidden="1" customHeight="1" x14ac:dyDescent="0.25">
      <c r="A367" s="63" t="s">
        <v>608</v>
      </c>
      <c r="B367" s="63" t="s">
        <v>609</v>
      </c>
      <c r="C367" s="36">
        <v>4301030878</v>
      </c>
      <c r="D367" s="709">
        <v>4607091387193</v>
      </c>
      <c r="E367" s="709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134</v>
      </c>
      <c r="L367" s="37" t="s">
        <v>46</v>
      </c>
      <c r="M367" s="38" t="s">
        <v>79</v>
      </c>
      <c r="N367" s="38"/>
      <c r="O367" s="37">
        <v>35</v>
      </c>
      <c r="P367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610</v>
      </c>
      <c r="AG367" s="78"/>
      <c r="AJ367" s="84" t="s">
        <v>46</v>
      </c>
      <c r="AK367" s="84">
        <v>0</v>
      </c>
      <c r="BB367" s="461" t="s">
        <v>66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4301031153</v>
      </c>
      <c r="D368" s="709">
        <v>4607091387230</v>
      </c>
      <c r="E368" s="709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134</v>
      </c>
      <c r="L368" s="37" t="s">
        <v>46</v>
      </c>
      <c r="M368" s="38" t="s">
        <v>79</v>
      </c>
      <c r="N368" s="38"/>
      <c r="O368" s="37">
        <v>40</v>
      </c>
      <c r="P368" s="9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613</v>
      </c>
      <c r="AG368" s="78"/>
      <c r="AJ368" s="84" t="s">
        <v>46</v>
      </c>
      <c r="AK368" s="84">
        <v>0</v>
      </c>
      <c r="BB368" s="463" t="s">
        <v>66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4301031154</v>
      </c>
      <c r="D369" s="709">
        <v>4607091387292</v>
      </c>
      <c r="E369" s="709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134</v>
      </c>
      <c r="L369" s="37" t="s">
        <v>46</v>
      </c>
      <c r="M369" s="38" t="s">
        <v>79</v>
      </c>
      <c r="N369" s="38"/>
      <c r="O369" s="37">
        <v>45</v>
      </c>
      <c r="P369" s="90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11"/>
      <c r="R369" s="711"/>
      <c r="S369" s="711"/>
      <c r="T369" s="71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616</v>
      </c>
      <c r="AG369" s="78"/>
      <c r="AJ369" s="84" t="s">
        <v>46</v>
      </c>
      <c r="AK369" s="84">
        <v>0</v>
      </c>
      <c r="BB369" s="465" t="s">
        <v>66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4301031152</v>
      </c>
      <c r="D370" s="709">
        <v>4607091387285</v>
      </c>
      <c r="E370" s="709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80</v>
      </c>
      <c r="L370" s="37" t="s">
        <v>46</v>
      </c>
      <c r="M370" s="38" t="s">
        <v>79</v>
      </c>
      <c r="N370" s="38"/>
      <c r="O370" s="37">
        <v>40</v>
      </c>
      <c r="P370" s="9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11"/>
      <c r="R370" s="711"/>
      <c r="S370" s="711"/>
      <c r="T370" s="71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613</v>
      </c>
      <c r="AG370" s="78"/>
      <c r="AJ370" s="84" t="s">
        <v>46</v>
      </c>
      <c r="AK370" s="84">
        <v>0</v>
      </c>
      <c r="BB370" s="467" t="s">
        <v>66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4301031305</v>
      </c>
      <c r="D371" s="709">
        <v>4607091389845</v>
      </c>
      <c r="E371" s="709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80</v>
      </c>
      <c r="L371" s="37" t="s">
        <v>46</v>
      </c>
      <c r="M371" s="38" t="s">
        <v>79</v>
      </c>
      <c r="N371" s="38"/>
      <c r="O371" s="37">
        <v>40</v>
      </c>
      <c r="P371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11"/>
      <c r="R371" s="711"/>
      <c r="S371" s="711"/>
      <c r="T371" s="71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66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4301031460</v>
      </c>
      <c r="D372" s="709">
        <v>4680115887442</v>
      </c>
      <c r="E372" s="70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79</v>
      </c>
      <c r="N372" s="38"/>
      <c r="O372" s="37">
        <v>45</v>
      </c>
      <c r="P372" s="90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66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4301031066</v>
      </c>
      <c r="D373" s="709">
        <v>4607091383836</v>
      </c>
      <c r="E373" s="709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89</v>
      </c>
      <c r="L373" s="37" t="s">
        <v>46</v>
      </c>
      <c r="M373" s="38" t="s">
        <v>79</v>
      </c>
      <c r="N373" s="38"/>
      <c r="O373" s="37">
        <v>40</v>
      </c>
      <c r="P373" s="9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66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hidden="1" x14ac:dyDescent="0.2">
      <c r="A374" s="717"/>
      <c r="B374" s="717"/>
      <c r="C374" s="717"/>
      <c r="D374" s="717"/>
      <c r="E374" s="717"/>
      <c r="F374" s="717"/>
      <c r="G374" s="717"/>
      <c r="H374" s="717"/>
      <c r="I374" s="717"/>
      <c r="J374" s="717"/>
      <c r="K374" s="717"/>
      <c r="L374" s="717"/>
      <c r="M374" s="717"/>
      <c r="N374" s="717"/>
      <c r="O374" s="718"/>
      <c r="P374" s="714" t="s">
        <v>40</v>
      </c>
      <c r="Q374" s="715"/>
      <c r="R374" s="715"/>
      <c r="S374" s="715"/>
      <c r="T374" s="715"/>
      <c r="U374" s="715"/>
      <c r="V374" s="716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717"/>
      <c r="B375" s="717"/>
      <c r="C375" s="717"/>
      <c r="D375" s="717"/>
      <c r="E375" s="717"/>
      <c r="F375" s="717"/>
      <c r="G375" s="717"/>
      <c r="H375" s="717"/>
      <c r="I375" s="717"/>
      <c r="J375" s="717"/>
      <c r="K375" s="717"/>
      <c r="L375" s="717"/>
      <c r="M375" s="717"/>
      <c r="N375" s="717"/>
      <c r="O375" s="718"/>
      <c r="P375" s="714" t="s">
        <v>40</v>
      </c>
      <c r="Q375" s="715"/>
      <c r="R375" s="715"/>
      <c r="S375" s="715"/>
      <c r="T375" s="715"/>
      <c r="U375" s="715"/>
      <c r="V375" s="716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708" t="s">
        <v>84</v>
      </c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708"/>
      <c r="R376" s="708"/>
      <c r="S376" s="708"/>
      <c r="T376" s="708"/>
      <c r="U376" s="708"/>
      <c r="V376" s="708"/>
      <c r="W376" s="708"/>
      <c r="X376" s="708"/>
      <c r="Y376" s="708"/>
      <c r="Z376" s="708"/>
      <c r="AA376" s="66"/>
      <c r="AB376" s="66"/>
      <c r="AC376" s="80"/>
    </row>
    <row r="377" spans="1:68" ht="27" hidden="1" customHeight="1" x14ac:dyDescent="0.25">
      <c r="A377" s="63" t="s">
        <v>627</v>
      </c>
      <c r="B377" s="63" t="s">
        <v>628</v>
      </c>
      <c r="C377" s="36">
        <v>4301051100</v>
      </c>
      <c r="D377" s="709">
        <v>4607091387766</v>
      </c>
      <c r="E377" s="709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127</v>
      </c>
      <c r="L377" s="37" t="s">
        <v>46</v>
      </c>
      <c r="M377" s="38" t="s">
        <v>88</v>
      </c>
      <c r="N377" s="38"/>
      <c r="O377" s="37">
        <v>40</v>
      </c>
      <c r="P377" s="9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4301051818</v>
      </c>
      <c r="D378" s="709">
        <v>4607091387957</v>
      </c>
      <c r="E378" s="709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127</v>
      </c>
      <c r="L378" s="37" t="s">
        <v>46</v>
      </c>
      <c r="M378" s="38" t="s">
        <v>88</v>
      </c>
      <c r="N378" s="38"/>
      <c r="O378" s="37">
        <v>40</v>
      </c>
      <c r="P378" s="9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632</v>
      </c>
      <c r="AG378" s="78"/>
      <c r="AJ378" s="84" t="s">
        <v>46</v>
      </c>
      <c r="AK378" s="84">
        <v>0</v>
      </c>
      <c r="BB378" s="47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4301051819</v>
      </c>
      <c r="D379" s="709">
        <v>4607091387964</v>
      </c>
      <c r="E379" s="709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127</v>
      </c>
      <c r="L379" s="37" t="s">
        <v>46</v>
      </c>
      <c r="M379" s="38" t="s">
        <v>88</v>
      </c>
      <c r="N379" s="38"/>
      <c r="O379" s="37">
        <v>40</v>
      </c>
      <c r="P379" s="9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11"/>
      <c r="R379" s="711"/>
      <c r="S379" s="711"/>
      <c r="T379" s="71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635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4301051734</v>
      </c>
      <c r="D380" s="709">
        <v>4680115884588</v>
      </c>
      <c r="E380" s="709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89</v>
      </c>
      <c r="L380" s="37" t="s">
        <v>46</v>
      </c>
      <c r="M380" s="38" t="s">
        <v>88</v>
      </c>
      <c r="N380" s="38"/>
      <c r="O380" s="37">
        <v>40</v>
      </c>
      <c r="P380" s="9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11"/>
      <c r="R380" s="711"/>
      <c r="S380" s="711"/>
      <c r="T380" s="71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629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717"/>
      <c r="B381" s="717"/>
      <c r="C381" s="717"/>
      <c r="D381" s="717"/>
      <c r="E381" s="717"/>
      <c r="F381" s="717"/>
      <c r="G381" s="717"/>
      <c r="H381" s="717"/>
      <c r="I381" s="717"/>
      <c r="J381" s="717"/>
      <c r="K381" s="717"/>
      <c r="L381" s="717"/>
      <c r="M381" s="717"/>
      <c r="N381" s="717"/>
      <c r="O381" s="718"/>
      <c r="P381" s="714" t="s">
        <v>40</v>
      </c>
      <c r="Q381" s="715"/>
      <c r="R381" s="715"/>
      <c r="S381" s="715"/>
      <c r="T381" s="715"/>
      <c r="U381" s="715"/>
      <c r="V381" s="716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17"/>
      <c r="B382" s="717"/>
      <c r="C382" s="717"/>
      <c r="D382" s="717"/>
      <c r="E382" s="717"/>
      <c r="F382" s="717"/>
      <c r="G382" s="717"/>
      <c r="H382" s="717"/>
      <c r="I382" s="717"/>
      <c r="J382" s="717"/>
      <c r="K382" s="717"/>
      <c r="L382" s="717"/>
      <c r="M382" s="717"/>
      <c r="N382" s="717"/>
      <c r="O382" s="718"/>
      <c r="P382" s="714" t="s">
        <v>40</v>
      </c>
      <c r="Q382" s="715"/>
      <c r="R382" s="715"/>
      <c r="S382" s="715"/>
      <c r="T382" s="715"/>
      <c r="U382" s="715"/>
      <c r="V382" s="716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08" t="s">
        <v>172</v>
      </c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708"/>
      <c r="R383" s="708"/>
      <c r="S383" s="708"/>
      <c r="T383" s="708"/>
      <c r="U383" s="708"/>
      <c r="V383" s="708"/>
      <c r="W383" s="708"/>
      <c r="X383" s="708"/>
      <c r="Y383" s="708"/>
      <c r="Z383" s="708"/>
      <c r="AA383" s="66"/>
      <c r="AB383" s="66"/>
      <c r="AC383" s="80"/>
    </row>
    <row r="384" spans="1:68" ht="27" hidden="1" customHeight="1" x14ac:dyDescent="0.25">
      <c r="A384" s="63" t="s">
        <v>638</v>
      </c>
      <c r="B384" s="63" t="s">
        <v>639</v>
      </c>
      <c r="C384" s="36">
        <v>4301060387</v>
      </c>
      <c r="D384" s="709">
        <v>4607091380880</v>
      </c>
      <c r="E384" s="709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127</v>
      </c>
      <c r="L384" s="37" t="s">
        <v>46</v>
      </c>
      <c r="M384" s="38" t="s">
        <v>88</v>
      </c>
      <c r="N384" s="38"/>
      <c r="O384" s="37">
        <v>30</v>
      </c>
      <c r="P384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640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641</v>
      </c>
      <c r="B385" s="63" t="s">
        <v>642</v>
      </c>
      <c r="C385" s="36">
        <v>4301060406</v>
      </c>
      <c r="D385" s="709">
        <v>4607091384482</v>
      </c>
      <c r="E385" s="709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88</v>
      </c>
      <c r="N385" s="38"/>
      <c r="O385" s="37">
        <v>30</v>
      </c>
      <c r="P385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643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4301060484</v>
      </c>
      <c r="D386" s="709">
        <v>4607091380897</v>
      </c>
      <c r="E386" s="70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95</v>
      </c>
      <c r="N386" s="38"/>
      <c r="O386" s="37">
        <v>30</v>
      </c>
      <c r="P386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11"/>
      <c r="R386" s="711"/>
      <c r="S386" s="711"/>
      <c r="T386" s="71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646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717"/>
      <c r="B388" s="717"/>
      <c r="C388" s="717"/>
      <c r="D388" s="717"/>
      <c r="E388" s="717"/>
      <c r="F388" s="717"/>
      <c r="G388" s="717"/>
      <c r="H388" s="717"/>
      <c r="I388" s="717"/>
      <c r="J388" s="717"/>
      <c r="K388" s="717"/>
      <c r="L388" s="717"/>
      <c r="M388" s="717"/>
      <c r="N388" s="717"/>
      <c r="O388" s="718"/>
      <c r="P388" s="714" t="s">
        <v>40</v>
      </c>
      <c r="Q388" s="715"/>
      <c r="R388" s="715"/>
      <c r="S388" s="715"/>
      <c r="T388" s="715"/>
      <c r="U388" s="715"/>
      <c r="V388" s="71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hidden="1" customHeight="1" x14ac:dyDescent="0.25">
      <c r="A389" s="708" t="s">
        <v>280</v>
      </c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708"/>
      <c r="R389" s="708"/>
      <c r="S389" s="708"/>
      <c r="T389" s="708"/>
      <c r="U389" s="708"/>
      <c r="V389" s="708"/>
      <c r="W389" s="708"/>
      <c r="X389" s="708"/>
      <c r="Y389" s="708"/>
      <c r="Z389" s="708"/>
      <c r="AA389" s="66"/>
      <c r="AB389" s="66"/>
      <c r="AC389" s="80"/>
    </row>
    <row r="390" spans="1:68" ht="27" hidden="1" customHeight="1" x14ac:dyDescent="0.25">
      <c r="A390" s="63" t="s">
        <v>647</v>
      </c>
      <c r="B390" s="63" t="s">
        <v>648</v>
      </c>
      <c r="C390" s="36">
        <v>4301030235</v>
      </c>
      <c r="D390" s="709">
        <v>4607091388381</v>
      </c>
      <c r="E390" s="709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134</v>
      </c>
      <c r="L390" s="37" t="s">
        <v>46</v>
      </c>
      <c r="M390" s="38" t="s">
        <v>248</v>
      </c>
      <c r="N390" s="38"/>
      <c r="O390" s="37">
        <v>180</v>
      </c>
      <c r="P390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649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4301030232</v>
      </c>
      <c r="D391" s="709">
        <v>4607091388374</v>
      </c>
      <c r="E391" s="709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134</v>
      </c>
      <c r="L391" s="37" t="s">
        <v>46</v>
      </c>
      <c r="M391" s="38" t="s">
        <v>248</v>
      </c>
      <c r="N391" s="38"/>
      <c r="O391" s="37">
        <v>180</v>
      </c>
      <c r="P39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649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652</v>
      </c>
      <c r="B392" s="63" t="s">
        <v>653</v>
      </c>
      <c r="C392" s="36">
        <v>4301032015</v>
      </c>
      <c r="D392" s="709">
        <v>4607091383102</v>
      </c>
      <c r="E392" s="709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89</v>
      </c>
      <c r="L392" s="37" t="s">
        <v>46</v>
      </c>
      <c r="M392" s="38" t="s">
        <v>248</v>
      </c>
      <c r="N392" s="38"/>
      <c r="O392" s="37">
        <v>180</v>
      </c>
      <c r="P392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11"/>
      <c r="R392" s="711"/>
      <c r="S392" s="711"/>
      <c r="T392" s="71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649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4301030233</v>
      </c>
      <c r="D393" s="709">
        <v>4607091388404</v>
      </c>
      <c r="E393" s="709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89</v>
      </c>
      <c r="L393" s="37" t="s">
        <v>46</v>
      </c>
      <c r="M393" s="38" t="s">
        <v>248</v>
      </c>
      <c r="N393" s="38"/>
      <c r="O393" s="37">
        <v>180</v>
      </c>
      <c r="P393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11"/>
      <c r="R393" s="711"/>
      <c r="S393" s="711"/>
      <c r="T393" s="71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649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17"/>
      <c r="B394" s="717"/>
      <c r="C394" s="717"/>
      <c r="D394" s="717"/>
      <c r="E394" s="717"/>
      <c r="F394" s="717"/>
      <c r="G394" s="717"/>
      <c r="H394" s="717"/>
      <c r="I394" s="717"/>
      <c r="J394" s="717"/>
      <c r="K394" s="717"/>
      <c r="L394" s="717"/>
      <c r="M394" s="717"/>
      <c r="N394" s="717"/>
      <c r="O394" s="718"/>
      <c r="P394" s="714" t="s">
        <v>40</v>
      </c>
      <c r="Q394" s="715"/>
      <c r="R394" s="715"/>
      <c r="S394" s="715"/>
      <c r="T394" s="715"/>
      <c r="U394" s="715"/>
      <c r="V394" s="716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17"/>
      <c r="B395" s="717"/>
      <c r="C395" s="717"/>
      <c r="D395" s="717"/>
      <c r="E395" s="717"/>
      <c r="F395" s="717"/>
      <c r="G395" s="717"/>
      <c r="H395" s="717"/>
      <c r="I395" s="717"/>
      <c r="J395" s="717"/>
      <c r="K395" s="717"/>
      <c r="L395" s="717"/>
      <c r="M395" s="717"/>
      <c r="N395" s="717"/>
      <c r="O395" s="718"/>
      <c r="P395" s="714" t="s">
        <v>40</v>
      </c>
      <c r="Q395" s="715"/>
      <c r="R395" s="715"/>
      <c r="S395" s="715"/>
      <c r="T395" s="715"/>
      <c r="U395" s="715"/>
      <c r="V395" s="716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08" t="s">
        <v>656</v>
      </c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708"/>
      <c r="R396" s="708"/>
      <c r="S396" s="708"/>
      <c r="T396" s="708"/>
      <c r="U396" s="708"/>
      <c r="V396" s="708"/>
      <c r="W396" s="708"/>
      <c r="X396" s="708"/>
      <c r="Y396" s="708"/>
      <c r="Z396" s="708"/>
      <c r="AA396" s="66"/>
      <c r="AB396" s="66"/>
      <c r="AC396" s="80"/>
    </row>
    <row r="397" spans="1:68" ht="16.5" hidden="1" customHeight="1" x14ac:dyDescent="0.25">
      <c r="A397" s="63" t="s">
        <v>657</v>
      </c>
      <c r="B397" s="63" t="s">
        <v>658</v>
      </c>
      <c r="C397" s="36">
        <v>4301180007</v>
      </c>
      <c r="D397" s="709">
        <v>4680115881808</v>
      </c>
      <c r="E397" s="709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89</v>
      </c>
      <c r="L397" s="37" t="s">
        <v>46</v>
      </c>
      <c r="M397" s="38" t="s">
        <v>660</v>
      </c>
      <c r="N397" s="38"/>
      <c r="O397" s="37">
        <v>731</v>
      </c>
      <c r="P397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661</v>
      </c>
      <c r="B398" s="63" t="s">
        <v>662</v>
      </c>
      <c r="C398" s="36">
        <v>4301180006</v>
      </c>
      <c r="D398" s="709">
        <v>4680115881822</v>
      </c>
      <c r="E398" s="709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89</v>
      </c>
      <c r="L398" s="37" t="s">
        <v>46</v>
      </c>
      <c r="M398" s="38" t="s">
        <v>660</v>
      </c>
      <c r="N398" s="38"/>
      <c r="O398" s="37">
        <v>731</v>
      </c>
      <c r="P398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659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663</v>
      </c>
      <c r="B399" s="63" t="s">
        <v>664</v>
      </c>
      <c r="C399" s="36">
        <v>4301180001</v>
      </c>
      <c r="D399" s="709">
        <v>4680115880016</v>
      </c>
      <c r="E399" s="70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89</v>
      </c>
      <c r="L399" s="37" t="s">
        <v>46</v>
      </c>
      <c r="M399" s="38" t="s">
        <v>660</v>
      </c>
      <c r="N399" s="38"/>
      <c r="O399" s="37">
        <v>731</v>
      </c>
      <c r="P399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11"/>
      <c r="R399" s="711"/>
      <c r="S399" s="711"/>
      <c r="T399" s="71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659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717"/>
      <c r="B401" s="717"/>
      <c r="C401" s="717"/>
      <c r="D401" s="717"/>
      <c r="E401" s="717"/>
      <c r="F401" s="717"/>
      <c r="G401" s="717"/>
      <c r="H401" s="717"/>
      <c r="I401" s="717"/>
      <c r="J401" s="717"/>
      <c r="K401" s="717"/>
      <c r="L401" s="717"/>
      <c r="M401" s="717"/>
      <c r="N401" s="717"/>
      <c r="O401" s="718"/>
      <c r="P401" s="714" t="s">
        <v>40</v>
      </c>
      <c r="Q401" s="715"/>
      <c r="R401" s="715"/>
      <c r="S401" s="715"/>
      <c r="T401" s="715"/>
      <c r="U401" s="715"/>
      <c r="V401" s="716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hidden="1" customHeight="1" x14ac:dyDescent="0.25">
      <c r="A402" s="708" t="s">
        <v>665</v>
      </c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708"/>
      <c r="R402" s="708"/>
      <c r="S402" s="708"/>
      <c r="T402" s="708"/>
      <c r="U402" s="708"/>
      <c r="V402" s="708"/>
      <c r="W402" s="708"/>
      <c r="X402" s="708"/>
      <c r="Y402" s="708"/>
      <c r="Z402" s="708"/>
      <c r="AA402" s="66"/>
      <c r="AB402" s="66"/>
      <c r="AC402" s="80"/>
    </row>
    <row r="403" spans="1:68" ht="27" hidden="1" customHeight="1" x14ac:dyDescent="0.25">
      <c r="A403" s="63" t="s">
        <v>666</v>
      </c>
      <c r="B403" s="63" t="s">
        <v>667</v>
      </c>
      <c r="C403" s="36">
        <v>4301220003</v>
      </c>
      <c r="D403" s="709">
        <v>4680115888678</v>
      </c>
      <c r="E403" s="709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89</v>
      </c>
      <c r="L403" s="37" t="s">
        <v>46</v>
      </c>
      <c r="M403" s="38" t="s">
        <v>660</v>
      </c>
      <c r="N403" s="38"/>
      <c r="O403" s="37">
        <v>1096</v>
      </c>
      <c r="P403" s="9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4301220001</v>
      </c>
      <c r="D404" s="709">
        <v>4680115888654</v>
      </c>
      <c r="E404" s="709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134</v>
      </c>
      <c r="L404" s="37" t="s">
        <v>46</v>
      </c>
      <c r="M404" s="38" t="s">
        <v>660</v>
      </c>
      <c r="N404" s="38"/>
      <c r="O404" s="37">
        <v>1096</v>
      </c>
      <c r="P404" s="9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672</v>
      </c>
      <c r="B405" s="63" t="s">
        <v>673</v>
      </c>
      <c r="C405" s="36">
        <v>4301220002</v>
      </c>
      <c r="D405" s="709">
        <v>4680115888753</v>
      </c>
      <c r="E405" s="70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89</v>
      </c>
      <c r="L405" s="37" t="s">
        <v>46</v>
      </c>
      <c r="M405" s="38" t="s">
        <v>660</v>
      </c>
      <c r="N405" s="38"/>
      <c r="O405" s="37">
        <v>1096</v>
      </c>
      <c r="P405" s="9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11"/>
      <c r="R405" s="711"/>
      <c r="S405" s="711"/>
      <c r="T405" s="71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668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17"/>
      <c r="B407" s="717"/>
      <c r="C407" s="717"/>
      <c r="D407" s="717"/>
      <c r="E407" s="717"/>
      <c r="F407" s="717"/>
      <c r="G407" s="717"/>
      <c r="H407" s="717"/>
      <c r="I407" s="717"/>
      <c r="J407" s="717"/>
      <c r="K407" s="717"/>
      <c r="L407" s="717"/>
      <c r="M407" s="717"/>
      <c r="N407" s="717"/>
      <c r="O407" s="718"/>
      <c r="P407" s="714" t="s">
        <v>40</v>
      </c>
      <c r="Q407" s="715"/>
      <c r="R407" s="715"/>
      <c r="S407" s="715"/>
      <c r="T407" s="715"/>
      <c r="U407" s="715"/>
      <c r="V407" s="716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hidden="1" customHeight="1" x14ac:dyDescent="0.25">
      <c r="A408" s="707" t="s">
        <v>674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5"/>
      <c r="AB408" s="65"/>
      <c r="AC408" s="79"/>
    </row>
    <row r="409" spans="1:68" ht="14.25" hidden="1" customHeight="1" x14ac:dyDescent="0.25">
      <c r="A409" s="708" t="s">
        <v>84</v>
      </c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708"/>
      <c r="R409" s="708"/>
      <c r="S409" s="708"/>
      <c r="T409" s="708"/>
      <c r="U409" s="708"/>
      <c r="V409" s="708"/>
      <c r="W409" s="708"/>
      <c r="X409" s="708"/>
      <c r="Y409" s="708"/>
      <c r="Z409" s="708"/>
      <c r="AA409" s="66"/>
      <c r="AB409" s="66"/>
      <c r="AC409" s="80"/>
    </row>
    <row r="410" spans="1:68" ht="16.5" hidden="1" customHeight="1" x14ac:dyDescent="0.25">
      <c r="A410" s="63" t="s">
        <v>675</v>
      </c>
      <c r="B410" s="63" t="s">
        <v>676</v>
      </c>
      <c r="C410" s="36">
        <v>4301052235</v>
      </c>
      <c r="D410" s="709">
        <v>4680115889415</v>
      </c>
      <c r="E410" s="709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127</v>
      </c>
      <c r="L410" s="37" t="s">
        <v>46</v>
      </c>
      <c r="M410" s="38" t="s">
        <v>88</v>
      </c>
      <c r="N410" s="38"/>
      <c r="O410" s="37">
        <v>40</v>
      </c>
      <c r="P410" s="9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677</v>
      </c>
      <c r="AG410" s="78"/>
      <c r="AJ410" s="84" t="s">
        <v>46</v>
      </c>
      <c r="AK410" s="84">
        <v>0</v>
      </c>
      <c r="BB410" s="509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hidden="1" customHeight="1" x14ac:dyDescent="0.25">
      <c r="A411" s="63" t="s">
        <v>678</v>
      </c>
      <c r="B411" s="63" t="s">
        <v>679</v>
      </c>
      <c r="C411" s="36">
        <v>4301052236</v>
      </c>
      <c r="D411" s="709">
        <v>4680115889422</v>
      </c>
      <c r="E411" s="709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127</v>
      </c>
      <c r="L411" s="37" t="s">
        <v>46</v>
      </c>
      <c r="M411" s="38" t="s">
        <v>88</v>
      </c>
      <c r="N411" s="38"/>
      <c r="O411" s="37">
        <v>40</v>
      </c>
      <c r="P411" s="9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11"/>
      <c r="R411" s="711"/>
      <c r="S411" s="711"/>
      <c r="T411" s="712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680</v>
      </c>
      <c r="AG411" s="78"/>
      <c r="AJ411" s="84" t="s">
        <v>46</v>
      </c>
      <c r="AK411" s="84">
        <v>0</v>
      </c>
      <c r="BB411" s="511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hidden="1" x14ac:dyDescent="0.2">
      <c r="A413" s="717"/>
      <c r="B413" s="717"/>
      <c r="C413" s="717"/>
      <c r="D413" s="717"/>
      <c r="E413" s="717"/>
      <c r="F413" s="717"/>
      <c r="G413" s="717"/>
      <c r="H413" s="717"/>
      <c r="I413" s="717"/>
      <c r="J413" s="717"/>
      <c r="K413" s="717"/>
      <c r="L413" s="717"/>
      <c r="M413" s="717"/>
      <c r="N413" s="717"/>
      <c r="O413" s="718"/>
      <c r="P413" s="714" t="s">
        <v>40</v>
      </c>
      <c r="Q413" s="715"/>
      <c r="R413" s="715"/>
      <c r="S413" s="715"/>
      <c r="T413" s="715"/>
      <c r="U413" s="715"/>
      <c r="V413" s="716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hidden="1" customHeight="1" x14ac:dyDescent="0.25">
      <c r="A414" s="707" t="s">
        <v>681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5"/>
      <c r="AB414" s="65"/>
      <c r="AC414" s="79"/>
    </row>
    <row r="415" spans="1:68" ht="14.25" hidden="1" customHeight="1" x14ac:dyDescent="0.25">
      <c r="A415" s="708" t="s">
        <v>84</v>
      </c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708"/>
      <c r="R415" s="708"/>
      <c r="S415" s="708"/>
      <c r="T415" s="708"/>
      <c r="U415" s="708"/>
      <c r="V415" s="708"/>
      <c r="W415" s="708"/>
      <c r="X415" s="708"/>
      <c r="Y415" s="708"/>
      <c r="Z415" s="708"/>
      <c r="AA415" s="66"/>
      <c r="AB415" s="66"/>
      <c r="AC415" s="80"/>
    </row>
    <row r="416" spans="1:68" ht="27" hidden="1" customHeight="1" x14ac:dyDescent="0.25">
      <c r="A416" s="63" t="s">
        <v>682</v>
      </c>
      <c r="B416" s="63" t="s">
        <v>683</v>
      </c>
      <c r="C416" s="36">
        <v>4301051489</v>
      </c>
      <c r="D416" s="709">
        <v>4607091387919</v>
      </c>
      <c r="E416" s="709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127</v>
      </c>
      <c r="L416" s="37" t="s">
        <v>46</v>
      </c>
      <c r="M416" s="38" t="s">
        <v>95</v>
      </c>
      <c r="N416" s="38"/>
      <c r="O416" s="37">
        <v>45</v>
      </c>
      <c r="P416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684</v>
      </c>
      <c r="AG416" s="78"/>
      <c r="AJ416" s="84" t="s">
        <v>46</v>
      </c>
      <c r="AK416" s="84">
        <v>0</v>
      </c>
      <c r="BB416" s="513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685</v>
      </c>
      <c r="B417" s="63" t="s">
        <v>686</v>
      </c>
      <c r="C417" s="36">
        <v>4301051461</v>
      </c>
      <c r="D417" s="709">
        <v>4680115883604</v>
      </c>
      <c r="E417" s="709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89</v>
      </c>
      <c r="L417" s="37" t="s">
        <v>46</v>
      </c>
      <c r="M417" s="38" t="s">
        <v>88</v>
      </c>
      <c r="N417" s="38"/>
      <c r="O417" s="37">
        <v>45</v>
      </c>
      <c r="P417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687</v>
      </c>
      <c r="AG417" s="78"/>
      <c r="AJ417" s="84" t="s">
        <v>46</v>
      </c>
      <c r="AK417" s="84">
        <v>0</v>
      </c>
      <c r="BB417" s="515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688</v>
      </c>
      <c r="B418" s="63" t="s">
        <v>689</v>
      </c>
      <c r="C418" s="36">
        <v>4301051864</v>
      </c>
      <c r="D418" s="709">
        <v>4680115883567</v>
      </c>
      <c r="E418" s="709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89</v>
      </c>
      <c r="L418" s="37" t="s">
        <v>46</v>
      </c>
      <c r="M418" s="38" t="s">
        <v>95</v>
      </c>
      <c r="N418" s="38"/>
      <c r="O418" s="37">
        <v>40</v>
      </c>
      <c r="P418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11"/>
      <c r="R418" s="711"/>
      <c r="S418" s="711"/>
      <c r="T418" s="71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690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hidden="1" x14ac:dyDescent="0.2">
      <c r="A420" s="717"/>
      <c r="B420" s="717"/>
      <c r="C420" s="717"/>
      <c r="D420" s="717"/>
      <c r="E420" s="717"/>
      <c r="F420" s="717"/>
      <c r="G420" s="717"/>
      <c r="H420" s="717"/>
      <c r="I420" s="717"/>
      <c r="J420" s="717"/>
      <c r="K420" s="717"/>
      <c r="L420" s="717"/>
      <c r="M420" s="717"/>
      <c r="N420" s="717"/>
      <c r="O420" s="718"/>
      <c r="P420" s="714" t="s">
        <v>40</v>
      </c>
      <c r="Q420" s="715"/>
      <c r="R420" s="715"/>
      <c r="S420" s="715"/>
      <c r="T420" s="715"/>
      <c r="U420" s="715"/>
      <c r="V420" s="716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hidden="1" customHeight="1" x14ac:dyDescent="0.2">
      <c r="A421" s="706" t="s">
        <v>691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54"/>
      <c r="AB421" s="54"/>
      <c r="AC421" s="54"/>
    </row>
    <row r="422" spans="1:68" ht="16.5" hidden="1" customHeight="1" x14ac:dyDescent="0.25">
      <c r="A422" s="707" t="s">
        <v>692</v>
      </c>
      <c r="B422" s="707"/>
      <c r="C422" s="707"/>
      <c r="D422" s="707"/>
      <c r="E422" s="707"/>
      <c r="F422" s="707"/>
      <c r="G422" s="707"/>
      <c r="H422" s="707"/>
      <c r="I422" s="707"/>
      <c r="J422" s="707"/>
      <c r="K422" s="707"/>
      <c r="L422" s="707"/>
      <c r="M422" s="707"/>
      <c r="N422" s="707"/>
      <c r="O422" s="707"/>
      <c r="P422" s="707"/>
      <c r="Q422" s="707"/>
      <c r="R422" s="707"/>
      <c r="S422" s="707"/>
      <c r="T422" s="707"/>
      <c r="U422" s="707"/>
      <c r="V422" s="707"/>
      <c r="W422" s="707"/>
      <c r="X422" s="707"/>
      <c r="Y422" s="707"/>
      <c r="Z422" s="707"/>
      <c r="AA422" s="65"/>
      <c r="AB422" s="65"/>
      <c r="AC422" s="79"/>
    </row>
    <row r="423" spans="1:68" ht="14.25" hidden="1" customHeight="1" x14ac:dyDescent="0.25">
      <c r="A423" s="708" t="s">
        <v>122</v>
      </c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708"/>
      <c r="R423" s="708"/>
      <c r="S423" s="708"/>
      <c r="T423" s="708"/>
      <c r="U423" s="708"/>
      <c r="V423" s="708"/>
      <c r="W423" s="708"/>
      <c r="X423" s="708"/>
      <c r="Y423" s="708"/>
      <c r="Z423" s="708"/>
      <c r="AA423" s="66"/>
      <c r="AB423" s="66"/>
      <c r="AC423" s="80"/>
    </row>
    <row r="424" spans="1:68" ht="27" hidden="1" customHeight="1" x14ac:dyDescent="0.25">
      <c r="A424" s="63" t="s">
        <v>693</v>
      </c>
      <c r="B424" s="63" t="s">
        <v>694</v>
      </c>
      <c r="C424" s="36">
        <v>4301012332</v>
      </c>
      <c r="D424" s="709">
        <v>4680115888401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127</v>
      </c>
      <c r="L424" s="37" t="s">
        <v>46</v>
      </c>
      <c r="M424" s="38" t="s">
        <v>95</v>
      </c>
      <c r="N424" s="38"/>
      <c r="O424" s="37">
        <v>60</v>
      </c>
      <c r="P424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695</v>
      </c>
      <c r="AG424" s="78"/>
      <c r="AJ424" s="84" t="s">
        <v>46</v>
      </c>
      <c r="AK424" s="84">
        <v>0</v>
      </c>
      <c r="BB424" s="519" t="s">
        <v>66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696</v>
      </c>
      <c r="B425" s="63" t="s">
        <v>697</v>
      </c>
      <c r="C425" s="36">
        <v>4301011869</v>
      </c>
      <c r="D425" s="709">
        <v>4680115884847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127</v>
      </c>
      <c r="L425" s="37" t="s">
        <v>46</v>
      </c>
      <c r="M425" s="38" t="s">
        <v>79</v>
      </c>
      <c r="N425" s="38"/>
      <c r="O425" s="37">
        <v>60</v>
      </c>
      <c r="P425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400</v>
      </c>
      <c r="Y425" s="55">
        <f t="shared" si="59"/>
        <v>405</v>
      </c>
      <c r="Z425" s="41">
        <f>IFERROR(IF(Y425=0,"",ROUNDUP(Y425/H425,0)*0.02175),"")</f>
        <v>0.58724999999999994</v>
      </c>
      <c r="AA425" s="68" t="s">
        <v>46</v>
      </c>
      <c r="AB425" s="69" t="s">
        <v>46</v>
      </c>
      <c r="AC425" s="520" t="s">
        <v>698</v>
      </c>
      <c r="AG425" s="78"/>
      <c r="AJ425" s="84" t="s">
        <v>46</v>
      </c>
      <c r="AK425" s="84">
        <v>0</v>
      </c>
      <c r="BB425" s="521" t="s">
        <v>66</v>
      </c>
      <c r="BM425" s="78">
        <f t="shared" si="60"/>
        <v>412.53333333333336</v>
      </c>
      <c r="BN425" s="78">
        <f t="shared" si="61"/>
        <v>417.69</v>
      </c>
      <c r="BO425" s="78">
        <f t="shared" si="62"/>
        <v>0.55555555555555558</v>
      </c>
      <c r="BP425" s="78">
        <f t="shared" si="63"/>
        <v>0.5625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4301012083</v>
      </c>
      <c r="D426" s="709">
        <v>4680115884854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126</v>
      </c>
      <c r="N426" s="38"/>
      <c r="O426" s="37">
        <v>60</v>
      </c>
      <c r="P426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701</v>
      </c>
      <c r="AG426" s="78"/>
      <c r="AJ426" s="84" t="s">
        <v>46</v>
      </c>
      <c r="AK426" s="84">
        <v>0</v>
      </c>
      <c r="BB426" s="523" t="s">
        <v>66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4301011867</v>
      </c>
      <c r="D427" s="709">
        <v>4680115884830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79</v>
      </c>
      <c r="N427" s="38"/>
      <c r="O427" s="37">
        <v>60</v>
      </c>
      <c r="P427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704</v>
      </c>
      <c r="AG427" s="78"/>
      <c r="AJ427" s="84" t="s">
        <v>46</v>
      </c>
      <c r="AK427" s="84">
        <v>0</v>
      </c>
      <c r="BB427" s="525" t="s">
        <v>66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hidden="1" customHeight="1" x14ac:dyDescent="0.25">
      <c r="A428" s="63" t="s">
        <v>705</v>
      </c>
      <c r="B428" s="63" t="s">
        <v>706</v>
      </c>
      <c r="C428" s="36">
        <v>4301012356</v>
      </c>
      <c r="D428" s="709">
        <v>4680115889231</v>
      </c>
      <c r="E428" s="70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95</v>
      </c>
      <c r="N428" s="38"/>
      <c r="O428" s="37">
        <v>60</v>
      </c>
      <c r="P428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707</v>
      </c>
      <c r="AG428" s="78"/>
      <c r="AJ428" s="84" t="s">
        <v>46</v>
      </c>
      <c r="AK428" s="84">
        <v>0</v>
      </c>
      <c r="BB428" s="527" t="s">
        <v>66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hidden="1" customHeight="1" x14ac:dyDescent="0.25">
      <c r="A429" s="63" t="s">
        <v>708</v>
      </c>
      <c r="B429" s="63" t="s">
        <v>709</v>
      </c>
      <c r="C429" s="36">
        <v>4301011433</v>
      </c>
      <c r="D429" s="709">
        <v>4680115882638</v>
      </c>
      <c r="E429" s="709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134</v>
      </c>
      <c r="L429" s="37" t="s">
        <v>46</v>
      </c>
      <c r="M429" s="38" t="s">
        <v>126</v>
      </c>
      <c r="N429" s="38"/>
      <c r="O429" s="37">
        <v>90</v>
      </c>
      <c r="P429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710</v>
      </c>
      <c r="AG429" s="78"/>
      <c r="AJ429" s="84" t="s">
        <v>46</v>
      </c>
      <c r="AK429" s="84">
        <v>0</v>
      </c>
      <c r="BB429" s="529" t="s">
        <v>66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hidden="1" customHeight="1" x14ac:dyDescent="0.25">
      <c r="A430" s="63" t="s">
        <v>711</v>
      </c>
      <c r="B430" s="63" t="s">
        <v>712</v>
      </c>
      <c r="C430" s="36">
        <v>4301011952</v>
      </c>
      <c r="D430" s="709">
        <v>4680115884922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134</v>
      </c>
      <c r="L430" s="37" t="s">
        <v>46</v>
      </c>
      <c r="M430" s="38" t="s">
        <v>79</v>
      </c>
      <c r="N430" s="38"/>
      <c r="O430" s="37">
        <v>60</v>
      </c>
      <c r="P430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713</v>
      </c>
      <c r="AG430" s="78"/>
      <c r="AJ430" s="84" t="s">
        <v>46</v>
      </c>
      <c r="AK430" s="84">
        <v>0</v>
      </c>
      <c r="BB430" s="531" t="s">
        <v>66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hidden="1" customHeight="1" x14ac:dyDescent="0.25">
      <c r="A431" s="63" t="s">
        <v>714</v>
      </c>
      <c r="B431" s="63" t="s">
        <v>715</v>
      </c>
      <c r="C431" s="36">
        <v>4301011868</v>
      </c>
      <c r="D431" s="709">
        <v>4680115884861</v>
      </c>
      <c r="E431" s="709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134</v>
      </c>
      <c r="L431" s="37" t="s">
        <v>46</v>
      </c>
      <c r="M431" s="38" t="s">
        <v>79</v>
      </c>
      <c r="N431" s="38"/>
      <c r="O431" s="37">
        <v>60</v>
      </c>
      <c r="P431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11"/>
      <c r="R431" s="711"/>
      <c r="S431" s="711"/>
      <c r="T431" s="71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716</v>
      </c>
      <c r="AG431" s="78"/>
      <c r="AJ431" s="84" t="s">
        <v>46</v>
      </c>
      <c r="AK431" s="84">
        <v>0</v>
      </c>
      <c r="BB431" s="533" t="s">
        <v>66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26.666666666666668</v>
      </c>
      <c r="Y432" s="43">
        <f>IFERROR(Y424/H424,"0")+IFERROR(Y425/H425,"0")+IFERROR(Y426/H426,"0")+IFERROR(Y427/H427,"0")+IFERROR(Y428/H428,"0")+IFERROR(Y429/H429,"0")+IFERROR(Y430/H430,"0")+IFERROR(Y431/H431,"0")</f>
        <v>27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0.58724999999999994</v>
      </c>
      <c r="AA432" s="67"/>
      <c r="AB432" s="67"/>
      <c r="AC432" s="67"/>
    </row>
    <row r="433" spans="1:68" x14ac:dyDescent="0.2">
      <c r="A433" s="717"/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8"/>
      <c r="P433" s="714" t="s">
        <v>40</v>
      </c>
      <c r="Q433" s="715"/>
      <c r="R433" s="715"/>
      <c r="S433" s="715"/>
      <c r="T433" s="715"/>
      <c r="U433" s="715"/>
      <c r="V433" s="716"/>
      <c r="W433" s="42" t="s">
        <v>0</v>
      </c>
      <c r="X433" s="43">
        <f>IFERROR(SUM(X424:X431),"0")</f>
        <v>400</v>
      </c>
      <c r="Y433" s="43">
        <f>IFERROR(SUM(Y424:Y431),"0")</f>
        <v>405</v>
      </c>
      <c r="Z433" s="42"/>
      <c r="AA433" s="67"/>
      <c r="AB433" s="67"/>
      <c r="AC433" s="67"/>
    </row>
    <row r="434" spans="1:68" ht="14.25" hidden="1" customHeight="1" x14ac:dyDescent="0.25">
      <c r="A434" s="708" t="s">
        <v>155</v>
      </c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708"/>
      <c r="R434" s="708"/>
      <c r="S434" s="708"/>
      <c r="T434" s="708"/>
      <c r="U434" s="708"/>
      <c r="V434" s="708"/>
      <c r="W434" s="708"/>
      <c r="X434" s="708"/>
      <c r="Y434" s="708"/>
      <c r="Z434" s="708"/>
      <c r="AA434" s="66"/>
      <c r="AB434" s="66"/>
      <c r="AC434" s="80"/>
    </row>
    <row r="435" spans="1:68" ht="27" hidden="1" customHeight="1" x14ac:dyDescent="0.25">
      <c r="A435" s="63" t="s">
        <v>717</v>
      </c>
      <c r="B435" s="63" t="s">
        <v>718</v>
      </c>
      <c r="C435" s="36">
        <v>4301020178</v>
      </c>
      <c r="D435" s="709">
        <v>4607091383980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50</v>
      </c>
      <c r="P435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719</v>
      </c>
      <c r="AG435" s="78"/>
      <c r="AJ435" s="84" t="s">
        <v>46</v>
      </c>
      <c r="AK435" s="84">
        <v>0</v>
      </c>
      <c r="BB435" s="535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4301020355</v>
      </c>
      <c r="D436" s="709">
        <v>4680115888425</v>
      </c>
      <c r="E436" s="70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126</v>
      </c>
      <c r="N436" s="38"/>
      <c r="O436" s="37">
        <v>50</v>
      </c>
      <c r="P436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722</v>
      </c>
      <c r="AG436" s="78"/>
      <c r="AJ436" s="84" t="s">
        <v>46</v>
      </c>
      <c r="AK436" s="84">
        <v>0</v>
      </c>
      <c r="BB436" s="537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4301020179</v>
      </c>
      <c r="D437" s="709">
        <v>4607091384178</v>
      </c>
      <c r="E437" s="709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50</v>
      </c>
      <c r="P437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11"/>
      <c r="R437" s="711"/>
      <c r="S437" s="711"/>
      <c r="T437" s="71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725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hidden="1" x14ac:dyDescent="0.2">
      <c r="A439" s="717"/>
      <c r="B439" s="717"/>
      <c r="C439" s="717"/>
      <c r="D439" s="717"/>
      <c r="E439" s="717"/>
      <c r="F439" s="717"/>
      <c r="G439" s="717"/>
      <c r="H439" s="717"/>
      <c r="I439" s="717"/>
      <c r="J439" s="717"/>
      <c r="K439" s="717"/>
      <c r="L439" s="717"/>
      <c r="M439" s="717"/>
      <c r="N439" s="717"/>
      <c r="O439" s="718"/>
      <c r="P439" s="714" t="s">
        <v>40</v>
      </c>
      <c r="Q439" s="715"/>
      <c r="R439" s="715"/>
      <c r="S439" s="715"/>
      <c r="T439" s="715"/>
      <c r="U439" s="715"/>
      <c r="V439" s="716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hidden="1" customHeight="1" x14ac:dyDescent="0.25">
      <c r="A440" s="708" t="s">
        <v>84</v>
      </c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708"/>
      <c r="R440" s="708"/>
      <c r="S440" s="708"/>
      <c r="T440" s="708"/>
      <c r="U440" s="708"/>
      <c r="V440" s="708"/>
      <c r="W440" s="708"/>
      <c r="X440" s="708"/>
      <c r="Y440" s="708"/>
      <c r="Z440" s="708"/>
      <c r="AA440" s="66"/>
      <c r="AB440" s="66"/>
      <c r="AC440" s="80"/>
    </row>
    <row r="441" spans="1:68" ht="27" hidden="1" customHeight="1" x14ac:dyDescent="0.25">
      <c r="A441" s="63" t="s">
        <v>726</v>
      </c>
      <c r="B441" s="63" t="s">
        <v>727</v>
      </c>
      <c r="C441" s="36">
        <v>4301051903</v>
      </c>
      <c r="D441" s="709">
        <v>4607091383928</v>
      </c>
      <c r="E441" s="709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127</v>
      </c>
      <c r="L441" s="37" t="s">
        <v>46</v>
      </c>
      <c r="M441" s="38" t="s">
        <v>88</v>
      </c>
      <c r="N441" s="38"/>
      <c r="O441" s="37">
        <v>40</v>
      </c>
      <c r="P441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728</v>
      </c>
      <c r="AG441" s="78"/>
      <c r="AJ441" s="84" t="s">
        <v>46</v>
      </c>
      <c r="AK441" s="84">
        <v>0</v>
      </c>
      <c r="BB441" s="541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4301051897</v>
      </c>
      <c r="D442" s="709">
        <v>4607091384260</v>
      </c>
      <c r="E442" s="709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127</v>
      </c>
      <c r="L442" s="37" t="s">
        <v>46</v>
      </c>
      <c r="M442" s="38" t="s">
        <v>88</v>
      </c>
      <c r="N442" s="38"/>
      <c r="O442" s="37">
        <v>40</v>
      </c>
      <c r="P442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731</v>
      </c>
      <c r="AG442" s="78"/>
      <c r="AJ442" s="84" t="s">
        <v>46</v>
      </c>
      <c r="AK442" s="84">
        <v>0</v>
      </c>
      <c r="BB442" s="543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4301052220</v>
      </c>
      <c r="D443" s="709">
        <v>4680115889538</v>
      </c>
      <c r="E443" s="709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127</v>
      </c>
      <c r="L443" s="37" t="s">
        <v>46</v>
      </c>
      <c r="M443" s="38" t="s">
        <v>88</v>
      </c>
      <c r="N443" s="38"/>
      <c r="O443" s="37">
        <v>45</v>
      </c>
      <c r="P443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11"/>
      <c r="R443" s="711"/>
      <c r="S443" s="711"/>
      <c r="T443" s="71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734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17"/>
      <c r="B445" s="717"/>
      <c r="C445" s="717"/>
      <c r="D445" s="717"/>
      <c r="E445" s="717"/>
      <c r="F445" s="717"/>
      <c r="G445" s="717"/>
      <c r="H445" s="717"/>
      <c r="I445" s="717"/>
      <c r="J445" s="717"/>
      <c r="K445" s="717"/>
      <c r="L445" s="717"/>
      <c r="M445" s="717"/>
      <c r="N445" s="717"/>
      <c r="O445" s="718"/>
      <c r="P445" s="714" t="s">
        <v>40</v>
      </c>
      <c r="Q445" s="715"/>
      <c r="R445" s="715"/>
      <c r="S445" s="715"/>
      <c r="T445" s="715"/>
      <c r="U445" s="715"/>
      <c r="V445" s="716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08" t="s">
        <v>172</v>
      </c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708"/>
      <c r="R446" s="708"/>
      <c r="S446" s="708"/>
      <c r="T446" s="708"/>
      <c r="U446" s="708"/>
      <c r="V446" s="708"/>
      <c r="W446" s="708"/>
      <c r="X446" s="708"/>
      <c r="Y446" s="708"/>
      <c r="Z446" s="708"/>
      <c r="AA446" s="66"/>
      <c r="AB446" s="66"/>
      <c r="AC446" s="80"/>
    </row>
    <row r="447" spans="1:68" ht="27" hidden="1" customHeight="1" x14ac:dyDescent="0.25">
      <c r="A447" s="63" t="s">
        <v>735</v>
      </c>
      <c r="B447" s="63" t="s">
        <v>736</v>
      </c>
      <c r="C447" s="36">
        <v>4301060537</v>
      </c>
      <c r="D447" s="709">
        <v>4680115889545</v>
      </c>
      <c r="E447" s="709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127</v>
      </c>
      <c r="L447" s="37" t="s">
        <v>46</v>
      </c>
      <c r="M447" s="38" t="s">
        <v>88</v>
      </c>
      <c r="N447" s="38"/>
      <c r="O447" s="37">
        <v>30</v>
      </c>
      <c r="P447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737</v>
      </c>
      <c r="AG447" s="78"/>
      <c r="AJ447" s="84" t="s">
        <v>46</v>
      </c>
      <c r="AK447" s="84">
        <v>0</v>
      </c>
      <c r="BB447" s="547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hidden="1" customHeight="1" x14ac:dyDescent="0.25">
      <c r="A448" s="63" t="s">
        <v>738</v>
      </c>
      <c r="B448" s="63" t="s">
        <v>739</v>
      </c>
      <c r="C448" s="36">
        <v>4301060524</v>
      </c>
      <c r="D448" s="709">
        <v>4607091384673</v>
      </c>
      <c r="E448" s="709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127</v>
      </c>
      <c r="L448" s="37" t="s">
        <v>46</v>
      </c>
      <c r="M448" s="38" t="s">
        <v>88</v>
      </c>
      <c r="N448" s="38"/>
      <c r="O448" s="37">
        <v>40</v>
      </c>
      <c r="P448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11"/>
      <c r="R448" s="711"/>
      <c r="S448" s="711"/>
      <c r="T448" s="71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740</v>
      </c>
      <c r="AG448" s="78"/>
      <c r="AJ448" s="84" t="s">
        <v>46</v>
      </c>
      <c r="AK448" s="84">
        <v>0</v>
      </c>
      <c r="BB448" s="549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hidden="1" x14ac:dyDescent="0.2">
      <c r="A450" s="717"/>
      <c r="B450" s="717"/>
      <c r="C450" s="717"/>
      <c r="D450" s="717"/>
      <c r="E450" s="717"/>
      <c r="F450" s="717"/>
      <c r="G450" s="717"/>
      <c r="H450" s="717"/>
      <c r="I450" s="717"/>
      <c r="J450" s="717"/>
      <c r="K450" s="717"/>
      <c r="L450" s="717"/>
      <c r="M450" s="717"/>
      <c r="N450" s="717"/>
      <c r="O450" s="718"/>
      <c r="P450" s="714" t="s">
        <v>40</v>
      </c>
      <c r="Q450" s="715"/>
      <c r="R450" s="715"/>
      <c r="S450" s="715"/>
      <c r="T450" s="715"/>
      <c r="U450" s="715"/>
      <c r="V450" s="716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hidden="1" customHeight="1" x14ac:dyDescent="0.25">
      <c r="A451" s="707" t="s">
        <v>741</v>
      </c>
      <c r="B451" s="707"/>
      <c r="C451" s="707"/>
      <c r="D451" s="707"/>
      <c r="E451" s="707"/>
      <c r="F451" s="707"/>
      <c r="G451" s="707"/>
      <c r="H451" s="707"/>
      <c r="I451" s="707"/>
      <c r="J451" s="707"/>
      <c r="K451" s="707"/>
      <c r="L451" s="707"/>
      <c r="M451" s="707"/>
      <c r="N451" s="707"/>
      <c r="O451" s="707"/>
      <c r="P451" s="707"/>
      <c r="Q451" s="707"/>
      <c r="R451" s="707"/>
      <c r="S451" s="707"/>
      <c r="T451" s="707"/>
      <c r="U451" s="707"/>
      <c r="V451" s="707"/>
      <c r="W451" s="707"/>
      <c r="X451" s="707"/>
      <c r="Y451" s="707"/>
      <c r="Z451" s="707"/>
      <c r="AA451" s="65"/>
      <c r="AB451" s="65"/>
      <c r="AC451" s="79"/>
    </row>
    <row r="452" spans="1:68" ht="14.25" hidden="1" customHeight="1" x14ac:dyDescent="0.25">
      <c r="A452" s="708" t="s">
        <v>122</v>
      </c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708"/>
      <c r="R452" s="708"/>
      <c r="S452" s="708"/>
      <c r="T452" s="708"/>
      <c r="U452" s="708"/>
      <c r="V452" s="708"/>
      <c r="W452" s="708"/>
      <c r="X452" s="708"/>
      <c r="Y452" s="708"/>
      <c r="Z452" s="708"/>
      <c r="AA452" s="66"/>
      <c r="AB452" s="66"/>
      <c r="AC452" s="80"/>
    </row>
    <row r="453" spans="1:68" ht="27" hidden="1" customHeight="1" x14ac:dyDescent="0.25">
      <c r="A453" s="63" t="s">
        <v>742</v>
      </c>
      <c r="B453" s="63" t="s">
        <v>743</v>
      </c>
      <c r="C453" s="36">
        <v>4301011875</v>
      </c>
      <c r="D453" s="709">
        <v>4680115884885</v>
      </c>
      <c r="E453" s="709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127</v>
      </c>
      <c r="L453" s="37" t="s">
        <v>46</v>
      </c>
      <c r="M453" s="38" t="s">
        <v>79</v>
      </c>
      <c r="N453" s="38"/>
      <c r="O453" s="37">
        <v>60</v>
      </c>
      <c r="P453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744</v>
      </c>
      <c r="AG453" s="78"/>
      <c r="AJ453" s="84" t="s">
        <v>46</v>
      </c>
      <c r="AK453" s="84">
        <v>0</v>
      </c>
      <c r="BB453" s="551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hidden="1" customHeight="1" x14ac:dyDescent="0.25">
      <c r="A454" s="63" t="s">
        <v>745</v>
      </c>
      <c r="B454" s="63" t="s">
        <v>746</v>
      </c>
      <c r="C454" s="36">
        <v>4301011871</v>
      </c>
      <c r="D454" s="709">
        <v>4680115884908</v>
      </c>
      <c r="E454" s="709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134</v>
      </c>
      <c r="L454" s="37" t="s">
        <v>46</v>
      </c>
      <c r="M454" s="38" t="s">
        <v>79</v>
      </c>
      <c r="N454" s="38"/>
      <c r="O454" s="37">
        <v>60</v>
      </c>
      <c r="P454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11"/>
      <c r="R454" s="711"/>
      <c r="S454" s="711"/>
      <c r="T454" s="71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744</v>
      </c>
      <c r="AG454" s="78"/>
      <c r="AJ454" s="84" t="s">
        <v>46</v>
      </c>
      <c r="AK454" s="84">
        <v>0</v>
      </c>
      <c r="BB454" s="553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hidden="1" x14ac:dyDescent="0.2">
      <c r="A456" s="717"/>
      <c r="B456" s="717"/>
      <c r="C456" s="717"/>
      <c r="D456" s="717"/>
      <c r="E456" s="717"/>
      <c r="F456" s="717"/>
      <c r="G456" s="717"/>
      <c r="H456" s="717"/>
      <c r="I456" s="717"/>
      <c r="J456" s="717"/>
      <c r="K456" s="717"/>
      <c r="L456" s="717"/>
      <c r="M456" s="717"/>
      <c r="N456" s="717"/>
      <c r="O456" s="718"/>
      <c r="P456" s="714" t="s">
        <v>40</v>
      </c>
      <c r="Q456" s="715"/>
      <c r="R456" s="715"/>
      <c r="S456" s="715"/>
      <c r="T456" s="715"/>
      <c r="U456" s="715"/>
      <c r="V456" s="716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708" t="s">
        <v>75</v>
      </c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708"/>
      <c r="R457" s="708"/>
      <c r="S457" s="708"/>
      <c r="T457" s="708"/>
      <c r="U457" s="708"/>
      <c r="V457" s="708"/>
      <c r="W457" s="708"/>
      <c r="X457" s="708"/>
      <c r="Y457" s="708"/>
      <c r="Z457" s="708"/>
      <c r="AA457" s="66"/>
      <c r="AB457" s="66"/>
      <c r="AC457" s="80"/>
    </row>
    <row r="458" spans="1:68" ht="27" hidden="1" customHeight="1" x14ac:dyDescent="0.25">
      <c r="A458" s="63" t="s">
        <v>747</v>
      </c>
      <c r="B458" s="63" t="s">
        <v>748</v>
      </c>
      <c r="C458" s="36">
        <v>4301031457</v>
      </c>
      <c r="D458" s="709">
        <v>4607091384802</v>
      </c>
      <c r="E458" s="709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134</v>
      </c>
      <c r="L458" s="37" t="s">
        <v>46</v>
      </c>
      <c r="M458" s="38" t="s">
        <v>79</v>
      </c>
      <c r="N458" s="38"/>
      <c r="O458" s="37">
        <v>50</v>
      </c>
      <c r="P458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11"/>
      <c r="R458" s="711"/>
      <c r="S458" s="711"/>
      <c r="T458" s="71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749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717"/>
      <c r="B460" s="717"/>
      <c r="C460" s="717"/>
      <c r="D460" s="717"/>
      <c r="E460" s="717"/>
      <c r="F460" s="717"/>
      <c r="G460" s="717"/>
      <c r="H460" s="717"/>
      <c r="I460" s="717"/>
      <c r="J460" s="717"/>
      <c r="K460" s="717"/>
      <c r="L460" s="717"/>
      <c r="M460" s="717"/>
      <c r="N460" s="717"/>
      <c r="O460" s="718"/>
      <c r="P460" s="714" t="s">
        <v>40</v>
      </c>
      <c r="Q460" s="715"/>
      <c r="R460" s="715"/>
      <c r="S460" s="715"/>
      <c r="T460" s="715"/>
      <c r="U460" s="715"/>
      <c r="V460" s="71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08" t="s">
        <v>84</v>
      </c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708"/>
      <c r="R461" s="708"/>
      <c r="S461" s="708"/>
      <c r="T461" s="708"/>
      <c r="U461" s="708"/>
      <c r="V461" s="708"/>
      <c r="W461" s="708"/>
      <c r="X461" s="708"/>
      <c r="Y461" s="708"/>
      <c r="Z461" s="708"/>
      <c r="AA461" s="66"/>
      <c r="AB461" s="66"/>
      <c r="AC461" s="80"/>
    </row>
    <row r="462" spans="1:68" ht="27" hidden="1" customHeight="1" x14ac:dyDescent="0.25">
      <c r="A462" s="63" t="s">
        <v>750</v>
      </c>
      <c r="B462" s="63" t="s">
        <v>751</v>
      </c>
      <c r="C462" s="36">
        <v>4301051899</v>
      </c>
      <c r="D462" s="709">
        <v>4607091384246</v>
      </c>
      <c r="E462" s="709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127</v>
      </c>
      <c r="L462" s="37" t="s">
        <v>46</v>
      </c>
      <c r="M462" s="38" t="s">
        <v>88</v>
      </c>
      <c r="N462" s="38"/>
      <c r="O462" s="37">
        <v>40</v>
      </c>
      <c r="P462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752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753</v>
      </c>
      <c r="B463" s="63" t="s">
        <v>754</v>
      </c>
      <c r="C463" s="36">
        <v>4301051660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89</v>
      </c>
      <c r="L463" s="37" t="s">
        <v>46</v>
      </c>
      <c r="M463" s="38" t="s">
        <v>88</v>
      </c>
      <c r="N463" s="38"/>
      <c r="O463" s="37">
        <v>40</v>
      </c>
      <c r="P463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752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753</v>
      </c>
      <c r="B464" s="63" t="s">
        <v>755</v>
      </c>
      <c r="C464" s="36">
        <v>4301052069</v>
      </c>
      <c r="D464" s="709">
        <v>4607091384253</v>
      </c>
      <c r="E464" s="709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89</v>
      </c>
      <c r="L464" s="37" t="s">
        <v>46</v>
      </c>
      <c r="M464" s="38" t="s">
        <v>88</v>
      </c>
      <c r="N464" s="38"/>
      <c r="O464" s="37">
        <v>40</v>
      </c>
      <c r="P464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11"/>
      <c r="R464" s="711"/>
      <c r="S464" s="711"/>
      <c r="T464" s="71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17"/>
      <c r="B466" s="717"/>
      <c r="C466" s="717"/>
      <c r="D466" s="717"/>
      <c r="E466" s="717"/>
      <c r="F466" s="717"/>
      <c r="G466" s="717"/>
      <c r="H466" s="717"/>
      <c r="I466" s="717"/>
      <c r="J466" s="717"/>
      <c r="K466" s="717"/>
      <c r="L466" s="717"/>
      <c r="M466" s="717"/>
      <c r="N466" s="717"/>
      <c r="O466" s="718"/>
      <c r="P466" s="714" t="s">
        <v>40</v>
      </c>
      <c r="Q466" s="715"/>
      <c r="R466" s="715"/>
      <c r="S466" s="715"/>
      <c r="T466" s="715"/>
      <c r="U466" s="715"/>
      <c r="V466" s="716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hidden="1" customHeight="1" x14ac:dyDescent="0.2">
      <c r="A467" s="706" t="s">
        <v>757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54"/>
      <c r="AB467" s="54"/>
      <c r="AC467" s="54"/>
    </row>
    <row r="468" spans="1:68" ht="16.5" hidden="1" customHeight="1" x14ac:dyDescent="0.25">
      <c r="A468" s="707" t="s">
        <v>758</v>
      </c>
      <c r="B468" s="707"/>
      <c r="C468" s="707"/>
      <c r="D468" s="707"/>
      <c r="E468" s="707"/>
      <c r="F468" s="707"/>
      <c r="G468" s="707"/>
      <c r="H468" s="707"/>
      <c r="I468" s="707"/>
      <c r="J468" s="707"/>
      <c r="K468" s="707"/>
      <c r="L468" s="707"/>
      <c r="M468" s="707"/>
      <c r="N468" s="707"/>
      <c r="O468" s="707"/>
      <c r="P468" s="707"/>
      <c r="Q468" s="707"/>
      <c r="R468" s="707"/>
      <c r="S468" s="707"/>
      <c r="T468" s="707"/>
      <c r="U468" s="707"/>
      <c r="V468" s="707"/>
      <c r="W468" s="707"/>
      <c r="X468" s="707"/>
      <c r="Y468" s="707"/>
      <c r="Z468" s="707"/>
      <c r="AA468" s="65"/>
      <c r="AB468" s="65"/>
      <c r="AC468" s="79"/>
    </row>
    <row r="469" spans="1:68" ht="14.25" hidden="1" customHeight="1" x14ac:dyDescent="0.25">
      <c r="A469" s="708" t="s">
        <v>75</v>
      </c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708"/>
      <c r="R469" s="708"/>
      <c r="S469" s="708"/>
      <c r="T469" s="708"/>
      <c r="U469" s="708"/>
      <c r="V469" s="708"/>
      <c r="W469" s="708"/>
      <c r="X469" s="708"/>
      <c r="Y469" s="708"/>
      <c r="Z469" s="708"/>
      <c r="AA469" s="66"/>
      <c r="AB469" s="66"/>
      <c r="AC469" s="80"/>
    </row>
    <row r="470" spans="1:68" ht="27" hidden="1" customHeight="1" x14ac:dyDescent="0.25">
      <c r="A470" s="63" t="s">
        <v>759</v>
      </c>
      <c r="B470" s="63" t="s">
        <v>760</v>
      </c>
      <c r="C470" s="36">
        <v>4301031405</v>
      </c>
      <c r="D470" s="709">
        <v>4680115886100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134</v>
      </c>
      <c r="L470" s="37" t="s">
        <v>46</v>
      </c>
      <c r="M470" s="38" t="s">
        <v>79</v>
      </c>
      <c r="N470" s="38"/>
      <c r="O470" s="37">
        <v>50</v>
      </c>
      <c r="P470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761</v>
      </c>
      <c r="AG470" s="78"/>
      <c r="AJ470" s="84" t="s">
        <v>46</v>
      </c>
      <c r="AK470" s="84">
        <v>0</v>
      </c>
      <c r="BB470" s="563" t="s">
        <v>66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hidden="1" customHeight="1" x14ac:dyDescent="0.25">
      <c r="A471" s="63" t="s">
        <v>762</v>
      </c>
      <c r="B471" s="63" t="s">
        <v>763</v>
      </c>
      <c r="C471" s="36">
        <v>4301031402</v>
      </c>
      <c r="D471" s="709">
        <v>4680115886124</v>
      </c>
      <c r="E471" s="709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134</v>
      </c>
      <c r="L471" s="37" t="s">
        <v>46</v>
      </c>
      <c r="M471" s="38" t="s">
        <v>79</v>
      </c>
      <c r="N471" s="38"/>
      <c r="O471" s="37">
        <v>50</v>
      </c>
      <c r="P471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764</v>
      </c>
      <c r="AG471" s="78"/>
      <c r="AJ471" s="84" t="s">
        <v>46</v>
      </c>
      <c r="AK471" s="84">
        <v>0</v>
      </c>
      <c r="BB471" s="565" t="s">
        <v>66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hidden="1" customHeight="1" x14ac:dyDescent="0.25">
      <c r="A472" s="63" t="s">
        <v>765</v>
      </c>
      <c r="B472" s="63" t="s">
        <v>766</v>
      </c>
      <c r="C472" s="36">
        <v>4301031362</v>
      </c>
      <c r="D472" s="709">
        <v>4607091384338</v>
      </c>
      <c r="E472" s="70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80</v>
      </c>
      <c r="L472" s="37" t="s">
        <v>46</v>
      </c>
      <c r="M472" s="38" t="s">
        <v>79</v>
      </c>
      <c r="N472" s="38"/>
      <c r="O472" s="37">
        <v>50</v>
      </c>
      <c r="P472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761</v>
      </c>
      <c r="AG472" s="78"/>
      <c r="AJ472" s="84" t="s">
        <v>46</v>
      </c>
      <c r="AK472" s="84">
        <v>0</v>
      </c>
      <c r="BB472" s="567" t="s">
        <v>66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hidden="1" customHeight="1" x14ac:dyDescent="0.25">
      <c r="A473" s="63" t="s">
        <v>767</v>
      </c>
      <c r="B473" s="63" t="s">
        <v>768</v>
      </c>
      <c r="C473" s="36">
        <v>4301031364</v>
      </c>
      <c r="D473" s="709">
        <v>4680115883161</v>
      </c>
      <c r="E473" s="709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80</v>
      </c>
      <c r="L473" s="37" t="s">
        <v>46</v>
      </c>
      <c r="M473" s="38" t="s">
        <v>79</v>
      </c>
      <c r="N473" s="38"/>
      <c r="O473" s="37">
        <v>50</v>
      </c>
      <c r="P473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769</v>
      </c>
      <c r="AG473" s="78"/>
      <c r="AJ473" s="84" t="s">
        <v>46</v>
      </c>
      <c r="AK473" s="84">
        <v>0</v>
      </c>
      <c r="BB473" s="569" t="s">
        <v>66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hidden="1" customHeight="1" x14ac:dyDescent="0.25">
      <c r="A474" s="63" t="s">
        <v>770</v>
      </c>
      <c r="B474" s="63" t="s">
        <v>771</v>
      </c>
      <c r="C474" s="36">
        <v>4301031358</v>
      </c>
      <c r="D474" s="709">
        <v>4607091389531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80</v>
      </c>
      <c r="L474" s="37" t="s">
        <v>46</v>
      </c>
      <c r="M474" s="38" t="s">
        <v>79</v>
      </c>
      <c r="N474" s="38"/>
      <c r="O474" s="37">
        <v>50</v>
      </c>
      <c r="P474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772</v>
      </c>
      <c r="AG474" s="78"/>
      <c r="AJ474" s="84" t="s">
        <v>46</v>
      </c>
      <c r="AK474" s="84">
        <v>0</v>
      </c>
      <c r="BB474" s="571" t="s">
        <v>66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hidden="1" customHeight="1" x14ac:dyDescent="0.25">
      <c r="A475" s="63" t="s">
        <v>773</v>
      </c>
      <c r="B475" s="63" t="s">
        <v>774</v>
      </c>
      <c r="C475" s="36">
        <v>4301031360</v>
      </c>
      <c r="D475" s="709">
        <v>4607091384345</v>
      </c>
      <c r="E475" s="709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80</v>
      </c>
      <c r="L475" s="37" t="s">
        <v>46</v>
      </c>
      <c r="M475" s="38" t="s">
        <v>79</v>
      </c>
      <c r="N475" s="38"/>
      <c r="O475" s="37">
        <v>50</v>
      </c>
      <c r="P475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11"/>
      <c r="R475" s="711"/>
      <c r="S475" s="711"/>
      <c r="T475" s="71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769</v>
      </c>
      <c r="AG475" s="78"/>
      <c r="AJ475" s="84" t="s">
        <v>46</v>
      </c>
      <c r="AK475" s="84">
        <v>0</v>
      </c>
      <c r="BB475" s="573" t="s">
        <v>66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717"/>
      <c r="B477" s="717"/>
      <c r="C477" s="717"/>
      <c r="D477" s="717"/>
      <c r="E477" s="717"/>
      <c r="F477" s="717"/>
      <c r="G477" s="717"/>
      <c r="H477" s="717"/>
      <c r="I477" s="717"/>
      <c r="J477" s="717"/>
      <c r="K477" s="717"/>
      <c r="L477" s="717"/>
      <c r="M477" s="717"/>
      <c r="N477" s="717"/>
      <c r="O477" s="718"/>
      <c r="P477" s="714" t="s">
        <v>40</v>
      </c>
      <c r="Q477" s="715"/>
      <c r="R477" s="715"/>
      <c r="S477" s="715"/>
      <c r="T477" s="715"/>
      <c r="U477" s="715"/>
      <c r="V477" s="716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708" t="s">
        <v>84</v>
      </c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708"/>
      <c r="R478" s="708"/>
      <c r="S478" s="708"/>
      <c r="T478" s="708"/>
      <c r="U478" s="708"/>
      <c r="V478" s="708"/>
      <c r="W478" s="708"/>
      <c r="X478" s="708"/>
      <c r="Y478" s="708"/>
      <c r="Z478" s="708"/>
      <c r="AA478" s="66"/>
      <c r="AB478" s="66"/>
      <c r="AC478" s="80"/>
    </row>
    <row r="479" spans="1:68" ht="27" hidden="1" customHeight="1" x14ac:dyDescent="0.25">
      <c r="A479" s="63" t="s">
        <v>775</v>
      </c>
      <c r="B479" s="63" t="s">
        <v>776</v>
      </c>
      <c r="C479" s="36">
        <v>4301051284</v>
      </c>
      <c r="D479" s="709">
        <v>4607091384352</v>
      </c>
      <c r="E479" s="709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134</v>
      </c>
      <c r="L479" s="37" t="s">
        <v>46</v>
      </c>
      <c r="M479" s="38" t="s">
        <v>88</v>
      </c>
      <c r="N479" s="38"/>
      <c r="O479" s="37">
        <v>45</v>
      </c>
      <c r="P479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777</v>
      </c>
      <c r="AG479" s="78"/>
      <c r="AJ479" s="84" t="s">
        <v>46</v>
      </c>
      <c r="AK479" s="84">
        <v>0</v>
      </c>
      <c r="BB479" s="575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778</v>
      </c>
      <c r="B480" s="63" t="s">
        <v>779</v>
      </c>
      <c r="C480" s="36">
        <v>4301051431</v>
      </c>
      <c r="D480" s="709">
        <v>4607091389654</v>
      </c>
      <c r="E480" s="709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89</v>
      </c>
      <c r="L480" s="37" t="s">
        <v>46</v>
      </c>
      <c r="M480" s="38" t="s">
        <v>88</v>
      </c>
      <c r="N480" s="38"/>
      <c r="O480" s="37">
        <v>45</v>
      </c>
      <c r="P480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11"/>
      <c r="R480" s="711"/>
      <c r="S480" s="711"/>
      <c r="T480" s="71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780</v>
      </c>
      <c r="AG480" s="78"/>
      <c r="AJ480" s="84" t="s">
        <v>46</v>
      </c>
      <c r="AK480" s="84">
        <v>0</v>
      </c>
      <c r="BB480" s="577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717"/>
      <c r="B482" s="717"/>
      <c r="C482" s="717"/>
      <c r="D482" s="717"/>
      <c r="E482" s="717"/>
      <c r="F482" s="717"/>
      <c r="G482" s="717"/>
      <c r="H482" s="717"/>
      <c r="I482" s="717"/>
      <c r="J482" s="717"/>
      <c r="K482" s="717"/>
      <c r="L482" s="717"/>
      <c r="M482" s="717"/>
      <c r="N482" s="717"/>
      <c r="O482" s="718"/>
      <c r="P482" s="714" t="s">
        <v>40</v>
      </c>
      <c r="Q482" s="715"/>
      <c r="R482" s="715"/>
      <c r="S482" s="715"/>
      <c r="T482" s="715"/>
      <c r="U482" s="715"/>
      <c r="V482" s="71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707" t="s">
        <v>781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5"/>
      <c r="AB483" s="65"/>
      <c r="AC483" s="79"/>
    </row>
    <row r="484" spans="1:68" ht="14.25" hidden="1" customHeight="1" x14ac:dyDescent="0.25">
      <c r="A484" s="708" t="s">
        <v>155</v>
      </c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708"/>
      <c r="R484" s="708"/>
      <c r="S484" s="708"/>
      <c r="T484" s="708"/>
      <c r="U484" s="708"/>
      <c r="V484" s="708"/>
      <c r="W484" s="708"/>
      <c r="X484" s="708"/>
      <c r="Y484" s="708"/>
      <c r="Z484" s="708"/>
      <c r="AA484" s="66"/>
      <c r="AB484" s="66"/>
      <c r="AC484" s="80"/>
    </row>
    <row r="485" spans="1:68" ht="27" hidden="1" customHeight="1" x14ac:dyDescent="0.25">
      <c r="A485" s="63" t="s">
        <v>782</v>
      </c>
      <c r="B485" s="63" t="s">
        <v>783</v>
      </c>
      <c r="C485" s="36">
        <v>4301020416</v>
      </c>
      <c r="D485" s="709">
        <v>4680115885240</v>
      </c>
      <c r="E485" s="709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89</v>
      </c>
      <c r="L485" s="37" t="s">
        <v>46</v>
      </c>
      <c r="M485" s="38" t="s">
        <v>79</v>
      </c>
      <c r="N485" s="38"/>
      <c r="O485" s="37">
        <v>40</v>
      </c>
      <c r="P485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11"/>
      <c r="R485" s="711"/>
      <c r="S485" s="711"/>
      <c r="T485" s="71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784</v>
      </c>
      <c r="AG485" s="78"/>
      <c r="AJ485" s="84" t="s">
        <v>46</v>
      </c>
      <c r="AK485" s="84">
        <v>0</v>
      </c>
      <c r="BB485" s="579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717"/>
      <c r="B487" s="717"/>
      <c r="C487" s="717"/>
      <c r="D487" s="717"/>
      <c r="E487" s="717"/>
      <c r="F487" s="717"/>
      <c r="G487" s="717"/>
      <c r="H487" s="717"/>
      <c r="I487" s="717"/>
      <c r="J487" s="717"/>
      <c r="K487" s="717"/>
      <c r="L487" s="717"/>
      <c r="M487" s="717"/>
      <c r="N487" s="717"/>
      <c r="O487" s="718"/>
      <c r="P487" s="714" t="s">
        <v>40</v>
      </c>
      <c r="Q487" s="715"/>
      <c r="R487" s="715"/>
      <c r="S487" s="715"/>
      <c r="T487" s="715"/>
      <c r="U487" s="715"/>
      <c r="V487" s="71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708" t="s">
        <v>75</v>
      </c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708"/>
      <c r="R488" s="708"/>
      <c r="S488" s="708"/>
      <c r="T488" s="708"/>
      <c r="U488" s="708"/>
      <c r="V488" s="708"/>
      <c r="W488" s="708"/>
      <c r="X488" s="708"/>
      <c r="Y488" s="708"/>
      <c r="Z488" s="708"/>
      <c r="AA488" s="66"/>
      <c r="AB488" s="66"/>
      <c r="AC488" s="80"/>
    </row>
    <row r="489" spans="1:68" ht="27" hidden="1" customHeight="1" x14ac:dyDescent="0.25">
      <c r="A489" s="63" t="s">
        <v>785</v>
      </c>
      <c r="B489" s="63" t="s">
        <v>786</v>
      </c>
      <c r="C489" s="36">
        <v>4301031407</v>
      </c>
      <c r="D489" s="709">
        <v>4680115886094</v>
      </c>
      <c r="E489" s="709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134</v>
      </c>
      <c r="L489" s="37" t="s">
        <v>46</v>
      </c>
      <c r="M489" s="38" t="s">
        <v>79</v>
      </c>
      <c r="N489" s="38"/>
      <c r="O489" s="37">
        <v>50</v>
      </c>
      <c r="P489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787</v>
      </c>
      <c r="AG489" s="78"/>
      <c r="AJ489" s="84" t="s">
        <v>46</v>
      </c>
      <c r="AK489" s="84">
        <v>0</v>
      </c>
      <c r="BB489" s="581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788</v>
      </c>
      <c r="B490" s="63" t="s">
        <v>789</v>
      </c>
      <c r="C490" s="36">
        <v>4301031373</v>
      </c>
      <c r="D490" s="709">
        <v>4680115880771</v>
      </c>
      <c r="E490" s="709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80</v>
      </c>
      <c r="L490" s="37" t="s">
        <v>46</v>
      </c>
      <c r="M490" s="38" t="s">
        <v>79</v>
      </c>
      <c r="N490" s="38"/>
      <c r="O490" s="37">
        <v>50</v>
      </c>
      <c r="P490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790</v>
      </c>
      <c r="AG490" s="78"/>
      <c r="AJ490" s="84" t="s">
        <v>46</v>
      </c>
      <c r="AK490" s="84">
        <v>0</v>
      </c>
      <c r="BB490" s="583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791</v>
      </c>
      <c r="B491" s="63" t="s">
        <v>792</v>
      </c>
      <c r="C491" s="36">
        <v>4301031359</v>
      </c>
      <c r="D491" s="709">
        <v>4607091389500</v>
      </c>
      <c r="E491" s="709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80</v>
      </c>
      <c r="L491" s="37" t="s">
        <v>46</v>
      </c>
      <c r="M491" s="38" t="s">
        <v>79</v>
      </c>
      <c r="N491" s="38"/>
      <c r="O491" s="37">
        <v>50</v>
      </c>
      <c r="P491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11"/>
      <c r="R491" s="711"/>
      <c r="S491" s="711"/>
      <c r="T491" s="71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790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hidden="1" x14ac:dyDescent="0.2">
      <c r="A493" s="717"/>
      <c r="B493" s="717"/>
      <c r="C493" s="717"/>
      <c r="D493" s="717"/>
      <c r="E493" s="717"/>
      <c r="F493" s="717"/>
      <c r="G493" s="717"/>
      <c r="H493" s="717"/>
      <c r="I493" s="717"/>
      <c r="J493" s="717"/>
      <c r="K493" s="717"/>
      <c r="L493" s="717"/>
      <c r="M493" s="717"/>
      <c r="N493" s="717"/>
      <c r="O493" s="718"/>
      <c r="P493" s="714" t="s">
        <v>40</v>
      </c>
      <c r="Q493" s="715"/>
      <c r="R493" s="715"/>
      <c r="S493" s="715"/>
      <c r="T493" s="715"/>
      <c r="U493" s="715"/>
      <c r="V493" s="716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hidden="1" customHeight="1" x14ac:dyDescent="0.2">
      <c r="A494" s="706" t="s">
        <v>793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54"/>
      <c r="AB494" s="54"/>
      <c r="AC494" s="54"/>
    </row>
    <row r="495" spans="1:68" ht="16.5" hidden="1" customHeight="1" x14ac:dyDescent="0.25">
      <c r="A495" s="707" t="s">
        <v>793</v>
      </c>
      <c r="B495" s="707"/>
      <c r="C495" s="707"/>
      <c r="D495" s="707"/>
      <c r="E495" s="707"/>
      <c r="F495" s="707"/>
      <c r="G495" s="707"/>
      <c r="H495" s="707"/>
      <c r="I495" s="707"/>
      <c r="J495" s="707"/>
      <c r="K495" s="707"/>
      <c r="L495" s="707"/>
      <c r="M495" s="707"/>
      <c r="N495" s="707"/>
      <c r="O495" s="707"/>
      <c r="P495" s="707"/>
      <c r="Q495" s="707"/>
      <c r="R495" s="707"/>
      <c r="S495" s="707"/>
      <c r="T495" s="707"/>
      <c r="U495" s="707"/>
      <c r="V495" s="707"/>
      <c r="W495" s="707"/>
      <c r="X495" s="707"/>
      <c r="Y495" s="707"/>
      <c r="Z495" s="707"/>
      <c r="AA495" s="65"/>
      <c r="AB495" s="65"/>
      <c r="AC495" s="79"/>
    </row>
    <row r="496" spans="1:68" ht="14.25" hidden="1" customHeight="1" x14ac:dyDescent="0.25">
      <c r="A496" s="708" t="s">
        <v>122</v>
      </c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708"/>
      <c r="R496" s="708"/>
      <c r="S496" s="708"/>
      <c r="T496" s="708"/>
      <c r="U496" s="708"/>
      <c r="V496" s="708"/>
      <c r="W496" s="708"/>
      <c r="X496" s="708"/>
      <c r="Y496" s="708"/>
      <c r="Z496" s="708"/>
      <c r="AA496" s="66"/>
      <c r="AB496" s="66"/>
      <c r="AC496" s="80"/>
    </row>
    <row r="497" spans="1:68" ht="27" hidden="1" customHeight="1" x14ac:dyDescent="0.25">
      <c r="A497" s="63" t="s">
        <v>794</v>
      </c>
      <c r="B497" s="63" t="s">
        <v>795</v>
      </c>
      <c r="C497" s="36">
        <v>4301011769</v>
      </c>
      <c r="D497" s="709">
        <v>4607091389067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127</v>
      </c>
      <c r="L497" s="37" t="s">
        <v>46</v>
      </c>
      <c r="M497" s="38" t="s">
        <v>88</v>
      </c>
      <c r="N497" s="38"/>
      <c r="O497" s="37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125</v>
      </c>
      <c r="AG497" s="78"/>
      <c r="AJ497" s="84" t="s">
        <v>46</v>
      </c>
      <c r="AK497" s="84">
        <v>0</v>
      </c>
      <c r="BB497" s="587" t="s">
        <v>66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hidden="1" customHeight="1" x14ac:dyDescent="0.25">
      <c r="A498" s="63" t="s">
        <v>796</v>
      </c>
      <c r="B498" s="63" t="s">
        <v>797</v>
      </c>
      <c r="C498" s="36">
        <v>4301012380</v>
      </c>
      <c r="D498" s="709">
        <v>4680115889576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127</v>
      </c>
      <c r="L498" s="37" t="s">
        <v>46</v>
      </c>
      <c r="M498" s="38" t="s">
        <v>126</v>
      </c>
      <c r="N498" s="38"/>
      <c r="O498" s="37">
        <v>60</v>
      </c>
      <c r="P498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798</v>
      </c>
      <c r="AG498" s="78"/>
      <c r="AJ498" s="84" t="s">
        <v>46</v>
      </c>
      <c r="AK498" s="84">
        <v>0</v>
      </c>
      <c r="BB498" s="589" t="s">
        <v>66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hidden="1" customHeight="1" x14ac:dyDescent="0.25">
      <c r="A499" s="63" t="s">
        <v>799</v>
      </c>
      <c r="B499" s="63" t="s">
        <v>800</v>
      </c>
      <c r="C499" s="36">
        <v>4301011961</v>
      </c>
      <c r="D499" s="709">
        <v>4680115885271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126</v>
      </c>
      <c r="N499" s="38"/>
      <c r="O499" s="37">
        <v>60</v>
      </c>
      <c r="P499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801</v>
      </c>
      <c r="AG499" s="78"/>
      <c r="AJ499" s="84" t="s">
        <v>46</v>
      </c>
      <c r="AK499" s="84">
        <v>0</v>
      </c>
      <c r="BB499" s="591" t="s">
        <v>66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hidden="1" customHeight="1" x14ac:dyDescent="0.25">
      <c r="A500" s="63" t="s">
        <v>802</v>
      </c>
      <c r="B500" s="63" t="s">
        <v>803</v>
      </c>
      <c r="C500" s="36">
        <v>4301011369</v>
      </c>
      <c r="D500" s="709">
        <v>4680115885226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804</v>
      </c>
      <c r="AG500" s="78"/>
      <c r="AJ500" s="84" t="s">
        <v>46</v>
      </c>
      <c r="AK500" s="84">
        <v>0</v>
      </c>
      <c r="BB500" s="593" t="s">
        <v>66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hidden="1" customHeight="1" x14ac:dyDescent="0.25">
      <c r="A501" s="63" t="s">
        <v>805</v>
      </c>
      <c r="B501" s="63" t="s">
        <v>806</v>
      </c>
      <c r="C501" s="36">
        <v>4301011797</v>
      </c>
      <c r="D501" s="709">
        <v>4680115884502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88</v>
      </c>
      <c r="N501" s="38"/>
      <c r="O501" s="37">
        <v>60</v>
      </c>
      <c r="P501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807</v>
      </c>
      <c r="AG501" s="78"/>
      <c r="AJ501" s="84" t="s">
        <v>46</v>
      </c>
      <c r="AK501" s="84">
        <v>0</v>
      </c>
      <c r="BB501" s="595" t="s">
        <v>66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hidden="1" customHeight="1" x14ac:dyDescent="0.25">
      <c r="A502" s="63" t="s">
        <v>808</v>
      </c>
      <c r="B502" s="63" t="s">
        <v>809</v>
      </c>
      <c r="C502" s="36">
        <v>4301011771</v>
      </c>
      <c r="D502" s="709">
        <v>4607091389104</v>
      </c>
      <c r="E502" s="70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810</v>
      </c>
      <c r="AG502" s="78"/>
      <c r="AJ502" s="84" t="s">
        <v>46</v>
      </c>
      <c r="AK502" s="84">
        <v>0</v>
      </c>
      <c r="BB502" s="597" t="s">
        <v>66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hidden="1" customHeight="1" x14ac:dyDescent="0.25">
      <c r="A503" s="63" t="s">
        <v>811</v>
      </c>
      <c r="B503" s="63" t="s">
        <v>812</v>
      </c>
      <c r="C503" s="36">
        <v>4301012125</v>
      </c>
      <c r="D503" s="709">
        <v>4680115886391</v>
      </c>
      <c r="E503" s="709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89</v>
      </c>
      <c r="L503" s="37" t="s">
        <v>46</v>
      </c>
      <c r="M503" s="38" t="s">
        <v>88</v>
      </c>
      <c r="N503" s="38"/>
      <c r="O503" s="37">
        <v>60</v>
      </c>
      <c r="P503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125</v>
      </c>
      <c r="AG503" s="78"/>
      <c r="AJ503" s="84" t="s">
        <v>46</v>
      </c>
      <c r="AK503" s="84">
        <v>0</v>
      </c>
      <c r="BB503" s="599" t="s">
        <v>66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hidden="1" customHeight="1" x14ac:dyDescent="0.25">
      <c r="A504" s="63" t="s">
        <v>813</v>
      </c>
      <c r="B504" s="63" t="s">
        <v>814</v>
      </c>
      <c r="C504" s="36">
        <v>4301012048</v>
      </c>
      <c r="D504" s="709">
        <v>4680115880603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134</v>
      </c>
      <c r="L504" s="37" t="s">
        <v>46</v>
      </c>
      <c r="M504" s="38" t="s">
        <v>88</v>
      </c>
      <c r="N504" s="38"/>
      <c r="O504" s="37">
        <v>60</v>
      </c>
      <c r="P504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66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hidden="1" customHeight="1" x14ac:dyDescent="0.25">
      <c r="A505" s="63" t="s">
        <v>815</v>
      </c>
      <c r="B505" s="63" t="s">
        <v>816</v>
      </c>
      <c r="C505" s="36">
        <v>4301012034</v>
      </c>
      <c r="D505" s="709">
        <v>4607091389982</v>
      </c>
      <c r="E505" s="70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134</v>
      </c>
      <c r="L505" s="37" t="s">
        <v>46</v>
      </c>
      <c r="M505" s="38" t="s">
        <v>126</v>
      </c>
      <c r="N505" s="38"/>
      <c r="O505" s="37">
        <v>60</v>
      </c>
      <c r="P505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11"/>
      <c r="R505" s="711"/>
      <c r="S505" s="711"/>
      <c r="T505" s="71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66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17"/>
      <c r="B507" s="717"/>
      <c r="C507" s="717"/>
      <c r="D507" s="717"/>
      <c r="E507" s="717"/>
      <c r="F507" s="717"/>
      <c r="G507" s="717"/>
      <c r="H507" s="717"/>
      <c r="I507" s="717"/>
      <c r="J507" s="717"/>
      <c r="K507" s="717"/>
      <c r="L507" s="717"/>
      <c r="M507" s="717"/>
      <c r="N507" s="717"/>
      <c r="O507" s="718"/>
      <c r="P507" s="714" t="s">
        <v>40</v>
      </c>
      <c r="Q507" s="715"/>
      <c r="R507" s="715"/>
      <c r="S507" s="715"/>
      <c r="T507" s="715"/>
      <c r="U507" s="715"/>
      <c r="V507" s="716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708" t="s">
        <v>155</v>
      </c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708"/>
      <c r="R508" s="708"/>
      <c r="S508" s="708"/>
      <c r="T508" s="708"/>
      <c r="U508" s="708"/>
      <c r="V508" s="708"/>
      <c r="W508" s="708"/>
      <c r="X508" s="708"/>
      <c r="Y508" s="708"/>
      <c r="Z508" s="708"/>
      <c r="AA508" s="66"/>
      <c r="AB508" s="66"/>
      <c r="AC508" s="80"/>
    </row>
    <row r="509" spans="1:68" ht="16.5" hidden="1" customHeight="1" x14ac:dyDescent="0.25">
      <c r="A509" s="63" t="s">
        <v>817</v>
      </c>
      <c r="B509" s="63" t="s">
        <v>818</v>
      </c>
      <c r="C509" s="36">
        <v>4301020334</v>
      </c>
      <c r="D509" s="709">
        <v>4607091388930</v>
      </c>
      <c r="E509" s="70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88</v>
      </c>
      <c r="N509" s="38"/>
      <c r="O509" s="37">
        <v>70</v>
      </c>
      <c r="P509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819</v>
      </c>
      <c r="AG509" s="78"/>
      <c r="AJ509" s="84" t="s">
        <v>46</v>
      </c>
      <c r="AK509" s="84">
        <v>0</v>
      </c>
      <c r="BB509" s="605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4301020374</v>
      </c>
      <c r="D510" s="709">
        <v>4680115886407</v>
      </c>
      <c r="E510" s="709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89</v>
      </c>
      <c r="L510" s="37" t="s">
        <v>46</v>
      </c>
      <c r="M510" s="38" t="s">
        <v>126</v>
      </c>
      <c r="N510" s="38"/>
      <c r="O510" s="37">
        <v>70</v>
      </c>
      <c r="P510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819</v>
      </c>
      <c r="AG510" s="78"/>
      <c r="AJ510" s="84" t="s">
        <v>46</v>
      </c>
      <c r="AK510" s="84">
        <v>0</v>
      </c>
      <c r="BB510" s="607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822</v>
      </c>
      <c r="B511" s="63" t="s">
        <v>823</v>
      </c>
      <c r="C511" s="36">
        <v>4301020385</v>
      </c>
      <c r="D511" s="709">
        <v>4680115880054</v>
      </c>
      <c r="E511" s="709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126</v>
      </c>
      <c r="N511" s="38"/>
      <c r="O511" s="37">
        <v>70</v>
      </c>
      <c r="P511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11"/>
      <c r="R511" s="711"/>
      <c r="S511" s="711"/>
      <c r="T511" s="71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819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hidden="1" x14ac:dyDescent="0.2">
      <c r="A513" s="717"/>
      <c r="B513" s="717"/>
      <c r="C513" s="717"/>
      <c r="D513" s="717"/>
      <c r="E513" s="717"/>
      <c r="F513" s="717"/>
      <c r="G513" s="717"/>
      <c r="H513" s="717"/>
      <c r="I513" s="717"/>
      <c r="J513" s="717"/>
      <c r="K513" s="717"/>
      <c r="L513" s="717"/>
      <c r="M513" s="717"/>
      <c r="N513" s="717"/>
      <c r="O513" s="718"/>
      <c r="P513" s="714" t="s">
        <v>40</v>
      </c>
      <c r="Q513" s="715"/>
      <c r="R513" s="715"/>
      <c r="S513" s="715"/>
      <c r="T513" s="715"/>
      <c r="U513" s="715"/>
      <c r="V513" s="716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hidden="1" customHeight="1" x14ac:dyDescent="0.25">
      <c r="A514" s="708" t="s">
        <v>75</v>
      </c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708"/>
      <c r="R514" s="708"/>
      <c r="S514" s="708"/>
      <c r="T514" s="708"/>
      <c r="U514" s="708"/>
      <c r="V514" s="708"/>
      <c r="W514" s="708"/>
      <c r="X514" s="708"/>
      <c r="Y514" s="708"/>
      <c r="Z514" s="708"/>
      <c r="AA514" s="66"/>
      <c r="AB514" s="66"/>
      <c r="AC514" s="80"/>
    </row>
    <row r="515" spans="1:68" ht="27" hidden="1" customHeight="1" x14ac:dyDescent="0.25">
      <c r="A515" s="63" t="s">
        <v>824</v>
      </c>
      <c r="B515" s="63" t="s">
        <v>825</v>
      </c>
      <c r="C515" s="36">
        <v>4301031349</v>
      </c>
      <c r="D515" s="709">
        <v>4680115883116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127</v>
      </c>
      <c r="L515" s="37" t="s">
        <v>46</v>
      </c>
      <c r="M515" s="38" t="s">
        <v>126</v>
      </c>
      <c r="N515" s="38"/>
      <c r="O515" s="37">
        <v>70</v>
      </c>
      <c r="P515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826</v>
      </c>
      <c r="AG515" s="78"/>
      <c r="AJ515" s="84" t="s">
        <v>46</v>
      </c>
      <c r="AK515" s="84">
        <v>0</v>
      </c>
      <c r="BB515" s="611" t="s">
        <v>66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hidden="1" customHeight="1" x14ac:dyDescent="0.25">
      <c r="A516" s="63" t="s">
        <v>827</v>
      </c>
      <c r="B516" s="63" t="s">
        <v>828</v>
      </c>
      <c r="C516" s="36">
        <v>4301031350</v>
      </c>
      <c r="D516" s="709">
        <v>4680115883093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79</v>
      </c>
      <c r="N516" s="38"/>
      <c r="O516" s="37">
        <v>70</v>
      </c>
      <c r="P516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829</v>
      </c>
      <c r="AG516" s="78"/>
      <c r="AJ516" s="84" t="s">
        <v>46</v>
      </c>
      <c r="AK516" s="84">
        <v>0</v>
      </c>
      <c r="BB516" s="613" t="s">
        <v>66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hidden="1" customHeight="1" x14ac:dyDescent="0.25">
      <c r="A517" s="63" t="s">
        <v>830</v>
      </c>
      <c r="B517" s="63" t="s">
        <v>831</v>
      </c>
      <c r="C517" s="36">
        <v>4301031353</v>
      </c>
      <c r="D517" s="709">
        <v>4680115883109</v>
      </c>
      <c r="E517" s="70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79</v>
      </c>
      <c r="N517" s="38"/>
      <c r="O517" s="37">
        <v>70</v>
      </c>
      <c r="P517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832</v>
      </c>
      <c r="AG517" s="78"/>
      <c r="AJ517" s="84" t="s">
        <v>46</v>
      </c>
      <c r="AK517" s="84">
        <v>0</v>
      </c>
      <c r="BB517" s="615" t="s">
        <v>66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hidden="1" customHeight="1" x14ac:dyDescent="0.25">
      <c r="A518" s="63" t="s">
        <v>833</v>
      </c>
      <c r="B518" s="63" t="s">
        <v>834</v>
      </c>
      <c r="C518" s="36">
        <v>4301031419</v>
      </c>
      <c r="D518" s="709">
        <v>4680115882072</v>
      </c>
      <c r="E518" s="709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826</v>
      </c>
      <c r="AG518" s="78"/>
      <c r="AJ518" s="84" t="s">
        <v>46</v>
      </c>
      <c r="AK518" s="84">
        <v>0</v>
      </c>
      <c r="BB518" s="617" t="s">
        <v>66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hidden="1" customHeight="1" x14ac:dyDescent="0.25">
      <c r="A519" s="63" t="s">
        <v>835</v>
      </c>
      <c r="B519" s="63" t="s">
        <v>836</v>
      </c>
      <c r="C519" s="36">
        <v>4301031352</v>
      </c>
      <c r="D519" s="709">
        <v>4680115882102</v>
      </c>
      <c r="E519" s="709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134</v>
      </c>
      <c r="L519" s="37" t="s">
        <v>46</v>
      </c>
      <c r="M519" s="38" t="s">
        <v>79</v>
      </c>
      <c r="N519" s="38"/>
      <c r="O519" s="37">
        <v>70</v>
      </c>
      <c r="P519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829</v>
      </c>
      <c r="AG519" s="78"/>
      <c r="AJ519" s="84" t="s">
        <v>46</v>
      </c>
      <c r="AK519" s="84">
        <v>0</v>
      </c>
      <c r="BB519" s="619" t="s">
        <v>66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hidden="1" customHeight="1" x14ac:dyDescent="0.25">
      <c r="A520" s="63" t="s">
        <v>835</v>
      </c>
      <c r="B520" s="63" t="s">
        <v>837</v>
      </c>
      <c r="C520" s="36">
        <v>4301031418</v>
      </c>
      <c r="D520" s="709">
        <v>4680115882102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134</v>
      </c>
      <c r="L520" s="37" t="s">
        <v>46</v>
      </c>
      <c r="M520" s="38" t="s">
        <v>79</v>
      </c>
      <c r="N520" s="38"/>
      <c r="O520" s="37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829</v>
      </c>
      <c r="AG520" s="78"/>
      <c r="AJ520" s="84" t="s">
        <v>46</v>
      </c>
      <c r="AK520" s="84">
        <v>0</v>
      </c>
      <c r="BB520" s="621" t="s">
        <v>66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hidden="1" customHeight="1" x14ac:dyDescent="0.25">
      <c r="A521" s="63" t="s">
        <v>838</v>
      </c>
      <c r="B521" s="63" t="s">
        <v>839</v>
      </c>
      <c r="C521" s="36">
        <v>4301031417</v>
      </c>
      <c r="D521" s="709">
        <v>4680115882096</v>
      </c>
      <c r="E521" s="709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134</v>
      </c>
      <c r="L521" s="37" t="s">
        <v>46</v>
      </c>
      <c r="M521" s="38" t="s">
        <v>79</v>
      </c>
      <c r="N521" s="38"/>
      <c r="O521" s="37">
        <v>70</v>
      </c>
      <c r="P521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11"/>
      <c r="R521" s="711"/>
      <c r="S521" s="711"/>
      <c r="T521" s="71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832</v>
      </c>
      <c r="AG521" s="78"/>
      <c r="AJ521" s="84" t="s">
        <v>46</v>
      </c>
      <c r="AK521" s="84">
        <v>0</v>
      </c>
      <c r="BB521" s="623" t="s">
        <v>66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hidden="1" x14ac:dyDescent="0.2">
      <c r="A523" s="717"/>
      <c r="B523" s="717"/>
      <c r="C523" s="717"/>
      <c r="D523" s="717"/>
      <c r="E523" s="717"/>
      <c r="F523" s="717"/>
      <c r="G523" s="717"/>
      <c r="H523" s="717"/>
      <c r="I523" s="717"/>
      <c r="J523" s="717"/>
      <c r="K523" s="717"/>
      <c r="L523" s="717"/>
      <c r="M523" s="717"/>
      <c r="N523" s="717"/>
      <c r="O523" s="718"/>
      <c r="P523" s="714" t="s">
        <v>40</v>
      </c>
      <c r="Q523" s="715"/>
      <c r="R523" s="715"/>
      <c r="S523" s="715"/>
      <c r="T523" s="715"/>
      <c r="U523" s="715"/>
      <c r="V523" s="716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hidden="1" customHeight="1" x14ac:dyDescent="0.2">
      <c r="A524" s="706" t="s">
        <v>840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54"/>
      <c r="AB524" s="54"/>
      <c r="AC524" s="54"/>
    </row>
    <row r="525" spans="1:68" ht="16.5" hidden="1" customHeight="1" x14ac:dyDescent="0.25">
      <c r="A525" s="707" t="s">
        <v>840</v>
      </c>
      <c r="B525" s="707"/>
      <c r="C525" s="707"/>
      <c r="D525" s="707"/>
      <c r="E525" s="707"/>
      <c r="F525" s="707"/>
      <c r="G525" s="707"/>
      <c r="H525" s="707"/>
      <c r="I525" s="707"/>
      <c r="J525" s="707"/>
      <c r="K525" s="707"/>
      <c r="L525" s="707"/>
      <c r="M525" s="707"/>
      <c r="N525" s="707"/>
      <c r="O525" s="707"/>
      <c r="P525" s="707"/>
      <c r="Q525" s="707"/>
      <c r="R525" s="707"/>
      <c r="S525" s="707"/>
      <c r="T525" s="707"/>
      <c r="U525" s="707"/>
      <c r="V525" s="707"/>
      <c r="W525" s="707"/>
      <c r="X525" s="707"/>
      <c r="Y525" s="707"/>
      <c r="Z525" s="707"/>
      <c r="AA525" s="65"/>
      <c r="AB525" s="65"/>
      <c r="AC525" s="79"/>
    </row>
    <row r="526" spans="1:68" ht="14.25" hidden="1" customHeight="1" x14ac:dyDescent="0.25">
      <c r="A526" s="708" t="s">
        <v>122</v>
      </c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708"/>
      <c r="R526" s="708"/>
      <c r="S526" s="708"/>
      <c r="T526" s="708"/>
      <c r="U526" s="708"/>
      <c r="V526" s="708"/>
      <c r="W526" s="708"/>
      <c r="X526" s="708"/>
      <c r="Y526" s="708"/>
      <c r="Z526" s="708"/>
      <c r="AA526" s="66"/>
      <c r="AB526" s="66"/>
      <c r="AC526" s="80"/>
    </row>
    <row r="527" spans="1:68" ht="27" hidden="1" customHeight="1" x14ac:dyDescent="0.25">
      <c r="A527" s="63" t="s">
        <v>841</v>
      </c>
      <c r="B527" s="63" t="s">
        <v>842</v>
      </c>
      <c r="C527" s="36">
        <v>4301011584</v>
      </c>
      <c r="D527" s="709">
        <v>4640242180564</v>
      </c>
      <c r="E527" s="70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127</v>
      </c>
      <c r="L527" s="37" t="s">
        <v>46</v>
      </c>
      <c r="M527" s="38" t="s">
        <v>126</v>
      </c>
      <c r="N527" s="38"/>
      <c r="O527" s="37">
        <v>50</v>
      </c>
      <c r="P527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11"/>
      <c r="R527" s="711"/>
      <c r="S527" s="711"/>
      <c r="T527" s="71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843</v>
      </c>
      <c r="AG527" s="78"/>
      <c r="AJ527" s="84" t="s">
        <v>46</v>
      </c>
      <c r="AK527" s="84">
        <v>0</v>
      </c>
      <c r="BB527" s="625" t="s">
        <v>66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hidden="1" x14ac:dyDescent="0.2">
      <c r="A529" s="717"/>
      <c r="B529" s="717"/>
      <c r="C529" s="717"/>
      <c r="D529" s="717"/>
      <c r="E529" s="717"/>
      <c r="F529" s="717"/>
      <c r="G529" s="717"/>
      <c r="H529" s="717"/>
      <c r="I529" s="717"/>
      <c r="J529" s="717"/>
      <c r="K529" s="717"/>
      <c r="L529" s="717"/>
      <c r="M529" s="717"/>
      <c r="N529" s="717"/>
      <c r="O529" s="718"/>
      <c r="P529" s="714" t="s">
        <v>40</v>
      </c>
      <c r="Q529" s="715"/>
      <c r="R529" s="715"/>
      <c r="S529" s="715"/>
      <c r="T529" s="715"/>
      <c r="U529" s="715"/>
      <c r="V529" s="71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hidden="1" customHeight="1" x14ac:dyDescent="0.25">
      <c r="A530" s="708" t="s">
        <v>155</v>
      </c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708"/>
      <c r="R530" s="708"/>
      <c r="S530" s="708"/>
      <c r="T530" s="708"/>
      <c r="U530" s="708"/>
      <c r="V530" s="708"/>
      <c r="W530" s="708"/>
      <c r="X530" s="708"/>
      <c r="Y530" s="708"/>
      <c r="Z530" s="708"/>
      <c r="AA530" s="66"/>
      <c r="AB530" s="66"/>
      <c r="AC530" s="80"/>
    </row>
    <row r="531" spans="1:68" ht="27" hidden="1" customHeight="1" x14ac:dyDescent="0.25">
      <c r="A531" s="63" t="s">
        <v>844</v>
      </c>
      <c r="B531" s="63" t="s">
        <v>845</v>
      </c>
      <c r="C531" s="36">
        <v>4301020400</v>
      </c>
      <c r="D531" s="709">
        <v>4640242180519</v>
      </c>
      <c r="E531" s="709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127</v>
      </c>
      <c r="L531" s="37" t="s">
        <v>46</v>
      </c>
      <c r="M531" s="38" t="s">
        <v>126</v>
      </c>
      <c r="N531" s="38"/>
      <c r="O531" s="37">
        <v>50</v>
      </c>
      <c r="P531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11"/>
      <c r="R531" s="711"/>
      <c r="S531" s="711"/>
      <c r="T531" s="712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846</v>
      </c>
      <c r="AG531" s="78"/>
      <c r="AJ531" s="84" t="s">
        <v>46</v>
      </c>
      <c r="AK531" s="84">
        <v>0</v>
      </c>
      <c r="BB531" s="627" t="s">
        <v>66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717"/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8"/>
      <c r="P533" s="714" t="s">
        <v>40</v>
      </c>
      <c r="Q533" s="715"/>
      <c r="R533" s="715"/>
      <c r="S533" s="715"/>
      <c r="T533" s="715"/>
      <c r="U533" s="715"/>
      <c r="V533" s="716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hidden="1" customHeight="1" x14ac:dyDescent="0.25">
      <c r="A534" s="708" t="s">
        <v>75</v>
      </c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708"/>
      <c r="R534" s="708"/>
      <c r="S534" s="708"/>
      <c r="T534" s="708"/>
      <c r="U534" s="708"/>
      <c r="V534" s="708"/>
      <c r="W534" s="708"/>
      <c r="X534" s="708"/>
      <c r="Y534" s="708"/>
      <c r="Z534" s="708"/>
      <c r="AA534" s="66"/>
      <c r="AB534" s="66"/>
      <c r="AC534" s="80"/>
    </row>
    <row r="535" spans="1:68" ht="27" hidden="1" customHeight="1" x14ac:dyDescent="0.25">
      <c r="A535" s="63" t="s">
        <v>847</v>
      </c>
      <c r="B535" s="63" t="s">
        <v>848</v>
      </c>
      <c r="C535" s="36">
        <v>4301031500</v>
      </c>
      <c r="D535" s="709">
        <v>4640242180595</v>
      </c>
      <c r="E535" s="709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134</v>
      </c>
      <c r="L535" s="37" t="s">
        <v>46</v>
      </c>
      <c r="M535" s="38" t="s">
        <v>79</v>
      </c>
      <c r="N535" s="38"/>
      <c r="O535" s="37">
        <v>40</v>
      </c>
      <c r="P535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11"/>
      <c r="R535" s="711"/>
      <c r="S535" s="711"/>
      <c r="T535" s="712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849</v>
      </c>
      <c r="AG535" s="78"/>
      <c r="AJ535" s="84" t="s">
        <v>46</v>
      </c>
      <c r="AK535" s="84">
        <v>0</v>
      </c>
      <c r="BB535" s="629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17"/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8"/>
      <c r="P537" s="714" t="s">
        <v>40</v>
      </c>
      <c r="Q537" s="715"/>
      <c r="R537" s="715"/>
      <c r="S537" s="715"/>
      <c r="T537" s="715"/>
      <c r="U537" s="715"/>
      <c r="V537" s="716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08" t="s">
        <v>84</v>
      </c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66"/>
      <c r="AB538" s="66"/>
      <c r="AC538" s="80"/>
    </row>
    <row r="539" spans="1:68" ht="27" hidden="1" customHeight="1" x14ac:dyDescent="0.25">
      <c r="A539" s="63" t="s">
        <v>850</v>
      </c>
      <c r="B539" s="63" t="s">
        <v>851</v>
      </c>
      <c r="C539" s="36">
        <v>4301052043</v>
      </c>
      <c r="D539" s="709">
        <v>4640242180533</v>
      </c>
      <c r="E539" s="709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127</v>
      </c>
      <c r="L539" s="37" t="s">
        <v>46</v>
      </c>
      <c r="M539" s="38" t="s">
        <v>88</v>
      </c>
      <c r="N539" s="38"/>
      <c r="O539" s="37">
        <v>45</v>
      </c>
      <c r="P539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11"/>
      <c r="R539" s="711"/>
      <c r="S539" s="711"/>
      <c r="T539" s="712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852</v>
      </c>
      <c r="AG539" s="78"/>
      <c r="AJ539" s="84" t="s">
        <v>46</v>
      </c>
      <c r="AK539" s="84">
        <v>0</v>
      </c>
      <c r="BB539" s="631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17"/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8"/>
      <c r="P541" s="714" t="s">
        <v>40</v>
      </c>
      <c r="Q541" s="715"/>
      <c r="R541" s="715"/>
      <c r="S541" s="715"/>
      <c r="T541" s="715"/>
      <c r="U541" s="715"/>
      <c r="V541" s="716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08" t="s">
        <v>172</v>
      </c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708"/>
      <c r="R542" s="708"/>
      <c r="S542" s="708"/>
      <c r="T542" s="708"/>
      <c r="U542" s="708"/>
      <c r="V542" s="708"/>
      <c r="W542" s="708"/>
      <c r="X542" s="708"/>
      <c r="Y542" s="708"/>
      <c r="Z542" s="708"/>
      <c r="AA542" s="66"/>
      <c r="AB542" s="66"/>
      <c r="AC542" s="80"/>
    </row>
    <row r="543" spans="1:68" ht="27" hidden="1" customHeight="1" x14ac:dyDescent="0.25">
      <c r="A543" s="63" t="s">
        <v>853</v>
      </c>
      <c r="B543" s="63" t="s">
        <v>854</v>
      </c>
      <c r="C543" s="36">
        <v>4301060535</v>
      </c>
      <c r="D543" s="709">
        <v>4640242180120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127</v>
      </c>
      <c r="L543" s="37" t="s">
        <v>46</v>
      </c>
      <c r="M543" s="38" t="s">
        <v>88</v>
      </c>
      <c r="N543" s="38"/>
      <c r="O543" s="37">
        <v>40</v>
      </c>
      <c r="P543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855</v>
      </c>
      <c r="AG543" s="78"/>
      <c r="AJ543" s="84" t="s">
        <v>46</v>
      </c>
      <c r="AK543" s="84">
        <v>0</v>
      </c>
      <c r="BB543" s="633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hidden="1" customHeight="1" x14ac:dyDescent="0.25">
      <c r="A544" s="63" t="s">
        <v>856</v>
      </c>
      <c r="B544" s="63" t="s">
        <v>857</v>
      </c>
      <c r="C544" s="36">
        <v>4301060536</v>
      </c>
      <c r="D544" s="709">
        <v>4640242180137</v>
      </c>
      <c r="E544" s="709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127</v>
      </c>
      <c r="L544" s="37" t="s">
        <v>46</v>
      </c>
      <c r="M544" s="38" t="s">
        <v>88</v>
      </c>
      <c r="N544" s="38"/>
      <c r="O544" s="37">
        <v>40</v>
      </c>
      <c r="P544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11"/>
      <c r="R544" s="711"/>
      <c r="S544" s="711"/>
      <c r="T544" s="712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858</v>
      </c>
      <c r="AG544" s="78"/>
      <c r="AJ544" s="84" t="s">
        <v>46</v>
      </c>
      <c r="AK544" s="84">
        <v>0</v>
      </c>
      <c r="BB544" s="635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hidden="1" x14ac:dyDescent="0.2">
      <c r="A546" s="717"/>
      <c r="B546" s="717"/>
      <c r="C546" s="717"/>
      <c r="D546" s="717"/>
      <c r="E546" s="717"/>
      <c r="F546" s="717"/>
      <c r="G546" s="717"/>
      <c r="H546" s="717"/>
      <c r="I546" s="717"/>
      <c r="J546" s="717"/>
      <c r="K546" s="717"/>
      <c r="L546" s="717"/>
      <c r="M546" s="717"/>
      <c r="N546" s="717"/>
      <c r="O546" s="718"/>
      <c r="P546" s="714" t="s">
        <v>40</v>
      </c>
      <c r="Q546" s="715"/>
      <c r="R546" s="715"/>
      <c r="S546" s="715"/>
      <c r="T546" s="715"/>
      <c r="U546" s="715"/>
      <c r="V546" s="716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hidden="1" customHeight="1" x14ac:dyDescent="0.25">
      <c r="A547" s="707" t="s">
        <v>859</v>
      </c>
      <c r="B547" s="707"/>
      <c r="C547" s="707"/>
      <c r="D547" s="707"/>
      <c r="E547" s="707"/>
      <c r="F547" s="707"/>
      <c r="G547" s="707"/>
      <c r="H547" s="707"/>
      <c r="I547" s="707"/>
      <c r="J547" s="707"/>
      <c r="K547" s="707"/>
      <c r="L547" s="707"/>
      <c r="M547" s="707"/>
      <c r="N547" s="707"/>
      <c r="O547" s="707"/>
      <c r="P547" s="707"/>
      <c r="Q547" s="707"/>
      <c r="R547" s="707"/>
      <c r="S547" s="707"/>
      <c r="T547" s="707"/>
      <c r="U547" s="707"/>
      <c r="V547" s="707"/>
      <c r="W547" s="707"/>
      <c r="X547" s="707"/>
      <c r="Y547" s="707"/>
      <c r="Z547" s="707"/>
      <c r="AA547" s="65"/>
      <c r="AB547" s="65"/>
      <c r="AC547" s="79"/>
    </row>
    <row r="548" spans="1:68" ht="14.25" hidden="1" customHeight="1" x14ac:dyDescent="0.25">
      <c r="A548" s="708" t="s">
        <v>155</v>
      </c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708"/>
      <c r="R548" s="708"/>
      <c r="S548" s="708"/>
      <c r="T548" s="708"/>
      <c r="U548" s="708"/>
      <c r="V548" s="708"/>
      <c r="W548" s="708"/>
      <c r="X548" s="708"/>
      <c r="Y548" s="708"/>
      <c r="Z548" s="708"/>
      <c r="AA548" s="66"/>
      <c r="AB548" s="66"/>
      <c r="AC548" s="80"/>
    </row>
    <row r="549" spans="1:68" ht="27" hidden="1" customHeight="1" x14ac:dyDescent="0.25">
      <c r="A549" s="63" t="s">
        <v>860</v>
      </c>
      <c r="B549" s="63" t="s">
        <v>861</v>
      </c>
      <c r="C549" s="36">
        <v>4301020428</v>
      </c>
      <c r="D549" s="709">
        <v>4640242180090</v>
      </c>
      <c r="E549" s="709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127</v>
      </c>
      <c r="L549" s="37" t="s">
        <v>46</v>
      </c>
      <c r="M549" s="38" t="s">
        <v>126</v>
      </c>
      <c r="N549" s="38"/>
      <c r="O549" s="37">
        <v>50</v>
      </c>
      <c r="P549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11"/>
      <c r="R549" s="711"/>
      <c r="S549" s="711"/>
      <c r="T549" s="71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862</v>
      </c>
      <c r="AG549" s="78"/>
      <c r="AJ549" s="84" t="s">
        <v>46</v>
      </c>
      <c r="AK549" s="84">
        <v>0</v>
      </c>
      <c r="BB549" s="637" t="s">
        <v>66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718"/>
      <c r="P551" s="714" t="s">
        <v>40</v>
      </c>
      <c r="Q551" s="715"/>
      <c r="R551" s="715"/>
      <c r="S551" s="715"/>
      <c r="T551" s="715"/>
      <c r="U551" s="715"/>
      <c r="V551" s="716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33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400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405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34</v>
      </c>
      <c r="Q553" s="994"/>
      <c r="R553" s="994"/>
      <c r="S553" s="994"/>
      <c r="T553" s="994"/>
      <c r="U553" s="994"/>
      <c r="V553" s="995"/>
      <c r="W553" s="42" t="s">
        <v>0</v>
      </c>
      <c r="X553" s="43">
        <f>IFERROR(SUM(BM22:BM549),"0")</f>
        <v>412.53333333333336</v>
      </c>
      <c r="Y553" s="43">
        <f>IFERROR(SUM(BN22:BN549),"0")</f>
        <v>417.69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35</v>
      </c>
      <c r="Q554" s="994"/>
      <c r="R554" s="994"/>
      <c r="S554" s="994"/>
      <c r="T554" s="994"/>
      <c r="U554" s="994"/>
      <c r="V554" s="995"/>
      <c r="W554" s="42" t="s">
        <v>20</v>
      </c>
      <c r="X554" s="44">
        <f>ROUNDUP(SUM(BO22:BO549),0)</f>
        <v>1</v>
      </c>
      <c r="Y554" s="44">
        <f>ROUNDUP(SUM(BP22:BP549),0)</f>
        <v>1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36</v>
      </c>
      <c r="Q555" s="994"/>
      <c r="R555" s="994"/>
      <c r="S555" s="994"/>
      <c r="T555" s="994"/>
      <c r="U555" s="994"/>
      <c r="V555" s="995"/>
      <c r="W555" s="42" t="s">
        <v>0</v>
      </c>
      <c r="X555" s="43">
        <f>GrossWeightTotal+PalletQtyTotal*25</f>
        <v>437.53333333333336</v>
      </c>
      <c r="Y555" s="43">
        <f>GrossWeightTotalR+PalletQtyTotalR*25</f>
        <v>442.69</v>
      </c>
      <c r="Z555" s="42"/>
      <c r="AA555" s="67"/>
      <c r="AB555" s="67"/>
      <c r="AC555" s="67"/>
    </row>
    <row r="556" spans="1:68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37</v>
      </c>
      <c r="Q556" s="994"/>
      <c r="R556" s="994"/>
      <c r="S556" s="994"/>
      <c r="T556" s="994"/>
      <c r="U556" s="994"/>
      <c r="V556" s="995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26.666666666666668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27</v>
      </c>
      <c r="Z556" s="42"/>
      <c r="AA556" s="67"/>
      <c r="AB556" s="67"/>
      <c r="AC556" s="67"/>
    </row>
    <row r="557" spans="1:68" ht="14.25" hidden="1" x14ac:dyDescent="0.2">
      <c r="A557" s="717"/>
      <c r="B557" s="717"/>
      <c r="C557" s="717"/>
      <c r="D557" s="717"/>
      <c r="E557" s="717"/>
      <c r="F557" s="717"/>
      <c r="G557" s="717"/>
      <c r="H557" s="717"/>
      <c r="I557" s="717"/>
      <c r="J557" s="717"/>
      <c r="K557" s="717"/>
      <c r="L557" s="717"/>
      <c r="M557" s="717"/>
      <c r="N557" s="717"/>
      <c r="O557" s="996"/>
      <c r="P557" s="993" t="s">
        <v>38</v>
      </c>
      <c r="Q557" s="994"/>
      <c r="R557" s="994"/>
      <c r="S557" s="994"/>
      <c r="T557" s="994"/>
      <c r="U557" s="994"/>
      <c r="V557" s="995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0.58724999999999994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74</v>
      </c>
      <c r="C559" s="85" t="s">
        <v>45</v>
      </c>
      <c r="D559" s="997" t="s">
        <v>120</v>
      </c>
      <c r="E559" s="997" t="s">
        <v>120</v>
      </c>
      <c r="F559" s="997" t="s">
        <v>120</v>
      </c>
      <c r="G559" s="997" t="s">
        <v>120</v>
      </c>
      <c r="H559" s="997" t="s">
        <v>120</v>
      </c>
      <c r="I559" s="997" t="s">
        <v>120</v>
      </c>
      <c r="J559" s="997" t="s">
        <v>120</v>
      </c>
      <c r="K559" s="997" t="s">
        <v>348</v>
      </c>
      <c r="L559" s="997" t="s">
        <v>348</v>
      </c>
      <c r="M559" s="997" t="s">
        <v>348</v>
      </c>
      <c r="N559" s="998"/>
      <c r="O559" s="997" t="s">
        <v>348</v>
      </c>
      <c r="P559" s="997" t="s">
        <v>348</v>
      </c>
      <c r="Q559" s="997" t="s">
        <v>348</v>
      </c>
      <c r="R559" s="997" t="s">
        <v>348</v>
      </c>
      <c r="S559" s="997" t="s">
        <v>348</v>
      </c>
      <c r="T559" s="997" t="s">
        <v>348</v>
      </c>
      <c r="U559" s="997" t="s">
        <v>348</v>
      </c>
      <c r="V559" s="997" t="s">
        <v>348</v>
      </c>
      <c r="W559" s="997" t="s">
        <v>691</v>
      </c>
      <c r="X559" s="997" t="s">
        <v>691</v>
      </c>
      <c r="Y559" s="997" t="s">
        <v>757</v>
      </c>
      <c r="Z559" s="997" t="s">
        <v>757</v>
      </c>
      <c r="AA559" s="85" t="s">
        <v>793</v>
      </c>
      <c r="AB559" s="997" t="s">
        <v>840</v>
      </c>
      <c r="AC559" s="997" t="s">
        <v>840</v>
      </c>
      <c r="AF559" s="1"/>
    </row>
    <row r="560" spans="1:68" ht="14.25" customHeight="1" thickTop="1" x14ac:dyDescent="0.2">
      <c r="A560" s="999" t="s">
        <v>10</v>
      </c>
      <c r="B560" s="997" t="s">
        <v>74</v>
      </c>
      <c r="C560" s="997" t="s">
        <v>102</v>
      </c>
      <c r="D560" s="997" t="s">
        <v>121</v>
      </c>
      <c r="E560" s="997" t="s">
        <v>137</v>
      </c>
      <c r="F560" s="997" t="s">
        <v>179</v>
      </c>
      <c r="G560" s="997" t="s">
        <v>200</v>
      </c>
      <c r="H560" s="997" t="s">
        <v>240</v>
      </c>
      <c r="I560" s="997" t="s">
        <v>264</v>
      </c>
      <c r="J560" s="997" t="s">
        <v>120</v>
      </c>
      <c r="K560" s="997" t="s">
        <v>349</v>
      </c>
      <c r="L560" s="997" t="s">
        <v>370</v>
      </c>
      <c r="M560" s="997" t="s">
        <v>437</v>
      </c>
      <c r="N560" s="1"/>
      <c r="O560" s="997" t="s">
        <v>505</v>
      </c>
      <c r="P560" s="997" t="s">
        <v>538</v>
      </c>
      <c r="Q560" s="997" t="s">
        <v>554</v>
      </c>
      <c r="R560" s="997" t="s">
        <v>563</v>
      </c>
      <c r="S560" s="997" t="s">
        <v>584</v>
      </c>
      <c r="T560" s="997" t="s">
        <v>593</v>
      </c>
      <c r="U560" s="997" t="s">
        <v>674</v>
      </c>
      <c r="V560" s="997" t="s">
        <v>681</v>
      </c>
      <c r="W560" s="997" t="s">
        <v>692</v>
      </c>
      <c r="X560" s="997" t="s">
        <v>741</v>
      </c>
      <c r="Y560" s="997" t="s">
        <v>758</v>
      </c>
      <c r="Z560" s="997" t="s">
        <v>781</v>
      </c>
      <c r="AA560" s="997" t="s">
        <v>793</v>
      </c>
      <c r="AB560" s="997" t="s">
        <v>840</v>
      </c>
      <c r="AC560" s="997" t="s">
        <v>859</v>
      </c>
      <c r="AF560" s="1"/>
    </row>
    <row r="561" spans="1:32" ht="13.5" thickBot="1" x14ac:dyDescent="0.25">
      <c r="A561" s="1000"/>
      <c r="B561" s="997"/>
      <c r="C561" s="997"/>
      <c r="D561" s="997"/>
      <c r="E561" s="997"/>
      <c r="F561" s="997"/>
      <c r="G561" s="997"/>
      <c r="H561" s="997"/>
      <c r="I561" s="997"/>
      <c r="J561" s="997"/>
      <c r="K561" s="997"/>
      <c r="L561" s="997"/>
      <c r="M561" s="997"/>
      <c r="N561" s="1"/>
      <c r="O561" s="997"/>
      <c r="P561" s="997"/>
      <c r="Q561" s="997"/>
      <c r="R561" s="997"/>
      <c r="S561" s="997"/>
      <c r="T561" s="997"/>
      <c r="U561" s="997"/>
      <c r="V561" s="997"/>
      <c r="W561" s="997"/>
      <c r="X561" s="997"/>
      <c r="Y561" s="997"/>
      <c r="Z561" s="997"/>
      <c r="AA561" s="997"/>
      <c r="AB561" s="997"/>
      <c r="AC561" s="997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405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6,67"/>
        <filter val="400,00"/>
        <filter val="412,53"/>
        <filter val="437,53"/>
      </filters>
    </filterColumn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9"/>
    </row>
    <row r="3" spans="2:8" x14ac:dyDescent="0.2">
      <c r="B3" s="53" t="s">
        <v>864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866</v>
      </c>
      <c r="C6" s="53" t="s">
        <v>867</v>
      </c>
      <c r="D6" s="53" t="s">
        <v>868</v>
      </c>
      <c r="E6" s="53" t="s">
        <v>46</v>
      </c>
    </row>
    <row r="7" spans="2:8" x14ac:dyDescent="0.2">
      <c r="B7" s="53" t="s">
        <v>869</v>
      </c>
      <c r="C7" s="53" t="s">
        <v>870</v>
      </c>
      <c r="D7" s="53" t="s">
        <v>871</v>
      </c>
      <c r="E7" s="53" t="s">
        <v>46</v>
      </c>
    </row>
    <row r="8" spans="2:8" x14ac:dyDescent="0.2">
      <c r="B8" s="53" t="s">
        <v>872</v>
      </c>
      <c r="C8" s="53" t="s">
        <v>873</v>
      </c>
      <c r="D8" s="53" t="s">
        <v>874</v>
      </c>
      <c r="E8" s="53" t="s">
        <v>46</v>
      </c>
    </row>
    <row r="9" spans="2:8" x14ac:dyDescent="0.2">
      <c r="B9" s="53" t="s">
        <v>875</v>
      </c>
      <c r="C9" s="53" t="s">
        <v>876</v>
      </c>
      <c r="D9" s="53" t="s">
        <v>877</v>
      </c>
      <c r="E9" s="53" t="s">
        <v>46</v>
      </c>
    </row>
    <row r="10" spans="2:8" x14ac:dyDescent="0.2">
      <c r="B10" s="53" t="s">
        <v>878</v>
      </c>
      <c r="C10" s="53" t="s">
        <v>879</v>
      </c>
      <c r="D10" s="53" t="s">
        <v>880</v>
      </c>
      <c r="E10" s="53" t="s">
        <v>46</v>
      </c>
    </row>
    <row r="11" spans="2:8" x14ac:dyDescent="0.2">
      <c r="B11" s="53" t="s">
        <v>881</v>
      </c>
      <c r="C11" s="53" t="s">
        <v>882</v>
      </c>
      <c r="D11" s="53" t="s">
        <v>883</v>
      </c>
      <c r="E11" s="53" t="s">
        <v>46</v>
      </c>
    </row>
    <row r="12" spans="2:8" x14ac:dyDescent="0.2">
      <c r="B12" s="53" t="s">
        <v>884</v>
      </c>
      <c r="C12" s="53" t="s">
        <v>885</v>
      </c>
      <c r="D12" s="53" t="s">
        <v>886</v>
      </c>
      <c r="E12" s="53" t="s">
        <v>46</v>
      </c>
    </row>
    <row r="14" spans="2:8" x14ac:dyDescent="0.2">
      <c r="B14" s="53" t="s">
        <v>887</v>
      </c>
      <c r="C14" s="53" t="s">
        <v>867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870</v>
      </c>
      <c r="D16" s="53" t="s">
        <v>46</v>
      </c>
      <c r="E16" s="53" t="s">
        <v>46</v>
      </c>
    </row>
    <row r="18" spans="2:5" x14ac:dyDescent="0.2">
      <c r="B18" s="53" t="s">
        <v>889</v>
      </c>
      <c r="C18" s="53" t="s">
        <v>873</v>
      </c>
      <c r="D18" s="53" t="s">
        <v>46</v>
      </c>
      <c r="E18" s="53" t="s">
        <v>46</v>
      </c>
    </row>
    <row r="20" spans="2:5" x14ac:dyDescent="0.2">
      <c r="B20" s="53" t="s">
        <v>890</v>
      </c>
      <c r="C20" s="53" t="s">
        <v>876</v>
      </c>
      <c r="D20" s="53" t="s">
        <v>46</v>
      </c>
      <c r="E20" s="53" t="s">
        <v>46</v>
      </c>
    </row>
    <row r="22" spans="2:5" x14ac:dyDescent="0.2">
      <c r="B22" s="53" t="s">
        <v>891</v>
      </c>
      <c r="C22" s="53" t="s">
        <v>879</v>
      </c>
      <c r="D22" s="53" t="s">
        <v>46</v>
      </c>
      <c r="E22" s="53" t="s">
        <v>46</v>
      </c>
    </row>
    <row r="24" spans="2:5" x14ac:dyDescent="0.2">
      <c r="B24" s="53" t="s">
        <v>892</v>
      </c>
      <c r="C24" s="53" t="s">
        <v>882</v>
      </c>
      <c r="D24" s="53" t="s">
        <v>46</v>
      </c>
      <c r="E24" s="53" t="s">
        <v>46</v>
      </c>
    </row>
    <row r="26" spans="2:5" x14ac:dyDescent="0.2">
      <c r="B26" s="53" t="s">
        <v>893</v>
      </c>
      <c r="C26" s="53" t="s">
        <v>885</v>
      </c>
      <c r="D26" s="53" t="s">
        <v>46</v>
      </c>
      <c r="E26" s="53" t="s">
        <v>46</v>
      </c>
    </row>
    <row r="28" spans="2:5" x14ac:dyDescent="0.2">
      <c r="B28" s="53" t="s">
        <v>894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899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904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2026-08-25T13:12:01Z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