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95AB800-0484-4C9E-8D0E-A4952226570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P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N263" i="2" s="1"/>
  <c r="P263" i="2"/>
  <c r="BO262" i="2"/>
  <c r="BM262" i="2"/>
  <c r="Z262" i="2"/>
  <c r="Y262" i="2"/>
  <c r="BN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BP253" i="2" s="1"/>
  <c r="P253" i="2"/>
  <c r="X249" i="2"/>
  <c r="X248" i="2"/>
  <c r="BO247" i="2"/>
  <c r="BM247" i="2"/>
  <c r="Z247" i="2"/>
  <c r="Z248" i="2" s="1"/>
  <c r="Y247" i="2"/>
  <c r="BN247" i="2" s="1"/>
  <c r="P247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BP237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Y223" i="2" s="1"/>
  <c r="P221" i="2"/>
  <c r="X218" i="2"/>
  <c r="X217" i="2"/>
  <c r="BO216" i="2"/>
  <c r="BM216" i="2"/>
  <c r="Z216" i="2"/>
  <c r="Z217" i="2" s="1"/>
  <c r="Y216" i="2"/>
  <c r="BN216" i="2" s="1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BO203" i="2"/>
  <c r="BM203" i="2"/>
  <c r="Z203" i="2"/>
  <c r="Y203" i="2"/>
  <c r="BP203" i="2" s="1"/>
  <c r="P203" i="2"/>
  <c r="X201" i="2"/>
  <c r="X200" i="2"/>
  <c r="BO199" i="2"/>
  <c r="BM199" i="2"/>
  <c r="Z199" i="2"/>
  <c r="Z200" i="2" s="1"/>
  <c r="Y199" i="2"/>
  <c r="Y200" i="2" s="1"/>
  <c r="P199" i="2"/>
  <c r="X195" i="2"/>
  <c r="X194" i="2"/>
  <c r="BO193" i="2"/>
  <c r="BM193" i="2"/>
  <c r="Z193" i="2"/>
  <c r="Y193" i="2"/>
  <c r="BN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P190" i="2"/>
  <c r="X186" i="2"/>
  <c r="X185" i="2"/>
  <c r="BO184" i="2"/>
  <c r="BM184" i="2"/>
  <c r="Z184" i="2"/>
  <c r="Z185" i="2" s="1"/>
  <c r="Y184" i="2"/>
  <c r="BP184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BN178" i="2" s="1"/>
  <c r="P178" i="2"/>
  <c r="X174" i="2"/>
  <c r="X173" i="2"/>
  <c r="BO172" i="2"/>
  <c r="BM172" i="2"/>
  <c r="Z172" i="2"/>
  <c r="Z173" i="2" s="1"/>
  <c r="Y172" i="2"/>
  <c r="BN172" i="2" s="1"/>
  <c r="P172" i="2"/>
  <c r="X169" i="2"/>
  <c r="X168" i="2"/>
  <c r="BO167" i="2"/>
  <c r="BM167" i="2"/>
  <c r="Z167" i="2"/>
  <c r="Z168" i="2" s="1"/>
  <c r="Y167" i="2"/>
  <c r="BP167" i="2" s="1"/>
  <c r="P167" i="2"/>
  <c r="X164" i="2"/>
  <c r="X163" i="2"/>
  <c r="BO162" i="2"/>
  <c r="BM162" i="2"/>
  <c r="Z162" i="2"/>
  <c r="Z163" i="2" s="1"/>
  <c r="Y162" i="2"/>
  <c r="BN162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BP151" i="2" s="1"/>
  <c r="P151" i="2"/>
  <c r="BO150" i="2"/>
  <c r="BM150" i="2"/>
  <c r="Z150" i="2"/>
  <c r="Y150" i="2"/>
  <c r="BP150" i="2" s="1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BN144" i="2" s="1"/>
  <c r="P144" i="2"/>
  <c r="X141" i="2"/>
  <c r="X140" i="2"/>
  <c r="BO139" i="2"/>
  <c r="BM139" i="2"/>
  <c r="Z139" i="2"/>
  <c r="Y139" i="2"/>
  <c r="BN139" i="2" s="1"/>
  <c r="P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BO130" i="2"/>
  <c r="BM130" i="2"/>
  <c r="Z130" i="2"/>
  <c r="Y130" i="2"/>
  <c r="BN130" i="2" s="1"/>
  <c r="P130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P96" i="2"/>
  <c r="BO95" i="2"/>
  <c r="BM95" i="2"/>
  <c r="Z95" i="2"/>
  <c r="Y95" i="2"/>
  <c r="BN95" i="2" s="1"/>
  <c r="P95" i="2"/>
  <c r="BO94" i="2"/>
  <c r="BN94" i="2"/>
  <c r="BM94" i="2"/>
  <c r="Z94" i="2"/>
  <c r="Y94" i="2"/>
  <c r="BP94" i="2" s="1"/>
  <c r="P94" i="2"/>
  <c r="X91" i="2"/>
  <c r="X90" i="2"/>
  <c r="BO89" i="2"/>
  <c r="BM89" i="2"/>
  <c r="Z89" i="2"/>
  <c r="Y89" i="2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N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N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BN61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Y44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Y22" i="2"/>
  <c r="BN22" i="2" s="1"/>
  <c r="P22" i="2"/>
  <c r="H10" i="2"/>
  <c r="A9" i="2"/>
  <c r="F10" i="2" s="1"/>
  <c r="D7" i="2"/>
  <c r="Q6" i="2"/>
  <c r="P2" i="2"/>
  <c r="Y245" i="2" l="1"/>
  <c r="Z36" i="2"/>
  <c r="Z255" i="2"/>
  <c r="BN273" i="2"/>
  <c r="BP243" i="2"/>
  <c r="Z106" i="2"/>
  <c r="BP130" i="2"/>
  <c r="Y164" i="2"/>
  <c r="BN277" i="2"/>
  <c r="Z265" i="2"/>
  <c r="BN243" i="2"/>
  <c r="Y235" i="2"/>
  <c r="BP233" i="2"/>
  <c r="BP221" i="2"/>
  <c r="Z212" i="2"/>
  <c r="Y195" i="2"/>
  <c r="BN191" i="2"/>
  <c r="Z180" i="2"/>
  <c r="Y163" i="2"/>
  <c r="Z146" i="2"/>
  <c r="BP139" i="2"/>
  <c r="Z140" i="2"/>
  <c r="BP133" i="2"/>
  <c r="Y134" i="2"/>
  <c r="Y123" i="2"/>
  <c r="BP121" i="2"/>
  <c r="Z118" i="2"/>
  <c r="BP105" i="2"/>
  <c r="Z100" i="2"/>
  <c r="BP95" i="2"/>
  <c r="BP88" i="2"/>
  <c r="Z79" i="2"/>
  <c r="Y74" i="2"/>
  <c r="X284" i="2"/>
  <c r="Y68" i="2"/>
  <c r="Z67" i="2"/>
  <c r="Z57" i="2"/>
  <c r="BP29" i="2"/>
  <c r="BP22" i="2"/>
  <c r="X281" i="2"/>
  <c r="BP35" i="2"/>
  <c r="X280" i="2"/>
  <c r="Z43" i="2"/>
  <c r="Z49" i="2"/>
  <c r="BP53" i="2"/>
  <c r="Z73" i="2"/>
  <c r="BP78" i="2"/>
  <c r="BP98" i="2"/>
  <c r="Y107" i="2"/>
  <c r="BP115" i="2"/>
  <c r="Y141" i="2"/>
  <c r="Y146" i="2"/>
  <c r="Y174" i="2"/>
  <c r="Z194" i="2"/>
  <c r="BP199" i="2"/>
  <c r="Y201" i="2"/>
  <c r="BP204" i="2"/>
  <c r="Y213" i="2"/>
  <c r="BN221" i="2"/>
  <c r="Y222" i="2"/>
  <c r="Y265" i="2"/>
  <c r="BN274" i="2"/>
  <c r="Y37" i="2"/>
  <c r="Y57" i="2"/>
  <c r="BP71" i="2"/>
  <c r="Y80" i="2"/>
  <c r="Y90" i="2"/>
  <c r="Y101" i="2"/>
  <c r="Y106" i="2"/>
  <c r="BN121" i="2"/>
  <c r="Z134" i="2"/>
  <c r="Y140" i="2"/>
  <c r="Y158" i="2"/>
  <c r="BP162" i="2"/>
  <c r="Y173" i="2"/>
  <c r="Y181" i="2"/>
  <c r="BN211" i="2"/>
  <c r="Y212" i="2"/>
  <c r="BN253" i="2"/>
  <c r="Y255" i="2"/>
  <c r="Y278" i="2"/>
  <c r="X282" i="2"/>
  <c r="Z30" i="2"/>
  <c r="BN28" i="2"/>
  <c r="Y36" i="2"/>
  <c r="Y58" i="2"/>
  <c r="Y79" i="2"/>
  <c r="Z90" i="2"/>
  <c r="Y119" i="2"/>
  <c r="Y135" i="2"/>
  <c r="Z152" i="2"/>
  <c r="Z158" i="2"/>
  <c r="BN184" i="2"/>
  <c r="BN199" i="2"/>
  <c r="Z278" i="2"/>
  <c r="BP25" i="2"/>
  <c r="Y147" i="2"/>
  <c r="BP172" i="2"/>
  <c r="Z206" i="2"/>
  <c r="BN233" i="2"/>
  <c r="Y260" i="2"/>
  <c r="Y266" i="2"/>
  <c r="BP270" i="2"/>
  <c r="BN66" i="2"/>
  <c r="BN47" i="2"/>
  <c r="BP66" i="2"/>
  <c r="BN54" i="2"/>
  <c r="BP26" i="2"/>
  <c r="BN89" i="2"/>
  <c r="BP54" i="2"/>
  <c r="Y206" i="2"/>
  <c r="BP262" i="2"/>
  <c r="BN268" i="2"/>
  <c r="Y31" i="2"/>
  <c r="BN96" i="2"/>
  <c r="BN131" i="2"/>
  <c r="BP192" i="2"/>
  <c r="BP61" i="2"/>
  <c r="BN113" i="2"/>
  <c r="BN137" i="2"/>
  <c r="BN227" i="2"/>
  <c r="BP275" i="2"/>
  <c r="Y62" i="2"/>
  <c r="Y186" i="2"/>
  <c r="BN34" i="2"/>
  <c r="BP272" i="2"/>
  <c r="Y63" i="2"/>
  <c r="Y217" i="2"/>
  <c r="Y238" i="2"/>
  <c r="Y248" i="2"/>
  <c r="BP263" i="2"/>
  <c r="BN42" i="2"/>
  <c r="Y84" i="2"/>
  <c r="BP269" i="2"/>
  <c r="BN205" i="2"/>
  <c r="BP156" i="2"/>
  <c r="Y30" i="2"/>
  <c r="BN99" i="2"/>
  <c r="BP72" i="2"/>
  <c r="Y73" i="2"/>
  <c r="BP41" i="2"/>
  <c r="BN48" i="2"/>
  <c r="BP96" i="2"/>
  <c r="Y207" i="2"/>
  <c r="BP178" i="2"/>
  <c r="BN110" i="2"/>
  <c r="BP227" i="2"/>
  <c r="BP247" i="2"/>
  <c r="BP27" i="2"/>
  <c r="Y91" i="2"/>
  <c r="BN117" i="2"/>
  <c r="BN125" i="2"/>
  <c r="Y168" i="2"/>
  <c r="BN203" i="2"/>
  <c r="Y49" i="2"/>
  <c r="BP110" i="2"/>
  <c r="BP144" i="2"/>
  <c r="BN151" i="2"/>
  <c r="Y228" i="2"/>
  <c r="H9" i="2"/>
  <c r="BN97" i="2"/>
  <c r="BP125" i="2"/>
  <c r="BN132" i="2"/>
  <c r="BP193" i="2"/>
  <c r="BN210" i="2"/>
  <c r="BN276" i="2"/>
  <c r="J9" i="2"/>
  <c r="BP24" i="2"/>
  <c r="BP70" i="2"/>
  <c r="BN77" i="2"/>
  <c r="BN114" i="2"/>
  <c r="Y159" i="2"/>
  <c r="Y169" i="2"/>
  <c r="BN179" i="2"/>
  <c r="BN190" i="2"/>
  <c r="A10" i="2"/>
  <c r="Y50" i="2"/>
  <c r="BN104" i="2"/>
  <c r="Y118" i="2"/>
  <c r="Y126" i="2"/>
  <c r="BN138" i="2"/>
  <c r="Y194" i="2"/>
  <c r="Y218" i="2"/>
  <c r="Y239" i="2"/>
  <c r="Y249" i="2"/>
  <c r="BN258" i="2"/>
  <c r="Y279" i="2"/>
  <c r="Y67" i="2"/>
  <c r="BN41" i="2"/>
  <c r="BP116" i="2"/>
  <c r="Y185" i="2"/>
  <c r="BP23" i="2"/>
  <c r="Y100" i="2"/>
  <c r="BN157" i="2"/>
  <c r="BN237" i="2"/>
  <c r="Y256" i="2"/>
  <c r="BN112" i="2"/>
  <c r="BN156" i="2"/>
  <c r="BN271" i="2"/>
  <c r="BP55" i="2"/>
  <c r="BP190" i="2"/>
  <c r="Y43" i="2"/>
  <c r="BN56" i="2"/>
  <c r="BN65" i="2"/>
  <c r="BN111" i="2"/>
  <c r="BN145" i="2"/>
  <c r="BP258" i="2"/>
  <c r="BN264" i="2"/>
  <c r="BN254" i="2"/>
  <c r="BP271" i="2"/>
  <c r="BP254" i="2"/>
  <c r="BP83" i="2"/>
  <c r="F9" i="2"/>
  <c r="Y152" i="2"/>
  <c r="BP216" i="2"/>
  <c r="Y85" i="2"/>
  <c r="Y180" i="2"/>
  <c r="Y153" i="2"/>
  <c r="BN72" i="2"/>
  <c r="BN150" i="2"/>
  <c r="BP89" i="2"/>
  <c r="BN167" i="2"/>
  <c r="X283" i="2" l="1"/>
  <c r="Z285" i="2"/>
  <c r="Y281" i="2"/>
  <c r="Y282" i="2"/>
  <c r="Y284" i="2"/>
  <c r="Y280" i="2"/>
  <c r="Y283" i="2" l="1"/>
  <c r="C293" i="2" l="1"/>
  <c r="B293" i="2"/>
  <c r="A293" i="2"/>
</calcChain>
</file>

<file path=xl/sharedStrings.xml><?xml version="1.0" encoding="utf-8"?>
<sst xmlns="http://schemas.openxmlformats.org/spreadsheetml/2006/main" count="1735" uniqueCount="401">
  <si>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</si>
  <si>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</si>
  <si>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</si>
  <si>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</si>
  <si>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</si>
  <si>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</si>
  <si>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</si>
  <si>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</si>
  <si>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</si>
  <si>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</si>
  <si>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</si>
  <si>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</si>
  <si>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</si>
  <si>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</si>
  <si>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</si>
  <si>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</si>
  <si>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</si>
  <si>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</si>
  <si>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</si>
  <si>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</si>
  <si>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</si>
  <si>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</si>
  <si>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</si>
  <si>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</si>
  <si>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</si>
  <si>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</si>
  <si>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</si>
  <si>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</si>
  <si>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</si>
  <si>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</si>
  <si>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</si>
  <si>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</si>
  <si>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</si>
  <si>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</si>
  <si>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</si>
  <si>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</si>
  <si>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</si>
  <si>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</si>
  <si>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</si>
  <si>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</si>
  <si>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</si>
  <si>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</si>
  <si>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</si>
  <si>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</si>
  <si>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</si>
  <si>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</si>
  <si>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</si>
  <si>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</si>
  <si>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</si>
  <si>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</si>
  <si>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</si>
  <si>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</si>
  <si>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</si>
  <si>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</si>
  <si>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</si>
  <si>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</si>
  <si>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</si>
  <si>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</si>
  <si>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</si>
  <si>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</si>
  <si>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</si>
  <si>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</si>
  <si>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</si>
  <si>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</si>
  <si>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</si>
  <si>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</si>
  <si>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</si>
  <si>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</si>
  <si>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</si>
  <si>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</si>
  <si>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</si>
  <si>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10.08.2026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</si>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</sst>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2" t="s">
        <v>26</v>
      </c>
      <c r="E1" s="462"/>
      <c r="F1" s="462"/>
      <c r="G1" s="14" t="s">
        <v>70</v>
      </c>
      <c r="H1" s="462" t="s">
        <v>47</v>
      </c>
      <c r="I1" s="462"/>
      <c r="J1" s="462"/>
      <c r="K1" s="462"/>
      <c r="L1" s="462"/>
      <c r="M1" s="462"/>
      <c r="N1" s="462"/>
      <c r="O1" s="462"/>
      <c r="P1" s="462"/>
      <c r="Q1" s="462"/>
      <c r="R1" s="463" t="s">
        <v>71</v>
      </c>
      <c r="S1" s="464"/>
      <c r="T1" s="4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5"/>
      <c r="R2" s="465"/>
      <c r="S2" s="465"/>
      <c r="T2" s="465"/>
      <c r="U2" s="465"/>
      <c r="V2" s="465"/>
      <c r="W2" s="4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5"/>
      <c r="Q3" s="465"/>
      <c r="R3" s="465"/>
      <c r="S3" s="465"/>
      <c r="T3" s="465"/>
      <c r="U3" s="465"/>
      <c r="V3" s="465"/>
      <c r="W3" s="4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6"/>
      <c r="E5" s="466"/>
      <c r="F5" s="467" t="s">
        <v>14</v>
      </c>
      <c r="G5" s="467"/>
      <c r="H5" s="466"/>
      <c r="I5" s="466"/>
      <c r="J5" s="466"/>
      <c r="K5" s="466"/>
      <c r="L5" s="466"/>
      <c r="M5" s="466"/>
      <c r="N5" s="75"/>
      <c r="P5" s="27" t="s">
        <v>4</v>
      </c>
      <c r="Q5" s="468">
        <v>46253</v>
      </c>
      <c r="R5" s="468"/>
      <c r="T5" s="469" t="s">
        <v>3</v>
      </c>
      <c r="U5" s="470"/>
      <c r="V5" s="471" t="s">
        <v>387</v>
      </c>
      <c r="W5" s="472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 t="s">
        <v>78</v>
      </c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>Среда</v>
      </c>
      <c r="R6" s="446"/>
      <c r="T6" s="447" t="s">
        <v>5</v>
      </c>
      <c r="U6" s="448"/>
      <c r="V6" s="449" t="s">
        <v>72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 t="str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 t="s">
        <v>79</v>
      </c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>
        <v>0.375</v>
      </c>
      <c r="R8" s="442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0" t="str">
        <f>IF(AND($A$9="Тип доверенности/получателя при получении в адресе перегруза:",$D$9="Разовая доверенность"),"Введите ФИО","")</f>
        <v/>
      </c>
      <c r="I9" s="460"/>
      <c r="J9" s="4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0"/>
      <c r="L9" s="460"/>
      <c r="M9" s="460"/>
      <c r="N9" s="73"/>
      <c r="P9" s="31" t="s">
        <v>15</v>
      </c>
      <c r="Q9" s="461"/>
      <c r="R9" s="461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73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74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75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76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77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hidden="1" customHeight="1" x14ac:dyDescent="0.2">
      <c r="A19" s="318" t="s">
        <v>80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54"/>
      <c r="AB19" s="54"/>
      <c r="AC19" s="54"/>
    </row>
    <row r="20" spans="1:68" ht="16.5" hidden="1" customHeight="1" x14ac:dyDescent="0.25">
      <c r="A20" s="319" t="s">
        <v>80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65"/>
      <c r="AB20" s="65"/>
      <c r="AC20" s="82"/>
    </row>
    <row r="21" spans="1:68" ht="14.25" hidden="1" customHeight="1" x14ac:dyDescent="0.25">
      <c r="A21" s="314" t="s">
        <v>81</v>
      </c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66"/>
      <c r="AB21" s="66"/>
      <c r="AC21" s="83"/>
    </row>
    <row r="22" spans="1:68" ht="27" hidden="1" customHeight="1" x14ac:dyDescent="0.25">
      <c r="A22" s="63" t="s">
        <v>82</v>
      </c>
      <c r="B22" s="63" t="s">
        <v>83</v>
      </c>
      <c r="C22" s="36">
        <v>4301071113</v>
      </c>
      <c r="D22" s="296">
        <v>4620207491508</v>
      </c>
      <c r="E22" s="29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8"/>
      <c r="R22" s="298"/>
      <c r="S22" s="298"/>
      <c r="T22" s="29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4301071112</v>
      </c>
      <c r="D23" s="296">
        <v>4620207491256</v>
      </c>
      <c r="E23" s="29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8"/>
      <c r="R23" s="298"/>
      <c r="S23" s="298"/>
      <c r="T23" s="299"/>
      <c r="U23" s="39" t="s">
        <v>46</v>
      </c>
      <c r="V23" s="39" t="s">
        <v>46</v>
      </c>
      <c r="W23" s="40" t="s">
        <v>39</v>
      </c>
      <c r="X23" s="58">
        <v>36</v>
      </c>
      <c r="Y23" s="55">
        <f t="shared" si="0"/>
        <v>36</v>
      </c>
      <c r="Z23" s="41">
        <f t="shared" si="1"/>
        <v>0.55800000000000005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238.68</v>
      </c>
      <c r="BN23" s="81">
        <f t="shared" si="3"/>
        <v>238.68</v>
      </c>
      <c r="BO23" s="81">
        <f t="shared" si="4"/>
        <v>0.42857142857142855</v>
      </c>
      <c r="BP23" s="81">
        <f t="shared" si="5"/>
        <v>0.42857142857142855</v>
      </c>
    </row>
    <row r="24" spans="1:68" ht="27" hidden="1" customHeight="1" x14ac:dyDescent="0.25">
      <c r="A24" s="63" t="s">
        <v>91</v>
      </c>
      <c r="B24" s="63" t="s">
        <v>92</v>
      </c>
      <c r="C24" s="36">
        <v>4301071135</v>
      </c>
      <c r="D24" s="296">
        <v>4620207491713</v>
      </c>
      <c r="E24" s="29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8"/>
      <c r="R24" s="298"/>
      <c r="S24" s="298"/>
      <c r="T24" s="29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94</v>
      </c>
      <c r="B25" s="63" t="s">
        <v>95</v>
      </c>
      <c r="C25" s="36">
        <v>4301071134</v>
      </c>
      <c r="D25" s="296">
        <v>4620207491720</v>
      </c>
      <c r="E25" s="29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8"/>
      <c r="R25" s="298"/>
      <c r="S25" s="298"/>
      <c r="T25" s="29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96</v>
      </c>
      <c r="B26" s="63" t="s">
        <v>97</v>
      </c>
      <c r="C26" s="36">
        <v>4301071108</v>
      </c>
      <c r="D26" s="296">
        <v>4607111035912</v>
      </c>
      <c r="E26" s="29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8"/>
      <c r="R26" s="298"/>
      <c r="S26" s="298"/>
      <c r="T26" s="29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98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4301071109</v>
      </c>
      <c r="D27" s="296">
        <v>4607111035929</v>
      </c>
      <c r="E27" s="29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8"/>
      <c r="R27" s="298"/>
      <c r="S27" s="298"/>
      <c r="T27" s="299"/>
      <c r="U27" s="39" t="s">
        <v>46</v>
      </c>
      <c r="V27" s="39" t="s">
        <v>46</v>
      </c>
      <c r="W27" s="40" t="s">
        <v>39</v>
      </c>
      <c r="X27" s="58">
        <v>24</v>
      </c>
      <c r="Y27" s="55">
        <f t="shared" si="0"/>
        <v>24</v>
      </c>
      <c r="Z27" s="41">
        <f t="shared" si="1"/>
        <v>0.372</v>
      </c>
      <c r="AA27" s="68" t="s">
        <v>46</v>
      </c>
      <c r="AB27" s="69" t="s">
        <v>46</v>
      </c>
      <c r="AC27" s="99" t="s">
        <v>98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179.28</v>
      </c>
      <c r="BN27" s="81">
        <f t="shared" si="3"/>
        <v>179.28</v>
      </c>
      <c r="BO27" s="81">
        <f t="shared" si="4"/>
        <v>0.2857142857142857</v>
      </c>
      <c r="BP27" s="81">
        <f t="shared" si="5"/>
        <v>0.2857142857142857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4301071106</v>
      </c>
      <c r="D28" s="296">
        <v>4607111035882</v>
      </c>
      <c r="E28" s="29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8"/>
      <c r="R28" s="298"/>
      <c r="S28" s="298"/>
      <c r="T28" s="29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98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296">
        <v>4607111035905</v>
      </c>
      <c r="E29" s="29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86</v>
      </c>
      <c r="L29" s="37" t="s">
        <v>87</v>
      </c>
      <c r="M29" s="38" t="s">
        <v>85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8"/>
      <c r="R29" s="298"/>
      <c r="S29" s="298"/>
      <c r="T29" s="29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98</v>
      </c>
      <c r="AG29" s="81"/>
      <c r="AJ29" s="87" t="s">
        <v>88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3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306"/>
      <c r="P30" s="303" t="s">
        <v>40</v>
      </c>
      <c r="Q30" s="304"/>
      <c r="R30" s="304"/>
      <c r="S30" s="304"/>
      <c r="T30" s="304"/>
      <c r="U30" s="304"/>
      <c r="V30" s="305"/>
      <c r="W30" s="42" t="s">
        <v>39</v>
      </c>
      <c r="X30" s="43">
        <f>IFERROR(SUM(X22:X29),"0")</f>
        <v>60</v>
      </c>
      <c r="Y30" s="43">
        <f>IFERROR(SUM(Y22:Y29),"0")</f>
        <v>60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0.93</v>
      </c>
      <c r="AA30" s="67"/>
      <c r="AB30" s="67"/>
      <c r="AC30" s="67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306"/>
      <c r="P31" s="303" t="s">
        <v>40</v>
      </c>
      <c r="Q31" s="304"/>
      <c r="R31" s="304"/>
      <c r="S31" s="304"/>
      <c r="T31" s="304"/>
      <c r="U31" s="304"/>
      <c r="V31" s="305"/>
      <c r="W31" s="42" t="s">
        <v>0</v>
      </c>
      <c r="X31" s="43">
        <f>IFERROR(SUMPRODUCT(X22:X29*H22:H29),"0")</f>
        <v>403.20000000000005</v>
      </c>
      <c r="Y31" s="43">
        <f>IFERROR(SUMPRODUCT(Y22:Y29*H22:H29),"0")</f>
        <v>403.20000000000005</v>
      </c>
      <c r="Z31" s="42"/>
      <c r="AA31" s="67"/>
      <c r="AB31" s="67"/>
      <c r="AC31" s="67"/>
    </row>
    <row r="32" spans="1:68" ht="16.5" hidden="1" customHeight="1" x14ac:dyDescent="0.25">
      <c r="A32" s="319" t="s">
        <v>105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65"/>
      <c r="AB32" s="65"/>
      <c r="AC32" s="82"/>
    </row>
    <row r="33" spans="1:68" ht="14.25" hidden="1" customHeight="1" x14ac:dyDescent="0.25">
      <c r="A33" s="314" t="s">
        <v>81</v>
      </c>
      <c r="B33" s="314"/>
      <c r="C33" s="314"/>
      <c r="D33" s="314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296">
        <v>4607111039019</v>
      </c>
      <c r="E34" s="29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8"/>
      <c r="R34" s="298"/>
      <c r="S34" s="298"/>
      <c r="T34" s="29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109</v>
      </c>
      <c r="B35" s="63" t="s">
        <v>110</v>
      </c>
      <c r="C35" s="36">
        <v>4301071100</v>
      </c>
      <c r="D35" s="296">
        <v>4607111038708</v>
      </c>
      <c r="E35" s="29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86</v>
      </c>
      <c r="L35" s="37" t="s">
        <v>87</v>
      </c>
      <c r="M35" s="38" t="s">
        <v>85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8"/>
      <c r="R35" s="298"/>
      <c r="S35" s="298"/>
      <c r="T35" s="29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88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293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306"/>
      <c r="P36" s="303" t="s">
        <v>40</v>
      </c>
      <c r="Q36" s="304"/>
      <c r="R36" s="304"/>
      <c r="S36" s="304"/>
      <c r="T36" s="304"/>
      <c r="U36" s="304"/>
      <c r="V36" s="30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306"/>
      <c r="P37" s="303" t="s">
        <v>40</v>
      </c>
      <c r="Q37" s="304"/>
      <c r="R37" s="304"/>
      <c r="S37" s="304"/>
      <c r="T37" s="304"/>
      <c r="U37" s="304"/>
      <c r="V37" s="30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18" t="s">
        <v>45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54"/>
      <c r="AB38" s="54"/>
      <c r="AC38" s="54"/>
    </row>
    <row r="39" spans="1:68" ht="16.5" hidden="1" customHeight="1" x14ac:dyDescent="0.25">
      <c r="A39" s="319" t="s">
        <v>111</v>
      </c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65"/>
      <c r="AB39" s="65"/>
      <c r="AC39" s="82"/>
    </row>
    <row r="40" spans="1:68" ht="14.25" hidden="1" customHeight="1" x14ac:dyDescent="0.25">
      <c r="A40" s="314" t="s">
        <v>112</v>
      </c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296">
        <v>4607111036537</v>
      </c>
      <c r="E41" s="29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85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8"/>
      <c r="R41" s="298"/>
      <c r="S41" s="298"/>
      <c r="T41" s="299"/>
      <c r="U41" s="39" t="s">
        <v>46</v>
      </c>
      <c r="V41" s="39" t="s">
        <v>46</v>
      </c>
      <c r="W41" s="40" t="s">
        <v>39</v>
      </c>
      <c r="X41" s="58">
        <v>140</v>
      </c>
      <c r="Y41" s="55">
        <f>IFERROR(IF(X41="","",X41),"")</f>
        <v>140</v>
      </c>
      <c r="Z41" s="41">
        <f>IFERROR(IF(X41="","",X41*0.00941),"")</f>
        <v>1.3173999999999999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269.05200000000002</v>
      </c>
      <c r="BN41" s="81">
        <f>IFERROR(Y41*I41,"0")</f>
        <v>269.05200000000002</v>
      </c>
      <c r="BO41" s="81">
        <f>IFERROR(X41/J41,"0")</f>
        <v>1</v>
      </c>
      <c r="BP41" s="81">
        <f>IFERROR(Y41/J41,"0")</f>
        <v>1</v>
      </c>
    </row>
    <row r="42" spans="1:68" ht="27" hidden="1" customHeight="1" x14ac:dyDescent="0.25">
      <c r="A42" s="63" t="s">
        <v>120</v>
      </c>
      <c r="B42" s="63" t="s">
        <v>121</v>
      </c>
      <c r="C42" s="36">
        <v>4301132188</v>
      </c>
      <c r="D42" s="296">
        <v>4607111036605</v>
      </c>
      <c r="E42" s="29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87</v>
      </c>
      <c r="M42" s="38" t="s">
        <v>85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8"/>
      <c r="R42" s="298"/>
      <c r="S42" s="298"/>
      <c r="T42" s="299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115</v>
      </c>
      <c r="AG42" s="81"/>
      <c r="AJ42" s="87" t="s">
        <v>88</v>
      </c>
      <c r="AK42" s="87">
        <v>1</v>
      </c>
      <c r="BB42" s="112" t="s">
        <v>116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3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306"/>
      <c r="P43" s="303" t="s">
        <v>40</v>
      </c>
      <c r="Q43" s="304"/>
      <c r="R43" s="304"/>
      <c r="S43" s="304"/>
      <c r="T43" s="304"/>
      <c r="U43" s="304"/>
      <c r="V43" s="305"/>
      <c r="W43" s="42" t="s">
        <v>39</v>
      </c>
      <c r="X43" s="43">
        <f>IFERROR(SUM(X41:X42),"0")</f>
        <v>140</v>
      </c>
      <c r="Y43" s="43">
        <f>IFERROR(SUM(Y41:Y42),"0")</f>
        <v>140</v>
      </c>
      <c r="Z43" s="43">
        <f>IFERROR(IF(Z41="",0,Z41),"0")+IFERROR(IF(Z42="",0,Z42),"0")</f>
        <v>1.3173999999999999</v>
      </c>
      <c r="AA43" s="67"/>
      <c r="AB43" s="67"/>
      <c r="AC43" s="67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306"/>
      <c r="P44" s="303" t="s">
        <v>40</v>
      </c>
      <c r="Q44" s="304"/>
      <c r="R44" s="304"/>
      <c r="S44" s="304"/>
      <c r="T44" s="304"/>
      <c r="U44" s="304"/>
      <c r="V44" s="305"/>
      <c r="W44" s="42" t="s">
        <v>0</v>
      </c>
      <c r="X44" s="43">
        <f>IFERROR(SUMPRODUCT(X41:X42*H41:H42),"0")</f>
        <v>210</v>
      </c>
      <c r="Y44" s="43">
        <f>IFERROR(SUMPRODUCT(Y41:Y42*H41:H42),"0")</f>
        <v>210</v>
      </c>
      <c r="Z44" s="42"/>
      <c r="AA44" s="67"/>
      <c r="AB44" s="67"/>
      <c r="AC44" s="67"/>
    </row>
    <row r="45" spans="1:68" ht="16.5" hidden="1" customHeight="1" x14ac:dyDescent="0.25">
      <c r="A45" s="319" t="s">
        <v>122</v>
      </c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65"/>
      <c r="AB45" s="65"/>
      <c r="AC45" s="82"/>
    </row>
    <row r="46" spans="1:68" ht="14.25" hidden="1" customHeight="1" x14ac:dyDescent="0.25">
      <c r="A46" s="314" t="s">
        <v>81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  <c r="AA46" s="66"/>
      <c r="AB46" s="66"/>
      <c r="AC46" s="83"/>
    </row>
    <row r="47" spans="1:68" ht="27" hidden="1" customHeight="1" x14ac:dyDescent="0.25">
      <c r="A47" s="63" t="s">
        <v>123</v>
      </c>
      <c r="B47" s="63" t="s">
        <v>124</v>
      </c>
      <c r="C47" s="36">
        <v>4301071090</v>
      </c>
      <c r="D47" s="296">
        <v>4620207490075</v>
      </c>
      <c r="E47" s="29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87</v>
      </c>
      <c r="M47" s="38" t="s">
        <v>85</v>
      </c>
      <c r="N47" s="38"/>
      <c r="O47" s="37">
        <v>180</v>
      </c>
      <c r="P47" s="39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8"/>
      <c r="R47" s="298"/>
      <c r="S47" s="298"/>
      <c r="T47" s="29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88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296">
        <v>4620207490174</v>
      </c>
      <c r="E48" s="29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118</v>
      </c>
      <c r="M48" s="38" t="s">
        <v>85</v>
      </c>
      <c r="N48" s="38"/>
      <c r="O48" s="37">
        <v>180</v>
      </c>
      <c r="P48" s="39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8"/>
      <c r="R48" s="298"/>
      <c r="S48" s="298"/>
      <c r="T48" s="299"/>
      <c r="U48" s="39" t="s">
        <v>46</v>
      </c>
      <c r="V48" s="39" t="s">
        <v>46</v>
      </c>
      <c r="W48" s="40" t="s">
        <v>39</v>
      </c>
      <c r="X48" s="58">
        <v>24</v>
      </c>
      <c r="Y48" s="55">
        <f>IFERROR(IF(X48="","",X48),"")</f>
        <v>24</v>
      </c>
      <c r="Z48" s="41">
        <f>IFERROR(IF(X48="","",X48*0.0155),"")</f>
        <v>0.372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140.88</v>
      </c>
      <c r="BN48" s="81">
        <f>IFERROR(Y48*I48,"0")</f>
        <v>140.88</v>
      </c>
      <c r="BO48" s="81">
        <f>IFERROR(X48/J48,"0")</f>
        <v>0.2857142857142857</v>
      </c>
      <c r="BP48" s="81">
        <f>IFERROR(Y48/J48,"0")</f>
        <v>0.2857142857142857</v>
      </c>
    </row>
    <row r="49" spans="1:68" x14ac:dyDescent="0.2">
      <c r="A49" s="293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306"/>
      <c r="P49" s="303" t="s">
        <v>40</v>
      </c>
      <c r="Q49" s="304"/>
      <c r="R49" s="304"/>
      <c r="S49" s="304"/>
      <c r="T49" s="304"/>
      <c r="U49" s="304"/>
      <c r="V49" s="305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306"/>
      <c r="P50" s="303" t="s">
        <v>40</v>
      </c>
      <c r="Q50" s="304"/>
      <c r="R50" s="304"/>
      <c r="S50" s="304"/>
      <c r="T50" s="304"/>
      <c r="U50" s="304"/>
      <c r="V50" s="305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hidden="1" customHeight="1" x14ac:dyDescent="0.25">
      <c r="A51" s="319" t="s">
        <v>129</v>
      </c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65"/>
      <c r="AB51" s="65"/>
      <c r="AC51" s="82"/>
    </row>
    <row r="52" spans="1:68" ht="14.25" hidden="1" customHeight="1" x14ac:dyDescent="0.25">
      <c r="A52" s="314" t="s">
        <v>81</v>
      </c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14"/>
      <c r="V52" s="314"/>
      <c r="W52" s="314"/>
      <c r="X52" s="314"/>
      <c r="Y52" s="314"/>
      <c r="Z52" s="314"/>
      <c r="AA52" s="66"/>
      <c r="AB52" s="66"/>
      <c r="AC52" s="83"/>
    </row>
    <row r="53" spans="1:68" ht="27" customHeight="1" x14ac:dyDescent="0.25">
      <c r="A53" s="63" t="s">
        <v>130</v>
      </c>
      <c r="B53" s="63" t="s">
        <v>131</v>
      </c>
      <c r="C53" s="36">
        <v>4301071044</v>
      </c>
      <c r="D53" s="296">
        <v>4607111039385</v>
      </c>
      <c r="E53" s="29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118</v>
      </c>
      <c r="M53" s="38" t="s">
        <v>85</v>
      </c>
      <c r="N53" s="38"/>
      <c r="O53" s="37">
        <v>180</v>
      </c>
      <c r="P53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8"/>
      <c r="R53" s="298"/>
      <c r="S53" s="298"/>
      <c r="T53" s="299"/>
      <c r="U53" s="39" t="s">
        <v>46</v>
      </c>
      <c r="V53" s="39" t="s">
        <v>46</v>
      </c>
      <c r="W53" s="40" t="s">
        <v>39</v>
      </c>
      <c r="X53" s="58">
        <v>48</v>
      </c>
      <c r="Y53" s="55">
        <f>IFERROR(IF(X53="","",X53),"")</f>
        <v>48</v>
      </c>
      <c r="Z53" s="41">
        <f>IFERROR(IF(X53="","",X53*0.0155),"")</f>
        <v>0.74399999999999999</v>
      </c>
      <c r="AA53" s="68" t="s">
        <v>46</v>
      </c>
      <c r="AB53" s="69" t="s">
        <v>46</v>
      </c>
      <c r="AC53" s="117" t="s">
        <v>132</v>
      </c>
      <c r="AG53" s="81"/>
      <c r="AJ53" s="87" t="s">
        <v>119</v>
      </c>
      <c r="AK53" s="87">
        <v>12</v>
      </c>
      <c r="BB53" s="118" t="s">
        <v>70</v>
      </c>
      <c r="BM53" s="81">
        <f>IFERROR(X53*I53,"0")</f>
        <v>350.4</v>
      </c>
      <c r="BN53" s="81">
        <f>IFERROR(Y53*I53,"0")</f>
        <v>350.4</v>
      </c>
      <c r="BO53" s="81">
        <f>IFERROR(X53/J53,"0")</f>
        <v>0.5714285714285714</v>
      </c>
      <c r="BP53" s="81">
        <f>IFERROR(Y53/J53,"0")</f>
        <v>0.5714285714285714</v>
      </c>
    </row>
    <row r="54" spans="1:68" ht="27" customHeight="1" x14ac:dyDescent="0.25">
      <c r="A54" s="63" t="s">
        <v>133</v>
      </c>
      <c r="B54" s="63" t="s">
        <v>134</v>
      </c>
      <c r="C54" s="36">
        <v>4301071031</v>
      </c>
      <c r="D54" s="296">
        <v>4607111038982</v>
      </c>
      <c r="E54" s="29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118</v>
      </c>
      <c r="M54" s="38" t="s">
        <v>85</v>
      </c>
      <c r="N54" s="38"/>
      <c r="O54" s="37">
        <v>180</v>
      </c>
      <c r="P54" s="38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8"/>
      <c r="R54" s="298"/>
      <c r="S54" s="298"/>
      <c r="T54" s="299"/>
      <c r="U54" s="39" t="s">
        <v>46</v>
      </c>
      <c r="V54" s="39" t="s">
        <v>46</v>
      </c>
      <c r="W54" s="40" t="s">
        <v>39</v>
      </c>
      <c r="X54" s="58">
        <v>96</v>
      </c>
      <c r="Y54" s="55">
        <f>IFERROR(IF(X54="","",X54),"")</f>
        <v>96</v>
      </c>
      <c r="Z54" s="41">
        <f>IFERROR(IF(X54="","",X54*0.0155),"")</f>
        <v>1.488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699.4559999999999</v>
      </c>
      <c r="BN54" s="81">
        <f>IFERROR(Y54*I54,"0")</f>
        <v>699.4559999999999</v>
      </c>
      <c r="BO54" s="81">
        <f>IFERROR(X54/J54,"0")</f>
        <v>1.1428571428571428</v>
      </c>
      <c r="BP54" s="81">
        <f>IFERROR(Y54/J54,"0")</f>
        <v>1.1428571428571428</v>
      </c>
    </row>
    <row r="55" spans="1:68" ht="27" customHeight="1" x14ac:dyDescent="0.25">
      <c r="A55" s="63" t="s">
        <v>136</v>
      </c>
      <c r="B55" s="63" t="s">
        <v>137</v>
      </c>
      <c r="C55" s="36">
        <v>4301071046</v>
      </c>
      <c r="D55" s="296">
        <v>4607111039354</v>
      </c>
      <c r="E55" s="29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118</v>
      </c>
      <c r="M55" s="38" t="s">
        <v>85</v>
      </c>
      <c r="N55" s="38"/>
      <c r="O55" s="37">
        <v>180</v>
      </c>
      <c r="P55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8"/>
      <c r="R55" s="298"/>
      <c r="S55" s="298"/>
      <c r="T55" s="299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135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customHeight="1" x14ac:dyDescent="0.25">
      <c r="A56" s="63" t="s">
        <v>138</v>
      </c>
      <c r="B56" s="63" t="s">
        <v>139</v>
      </c>
      <c r="C56" s="36">
        <v>4301071047</v>
      </c>
      <c r="D56" s="296">
        <v>4607111039330</v>
      </c>
      <c r="E56" s="29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118</v>
      </c>
      <c r="M56" s="38" t="s">
        <v>85</v>
      </c>
      <c r="N56" s="38"/>
      <c r="O56" s="37">
        <v>180</v>
      </c>
      <c r="P56" s="39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8"/>
      <c r="R56" s="298"/>
      <c r="S56" s="298"/>
      <c r="T56" s="299"/>
      <c r="U56" s="39" t="s">
        <v>46</v>
      </c>
      <c r="V56" s="39" t="s">
        <v>46</v>
      </c>
      <c r="W56" s="40" t="s">
        <v>39</v>
      </c>
      <c r="X56" s="58">
        <v>84</v>
      </c>
      <c r="Y56" s="55">
        <f>IFERROR(IF(X56="","",X56),"")</f>
        <v>84</v>
      </c>
      <c r="Z56" s="41">
        <f>IFERROR(IF(X56="","",X56*0.0155),"")</f>
        <v>1.302</v>
      </c>
      <c r="AA56" s="68" t="s">
        <v>46</v>
      </c>
      <c r="AB56" s="69" t="s">
        <v>46</v>
      </c>
      <c r="AC56" s="123" t="s">
        <v>135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613.19999999999993</v>
      </c>
      <c r="BN56" s="81">
        <f>IFERROR(Y56*I56,"0")</f>
        <v>613.19999999999993</v>
      </c>
      <c r="BO56" s="81">
        <f>IFERROR(X56/J56,"0")</f>
        <v>1</v>
      </c>
      <c r="BP56" s="81">
        <f>IFERROR(Y56/J56,"0")</f>
        <v>1</v>
      </c>
    </row>
    <row r="57" spans="1:68" x14ac:dyDescent="0.2">
      <c r="A57" s="293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306"/>
      <c r="P57" s="303" t="s">
        <v>40</v>
      </c>
      <c r="Q57" s="304"/>
      <c r="R57" s="304"/>
      <c r="S57" s="304"/>
      <c r="T57" s="304"/>
      <c r="U57" s="304"/>
      <c r="V57" s="305"/>
      <c r="W57" s="42" t="s">
        <v>39</v>
      </c>
      <c r="X57" s="43">
        <f>IFERROR(SUM(X53:X56),"0")</f>
        <v>240</v>
      </c>
      <c r="Y57" s="43">
        <f>IFERROR(SUM(Y53:Y56),"0")</f>
        <v>240</v>
      </c>
      <c r="Z57" s="43">
        <f>IFERROR(IF(Z53="",0,Z53),"0")+IFERROR(IF(Z54="",0,Z54),"0")+IFERROR(IF(Z55="",0,Z55),"0")+IFERROR(IF(Z56="",0,Z56),"0")</f>
        <v>3.72</v>
      </c>
      <c r="AA57" s="67"/>
      <c r="AB57" s="67"/>
      <c r="AC57" s="67"/>
    </row>
    <row r="58" spans="1:68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306"/>
      <c r="P58" s="303" t="s">
        <v>40</v>
      </c>
      <c r="Q58" s="304"/>
      <c r="R58" s="304"/>
      <c r="S58" s="304"/>
      <c r="T58" s="304"/>
      <c r="U58" s="304"/>
      <c r="V58" s="305"/>
      <c r="W58" s="42" t="s">
        <v>0</v>
      </c>
      <c r="X58" s="43">
        <f>IFERROR(SUMPRODUCT(X53:X56*H53:H56),"0")</f>
        <v>1672.8</v>
      </c>
      <c r="Y58" s="43">
        <f>IFERROR(SUMPRODUCT(Y53:Y56*H53:H56),"0")</f>
        <v>1672.8</v>
      </c>
      <c r="Z58" s="42"/>
      <c r="AA58" s="67"/>
      <c r="AB58" s="67"/>
      <c r="AC58" s="67"/>
    </row>
    <row r="59" spans="1:68" ht="16.5" hidden="1" customHeight="1" x14ac:dyDescent="0.25">
      <c r="A59" s="319" t="s">
        <v>140</v>
      </c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65"/>
      <c r="AB59" s="65"/>
      <c r="AC59" s="82"/>
    </row>
    <row r="60" spans="1:68" ht="14.25" hidden="1" customHeight="1" x14ac:dyDescent="0.25">
      <c r="A60" s="314" t="s">
        <v>112</v>
      </c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  <c r="X60" s="314"/>
      <c r="Y60" s="314"/>
      <c r="Z60" s="314"/>
      <c r="AA60" s="66"/>
      <c r="AB60" s="66"/>
      <c r="AC60" s="83"/>
    </row>
    <row r="61" spans="1:68" ht="27" hidden="1" customHeight="1" x14ac:dyDescent="0.25">
      <c r="A61" s="63" t="s">
        <v>141</v>
      </c>
      <c r="B61" s="63" t="s">
        <v>142</v>
      </c>
      <c r="C61" s="36">
        <v>4301132194</v>
      </c>
      <c r="D61" s="296">
        <v>4607111039712</v>
      </c>
      <c r="E61" s="29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117</v>
      </c>
      <c r="L61" s="37" t="s">
        <v>87</v>
      </c>
      <c r="M61" s="38" t="s">
        <v>85</v>
      </c>
      <c r="N61" s="38"/>
      <c r="O61" s="37">
        <v>365</v>
      </c>
      <c r="P61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8"/>
      <c r="R61" s="298"/>
      <c r="S61" s="298"/>
      <c r="T61" s="29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116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293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306"/>
      <c r="P62" s="303" t="s">
        <v>40</v>
      </c>
      <c r="Q62" s="304"/>
      <c r="R62" s="304"/>
      <c r="S62" s="304"/>
      <c r="T62" s="304"/>
      <c r="U62" s="304"/>
      <c r="V62" s="30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306"/>
      <c r="P63" s="303" t="s">
        <v>40</v>
      </c>
      <c r="Q63" s="304"/>
      <c r="R63" s="304"/>
      <c r="S63" s="304"/>
      <c r="T63" s="304"/>
      <c r="U63" s="304"/>
      <c r="V63" s="30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14" t="s">
        <v>144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X64" s="314"/>
      <c r="Y64" s="314"/>
      <c r="Z64" s="314"/>
      <c r="AA64" s="66"/>
      <c r="AB64" s="66"/>
      <c r="AC64" s="83"/>
    </row>
    <row r="65" spans="1:68" ht="16.5" hidden="1" customHeight="1" x14ac:dyDescent="0.25">
      <c r="A65" s="63" t="s">
        <v>145</v>
      </c>
      <c r="B65" s="63" t="s">
        <v>146</v>
      </c>
      <c r="C65" s="36">
        <v>4301136018</v>
      </c>
      <c r="D65" s="296">
        <v>4607111037008</v>
      </c>
      <c r="E65" s="296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117</v>
      </c>
      <c r="L65" s="37" t="s">
        <v>87</v>
      </c>
      <c r="M65" s="38" t="s">
        <v>85</v>
      </c>
      <c r="N65" s="38"/>
      <c r="O65" s="37">
        <v>365</v>
      </c>
      <c r="P65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8"/>
      <c r="R65" s="298"/>
      <c r="S65" s="298"/>
      <c r="T65" s="29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147</v>
      </c>
      <c r="AG65" s="81"/>
      <c r="AJ65" s="87" t="s">
        <v>88</v>
      </c>
      <c r="AK65" s="87">
        <v>1</v>
      </c>
      <c r="BB65" s="128" t="s">
        <v>116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148</v>
      </c>
      <c r="B66" s="63" t="s">
        <v>149</v>
      </c>
      <c r="C66" s="36">
        <v>4301136015</v>
      </c>
      <c r="D66" s="296">
        <v>4607111037398</v>
      </c>
      <c r="E66" s="296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117</v>
      </c>
      <c r="L66" s="37" t="s">
        <v>87</v>
      </c>
      <c r="M66" s="38" t="s">
        <v>85</v>
      </c>
      <c r="N66" s="38"/>
      <c r="O66" s="37">
        <v>365</v>
      </c>
      <c r="P66" s="38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8"/>
      <c r="R66" s="298"/>
      <c r="S66" s="298"/>
      <c r="T66" s="299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147</v>
      </c>
      <c r="AG66" s="81"/>
      <c r="AJ66" s="87" t="s">
        <v>88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293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306"/>
      <c r="P67" s="303" t="s">
        <v>40</v>
      </c>
      <c r="Q67" s="304"/>
      <c r="R67" s="304"/>
      <c r="S67" s="304"/>
      <c r="T67" s="304"/>
      <c r="U67" s="304"/>
      <c r="V67" s="30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306"/>
      <c r="P68" s="303" t="s">
        <v>40</v>
      </c>
      <c r="Q68" s="304"/>
      <c r="R68" s="304"/>
      <c r="S68" s="304"/>
      <c r="T68" s="304"/>
      <c r="U68" s="304"/>
      <c r="V68" s="30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14" t="s">
        <v>150</v>
      </c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  <c r="AA69" s="66"/>
      <c r="AB69" s="66"/>
      <c r="AC69" s="83"/>
    </row>
    <row r="70" spans="1:68" ht="27" hidden="1" customHeight="1" x14ac:dyDescent="0.25">
      <c r="A70" s="63" t="s">
        <v>151</v>
      </c>
      <c r="B70" s="63" t="s">
        <v>152</v>
      </c>
      <c r="C70" s="36">
        <v>4301135664</v>
      </c>
      <c r="D70" s="296">
        <v>4607111039705</v>
      </c>
      <c r="E70" s="29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117</v>
      </c>
      <c r="L70" s="37" t="s">
        <v>87</v>
      </c>
      <c r="M70" s="38" t="s">
        <v>85</v>
      </c>
      <c r="N70" s="38"/>
      <c r="O70" s="37">
        <v>365</v>
      </c>
      <c r="P70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8"/>
      <c r="R70" s="298"/>
      <c r="S70" s="298"/>
      <c r="T70" s="29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147</v>
      </c>
      <c r="AG70" s="81"/>
      <c r="AJ70" s="87" t="s">
        <v>88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153</v>
      </c>
      <c r="B71" s="63" t="s">
        <v>154</v>
      </c>
      <c r="C71" s="36">
        <v>4301135665</v>
      </c>
      <c r="D71" s="296">
        <v>4607111039729</v>
      </c>
      <c r="E71" s="29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117</v>
      </c>
      <c r="L71" s="37" t="s">
        <v>118</v>
      </c>
      <c r="M71" s="38" t="s">
        <v>85</v>
      </c>
      <c r="N71" s="38"/>
      <c r="O71" s="37">
        <v>365</v>
      </c>
      <c r="P71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8"/>
      <c r="R71" s="298"/>
      <c r="S71" s="298"/>
      <c r="T71" s="299"/>
      <c r="U71" s="39" t="s">
        <v>46</v>
      </c>
      <c r="V71" s="39" t="s">
        <v>46</v>
      </c>
      <c r="W71" s="40" t="s">
        <v>39</v>
      </c>
      <c r="X71" s="58">
        <v>14</v>
      </c>
      <c r="Y71" s="55">
        <f>IFERROR(IF(X71="","",X71),"")</f>
        <v>14</v>
      </c>
      <c r="Z71" s="41">
        <f>IFERROR(IF(X71="","",X71*0.00941),"")</f>
        <v>0.13174</v>
      </c>
      <c r="AA71" s="68" t="s">
        <v>46</v>
      </c>
      <c r="AB71" s="69" t="s">
        <v>46</v>
      </c>
      <c r="AC71" s="133" t="s">
        <v>155</v>
      </c>
      <c r="AG71" s="81"/>
      <c r="AJ71" s="87" t="s">
        <v>119</v>
      </c>
      <c r="AK71" s="87">
        <v>14</v>
      </c>
      <c r="BB71" s="134" t="s">
        <v>116</v>
      </c>
      <c r="BM71" s="81">
        <f>IFERROR(X71*I71,"0")</f>
        <v>21.84</v>
      </c>
      <c r="BN71" s="81">
        <f>IFERROR(Y71*I71,"0")</f>
        <v>21.84</v>
      </c>
      <c r="BO71" s="81">
        <f>IFERROR(X71/J71,"0")</f>
        <v>0.1</v>
      </c>
      <c r="BP71" s="81">
        <f>IFERROR(Y71/J71,"0")</f>
        <v>0.1</v>
      </c>
    </row>
    <row r="72" spans="1:68" ht="27" customHeight="1" x14ac:dyDescent="0.25">
      <c r="A72" s="63" t="s">
        <v>156</v>
      </c>
      <c r="B72" s="63" t="s">
        <v>157</v>
      </c>
      <c r="C72" s="36">
        <v>4301135702</v>
      </c>
      <c r="D72" s="296">
        <v>4620207490228</v>
      </c>
      <c r="E72" s="296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117</v>
      </c>
      <c r="L72" s="37" t="s">
        <v>118</v>
      </c>
      <c r="M72" s="38" t="s">
        <v>85</v>
      </c>
      <c r="N72" s="38"/>
      <c r="O72" s="37">
        <v>365</v>
      </c>
      <c r="P72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8"/>
      <c r="R72" s="298"/>
      <c r="S72" s="298"/>
      <c r="T72" s="299"/>
      <c r="U72" s="39" t="s">
        <v>46</v>
      </c>
      <c r="V72" s="39" t="s">
        <v>46</v>
      </c>
      <c r="W72" s="40" t="s">
        <v>39</v>
      </c>
      <c r="X72" s="58">
        <v>14</v>
      </c>
      <c r="Y72" s="55">
        <f>IFERROR(IF(X72="","",X72),"")</f>
        <v>14</v>
      </c>
      <c r="Z72" s="41">
        <f>IFERROR(IF(X72="","",X72*0.00941),"")</f>
        <v>0.13174</v>
      </c>
      <c r="AA72" s="68" t="s">
        <v>46</v>
      </c>
      <c r="AB72" s="69" t="s">
        <v>46</v>
      </c>
      <c r="AC72" s="135" t="s">
        <v>155</v>
      </c>
      <c r="AG72" s="81"/>
      <c r="AJ72" s="87" t="s">
        <v>119</v>
      </c>
      <c r="AK72" s="87">
        <v>14</v>
      </c>
      <c r="BB72" s="136" t="s">
        <v>116</v>
      </c>
      <c r="BM72" s="81">
        <f>IFERROR(X72*I72,"0")</f>
        <v>21.84</v>
      </c>
      <c r="BN72" s="81">
        <f>IFERROR(Y72*I72,"0")</f>
        <v>21.84</v>
      </c>
      <c r="BO72" s="81">
        <f>IFERROR(X72/J72,"0")</f>
        <v>0.1</v>
      </c>
      <c r="BP72" s="81">
        <f>IFERROR(Y72/J72,"0")</f>
        <v>0.1</v>
      </c>
    </row>
    <row r="73" spans="1:68" x14ac:dyDescent="0.2">
      <c r="A73" s="293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306"/>
      <c r="P73" s="303" t="s">
        <v>40</v>
      </c>
      <c r="Q73" s="304"/>
      <c r="R73" s="304"/>
      <c r="S73" s="304"/>
      <c r="T73" s="304"/>
      <c r="U73" s="304"/>
      <c r="V73" s="305"/>
      <c r="W73" s="42" t="s">
        <v>39</v>
      </c>
      <c r="X73" s="43">
        <f>IFERROR(SUM(X70:X72),"0")</f>
        <v>28</v>
      </c>
      <c r="Y73" s="43">
        <f>IFERROR(SUM(Y70:Y72),"0")</f>
        <v>28</v>
      </c>
      <c r="Z73" s="43">
        <f>IFERROR(IF(Z70="",0,Z70),"0")+IFERROR(IF(Z71="",0,Z71),"0")+IFERROR(IF(Z72="",0,Z72),"0")</f>
        <v>0.26347999999999999</v>
      </c>
      <c r="AA73" s="67"/>
      <c r="AB73" s="67"/>
      <c r="AC73" s="67"/>
    </row>
    <row r="74" spans="1:68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306"/>
      <c r="P74" s="303" t="s">
        <v>40</v>
      </c>
      <c r="Q74" s="304"/>
      <c r="R74" s="304"/>
      <c r="S74" s="304"/>
      <c r="T74" s="304"/>
      <c r="U74" s="304"/>
      <c r="V74" s="305"/>
      <c r="W74" s="42" t="s">
        <v>0</v>
      </c>
      <c r="X74" s="43">
        <f>IFERROR(SUMPRODUCT(X70:X72*H70:H72),"0")</f>
        <v>33.6</v>
      </c>
      <c r="Y74" s="43">
        <f>IFERROR(SUMPRODUCT(Y70:Y72*H70:H72),"0")</f>
        <v>33.6</v>
      </c>
      <c r="Z74" s="42"/>
      <c r="AA74" s="67"/>
      <c r="AB74" s="67"/>
      <c r="AC74" s="67"/>
    </row>
    <row r="75" spans="1:68" ht="16.5" hidden="1" customHeight="1" x14ac:dyDescent="0.25">
      <c r="A75" s="319" t="s">
        <v>158</v>
      </c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65"/>
      <c r="AB75" s="65"/>
      <c r="AC75" s="82"/>
    </row>
    <row r="76" spans="1:68" ht="14.25" hidden="1" customHeight="1" x14ac:dyDescent="0.25">
      <c r="A76" s="314" t="s">
        <v>81</v>
      </c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4"/>
      <c r="M76" s="314"/>
      <c r="N76" s="314"/>
      <c r="O76" s="314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14"/>
      <c r="AA76" s="66"/>
      <c r="AB76" s="66"/>
      <c r="AC76" s="83"/>
    </row>
    <row r="77" spans="1:68" ht="27" hidden="1" customHeight="1" x14ac:dyDescent="0.25">
      <c r="A77" s="63" t="s">
        <v>159</v>
      </c>
      <c r="B77" s="63" t="s">
        <v>160</v>
      </c>
      <c r="C77" s="36">
        <v>4301070977</v>
      </c>
      <c r="D77" s="296">
        <v>4607111037411</v>
      </c>
      <c r="E77" s="296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162</v>
      </c>
      <c r="L77" s="37" t="s">
        <v>118</v>
      </c>
      <c r="M77" s="38" t="s">
        <v>85</v>
      </c>
      <c r="N77" s="38"/>
      <c r="O77" s="37">
        <v>180</v>
      </c>
      <c r="P77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8"/>
      <c r="R77" s="298"/>
      <c r="S77" s="298"/>
      <c r="T77" s="29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161</v>
      </c>
      <c r="AG77" s="81"/>
      <c r="AJ77" s="87" t="s">
        <v>119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163</v>
      </c>
      <c r="B78" s="63" t="s">
        <v>164</v>
      </c>
      <c r="C78" s="36">
        <v>4301070981</v>
      </c>
      <c r="D78" s="296">
        <v>4607111036728</v>
      </c>
      <c r="E78" s="296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86</v>
      </c>
      <c r="L78" s="37" t="s">
        <v>118</v>
      </c>
      <c r="M78" s="38" t="s">
        <v>85</v>
      </c>
      <c r="N78" s="38"/>
      <c r="O78" s="37">
        <v>180</v>
      </c>
      <c r="P78" s="38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8"/>
      <c r="R78" s="298"/>
      <c r="S78" s="298"/>
      <c r="T78" s="299"/>
      <c r="U78" s="39" t="s">
        <v>46</v>
      </c>
      <c r="V78" s="39" t="s">
        <v>46</v>
      </c>
      <c r="W78" s="40" t="s">
        <v>39</v>
      </c>
      <c r="X78" s="58">
        <v>252</v>
      </c>
      <c r="Y78" s="55">
        <f>IFERROR(IF(X78="","",X78),"")</f>
        <v>252</v>
      </c>
      <c r="Z78" s="41">
        <f>IFERROR(IF(X78="","",X78*0.00866),"")</f>
        <v>2.1823199999999998</v>
      </c>
      <c r="AA78" s="68" t="s">
        <v>46</v>
      </c>
      <c r="AB78" s="69" t="s">
        <v>46</v>
      </c>
      <c r="AC78" s="139" t="s">
        <v>161</v>
      </c>
      <c r="AG78" s="81"/>
      <c r="AJ78" s="87" t="s">
        <v>119</v>
      </c>
      <c r="AK78" s="87">
        <v>12</v>
      </c>
      <c r="BB78" s="140" t="s">
        <v>70</v>
      </c>
      <c r="BM78" s="81">
        <f>IFERROR(X78*I78,"0")</f>
        <v>1313.7264</v>
      </c>
      <c r="BN78" s="81">
        <f>IFERROR(Y78*I78,"0")</f>
        <v>1313.7264</v>
      </c>
      <c r="BO78" s="81">
        <f>IFERROR(X78/J78,"0")</f>
        <v>1.75</v>
      </c>
      <c r="BP78" s="81">
        <f>IFERROR(Y78/J78,"0")</f>
        <v>1.75</v>
      </c>
    </row>
    <row r="79" spans="1:68" x14ac:dyDescent="0.2">
      <c r="A79" s="293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306"/>
      <c r="P79" s="303" t="s">
        <v>40</v>
      </c>
      <c r="Q79" s="304"/>
      <c r="R79" s="304"/>
      <c r="S79" s="304"/>
      <c r="T79" s="304"/>
      <c r="U79" s="304"/>
      <c r="V79" s="305"/>
      <c r="W79" s="42" t="s">
        <v>39</v>
      </c>
      <c r="X79" s="43">
        <f>IFERROR(SUM(X77:X78),"0")</f>
        <v>252</v>
      </c>
      <c r="Y79" s="43">
        <f>IFERROR(SUM(Y77:Y78),"0")</f>
        <v>252</v>
      </c>
      <c r="Z79" s="43">
        <f>IFERROR(IF(Z77="",0,Z77),"0")+IFERROR(IF(Z78="",0,Z78),"0")</f>
        <v>2.1823199999999998</v>
      </c>
      <c r="AA79" s="67"/>
      <c r="AB79" s="67"/>
      <c r="AC79" s="67"/>
    </row>
    <row r="80" spans="1:68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306"/>
      <c r="P80" s="303" t="s">
        <v>40</v>
      </c>
      <c r="Q80" s="304"/>
      <c r="R80" s="304"/>
      <c r="S80" s="304"/>
      <c r="T80" s="304"/>
      <c r="U80" s="304"/>
      <c r="V80" s="305"/>
      <c r="W80" s="42" t="s">
        <v>0</v>
      </c>
      <c r="X80" s="43">
        <f>IFERROR(SUMPRODUCT(X77:X78*H77:H78),"0")</f>
        <v>1260</v>
      </c>
      <c r="Y80" s="43">
        <f>IFERROR(SUMPRODUCT(Y77:Y78*H77:H78),"0")</f>
        <v>1260</v>
      </c>
      <c r="Z80" s="42"/>
      <c r="AA80" s="67"/>
      <c r="AB80" s="67"/>
      <c r="AC80" s="67"/>
    </row>
    <row r="81" spans="1:68" ht="16.5" hidden="1" customHeight="1" x14ac:dyDescent="0.25">
      <c r="A81" s="319" t="s">
        <v>165</v>
      </c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65"/>
      <c r="AB81" s="65"/>
      <c r="AC81" s="82"/>
    </row>
    <row r="82" spans="1:68" ht="14.25" hidden="1" customHeight="1" x14ac:dyDescent="0.25">
      <c r="A82" s="314" t="s">
        <v>150</v>
      </c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14"/>
      <c r="M82" s="314"/>
      <c r="N82" s="314"/>
      <c r="O82" s="314"/>
      <c r="P82" s="314"/>
      <c r="Q82" s="314"/>
      <c r="R82" s="314"/>
      <c r="S82" s="314"/>
      <c r="T82" s="314"/>
      <c r="U82" s="314"/>
      <c r="V82" s="314"/>
      <c r="W82" s="314"/>
      <c r="X82" s="314"/>
      <c r="Y82" s="314"/>
      <c r="Z82" s="314"/>
      <c r="AA82" s="66"/>
      <c r="AB82" s="66"/>
      <c r="AC82" s="83"/>
    </row>
    <row r="83" spans="1:68" ht="27" customHeight="1" x14ac:dyDescent="0.25">
      <c r="A83" s="63" t="s">
        <v>166</v>
      </c>
      <c r="B83" s="63" t="s">
        <v>167</v>
      </c>
      <c r="C83" s="36">
        <v>4301135574</v>
      </c>
      <c r="D83" s="296">
        <v>4607111033659</v>
      </c>
      <c r="E83" s="296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117</v>
      </c>
      <c r="L83" s="37" t="s">
        <v>118</v>
      </c>
      <c r="M83" s="38" t="s">
        <v>85</v>
      </c>
      <c r="N83" s="38"/>
      <c r="O83" s="37">
        <v>180</v>
      </c>
      <c r="P83" s="37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8"/>
      <c r="R83" s="298"/>
      <c r="S83" s="298"/>
      <c r="T83" s="299"/>
      <c r="U83" s="39" t="s">
        <v>46</v>
      </c>
      <c r="V83" s="39" t="s">
        <v>46</v>
      </c>
      <c r="W83" s="40" t="s">
        <v>39</v>
      </c>
      <c r="X83" s="58">
        <v>28</v>
      </c>
      <c r="Y83" s="55">
        <f>IFERROR(IF(X83="","",X83),"")</f>
        <v>28</v>
      </c>
      <c r="Z83" s="41">
        <f>IFERROR(IF(X83="","",X83*0.01788),"")</f>
        <v>0.50063999999999997</v>
      </c>
      <c r="AA83" s="68" t="s">
        <v>46</v>
      </c>
      <c r="AB83" s="69" t="s">
        <v>46</v>
      </c>
      <c r="AC83" s="141" t="s">
        <v>168</v>
      </c>
      <c r="AG83" s="81"/>
      <c r="AJ83" s="87" t="s">
        <v>119</v>
      </c>
      <c r="AK83" s="87">
        <v>14</v>
      </c>
      <c r="BB83" s="142" t="s">
        <v>116</v>
      </c>
      <c r="BM83" s="81">
        <f>IFERROR(X83*I83,"0")</f>
        <v>120.50080000000001</v>
      </c>
      <c r="BN83" s="81">
        <f>IFERROR(Y83*I83,"0")</f>
        <v>120.50080000000001</v>
      </c>
      <c r="BO83" s="81">
        <f>IFERROR(X83/J83,"0")</f>
        <v>0.4</v>
      </c>
      <c r="BP83" s="81">
        <f>IFERROR(Y83/J83,"0")</f>
        <v>0.4</v>
      </c>
    </row>
    <row r="84" spans="1:68" x14ac:dyDescent="0.2">
      <c r="A84" s="293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306"/>
      <c r="P84" s="303" t="s">
        <v>40</v>
      </c>
      <c r="Q84" s="304"/>
      <c r="R84" s="304"/>
      <c r="S84" s="304"/>
      <c r="T84" s="304"/>
      <c r="U84" s="304"/>
      <c r="V84" s="305"/>
      <c r="W84" s="42" t="s">
        <v>39</v>
      </c>
      <c r="X84" s="43">
        <f>IFERROR(SUM(X83:X83),"0")</f>
        <v>28</v>
      </c>
      <c r="Y84" s="43">
        <f>IFERROR(SUM(Y83:Y83),"0")</f>
        <v>28</v>
      </c>
      <c r="Z84" s="43">
        <f>IFERROR(IF(Z83="",0,Z83),"0")</f>
        <v>0.50063999999999997</v>
      </c>
      <c r="AA84" s="67"/>
      <c r="AB84" s="67"/>
      <c r="AC84" s="67"/>
    </row>
    <row r="85" spans="1:68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306"/>
      <c r="P85" s="303" t="s">
        <v>40</v>
      </c>
      <c r="Q85" s="304"/>
      <c r="R85" s="304"/>
      <c r="S85" s="304"/>
      <c r="T85" s="304"/>
      <c r="U85" s="304"/>
      <c r="V85" s="305"/>
      <c r="W85" s="42" t="s">
        <v>0</v>
      </c>
      <c r="X85" s="43">
        <f>IFERROR(SUMPRODUCT(X83:X83*H83:H83),"0")</f>
        <v>100.8</v>
      </c>
      <c r="Y85" s="43">
        <f>IFERROR(SUMPRODUCT(Y83:Y83*H83:H83),"0")</f>
        <v>100.8</v>
      </c>
      <c r="Z85" s="42"/>
      <c r="AA85" s="67"/>
      <c r="AB85" s="67"/>
      <c r="AC85" s="67"/>
    </row>
    <row r="86" spans="1:68" ht="16.5" hidden="1" customHeight="1" x14ac:dyDescent="0.25">
      <c r="A86" s="319" t="s">
        <v>169</v>
      </c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65"/>
      <c r="AB86" s="65"/>
      <c r="AC86" s="82"/>
    </row>
    <row r="87" spans="1:68" ht="14.25" hidden="1" customHeight="1" x14ac:dyDescent="0.25">
      <c r="A87" s="314" t="s">
        <v>170</v>
      </c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14"/>
      <c r="W87" s="314"/>
      <c r="X87" s="314"/>
      <c r="Y87" s="314"/>
      <c r="Z87" s="314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4301131047</v>
      </c>
      <c r="D88" s="296">
        <v>4607111034120</v>
      </c>
      <c r="E88" s="29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85</v>
      </c>
      <c r="N88" s="38"/>
      <c r="O88" s="37">
        <v>180</v>
      </c>
      <c r="P88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8"/>
      <c r="R88" s="298"/>
      <c r="S88" s="298"/>
      <c r="T88" s="299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3" t="s">
        <v>173</v>
      </c>
      <c r="AG88" s="81"/>
      <c r="AJ88" s="87" t="s">
        <v>119</v>
      </c>
      <c r="AK88" s="87">
        <v>14</v>
      </c>
      <c r="BB88" s="144" t="s">
        <v>116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ht="27" customHeight="1" x14ac:dyDescent="0.25">
      <c r="A89" s="63" t="s">
        <v>174</v>
      </c>
      <c r="B89" s="63" t="s">
        <v>175</v>
      </c>
      <c r="C89" s="36">
        <v>4301131046</v>
      </c>
      <c r="D89" s="296">
        <v>4607111034137</v>
      </c>
      <c r="E89" s="296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117</v>
      </c>
      <c r="L89" s="37" t="s">
        <v>118</v>
      </c>
      <c r="M89" s="38" t="s">
        <v>85</v>
      </c>
      <c r="N89" s="38"/>
      <c r="O89" s="37">
        <v>180</v>
      </c>
      <c r="P89" s="37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8"/>
      <c r="R89" s="298"/>
      <c r="S89" s="298"/>
      <c r="T89" s="299"/>
      <c r="U89" s="39" t="s">
        <v>46</v>
      </c>
      <c r="V89" s="39" t="s">
        <v>46</v>
      </c>
      <c r="W89" s="40" t="s">
        <v>39</v>
      </c>
      <c r="X89" s="58">
        <v>28</v>
      </c>
      <c r="Y89" s="55">
        <f>IFERROR(IF(X89="","",X89),"")</f>
        <v>28</v>
      </c>
      <c r="Z89" s="41">
        <f>IFERROR(IF(X89="","",X89*0.01788),"")</f>
        <v>0.50063999999999997</v>
      </c>
      <c r="AA89" s="68" t="s">
        <v>46</v>
      </c>
      <c r="AB89" s="69" t="s">
        <v>46</v>
      </c>
      <c r="AC89" s="145" t="s">
        <v>176</v>
      </c>
      <c r="AG89" s="81"/>
      <c r="AJ89" s="87" t="s">
        <v>119</v>
      </c>
      <c r="AK89" s="87">
        <v>14</v>
      </c>
      <c r="BB89" s="146" t="s">
        <v>116</v>
      </c>
      <c r="BM89" s="81">
        <f>IFERROR(X89*I89,"0")</f>
        <v>120.50080000000001</v>
      </c>
      <c r="BN89" s="81">
        <f>IFERROR(Y89*I89,"0")</f>
        <v>120.50080000000001</v>
      </c>
      <c r="BO89" s="81">
        <f>IFERROR(X89/J89,"0")</f>
        <v>0.4</v>
      </c>
      <c r="BP89" s="81">
        <f>IFERROR(Y89/J89,"0")</f>
        <v>0.4</v>
      </c>
    </row>
    <row r="90" spans="1:68" x14ac:dyDescent="0.2">
      <c r="A90" s="293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306"/>
      <c r="P90" s="303" t="s">
        <v>40</v>
      </c>
      <c r="Q90" s="304"/>
      <c r="R90" s="304"/>
      <c r="S90" s="304"/>
      <c r="T90" s="304"/>
      <c r="U90" s="304"/>
      <c r="V90" s="305"/>
      <c r="W90" s="42" t="s">
        <v>39</v>
      </c>
      <c r="X90" s="43">
        <f>IFERROR(SUM(X88:X89),"0")</f>
        <v>56</v>
      </c>
      <c r="Y90" s="43">
        <f>IFERROR(SUM(Y88:Y89),"0")</f>
        <v>56</v>
      </c>
      <c r="Z90" s="43">
        <f>IFERROR(IF(Z88="",0,Z88),"0")+IFERROR(IF(Z89="",0,Z89),"0")</f>
        <v>1.0012799999999999</v>
      </c>
      <c r="AA90" s="67"/>
      <c r="AB90" s="67"/>
      <c r="AC90" s="67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306"/>
      <c r="P91" s="303" t="s">
        <v>40</v>
      </c>
      <c r="Q91" s="304"/>
      <c r="R91" s="304"/>
      <c r="S91" s="304"/>
      <c r="T91" s="304"/>
      <c r="U91" s="304"/>
      <c r="V91" s="305"/>
      <c r="W91" s="42" t="s">
        <v>0</v>
      </c>
      <c r="X91" s="43">
        <f>IFERROR(SUMPRODUCT(X88:X89*H88:H89),"0")</f>
        <v>201.6</v>
      </c>
      <c r="Y91" s="43">
        <f>IFERROR(SUMPRODUCT(Y88:Y89*H88:H89),"0")</f>
        <v>201.6</v>
      </c>
      <c r="Z91" s="42"/>
      <c r="AA91" s="67"/>
      <c r="AB91" s="67"/>
      <c r="AC91" s="67"/>
    </row>
    <row r="92" spans="1:68" ht="16.5" hidden="1" customHeight="1" x14ac:dyDescent="0.25">
      <c r="A92" s="319" t="s">
        <v>177</v>
      </c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65"/>
      <c r="AB92" s="65"/>
      <c r="AC92" s="82"/>
    </row>
    <row r="93" spans="1:68" ht="14.25" hidden="1" customHeight="1" x14ac:dyDescent="0.25">
      <c r="A93" s="314" t="s">
        <v>150</v>
      </c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14"/>
      <c r="AA93" s="66"/>
      <c r="AB93" s="66"/>
      <c r="AC93" s="83"/>
    </row>
    <row r="94" spans="1:68" ht="27" customHeight="1" x14ac:dyDescent="0.25">
      <c r="A94" s="63" t="s">
        <v>178</v>
      </c>
      <c r="B94" s="63" t="s">
        <v>179</v>
      </c>
      <c r="C94" s="36">
        <v>4301135763</v>
      </c>
      <c r="D94" s="296">
        <v>4620207491027</v>
      </c>
      <c r="E94" s="29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117</v>
      </c>
      <c r="L94" s="37" t="s">
        <v>118</v>
      </c>
      <c r="M94" s="38" t="s">
        <v>85</v>
      </c>
      <c r="N94" s="38"/>
      <c r="O94" s="37">
        <v>180</v>
      </c>
      <c r="P94" s="37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8"/>
      <c r="R94" s="298"/>
      <c r="S94" s="298"/>
      <c r="T94" s="299"/>
      <c r="U94" s="39" t="s">
        <v>46</v>
      </c>
      <c r="V94" s="39" t="s">
        <v>46</v>
      </c>
      <c r="W94" s="40" t="s">
        <v>39</v>
      </c>
      <c r="X94" s="58">
        <v>14</v>
      </c>
      <c r="Y94" s="55">
        <f t="shared" ref="Y94:Y99" si="6">IFERROR(IF(X94="","",X94),"")</f>
        <v>14</v>
      </c>
      <c r="Z94" s="41">
        <f t="shared" ref="Z94:Z99" si="7">IFERROR(IF(X94="","",X94*0.01788),"")</f>
        <v>0.25031999999999999</v>
      </c>
      <c r="AA94" s="68" t="s">
        <v>46</v>
      </c>
      <c r="AB94" s="69" t="s">
        <v>46</v>
      </c>
      <c r="AC94" s="147" t="s">
        <v>168</v>
      </c>
      <c r="AG94" s="81"/>
      <c r="AJ94" s="87" t="s">
        <v>119</v>
      </c>
      <c r="AK94" s="87">
        <v>14</v>
      </c>
      <c r="BB94" s="148" t="s">
        <v>116</v>
      </c>
      <c r="BM94" s="81">
        <f t="shared" ref="BM94:BM99" si="8">IFERROR(X94*I94,"0")</f>
        <v>50.170400000000001</v>
      </c>
      <c r="BN94" s="81">
        <f t="shared" ref="BN94:BN99" si="9">IFERROR(Y94*I94,"0")</f>
        <v>50.170400000000001</v>
      </c>
      <c r="BO94" s="81">
        <f t="shared" ref="BO94:BO99" si="10">IFERROR(X94/J94,"0")</f>
        <v>0.2</v>
      </c>
      <c r="BP94" s="81">
        <f t="shared" ref="BP94:BP99" si="11">IFERROR(Y94/J94,"0")</f>
        <v>0.2</v>
      </c>
    </row>
    <row r="95" spans="1:68" ht="27" customHeight="1" x14ac:dyDescent="0.25">
      <c r="A95" s="63" t="s">
        <v>180</v>
      </c>
      <c r="B95" s="63" t="s">
        <v>181</v>
      </c>
      <c r="C95" s="36">
        <v>4301135793</v>
      </c>
      <c r="D95" s="296">
        <v>4620207491003</v>
      </c>
      <c r="E95" s="29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117</v>
      </c>
      <c r="L95" s="37" t="s">
        <v>118</v>
      </c>
      <c r="M95" s="38" t="s">
        <v>85</v>
      </c>
      <c r="N95" s="38"/>
      <c r="O95" s="37">
        <v>180</v>
      </c>
      <c r="P95" s="37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8"/>
      <c r="R95" s="298"/>
      <c r="S95" s="298"/>
      <c r="T95" s="299"/>
      <c r="U95" s="39" t="s">
        <v>46</v>
      </c>
      <c r="V95" s="39" t="s">
        <v>46</v>
      </c>
      <c r="W95" s="40" t="s">
        <v>39</v>
      </c>
      <c r="X95" s="58">
        <v>98</v>
      </c>
      <c r="Y95" s="55">
        <f t="shared" si="6"/>
        <v>98</v>
      </c>
      <c r="Z95" s="41">
        <f t="shared" si="7"/>
        <v>1.75224</v>
      </c>
      <c r="AA95" s="68" t="s">
        <v>46</v>
      </c>
      <c r="AB95" s="69" t="s">
        <v>46</v>
      </c>
      <c r="AC95" s="149" t="s">
        <v>168</v>
      </c>
      <c r="AG95" s="81"/>
      <c r="AJ95" s="87" t="s">
        <v>119</v>
      </c>
      <c r="AK95" s="87">
        <v>14</v>
      </c>
      <c r="BB95" s="150" t="s">
        <v>116</v>
      </c>
      <c r="BM95" s="81">
        <f t="shared" si="8"/>
        <v>351.19280000000003</v>
      </c>
      <c r="BN95" s="81">
        <f t="shared" si="9"/>
        <v>351.19280000000003</v>
      </c>
      <c r="BO95" s="81">
        <f t="shared" si="10"/>
        <v>1.4</v>
      </c>
      <c r="BP95" s="81">
        <f t="shared" si="11"/>
        <v>1.4</v>
      </c>
    </row>
    <row r="96" spans="1:68" ht="27" customHeight="1" x14ac:dyDescent="0.25">
      <c r="A96" s="63" t="s">
        <v>182</v>
      </c>
      <c r="B96" s="63" t="s">
        <v>183</v>
      </c>
      <c r="C96" s="36">
        <v>4301135768</v>
      </c>
      <c r="D96" s="296">
        <v>4620207491034</v>
      </c>
      <c r="E96" s="29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117</v>
      </c>
      <c r="L96" s="37" t="s">
        <v>87</v>
      </c>
      <c r="M96" s="38" t="s">
        <v>85</v>
      </c>
      <c r="N96" s="38"/>
      <c r="O96" s="37">
        <v>180</v>
      </c>
      <c r="P96" s="37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8"/>
      <c r="R96" s="298"/>
      <c r="S96" s="298"/>
      <c r="T96" s="299"/>
      <c r="U96" s="39" t="s">
        <v>46</v>
      </c>
      <c r="V96" s="39" t="s">
        <v>46</v>
      </c>
      <c r="W96" s="40" t="s">
        <v>39</v>
      </c>
      <c r="X96" s="58">
        <v>14</v>
      </c>
      <c r="Y96" s="55">
        <f t="shared" si="6"/>
        <v>14</v>
      </c>
      <c r="Z96" s="41">
        <f t="shared" si="7"/>
        <v>0.25031999999999999</v>
      </c>
      <c r="AA96" s="68" t="s">
        <v>46</v>
      </c>
      <c r="AB96" s="69" t="s">
        <v>46</v>
      </c>
      <c r="AC96" s="151" t="s">
        <v>184</v>
      </c>
      <c r="AG96" s="81"/>
      <c r="AJ96" s="87" t="s">
        <v>88</v>
      </c>
      <c r="AK96" s="87">
        <v>1</v>
      </c>
      <c r="BB96" s="152" t="s">
        <v>116</v>
      </c>
      <c r="BM96" s="81">
        <f t="shared" si="8"/>
        <v>50.170400000000001</v>
      </c>
      <c r="BN96" s="81">
        <f t="shared" si="9"/>
        <v>50.170400000000001</v>
      </c>
      <c r="BO96" s="81">
        <f t="shared" si="10"/>
        <v>0.2</v>
      </c>
      <c r="BP96" s="81">
        <f t="shared" si="11"/>
        <v>0.2</v>
      </c>
    </row>
    <row r="97" spans="1:68" ht="27" customHeight="1" x14ac:dyDescent="0.25">
      <c r="A97" s="63" t="s">
        <v>185</v>
      </c>
      <c r="B97" s="63" t="s">
        <v>186</v>
      </c>
      <c r="C97" s="36">
        <v>4301135760</v>
      </c>
      <c r="D97" s="296">
        <v>4620207491010</v>
      </c>
      <c r="E97" s="29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117</v>
      </c>
      <c r="L97" s="37" t="s">
        <v>118</v>
      </c>
      <c r="M97" s="38" t="s">
        <v>85</v>
      </c>
      <c r="N97" s="38"/>
      <c r="O97" s="37">
        <v>180</v>
      </c>
      <c r="P97" s="37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8"/>
      <c r="R97" s="298"/>
      <c r="S97" s="298"/>
      <c r="T97" s="299"/>
      <c r="U97" s="39" t="s">
        <v>46</v>
      </c>
      <c r="V97" s="39" t="s">
        <v>46</v>
      </c>
      <c r="W97" s="40" t="s">
        <v>39</v>
      </c>
      <c r="X97" s="58">
        <v>56</v>
      </c>
      <c r="Y97" s="55">
        <f t="shared" si="6"/>
        <v>56</v>
      </c>
      <c r="Z97" s="41">
        <f t="shared" si="7"/>
        <v>1.0012799999999999</v>
      </c>
      <c r="AA97" s="68" t="s">
        <v>46</v>
      </c>
      <c r="AB97" s="69" t="s">
        <v>46</v>
      </c>
      <c r="AC97" s="153" t="s">
        <v>168</v>
      </c>
      <c r="AG97" s="81"/>
      <c r="AJ97" s="87" t="s">
        <v>119</v>
      </c>
      <c r="AK97" s="87">
        <v>14</v>
      </c>
      <c r="BB97" s="154" t="s">
        <v>116</v>
      </c>
      <c r="BM97" s="81">
        <f t="shared" si="8"/>
        <v>200.6816</v>
      </c>
      <c r="BN97" s="81">
        <f t="shared" si="9"/>
        <v>200.6816</v>
      </c>
      <c r="BO97" s="81">
        <f t="shared" si="10"/>
        <v>0.8</v>
      </c>
      <c r="BP97" s="81">
        <f t="shared" si="11"/>
        <v>0.8</v>
      </c>
    </row>
    <row r="98" spans="1:68" ht="27" hidden="1" customHeight="1" x14ac:dyDescent="0.25">
      <c r="A98" s="63" t="s">
        <v>187</v>
      </c>
      <c r="B98" s="63" t="s">
        <v>188</v>
      </c>
      <c r="C98" s="36">
        <v>4301135571</v>
      </c>
      <c r="D98" s="296">
        <v>4607111035028</v>
      </c>
      <c r="E98" s="296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117</v>
      </c>
      <c r="L98" s="37" t="s">
        <v>87</v>
      </c>
      <c r="M98" s="38" t="s">
        <v>85</v>
      </c>
      <c r="N98" s="38"/>
      <c r="O98" s="37">
        <v>180</v>
      </c>
      <c r="P98" s="37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8"/>
      <c r="R98" s="298"/>
      <c r="S98" s="298"/>
      <c r="T98" s="29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168</v>
      </c>
      <c r="AG98" s="81"/>
      <c r="AJ98" s="87" t="s">
        <v>88</v>
      </c>
      <c r="AK98" s="87">
        <v>1</v>
      </c>
      <c r="BB98" s="156" t="s">
        <v>116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189</v>
      </c>
      <c r="B99" s="63" t="s">
        <v>190</v>
      </c>
      <c r="C99" s="36">
        <v>4301135285</v>
      </c>
      <c r="D99" s="296">
        <v>4607111036407</v>
      </c>
      <c r="E99" s="296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117</v>
      </c>
      <c r="L99" s="37" t="s">
        <v>118</v>
      </c>
      <c r="M99" s="38" t="s">
        <v>85</v>
      </c>
      <c r="N99" s="38"/>
      <c r="O99" s="37">
        <v>180</v>
      </c>
      <c r="P99" s="36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8"/>
      <c r="R99" s="298"/>
      <c r="S99" s="298"/>
      <c r="T99" s="299"/>
      <c r="U99" s="39" t="s">
        <v>46</v>
      </c>
      <c r="V99" s="39" t="s">
        <v>46</v>
      </c>
      <c r="W99" s="40" t="s">
        <v>39</v>
      </c>
      <c r="X99" s="58">
        <v>14</v>
      </c>
      <c r="Y99" s="55">
        <f t="shared" si="6"/>
        <v>14</v>
      </c>
      <c r="Z99" s="41">
        <f t="shared" si="7"/>
        <v>0.25031999999999999</v>
      </c>
      <c r="AA99" s="68" t="s">
        <v>46</v>
      </c>
      <c r="AB99" s="69" t="s">
        <v>46</v>
      </c>
      <c r="AC99" s="157" t="s">
        <v>191</v>
      </c>
      <c r="AG99" s="81"/>
      <c r="AJ99" s="87" t="s">
        <v>119</v>
      </c>
      <c r="AK99" s="87">
        <v>14</v>
      </c>
      <c r="BB99" s="158" t="s">
        <v>116</v>
      </c>
      <c r="BM99" s="81">
        <f t="shared" si="8"/>
        <v>63.408800000000006</v>
      </c>
      <c r="BN99" s="81">
        <f t="shared" si="9"/>
        <v>63.408800000000006</v>
      </c>
      <c r="BO99" s="81">
        <f t="shared" si="10"/>
        <v>0.2</v>
      </c>
      <c r="BP99" s="81">
        <f t="shared" si="11"/>
        <v>0.2</v>
      </c>
    </row>
    <row r="100" spans="1:68" x14ac:dyDescent="0.2">
      <c r="A100" s="293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306"/>
      <c r="P100" s="303" t="s">
        <v>40</v>
      </c>
      <c r="Q100" s="304"/>
      <c r="R100" s="304"/>
      <c r="S100" s="304"/>
      <c r="T100" s="304"/>
      <c r="U100" s="304"/>
      <c r="V100" s="305"/>
      <c r="W100" s="42" t="s">
        <v>39</v>
      </c>
      <c r="X100" s="43">
        <f>IFERROR(SUM(X94:X99),"0")</f>
        <v>196</v>
      </c>
      <c r="Y100" s="43">
        <f>IFERROR(SUM(Y94:Y99),"0")</f>
        <v>196</v>
      </c>
      <c r="Z100" s="43">
        <f>IFERROR(IF(Z94="",0,Z94),"0")+IFERROR(IF(Z95="",0,Z95),"0")+IFERROR(IF(Z96="",0,Z96),"0")+IFERROR(IF(Z97="",0,Z97),"0")+IFERROR(IF(Z98="",0,Z98),"0")+IFERROR(IF(Z99="",0,Z99),"0")</f>
        <v>3.5044799999999996</v>
      </c>
      <c r="AA100" s="67"/>
      <c r="AB100" s="67"/>
      <c r="AC100" s="67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306"/>
      <c r="P101" s="303" t="s">
        <v>40</v>
      </c>
      <c r="Q101" s="304"/>
      <c r="R101" s="304"/>
      <c r="S101" s="304"/>
      <c r="T101" s="304"/>
      <c r="U101" s="304"/>
      <c r="V101" s="305"/>
      <c r="W101" s="42" t="s">
        <v>0</v>
      </c>
      <c r="X101" s="43">
        <f>IFERROR(SUMPRODUCT(X94:X99*H94:H99),"0")</f>
        <v>582.95999999999992</v>
      </c>
      <c r="Y101" s="43">
        <f>IFERROR(SUMPRODUCT(Y94:Y99*H94:H99),"0")</f>
        <v>582.95999999999992</v>
      </c>
      <c r="Z101" s="42"/>
      <c r="AA101" s="67"/>
      <c r="AB101" s="67"/>
      <c r="AC101" s="67"/>
    </row>
    <row r="102" spans="1:68" ht="16.5" hidden="1" customHeight="1" x14ac:dyDescent="0.25">
      <c r="A102" s="319" t="s">
        <v>192</v>
      </c>
      <c r="B102" s="319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65"/>
      <c r="AB102" s="65"/>
      <c r="AC102" s="82"/>
    </row>
    <row r="103" spans="1:68" ht="14.25" hidden="1" customHeight="1" x14ac:dyDescent="0.25">
      <c r="A103" s="314" t="s">
        <v>144</v>
      </c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4"/>
      <c r="AA103" s="66"/>
      <c r="AB103" s="66"/>
      <c r="AC103" s="83"/>
    </row>
    <row r="104" spans="1:68" ht="27" customHeight="1" x14ac:dyDescent="0.25">
      <c r="A104" s="63" t="s">
        <v>193</v>
      </c>
      <c r="B104" s="63" t="s">
        <v>194</v>
      </c>
      <c r="C104" s="36">
        <v>4301136070</v>
      </c>
      <c r="D104" s="296">
        <v>4607025784012</v>
      </c>
      <c r="E104" s="296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117</v>
      </c>
      <c r="L104" s="37" t="s">
        <v>118</v>
      </c>
      <c r="M104" s="38" t="s">
        <v>85</v>
      </c>
      <c r="N104" s="38"/>
      <c r="O104" s="37">
        <v>180</v>
      </c>
      <c r="P104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8"/>
      <c r="R104" s="298"/>
      <c r="S104" s="298"/>
      <c r="T104" s="299"/>
      <c r="U104" s="39" t="s">
        <v>46</v>
      </c>
      <c r="V104" s="39" t="s">
        <v>46</v>
      </c>
      <c r="W104" s="40" t="s">
        <v>39</v>
      </c>
      <c r="X104" s="58">
        <v>14</v>
      </c>
      <c r="Y104" s="55">
        <f>IFERROR(IF(X104="","",X104),"")</f>
        <v>14</v>
      </c>
      <c r="Z104" s="41">
        <f>IFERROR(IF(X104="","",X104*0.00936),"")</f>
        <v>0.13103999999999999</v>
      </c>
      <c r="AA104" s="68" t="s">
        <v>46</v>
      </c>
      <c r="AB104" s="69" t="s">
        <v>46</v>
      </c>
      <c r="AC104" s="159" t="s">
        <v>195</v>
      </c>
      <c r="AG104" s="81"/>
      <c r="AJ104" s="87" t="s">
        <v>119</v>
      </c>
      <c r="AK104" s="87">
        <v>14</v>
      </c>
      <c r="BB104" s="160" t="s">
        <v>116</v>
      </c>
      <c r="BM104" s="81">
        <f>IFERROR(X104*I104,"0")</f>
        <v>34.876800000000003</v>
      </c>
      <c r="BN104" s="81">
        <f>IFERROR(Y104*I104,"0")</f>
        <v>34.876800000000003</v>
      </c>
      <c r="BO104" s="81">
        <f>IFERROR(X104/J104,"0")</f>
        <v>0.1111111111111111</v>
      </c>
      <c r="BP104" s="81">
        <f>IFERROR(Y104/J104,"0")</f>
        <v>0.1111111111111111</v>
      </c>
    </row>
    <row r="105" spans="1:68" ht="27" hidden="1" customHeight="1" x14ac:dyDescent="0.25">
      <c r="A105" s="63" t="s">
        <v>196</v>
      </c>
      <c r="B105" s="63" t="s">
        <v>197</v>
      </c>
      <c r="C105" s="36">
        <v>4301136079</v>
      </c>
      <c r="D105" s="296">
        <v>4607025784319</v>
      </c>
      <c r="E105" s="296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117</v>
      </c>
      <c r="L105" s="37" t="s">
        <v>87</v>
      </c>
      <c r="M105" s="38" t="s">
        <v>85</v>
      </c>
      <c r="N105" s="38"/>
      <c r="O105" s="37">
        <v>180</v>
      </c>
      <c r="P105" s="36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98"/>
      <c r="R105" s="298"/>
      <c r="S105" s="298"/>
      <c r="T105" s="299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168</v>
      </c>
      <c r="AG105" s="81"/>
      <c r="AJ105" s="87" t="s">
        <v>88</v>
      </c>
      <c r="AK105" s="87">
        <v>1</v>
      </c>
      <c r="BB105" s="162" t="s">
        <v>116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293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306"/>
      <c r="P106" s="303" t="s">
        <v>40</v>
      </c>
      <c r="Q106" s="304"/>
      <c r="R106" s="304"/>
      <c r="S106" s="304"/>
      <c r="T106" s="304"/>
      <c r="U106" s="304"/>
      <c r="V106" s="305"/>
      <c r="W106" s="42" t="s">
        <v>39</v>
      </c>
      <c r="X106" s="43">
        <f>IFERROR(SUM(X104:X105),"0")</f>
        <v>14</v>
      </c>
      <c r="Y106" s="43">
        <f>IFERROR(SUM(Y104:Y105),"0")</f>
        <v>14</v>
      </c>
      <c r="Z106" s="43">
        <f>IFERROR(IF(Z104="",0,Z104),"0")+IFERROR(IF(Z105="",0,Z105),"0")</f>
        <v>0.13103999999999999</v>
      </c>
      <c r="AA106" s="67"/>
      <c r="AB106" s="67"/>
      <c r="AC106" s="67"/>
    </row>
    <row r="107" spans="1:68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306"/>
      <c r="P107" s="303" t="s">
        <v>40</v>
      </c>
      <c r="Q107" s="304"/>
      <c r="R107" s="304"/>
      <c r="S107" s="304"/>
      <c r="T107" s="304"/>
      <c r="U107" s="304"/>
      <c r="V107" s="305"/>
      <c r="W107" s="42" t="s">
        <v>0</v>
      </c>
      <c r="X107" s="43">
        <f>IFERROR(SUMPRODUCT(X104:X105*H104:H105),"0")</f>
        <v>30.240000000000002</v>
      </c>
      <c r="Y107" s="43">
        <f>IFERROR(SUMPRODUCT(Y104:Y105*H104:H105),"0")</f>
        <v>30.240000000000002</v>
      </c>
      <c r="Z107" s="42"/>
      <c r="AA107" s="67"/>
      <c r="AB107" s="67"/>
      <c r="AC107" s="67"/>
    </row>
    <row r="108" spans="1:68" ht="16.5" hidden="1" customHeight="1" x14ac:dyDescent="0.25">
      <c r="A108" s="319" t="s">
        <v>198</v>
      </c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65"/>
      <c r="AB108" s="65"/>
      <c r="AC108" s="82"/>
    </row>
    <row r="109" spans="1:68" ht="14.25" hidden="1" customHeight="1" x14ac:dyDescent="0.25">
      <c r="A109" s="314" t="s">
        <v>81</v>
      </c>
      <c r="B109" s="314"/>
      <c r="C109" s="314"/>
      <c r="D109" s="314"/>
      <c r="E109" s="314"/>
      <c r="F109" s="314"/>
      <c r="G109" s="314"/>
      <c r="H109" s="314"/>
      <c r="I109" s="314"/>
      <c r="J109" s="314"/>
      <c r="K109" s="314"/>
      <c r="L109" s="314"/>
      <c r="M109" s="314"/>
      <c r="N109" s="314"/>
      <c r="O109" s="314"/>
      <c r="P109" s="314"/>
      <c r="Q109" s="314"/>
      <c r="R109" s="314"/>
      <c r="S109" s="314"/>
      <c r="T109" s="314"/>
      <c r="U109" s="314"/>
      <c r="V109" s="314"/>
      <c r="W109" s="314"/>
      <c r="X109" s="314"/>
      <c r="Y109" s="314"/>
      <c r="Z109" s="314"/>
      <c r="AA109" s="66"/>
      <c r="AB109" s="66"/>
      <c r="AC109" s="83"/>
    </row>
    <row r="110" spans="1:68" ht="27" customHeight="1" x14ac:dyDescent="0.25">
      <c r="A110" s="63" t="s">
        <v>199</v>
      </c>
      <c r="B110" s="63" t="s">
        <v>200</v>
      </c>
      <c r="C110" s="36">
        <v>4301071074</v>
      </c>
      <c r="D110" s="296">
        <v>4620207491157</v>
      </c>
      <c r="E110" s="296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86</v>
      </c>
      <c r="L110" s="37" t="s">
        <v>118</v>
      </c>
      <c r="M110" s="38" t="s">
        <v>85</v>
      </c>
      <c r="N110" s="38"/>
      <c r="O110" s="37">
        <v>180</v>
      </c>
      <c r="P110" s="36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8"/>
      <c r="R110" s="298"/>
      <c r="S110" s="298"/>
      <c r="T110" s="299"/>
      <c r="U110" s="39" t="s">
        <v>46</v>
      </c>
      <c r="V110" s="39" t="s">
        <v>46</v>
      </c>
      <c r="W110" s="40" t="s">
        <v>39</v>
      </c>
      <c r="X110" s="58">
        <v>48</v>
      </c>
      <c r="Y110" s="55">
        <f t="shared" ref="Y110:Y117" si="12">IFERROR(IF(X110="","",X110),"")</f>
        <v>48</v>
      </c>
      <c r="Z110" s="41">
        <f t="shared" ref="Z110:Z117" si="13">IFERROR(IF(X110="","",X110*0.0155),"")</f>
        <v>0.74399999999999999</v>
      </c>
      <c r="AA110" s="68" t="s">
        <v>46</v>
      </c>
      <c r="AB110" s="69" t="s">
        <v>46</v>
      </c>
      <c r="AC110" s="163" t="s">
        <v>201</v>
      </c>
      <c r="AG110" s="81"/>
      <c r="AJ110" s="87" t="s">
        <v>119</v>
      </c>
      <c r="AK110" s="87">
        <v>12</v>
      </c>
      <c r="BB110" s="164" t="s">
        <v>70</v>
      </c>
      <c r="BM110" s="81">
        <f t="shared" ref="BM110:BM117" si="14">IFERROR(X110*I110,"0")</f>
        <v>349.44</v>
      </c>
      <c r="BN110" s="81">
        <f t="shared" ref="BN110:BN117" si="15">IFERROR(Y110*I110,"0")</f>
        <v>349.44</v>
      </c>
      <c r="BO110" s="81">
        <f t="shared" ref="BO110:BO117" si="16">IFERROR(X110/J110,"0")</f>
        <v>0.5714285714285714</v>
      </c>
      <c r="BP110" s="81">
        <f t="shared" ref="BP110:BP117" si="17">IFERROR(Y110/J110,"0")</f>
        <v>0.5714285714285714</v>
      </c>
    </row>
    <row r="111" spans="1:68" ht="27" customHeight="1" x14ac:dyDescent="0.25">
      <c r="A111" s="63" t="s">
        <v>202</v>
      </c>
      <c r="B111" s="63" t="s">
        <v>203</v>
      </c>
      <c r="C111" s="36">
        <v>4301071121</v>
      </c>
      <c r="D111" s="296">
        <v>4620207491393</v>
      </c>
      <c r="E111" s="296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86</v>
      </c>
      <c r="L111" s="37" t="s">
        <v>87</v>
      </c>
      <c r="M111" s="38" t="s">
        <v>85</v>
      </c>
      <c r="N111" s="38"/>
      <c r="O111" s="37">
        <v>180</v>
      </c>
      <c r="P111" s="36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8"/>
      <c r="R111" s="298"/>
      <c r="S111" s="298"/>
      <c r="T111" s="299"/>
      <c r="U111" s="39" t="s">
        <v>46</v>
      </c>
      <c r="V111" s="39" t="s">
        <v>46</v>
      </c>
      <c r="W111" s="40" t="s">
        <v>39</v>
      </c>
      <c r="X111" s="58">
        <v>12</v>
      </c>
      <c r="Y111" s="55">
        <f t="shared" si="12"/>
        <v>12</v>
      </c>
      <c r="Z111" s="41">
        <f t="shared" si="13"/>
        <v>0.186</v>
      </c>
      <c r="AA111" s="68" t="s">
        <v>46</v>
      </c>
      <c r="AB111" s="69" t="s">
        <v>46</v>
      </c>
      <c r="AC111" s="165" t="s">
        <v>204</v>
      </c>
      <c r="AG111" s="81"/>
      <c r="AJ111" s="87" t="s">
        <v>88</v>
      </c>
      <c r="AK111" s="87">
        <v>1</v>
      </c>
      <c r="BB111" s="166" t="s">
        <v>70</v>
      </c>
      <c r="BM111" s="81">
        <f t="shared" si="14"/>
        <v>80.52</v>
      </c>
      <c r="BN111" s="81">
        <f t="shared" si="15"/>
        <v>80.52</v>
      </c>
      <c r="BO111" s="81">
        <f t="shared" si="16"/>
        <v>0.14285714285714285</v>
      </c>
      <c r="BP111" s="81">
        <f t="shared" si="17"/>
        <v>0.14285714285714285</v>
      </c>
    </row>
    <row r="112" spans="1:68" ht="27" customHeight="1" x14ac:dyDescent="0.25">
      <c r="A112" s="63" t="s">
        <v>205</v>
      </c>
      <c r="B112" s="63" t="s">
        <v>206</v>
      </c>
      <c r="C112" s="36">
        <v>4301071051</v>
      </c>
      <c r="D112" s="296">
        <v>4607111039262</v>
      </c>
      <c r="E112" s="296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86</v>
      </c>
      <c r="L112" s="37" t="s">
        <v>118</v>
      </c>
      <c r="M112" s="38" t="s">
        <v>85</v>
      </c>
      <c r="N112" s="38"/>
      <c r="O112" s="37">
        <v>180</v>
      </c>
      <c r="P112" s="36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98"/>
      <c r="R112" s="298"/>
      <c r="S112" s="298"/>
      <c r="T112" s="299"/>
      <c r="U112" s="39" t="s">
        <v>46</v>
      </c>
      <c r="V112" s="39" t="s">
        <v>46</v>
      </c>
      <c r="W112" s="40" t="s">
        <v>39</v>
      </c>
      <c r="X112" s="58">
        <v>36</v>
      </c>
      <c r="Y112" s="55">
        <f t="shared" si="12"/>
        <v>36</v>
      </c>
      <c r="Z112" s="41">
        <f t="shared" si="13"/>
        <v>0.55800000000000005</v>
      </c>
      <c r="AA112" s="68" t="s">
        <v>46</v>
      </c>
      <c r="AB112" s="69" t="s">
        <v>46</v>
      </c>
      <c r="AC112" s="167" t="s">
        <v>161</v>
      </c>
      <c r="AG112" s="81"/>
      <c r="AJ112" s="87" t="s">
        <v>119</v>
      </c>
      <c r="AK112" s="87">
        <v>12</v>
      </c>
      <c r="BB112" s="168" t="s">
        <v>70</v>
      </c>
      <c r="BM112" s="81">
        <f t="shared" si="14"/>
        <v>241.90559999999999</v>
      </c>
      <c r="BN112" s="81">
        <f t="shared" si="15"/>
        <v>241.90559999999999</v>
      </c>
      <c r="BO112" s="81">
        <f t="shared" si="16"/>
        <v>0.42857142857142855</v>
      </c>
      <c r="BP112" s="81">
        <f t="shared" si="17"/>
        <v>0.42857142857142855</v>
      </c>
    </row>
    <row r="113" spans="1:68" ht="27" customHeight="1" x14ac:dyDescent="0.25">
      <c r="A113" s="63" t="s">
        <v>207</v>
      </c>
      <c r="B113" s="63" t="s">
        <v>208</v>
      </c>
      <c r="C113" s="36">
        <v>4301071038</v>
      </c>
      <c r="D113" s="296">
        <v>4607111039248</v>
      </c>
      <c r="E113" s="296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86</v>
      </c>
      <c r="L113" s="37" t="s">
        <v>118</v>
      </c>
      <c r="M113" s="38" t="s">
        <v>85</v>
      </c>
      <c r="N113" s="38"/>
      <c r="O113" s="37">
        <v>180</v>
      </c>
      <c r="P113" s="36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98"/>
      <c r="R113" s="298"/>
      <c r="S113" s="298"/>
      <c r="T113" s="299"/>
      <c r="U113" s="39" t="s">
        <v>46</v>
      </c>
      <c r="V113" s="39" t="s">
        <v>46</v>
      </c>
      <c r="W113" s="40" t="s">
        <v>39</v>
      </c>
      <c r="X113" s="58">
        <v>72</v>
      </c>
      <c r="Y113" s="55">
        <f t="shared" si="12"/>
        <v>72</v>
      </c>
      <c r="Z113" s="41">
        <f t="shared" si="13"/>
        <v>1.1160000000000001</v>
      </c>
      <c r="AA113" s="68" t="s">
        <v>46</v>
      </c>
      <c r="AB113" s="69" t="s">
        <v>46</v>
      </c>
      <c r="AC113" s="169" t="s">
        <v>161</v>
      </c>
      <c r="AG113" s="81"/>
      <c r="AJ113" s="87" t="s">
        <v>119</v>
      </c>
      <c r="AK113" s="87">
        <v>12</v>
      </c>
      <c r="BB113" s="170" t="s">
        <v>70</v>
      </c>
      <c r="BM113" s="81">
        <f t="shared" si="14"/>
        <v>525.6</v>
      </c>
      <c r="BN113" s="81">
        <f t="shared" si="15"/>
        <v>525.6</v>
      </c>
      <c r="BO113" s="81">
        <f t="shared" si="16"/>
        <v>0.8571428571428571</v>
      </c>
      <c r="BP113" s="81">
        <f t="shared" si="17"/>
        <v>0.8571428571428571</v>
      </c>
    </row>
    <row r="114" spans="1:68" ht="27" hidden="1" customHeight="1" x14ac:dyDescent="0.25">
      <c r="A114" s="63" t="s">
        <v>209</v>
      </c>
      <c r="B114" s="63" t="s">
        <v>210</v>
      </c>
      <c r="C114" s="36">
        <v>4301070979</v>
      </c>
      <c r="D114" s="296">
        <v>4607111037145</v>
      </c>
      <c r="E114" s="296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86</v>
      </c>
      <c r="L114" s="37" t="s">
        <v>87</v>
      </c>
      <c r="M114" s="38" t="s">
        <v>85</v>
      </c>
      <c r="N114" s="38"/>
      <c r="O114" s="37">
        <v>180</v>
      </c>
      <c r="P114" s="36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98"/>
      <c r="R114" s="298"/>
      <c r="S114" s="298"/>
      <c r="T114" s="29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211</v>
      </c>
      <c r="AG114" s="81"/>
      <c r="AJ114" s="87" t="s">
        <v>88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212</v>
      </c>
      <c r="B115" s="63" t="s">
        <v>213</v>
      </c>
      <c r="C115" s="36">
        <v>4301071075</v>
      </c>
      <c r="D115" s="296">
        <v>4620207491102</v>
      </c>
      <c r="E115" s="296"/>
      <c r="F115" s="62">
        <v>0.7</v>
      </c>
      <c r="G115" s="37">
        <v>10</v>
      </c>
      <c r="H115" s="62">
        <v>7</v>
      </c>
      <c r="I115" s="62">
        <v>7.23</v>
      </c>
      <c r="J115" s="37">
        <v>84</v>
      </c>
      <c r="K115" s="37" t="s">
        <v>86</v>
      </c>
      <c r="L115" s="37" t="s">
        <v>87</v>
      </c>
      <c r="M115" s="38" t="s">
        <v>85</v>
      </c>
      <c r="N115" s="38"/>
      <c r="O115" s="37">
        <v>180</v>
      </c>
      <c r="P115" s="366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298"/>
      <c r="R115" s="298"/>
      <c r="S115" s="298"/>
      <c r="T115" s="299"/>
      <c r="U115" s="39" t="s">
        <v>46</v>
      </c>
      <c r="V115" s="39" t="s">
        <v>46</v>
      </c>
      <c r="W115" s="40" t="s">
        <v>39</v>
      </c>
      <c r="X115" s="58">
        <v>60</v>
      </c>
      <c r="Y115" s="55">
        <f t="shared" si="12"/>
        <v>60</v>
      </c>
      <c r="Z115" s="41">
        <f t="shared" si="13"/>
        <v>0.92999999999999994</v>
      </c>
      <c r="AA115" s="68" t="s">
        <v>46</v>
      </c>
      <c r="AB115" s="69" t="s">
        <v>46</v>
      </c>
      <c r="AC115" s="173" t="s">
        <v>214</v>
      </c>
      <c r="AG115" s="81"/>
      <c r="AJ115" s="87" t="s">
        <v>88</v>
      </c>
      <c r="AK115" s="87">
        <v>1</v>
      </c>
      <c r="BB115" s="174" t="s">
        <v>70</v>
      </c>
      <c r="BM115" s="81">
        <f t="shared" si="14"/>
        <v>433.8</v>
      </c>
      <c r="BN115" s="81">
        <f t="shared" si="15"/>
        <v>433.8</v>
      </c>
      <c r="BO115" s="81">
        <f t="shared" si="16"/>
        <v>0.7142857142857143</v>
      </c>
      <c r="BP115" s="81">
        <f t="shared" si="17"/>
        <v>0.7142857142857143</v>
      </c>
    </row>
    <row r="116" spans="1:68" ht="27" customHeight="1" x14ac:dyDescent="0.25">
      <c r="A116" s="63" t="s">
        <v>215</v>
      </c>
      <c r="B116" s="63" t="s">
        <v>216</v>
      </c>
      <c r="C116" s="36">
        <v>4301071049</v>
      </c>
      <c r="D116" s="296">
        <v>4607111039293</v>
      </c>
      <c r="E116" s="296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86</v>
      </c>
      <c r="L116" s="37" t="s">
        <v>118</v>
      </c>
      <c r="M116" s="38" t="s">
        <v>85</v>
      </c>
      <c r="N116" s="38"/>
      <c r="O116" s="37">
        <v>180</v>
      </c>
      <c r="P116" s="35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8"/>
      <c r="R116" s="298"/>
      <c r="S116" s="298"/>
      <c r="T116" s="299"/>
      <c r="U116" s="39" t="s">
        <v>46</v>
      </c>
      <c r="V116" s="39" t="s">
        <v>46</v>
      </c>
      <c r="W116" s="40" t="s">
        <v>39</v>
      </c>
      <c r="X116" s="58">
        <v>48</v>
      </c>
      <c r="Y116" s="55">
        <f t="shared" si="12"/>
        <v>48</v>
      </c>
      <c r="Z116" s="41">
        <f t="shared" si="13"/>
        <v>0.74399999999999999</v>
      </c>
      <c r="AA116" s="68" t="s">
        <v>46</v>
      </c>
      <c r="AB116" s="69" t="s">
        <v>46</v>
      </c>
      <c r="AC116" s="175" t="s">
        <v>161</v>
      </c>
      <c r="AG116" s="81"/>
      <c r="AJ116" s="87" t="s">
        <v>119</v>
      </c>
      <c r="AK116" s="87">
        <v>12</v>
      </c>
      <c r="BB116" s="176" t="s">
        <v>70</v>
      </c>
      <c r="BM116" s="81">
        <f t="shared" si="14"/>
        <v>322.54079999999999</v>
      </c>
      <c r="BN116" s="81">
        <f t="shared" si="15"/>
        <v>322.54079999999999</v>
      </c>
      <c r="BO116" s="81">
        <f t="shared" si="16"/>
        <v>0.5714285714285714</v>
      </c>
      <c r="BP116" s="81">
        <f t="shared" si="17"/>
        <v>0.5714285714285714</v>
      </c>
    </row>
    <row r="117" spans="1:68" ht="27" customHeight="1" x14ac:dyDescent="0.25">
      <c r="A117" s="63" t="s">
        <v>217</v>
      </c>
      <c r="B117" s="63" t="s">
        <v>218</v>
      </c>
      <c r="C117" s="36">
        <v>4301071039</v>
      </c>
      <c r="D117" s="296">
        <v>4607111039279</v>
      </c>
      <c r="E117" s="296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86</v>
      </c>
      <c r="L117" s="37" t="s">
        <v>118</v>
      </c>
      <c r="M117" s="38" t="s">
        <v>85</v>
      </c>
      <c r="N117" s="38"/>
      <c r="O117" s="37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8"/>
      <c r="R117" s="298"/>
      <c r="S117" s="298"/>
      <c r="T117" s="299"/>
      <c r="U117" s="39" t="s">
        <v>46</v>
      </c>
      <c r="V117" s="39" t="s">
        <v>46</v>
      </c>
      <c r="W117" s="40" t="s">
        <v>39</v>
      </c>
      <c r="X117" s="58">
        <v>180</v>
      </c>
      <c r="Y117" s="55">
        <f t="shared" si="12"/>
        <v>180</v>
      </c>
      <c r="Z117" s="41">
        <f t="shared" si="13"/>
        <v>2.79</v>
      </c>
      <c r="AA117" s="68" t="s">
        <v>46</v>
      </c>
      <c r="AB117" s="69" t="s">
        <v>46</v>
      </c>
      <c r="AC117" s="177" t="s">
        <v>161</v>
      </c>
      <c r="AG117" s="81"/>
      <c r="AJ117" s="87" t="s">
        <v>119</v>
      </c>
      <c r="AK117" s="87">
        <v>12</v>
      </c>
      <c r="BB117" s="178" t="s">
        <v>70</v>
      </c>
      <c r="BM117" s="81">
        <f t="shared" si="14"/>
        <v>1314</v>
      </c>
      <c r="BN117" s="81">
        <f t="shared" si="15"/>
        <v>1314</v>
      </c>
      <c r="BO117" s="81">
        <f t="shared" si="16"/>
        <v>2.1428571428571428</v>
      </c>
      <c r="BP117" s="81">
        <f t="shared" si="17"/>
        <v>2.1428571428571428</v>
      </c>
    </row>
    <row r="118" spans="1:68" x14ac:dyDescent="0.2">
      <c r="A118" s="293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306"/>
      <c r="P118" s="303" t="s">
        <v>40</v>
      </c>
      <c r="Q118" s="304"/>
      <c r="R118" s="304"/>
      <c r="S118" s="304"/>
      <c r="T118" s="304"/>
      <c r="U118" s="304"/>
      <c r="V118" s="305"/>
      <c r="W118" s="42" t="s">
        <v>39</v>
      </c>
      <c r="X118" s="43">
        <f>IFERROR(SUM(X110:X117),"0")</f>
        <v>456</v>
      </c>
      <c r="Y118" s="43">
        <f>IFERROR(SUM(Y110:Y117),"0")</f>
        <v>456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7.0679999999999996</v>
      </c>
      <c r="AA118" s="67"/>
      <c r="AB118" s="67"/>
      <c r="AC118" s="67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306"/>
      <c r="P119" s="303" t="s">
        <v>40</v>
      </c>
      <c r="Q119" s="304"/>
      <c r="R119" s="304"/>
      <c r="S119" s="304"/>
      <c r="T119" s="304"/>
      <c r="U119" s="304"/>
      <c r="V119" s="305"/>
      <c r="W119" s="42" t="s">
        <v>0</v>
      </c>
      <c r="X119" s="43">
        <f>IFERROR(SUMPRODUCT(X110:X117*H110:H117),"0")</f>
        <v>3134.4</v>
      </c>
      <c r="Y119" s="43">
        <f>IFERROR(SUMPRODUCT(Y110:Y117*H110:H117),"0")</f>
        <v>3134.4</v>
      </c>
      <c r="Z119" s="42"/>
      <c r="AA119" s="67"/>
      <c r="AB119" s="67"/>
      <c r="AC119" s="67"/>
    </row>
    <row r="120" spans="1:68" ht="14.25" hidden="1" customHeight="1" x14ac:dyDescent="0.25">
      <c r="A120" s="314" t="s">
        <v>150</v>
      </c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4"/>
      <c r="AA120" s="66"/>
      <c r="AB120" s="66"/>
      <c r="AC120" s="83"/>
    </row>
    <row r="121" spans="1:68" ht="27" hidden="1" customHeight="1" x14ac:dyDescent="0.25">
      <c r="A121" s="63" t="s">
        <v>219</v>
      </c>
      <c r="B121" s="63" t="s">
        <v>220</v>
      </c>
      <c r="C121" s="36">
        <v>4301135826</v>
      </c>
      <c r="D121" s="296">
        <v>4620207490983</v>
      </c>
      <c r="E121" s="296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117</v>
      </c>
      <c r="L121" s="37" t="s">
        <v>87</v>
      </c>
      <c r="M121" s="38" t="s">
        <v>85</v>
      </c>
      <c r="N121" s="38"/>
      <c r="O121" s="37">
        <v>180</v>
      </c>
      <c r="P121" s="36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8"/>
      <c r="R121" s="298"/>
      <c r="S121" s="298"/>
      <c r="T121" s="299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221</v>
      </c>
      <c r="AG121" s="81"/>
      <c r="AJ121" s="87" t="s">
        <v>88</v>
      </c>
      <c r="AK121" s="87">
        <v>1</v>
      </c>
      <c r="BB121" s="180" t="s">
        <v>116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idden="1" x14ac:dyDescent="0.2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306"/>
      <c r="P122" s="303" t="s">
        <v>40</v>
      </c>
      <c r="Q122" s="304"/>
      <c r="R122" s="304"/>
      <c r="S122" s="304"/>
      <c r="T122" s="304"/>
      <c r="U122" s="304"/>
      <c r="V122" s="305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306"/>
      <c r="P123" s="303" t="s">
        <v>40</v>
      </c>
      <c r="Q123" s="304"/>
      <c r="R123" s="304"/>
      <c r="S123" s="304"/>
      <c r="T123" s="304"/>
      <c r="U123" s="304"/>
      <c r="V123" s="305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14" t="s">
        <v>222</v>
      </c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4"/>
      <c r="AA124" s="66"/>
      <c r="AB124" s="66"/>
      <c r="AC124" s="83"/>
    </row>
    <row r="125" spans="1:68" ht="27" customHeight="1" x14ac:dyDescent="0.25">
      <c r="A125" s="63" t="s">
        <v>223</v>
      </c>
      <c r="B125" s="63" t="s">
        <v>224</v>
      </c>
      <c r="C125" s="36">
        <v>4301071094</v>
      </c>
      <c r="D125" s="296">
        <v>4620207491140</v>
      </c>
      <c r="E125" s="296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86</v>
      </c>
      <c r="L125" s="37" t="s">
        <v>87</v>
      </c>
      <c r="M125" s="38" t="s">
        <v>85</v>
      </c>
      <c r="N125" s="38"/>
      <c r="O125" s="37">
        <v>180</v>
      </c>
      <c r="P125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8"/>
      <c r="R125" s="298"/>
      <c r="S125" s="298"/>
      <c r="T125" s="299"/>
      <c r="U125" s="39" t="s">
        <v>46</v>
      </c>
      <c r="V125" s="39" t="s">
        <v>46</v>
      </c>
      <c r="W125" s="40" t="s">
        <v>39</v>
      </c>
      <c r="X125" s="58">
        <v>12</v>
      </c>
      <c r="Y125" s="55">
        <f>IFERROR(IF(X125="","",X125),"")</f>
        <v>12</v>
      </c>
      <c r="Z125" s="41">
        <f>IFERROR(IF(X125="","",X125*0.0155),"")</f>
        <v>0.186</v>
      </c>
      <c r="AA125" s="68" t="s">
        <v>46</v>
      </c>
      <c r="AB125" s="69" t="s">
        <v>46</v>
      </c>
      <c r="AC125" s="181" t="s">
        <v>225</v>
      </c>
      <c r="AG125" s="81"/>
      <c r="AJ125" s="87" t="s">
        <v>88</v>
      </c>
      <c r="AK125" s="87">
        <v>1</v>
      </c>
      <c r="BB125" s="182" t="s">
        <v>116</v>
      </c>
      <c r="BM125" s="81">
        <f>IFERROR(X125*I125,"0")</f>
        <v>75.36</v>
      </c>
      <c r="BN125" s="81">
        <f>IFERROR(Y125*I125,"0")</f>
        <v>75.36</v>
      </c>
      <c r="BO125" s="81">
        <f>IFERROR(X125/J125,"0")</f>
        <v>0.14285714285714285</v>
      </c>
      <c r="BP125" s="81">
        <f>IFERROR(Y125/J125,"0")</f>
        <v>0.14285714285714285</v>
      </c>
    </row>
    <row r="126" spans="1:68" x14ac:dyDescent="0.2">
      <c r="A126" s="293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306"/>
      <c r="P126" s="303" t="s">
        <v>40</v>
      </c>
      <c r="Q126" s="304"/>
      <c r="R126" s="304"/>
      <c r="S126" s="304"/>
      <c r="T126" s="304"/>
      <c r="U126" s="304"/>
      <c r="V126" s="305"/>
      <c r="W126" s="42" t="s">
        <v>39</v>
      </c>
      <c r="X126" s="43">
        <f>IFERROR(SUM(X125:X125),"0")</f>
        <v>12</v>
      </c>
      <c r="Y126" s="43">
        <f>IFERROR(SUM(Y125:Y125),"0")</f>
        <v>12</v>
      </c>
      <c r="Z126" s="43">
        <f>IFERROR(IF(Z125="",0,Z125),"0")</f>
        <v>0.186</v>
      </c>
      <c r="AA126" s="67"/>
      <c r="AB126" s="67"/>
      <c r="AC126" s="67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306"/>
      <c r="P127" s="303" t="s">
        <v>40</v>
      </c>
      <c r="Q127" s="304"/>
      <c r="R127" s="304"/>
      <c r="S127" s="304"/>
      <c r="T127" s="304"/>
      <c r="U127" s="304"/>
      <c r="V127" s="305"/>
      <c r="W127" s="42" t="s">
        <v>0</v>
      </c>
      <c r="X127" s="43">
        <f>IFERROR(SUMPRODUCT(X125:X125*H125:H125),"0")</f>
        <v>72</v>
      </c>
      <c r="Y127" s="43">
        <f>IFERROR(SUMPRODUCT(Y125:Y125*H125:H125),"0")</f>
        <v>72</v>
      </c>
      <c r="Z127" s="42"/>
      <c r="AA127" s="67"/>
      <c r="AB127" s="67"/>
      <c r="AC127" s="67"/>
    </row>
    <row r="128" spans="1:68" ht="16.5" hidden="1" customHeight="1" x14ac:dyDescent="0.25">
      <c r="A128" s="319" t="s">
        <v>226</v>
      </c>
      <c r="B128" s="319"/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319"/>
      <c r="W128" s="319"/>
      <c r="X128" s="319"/>
      <c r="Y128" s="319"/>
      <c r="Z128" s="319"/>
      <c r="AA128" s="65"/>
      <c r="AB128" s="65"/>
      <c r="AC128" s="82"/>
    </row>
    <row r="129" spans="1:68" ht="14.25" hidden="1" customHeight="1" x14ac:dyDescent="0.25">
      <c r="A129" s="314" t="s">
        <v>150</v>
      </c>
      <c r="B129" s="314"/>
      <c r="C129" s="314"/>
      <c r="D129" s="314"/>
      <c r="E129" s="314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14"/>
      <c r="AA129" s="66"/>
      <c r="AB129" s="66"/>
      <c r="AC129" s="83"/>
    </row>
    <row r="130" spans="1:68" ht="27" customHeight="1" x14ac:dyDescent="0.25">
      <c r="A130" s="63" t="s">
        <v>227</v>
      </c>
      <c r="B130" s="63" t="s">
        <v>228</v>
      </c>
      <c r="C130" s="36">
        <v>4301135848</v>
      </c>
      <c r="D130" s="296">
        <v>4620207491799</v>
      </c>
      <c r="E130" s="296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117</v>
      </c>
      <c r="L130" s="37" t="s">
        <v>87</v>
      </c>
      <c r="M130" s="38" t="s">
        <v>85</v>
      </c>
      <c r="N130" s="38"/>
      <c r="O130" s="37">
        <v>180</v>
      </c>
      <c r="P130" s="35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8"/>
      <c r="R130" s="298"/>
      <c r="S130" s="298"/>
      <c r="T130" s="299"/>
      <c r="U130" s="39" t="s">
        <v>46</v>
      </c>
      <c r="V130" s="39" t="s">
        <v>46</v>
      </c>
      <c r="W130" s="40" t="s">
        <v>39</v>
      </c>
      <c r="X130" s="58">
        <v>56</v>
      </c>
      <c r="Y130" s="55">
        <f>IFERROR(IF(X130="","",X130),"")</f>
        <v>56</v>
      </c>
      <c r="Z130" s="41">
        <f>IFERROR(IF(X130="","",X130*0.00941),"")</f>
        <v>0.52695999999999998</v>
      </c>
      <c r="AA130" s="68" t="s">
        <v>46</v>
      </c>
      <c r="AB130" s="69" t="s">
        <v>46</v>
      </c>
      <c r="AC130" s="183" t="s">
        <v>229</v>
      </c>
      <c r="AG130" s="81"/>
      <c r="AJ130" s="87" t="s">
        <v>88</v>
      </c>
      <c r="AK130" s="87">
        <v>1</v>
      </c>
      <c r="BB130" s="184" t="s">
        <v>116</v>
      </c>
      <c r="BM130" s="81">
        <f>IFERROR(X130*I130,"0")</f>
        <v>100.8</v>
      </c>
      <c r="BN130" s="81">
        <f>IFERROR(Y130*I130,"0")</f>
        <v>100.8</v>
      </c>
      <c r="BO130" s="81">
        <f>IFERROR(X130/J130,"0")</f>
        <v>0.4</v>
      </c>
      <c r="BP130" s="81">
        <f>IFERROR(Y130/J130,"0")</f>
        <v>0.4</v>
      </c>
    </row>
    <row r="131" spans="1:68" ht="27" customHeight="1" x14ac:dyDescent="0.25">
      <c r="A131" s="63" t="s">
        <v>230</v>
      </c>
      <c r="B131" s="63" t="s">
        <v>231</v>
      </c>
      <c r="C131" s="36">
        <v>4301135850</v>
      </c>
      <c r="D131" s="296">
        <v>4620207491492</v>
      </c>
      <c r="E131" s="29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117</v>
      </c>
      <c r="L131" s="37" t="s">
        <v>87</v>
      </c>
      <c r="M131" s="38" t="s">
        <v>85</v>
      </c>
      <c r="N131" s="38"/>
      <c r="O131" s="37">
        <v>180</v>
      </c>
      <c r="P131" s="35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8"/>
      <c r="R131" s="298"/>
      <c r="S131" s="298"/>
      <c r="T131" s="299"/>
      <c r="U131" s="39" t="s">
        <v>46</v>
      </c>
      <c r="V131" s="39" t="s">
        <v>46</v>
      </c>
      <c r="W131" s="40" t="s">
        <v>39</v>
      </c>
      <c r="X131" s="58">
        <v>28</v>
      </c>
      <c r="Y131" s="55">
        <f>IFERROR(IF(X131="","",X131),"")</f>
        <v>28</v>
      </c>
      <c r="Z131" s="41">
        <f>IFERROR(IF(X131="","",X131*0.00941),"")</f>
        <v>0.26347999999999999</v>
      </c>
      <c r="AA131" s="68" t="s">
        <v>46</v>
      </c>
      <c r="AB131" s="69" t="s">
        <v>46</v>
      </c>
      <c r="AC131" s="185" t="s">
        <v>229</v>
      </c>
      <c r="AG131" s="81"/>
      <c r="AJ131" s="87" t="s">
        <v>88</v>
      </c>
      <c r="AK131" s="87">
        <v>1</v>
      </c>
      <c r="BB131" s="186" t="s">
        <v>116</v>
      </c>
      <c r="BM131" s="81">
        <f>IFERROR(X131*I131,"0")</f>
        <v>50.4</v>
      </c>
      <c r="BN131" s="81">
        <f>IFERROR(Y131*I131,"0")</f>
        <v>50.4</v>
      </c>
      <c r="BO131" s="81">
        <f>IFERROR(X131/J131,"0")</f>
        <v>0.2</v>
      </c>
      <c r="BP131" s="81">
        <f>IFERROR(Y131/J131,"0")</f>
        <v>0.2</v>
      </c>
    </row>
    <row r="132" spans="1:68" ht="27" customHeight="1" x14ac:dyDescent="0.25">
      <c r="A132" s="63" t="s">
        <v>232</v>
      </c>
      <c r="B132" s="63" t="s">
        <v>233</v>
      </c>
      <c r="C132" s="36">
        <v>4301190118</v>
      </c>
      <c r="D132" s="296">
        <v>4620207491461</v>
      </c>
      <c r="E132" s="296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117</v>
      </c>
      <c r="L132" s="37" t="s">
        <v>87</v>
      </c>
      <c r="M132" s="38" t="s">
        <v>85</v>
      </c>
      <c r="N132" s="38"/>
      <c r="O132" s="37">
        <v>180</v>
      </c>
      <c r="P132" s="35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8"/>
      <c r="R132" s="298"/>
      <c r="S132" s="298"/>
      <c r="T132" s="299"/>
      <c r="U132" s="39" t="s">
        <v>46</v>
      </c>
      <c r="V132" s="39" t="s">
        <v>46</v>
      </c>
      <c r="W132" s="40" t="s">
        <v>39</v>
      </c>
      <c r="X132" s="58">
        <v>70</v>
      </c>
      <c r="Y132" s="55">
        <f>IFERROR(IF(X132="","",X132),"")</f>
        <v>70</v>
      </c>
      <c r="Z132" s="41">
        <f>IFERROR(IF(X132="","",X132*0.00941),"")</f>
        <v>0.65869999999999995</v>
      </c>
      <c r="AA132" s="68" t="s">
        <v>46</v>
      </c>
      <c r="AB132" s="69" t="s">
        <v>46</v>
      </c>
      <c r="AC132" s="187" t="s">
        <v>229</v>
      </c>
      <c r="AG132" s="81"/>
      <c r="AJ132" s="87" t="s">
        <v>88</v>
      </c>
      <c r="AK132" s="87">
        <v>1</v>
      </c>
      <c r="BB132" s="188" t="s">
        <v>116</v>
      </c>
      <c r="BM132" s="81">
        <f>IFERROR(X132*I132,"0")</f>
        <v>121.8</v>
      </c>
      <c r="BN132" s="81">
        <f>IFERROR(Y132*I132,"0")</f>
        <v>121.8</v>
      </c>
      <c r="BO132" s="81">
        <f>IFERROR(X132/J132,"0")</f>
        <v>0.5</v>
      </c>
      <c r="BP132" s="81">
        <f>IFERROR(Y132/J132,"0")</f>
        <v>0.5</v>
      </c>
    </row>
    <row r="133" spans="1:68" ht="27" customHeight="1" x14ac:dyDescent="0.25">
      <c r="A133" s="63" t="s">
        <v>234</v>
      </c>
      <c r="B133" s="63" t="s">
        <v>235</v>
      </c>
      <c r="C133" s="36">
        <v>4301135865</v>
      </c>
      <c r="D133" s="296">
        <v>4620207491485</v>
      </c>
      <c r="E133" s="296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117</v>
      </c>
      <c r="L133" s="37" t="s">
        <v>87</v>
      </c>
      <c r="M133" s="38" t="s">
        <v>85</v>
      </c>
      <c r="N133" s="38"/>
      <c r="O133" s="37">
        <v>180</v>
      </c>
      <c r="P133" s="35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8"/>
      <c r="R133" s="298"/>
      <c r="S133" s="298"/>
      <c r="T133" s="299"/>
      <c r="U133" s="39" t="s">
        <v>46</v>
      </c>
      <c r="V133" s="39" t="s">
        <v>46</v>
      </c>
      <c r="W133" s="40" t="s">
        <v>39</v>
      </c>
      <c r="X133" s="58">
        <v>112</v>
      </c>
      <c r="Y133" s="55">
        <f>IFERROR(IF(X133="","",X133),"")</f>
        <v>112</v>
      </c>
      <c r="Z133" s="41">
        <f>IFERROR(IF(X133="","",X133*0.00941),"")</f>
        <v>1.05392</v>
      </c>
      <c r="AA133" s="68" t="s">
        <v>46</v>
      </c>
      <c r="AB133" s="69" t="s">
        <v>46</v>
      </c>
      <c r="AC133" s="189" t="s">
        <v>229</v>
      </c>
      <c r="AG133" s="81"/>
      <c r="AJ133" s="87" t="s">
        <v>88</v>
      </c>
      <c r="AK133" s="87">
        <v>1</v>
      </c>
      <c r="BB133" s="190" t="s">
        <v>116</v>
      </c>
      <c r="BM133" s="81">
        <f>IFERROR(X133*I133,"0")</f>
        <v>201.6</v>
      </c>
      <c r="BN133" s="81">
        <f>IFERROR(Y133*I133,"0")</f>
        <v>201.6</v>
      </c>
      <c r="BO133" s="81">
        <f>IFERROR(X133/J133,"0")</f>
        <v>0.8</v>
      </c>
      <c r="BP133" s="81">
        <f>IFERROR(Y133/J133,"0")</f>
        <v>0.8</v>
      </c>
    </row>
    <row r="134" spans="1:68" x14ac:dyDescent="0.2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306"/>
      <c r="P134" s="303" t="s">
        <v>40</v>
      </c>
      <c r="Q134" s="304"/>
      <c r="R134" s="304"/>
      <c r="S134" s="304"/>
      <c r="T134" s="304"/>
      <c r="U134" s="304"/>
      <c r="V134" s="305"/>
      <c r="W134" s="42" t="s">
        <v>39</v>
      </c>
      <c r="X134" s="43">
        <f>IFERROR(SUM(X130:X133),"0")</f>
        <v>266</v>
      </c>
      <c r="Y134" s="43">
        <f>IFERROR(SUM(Y130:Y133),"0")</f>
        <v>266</v>
      </c>
      <c r="Z134" s="43">
        <f>IFERROR(IF(Z130="",0,Z130),"0")+IFERROR(IF(Z131="",0,Z131),"0")+IFERROR(IF(Z132="",0,Z132),"0")+IFERROR(IF(Z133="",0,Z133),"0")</f>
        <v>2.5030599999999996</v>
      </c>
      <c r="AA134" s="67"/>
      <c r="AB134" s="67"/>
      <c r="AC134" s="67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306"/>
      <c r="P135" s="303" t="s">
        <v>40</v>
      </c>
      <c r="Q135" s="304"/>
      <c r="R135" s="304"/>
      <c r="S135" s="304"/>
      <c r="T135" s="304"/>
      <c r="U135" s="304"/>
      <c r="V135" s="305"/>
      <c r="W135" s="42" t="s">
        <v>0</v>
      </c>
      <c r="X135" s="43">
        <f>IFERROR(SUMPRODUCT(X130:X133*H130:H133),"0")</f>
        <v>362.88</v>
      </c>
      <c r="Y135" s="43">
        <f>IFERROR(SUMPRODUCT(Y130:Y133*H130:H133),"0")</f>
        <v>362.88</v>
      </c>
      <c r="Z135" s="42"/>
      <c r="AA135" s="67"/>
      <c r="AB135" s="67"/>
      <c r="AC135" s="67"/>
    </row>
    <row r="136" spans="1:68" ht="14.25" hidden="1" customHeight="1" x14ac:dyDescent="0.25">
      <c r="A136" s="314" t="s">
        <v>236</v>
      </c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4"/>
      <c r="S136" s="314"/>
      <c r="T136" s="314"/>
      <c r="U136" s="314"/>
      <c r="V136" s="314"/>
      <c r="W136" s="314"/>
      <c r="X136" s="314"/>
      <c r="Y136" s="314"/>
      <c r="Z136" s="314"/>
      <c r="AA136" s="66"/>
      <c r="AB136" s="66"/>
      <c r="AC136" s="83"/>
    </row>
    <row r="137" spans="1:68" ht="27" hidden="1" customHeight="1" x14ac:dyDescent="0.25">
      <c r="A137" s="63" t="s">
        <v>237</v>
      </c>
      <c r="B137" s="63" t="s">
        <v>238</v>
      </c>
      <c r="C137" s="36">
        <v>4301190117</v>
      </c>
      <c r="D137" s="296">
        <v>4620207491386</v>
      </c>
      <c r="E137" s="29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117</v>
      </c>
      <c r="L137" s="37" t="s">
        <v>87</v>
      </c>
      <c r="M137" s="38" t="s">
        <v>85</v>
      </c>
      <c r="N137" s="38"/>
      <c r="O137" s="37">
        <v>180</v>
      </c>
      <c r="P137" s="35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8"/>
      <c r="R137" s="298"/>
      <c r="S137" s="298"/>
      <c r="T137" s="299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239</v>
      </c>
      <c r="AG137" s="81"/>
      <c r="AJ137" s="87" t="s">
        <v>88</v>
      </c>
      <c r="AK137" s="87">
        <v>1</v>
      </c>
      <c r="BB137" s="192" t="s">
        <v>116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240</v>
      </c>
      <c r="B138" s="63" t="s">
        <v>241</v>
      </c>
      <c r="C138" s="36">
        <v>4301190115</v>
      </c>
      <c r="D138" s="296">
        <v>4620207491362</v>
      </c>
      <c r="E138" s="296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117</v>
      </c>
      <c r="L138" s="37" t="s">
        <v>87</v>
      </c>
      <c r="M138" s="38" t="s">
        <v>85</v>
      </c>
      <c r="N138" s="38"/>
      <c r="O138" s="37">
        <v>180</v>
      </c>
      <c r="P138" s="35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8"/>
      <c r="R138" s="298"/>
      <c r="S138" s="298"/>
      <c r="T138" s="299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239</v>
      </c>
      <c r="AG138" s="81"/>
      <c r="AJ138" s="87" t="s">
        <v>88</v>
      </c>
      <c r="AK138" s="87">
        <v>1</v>
      </c>
      <c r="BB138" s="194" t="s">
        <v>116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242</v>
      </c>
      <c r="B139" s="63" t="s">
        <v>243</v>
      </c>
      <c r="C139" s="36">
        <v>4301190116</v>
      </c>
      <c r="D139" s="296">
        <v>4620207491379</v>
      </c>
      <c r="E139" s="296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117</v>
      </c>
      <c r="L139" s="37" t="s">
        <v>87</v>
      </c>
      <c r="M139" s="38" t="s">
        <v>85</v>
      </c>
      <c r="N139" s="38"/>
      <c r="O139" s="37">
        <v>180</v>
      </c>
      <c r="P139" s="35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8"/>
      <c r="R139" s="298"/>
      <c r="S139" s="298"/>
      <c r="T139" s="29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239</v>
      </c>
      <c r="AG139" s="81"/>
      <c r="AJ139" s="87" t="s">
        <v>88</v>
      </c>
      <c r="AK139" s="87">
        <v>1</v>
      </c>
      <c r="BB139" s="196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idden="1" x14ac:dyDescent="0.2">
      <c r="A140" s="293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306"/>
      <c r="P140" s="303" t="s">
        <v>40</v>
      </c>
      <c r="Q140" s="304"/>
      <c r="R140" s="304"/>
      <c r="S140" s="304"/>
      <c r="T140" s="304"/>
      <c r="U140" s="304"/>
      <c r="V140" s="305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hidden="1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306"/>
      <c r="P141" s="303" t="s">
        <v>40</v>
      </c>
      <c r="Q141" s="304"/>
      <c r="R141" s="304"/>
      <c r="S141" s="304"/>
      <c r="T141" s="304"/>
      <c r="U141" s="304"/>
      <c r="V141" s="305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hidden="1" customHeight="1" x14ac:dyDescent="0.25">
      <c r="A142" s="319" t="s">
        <v>244</v>
      </c>
      <c r="B142" s="319"/>
      <c r="C142" s="319"/>
      <c r="D142" s="319"/>
      <c r="E142" s="319"/>
      <c r="F142" s="319"/>
      <c r="G142" s="319"/>
      <c r="H142" s="319"/>
      <c r="I142" s="319"/>
      <c r="J142" s="319"/>
      <c r="K142" s="319"/>
      <c r="L142" s="319"/>
      <c r="M142" s="319"/>
      <c r="N142" s="319"/>
      <c r="O142" s="319"/>
      <c r="P142" s="319"/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  <c r="AA142" s="65"/>
      <c r="AB142" s="65"/>
      <c r="AC142" s="82"/>
    </row>
    <row r="143" spans="1:68" ht="14.25" hidden="1" customHeight="1" x14ac:dyDescent="0.25">
      <c r="A143" s="314" t="s">
        <v>150</v>
      </c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  <c r="T143" s="314"/>
      <c r="U143" s="314"/>
      <c r="V143" s="314"/>
      <c r="W143" s="314"/>
      <c r="X143" s="314"/>
      <c r="Y143" s="314"/>
      <c r="Z143" s="314"/>
      <c r="AA143" s="66"/>
      <c r="AB143" s="66"/>
      <c r="AC143" s="83"/>
    </row>
    <row r="144" spans="1:68" ht="27" customHeight="1" x14ac:dyDescent="0.25">
      <c r="A144" s="63" t="s">
        <v>245</v>
      </c>
      <c r="B144" s="63" t="s">
        <v>246</v>
      </c>
      <c r="C144" s="36">
        <v>4301135555</v>
      </c>
      <c r="D144" s="296">
        <v>4607111034014</v>
      </c>
      <c r="E144" s="296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117</v>
      </c>
      <c r="L144" s="37" t="s">
        <v>118</v>
      </c>
      <c r="M144" s="38" t="s">
        <v>85</v>
      </c>
      <c r="N144" s="38"/>
      <c r="O144" s="37">
        <v>180</v>
      </c>
      <c r="P144" s="34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8"/>
      <c r="R144" s="298"/>
      <c r="S144" s="298"/>
      <c r="T144" s="299"/>
      <c r="U144" s="39" t="s">
        <v>46</v>
      </c>
      <c r="V144" s="39" t="s">
        <v>46</v>
      </c>
      <c r="W144" s="40" t="s">
        <v>39</v>
      </c>
      <c r="X144" s="58">
        <v>84</v>
      </c>
      <c r="Y144" s="55">
        <f>IFERROR(IF(X144="","",X144),"")</f>
        <v>84</v>
      </c>
      <c r="Z144" s="41">
        <f>IFERROR(IF(X144="","",X144*0.01788),"")</f>
        <v>1.5019199999999999</v>
      </c>
      <c r="AA144" s="68" t="s">
        <v>46</v>
      </c>
      <c r="AB144" s="69" t="s">
        <v>46</v>
      </c>
      <c r="AC144" s="197" t="s">
        <v>247</v>
      </c>
      <c r="AG144" s="81"/>
      <c r="AJ144" s="87" t="s">
        <v>119</v>
      </c>
      <c r="AK144" s="87">
        <v>14</v>
      </c>
      <c r="BB144" s="198" t="s">
        <v>116</v>
      </c>
      <c r="BM144" s="81">
        <f>IFERROR(X144*I144,"0")</f>
        <v>311.10239999999999</v>
      </c>
      <c r="BN144" s="81">
        <f>IFERROR(Y144*I144,"0")</f>
        <v>311.10239999999999</v>
      </c>
      <c r="BO144" s="81">
        <f>IFERROR(X144/J144,"0")</f>
        <v>1.2</v>
      </c>
      <c r="BP144" s="81">
        <f>IFERROR(Y144/J144,"0")</f>
        <v>1.2</v>
      </c>
    </row>
    <row r="145" spans="1:68" ht="27" customHeight="1" x14ac:dyDescent="0.25">
      <c r="A145" s="63" t="s">
        <v>248</v>
      </c>
      <c r="B145" s="63" t="s">
        <v>249</v>
      </c>
      <c r="C145" s="36">
        <v>4301135532</v>
      </c>
      <c r="D145" s="296">
        <v>4607111033994</v>
      </c>
      <c r="E145" s="296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117</v>
      </c>
      <c r="L145" s="37" t="s">
        <v>118</v>
      </c>
      <c r="M145" s="38" t="s">
        <v>85</v>
      </c>
      <c r="N145" s="38"/>
      <c r="O145" s="37">
        <v>180</v>
      </c>
      <c r="P145" s="35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8"/>
      <c r="R145" s="298"/>
      <c r="S145" s="298"/>
      <c r="T145" s="299"/>
      <c r="U145" s="39" t="s">
        <v>46</v>
      </c>
      <c r="V145" s="39" t="s">
        <v>46</v>
      </c>
      <c r="W145" s="40" t="s">
        <v>39</v>
      </c>
      <c r="X145" s="58">
        <v>154</v>
      </c>
      <c r="Y145" s="55">
        <f>IFERROR(IF(X145="","",X145),"")</f>
        <v>154</v>
      </c>
      <c r="Z145" s="41">
        <f>IFERROR(IF(X145="","",X145*0.01788),"")</f>
        <v>2.75352</v>
      </c>
      <c r="AA145" s="68" t="s">
        <v>46</v>
      </c>
      <c r="AB145" s="69" t="s">
        <v>46</v>
      </c>
      <c r="AC145" s="199" t="s">
        <v>168</v>
      </c>
      <c r="AG145" s="81"/>
      <c r="AJ145" s="87" t="s">
        <v>119</v>
      </c>
      <c r="AK145" s="87">
        <v>14</v>
      </c>
      <c r="BB145" s="200" t="s">
        <v>116</v>
      </c>
      <c r="BM145" s="81">
        <f>IFERROR(X145*I145,"0")</f>
        <v>570.35439999999994</v>
      </c>
      <c r="BN145" s="81">
        <f>IFERROR(Y145*I145,"0")</f>
        <v>570.35439999999994</v>
      </c>
      <c r="BO145" s="81">
        <f>IFERROR(X145/J145,"0")</f>
        <v>2.2000000000000002</v>
      </c>
      <c r="BP145" s="81">
        <f>IFERROR(Y145/J145,"0")</f>
        <v>2.2000000000000002</v>
      </c>
    </row>
    <row r="146" spans="1:68" x14ac:dyDescent="0.2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306"/>
      <c r="P146" s="303" t="s">
        <v>40</v>
      </c>
      <c r="Q146" s="304"/>
      <c r="R146" s="304"/>
      <c r="S146" s="304"/>
      <c r="T146" s="304"/>
      <c r="U146" s="304"/>
      <c r="V146" s="305"/>
      <c r="W146" s="42" t="s">
        <v>39</v>
      </c>
      <c r="X146" s="43">
        <f>IFERROR(SUM(X144:X145),"0")</f>
        <v>238</v>
      </c>
      <c r="Y146" s="43">
        <f>IFERROR(SUM(Y144:Y145),"0")</f>
        <v>238</v>
      </c>
      <c r="Z146" s="43">
        <f>IFERROR(IF(Z144="",0,Z144),"0")+IFERROR(IF(Z145="",0,Z145),"0")</f>
        <v>4.2554400000000001</v>
      </c>
      <c r="AA146" s="67"/>
      <c r="AB146" s="67"/>
      <c r="AC146" s="67"/>
    </row>
    <row r="147" spans="1:68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306"/>
      <c r="P147" s="303" t="s">
        <v>40</v>
      </c>
      <c r="Q147" s="304"/>
      <c r="R147" s="304"/>
      <c r="S147" s="304"/>
      <c r="T147" s="304"/>
      <c r="U147" s="304"/>
      <c r="V147" s="305"/>
      <c r="W147" s="42" t="s">
        <v>0</v>
      </c>
      <c r="X147" s="43">
        <f>IFERROR(SUMPRODUCT(X144:X145*H144:H145),"0")</f>
        <v>714</v>
      </c>
      <c r="Y147" s="43">
        <f>IFERROR(SUMPRODUCT(Y144:Y145*H144:H145),"0")</f>
        <v>714</v>
      </c>
      <c r="Z147" s="42"/>
      <c r="AA147" s="67"/>
      <c r="AB147" s="67"/>
      <c r="AC147" s="67"/>
    </row>
    <row r="148" spans="1:68" ht="16.5" hidden="1" customHeight="1" x14ac:dyDescent="0.25">
      <c r="A148" s="319" t="s">
        <v>250</v>
      </c>
      <c r="B148" s="319"/>
      <c r="C148" s="319"/>
      <c r="D148" s="319"/>
      <c r="E148" s="319"/>
      <c r="F148" s="319"/>
      <c r="G148" s="319"/>
      <c r="H148" s="319"/>
      <c r="I148" s="319"/>
      <c r="J148" s="319"/>
      <c r="K148" s="319"/>
      <c r="L148" s="319"/>
      <c r="M148" s="319"/>
      <c r="N148" s="319"/>
      <c r="O148" s="319"/>
      <c r="P148" s="319"/>
      <c r="Q148" s="319"/>
      <c r="R148" s="319"/>
      <c r="S148" s="319"/>
      <c r="T148" s="319"/>
      <c r="U148" s="319"/>
      <c r="V148" s="319"/>
      <c r="W148" s="319"/>
      <c r="X148" s="319"/>
      <c r="Y148" s="319"/>
      <c r="Z148" s="319"/>
      <c r="AA148" s="65"/>
      <c r="AB148" s="65"/>
      <c r="AC148" s="82"/>
    </row>
    <row r="149" spans="1:68" ht="14.25" hidden="1" customHeight="1" x14ac:dyDescent="0.25">
      <c r="A149" s="314" t="s">
        <v>150</v>
      </c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4"/>
      <c r="S149" s="314"/>
      <c r="T149" s="314"/>
      <c r="U149" s="314"/>
      <c r="V149" s="314"/>
      <c r="W149" s="314"/>
      <c r="X149" s="314"/>
      <c r="Y149" s="314"/>
      <c r="Z149" s="314"/>
      <c r="AA149" s="66"/>
      <c r="AB149" s="66"/>
      <c r="AC149" s="83"/>
    </row>
    <row r="150" spans="1:68" ht="27" customHeight="1" x14ac:dyDescent="0.25">
      <c r="A150" s="63" t="s">
        <v>251</v>
      </c>
      <c r="B150" s="63" t="s">
        <v>252</v>
      </c>
      <c r="C150" s="36">
        <v>4301135824</v>
      </c>
      <c r="D150" s="296">
        <v>4607111039095</v>
      </c>
      <c r="E150" s="296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117</v>
      </c>
      <c r="L150" s="37" t="s">
        <v>87</v>
      </c>
      <c r="M150" s="38" t="s">
        <v>85</v>
      </c>
      <c r="N150" s="38"/>
      <c r="O150" s="37">
        <v>180</v>
      </c>
      <c r="P150" s="34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8"/>
      <c r="R150" s="298"/>
      <c r="S150" s="298"/>
      <c r="T150" s="299"/>
      <c r="U150" s="39" t="s">
        <v>46</v>
      </c>
      <c r="V150" s="39" t="s">
        <v>46</v>
      </c>
      <c r="W150" s="40" t="s">
        <v>39</v>
      </c>
      <c r="X150" s="58">
        <v>14</v>
      </c>
      <c r="Y150" s="55">
        <f>IFERROR(IF(X150="","",X150),"")</f>
        <v>14</v>
      </c>
      <c r="Z150" s="41">
        <f>IFERROR(IF(X150="","",X150*0.01788),"")</f>
        <v>0.25031999999999999</v>
      </c>
      <c r="AA150" s="68" t="s">
        <v>46</v>
      </c>
      <c r="AB150" s="69" t="s">
        <v>46</v>
      </c>
      <c r="AC150" s="201" t="s">
        <v>253</v>
      </c>
      <c r="AG150" s="81"/>
      <c r="AJ150" s="87" t="s">
        <v>88</v>
      </c>
      <c r="AK150" s="87">
        <v>1</v>
      </c>
      <c r="BB150" s="202" t="s">
        <v>116</v>
      </c>
      <c r="BM150" s="81">
        <f>IFERROR(X150*I150,"0")</f>
        <v>52.472000000000001</v>
      </c>
      <c r="BN150" s="81">
        <f>IFERROR(Y150*I150,"0")</f>
        <v>52.472000000000001</v>
      </c>
      <c r="BO150" s="81">
        <f>IFERROR(X150/J150,"0")</f>
        <v>0.2</v>
      </c>
      <c r="BP150" s="81">
        <f>IFERROR(Y150/J150,"0")</f>
        <v>0.2</v>
      </c>
    </row>
    <row r="151" spans="1:68" ht="16.5" customHeight="1" x14ac:dyDescent="0.25">
      <c r="A151" s="63" t="s">
        <v>254</v>
      </c>
      <c r="B151" s="63" t="s">
        <v>255</v>
      </c>
      <c r="C151" s="36">
        <v>4301135550</v>
      </c>
      <c r="D151" s="296">
        <v>4607111034199</v>
      </c>
      <c r="E151" s="29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117</v>
      </c>
      <c r="L151" s="37" t="s">
        <v>118</v>
      </c>
      <c r="M151" s="38" t="s">
        <v>85</v>
      </c>
      <c r="N151" s="38"/>
      <c r="O151" s="37">
        <v>180</v>
      </c>
      <c r="P151" s="34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1" s="298"/>
      <c r="R151" s="298"/>
      <c r="S151" s="298"/>
      <c r="T151" s="299"/>
      <c r="U151" s="39" t="s">
        <v>46</v>
      </c>
      <c r="V151" s="39" t="s">
        <v>46</v>
      </c>
      <c r="W151" s="40" t="s">
        <v>39</v>
      </c>
      <c r="X151" s="58">
        <v>84</v>
      </c>
      <c r="Y151" s="55">
        <f>IFERROR(IF(X151="","",X151),"")</f>
        <v>84</v>
      </c>
      <c r="Z151" s="41">
        <f>IFERROR(IF(X151="","",X151*0.01788),"")</f>
        <v>1.5019199999999999</v>
      </c>
      <c r="AA151" s="68" t="s">
        <v>46</v>
      </c>
      <c r="AB151" s="69" t="s">
        <v>46</v>
      </c>
      <c r="AC151" s="203" t="s">
        <v>256</v>
      </c>
      <c r="AG151" s="81"/>
      <c r="AJ151" s="87" t="s">
        <v>119</v>
      </c>
      <c r="AK151" s="87">
        <v>14</v>
      </c>
      <c r="BB151" s="204" t="s">
        <v>116</v>
      </c>
      <c r="BM151" s="81">
        <f>IFERROR(X151*I151,"0")</f>
        <v>311.10239999999999</v>
      </c>
      <c r="BN151" s="81">
        <f>IFERROR(Y151*I151,"0")</f>
        <v>311.10239999999999</v>
      </c>
      <c r="BO151" s="81">
        <f>IFERROR(X151/J151,"0")</f>
        <v>1.2</v>
      </c>
      <c r="BP151" s="81">
        <f>IFERROR(Y151/J151,"0")</f>
        <v>1.2</v>
      </c>
    </row>
    <row r="152" spans="1:68" x14ac:dyDescent="0.2">
      <c r="A152" s="293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306"/>
      <c r="P152" s="303" t="s">
        <v>40</v>
      </c>
      <c r="Q152" s="304"/>
      <c r="R152" s="304"/>
      <c r="S152" s="304"/>
      <c r="T152" s="304"/>
      <c r="U152" s="304"/>
      <c r="V152" s="305"/>
      <c r="W152" s="42" t="s">
        <v>39</v>
      </c>
      <c r="X152" s="43">
        <f>IFERROR(SUM(X150:X151),"0")</f>
        <v>98</v>
      </c>
      <c r="Y152" s="43">
        <f>IFERROR(SUM(Y150:Y151),"0")</f>
        <v>98</v>
      </c>
      <c r="Z152" s="43">
        <f>IFERROR(IF(Z150="",0,Z150),"0")+IFERROR(IF(Z151="",0,Z151),"0")</f>
        <v>1.75224</v>
      </c>
      <c r="AA152" s="67"/>
      <c r="AB152" s="67"/>
      <c r="AC152" s="67"/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306"/>
      <c r="P153" s="303" t="s">
        <v>40</v>
      </c>
      <c r="Q153" s="304"/>
      <c r="R153" s="304"/>
      <c r="S153" s="304"/>
      <c r="T153" s="304"/>
      <c r="U153" s="304"/>
      <c r="V153" s="305"/>
      <c r="W153" s="42" t="s">
        <v>0</v>
      </c>
      <c r="X153" s="43">
        <f>IFERROR(SUMPRODUCT(X150:X151*H150:H151),"0")</f>
        <v>294</v>
      </c>
      <c r="Y153" s="43">
        <f>IFERROR(SUMPRODUCT(Y150:Y151*H150:H151),"0")</f>
        <v>294</v>
      </c>
      <c r="Z153" s="42"/>
      <c r="AA153" s="67"/>
      <c r="AB153" s="67"/>
      <c r="AC153" s="67"/>
    </row>
    <row r="154" spans="1:68" ht="16.5" hidden="1" customHeight="1" x14ac:dyDescent="0.25">
      <c r="A154" s="319" t="s">
        <v>257</v>
      </c>
      <c r="B154" s="319"/>
      <c r="C154" s="319"/>
      <c r="D154" s="319"/>
      <c r="E154" s="319"/>
      <c r="F154" s="319"/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  <c r="AA154" s="65"/>
      <c r="AB154" s="65"/>
      <c r="AC154" s="82"/>
    </row>
    <row r="155" spans="1:68" ht="14.25" hidden="1" customHeight="1" x14ac:dyDescent="0.25">
      <c r="A155" s="314" t="s">
        <v>150</v>
      </c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14"/>
      <c r="AA155" s="66"/>
      <c r="AB155" s="66"/>
      <c r="AC155" s="83"/>
    </row>
    <row r="156" spans="1:68" ht="27" hidden="1" customHeight="1" x14ac:dyDescent="0.25">
      <c r="A156" s="63" t="s">
        <v>258</v>
      </c>
      <c r="B156" s="63" t="s">
        <v>259</v>
      </c>
      <c r="C156" s="36">
        <v>4301135753</v>
      </c>
      <c r="D156" s="296">
        <v>4620207490914</v>
      </c>
      <c r="E156" s="29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117</v>
      </c>
      <c r="L156" s="37" t="s">
        <v>87</v>
      </c>
      <c r="M156" s="38" t="s">
        <v>85</v>
      </c>
      <c r="N156" s="38"/>
      <c r="O156" s="37">
        <v>180</v>
      </c>
      <c r="P156" s="34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8"/>
      <c r="R156" s="298"/>
      <c r="S156" s="298"/>
      <c r="T156" s="299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247</v>
      </c>
      <c r="AG156" s="81"/>
      <c r="AJ156" s="87" t="s">
        <v>88</v>
      </c>
      <c r="AK156" s="87">
        <v>1</v>
      </c>
      <c r="BB156" s="206" t="s">
        <v>116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260</v>
      </c>
      <c r="B157" s="63" t="s">
        <v>261</v>
      </c>
      <c r="C157" s="36">
        <v>4301135778</v>
      </c>
      <c r="D157" s="296">
        <v>4620207490853</v>
      </c>
      <c r="E157" s="296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117</v>
      </c>
      <c r="L157" s="37" t="s">
        <v>118</v>
      </c>
      <c r="M157" s="38" t="s">
        <v>85</v>
      </c>
      <c r="N157" s="38"/>
      <c r="O157" s="37">
        <v>180</v>
      </c>
      <c r="P157" s="34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8"/>
      <c r="R157" s="298"/>
      <c r="S157" s="298"/>
      <c r="T157" s="299"/>
      <c r="U157" s="39" t="s">
        <v>46</v>
      </c>
      <c r="V157" s="39" t="s">
        <v>46</v>
      </c>
      <c r="W157" s="40" t="s">
        <v>39</v>
      </c>
      <c r="X157" s="58">
        <v>42</v>
      </c>
      <c r="Y157" s="55">
        <f>IFERROR(IF(X157="","",X157),"")</f>
        <v>42</v>
      </c>
      <c r="Z157" s="41">
        <f>IFERROR(IF(X157="","",X157*0.01788),"")</f>
        <v>0.75095999999999996</v>
      </c>
      <c r="AA157" s="68" t="s">
        <v>46</v>
      </c>
      <c r="AB157" s="69" t="s">
        <v>46</v>
      </c>
      <c r="AC157" s="207" t="s">
        <v>247</v>
      </c>
      <c r="AG157" s="81"/>
      <c r="AJ157" s="87" t="s">
        <v>119</v>
      </c>
      <c r="AK157" s="87">
        <v>14</v>
      </c>
      <c r="BB157" s="208" t="s">
        <v>116</v>
      </c>
      <c r="BM157" s="81">
        <f>IFERROR(X157*I157,"0")</f>
        <v>112.56</v>
      </c>
      <c r="BN157" s="81">
        <f>IFERROR(Y157*I157,"0")</f>
        <v>112.56</v>
      </c>
      <c r="BO157" s="81">
        <f>IFERROR(X157/J157,"0")</f>
        <v>0.6</v>
      </c>
      <c r="BP157" s="81">
        <f>IFERROR(Y157/J157,"0")</f>
        <v>0.6</v>
      </c>
    </row>
    <row r="158" spans="1:68" x14ac:dyDescent="0.2">
      <c r="A158" s="293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306"/>
      <c r="P158" s="303" t="s">
        <v>40</v>
      </c>
      <c r="Q158" s="304"/>
      <c r="R158" s="304"/>
      <c r="S158" s="304"/>
      <c r="T158" s="304"/>
      <c r="U158" s="304"/>
      <c r="V158" s="305"/>
      <c r="W158" s="42" t="s">
        <v>39</v>
      </c>
      <c r="X158" s="43">
        <f>IFERROR(SUM(X156:X157),"0")</f>
        <v>42</v>
      </c>
      <c r="Y158" s="43">
        <f>IFERROR(SUM(Y156:Y157),"0")</f>
        <v>42</v>
      </c>
      <c r="Z158" s="43">
        <f>IFERROR(IF(Z156="",0,Z156),"0")+IFERROR(IF(Z157="",0,Z157),"0")</f>
        <v>0.75095999999999996</v>
      </c>
      <c r="AA158" s="67"/>
      <c r="AB158" s="67"/>
      <c r="AC158" s="67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306"/>
      <c r="P159" s="303" t="s">
        <v>40</v>
      </c>
      <c r="Q159" s="304"/>
      <c r="R159" s="304"/>
      <c r="S159" s="304"/>
      <c r="T159" s="304"/>
      <c r="U159" s="304"/>
      <c r="V159" s="305"/>
      <c r="W159" s="42" t="s">
        <v>0</v>
      </c>
      <c r="X159" s="43">
        <f>IFERROR(SUMPRODUCT(X156:X157*H156:H157),"0")</f>
        <v>100.8</v>
      </c>
      <c r="Y159" s="43">
        <f>IFERROR(SUMPRODUCT(Y156:Y157*H156:H157),"0")</f>
        <v>100.8</v>
      </c>
      <c r="Z159" s="42"/>
      <c r="AA159" s="67"/>
      <c r="AB159" s="67"/>
      <c r="AC159" s="67"/>
    </row>
    <row r="160" spans="1:68" ht="16.5" hidden="1" customHeight="1" x14ac:dyDescent="0.25">
      <c r="A160" s="319" t="s">
        <v>262</v>
      </c>
      <c r="B160" s="319"/>
      <c r="C160" s="319"/>
      <c r="D160" s="319"/>
      <c r="E160" s="319"/>
      <c r="F160" s="319"/>
      <c r="G160" s="319"/>
      <c r="H160" s="319"/>
      <c r="I160" s="319"/>
      <c r="J160" s="319"/>
      <c r="K160" s="319"/>
      <c r="L160" s="319"/>
      <c r="M160" s="319"/>
      <c r="N160" s="319"/>
      <c r="O160" s="319"/>
      <c r="P160" s="319"/>
      <c r="Q160" s="319"/>
      <c r="R160" s="319"/>
      <c r="S160" s="319"/>
      <c r="T160" s="319"/>
      <c r="U160" s="319"/>
      <c r="V160" s="319"/>
      <c r="W160" s="319"/>
      <c r="X160" s="319"/>
      <c r="Y160" s="319"/>
      <c r="Z160" s="319"/>
      <c r="AA160" s="65"/>
      <c r="AB160" s="65"/>
      <c r="AC160" s="82"/>
    </row>
    <row r="161" spans="1:68" ht="14.25" hidden="1" customHeight="1" x14ac:dyDescent="0.25">
      <c r="A161" s="314" t="s">
        <v>150</v>
      </c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14"/>
      <c r="AA161" s="66"/>
      <c r="AB161" s="66"/>
      <c r="AC161" s="83"/>
    </row>
    <row r="162" spans="1:68" ht="27" customHeight="1" x14ac:dyDescent="0.25">
      <c r="A162" s="63" t="s">
        <v>263</v>
      </c>
      <c r="B162" s="63" t="s">
        <v>264</v>
      </c>
      <c r="C162" s="36">
        <v>4301135570</v>
      </c>
      <c r="D162" s="296">
        <v>4607111035806</v>
      </c>
      <c r="E162" s="296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117</v>
      </c>
      <c r="L162" s="37" t="s">
        <v>118</v>
      </c>
      <c r="M162" s="38" t="s">
        <v>85</v>
      </c>
      <c r="N162" s="38"/>
      <c r="O162" s="37">
        <v>180</v>
      </c>
      <c r="P162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98"/>
      <c r="R162" s="298"/>
      <c r="S162" s="298"/>
      <c r="T162" s="299"/>
      <c r="U162" s="39" t="s">
        <v>46</v>
      </c>
      <c r="V162" s="39" t="s">
        <v>46</v>
      </c>
      <c r="W162" s="40" t="s">
        <v>39</v>
      </c>
      <c r="X162" s="58">
        <v>14</v>
      </c>
      <c r="Y162" s="55">
        <f>IFERROR(IF(X162="","",X162),"")</f>
        <v>14</v>
      </c>
      <c r="Z162" s="41">
        <f>IFERROR(IF(X162="","",X162*0.01788),"")</f>
        <v>0.25031999999999999</v>
      </c>
      <c r="AA162" s="68" t="s">
        <v>46</v>
      </c>
      <c r="AB162" s="69" t="s">
        <v>46</v>
      </c>
      <c r="AC162" s="209" t="s">
        <v>265</v>
      </c>
      <c r="AG162" s="81"/>
      <c r="AJ162" s="87" t="s">
        <v>119</v>
      </c>
      <c r="AK162" s="87">
        <v>14</v>
      </c>
      <c r="BB162" s="210" t="s">
        <v>116</v>
      </c>
      <c r="BM162" s="81">
        <f>IFERROR(X162*I162,"0")</f>
        <v>51.850399999999993</v>
      </c>
      <c r="BN162" s="81">
        <f>IFERROR(Y162*I162,"0")</f>
        <v>51.850399999999993</v>
      </c>
      <c r="BO162" s="81">
        <f>IFERROR(X162/J162,"0")</f>
        <v>0.2</v>
      </c>
      <c r="BP162" s="81">
        <f>IFERROR(Y162/J162,"0")</f>
        <v>0.2</v>
      </c>
    </row>
    <row r="163" spans="1:68" x14ac:dyDescent="0.2">
      <c r="A163" s="293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306"/>
      <c r="P163" s="303" t="s">
        <v>40</v>
      </c>
      <c r="Q163" s="304"/>
      <c r="R163" s="304"/>
      <c r="S163" s="304"/>
      <c r="T163" s="304"/>
      <c r="U163" s="304"/>
      <c r="V163" s="305"/>
      <c r="W163" s="42" t="s">
        <v>39</v>
      </c>
      <c r="X163" s="43">
        <f>IFERROR(SUM(X162:X162),"0")</f>
        <v>14</v>
      </c>
      <c r="Y163" s="43">
        <f>IFERROR(SUM(Y162:Y162),"0")</f>
        <v>14</v>
      </c>
      <c r="Z163" s="43">
        <f>IFERROR(IF(Z162="",0,Z162),"0")</f>
        <v>0.25031999999999999</v>
      </c>
      <c r="AA163" s="67"/>
      <c r="AB163" s="67"/>
      <c r="AC163" s="67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306"/>
      <c r="P164" s="303" t="s">
        <v>40</v>
      </c>
      <c r="Q164" s="304"/>
      <c r="R164" s="304"/>
      <c r="S164" s="304"/>
      <c r="T164" s="304"/>
      <c r="U164" s="304"/>
      <c r="V164" s="305"/>
      <c r="W164" s="42" t="s">
        <v>0</v>
      </c>
      <c r="X164" s="43">
        <f>IFERROR(SUMPRODUCT(X162:X162*H162:H162),"0")</f>
        <v>42</v>
      </c>
      <c r="Y164" s="43">
        <f>IFERROR(SUMPRODUCT(Y162:Y162*H162:H162),"0")</f>
        <v>42</v>
      </c>
      <c r="Z164" s="42"/>
      <c r="AA164" s="67"/>
      <c r="AB164" s="67"/>
      <c r="AC164" s="67"/>
    </row>
    <row r="165" spans="1:68" ht="16.5" hidden="1" customHeight="1" x14ac:dyDescent="0.25">
      <c r="A165" s="319" t="s">
        <v>266</v>
      </c>
      <c r="B165" s="319"/>
      <c r="C165" s="319"/>
      <c r="D165" s="319"/>
      <c r="E165" s="319"/>
      <c r="F165" s="319"/>
      <c r="G165" s="319"/>
      <c r="H165" s="319"/>
      <c r="I165" s="319"/>
      <c r="J165" s="319"/>
      <c r="K165" s="319"/>
      <c r="L165" s="319"/>
      <c r="M165" s="319"/>
      <c r="N165" s="319"/>
      <c r="O165" s="319"/>
      <c r="P165" s="319"/>
      <c r="Q165" s="319"/>
      <c r="R165" s="319"/>
      <c r="S165" s="319"/>
      <c r="T165" s="319"/>
      <c r="U165" s="319"/>
      <c r="V165" s="319"/>
      <c r="W165" s="319"/>
      <c r="X165" s="319"/>
      <c r="Y165" s="319"/>
      <c r="Z165" s="319"/>
      <c r="AA165" s="65"/>
      <c r="AB165" s="65"/>
      <c r="AC165" s="82"/>
    </row>
    <row r="166" spans="1:68" ht="14.25" hidden="1" customHeight="1" x14ac:dyDescent="0.25">
      <c r="A166" s="314" t="s">
        <v>150</v>
      </c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4"/>
      <c r="AA166" s="66"/>
      <c r="AB166" s="66"/>
      <c r="AC166" s="83"/>
    </row>
    <row r="167" spans="1:68" ht="16.5" hidden="1" customHeight="1" x14ac:dyDescent="0.25">
      <c r="A167" s="63" t="s">
        <v>267</v>
      </c>
      <c r="B167" s="63" t="s">
        <v>268</v>
      </c>
      <c r="C167" s="36">
        <v>4301135607</v>
      </c>
      <c r="D167" s="296">
        <v>4607111039613</v>
      </c>
      <c r="E167" s="296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117</v>
      </c>
      <c r="L167" s="37" t="s">
        <v>118</v>
      </c>
      <c r="M167" s="38" t="s">
        <v>85</v>
      </c>
      <c r="N167" s="38"/>
      <c r="O167" s="37">
        <v>180</v>
      </c>
      <c r="P167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8"/>
      <c r="R167" s="298"/>
      <c r="S167" s="298"/>
      <c r="T167" s="299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253</v>
      </c>
      <c r="AG167" s="81"/>
      <c r="AJ167" s="87" t="s">
        <v>119</v>
      </c>
      <c r="AK167" s="87">
        <v>14</v>
      </c>
      <c r="BB167" s="212" t="s">
        <v>116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idden="1" x14ac:dyDescent="0.2">
      <c r="A168" s="293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306"/>
      <c r="P168" s="303" t="s">
        <v>40</v>
      </c>
      <c r="Q168" s="304"/>
      <c r="R168" s="304"/>
      <c r="S168" s="304"/>
      <c r="T168" s="304"/>
      <c r="U168" s="304"/>
      <c r="V168" s="305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hidden="1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306"/>
      <c r="P169" s="303" t="s">
        <v>40</v>
      </c>
      <c r="Q169" s="304"/>
      <c r="R169" s="304"/>
      <c r="S169" s="304"/>
      <c r="T169" s="304"/>
      <c r="U169" s="304"/>
      <c r="V169" s="305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hidden="1" customHeight="1" x14ac:dyDescent="0.25">
      <c r="A170" s="319" t="s">
        <v>269</v>
      </c>
      <c r="B170" s="319"/>
      <c r="C170" s="319"/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  <c r="AA170" s="65"/>
      <c r="AB170" s="65"/>
      <c r="AC170" s="82"/>
    </row>
    <row r="171" spans="1:68" ht="14.25" hidden="1" customHeight="1" x14ac:dyDescent="0.25">
      <c r="A171" s="314" t="s">
        <v>150</v>
      </c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14"/>
      <c r="AA171" s="66"/>
      <c r="AB171" s="66"/>
      <c r="AC171" s="83"/>
    </row>
    <row r="172" spans="1:68" ht="27" hidden="1" customHeight="1" x14ac:dyDescent="0.25">
      <c r="A172" s="63" t="s">
        <v>270</v>
      </c>
      <c r="B172" s="63" t="s">
        <v>271</v>
      </c>
      <c r="C172" s="36">
        <v>4301135591</v>
      </c>
      <c r="D172" s="296">
        <v>4607111036568</v>
      </c>
      <c r="E172" s="296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117</v>
      </c>
      <c r="L172" s="37" t="s">
        <v>87</v>
      </c>
      <c r="M172" s="38" t="s">
        <v>85</v>
      </c>
      <c r="N172" s="38"/>
      <c r="O172" s="37">
        <v>180</v>
      </c>
      <c r="P172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8"/>
      <c r="R172" s="298"/>
      <c r="S172" s="298"/>
      <c r="T172" s="299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272</v>
      </c>
      <c r="AG172" s="81"/>
      <c r="AJ172" s="87" t="s">
        <v>88</v>
      </c>
      <c r="AK172" s="87">
        <v>1</v>
      </c>
      <c r="BB172" s="214" t="s">
        <v>116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idden="1" x14ac:dyDescent="0.2">
      <c r="A173" s="293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306"/>
      <c r="P173" s="303" t="s">
        <v>40</v>
      </c>
      <c r="Q173" s="304"/>
      <c r="R173" s="304"/>
      <c r="S173" s="304"/>
      <c r="T173" s="304"/>
      <c r="U173" s="304"/>
      <c r="V173" s="305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hidden="1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306"/>
      <c r="P174" s="303" t="s">
        <v>40</v>
      </c>
      <c r="Q174" s="304"/>
      <c r="R174" s="304"/>
      <c r="S174" s="304"/>
      <c r="T174" s="304"/>
      <c r="U174" s="304"/>
      <c r="V174" s="305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hidden="1" customHeight="1" x14ac:dyDescent="0.2">
      <c r="A175" s="318" t="s">
        <v>273</v>
      </c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  <c r="AA175" s="54"/>
      <c r="AB175" s="54"/>
      <c r="AC175" s="54"/>
    </row>
    <row r="176" spans="1:68" ht="16.5" hidden="1" customHeight="1" x14ac:dyDescent="0.25">
      <c r="A176" s="319" t="s">
        <v>274</v>
      </c>
      <c r="B176" s="319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65"/>
      <c r="AB176" s="65"/>
      <c r="AC176" s="82"/>
    </row>
    <row r="177" spans="1:68" ht="14.25" hidden="1" customHeight="1" x14ac:dyDescent="0.25">
      <c r="A177" s="314" t="s">
        <v>81</v>
      </c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66"/>
      <c r="AB177" s="66"/>
      <c r="AC177" s="83"/>
    </row>
    <row r="178" spans="1:68" ht="16.5" hidden="1" customHeight="1" x14ac:dyDescent="0.25">
      <c r="A178" s="63" t="s">
        <v>275</v>
      </c>
      <c r="B178" s="63" t="s">
        <v>276</v>
      </c>
      <c r="C178" s="36">
        <v>4301071062</v>
      </c>
      <c r="D178" s="296">
        <v>4607111036384</v>
      </c>
      <c r="E178" s="296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86</v>
      </c>
      <c r="L178" s="37" t="s">
        <v>118</v>
      </c>
      <c r="M178" s="38" t="s">
        <v>85</v>
      </c>
      <c r="N178" s="38"/>
      <c r="O178" s="37">
        <v>180</v>
      </c>
      <c r="P178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8"/>
      <c r="R178" s="298"/>
      <c r="S178" s="298"/>
      <c r="T178" s="29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119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278</v>
      </c>
      <c r="B179" s="63" t="s">
        <v>279</v>
      </c>
      <c r="C179" s="36">
        <v>4301071050</v>
      </c>
      <c r="D179" s="296">
        <v>4607111036216</v>
      </c>
      <c r="E179" s="296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86</v>
      </c>
      <c r="L179" s="37" t="s">
        <v>118</v>
      </c>
      <c r="M179" s="38" t="s">
        <v>85</v>
      </c>
      <c r="N179" s="38"/>
      <c r="O179" s="37">
        <v>180</v>
      </c>
      <c r="P179" s="33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8"/>
      <c r="R179" s="298"/>
      <c r="S179" s="298"/>
      <c r="T179" s="299"/>
      <c r="U179" s="39" t="s">
        <v>46</v>
      </c>
      <c r="V179" s="39" t="s">
        <v>46</v>
      </c>
      <c r="W179" s="40" t="s">
        <v>39</v>
      </c>
      <c r="X179" s="58">
        <v>60</v>
      </c>
      <c r="Y179" s="55">
        <f>IFERROR(IF(X179="","",X179),"")</f>
        <v>60</v>
      </c>
      <c r="Z179" s="41">
        <f>IFERROR(IF(X179="","",X179*0.00866),"")</f>
        <v>0.51959999999999995</v>
      </c>
      <c r="AA179" s="68" t="s">
        <v>46</v>
      </c>
      <c r="AB179" s="69" t="s">
        <v>46</v>
      </c>
      <c r="AC179" s="217" t="s">
        <v>280</v>
      </c>
      <c r="AG179" s="81"/>
      <c r="AJ179" s="87" t="s">
        <v>119</v>
      </c>
      <c r="AK179" s="87">
        <v>12</v>
      </c>
      <c r="BB179" s="218" t="s">
        <v>70</v>
      </c>
      <c r="BM179" s="81">
        <f>IFERROR(X179*I179,"0")</f>
        <v>312.79199999999997</v>
      </c>
      <c r="BN179" s="81">
        <f>IFERROR(Y179*I179,"0")</f>
        <v>312.79199999999997</v>
      </c>
      <c r="BO179" s="81">
        <f>IFERROR(X179/J179,"0")</f>
        <v>0.41666666666666669</v>
      </c>
      <c r="BP179" s="81">
        <f>IFERROR(Y179/J179,"0")</f>
        <v>0.41666666666666669</v>
      </c>
    </row>
    <row r="180" spans="1:68" x14ac:dyDescent="0.2">
      <c r="A180" s="293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306"/>
      <c r="P180" s="303" t="s">
        <v>40</v>
      </c>
      <c r="Q180" s="304"/>
      <c r="R180" s="304"/>
      <c r="S180" s="304"/>
      <c r="T180" s="304"/>
      <c r="U180" s="304"/>
      <c r="V180" s="305"/>
      <c r="W180" s="42" t="s">
        <v>39</v>
      </c>
      <c r="X180" s="43">
        <f>IFERROR(SUM(X178:X179),"0")</f>
        <v>60</v>
      </c>
      <c r="Y180" s="43">
        <f>IFERROR(SUM(Y178:Y179),"0")</f>
        <v>60</v>
      </c>
      <c r="Z180" s="43">
        <f>IFERROR(IF(Z178="",0,Z178),"0")+IFERROR(IF(Z179="",0,Z179),"0")</f>
        <v>0.51959999999999995</v>
      </c>
      <c r="AA180" s="67"/>
      <c r="AB180" s="67"/>
      <c r="AC180" s="67"/>
    </row>
    <row r="181" spans="1:68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306"/>
      <c r="P181" s="303" t="s">
        <v>40</v>
      </c>
      <c r="Q181" s="304"/>
      <c r="R181" s="304"/>
      <c r="S181" s="304"/>
      <c r="T181" s="304"/>
      <c r="U181" s="304"/>
      <c r="V181" s="305"/>
      <c r="W181" s="42" t="s">
        <v>0</v>
      </c>
      <c r="X181" s="43">
        <f>IFERROR(SUMPRODUCT(X178:X179*H178:H179),"0")</f>
        <v>300</v>
      </c>
      <c r="Y181" s="43">
        <f>IFERROR(SUMPRODUCT(Y178:Y179*H178:H179),"0")</f>
        <v>300</v>
      </c>
      <c r="Z181" s="42"/>
      <c r="AA181" s="67"/>
      <c r="AB181" s="67"/>
      <c r="AC181" s="67"/>
    </row>
    <row r="182" spans="1:68" ht="16.5" hidden="1" customHeight="1" x14ac:dyDescent="0.25">
      <c r="A182" s="319" t="s">
        <v>281</v>
      </c>
      <c r="B182" s="319"/>
      <c r="C182" s="319"/>
      <c r="D182" s="319"/>
      <c r="E182" s="319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  <c r="Z182" s="319"/>
      <c r="AA182" s="65"/>
      <c r="AB182" s="65"/>
      <c r="AC182" s="82"/>
    </row>
    <row r="183" spans="1:68" ht="14.25" hidden="1" customHeight="1" x14ac:dyDescent="0.25">
      <c r="A183" s="314" t="s">
        <v>81</v>
      </c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14"/>
      <c r="AA183" s="66"/>
      <c r="AB183" s="66"/>
      <c r="AC183" s="83"/>
    </row>
    <row r="184" spans="1:68" ht="27" customHeight="1" x14ac:dyDescent="0.25">
      <c r="A184" s="63" t="s">
        <v>282</v>
      </c>
      <c r="B184" s="63" t="s">
        <v>283</v>
      </c>
      <c r="C184" s="36">
        <v>4301071117</v>
      </c>
      <c r="D184" s="296">
        <v>4620207491737</v>
      </c>
      <c r="E184" s="296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86</v>
      </c>
      <c r="L184" s="37" t="s">
        <v>87</v>
      </c>
      <c r="M184" s="38" t="s">
        <v>85</v>
      </c>
      <c r="N184" s="38"/>
      <c r="O184" s="37">
        <v>180</v>
      </c>
      <c r="P184" s="34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8"/>
      <c r="R184" s="298"/>
      <c r="S184" s="298"/>
      <c r="T184" s="299"/>
      <c r="U184" s="39" t="s">
        <v>46</v>
      </c>
      <c r="V184" s="39" t="s">
        <v>46</v>
      </c>
      <c r="W184" s="40" t="s">
        <v>39</v>
      </c>
      <c r="X184" s="58">
        <v>120</v>
      </c>
      <c r="Y184" s="55">
        <f>IFERROR(IF(X184="","",X184),"")</f>
        <v>120</v>
      </c>
      <c r="Z184" s="41">
        <f>IFERROR(IF(X184="","",X184*0.0155),"")</f>
        <v>1.8599999999999999</v>
      </c>
      <c r="AA184" s="68" t="s">
        <v>46</v>
      </c>
      <c r="AB184" s="69" t="s">
        <v>46</v>
      </c>
      <c r="AC184" s="219" t="s">
        <v>280</v>
      </c>
      <c r="AG184" s="81"/>
      <c r="AJ184" s="87" t="s">
        <v>88</v>
      </c>
      <c r="AK184" s="87">
        <v>1</v>
      </c>
      <c r="BB184" s="220" t="s">
        <v>70</v>
      </c>
      <c r="BM184" s="81">
        <f>IFERROR(X184*I184,"0")</f>
        <v>631.43999999999994</v>
      </c>
      <c r="BN184" s="81">
        <f>IFERROR(Y184*I184,"0")</f>
        <v>631.43999999999994</v>
      </c>
      <c r="BO184" s="81">
        <f>IFERROR(X184/J184,"0")</f>
        <v>1.4285714285714286</v>
      </c>
      <c r="BP184" s="81">
        <f>IFERROR(Y184/J184,"0")</f>
        <v>1.4285714285714286</v>
      </c>
    </row>
    <row r="185" spans="1:68" x14ac:dyDescent="0.2">
      <c r="A185" s="293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306"/>
      <c r="P185" s="303" t="s">
        <v>40</v>
      </c>
      <c r="Q185" s="304"/>
      <c r="R185" s="304"/>
      <c r="S185" s="304"/>
      <c r="T185" s="304"/>
      <c r="U185" s="304"/>
      <c r="V185" s="305"/>
      <c r="W185" s="42" t="s">
        <v>39</v>
      </c>
      <c r="X185" s="43">
        <f>IFERROR(SUM(X184:X184),"0")</f>
        <v>120</v>
      </c>
      <c r="Y185" s="43">
        <f>IFERROR(SUM(Y184:Y184),"0")</f>
        <v>120</v>
      </c>
      <c r="Z185" s="43">
        <f>IFERROR(IF(Z184="",0,Z184),"0")</f>
        <v>1.8599999999999999</v>
      </c>
      <c r="AA185" s="67"/>
      <c r="AB185" s="67"/>
      <c r="AC185" s="67"/>
    </row>
    <row r="186" spans="1:68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306"/>
      <c r="P186" s="303" t="s">
        <v>40</v>
      </c>
      <c r="Q186" s="304"/>
      <c r="R186" s="304"/>
      <c r="S186" s="304"/>
      <c r="T186" s="304"/>
      <c r="U186" s="304"/>
      <c r="V186" s="305"/>
      <c r="W186" s="42" t="s">
        <v>0</v>
      </c>
      <c r="X186" s="43">
        <f>IFERROR(SUMPRODUCT(X184:X184*H184:H184),"0")</f>
        <v>600</v>
      </c>
      <c r="Y186" s="43">
        <f>IFERROR(SUMPRODUCT(Y184:Y184*H184:H184),"0")</f>
        <v>600</v>
      </c>
      <c r="Z186" s="42"/>
      <c r="AA186" s="67"/>
      <c r="AB186" s="67"/>
      <c r="AC186" s="67"/>
    </row>
    <row r="187" spans="1:68" ht="27.75" hidden="1" customHeight="1" x14ac:dyDescent="0.2">
      <c r="A187" s="318" t="s">
        <v>284</v>
      </c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  <c r="AA187" s="54"/>
      <c r="AB187" s="54"/>
      <c r="AC187" s="54"/>
    </row>
    <row r="188" spans="1:68" ht="16.5" hidden="1" customHeight="1" x14ac:dyDescent="0.25">
      <c r="A188" s="319" t="s">
        <v>285</v>
      </c>
      <c r="B188" s="319"/>
      <c r="C188" s="319"/>
      <c r="D188" s="319"/>
      <c r="E188" s="319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  <c r="AA188" s="65"/>
      <c r="AB188" s="65"/>
      <c r="AC188" s="82"/>
    </row>
    <row r="189" spans="1:68" ht="14.25" hidden="1" customHeight="1" x14ac:dyDescent="0.25">
      <c r="A189" s="314" t="s">
        <v>112</v>
      </c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66"/>
      <c r="AB189" s="66"/>
      <c r="AC189" s="83"/>
    </row>
    <row r="190" spans="1:68" ht="16.5" customHeight="1" x14ac:dyDescent="0.25">
      <c r="A190" s="63" t="s">
        <v>286</v>
      </c>
      <c r="B190" s="63" t="s">
        <v>287</v>
      </c>
      <c r="C190" s="36">
        <v>4301132179</v>
      </c>
      <c r="D190" s="296">
        <v>4607111035691</v>
      </c>
      <c r="E190" s="29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117</v>
      </c>
      <c r="L190" s="37" t="s">
        <v>118</v>
      </c>
      <c r="M190" s="38" t="s">
        <v>85</v>
      </c>
      <c r="N190" s="38"/>
      <c r="O190" s="37">
        <v>365</v>
      </c>
      <c r="P190" s="3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8"/>
      <c r="R190" s="298"/>
      <c r="S190" s="298"/>
      <c r="T190" s="299"/>
      <c r="U190" s="39" t="s">
        <v>46</v>
      </c>
      <c r="V190" s="39" t="s">
        <v>46</v>
      </c>
      <c r="W190" s="40" t="s">
        <v>39</v>
      </c>
      <c r="X190" s="58">
        <v>154</v>
      </c>
      <c r="Y190" s="55">
        <f>IFERROR(IF(X190="","",X190),"")</f>
        <v>154</v>
      </c>
      <c r="Z190" s="41">
        <f>IFERROR(IF(X190="","",X190*0.01788),"")</f>
        <v>2.75352</v>
      </c>
      <c r="AA190" s="68" t="s">
        <v>46</v>
      </c>
      <c r="AB190" s="69" t="s">
        <v>46</v>
      </c>
      <c r="AC190" s="221" t="s">
        <v>288</v>
      </c>
      <c r="AG190" s="81"/>
      <c r="AJ190" s="87" t="s">
        <v>119</v>
      </c>
      <c r="AK190" s="87">
        <v>14</v>
      </c>
      <c r="BB190" s="222" t="s">
        <v>116</v>
      </c>
      <c r="BM190" s="81">
        <f>IFERROR(X190*I190,"0")</f>
        <v>521.75199999999995</v>
      </c>
      <c r="BN190" s="81">
        <f>IFERROR(Y190*I190,"0")</f>
        <v>521.75199999999995</v>
      </c>
      <c r="BO190" s="81">
        <f>IFERROR(X190/J190,"0")</f>
        <v>2.2000000000000002</v>
      </c>
      <c r="BP190" s="81">
        <f>IFERROR(Y190/J190,"0")</f>
        <v>2.2000000000000002</v>
      </c>
    </row>
    <row r="191" spans="1:68" ht="27" customHeight="1" x14ac:dyDescent="0.25">
      <c r="A191" s="63" t="s">
        <v>289</v>
      </c>
      <c r="B191" s="63" t="s">
        <v>290</v>
      </c>
      <c r="C191" s="36">
        <v>4301132182</v>
      </c>
      <c r="D191" s="296">
        <v>4607111035721</v>
      </c>
      <c r="E191" s="296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117</v>
      </c>
      <c r="L191" s="37" t="s">
        <v>118</v>
      </c>
      <c r="M191" s="38" t="s">
        <v>85</v>
      </c>
      <c r="N191" s="38"/>
      <c r="O191" s="37">
        <v>365</v>
      </c>
      <c r="P191" s="3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8"/>
      <c r="R191" s="298"/>
      <c r="S191" s="298"/>
      <c r="T191" s="299"/>
      <c r="U191" s="39" t="s">
        <v>46</v>
      </c>
      <c r="V191" s="39" t="s">
        <v>46</v>
      </c>
      <c r="W191" s="40" t="s">
        <v>39</v>
      </c>
      <c r="X191" s="58">
        <v>140</v>
      </c>
      <c r="Y191" s="55">
        <f>IFERROR(IF(X191="","",X191),"")</f>
        <v>140</v>
      </c>
      <c r="Z191" s="41">
        <f>IFERROR(IF(X191="","",X191*0.01788),"")</f>
        <v>2.5032000000000001</v>
      </c>
      <c r="AA191" s="68" t="s">
        <v>46</v>
      </c>
      <c r="AB191" s="69" t="s">
        <v>46</v>
      </c>
      <c r="AC191" s="223" t="s">
        <v>291</v>
      </c>
      <c r="AG191" s="81"/>
      <c r="AJ191" s="87" t="s">
        <v>119</v>
      </c>
      <c r="AK191" s="87">
        <v>14</v>
      </c>
      <c r="BB191" s="224" t="s">
        <v>116</v>
      </c>
      <c r="BM191" s="81">
        <f>IFERROR(X191*I191,"0")</f>
        <v>474.32</v>
      </c>
      <c r="BN191" s="81">
        <f>IFERROR(Y191*I191,"0")</f>
        <v>474.32</v>
      </c>
      <c r="BO191" s="81">
        <f>IFERROR(X191/J191,"0")</f>
        <v>2</v>
      </c>
      <c r="BP191" s="81">
        <f>IFERROR(Y191/J191,"0")</f>
        <v>2</v>
      </c>
    </row>
    <row r="192" spans="1:68" ht="27" customHeight="1" x14ac:dyDescent="0.25">
      <c r="A192" s="63" t="s">
        <v>292</v>
      </c>
      <c r="B192" s="63" t="s">
        <v>293</v>
      </c>
      <c r="C192" s="36">
        <v>4301132170</v>
      </c>
      <c r="D192" s="296">
        <v>4607111038487</v>
      </c>
      <c r="E192" s="296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117</v>
      </c>
      <c r="L192" s="37" t="s">
        <v>118</v>
      </c>
      <c r="M192" s="38" t="s">
        <v>85</v>
      </c>
      <c r="N192" s="38"/>
      <c r="O192" s="37">
        <v>180</v>
      </c>
      <c r="P192" s="3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8"/>
      <c r="R192" s="298"/>
      <c r="S192" s="298"/>
      <c r="T192" s="299"/>
      <c r="U192" s="39" t="s">
        <v>46</v>
      </c>
      <c r="V192" s="39" t="s">
        <v>46</v>
      </c>
      <c r="W192" s="40" t="s">
        <v>39</v>
      </c>
      <c r="X192" s="58">
        <v>140</v>
      </c>
      <c r="Y192" s="55">
        <f>IFERROR(IF(X192="","",X192),"")</f>
        <v>140</v>
      </c>
      <c r="Z192" s="41">
        <f>IFERROR(IF(X192="","",X192*0.01788),"")</f>
        <v>2.5032000000000001</v>
      </c>
      <c r="AA192" s="68" t="s">
        <v>46</v>
      </c>
      <c r="AB192" s="69" t="s">
        <v>46</v>
      </c>
      <c r="AC192" s="225" t="s">
        <v>294</v>
      </c>
      <c r="AG192" s="81"/>
      <c r="AJ192" s="87" t="s">
        <v>119</v>
      </c>
      <c r="AK192" s="87">
        <v>14</v>
      </c>
      <c r="BB192" s="226" t="s">
        <v>116</v>
      </c>
      <c r="BM192" s="81">
        <f>IFERROR(X192*I192,"0")</f>
        <v>523.04000000000008</v>
      </c>
      <c r="BN192" s="81">
        <f>IFERROR(Y192*I192,"0")</f>
        <v>523.04000000000008</v>
      </c>
      <c r="BO192" s="81">
        <f>IFERROR(X192/J192,"0")</f>
        <v>2</v>
      </c>
      <c r="BP192" s="81">
        <f>IFERROR(Y192/J192,"0")</f>
        <v>2</v>
      </c>
    </row>
    <row r="193" spans="1:68" ht="27" customHeight="1" x14ac:dyDescent="0.25">
      <c r="A193" s="63" t="s">
        <v>295</v>
      </c>
      <c r="B193" s="63" t="s">
        <v>296</v>
      </c>
      <c r="C193" s="36">
        <v>4301132243</v>
      </c>
      <c r="D193" s="296">
        <v>4620207491195</v>
      </c>
      <c r="E193" s="296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117</v>
      </c>
      <c r="L193" s="37" t="s">
        <v>87</v>
      </c>
      <c r="M193" s="38" t="s">
        <v>85</v>
      </c>
      <c r="N193" s="38"/>
      <c r="O193" s="37">
        <v>180</v>
      </c>
      <c r="P193" s="3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8"/>
      <c r="R193" s="298"/>
      <c r="S193" s="298"/>
      <c r="T193" s="299"/>
      <c r="U193" s="39" t="s">
        <v>46</v>
      </c>
      <c r="V193" s="39" t="s">
        <v>46</v>
      </c>
      <c r="W193" s="40" t="s">
        <v>39</v>
      </c>
      <c r="X193" s="58">
        <v>14</v>
      </c>
      <c r="Y193" s="55">
        <f>IFERROR(IF(X193="","",X193),"")</f>
        <v>14</v>
      </c>
      <c r="Z193" s="41">
        <f>IFERROR(IF(X193="","",X193*0.01788),"")</f>
        <v>0.25031999999999999</v>
      </c>
      <c r="AA193" s="68" t="s">
        <v>46</v>
      </c>
      <c r="AB193" s="69" t="s">
        <v>46</v>
      </c>
      <c r="AC193" s="227" t="s">
        <v>297</v>
      </c>
      <c r="AG193" s="81"/>
      <c r="AJ193" s="87" t="s">
        <v>88</v>
      </c>
      <c r="AK193" s="87">
        <v>1</v>
      </c>
      <c r="BB193" s="228" t="s">
        <v>116</v>
      </c>
      <c r="BM193" s="81">
        <f>IFERROR(X193*I193,"0")</f>
        <v>44.072000000000003</v>
      </c>
      <c r="BN193" s="81">
        <f>IFERROR(Y193*I193,"0")</f>
        <v>44.072000000000003</v>
      </c>
      <c r="BO193" s="81">
        <f>IFERROR(X193/J193,"0")</f>
        <v>0.2</v>
      </c>
      <c r="BP193" s="81">
        <f>IFERROR(Y193/J193,"0")</f>
        <v>0.2</v>
      </c>
    </row>
    <row r="194" spans="1:68" x14ac:dyDescent="0.2">
      <c r="A194" s="293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306"/>
      <c r="P194" s="303" t="s">
        <v>40</v>
      </c>
      <c r="Q194" s="304"/>
      <c r="R194" s="304"/>
      <c r="S194" s="304"/>
      <c r="T194" s="304"/>
      <c r="U194" s="304"/>
      <c r="V194" s="305"/>
      <c r="W194" s="42" t="s">
        <v>39</v>
      </c>
      <c r="X194" s="43">
        <f>IFERROR(SUM(X190:X193),"0")</f>
        <v>448</v>
      </c>
      <c r="Y194" s="43">
        <f>IFERROR(SUM(Y190:Y193),"0")</f>
        <v>448</v>
      </c>
      <c r="Z194" s="43">
        <f>IFERROR(IF(Z190="",0,Z190),"0")+IFERROR(IF(Z191="",0,Z191),"0")+IFERROR(IF(Z192="",0,Z192),"0")+IFERROR(IF(Z193="",0,Z193),"0")</f>
        <v>8.0102399999999996</v>
      </c>
      <c r="AA194" s="67"/>
      <c r="AB194" s="67"/>
      <c r="AC194" s="67"/>
    </row>
    <row r="195" spans="1:68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306"/>
      <c r="P195" s="303" t="s">
        <v>40</v>
      </c>
      <c r="Q195" s="304"/>
      <c r="R195" s="304"/>
      <c r="S195" s="304"/>
      <c r="T195" s="304"/>
      <c r="U195" s="304"/>
      <c r="V195" s="305"/>
      <c r="W195" s="42" t="s">
        <v>0</v>
      </c>
      <c r="X195" s="43">
        <f>IFERROR(SUMPRODUCT(X190:X193*H190:H193),"0")</f>
        <v>1340.64</v>
      </c>
      <c r="Y195" s="43">
        <f>IFERROR(SUMPRODUCT(Y190:Y193*H190:H193),"0")</f>
        <v>1340.64</v>
      </c>
      <c r="Z195" s="42"/>
      <c r="AA195" s="67"/>
      <c r="AB195" s="67"/>
      <c r="AC195" s="67"/>
    </row>
    <row r="196" spans="1:68" ht="27.75" hidden="1" customHeight="1" x14ac:dyDescent="0.2">
      <c r="A196" s="318" t="s">
        <v>298</v>
      </c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  <c r="AA196" s="54"/>
      <c r="AB196" s="54"/>
      <c r="AC196" s="54"/>
    </row>
    <row r="197" spans="1:68" ht="16.5" hidden="1" customHeight="1" x14ac:dyDescent="0.25">
      <c r="A197" s="319" t="s">
        <v>299</v>
      </c>
      <c r="B197" s="31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  <c r="Z197" s="319"/>
      <c r="AA197" s="65"/>
      <c r="AB197" s="65"/>
      <c r="AC197" s="82"/>
    </row>
    <row r="198" spans="1:68" ht="14.25" hidden="1" customHeight="1" x14ac:dyDescent="0.25">
      <c r="A198" s="314" t="s">
        <v>112</v>
      </c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66"/>
      <c r="AB198" s="66"/>
      <c r="AC198" s="83"/>
    </row>
    <row r="199" spans="1:68" ht="27" customHeight="1" x14ac:dyDescent="0.25">
      <c r="A199" s="63" t="s">
        <v>300</v>
      </c>
      <c r="B199" s="63" t="s">
        <v>301</v>
      </c>
      <c r="C199" s="36">
        <v>4301132227</v>
      </c>
      <c r="D199" s="296">
        <v>4620207491133</v>
      </c>
      <c r="E199" s="296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117</v>
      </c>
      <c r="L199" s="37" t="s">
        <v>118</v>
      </c>
      <c r="M199" s="38" t="s">
        <v>85</v>
      </c>
      <c r="N199" s="38"/>
      <c r="O199" s="37">
        <v>180</v>
      </c>
      <c r="P199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8"/>
      <c r="R199" s="298"/>
      <c r="S199" s="298"/>
      <c r="T199" s="299"/>
      <c r="U199" s="39" t="s">
        <v>46</v>
      </c>
      <c r="V199" s="39" t="s">
        <v>46</v>
      </c>
      <c r="W199" s="40" t="s">
        <v>39</v>
      </c>
      <c r="X199" s="58">
        <v>28</v>
      </c>
      <c r="Y199" s="55">
        <f>IFERROR(IF(X199="","",X199),"")</f>
        <v>28</v>
      </c>
      <c r="Z199" s="41">
        <f>IFERROR(IF(X199="","",X199*0.01788),"")</f>
        <v>0.50063999999999997</v>
      </c>
      <c r="AA199" s="68" t="s">
        <v>46</v>
      </c>
      <c r="AB199" s="69" t="s">
        <v>46</v>
      </c>
      <c r="AC199" s="229" t="s">
        <v>302</v>
      </c>
      <c r="AG199" s="81"/>
      <c r="AJ199" s="87" t="s">
        <v>119</v>
      </c>
      <c r="AK199" s="87">
        <v>14</v>
      </c>
      <c r="BB199" s="230" t="s">
        <v>116</v>
      </c>
      <c r="BM199" s="81">
        <f>IFERROR(X199*I199,"0")</f>
        <v>83.44</v>
      </c>
      <c r="BN199" s="81">
        <f>IFERROR(Y199*I199,"0")</f>
        <v>83.44</v>
      </c>
      <c r="BO199" s="81">
        <f>IFERROR(X199/J199,"0")</f>
        <v>0.4</v>
      </c>
      <c r="BP199" s="81">
        <f>IFERROR(Y199/J199,"0")</f>
        <v>0.4</v>
      </c>
    </row>
    <row r="200" spans="1:68" x14ac:dyDescent="0.2">
      <c r="A200" s="293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306"/>
      <c r="P200" s="303" t="s">
        <v>40</v>
      </c>
      <c r="Q200" s="304"/>
      <c r="R200" s="304"/>
      <c r="S200" s="304"/>
      <c r="T200" s="304"/>
      <c r="U200" s="304"/>
      <c r="V200" s="305"/>
      <c r="W200" s="42" t="s">
        <v>39</v>
      </c>
      <c r="X200" s="43">
        <f>IFERROR(SUM(X199:X199),"0")</f>
        <v>28</v>
      </c>
      <c r="Y200" s="43">
        <f>IFERROR(SUM(Y199:Y199),"0")</f>
        <v>28</v>
      </c>
      <c r="Z200" s="43">
        <f>IFERROR(IF(Z199="",0,Z199),"0")</f>
        <v>0.50063999999999997</v>
      </c>
      <c r="AA200" s="67"/>
      <c r="AB200" s="67"/>
      <c r="AC200" s="67"/>
    </row>
    <row r="201" spans="1:68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306"/>
      <c r="P201" s="303" t="s">
        <v>40</v>
      </c>
      <c r="Q201" s="304"/>
      <c r="R201" s="304"/>
      <c r="S201" s="304"/>
      <c r="T201" s="304"/>
      <c r="U201" s="304"/>
      <c r="V201" s="305"/>
      <c r="W201" s="42" t="s">
        <v>0</v>
      </c>
      <c r="X201" s="43">
        <f>IFERROR(SUMPRODUCT(X199:X199*H199:H199),"0")</f>
        <v>77.28</v>
      </c>
      <c r="Y201" s="43">
        <f>IFERROR(SUMPRODUCT(Y199:Y199*H199:H199),"0")</f>
        <v>77.28</v>
      </c>
      <c r="Z201" s="42"/>
      <c r="AA201" s="67"/>
      <c r="AB201" s="67"/>
      <c r="AC201" s="67"/>
    </row>
    <row r="202" spans="1:68" ht="14.25" hidden="1" customHeight="1" x14ac:dyDescent="0.25">
      <c r="A202" s="314" t="s">
        <v>150</v>
      </c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4"/>
      <c r="AA202" s="66"/>
      <c r="AB202" s="66"/>
      <c r="AC202" s="83"/>
    </row>
    <row r="203" spans="1:68" ht="27" hidden="1" customHeight="1" x14ac:dyDescent="0.25">
      <c r="A203" s="63" t="s">
        <v>303</v>
      </c>
      <c r="B203" s="63" t="s">
        <v>304</v>
      </c>
      <c r="C203" s="36">
        <v>4301135834</v>
      </c>
      <c r="D203" s="296">
        <v>4620207491188</v>
      </c>
      <c r="E203" s="29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117</v>
      </c>
      <c r="L203" s="37" t="s">
        <v>87</v>
      </c>
      <c r="M203" s="38" t="s">
        <v>85</v>
      </c>
      <c r="N203" s="38"/>
      <c r="O203" s="37">
        <v>180</v>
      </c>
      <c r="P203" s="3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8"/>
      <c r="R203" s="298"/>
      <c r="S203" s="298"/>
      <c r="T203" s="29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88</v>
      </c>
      <c r="AK203" s="87">
        <v>1</v>
      </c>
      <c r="BB203" s="232" t="s">
        <v>116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306</v>
      </c>
      <c r="B204" s="63" t="s">
        <v>307</v>
      </c>
      <c r="C204" s="36">
        <v>4301135696</v>
      </c>
      <c r="D204" s="296">
        <v>4620207490235</v>
      </c>
      <c r="E204" s="29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117</v>
      </c>
      <c r="L204" s="37" t="s">
        <v>118</v>
      </c>
      <c r="M204" s="38" t="s">
        <v>85</v>
      </c>
      <c r="N204" s="38"/>
      <c r="O204" s="37">
        <v>180</v>
      </c>
      <c r="P204" s="33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8"/>
      <c r="R204" s="298"/>
      <c r="S204" s="298"/>
      <c r="T204" s="299"/>
      <c r="U204" s="39" t="s">
        <v>46</v>
      </c>
      <c r="V204" s="39" t="s">
        <v>46</v>
      </c>
      <c r="W204" s="40" t="s">
        <v>39</v>
      </c>
      <c r="X204" s="58">
        <v>14</v>
      </c>
      <c r="Y204" s="55">
        <f>IFERROR(IF(X204="","",X204),"")</f>
        <v>14</v>
      </c>
      <c r="Z204" s="41">
        <f>IFERROR(IF(X204="","",X204*0.01788),"")</f>
        <v>0.25031999999999999</v>
      </c>
      <c r="AA204" s="68" t="s">
        <v>46</v>
      </c>
      <c r="AB204" s="69" t="s">
        <v>46</v>
      </c>
      <c r="AC204" s="233" t="s">
        <v>308</v>
      </c>
      <c r="AG204" s="81"/>
      <c r="AJ204" s="87" t="s">
        <v>119</v>
      </c>
      <c r="AK204" s="87">
        <v>14</v>
      </c>
      <c r="BB204" s="234" t="s">
        <v>116</v>
      </c>
      <c r="BM204" s="81">
        <f>IFERROR(X204*I204,"0")</f>
        <v>43.450400000000002</v>
      </c>
      <c r="BN204" s="81">
        <f>IFERROR(Y204*I204,"0")</f>
        <v>43.450400000000002</v>
      </c>
      <c r="BO204" s="81">
        <f>IFERROR(X204/J204,"0")</f>
        <v>0.2</v>
      </c>
      <c r="BP204" s="81">
        <f>IFERROR(Y204/J204,"0")</f>
        <v>0.2</v>
      </c>
    </row>
    <row r="205" spans="1:68" ht="27" hidden="1" customHeight="1" x14ac:dyDescent="0.25">
      <c r="A205" s="63" t="s">
        <v>309</v>
      </c>
      <c r="B205" s="63" t="s">
        <v>310</v>
      </c>
      <c r="C205" s="36">
        <v>4301135697</v>
      </c>
      <c r="D205" s="296">
        <v>4620207490259</v>
      </c>
      <c r="E205" s="296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118</v>
      </c>
      <c r="M205" s="38" t="s">
        <v>85</v>
      </c>
      <c r="N205" s="38"/>
      <c r="O205" s="37">
        <v>180</v>
      </c>
      <c r="P205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8"/>
      <c r="R205" s="298"/>
      <c r="S205" s="298"/>
      <c r="T205" s="29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311</v>
      </c>
      <c r="AG205" s="81"/>
      <c r="AJ205" s="87" t="s">
        <v>119</v>
      </c>
      <c r="AK205" s="87">
        <v>14</v>
      </c>
      <c r="BB205" s="236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293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306"/>
      <c r="P206" s="303" t="s">
        <v>40</v>
      </c>
      <c r="Q206" s="304"/>
      <c r="R206" s="304"/>
      <c r="S206" s="304"/>
      <c r="T206" s="304"/>
      <c r="U206" s="304"/>
      <c r="V206" s="305"/>
      <c r="W206" s="42" t="s">
        <v>39</v>
      </c>
      <c r="X206" s="43">
        <f>IFERROR(SUM(X203:X205),"0")</f>
        <v>14</v>
      </c>
      <c r="Y206" s="43">
        <f>IFERROR(SUM(Y203:Y205),"0")</f>
        <v>14</v>
      </c>
      <c r="Z206" s="43">
        <f>IFERROR(IF(Z203="",0,Z203),"0")+IFERROR(IF(Z204="",0,Z204),"0")+IFERROR(IF(Z205="",0,Z205),"0")</f>
        <v>0.25031999999999999</v>
      </c>
      <c r="AA206" s="67"/>
      <c r="AB206" s="67"/>
      <c r="AC206" s="67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306"/>
      <c r="P207" s="303" t="s">
        <v>40</v>
      </c>
      <c r="Q207" s="304"/>
      <c r="R207" s="304"/>
      <c r="S207" s="304"/>
      <c r="T207" s="304"/>
      <c r="U207" s="304"/>
      <c r="V207" s="305"/>
      <c r="W207" s="42" t="s">
        <v>0</v>
      </c>
      <c r="X207" s="43">
        <f>IFERROR(SUMPRODUCT(X203:X205*H203:H205),"0")</f>
        <v>33.6</v>
      </c>
      <c r="Y207" s="43">
        <f>IFERROR(SUMPRODUCT(Y203:Y205*H203:H205),"0")</f>
        <v>33.6</v>
      </c>
      <c r="Z207" s="42"/>
      <c r="AA207" s="67"/>
      <c r="AB207" s="67"/>
      <c r="AC207" s="67"/>
    </row>
    <row r="208" spans="1:68" ht="16.5" hidden="1" customHeight="1" x14ac:dyDescent="0.25">
      <c r="A208" s="319" t="s">
        <v>312</v>
      </c>
      <c r="B208" s="31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319"/>
      <c r="W208" s="319"/>
      <c r="X208" s="319"/>
      <c r="Y208" s="319"/>
      <c r="Z208" s="319"/>
      <c r="AA208" s="65"/>
      <c r="AB208" s="65"/>
      <c r="AC208" s="82"/>
    </row>
    <row r="209" spans="1:68" ht="14.25" hidden="1" customHeight="1" x14ac:dyDescent="0.25">
      <c r="A209" s="314" t="s">
        <v>150</v>
      </c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14"/>
      <c r="AA209" s="66"/>
      <c r="AB209" s="66"/>
      <c r="AC209" s="83"/>
    </row>
    <row r="210" spans="1:68" ht="27" hidden="1" customHeight="1" x14ac:dyDescent="0.25">
      <c r="A210" s="63" t="s">
        <v>313</v>
      </c>
      <c r="B210" s="63" t="s">
        <v>314</v>
      </c>
      <c r="C210" s="36">
        <v>4301135854</v>
      </c>
      <c r="D210" s="296">
        <v>4620207491706</v>
      </c>
      <c r="E210" s="296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117</v>
      </c>
      <c r="L210" s="37" t="s">
        <v>87</v>
      </c>
      <c r="M210" s="38" t="s">
        <v>85</v>
      </c>
      <c r="N210" s="38"/>
      <c r="O210" s="37">
        <v>180</v>
      </c>
      <c r="P210" s="32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8"/>
      <c r="R210" s="298"/>
      <c r="S210" s="298"/>
      <c r="T210" s="29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88</v>
      </c>
      <c r="AK210" s="87">
        <v>1</v>
      </c>
      <c r="BB210" s="238" t="s">
        <v>116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hidden="1" customHeight="1" x14ac:dyDescent="0.25">
      <c r="A211" s="63" t="s">
        <v>316</v>
      </c>
      <c r="B211" s="63" t="s">
        <v>317</v>
      </c>
      <c r="C211" s="36">
        <v>4301135895</v>
      </c>
      <c r="D211" s="296">
        <v>4620207491522</v>
      </c>
      <c r="E211" s="296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117</v>
      </c>
      <c r="L211" s="37" t="s">
        <v>87</v>
      </c>
      <c r="M211" s="38" t="s">
        <v>85</v>
      </c>
      <c r="N211" s="38"/>
      <c r="O211" s="37">
        <v>180</v>
      </c>
      <c r="P211" s="33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8"/>
      <c r="R211" s="298"/>
      <c r="S211" s="298"/>
      <c r="T211" s="29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318</v>
      </c>
      <c r="AG211" s="81"/>
      <c r="AJ211" s="87" t="s">
        <v>88</v>
      </c>
      <c r="AK211" s="87">
        <v>1</v>
      </c>
      <c r="BB211" s="240" t="s">
        <v>116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idden="1" x14ac:dyDescent="0.2">
      <c r="A212" s="293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306"/>
      <c r="P212" s="303" t="s">
        <v>40</v>
      </c>
      <c r="Q212" s="304"/>
      <c r="R212" s="304"/>
      <c r="S212" s="304"/>
      <c r="T212" s="304"/>
      <c r="U212" s="304"/>
      <c r="V212" s="305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hidden="1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306"/>
      <c r="P213" s="303" t="s">
        <v>40</v>
      </c>
      <c r="Q213" s="304"/>
      <c r="R213" s="304"/>
      <c r="S213" s="304"/>
      <c r="T213" s="304"/>
      <c r="U213" s="304"/>
      <c r="V213" s="305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hidden="1" customHeight="1" x14ac:dyDescent="0.25">
      <c r="A214" s="319" t="s">
        <v>319</v>
      </c>
      <c r="B214" s="31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319"/>
      <c r="W214" s="319"/>
      <c r="X214" s="319"/>
      <c r="Y214" s="319"/>
      <c r="Z214" s="319"/>
      <c r="AA214" s="65"/>
      <c r="AB214" s="65"/>
      <c r="AC214" s="82"/>
    </row>
    <row r="215" spans="1:68" ht="14.25" hidden="1" customHeight="1" x14ac:dyDescent="0.25">
      <c r="A215" s="314" t="s">
        <v>81</v>
      </c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14"/>
      <c r="AA215" s="66"/>
      <c r="AB215" s="66"/>
      <c r="AC215" s="83"/>
    </row>
    <row r="216" spans="1:68" ht="27" customHeight="1" x14ac:dyDescent="0.25">
      <c r="A216" s="63" t="s">
        <v>320</v>
      </c>
      <c r="B216" s="63" t="s">
        <v>321</v>
      </c>
      <c r="C216" s="36">
        <v>4301071097</v>
      </c>
      <c r="D216" s="296">
        <v>4620207491096</v>
      </c>
      <c r="E216" s="296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86</v>
      </c>
      <c r="L216" s="37" t="s">
        <v>118</v>
      </c>
      <c r="M216" s="38" t="s">
        <v>85</v>
      </c>
      <c r="N216" s="38"/>
      <c r="O216" s="37">
        <v>180</v>
      </c>
      <c r="P216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8"/>
      <c r="R216" s="298"/>
      <c r="S216" s="298"/>
      <c r="T216" s="299"/>
      <c r="U216" s="39" t="s">
        <v>46</v>
      </c>
      <c r="V216" s="39" t="s">
        <v>46</v>
      </c>
      <c r="W216" s="40" t="s">
        <v>39</v>
      </c>
      <c r="X216" s="58">
        <v>48</v>
      </c>
      <c r="Y216" s="55">
        <f>IFERROR(IF(X216="","",X216),"")</f>
        <v>48</v>
      </c>
      <c r="Z216" s="41">
        <f>IFERROR(IF(X216="","",X216*0.0155),"")</f>
        <v>0.74399999999999999</v>
      </c>
      <c r="AA216" s="68" t="s">
        <v>46</v>
      </c>
      <c r="AB216" s="69" t="s">
        <v>46</v>
      </c>
      <c r="AC216" s="241" t="s">
        <v>322</v>
      </c>
      <c r="AG216" s="81"/>
      <c r="AJ216" s="87" t="s">
        <v>119</v>
      </c>
      <c r="AK216" s="87">
        <v>12</v>
      </c>
      <c r="BB216" s="242" t="s">
        <v>70</v>
      </c>
      <c r="BM216" s="81">
        <f>IFERROR(X216*I216,"0")</f>
        <v>251.04000000000002</v>
      </c>
      <c r="BN216" s="81">
        <f>IFERROR(Y216*I216,"0")</f>
        <v>251.04000000000002</v>
      </c>
      <c r="BO216" s="81">
        <f>IFERROR(X216/J216,"0")</f>
        <v>0.5714285714285714</v>
      </c>
      <c r="BP216" s="81">
        <f>IFERROR(Y216/J216,"0")</f>
        <v>0.5714285714285714</v>
      </c>
    </row>
    <row r="217" spans="1:68" x14ac:dyDescent="0.2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306"/>
      <c r="P217" s="303" t="s">
        <v>40</v>
      </c>
      <c r="Q217" s="304"/>
      <c r="R217" s="304"/>
      <c r="S217" s="304"/>
      <c r="T217" s="304"/>
      <c r="U217" s="304"/>
      <c r="V217" s="305"/>
      <c r="W217" s="42" t="s">
        <v>39</v>
      </c>
      <c r="X217" s="43">
        <f>IFERROR(SUM(X216:X216),"0")</f>
        <v>48</v>
      </c>
      <c r="Y217" s="43">
        <f>IFERROR(SUM(Y216:Y216),"0")</f>
        <v>48</v>
      </c>
      <c r="Z217" s="43">
        <f>IFERROR(IF(Z216="",0,Z216),"0")</f>
        <v>0.74399999999999999</v>
      </c>
      <c r="AA217" s="67"/>
      <c r="AB217" s="67"/>
      <c r="AC217" s="67"/>
    </row>
    <row r="218" spans="1:68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306"/>
      <c r="P218" s="303" t="s">
        <v>40</v>
      </c>
      <c r="Q218" s="304"/>
      <c r="R218" s="304"/>
      <c r="S218" s="304"/>
      <c r="T218" s="304"/>
      <c r="U218" s="304"/>
      <c r="V218" s="305"/>
      <c r="W218" s="42" t="s">
        <v>0</v>
      </c>
      <c r="X218" s="43">
        <f>IFERROR(SUMPRODUCT(X216:X216*H216:H216),"0")</f>
        <v>240</v>
      </c>
      <c r="Y218" s="43">
        <f>IFERROR(SUMPRODUCT(Y216:Y216*H216:H216),"0")</f>
        <v>240</v>
      </c>
      <c r="Z218" s="42"/>
      <c r="AA218" s="67"/>
      <c r="AB218" s="67"/>
      <c r="AC218" s="67"/>
    </row>
    <row r="219" spans="1:68" ht="16.5" hidden="1" customHeight="1" x14ac:dyDescent="0.25">
      <c r="A219" s="319" t="s">
        <v>323</v>
      </c>
      <c r="B219" s="31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319"/>
      <c r="W219" s="319"/>
      <c r="X219" s="319"/>
      <c r="Y219" s="319"/>
      <c r="Z219" s="319"/>
      <c r="AA219" s="65"/>
      <c r="AB219" s="65"/>
      <c r="AC219" s="82"/>
    </row>
    <row r="220" spans="1:68" ht="14.25" hidden="1" customHeight="1" x14ac:dyDescent="0.25">
      <c r="A220" s="314" t="s">
        <v>150</v>
      </c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  <c r="AA220" s="66"/>
      <c r="AB220" s="66"/>
      <c r="AC220" s="83"/>
    </row>
    <row r="221" spans="1:68" ht="27" hidden="1" customHeight="1" x14ac:dyDescent="0.25">
      <c r="A221" s="63" t="s">
        <v>324</v>
      </c>
      <c r="B221" s="63" t="s">
        <v>325</v>
      </c>
      <c r="C221" s="36">
        <v>4301135694</v>
      </c>
      <c r="D221" s="296">
        <v>4620207490501</v>
      </c>
      <c r="E221" s="296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117</v>
      </c>
      <c r="L221" s="37" t="s">
        <v>87</v>
      </c>
      <c r="M221" s="38" t="s">
        <v>85</v>
      </c>
      <c r="N221" s="38"/>
      <c r="O221" s="37">
        <v>180</v>
      </c>
      <c r="P221" s="3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8"/>
      <c r="R221" s="298"/>
      <c r="S221" s="298"/>
      <c r="T221" s="299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326</v>
      </c>
      <c r="AG221" s="81"/>
      <c r="AJ221" s="87" t="s">
        <v>88</v>
      </c>
      <c r="AK221" s="87">
        <v>1</v>
      </c>
      <c r="BB221" s="244" t="s">
        <v>116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idden="1" x14ac:dyDescent="0.2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306"/>
      <c r="P222" s="303" t="s">
        <v>40</v>
      </c>
      <c r="Q222" s="304"/>
      <c r="R222" s="304"/>
      <c r="S222" s="304"/>
      <c r="T222" s="304"/>
      <c r="U222" s="304"/>
      <c r="V222" s="305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hidden="1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306"/>
      <c r="P223" s="303" t="s">
        <v>40</v>
      </c>
      <c r="Q223" s="304"/>
      <c r="R223" s="304"/>
      <c r="S223" s="304"/>
      <c r="T223" s="304"/>
      <c r="U223" s="304"/>
      <c r="V223" s="305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hidden="1" customHeight="1" x14ac:dyDescent="0.2">
      <c r="A224" s="318" t="s">
        <v>327</v>
      </c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54"/>
      <c r="AB224" s="54"/>
      <c r="AC224" s="54"/>
    </row>
    <row r="225" spans="1:68" ht="16.5" hidden="1" customHeight="1" x14ac:dyDescent="0.25">
      <c r="A225" s="319" t="s">
        <v>328</v>
      </c>
      <c r="B225" s="319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  <c r="AA225" s="65"/>
      <c r="AB225" s="65"/>
      <c r="AC225" s="82"/>
    </row>
    <row r="226" spans="1:68" ht="14.25" hidden="1" customHeight="1" x14ac:dyDescent="0.25">
      <c r="A226" s="314" t="s">
        <v>81</v>
      </c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14"/>
      <c r="AA226" s="66"/>
      <c r="AB226" s="66"/>
      <c r="AC226" s="83"/>
    </row>
    <row r="227" spans="1:68" ht="27" hidden="1" customHeight="1" x14ac:dyDescent="0.25">
      <c r="A227" s="63" t="s">
        <v>329</v>
      </c>
      <c r="B227" s="63" t="s">
        <v>330</v>
      </c>
      <c r="C227" s="36">
        <v>4301071036</v>
      </c>
      <c r="D227" s="296">
        <v>4607111036162</v>
      </c>
      <c r="E227" s="296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86</v>
      </c>
      <c r="L227" s="37" t="s">
        <v>87</v>
      </c>
      <c r="M227" s="38" t="s">
        <v>85</v>
      </c>
      <c r="N227" s="38"/>
      <c r="O227" s="37">
        <v>90</v>
      </c>
      <c r="P227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8"/>
      <c r="R227" s="298"/>
      <c r="S227" s="298"/>
      <c r="T227" s="299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331</v>
      </c>
      <c r="AG227" s="81"/>
      <c r="AJ227" s="87" t="s">
        <v>88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293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306"/>
      <c r="P228" s="303" t="s">
        <v>40</v>
      </c>
      <c r="Q228" s="304"/>
      <c r="R228" s="304"/>
      <c r="S228" s="304"/>
      <c r="T228" s="304"/>
      <c r="U228" s="304"/>
      <c r="V228" s="305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306"/>
      <c r="P229" s="303" t="s">
        <v>40</v>
      </c>
      <c r="Q229" s="304"/>
      <c r="R229" s="304"/>
      <c r="S229" s="304"/>
      <c r="T229" s="304"/>
      <c r="U229" s="304"/>
      <c r="V229" s="305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18" t="s">
        <v>332</v>
      </c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54"/>
      <c r="AB230" s="54"/>
      <c r="AC230" s="54"/>
    </row>
    <row r="231" spans="1:68" ht="16.5" hidden="1" customHeight="1" x14ac:dyDescent="0.25">
      <c r="A231" s="319" t="s">
        <v>333</v>
      </c>
      <c r="B231" s="319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  <c r="AA231" s="65"/>
      <c r="AB231" s="65"/>
      <c r="AC231" s="82"/>
    </row>
    <row r="232" spans="1:68" ht="14.25" hidden="1" customHeight="1" x14ac:dyDescent="0.25">
      <c r="A232" s="314" t="s">
        <v>334</v>
      </c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4"/>
      <c r="X232" s="314"/>
      <c r="Y232" s="314"/>
      <c r="Z232" s="314"/>
      <c r="AA232" s="66"/>
      <c r="AB232" s="66"/>
      <c r="AC232" s="83"/>
    </row>
    <row r="233" spans="1:68" ht="27" hidden="1" customHeight="1" x14ac:dyDescent="0.25">
      <c r="A233" s="63" t="s">
        <v>335</v>
      </c>
      <c r="B233" s="63" t="s">
        <v>336</v>
      </c>
      <c r="C233" s="36">
        <v>4301133004</v>
      </c>
      <c r="D233" s="296">
        <v>4607111039774</v>
      </c>
      <c r="E233" s="296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117</v>
      </c>
      <c r="L233" s="37" t="s">
        <v>87</v>
      </c>
      <c r="M233" s="38" t="s">
        <v>85</v>
      </c>
      <c r="N233" s="38"/>
      <c r="O233" s="37">
        <v>180</v>
      </c>
      <c r="P233" s="32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8"/>
      <c r="R233" s="298"/>
      <c r="S233" s="298"/>
      <c r="T233" s="299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337</v>
      </c>
      <c r="AG233" s="81"/>
      <c r="AJ233" s="87" t="s">
        <v>88</v>
      </c>
      <c r="AK233" s="87">
        <v>1</v>
      </c>
      <c r="BB233" s="248" t="s">
        <v>116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293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306"/>
      <c r="P234" s="303" t="s">
        <v>40</v>
      </c>
      <c r="Q234" s="304"/>
      <c r="R234" s="304"/>
      <c r="S234" s="304"/>
      <c r="T234" s="304"/>
      <c r="U234" s="304"/>
      <c r="V234" s="305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306"/>
      <c r="P235" s="303" t="s">
        <v>40</v>
      </c>
      <c r="Q235" s="304"/>
      <c r="R235" s="304"/>
      <c r="S235" s="304"/>
      <c r="T235" s="304"/>
      <c r="U235" s="304"/>
      <c r="V235" s="305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hidden="1" customHeight="1" x14ac:dyDescent="0.25">
      <c r="A236" s="314" t="s">
        <v>150</v>
      </c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14"/>
      <c r="AA236" s="66"/>
      <c r="AB236" s="66"/>
      <c r="AC236" s="83"/>
    </row>
    <row r="237" spans="1:68" ht="37.5" hidden="1" customHeight="1" x14ac:dyDescent="0.25">
      <c r="A237" s="63" t="s">
        <v>338</v>
      </c>
      <c r="B237" s="63" t="s">
        <v>339</v>
      </c>
      <c r="C237" s="36">
        <v>4301135400</v>
      </c>
      <c r="D237" s="296">
        <v>4607111039361</v>
      </c>
      <c r="E237" s="296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117</v>
      </c>
      <c r="L237" s="37" t="s">
        <v>87</v>
      </c>
      <c r="M237" s="38" t="s">
        <v>85</v>
      </c>
      <c r="N237" s="38"/>
      <c r="O237" s="37">
        <v>180</v>
      </c>
      <c r="P237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8"/>
      <c r="R237" s="298"/>
      <c r="S237" s="298"/>
      <c r="T237" s="299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337</v>
      </c>
      <c r="AG237" s="81"/>
      <c r="AJ237" s="87" t="s">
        <v>88</v>
      </c>
      <c r="AK237" s="87">
        <v>1</v>
      </c>
      <c r="BB237" s="250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293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306"/>
      <c r="P238" s="303" t="s">
        <v>40</v>
      </c>
      <c r="Q238" s="304"/>
      <c r="R238" s="304"/>
      <c r="S238" s="304"/>
      <c r="T238" s="304"/>
      <c r="U238" s="304"/>
      <c r="V238" s="305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306"/>
      <c r="P239" s="303" t="s">
        <v>40</v>
      </c>
      <c r="Q239" s="304"/>
      <c r="R239" s="304"/>
      <c r="S239" s="304"/>
      <c r="T239" s="304"/>
      <c r="U239" s="304"/>
      <c r="V239" s="305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18" t="s">
        <v>340</v>
      </c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  <c r="AA240" s="54"/>
      <c r="AB240" s="54"/>
      <c r="AC240" s="54"/>
    </row>
    <row r="241" spans="1:68" ht="16.5" hidden="1" customHeight="1" x14ac:dyDescent="0.25">
      <c r="A241" s="319" t="s">
        <v>340</v>
      </c>
      <c r="B241" s="319"/>
      <c r="C241" s="319"/>
      <c r="D241" s="319"/>
      <c r="E241" s="319"/>
      <c r="F241" s="319"/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  <c r="R241" s="319"/>
      <c r="S241" s="319"/>
      <c r="T241" s="319"/>
      <c r="U241" s="319"/>
      <c r="V241" s="319"/>
      <c r="W241" s="319"/>
      <c r="X241" s="319"/>
      <c r="Y241" s="319"/>
      <c r="Z241" s="319"/>
      <c r="AA241" s="65"/>
      <c r="AB241" s="65"/>
      <c r="AC241" s="82"/>
    </row>
    <row r="242" spans="1:68" ht="14.25" hidden="1" customHeight="1" x14ac:dyDescent="0.25">
      <c r="A242" s="314" t="s">
        <v>112</v>
      </c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4"/>
      <c r="X242" s="314"/>
      <c r="Y242" s="314"/>
      <c r="Z242" s="314"/>
      <c r="AA242" s="66"/>
      <c r="AB242" s="66"/>
      <c r="AC242" s="83"/>
    </row>
    <row r="243" spans="1:68" ht="27" hidden="1" customHeight="1" x14ac:dyDescent="0.25">
      <c r="A243" s="63" t="s">
        <v>341</v>
      </c>
      <c r="B243" s="63" t="s">
        <v>342</v>
      </c>
      <c r="C243" s="36">
        <v>4301132228</v>
      </c>
      <c r="D243" s="296">
        <v>4640242181950</v>
      </c>
      <c r="E243" s="296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117</v>
      </c>
      <c r="L243" s="37" t="s">
        <v>87</v>
      </c>
      <c r="M243" s="38" t="s">
        <v>85</v>
      </c>
      <c r="N243" s="38"/>
      <c r="O243" s="37">
        <v>365</v>
      </c>
      <c r="P243" s="32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8"/>
      <c r="R243" s="298"/>
      <c r="S243" s="298"/>
      <c r="T243" s="299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343</v>
      </c>
      <c r="AG243" s="81"/>
      <c r="AJ243" s="87" t="s">
        <v>88</v>
      </c>
      <c r="AK243" s="87">
        <v>1</v>
      </c>
      <c r="BB243" s="252" t="s">
        <v>116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293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306"/>
      <c r="P244" s="303" t="s">
        <v>40</v>
      </c>
      <c r="Q244" s="304"/>
      <c r="R244" s="304"/>
      <c r="S244" s="304"/>
      <c r="T244" s="304"/>
      <c r="U244" s="304"/>
      <c r="V244" s="305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306"/>
      <c r="P245" s="303" t="s">
        <v>40</v>
      </c>
      <c r="Q245" s="304"/>
      <c r="R245" s="304"/>
      <c r="S245" s="304"/>
      <c r="T245" s="304"/>
      <c r="U245" s="304"/>
      <c r="V245" s="305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hidden="1" customHeight="1" x14ac:dyDescent="0.25">
      <c r="A246" s="314" t="s">
        <v>144</v>
      </c>
      <c r="B246" s="314"/>
      <c r="C246" s="314"/>
      <c r="D246" s="314"/>
      <c r="E246" s="314"/>
      <c r="F246" s="314"/>
      <c r="G246" s="314"/>
      <c r="H246" s="314"/>
      <c r="I246" s="314"/>
      <c r="J246" s="314"/>
      <c r="K246" s="314"/>
      <c r="L246" s="314"/>
      <c r="M246" s="314"/>
      <c r="N246" s="314"/>
      <c r="O246" s="314"/>
      <c r="P246" s="314"/>
      <c r="Q246" s="314"/>
      <c r="R246" s="314"/>
      <c r="S246" s="314"/>
      <c r="T246" s="314"/>
      <c r="U246" s="314"/>
      <c r="V246" s="314"/>
      <c r="W246" s="314"/>
      <c r="X246" s="314"/>
      <c r="Y246" s="314"/>
      <c r="Z246" s="314"/>
      <c r="AA246" s="66"/>
      <c r="AB246" s="66"/>
      <c r="AC246" s="83"/>
    </row>
    <row r="247" spans="1:68" ht="27" hidden="1" customHeight="1" x14ac:dyDescent="0.25">
      <c r="A247" s="63" t="s">
        <v>344</v>
      </c>
      <c r="B247" s="63" t="s">
        <v>345</v>
      </c>
      <c r="C247" s="36">
        <v>4301136098</v>
      </c>
      <c r="D247" s="296">
        <v>4640242181943</v>
      </c>
      <c r="E247" s="296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117</v>
      </c>
      <c r="L247" s="37" t="s">
        <v>87</v>
      </c>
      <c r="M247" s="38" t="s">
        <v>85</v>
      </c>
      <c r="N247" s="38"/>
      <c r="O247" s="37">
        <v>180</v>
      </c>
      <c r="P247" s="32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8"/>
      <c r="R247" s="298"/>
      <c r="S247" s="298"/>
      <c r="T247" s="299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346</v>
      </c>
      <c r="AG247" s="81"/>
      <c r="AJ247" s="87" t="s">
        <v>88</v>
      </c>
      <c r="AK247" s="87">
        <v>1</v>
      </c>
      <c r="BB247" s="254" t="s">
        <v>116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293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306"/>
      <c r="P248" s="303" t="s">
        <v>40</v>
      </c>
      <c r="Q248" s="304"/>
      <c r="R248" s="304"/>
      <c r="S248" s="304"/>
      <c r="T248" s="304"/>
      <c r="U248" s="304"/>
      <c r="V248" s="305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306"/>
      <c r="P249" s="303" t="s">
        <v>40</v>
      </c>
      <c r="Q249" s="304"/>
      <c r="R249" s="304"/>
      <c r="S249" s="304"/>
      <c r="T249" s="304"/>
      <c r="U249" s="304"/>
      <c r="V249" s="305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18" t="s">
        <v>347</v>
      </c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  <c r="AA250" s="54"/>
      <c r="AB250" s="54"/>
      <c r="AC250" s="54"/>
    </row>
    <row r="251" spans="1:68" ht="16.5" hidden="1" customHeight="1" x14ac:dyDescent="0.25">
      <c r="A251" s="319" t="s">
        <v>347</v>
      </c>
      <c r="B251" s="319"/>
      <c r="C251" s="319"/>
      <c r="D251" s="319"/>
      <c r="E251" s="319"/>
      <c r="F251" s="319"/>
      <c r="G251" s="319"/>
      <c r="H251" s="319"/>
      <c r="I251" s="319"/>
      <c r="J251" s="319"/>
      <c r="K251" s="319"/>
      <c r="L251" s="319"/>
      <c r="M251" s="319"/>
      <c r="N251" s="319"/>
      <c r="O251" s="319"/>
      <c r="P251" s="319"/>
      <c r="Q251" s="319"/>
      <c r="R251" s="319"/>
      <c r="S251" s="319"/>
      <c r="T251" s="319"/>
      <c r="U251" s="319"/>
      <c r="V251" s="319"/>
      <c r="W251" s="319"/>
      <c r="X251" s="319"/>
      <c r="Y251" s="319"/>
      <c r="Z251" s="319"/>
      <c r="AA251" s="65"/>
      <c r="AB251" s="65"/>
      <c r="AC251" s="82"/>
    </row>
    <row r="252" spans="1:68" ht="14.25" hidden="1" customHeight="1" x14ac:dyDescent="0.25">
      <c r="A252" s="314" t="s">
        <v>81</v>
      </c>
      <c r="B252" s="314"/>
      <c r="C252" s="314"/>
      <c r="D252" s="314"/>
      <c r="E252" s="314"/>
      <c r="F252" s="314"/>
      <c r="G252" s="314"/>
      <c r="H252" s="314"/>
      <c r="I252" s="314"/>
      <c r="J252" s="314"/>
      <c r="K252" s="314"/>
      <c r="L252" s="314"/>
      <c r="M252" s="314"/>
      <c r="N252" s="314"/>
      <c r="O252" s="314"/>
      <c r="P252" s="314"/>
      <c r="Q252" s="314"/>
      <c r="R252" s="314"/>
      <c r="S252" s="314"/>
      <c r="T252" s="314"/>
      <c r="U252" s="314"/>
      <c r="V252" s="314"/>
      <c r="W252" s="314"/>
      <c r="X252" s="314"/>
      <c r="Y252" s="314"/>
      <c r="Z252" s="314"/>
      <c r="AA252" s="66"/>
      <c r="AB252" s="66"/>
      <c r="AC252" s="83"/>
    </row>
    <row r="253" spans="1:68" ht="27" hidden="1" customHeight="1" x14ac:dyDescent="0.25">
      <c r="A253" s="63" t="s">
        <v>348</v>
      </c>
      <c r="B253" s="63" t="s">
        <v>349</v>
      </c>
      <c r="C253" s="36">
        <v>4301071014</v>
      </c>
      <c r="D253" s="296">
        <v>4640242181264</v>
      </c>
      <c r="E253" s="296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86</v>
      </c>
      <c r="L253" s="37" t="s">
        <v>87</v>
      </c>
      <c r="M253" s="38" t="s">
        <v>85</v>
      </c>
      <c r="N253" s="38"/>
      <c r="O253" s="37">
        <v>180</v>
      </c>
      <c r="P253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8"/>
      <c r="R253" s="298"/>
      <c r="S253" s="298"/>
      <c r="T253" s="29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88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hidden="1" customHeight="1" x14ac:dyDescent="0.25">
      <c r="A254" s="63" t="s">
        <v>351</v>
      </c>
      <c r="B254" s="63" t="s">
        <v>352</v>
      </c>
      <c r="C254" s="36">
        <v>4301071021</v>
      </c>
      <c r="D254" s="296">
        <v>4640242181325</v>
      </c>
      <c r="E254" s="296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86</v>
      </c>
      <c r="L254" s="37" t="s">
        <v>87</v>
      </c>
      <c r="M254" s="38" t="s">
        <v>85</v>
      </c>
      <c r="N254" s="38"/>
      <c r="O254" s="37">
        <v>180</v>
      </c>
      <c r="P254" s="32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8"/>
      <c r="R254" s="298"/>
      <c r="S254" s="298"/>
      <c r="T254" s="299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350</v>
      </c>
      <c r="AG254" s="81"/>
      <c r="AJ254" s="87" t="s">
        <v>88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293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306"/>
      <c r="P255" s="303" t="s">
        <v>40</v>
      </c>
      <c r="Q255" s="304"/>
      <c r="R255" s="304"/>
      <c r="S255" s="304"/>
      <c r="T255" s="304"/>
      <c r="U255" s="304"/>
      <c r="V255" s="305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hidden="1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306"/>
      <c r="P256" s="303" t="s">
        <v>40</v>
      </c>
      <c r="Q256" s="304"/>
      <c r="R256" s="304"/>
      <c r="S256" s="304"/>
      <c r="T256" s="304"/>
      <c r="U256" s="304"/>
      <c r="V256" s="305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14" t="s">
        <v>112</v>
      </c>
      <c r="B257" s="314"/>
      <c r="C257" s="314"/>
      <c r="D257" s="314"/>
      <c r="E257" s="314"/>
      <c r="F257" s="314"/>
      <c r="G257" s="314"/>
      <c r="H257" s="314"/>
      <c r="I257" s="314"/>
      <c r="J257" s="314"/>
      <c r="K257" s="314"/>
      <c r="L257" s="314"/>
      <c r="M257" s="314"/>
      <c r="N257" s="314"/>
      <c r="O257" s="314"/>
      <c r="P257" s="314"/>
      <c r="Q257" s="314"/>
      <c r="R257" s="314"/>
      <c r="S257" s="314"/>
      <c r="T257" s="314"/>
      <c r="U257" s="314"/>
      <c r="V257" s="314"/>
      <c r="W257" s="314"/>
      <c r="X257" s="314"/>
      <c r="Y257" s="314"/>
      <c r="Z257" s="314"/>
      <c r="AA257" s="66"/>
      <c r="AB257" s="66"/>
      <c r="AC257" s="83"/>
    </row>
    <row r="258" spans="1:68" ht="27" customHeight="1" x14ac:dyDescent="0.25">
      <c r="A258" s="63" t="s">
        <v>353</v>
      </c>
      <c r="B258" s="63" t="s">
        <v>354</v>
      </c>
      <c r="C258" s="36">
        <v>4301132080</v>
      </c>
      <c r="D258" s="296">
        <v>4640242180397</v>
      </c>
      <c r="E258" s="296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86</v>
      </c>
      <c r="L258" s="37" t="s">
        <v>118</v>
      </c>
      <c r="M258" s="38" t="s">
        <v>85</v>
      </c>
      <c r="N258" s="38"/>
      <c r="O258" s="37">
        <v>180</v>
      </c>
      <c r="P258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8"/>
      <c r="R258" s="298"/>
      <c r="S258" s="298"/>
      <c r="T258" s="299"/>
      <c r="U258" s="39" t="s">
        <v>46</v>
      </c>
      <c r="V258" s="39" t="s">
        <v>46</v>
      </c>
      <c r="W258" s="40" t="s">
        <v>39</v>
      </c>
      <c r="X258" s="58">
        <v>168</v>
      </c>
      <c r="Y258" s="55">
        <f>IFERROR(IF(X258="","",X258),"")</f>
        <v>168</v>
      </c>
      <c r="Z258" s="41">
        <f>IFERROR(IF(X258="","",X258*0.0155),"")</f>
        <v>2.6040000000000001</v>
      </c>
      <c r="AA258" s="68" t="s">
        <v>46</v>
      </c>
      <c r="AB258" s="69" t="s">
        <v>46</v>
      </c>
      <c r="AC258" s="259" t="s">
        <v>355</v>
      </c>
      <c r="AG258" s="81"/>
      <c r="AJ258" s="87" t="s">
        <v>119</v>
      </c>
      <c r="AK258" s="87">
        <v>12</v>
      </c>
      <c r="BB258" s="260" t="s">
        <v>116</v>
      </c>
      <c r="BM258" s="81">
        <f>IFERROR(X258*I258,"0")</f>
        <v>1051.68</v>
      </c>
      <c r="BN258" s="81">
        <f>IFERROR(Y258*I258,"0")</f>
        <v>1051.68</v>
      </c>
      <c r="BO258" s="81">
        <f>IFERROR(X258/J258,"0")</f>
        <v>2</v>
      </c>
      <c r="BP258" s="81">
        <f>IFERROR(Y258/J258,"0")</f>
        <v>2</v>
      </c>
    </row>
    <row r="259" spans="1:68" x14ac:dyDescent="0.2">
      <c r="A259" s="293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306"/>
      <c r="P259" s="303" t="s">
        <v>40</v>
      </c>
      <c r="Q259" s="304"/>
      <c r="R259" s="304"/>
      <c r="S259" s="304"/>
      <c r="T259" s="304"/>
      <c r="U259" s="304"/>
      <c r="V259" s="305"/>
      <c r="W259" s="42" t="s">
        <v>39</v>
      </c>
      <c r="X259" s="43">
        <f>IFERROR(SUM(X258:X258),"0")</f>
        <v>168</v>
      </c>
      <c r="Y259" s="43">
        <f>IFERROR(SUM(Y258:Y258),"0")</f>
        <v>168</v>
      </c>
      <c r="Z259" s="43">
        <f>IFERROR(IF(Z258="",0,Z258),"0")</f>
        <v>2.6040000000000001</v>
      </c>
      <c r="AA259" s="67"/>
      <c r="AB259" s="67"/>
      <c r="AC259" s="67"/>
    </row>
    <row r="260" spans="1:68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306"/>
      <c r="P260" s="303" t="s">
        <v>40</v>
      </c>
      <c r="Q260" s="304"/>
      <c r="R260" s="304"/>
      <c r="S260" s="304"/>
      <c r="T260" s="304"/>
      <c r="U260" s="304"/>
      <c r="V260" s="305"/>
      <c r="W260" s="42" t="s">
        <v>0</v>
      </c>
      <c r="X260" s="43">
        <f>IFERROR(SUMPRODUCT(X258:X258*H258:H258),"0")</f>
        <v>1008</v>
      </c>
      <c r="Y260" s="43">
        <f>IFERROR(SUMPRODUCT(Y258:Y258*H258:H258),"0")</f>
        <v>1008</v>
      </c>
      <c r="Z260" s="42"/>
      <c r="AA260" s="67"/>
      <c r="AB260" s="67"/>
      <c r="AC260" s="67"/>
    </row>
    <row r="261" spans="1:68" ht="14.25" hidden="1" customHeight="1" x14ac:dyDescent="0.25">
      <c r="A261" s="314" t="s">
        <v>144</v>
      </c>
      <c r="B261" s="314"/>
      <c r="C261" s="314"/>
      <c r="D261" s="314"/>
      <c r="E261" s="314"/>
      <c r="F261" s="314"/>
      <c r="G261" s="314"/>
      <c r="H261" s="314"/>
      <c r="I261" s="314"/>
      <c r="J261" s="314"/>
      <c r="K261" s="314"/>
      <c r="L261" s="314"/>
      <c r="M261" s="314"/>
      <c r="N261" s="314"/>
      <c r="O261" s="314"/>
      <c r="P261" s="314"/>
      <c r="Q261" s="314"/>
      <c r="R261" s="314"/>
      <c r="S261" s="314"/>
      <c r="T261" s="314"/>
      <c r="U261" s="314"/>
      <c r="V261" s="314"/>
      <c r="W261" s="314"/>
      <c r="X261" s="314"/>
      <c r="Y261" s="314"/>
      <c r="Z261" s="314"/>
      <c r="AA261" s="66"/>
      <c r="AB261" s="66"/>
      <c r="AC261" s="83"/>
    </row>
    <row r="262" spans="1:68" ht="27" hidden="1" customHeight="1" x14ac:dyDescent="0.25">
      <c r="A262" s="63" t="s">
        <v>356</v>
      </c>
      <c r="B262" s="63" t="s">
        <v>357</v>
      </c>
      <c r="C262" s="36">
        <v>4301136051</v>
      </c>
      <c r="D262" s="296">
        <v>4640242180304</v>
      </c>
      <c r="E262" s="296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117</v>
      </c>
      <c r="L262" s="37" t="s">
        <v>118</v>
      </c>
      <c r="M262" s="38" t="s">
        <v>85</v>
      </c>
      <c r="N262" s="38"/>
      <c r="O262" s="37">
        <v>180</v>
      </c>
      <c r="P262" s="31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8"/>
      <c r="R262" s="298"/>
      <c r="S262" s="298"/>
      <c r="T262" s="299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358</v>
      </c>
      <c r="AG262" s="81"/>
      <c r="AJ262" s="87" t="s">
        <v>119</v>
      </c>
      <c r="AK262" s="87">
        <v>14</v>
      </c>
      <c r="BB262" s="262" t="s">
        <v>116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359</v>
      </c>
      <c r="B263" s="63" t="s">
        <v>360</v>
      </c>
      <c r="C263" s="36">
        <v>4301136053</v>
      </c>
      <c r="D263" s="296">
        <v>4640242180236</v>
      </c>
      <c r="E263" s="296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86</v>
      </c>
      <c r="L263" s="37" t="s">
        <v>118</v>
      </c>
      <c r="M263" s="38" t="s">
        <v>85</v>
      </c>
      <c r="N263" s="38"/>
      <c r="O263" s="37">
        <v>180</v>
      </c>
      <c r="P263" s="31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8"/>
      <c r="R263" s="298"/>
      <c r="S263" s="298"/>
      <c r="T263" s="299"/>
      <c r="U263" s="39" t="s">
        <v>46</v>
      </c>
      <c r="V263" s="39" t="s">
        <v>46</v>
      </c>
      <c r="W263" s="40" t="s">
        <v>39</v>
      </c>
      <c r="X263" s="58">
        <v>204</v>
      </c>
      <c r="Y263" s="55">
        <f>IFERROR(IF(X263="","",X263),"")</f>
        <v>204</v>
      </c>
      <c r="Z263" s="41">
        <f>IFERROR(IF(X263="","",X263*0.0155),"")</f>
        <v>3.1619999999999999</v>
      </c>
      <c r="AA263" s="68" t="s">
        <v>46</v>
      </c>
      <c r="AB263" s="69" t="s">
        <v>46</v>
      </c>
      <c r="AC263" s="263" t="s">
        <v>358</v>
      </c>
      <c r="AG263" s="81"/>
      <c r="AJ263" s="87" t="s">
        <v>119</v>
      </c>
      <c r="AK263" s="87">
        <v>12</v>
      </c>
      <c r="BB263" s="264" t="s">
        <v>116</v>
      </c>
      <c r="BM263" s="81">
        <f>IFERROR(X263*I263,"0")</f>
        <v>1067.94</v>
      </c>
      <c r="BN263" s="81">
        <f>IFERROR(Y263*I263,"0")</f>
        <v>1067.94</v>
      </c>
      <c r="BO263" s="81">
        <f>IFERROR(X263/J263,"0")</f>
        <v>2.4285714285714284</v>
      </c>
      <c r="BP263" s="81">
        <f>IFERROR(Y263/J263,"0")</f>
        <v>2.4285714285714284</v>
      </c>
    </row>
    <row r="264" spans="1:68" ht="27" customHeight="1" x14ac:dyDescent="0.25">
      <c r="A264" s="63" t="s">
        <v>361</v>
      </c>
      <c r="B264" s="63" t="s">
        <v>362</v>
      </c>
      <c r="C264" s="36">
        <v>4301136052</v>
      </c>
      <c r="D264" s="296">
        <v>4640242180410</v>
      </c>
      <c r="E264" s="296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117</v>
      </c>
      <c r="L264" s="37" t="s">
        <v>118</v>
      </c>
      <c r="M264" s="38" t="s">
        <v>85</v>
      </c>
      <c r="N264" s="38"/>
      <c r="O264" s="37">
        <v>180</v>
      </c>
      <c r="P264" s="31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8"/>
      <c r="R264" s="298"/>
      <c r="S264" s="298"/>
      <c r="T264" s="299"/>
      <c r="U264" s="39" t="s">
        <v>46</v>
      </c>
      <c r="V264" s="39" t="s">
        <v>46</v>
      </c>
      <c r="W264" s="40" t="s">
        <v>39</v>
      </c>
      <c r="X264" s="58">
        <v>56</v>
      </c>
      <c r="Y264" s="55">
        <f>IFERROR(IF(X264="","",X264),"")</f>
        <v>56</v>
      </c>
      <c r="Z264" s="41">
        <f>IFERROR(IF(X264="","",X264*0.00936),"")</f>
        <v>0.52415999999999996</v>
      </c>
      <c r="AA264" s="68" t="s">
        <v>46</v>
      </c>
      <c r="AB264" s="69" t="s">
        <v>46</v>
      </c>
      <c r="AC264" s="265" t="s">
        <v>358</v>
      </c>
      <c r="AG264" s="81"/>
      <c r="AJ264" s="87" t="s">
        <v>119</v>
      </c>
      <c r="AK264" s="87">
        <v>14</v>
      </c>
      <c r="BB264" s="266" t="s">
        <v>116</v>
      </c>
      <c r="BM264" s="81">
        <f>IFERROR(X264*I264,"0")</f>
        <v>136.19200000000001</v>
      </c>
      <c r="BN264" s="81">
        <f>IFERROR(Y264*I264,"0")</f>
        <v>136.19200000000001</v>
      </c>
      <c r="BO264" s="81">
        <f>IFERROR(X264/J264,"0")</f>
        <v>0.44444444444444442</v>
      </c>
      <c r="BP264" s="81">
        <f>IFERROR(Y264/J264,"0")</f>
        <v>0.44444444444444442</v>
      </c>
    </row>
    <row r="265" spans="1:68" x14ac:dyDescent="0.2">
      <c r="A265" s="293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306"/>
      <c r="P265" s="303" t="s">
        <v>40</v>
      </c>
      <c r="Q265" s="304"/>
      <c r="R265" s="304"/>
      <c r="S265" s="304"/>
      <c r="T265" s="304"/>
      <c r="U265" s="304"/>
      <c r="V265" s="305"/>
      <c r="W265" s="42" t="s">
        <v>39</v>
      </c>
      <c r="X265" s="43">
        <f>IFERROR(SUM(X262:X264),"0")</f>
        <v>260</v>
      </c>
      <c r="Y265" s="43">
        <f>IFERROR(SUM(Y262:Y264),"0")</f>
        <v>260</v>
      </c>
      <c r="Z265" s="43">
        <f>IFERROR(IF(Z262="",0,Z262),"0")+IFERROR(IF(Z263="",0,Z263),"0")+IFERROR(IF(Z264="",0,Z264),"0")</f>
        <v>3.6861600000000001</v>
      </c>
      <c r="AA265" s="67"/>
      <c r="AB265" s="67"/>
      <c r="AC265" s="67"/>
    </row>
    <row r="266" spans="1:68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306"/>
      <c r="P266" s="303" t="s">
        <v>40</v>
      </c>
      <c r="Q266" s="304"/>
      <c r="R266" s="304"/>
      <c r="S266" s="304"/>
      <c r="T266" s="304"/>
      <c r="U266" s="304"/>
      <c r="V266" s="305"/>
      <c r="W266" s="42" t="s">
        <v>0</v>
      </c>
      <c r="X266" s="43">
        <f>IFERROR(SUMPRODUCT(X262:X264*H262:H264),"0")</f>
        <v>1145.44</v>
      </c>
      <c r="Y266" s="43">
        <f>IFERROR(SUMPRODUCT(Y262:Y264*H262:H264),"0")</f>
        <v>1145.44</v>
      </c>
      <c r="Z266" s="42"/>
      <c r="AA266" s="67"/>
      <c r="AB266" s="67"/>
      <c r="AC266" s="67"/>
    </row>
    <row r="267" spans="1:68" ht="14.25" hidden="1" customHeight="1" x14ac:dyDescent="0.25">
      <c r="A267" s="314" t="s">
        <v>150</v>
      </c>
      <c r="B267" s="314"/>
      <c r="C267" s="314"/>
      <c r="D267" s="314"/>
      <c r="E267" s="314"/>
      <c r="F267" s="314"/>
      <c r="G267" s="314"/>
      <c r="H267" s="314"/>
      <c r="I267" s="314"/>
      <c r="J267" s="314"/>
      <c r="K267" s="314"/>
      <c r="L267" s="314"/>
      <c r="M267" s="314"/>
      <c r="N267" s="314"/>
      <c r="O267" s="314"/>
      <c r="P267" s="314"/>
      <c r="Q267" s="314"/>
      <c r="R267" s="314"/>
      <c r="S267" s="314"/>
      <c r="T267" s="314"/>
      <c r="U267" s="314"/>
      <c r="V267" s="314"/>
      <c r="W267" s="314"/>
      <c r="X267" s="314"/>
      <c r="Y267" s="314"/>
      <c r="Z267" s="314"/>
      <c r="AA267" s="66"/>
      <c r="AB267" s="66"/>
      <c r="AC267" s="83"/>
    </row>
    <row r="268" spans="1:68" ht="37.5" hidden="1" customHeight="1" x14ac:dyDescent="0.25">
      <c r="A268" s="63" t="s">
        <v>363</v>
      </c>
      <c r="B268" s="63" t="s">
        <v>364</v>
      </c>
      <c r="C268" s="36">
        <v>4301135504</v>
      </c>
      <c r="D268" s="296">
        <v>4640242181554</v>
      </c>
      <c r="E268" s="296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117</v>
      </c>
      <c r="L268" s="37" t="s">
        <v>87</v>
      </c>
      <c r="M268" s="38" t="s">
        <v>85</v>
      </c>
      <c r="N268" s="38"/>
      <c r="O268" s="37">
        <v>180</v>
      </c>
      <c r="P268" s="31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8"/>
      <c r="R268" s="298"/>
      <c r="S268" s="298"/>
      <c r="T268" s="29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365</v>
      </c>
      <c r="AG268" s="81"/>
      <c r="AJ268" s="87" t="s">
        <v>88</v>
      </c>
      <c r="AK268" s="87">
        <v>1</v>
      </c>
      <c r="BB268" s="268" t="s">
        <v>116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customHeight="1" x14ac:dyDescent="0.25">
      <c r="A269" s="63" t="s">
        <v>366</v>
      </c>
      <c r="B269" s="63" t="s">
        <v>367</v>
      </c>
      <c r="C269" s="36">
        <v>4301135518</v>
      </c>
      <c r="D269" s="296">
        <v>4640242181561</v>
      </c>
      <c r="E269" s="296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117</v>
      </c>
      <c r="L269" s="37" t="s">
        <v>118</v>
      </c>
      <c r="M269" s="38" t="s">
        <v>85</v>
      </c>
      <c r="N269" s="38"/>
      <c r="O269" s="37">
        <v>180</v>
      </c>
      <c r="P269" s="30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9" s="298"/>
      <c r="R269" s="298"/>
      <c r="S269" s="298"/>
      <c r="T269" s="299"/>
      <c r="U269" s="39" t="s">
        <v>46</v>
      </c>
      <c r="V269" s="39" t="s">
        <v>46</v>
      </c>
      <c r="W269" s="40" t="s">
        <v>39</v>
      </c>
      <c r="X269" s="58">
        <v>42</v>
      </c>
      <c r="Y269" s="55">
        <f t="shared" si="18"/>
        <v>42</v>
      </c>
      <c r="Z269" s="41">
        <f>IFERROR(IF(X269="","",X269*0.00936),"")</f>
        <v>0.39312000000000002</v>
      </c>
      <c r="AA269" s="68" t="s">
        <v>46</v>
      </c>
      <c r="AB269" s="69" t="s">
        <v>46</v>
      </c>
      <c r="AC269" s="269" t="s">
        <v>368</v>
      </c>
      <c r="AG269" s="81"/>
      <c r="AJ269" s="87" t="s">
        <v>119</v>
      </c>
      <c r="AK269" s="87">
        <v>14</v>
      </c>
      <c r="BB269" s="270" t="s">
        <v>116</v>
      </c>
      <c r="BM269" s="81">
        <f t="shared" si="19"/>
        <v>163.464</v>
      </c>
      <c r="BN269" s="81">
        <f t="shared" si="20"/>
        <v>163.464</v>
      </c>
      <c r="BO269" s="81">
        <f t="shared" si="21"/>
        <v>0.33333333333333331</v>
      </c>
      <c r="BP269" s="81">
        <f t="shared" si="22"/>
        <v>0.33333333333333331</v>
      </c>
    </row>
    <row r="270" spans="1:68" ht="27" customHeight="1" x14ac:dyDescent="0.25">
      <c r="A270" s="63" t="s">
        <v>369</v>
      </c>
      <c r="B270" s="63" t="s">
        <v>370</v>
      </c>
      <c r="C270" s="36">
        <v>4301135374</v>
      </c>
      <c r="D270" s="296">
        <v>4640242181424</v>
      </c>
      <c r="E270" s="296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86</v>
      </c>
      <c r="L270" s="37" t="s">
        <v>118</v>
      </c>
      <c r="M270" s="38" t="s">
        <v>85</v>
      </c>
      <c r="N270" s="38"/>
      <c r="O270" s="37">
        <v>180</v>
      </c>
      <c r="P270" s="30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8"/>
      <c r="R270" s="298"/>
      <c r="S270" s="298"/>
      <c r="T270" s="299"/>
      <c r="U270" s="39" t="s">
        <v>46</v>
      </c>
      <c r="V270" s="39" t="s">
        <v>46</v>
      </c>
      <c r="W270" s="40" t="s">
        <v>39</v>
      </c>
      <c r="X270" s="58">
        <v>12</v>
      </c>
      <c r="Y270" s="55">
        <f t="shared" si="18"/>
        <v>12</v>
      </c>
      <c r="Z270" s="41">
        <f>IFERROR(IF(X270="","",X270*0.0155),"")</f>
        <v>0.186</v>
      </c>
      <c r="AA270" s="68" t="s">
        <v>46</v>
      </c>
      <c r="AB270" s="69" t="s">
        <v>46</v>
      </c>
      <c r="AC270" s="271" t="s">
        <v>365</v>
      </c>
      <c r="AG270" s="81"/>
      <c r="AJ270" s="87" t="s">
        <v>119</v>
      </c>
      <c r="AK270" s="87">
        <v>12</v>
      </c>
      <c r="BB270" s="272" t="s">
        <v>116</v>
      </c>
      <c r="BM270" s="81">
        <f t="shared" si="19"/>
        <v>68.820000000000007</v>
      </c>
      <c r="BN270" s="81">
        <f t="shared" si="20"/>
        <v>68.820000000000007</v>
      </c>
      <c r="BO270" s="81">
        <f t="shared" si="21"/>
        <v>0.14285714285714285</v>
      </c>
      <c r="BP270" s="81">
        <f t="shared" si="22"/>
        <v>0.14285714285714285</v>
      </c>
    </row>
    <row r="271" spans="1:68" ht="27" customHeight="1" x14ac:dyDescent="0.25">
      <c r="A271" s="63" t="s">
        <v>371</v>
      </c>
      <c r="B271" s="63" t="s">
        <v>372</v>
      </c>
      <c r="C271" s="36">
        <v>4301135405</v>
      </c>
      <c r="D271" s="296">
        <v>4640242181523</v>
      </c>
      <c r="E271" s="296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117</v>
      </c>
      <c r="L271" s="37" t="s">
        <v>118</v>
      </c>
      <c r="M271" s="38" t="s">
        <v>85</v>
      </c>
      <c r="N271" s="38"/>
      <c r="O271" s="37">
        <v>180</v>
      </c>
      <c r="P271" s="30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8"/>
      <c r="R271" s="298"/>
      <c r="S271" s="298"/>
      <c r="T271" s="299"/>
      <c r="U271" s="39" t="s">
        <v>46</v>
      </c>
      <c r="V271" s="39" t="s">
        <v>46</v>
      </c>
      <c r="W271" s="40" t="s">
        <v>39</v>
      </c>
      <c r="X271" s="58">
        <v>140</v>
      </c>
      <c r="Y271" s="55">
        <f t="shared" si="18"/>
        <v>140</v>
      </c>
      <c r="Z271" s="41">
        <f t="shared" ref="Z271:Z276" si="23">IFERROR(IF(X271="","",X271*0.00936),"")</f>
        <v>1.3104</v>
      </c>
      <c r="AA271" s="68" t="s">
        <v>46</v>
      </c>
      <c r="AB271" s="69" t="s">
        <v>46</v>
      </c>
      <c r="AC271" s="273" t="s">
        <v>368</v>
      </c>
      <c r="AG271" s="81"/>
      <c r="AJ271" s="87" t="s">
        <v>119</v>
      </c>
      <c r="AK271" s="87">
        <v>14</v>
      </c>
      <c r="BB271" s="274" t="s">
        <v>116</v>
      </c>
      <c r="BM271" s="81">
        <f t="shared" si="19"/>
        <v>446.88</v>
      </c>
      <c r="BN271" s="81">
        <f t="shared" si="20"/>
        <v>446.88</v>
      </c>
      <c r="BO271" s="81">
        <f t="shared" si="21"/>
        <v>1.1111111111111112</v>
      </c>
      <c r="BP271" s="81">
        <f t="shared" si="22"/>
        <v>1.1111111111111112</v>
      </c>
    </row>
    <row r="272" spans="1:68" ht="27" hidden="1" customHeight="1" x14ac:dyDescent="0.25">
      <c r="A272" s="63" t="s">
        <v>373</v>
      </c>
      <c r="B272" s="63" t="s">
        <v>374</v>
      </c>
      <c r="C272" s="36">
        <v>4301135375</v>
      </c>
      <c r="D272" s="296">
        <v>4640242181486</v>
      </c>
      <c r="E272" s="296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117</v>
      </c>
      <c r="L272" s="37" t="s">
        <v>118</v>
      </c>
      <c r="M272" s="38" t="s">
        <v>85</v>
      </c>
      <c r="N272" s="38"/>
      <c r="O272" s="37">
        <v>180</v>
      </c>
      <c r="P272" s="31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8"/>
      <c r="R272" s="298"/>
      <c r="S272" s="298"/>
      <c r="T272" s="29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365</v>
      </c>
      <c r="AG272" s="81"/>
      <c r="AJ272" s="87" t="s">
        <v>119</v>
      </c>
      <c r="AK272" s="87">
        <v>14</v>
      </c>
      <c r="BB272" s="276" t="s">
        <v>116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375</v>
      </c>
      <c r="B273" s="63" t="s">
        <v>376</v>
      </c>
      <c r="C273" s="36">
        <v>4301135402</v>
      </c>
      <c r="D273" s="296">
        <v>4640242181493</v>
      </c>
      <c r="E273" s="296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117</v>
      </c>
      <c r="L273" s="37" t="s">
        <v>87</v>
      </c>
      <c r="M273" s="38" t="s">
        <v>85</v>
      </c>
      <c r="N273" s="38"/>
      <c r="O273" s="37">
        <v>180</v>
      </c>
      <c r="P273" s="31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8"/>
      <c r="R273" s="298"/>
      <c r="S273" s="298"/>
      <c r="T273" s="29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365</v>
      </c>
      <c r="AG273" s="81"/>
      <c r="AJ273" s="87" t="s">
        <v>88</v>
      </c>
      <c r="AK273" s="87">
        <v>1</v>
      </c>
      <c r="BB273" s="278" t="s">
        <v>116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377</v>
      </c>
      <c r="B274" s="63" t="s">
        <v>378</v>
      </c>
      <c r="C274" s="36">
        <v>4301135403</v>
      </c>
      <c r="D274" s="296">
        <v>4640242181509</v>
      </c>
      <c r="E274" s="296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117</v>
      </c>
      <c r="L274" s="37" t="s">
        <v>87</v>
      </c>
      <c r="M274" s="38" t="s">
        <v>85</v>
      </c>
      <c r="N274" s="38"/>
      <c r="O274" s="37">
        <v>180</v>
      </c>
      <c r="P274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8"/>
      <c r="R274" s="298"/>
      <c r="S274" s="298"/>
      <c r="T274" s="29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365</v>
      </c>
      <c r="AG274" s="81"/>
      <c r="AJ274" s="87" t="s">
        <v>88</v>
      </c>
      <c r="AK274" s="87">
        <v>1</v>
      </c>
      <c r="BB274" s="280" t="s">
        <v>116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379</v>
      </c>
      <c r="B275" s="63" t="s">
        <v>380</v>
      </c>
      <c r="C275" s="36">
        <v>4301135304</v>
      </c>
      <c r="D275" s="296">
        <v>4640242181240</v>
      </c>
      <c r="E275" s="296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117</v>
      </c>
      <c r="L275" s="37" t="s">
        <v>87</v>
      </c>
      <c r="M275" s="38" t="s">
        <v>85</v>
      </c>
      <c r="N275" s="38"/>
      <c r="O275" s="37">
        <v>180</v>
      </c>
      <c r="P275" s="3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8"/>
      <c r="R275" s="298"/>
      <c r="S275" s="298"/>
      <c r="T275" s="29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365</v>
      </c>
      <c r="AG275" s="81"/>
      <c r="AJ275" s="87" t="s">
        <v>88</v>
      </c>
      <c r="AK275" s="87">
        <v>1</v>
      </c>
      <c r="BB275" s="282" t="s">
        <v>116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381</v>
      </c>
      <c r="B276" s="63" t="s">
        <v>382</v>
      </c>
      <c r="C276" s="36">
        <v>4301135610</v>
      </c>
      <c r="D276" s="296">
        <v>4640242181318</v>
      </c>
      <c r="E276" s="296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117</v>
      </c>
      <c r="L276" s="37" t="s">
        <v>87</v>
      </c>
      <c r="M276" s="38" t="s">
        <v>85</v>
      </c>
      <c r="N276" s="38"/>
      <c r="O276" s="37">
        <v>180</v>
      </c>
      <c r="P276" s="3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8"/>
      <c r="R276" s="298"/>
      <c r="S276" s="298"/>
      <c r="T276" s="29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88</v>
      </c>
      <c r="AK276" s="87">
        <v>1</v>
      </c>
      <c r="BB276" s="284" t="s">
        <v>116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383</v>
      </c>
      <c r="B277" s="63" t="s">
        <v>384</v>
      </c>
      <c r="C277" s="36">
        <v>4301135306</v>
      </c>
      <c r="D277" s="296">
        <v>4640242181387</v>
      </c>
      <c r="E277" s="296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162</v>
      </c>
      <c r="L277" s="37" t="s">
        <v>87</v>
      </c>
      <c r="M277" s="38" t="s">
        <v>85</v>
      </c>
      <c r="N277" s="38"/>
      <c r="O277" s="37">
        <v>180</v>
      </c>
      <c r="P277" s="30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8"/>
      <c r="R277" s="298"/>
      <c r="S277" s="298"/>
      <c r="T277" s="299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365</v>
      </c>
      <c r="AG277" s="81"/>
      <c r="AJ277" s="87" t="s">
        <v>88</v>
      </c>
      <c r="AK277" s="87">
        <v>1</v>
      </c>
      <c r="BB277" s="286" t="s">
        <v>116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306"/>
      <c r="P278" s="303" t="s">
        <v>40</v>
      </c>
      <c r="Q278" s="304"/>
      <c r="R278" s="304"/>
      <c r="S278" s="304"/>
      <c r="T278" s="304"/>
      <c r="U278" s="304"/>
      <c r="V278" s="305"/>
      <c r="W278" s="42" t="s">
        <v>39</v>
      </c>
      <c r="X278" s="43">
        <f>IFERROR(SUM(X268:X277),"0")</f>
        <v>194</v>
      </c>
      <c r="Y278" s="43">
        <f>IFERROR(SUM(Y268:Y277),"0")</f>
        <v>194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1.8895200000000001</v>
      </c>
      <c r="AA278" s="67"/>
      <c r="AB278" s="67"/>
      <c r="AC278" s="67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306"/>
      <c r="P279" s="303" t="s">
        <v>40</v>
      </c>
      <c r="Q279" s="304"/>
      <c r="R279" s="304"/>
      <c r="S279" s="304"/>
      <c r="T279" s="304"/>
      <c r="U279" s="304"/>
      <c r="V279" s="305"/>
      <c r="W279" s="42" t="s">
        <v>0</v>
      </c>
      <c r="X279" s="43">
        <f>IFERROR(SUMPRODUCT(X268:X277*H268:H277),"0")</f>
        <v>641.4</v>
      </c>
      <c r="Y279" s="43">
        <f>IFERROR(SUMPRODUCT(Y268:Y277*H268:H277),"0")</f>
        <v>641.4</v>
      </c>
      <c r="Z279" s="42"/>
      <c r="AA279" s="67"/>
      <c r="AB279" s="67"/>
      <c r="AC279" s="67"/>
    </row>
    <row r="280" spans="1:68" ht="15" customHeight="1" x14ac:dyDescent="0.2">
      <c r="A280" s="29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4"/>
      <c r="P280" s="290" t="s">
        <v>33</v>
      </c>
      <c r="Q280" s="291"/>
      <c r="R280" s="291"/>
      <c r="S280" s="291"/>
      <c r="T280" s="291"/>
      <c r="U280" s="291"/>
      <c r="V280" s="292"/>
      <c r="W280" s="42" t="s">
        <v>0</v>
      </c>
      <c r="X280" s="43">
        <f>IFERROR(X31+X37+X44+X50+X58+X63+X68+X74+X80+X85+X91+X101+X107+X119+X123+X127+X135+X141+X147+X153+X159+X164+X169+X174+X181+X186+X195+X201+X207+X213+X218+X223+X229+X235+X239+X245+X249+X256+X260+X266+X279,"0")</f>
        <v>14736.039999999999</v>
      </c>
      <c r="Y280" s="43">
        <f>IFERROR(Y31+Y37+Y44+Y50+Y58+Y63+Y68+Y74+Y80+Y85+Y91+Y101+Y107+Y119+Y123+Y127+Y135+Y141+Y147+Y153+Y159+Y164+Y169+Y174+Y181+Y186+Y195+Y201+Y207+Y213+Y218+Y223+Y229+Y235+Y239+Y245+Y249+Y256+Y260+Y266+Y279,"0")</f>
        <v>14736.039999999999</v>
      </c>
      <c r="Z280" s="42"/>
      <c r="AA280" s="67"/>
      <c r="AB280" s="67"/>
      <c r="AC280" s="67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4"/>
      <c r="P281" s="290" t="s">
        <v>34</v>
      </c>
      <c r="Q281" s="291"/>
      <c r="R281" s="291"/>
      <c r="S281" s="291"/>
      <c r="T281" s="291"/>
      <c r="U281" s="291"/>
      <c r="V281" s="292"/>
      <c r="W281" s="42" t="s">
        <v>0</v>
      </c>
      <c r="X281" s="43">
        <f>IFERROR(SUM(BM22:BM277),"0")</f>
        <v>16088.523199999998</v>
      </c>
      <c r="Y281" s="43">
        <f>IFERROR(SUM(BN22:BN277),"0")</f>
        <v>16088.523199999998</v>
      </c>
      <c r="Z281" s="42"/>
      <c r="AA281" s="67"/>
      <c r="AB281" s="67"/>
      <c r="AC281" s="67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294"/>
      <c r="P282" s="290" t="s">
        <v>35</v>
      </c>
      <c r="Q282" s="291"/>
      <c r="R282" s="291"/>
      <c r="S282" s="291"/>
      <c r="T282" s="291"/>
      <c r="U282" s="291"/>
      <c r="V282" s="292"/>
      <c r="W282" s="42" t="s">
        <v>20</v>
      </c>
      <c r="X282" s="44">
        <f>ROUNDUP(SUM(BO22:BO277),0)</f>
        <v>40</v>
      </c>
      <c r="Y282" s="44">
        <f>ROUNDUP(SUM(BP22:BP277),0)</f>
        <v>40</v>
      </c>
      <c r="Z282" s="42"/>
      <c r="AA282" s="67"/>
      <c r="AB282" s="67"/>
      <c r="AC282" s="67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294"/>
      <c r="P283" s="290" t="s">
        <v>36</v>
      </c>
      <c r="Q283" s="291"/>
      <c r="R283" s="291"/>
      <c r="S283" s="291"/>
      <c r="T283" s="291"/>
      <c r="U283" s="291"/>
      <c r="V283" s="292"/>
      <c r="W283" s="42" t="s">
        <v>0</v>
      </c>
      <c r="X283" s="43">
        <f>GrossWeightTotal+PalletQtyTotal*25</f>
        <v>17088.523199999996</v>
      </c>
      <c r="Y283" s="43">
        <f>GrossWeightTotalR+PalletQtyTotalR*25</f>
        <v>17088.523199999996</v>
      </c>
      <c r="Z283" s="42"/>
      <c r="AA283" s="67"/>
      <c r="AB283" s="67"/>
      <c r="AC283" s="67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294"/>
      <c r="P284" s="290" t="s">
        <v>37</v>
      </c>
      <c r="Q284" s="291"/>
      <c r="R284" s="291"/>
      <c r="S284" s="291"/>
      <c r="T284" s="291"/>
      <c r="U284" s="291"/>
      <c r="V284" s="292"/>
      <c r="W284" s="42" t="s">
        <v>20</v>
      </c>
      <c r="X284" s="43">
        <f>IFERROR(X30+X36+X43+X49+X57+X62+X67+X73+X79+X84+X90+X100+X106+X118+X122+X126+X134+X140+X146+X152+X158+X163+X168+X173+X180+X185+X194+X200+X206+X212+X217+X222+X228+X234+X238+X244+X248+X255+X259+X265+X278,"0")</f>
        <v>3504</v>
      </c>
      <c r="Y284" s="43">
        <f>IFERROR(Y30+Y36+Y43+Y49+Y57+Y62+Y67+Y73+Y79+Y84+Y90+Y100+Y106+Y118+Y122+Y126+Y134+Y140+Y146+Y152+Y158+Y163+Y168+Y173+Y180+Y185+Y194+Y200+Y206+Y212+Y217+Y222+Y228+Y234+Y238+Y244+Y248+Y255+Y259+Y265+Y278,"0")</f>
        <v>3504</v>
      </c>
      <c r="Z284" s="42"/>
      <c r="AA284" s="67"/>
      <c r="AB284" s="67"/>
      <c r="AC284" s="67"/>
    </row>
    <row r="285" spans="1:68" ht="14.25" hidden="1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294"/>
      <c r="P285" s="290" t="s">
        <v>38</v>
      </c>
      <c r="Q285" s="291"/>
      <c r="R285" s="291"/>
      <c r="S285" s="291"/>
      <c r="T285" s="291"/>
      <c r="U285" s="291"/>
      <c r="V285" s="292"/>
      <c r="W285" s="45" t="s">
        <v>52</v>
      </c>
      <c r="X285" s="42"/>
      <c r="Y285" s="42"/>
      <c r="Z285" s="42">
        <f>IFERROR(Z30+Z36+Z43+Z49+Z57+Z62+Z67+Z73+Z79+Z84+Z90+Z100+Z106+Z118+Z122+Z126+Z134+Z140+Z146+Z152+Z158+Z163+Z168+Z173+Z180+Z185+Z194+Z200+Z206+Z212+Z217+Z222+Z228+Z234+Z238+Z244+Z248+Z255+Z259+Z265+Z278,"0")</f>
        <v>50.753139999999988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287" t="s">
        <v>80</v>
      </c>
      <c r="C287" s="287" t="s">
        <v>80</v>
      </c>
      <c r="D287" s="287" t="s">
        <v>45</v>
      </c>
      <c r="E287" s="287" t="s">
        <v>45</v>
      </c>
      <c r="F287" s="287" t="s">
        <v>45</v>
      </c>
      <c r="G287" s="287" t="s">
        <v>45</v>
      </c>
      <c r="H287" s="287" t="s">
        <v>45</v>
      </c>
      <c r="I287" s="287" t="s">
        <v>45</v>
      </c>
      <c r="J287" s="287" t="s">
        <v>45</v>
      </c>
      <c r="K287" s="287" t="s">
        <v>45</v>
      </c>
      <c r="L287" s="287" t="s">
        <v>45</v>
      </c>
      <c r="M287" s="287" t="s">
        <v>45</v>
      </c>
      <c r="N287" s="295"/>
      <c r="O287" s="287" t="s">
        <v>45</v>
      </c>
      <c r="P287" s="287" t="s">
        <v>45</v>
      </c>
      <c r="Q287" s="287" t="s">
        <v>45</v>
      </c>
      <c r="R287" s="287" t="s">
        <v>45</v>
      </c>
      <c r="S287" s="287" t="s">
        <v>45</v>
      </c>
      <c r="T287" s="287" t="s">
        <v>45</v>
      </c>
      <c r="U287" s="287" t="s">
        <v>45</v>
      </c>
      <c r="V287" s="287" t="s">
        <v>273</v>
      </c>
      <c r="W287" s="287" t="s">
        <v>273</v>
      </c>
      <c r="X287" s="88" t="s">
        <v>284</v>
      </c>
      <c r="Y287" s="287" t="s">
        <v>298</v>
      </c>
      <c r="Z287" s="287" t="s">
        <v>298</v>
      </c>
      <c r="AA287" s="287" t="s">
        <v>298</v>
      </c>
      <c r="AB287" s="287" t="s">
        <v>298</v>
      </c>
      <c r="AC287" s="88" t="s">
        <v>327</v>
      </c>
      <c r="AD287" s="88" t="s">
        <v>332</v>
      </c>
      <c r="AE287" s="88" t="s">
        <v>340</v>
      </c>
      <c r="AF287" s="88" t="s">
        <v>347</v>
      </c>
    </row>
    <row r="288" spans="1:68" ht="14.25" customHeight="1" thickTop="1" x14ac:dyDescent="0.2">
      <c r="A288" s="288" t="s">
        <v>10</v>
      </c>
      <c r="B288" s="287" t="s">
        <v>80</v>
      </c>
      <c r="C288" s="287" t="s">
        <v>105</v>
      </c>
      <c r="D288" s="287" t="s">
        <v>111</v>
      </c>
      <c r="E288" s="287" t="s">
        <v>122</v>
      </c>
      <c r="F288" s="287" t="s">
        <v>129</v>
      </c>
      <c r="G288" s="287" t="s">
        <v>140</v>
      </c>
      <c r="H288" s="287" t="s">
        <v>158</v>
      </c>
      <c r="I288" s="287" t="s">
        <v>165</v>
      </c>
      <c r="J288" s="287" t="s">
        <v>169</v>
      </c>
      <c r="K288" s="287" t="s">
        <v>177</v>
      </c>
      <c r="L288" s="287" t="s">
        <v>192</v>
      </c>
      <c r="M288" s="287" t="s">
        <v>198</v>
      </c>
      <c r="N288" s="1"/>
      <c r="O288" s="287" t="s">
        <v>226</v>
      </c>
      <c r="P288" s="287" t="s">
        <v>244</v>
      </c>
      <c r="Q288" s="287" t="s">
        <v>250</v>
      </c>
      <c r="R288" s="287" t="s">
        <v>257</v>
      </c>
      <c r="S288" s="287" t="s">
        <v>262</v>
      </c>
      <c r="T288" s="287" t="s">
        <v>266</v>
      </c>
      <c r="U288" s="287" t="s">
        <v>269</v>
      </c>
      <c r="V288" s="287" t="s">
        <v>274</v>
      </c>
      <c r="W288" s="287" t="s">
        <v>281</v>
      </c>
      <c r="X288" s="287" t="s">
        <v>285</v>
      </c>
      <c r="Y288" s="287" t="s">
        <v>299</v>
      </c>
      <c r="Z288" s="287" t="s">
        <v>312</v>
      </c>
      <c r="AA288" s="287" t="s">
        <v>319</v>
      </c>
      <c r="AB288" s="287" t="s">
        <v>323</v>
      </c>
      <c r="AC288" s="287" t="s">
        <v>328</v>
      </c>
      <c r="AD288" s="287" t="s">
        <v>333</v>
      </c>
      <c r="AE288" s="287" t="s">
        <v>340</v>
      </c>
      <c r="AF288" s="287" t="s">
        <v>347</v>
      </c>
    </row>
    <row r="289" spans="1:32" ht="13.5" thickBot="1" x14ac:dyDescent="0.25">
      <c r="A289" s="289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1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287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403.20000000000005</v>
      </c>
      <c r="C290" s="52">
        <f>IFERROR(X34*H34,"0")+IFERROR(X35*H35,"0")</f>
        <v>0</v>
      </c>
      <c r="D290" s="52">
        <f>IFERROR(X41*H41,"0")+IFERROR(X42*H42,"0")</f>
        <v>210</v>
      </c>
      <c r="E290" s="52">
        <f>IFERROR(X47*H47,"0")+IFERROR(X48*H48,"0")</f>
        <v>134.39999999999998</v>
      </c>
      <c r="F290" s="52">
        <f>IFERROR(X53*H53,"0")+IFERROR(X54*H54,"0")+IFERROR(X55*H55,"0")+IFERROR(X56*H56,"0")</f>
        <v>1672.8</v>
      </c>
      <c r="G290" s="52">
        <f>IFERROR(X61*H61,"0")+IFERROR(X65*H65,"0")+IFERROR(X66*H66,"0")+IFERROR(X70*H70,"0")+IFERROR(X71*H71,"0")+IFERROR(X72*H72,"0")</f>
        <v>33.6</v>
      </c>
      <c r="H290" s="52">
        <f>IFERROR(X77*H77,"0")+IFERROR(X78*H78,"0")</f>
        <v>1260</v>
      </c>
      <c r="I290" s="52">
        <f>IFERROR(X83*H83,"0")</f>
        <v>100.8</v>
      </c>
      <c r="J290" s="52">
        <f>IFERROR(X88*H88,"0")+IFERROR(X89*H89,"0")</f>
        <v>201.6</v>
      </c>
      <c r="K290" s="52">
        <f>IFERROR(X94*H94,"0")+IFERROR(X95*H95,"0")+IFERROR(X96*H96,"0")+IFERROR(X97*H97,"0")+IFERROR(X98*H98,"0")+IFERROR(X99*H99,"0")</f>
        <v>582.95999999999992</v>
      </c>
      <c r="L290" s="52">
        <f>IFERROR(X104*H104,"0")+IFERROR(X105*H105,"0")</f>
        <v>30.240000000000002</v>
      </c>
      <c r="M290" s="52">
        <f>IFERROR(X110*H110,"0")+IFERROR(X111*H111,"0")+IFERROR(X112*H112,"0")+IFERROR(X113*H113,"0")+IFERROR(X114*H114,"0")+IFERROR(X115*H115,"0")+IFERROR(X116*H116,"0")+IFERROR(X117*H117,"0")+IFERROR(X121*H121,"0")+IFERROR(X125*H125,"0")</f>
        <v>3206.4</v>
      </c>
      <c r="N290" s="1"/>
      <c r="O290" s="52">
        <f>IFERROR(X130*H130,"0")+IFERROR(X131*H131,"0")+IFERROR(X132*H132,"0")+IFERROR(X133*H133,"0")+IFERROR(X137*H137,"0")+IFERROR(X138*H138,"0")+IFERROR(X139*H139,"0")</f>
        <v>362.88</v>
      </c>
      <c r="P290" s="52">
        <f>IFERROR(X144*H144,"0")+IFERROR(X145*H145,"0")</f>
        <v>714</v>
      </c>
      <c r="Q290" s="52">
        <f>IFERROR(X150*H150,"0")+IFERROR(X151*H151,"0")</f>
        <v>294</v>
      </c>
      <c r="R290" s="52">
        <f>IFERROR(X156*H156,"0")+IFERROR(X157*H157,"0")</f>
        <v>100.8</v>
      </c>
      <c r="S290" s="52">
        <f>IFERROR(X162*H162,"0")</f>
        <v>42</v>
      </c>
      <c r="T290" s="52">
        <f>IFERROR(X167*H167,"0")</f>
        <v>0</v>
      </c>
      <c r="U290" s="52">
        <f>IFERROR(X172*H172,"0")</f>
        <v>0</v>
      </c>
      <c r="V290" s="52">
        <f>IFERROR(X178*H178,"0")+IFERROR(X179*H179,"0")</f>
        <v>300</v>
      </c>
      <c r="W290" s="52">
        <f>IFERROR(X184*H184,"0")</f>
        <v>600</v>
      </c>
      <c r="X290" s="52">
        <f>IFERROR(X190*H190,"0")+IFERROR(X191*H191,"0")+IFERROR(X192*H192,"0")+IFERROR(X193*H193,"0")</f>
        <v>1340.64</v>
      </c>
      <c r="Y290" s="52">
        <f>IFERROR(X199*H199,"0")+IFERROR(X203*H203,"0")+IFERROR(X204*H204,"0")+IFERROR(X205*H205,"0")</f>
        <v>110.88</v>
      </c>
      <c r="Z290" s="52">
        <f>IFERROR(X210*H210,"0")+IFERROR(X211*H211,"0")</f>
        <v>0</v>
      </c>
      <c r="AA290" s="52">
        <f>IFERROR(X216*H216,"0")</f>
        <v>240</v>
      </c>
      <c r="AB290" s="52">
        <f>IFERROR(X221*H221,"0")</f>
        <v>0</v>
      </c>
      <c r="AC290" s="52">
        <f>IFERROR(X227*H227,"0")</f>
        <v>0</v>
      </c>
      <c r="AD290" s="52">
        <f>IFERROR(X233*H233,"0")+IFERROR(X237*H237,"0")</f>
        <v>0</v>
      </c>
      <c r="AE290" s="52">
        <f>IFERROR(X243*H243,"0")+IFERROR(X247*H247,"0")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2794.84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7744.7999999999993</v>
      </c>
      <c r="B293" s="72">
        <f>SUMPRODUCT(--(BB:BB="ПГП"),--(W:W="кор"),H:H,Y:Y)+SUMPRODUCT(--(BB:BB="ПГП"),--(W:W="кг"),Y:Y)</f>
        <v>6991.24</v>
      </c>
      <c r="C293" s="72">
        <f>SUMPRODUCT(--(BB:BB="КИЗ"),--(W:W="кор"),H:H,Y:Y)+SUMPRODUCT(--(BB:BB="КИЗ"),--(W:W="кг"),Y:Y)</f>
        <v>0</v>
      </c>
    </row>
  </sheetData>
  <sheetProtection algorithmName="SHA-512" hashValue="oSaWFlxD/M+DvIc+qtUYBFnXjxB0SGWQYOeLP8OfzjdKdGz/ZBaJSwoDOtoWzYvfRkEATvi3cklLUH5vULQWIQ==" saltValue="CMN99F3npCaIGecw+47Bf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145,44"/>
        <filter val="1 260,00"/>
        <filter val="1 340,64"/>
        <filter val="1 672,80"/>
        <filter val="100,80"/>
        <filter val="112,00"/>
        <filter val="12,00"/>
        <filter val="120,00"/>
        <filter val="134,40"/>
        <filter val="14 736,04"/>
        <filter val="14,00"/>
        <filter val="140,00"/>
        <filter val="154,00"/>
        <filter val="16 088,52"/>
        <filter val="168,00"/>
        <filter val="17 088,52"/>
        <filter val="180,00"/>
        <filter val="194,00"/>
        <filter val="196,00"/>
        <filter val="201,60"/>
        <filter val="204,00"/>
        <filter val="210,00"/>
        <filter val="238,00"/>
        <filter val="24,00"/>
        <filter val="240,00"/>
        <filter val="252,00"/>
        <filter val="260,00"/>
        <filter val="266,00"/>
        <filter val="28,00"/>
        <filter val="294,00"/>
        <filter val="3 134,40"/>
        <filter val="3 504,00"/>
        <filter val="30,24"/>
        <filter val="300,00"/>
        <filter val="33,60"/>
        <filter val="36,00"/>
        <filter val="362,88"/>
        <filter val="40"/>
        <filter val="403,20"/>
        <filter val="42,00"/>
        <filter val="448,00"/>
        <filter val="456,00"/>
        <filter val="48,00"/>
        <filter val="56,00"/>
        <filter val="582,96"/>
        <filter val="60,00"/>
        <filter val="600,00"/>
        <filter val="641,40"/>
        <filter val="70,00"/>
        <filter val="714,00"/>
        <filter val="72,00"/>
        <filter val="77,28"/>
        <filter val="84,00"/>
        <filter val="96,00"/>
        <filter val="98,00"/>
      </filters>
    </filterColumn>
    <filterColumn colId="29" showButton="0"/>
    <filterColumn colId="30" showButton="0"/>
  </autoFilter>
  <dataConsolidate/>
  <mergeCells count="5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3:X277 X268 X253:X254 X247 X243 X237 X233 X227 X221 X210:X211 X203 X193 X184 X172 X156 X150 X137:X139 X130:X133 X125 X121 X114:X115 X111 X105 X98 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69:X272 X262:X264 X258 X216 X204:X205 X199 X190:X192 X178:X179 X167 X162 X157 X151 X144:X145 X116:X117 X112:X113 X110 X104 X99 X97 X94:X95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388</v>
      </c>
      <c r="D6" s="53" t="s">
        <v>389</v>
      </c>
      <c r="E6" s="53" t="s">
        <v>46</v>
      </c>
    </row>
    <row r="8" spans="2:8" x14ac:dyDescent="0.2">
      <c r="B8" s="53" t="s">
        <v>79</v>
      </c>
      <c r="C8" s="53" t="s">
        <v>388</v>
      </c>
      <c r="D8" s="53" t="s">
        <v>46</v>
      </c>
      <c r="E8" s="53" t="s">
        <v>46</v>
      </c>
    </row>
    <row r="10" spans="2:8" x14ac:dyDescent="0.2">
      <c r="B10" s="53" t="s">
        <v>390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400</v>
      </c>
      <c r="C20" s="53" t="s">
        <v>46</v>
      </c>
      <c r="D20" s="53" t="s">
        <v>46</v>
      </c>
      <c r="E20" s="53" t="s">
        <v>46</v>
      </c>
    </row>
  </sheetData>
  <sheetProtection algorithmName="SHA-512" hashValue="jJPobETSSCpbkw9cHf7v8phr4+KyOk/jjjqx9LYVmeuHYhDAUFHNs5d8y8k8LVhHJ5m9+XSLpgZekC0GGZAYlw==" saltValue="gUbInLhLJVILc3j6cRaCc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2026-08-17T11:44:22Z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